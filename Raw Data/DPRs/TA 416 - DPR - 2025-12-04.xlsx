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04833254-2EBA-4C7A-8ECC-CEA825418D98}" xr6:coauthVersionLast="47" xr6:coauthVersionMax="47" xr10:uidLastSave="{00000000-0000-0000-0000-000000000000}"/>
  <bookViews>
    <workbookView xWindow="-120" yWindow="-120" windowWidth="20730" windowHeight="11160" tabRatio="94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DETAILS'!$A$5:$G$22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5" i="56" l="1"/>
  <c r="R295" i="56"/>
  <c r="R301" i="56" s="1"/>
  <c r="N295" i="56"/>
  <c r="N301" i="56" s="1"/>
  <c r="J295" i="56"/>
  <c r="L298" i="56" s="1"/>
  <c r="F295" i="56"/>
  <c r="H298" i="56" s="1"/>
  <c r="B295" i="56"/>
  <c r="D298" i="56" s="1"/>
  <c r="R291" i="56"/>
  <c r="AN288" i="56"/>
  <c r="AJ288" i="56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D288" i="56" s="1"/>
  <c r="AP281" i="56"/>
  <c r="AH281" i="56"/>
  <c r="B281" i="56"/>
  <c r="AR278" i="56"/>
  <c r="L278" i="56"/>
  <c r="AP275" i="56"/>
  <c r="AL275" i="56"/>
  <c r="AN278" i="56" s="1"/>
  <c r="AH275" i="56"/>
  <c r="AJ278" i="56" s="1"/>
  <c r="AD275" i="56"/>
  <c r="AF278" i="56" s="1"/>
  <c r="Z275" i="56"/>
  <c r="AB278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71" i="56"/>
  <c r="R271" i="56"/>
  <c r="J271" i="56"/>
  <c r="X268" i="56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Z261" i="56"/>
  <c r="N261" i="56"/>
  <c r="AF258" i="56"/>
  <c r="AB258" i="56"/>
  <c r="AP255" i="56"/>
  <c r="AR258" i="56" s="1"/>
  <c r="AL255" i="56"/>
  <c r="AL261" i="56" s="1"/>
  <c r="AH255" i="56"/>
  <c r="AH261" i="56" s="1"/>
  <c r="AD255" i="56"/>
  <c r="AD261" i="56" s="1"/>
  <c r="Z255" i="56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V251" i="56"/>
  <c r="R251" i="56"/>
  <c r="AN248" i="56"/>
  <c r="AJ248" i="56"/>
  <c r="D248" i="56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Z241" i="56"/>
  <c r="J241" i="56"/>
  <c r="B241" i="56"/>
  <c r="T238" i="56"/>
  <c r="L238" i="56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F235" i="56"/>
  <c r="H238" i="56" s="1"/>
  <c r="B235" i="56"/>
  <c r="D238" i="56" s="1"/>
  <c r="AP231" i="56"/>
  <c r="J231" i="56"/>
  <c r="AB228" i="56"/>
  <c r="X228" i="56"/>
  <c r="AP225" i="56"/>
  <c r="AR228" i="56" s="1"/>
  <c r="AL225" i="56"/>
  <c r="AN228" i="56" s="1"/>
  <c r="AH225" i="56"/>
  <c r="AJ228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21" i="56"/>
  <c r="R221" i="56"/>
  <c r="N221" i="56"/>
  <c r="AF218" i="56"/>
  <c r="AB218" i="56"/>
  <c r="AP215" i="56"/>
  <c r="AR218" i="56" s="1"/>
  <c r="AL215" i="56"/>
  <c r="AL221" i="56" s="1"/>
  <c r="AH215" i="56"/>
  <c r="AH221" i="56" s="1"/>
  <c r="AD215" i="56"/>
  <c r="AD221" i="56" s="1"/>
  <c r="Z215" i="56"/>
  <c r="Z221" i="56" s="1"/>
  <c r="V215" i="56"/>
  <c r="X218" i="56" s="1"/>
  <c r="R215" i="56"/>
  <c r="T218" i="56" s="1"/>
  <c r="N215" i="56"/>
  <c r="P218" i="56" s="1"/>
  <c r="J215" i="56"/>
  <c r="L218" i="56" s="1"/>
  <c r="F215" i="56"/>
  <c r="F221" i="56" s="1"/>
  <c r="B215" i="56"/>
  <c r="B221" i="56" s="1"/>
  <c r="V211" i="56"/>
  <c r="R211" i="56"/>
  <c r="B211" i="56"/>
  <c r="AN208" i="56"/>
  <c r="AJ208" i="56"/>
  <c r="H208" i="56"/>
  <c r="D208" i="56"/>
  <c r="AP205" i="56"/>
  <c r="AP211" i="56" s="1"/>
  <c r="AL205" i="56"/>
  <c r="AL211" i="56" s="1"/>
  <c r="AH205" i="56"/>
  <c r="AH211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AP201" i="56"/>
  <c r="AH201" i="56"/>
  <c r="Z201" i="56"/>
  <c r="J201" i="56"/>
  <c r="B201" i="56"/>
  <c r="AR198" i="56"/>
  <c r="L198" i="56"/>
  <c r="AP195" i="56"/>
  <c r="AL195" i="56"/>
  <c r="AN198" i="56" s="1"/>
  <c r="AH195" i="56"/>
  <c r="AJ198" i="56" s="1"/>
  <c r="AD195" i="56"/>
  <c r="AF198" i="56" s="1"/>
  <c r="Z195" i="56"/>
  <c r="AB198" i="56" s="1"/>
  <c r="V195" i="56"/>
  <c r="V201" i="56" s="1"/>
  <c r="R195" i="56"/>
  <c r="R201" i="56" s="1"/>
  <c r="N195" i="56"/>
  <c r="N201" i="56" s="1"/>
  <c r="J195" i="56"/>
  <c r="F195" i="56"/>
  <c r="H198" i="56" s="1"/>
  <c r="B195" i="56"/>
  <c r="D198" i="56" s="1"/>
  <c r="AP191" i="56"/>
  <c r="R191" i="56"/>
  <c r="J191" i="56"/>
  <c r="X188" i="56"/>
  <c r="AP185" i="56"/>
  <c r="AR188" i="56" s="1"/>
  <c r="AL185" i="56"/>
  <c r="AN188" i="56" s="1"/>
  <c r="AH185" i="56"/>
  <c r="AJ188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D188" i="56" s="1"/>
  <c r="Z181" i="56"/>
  <c r="N181" i="56"/>
  <c r="AF178" i="56"/>
  <c r="AB178" i="56"/>
  <c r="AP175" i="56"/>
  <c r="AR178" i="56" s="1"/>
  <c r="AL175" i="56"/>
  <c r="AL181" i="56" s="1"/>
  <c r="AH175" i="56"/>
  <c r="AH181" i="56" s="1"/>
  <c r="AD175" i="56"/>
  <c r="AD181" i="56" s="1"/>
  <c r="Z175" i="56"/>
  <c r="V175" i="56"/>
  <c r="X178" i="56" s="1"/>
  <c r="R175" i="56"/>
  <c r="T178" i="56" s="1"/>
  <c r="N175" i="56"/>
  <c r="P178" i="56" s="1"/>
  <c r="J175" i="56"/>
  <c r="L178" i="56" s="1"/>
  <c r="F175" i="56"/>
  <c r="F181" i="56" s="1"/>
  <c r="B175" i="56"/>
  <c r="B181" i="56" s="1"/>
  <c r="V171" i="56"/>
  <c r="R171" i="56"/>
  <c r="AN168" i="56"/>
  <c r="AJ168" i="56"/>
  <c r="H168" i="56"/>
  <c r="D168" i="56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T168" i="56" s="1"/>
  <c r="N165" i="56"/>
  <c r="N171" i="56" s="1"/>
  <c r="J165" i="56"/>
  <c r="J171" i="56" s="1"/>
  <c r="F165" i="56"/>
  <c r="F171" i="56" s="1"/>
  <c r="B165" i="56"/>
  <c r="B171" i="56" s="1"/>
  <c r="AH161" i="56"/>
  <c r="F161" i="56"/>
  <c r="B161" i="56"/>
  <c r="T158" i="56"/>
  <c r="H158" i="56"/>
  <c r="D158" i="56"/>
  <c r="AP155" i="56"/>
  <c r="AR158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L151" i="56"/>
  <c r="Z151" i="56"/>
  <c r="F151" i="56"/>
  <c r="B151" i="56"/>
  <c r="AR148" i="56"/>
  <c r="AN148" i="56"/>
  <c r="L148" i="56"/>
  <c r="H148" i="56"/>
  <c r="AL145" i="56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AV78" i="56" s="1"/>
  <c r="D78" i="56"/>
  <c r="AH71" i="56"/>
  <c r="AP65" i="56"/>
  <c r="AP71" i="56" s="1"/>
  <c r="AL65" i="56"/>
  <c r="AN68" i="56" s="1"/>
  <c r="AH65" i="56"/>
  <c r="AJ68" i="56" s="1"/>
  <c r="AD65" i="56"/>
  <c r="AD71" i="56" s="1"/>
  <c r="Z65" i="56"/>
  <c r="AB68" i="56" s="1"/>
  <c r="V65" i="56"/>
  <c r="V71" i="56" s="1"/>
  <c r="R65" i="56"/>
  <c r="T68" i="56" s="1"/>
  <c r="N65" i="56"/>
  <c r="P68" i="56" s="1"/>
  <c r="J65" i="56"/>
  <c r="J71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J16" i="56"/>
  <c r="AP16" i="56" s="1"/>
  <c r="AP15" i="56"/>
  <c r="AJ15" i="56"/>
  <c r="AG14" i="56"/>
  <c r="AJ13" i="56"/>
  <c r="AP13" i="56" s="1"/>
  <c r="AP12" i="56"/>
  <c r="AM12" i="56"/>
  <c r="AJ12" i="56"/>
  <c r="AJ11" i="56"/>
  <c r="AP11" i="56" s="1"/>
  <c r="AM10" i="56"/>
  <c r="AJ10" i="56"/>
  <c r="AP10" i="56" s="1"/>
  <c r="AO3" i="56"/>
  <c r="J31" i="57"/>
  <c r="M30" i="57"/>
  <c r="K24" i="44"/>
  <c r="M29" i="57"/>
  <c r="J30" i="57"/>
  <c r="J29" i="57"/>
  <c r="M26" i="57"/>
  <c r="M27" i="57"/>
  <c r="F71" i="56" l="1"/>
  <c r="AV118" i="56"/>
  <c r="AV58" i="56"/>
  <c r="P278" i="56"/>
  <c r="AV28" i="56"/>
  <c r="L68" i="56"/>
  <c r="R71" i="56"/>
  <c r="Z161" i="56"/>
  <c r="Z171" i="56"/>
  <c r="AJ178" i="56"/>
  <c r="AH191" i="56"/>
  <c r="T198" i="56"/>
  <c r="AR208" i="56"/>
  <c r="B231" i="56"/>
  <c r="H248" i="56"/>
  <c r="Z251" i="56"/>
  <c r="AJ258" i="56"/>
  <c r="AH271" i="56"/>
  <c r="T278" i="56"/>
  <c r="AR288" i="56"/>
  <c r="Z71" i="56"/>
  <c r="AV98" i="56"/>
  <c r="L158" i="56"/>
  <c r="AV158" i="56" s="1"/>
  <c r="AD161" i="56"/>
  <c r="L168" i="56"/>
  <c r="J181" i="56"/>
  <c r="AL191" i="56"/>
  <c r="D218" i="56"/>
  <c r="F231" i="56"/>
  <c r="AD241" i="56"/>
  <c r="L248" i="56"/>
  <c r="J261" i="56"/>
  <c r="AL271" i="56"/>
  <c r="B291" i="56"/>
  <c r="AD151" i="56"/>
  <c r="P158" i="56"/>
  <c r="AH241" i="56"/>
  <c r="P198" i="56"/>
  <c r="X68" i="56"/>
  <c r="P148" i="56"/>
  <c r="AH151" i="56"/>
  <c r="AP161" i="56"/>
  <c r="R181" i="56"/>
  <c r="AB188" i="56"/>
  <c r="R231" i="56"/>
  <c r="P238" i="56"/>
  <c r="AP241" i="56"/>
  <c r="R261" i="56"/>
  <c r="AB268" i="56"/>
  <c r="V291" i="56"/>
  <c r="AV108" i="56"/>
  <c r="AV48" i="56"/>
  <c r="AV138" i="56"/>
  <c r="AR168" i="56"/>
  <c r="B191" i="56"/>
  <c r="Z211" i="56"/>
  <c r="AJ218" i="56"/>
  <c r="AH231" i="56"/>
  <c r="AR248" i="56"/>
  <c r="B271" i="56"/>
  <c r="Z281" i="56"/>
  <c r="H288" i="56"/>
  <c r="Z291" i="56"/>
  <c r="P298" i="56"/>
  <c r="AV298" i="56" s="1"/>
  <c r="AV38" i="56"/>
  <c r="AL71" i="56"/>
  <c r="AV88" i="56"/>
  <c r="AR68" i="56"/>
  <c r="B71" i="56"/>
  <c r="AV128" i="56"/>
  <c r="D178" i="56"/>
  <c r="AP181" i="56"/>
  <c r="F191" i="56"/>
  <c r="AD201" i="56"/>
  <c r="L208" i="56"/>
  <c r="J221" i="56"/>
  <c r="AL231" i="56"/>
  <c r="D258" i="56"/>
  <c r="AP261" i="56"/>
  <c r="F271" i="56"/>
  <c r="AD281" i="56"/>
  <c r="L288" i="56"/>
  <c r="T298" i="56"/>
  <c r="T148" i="56"/>
  <c r="AF68" i="56"/>
  <c r="AV68" i="56" s="1"/>
  <c r="N71" i="56"/>
  <c r="X148" i="56"/>
  <c r="X158" i="56"/>
  <c r="AL161" i="56"/>
  <c r="P168" i="56"/>
  <c r="AD171" i="56"/>
  <c r="H178" i="56"/>
  <c r="AN178" i="56"/>
  <c r="V181" i="56"/>
  <c r="AF188" i="56"/>
  <c r="AV188" i="56" s="1"/>
  <c r="N191" i="56"/>
  <c r="X198" i="56"/>
  <c r="AV198" i="56" s="1"/>
  <c r="F201" i="56"/>
  <c r="AL201" i="56"/>
  <c r="P208" i="56"/>
  <c r="AD211" i="56"/>
  <c r="H218" i="56"/>
  <c r="AN218" i="56"/>
  <c r="V221" i="56"/>
  <c r="AF228" i="56"/>
  <c r="AV228" i="56" s="1"/>
  <c r="N231" i="56"/>
  <c r="X238" i="56"/>
  <c r="AV238" i="56" s="1"/>
  <c r="F241" i="56"/>
  <c r="AL241" i="56"/>
  <c r="P248" i="56"/>
  <c r="AV248" i="56" s="1"/>
  <c r="AD251" i="56"/>
  <c r="H258" i="56"/>
  <c r="AN258" i="56"/>
  <c r="V261" i="56"/>
  <c r="AF268" i="56"/>
  <c r="AV268" i="56" s="1"/>
  <c r="N271" i="56"/>
  <c r="X278" i="56"/>
  <c r="AV278" i="56" s="1"/>
  <c r="F281" i="56"/>
  <c r="AL281" i="56"/>
  <c r="P288" i="56"/>
  <c r="AV288" i="56" s="1"/>
  <c r="AD291" i="56"/>
  <c r="B301" i="56"/>
  <c r="F301" i="56"/>
  <c r="J301" i="56"/>
  <c r="E82" i="57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AV148" i="56" l="1"/>
  <c r="AV208" i="56"/>
  <c r="AV178" i="56"/>
  <c r="AV168" i="56"/>
  <c r="AV258" i="56"/>
  <c r="AV218" i="56"/>
  <c r="AV24" i="56"/>
  <c r="T4" i="57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C667" i="54"/>
  <c r="F74" i="44"/>
  <c r="F75" i="44"/>
  <c r="F70" i="44"/>
  <c r="C48" i="46" l="1"/>
  <c r="C45" i="46"/>
  <c r="L10" i="54" l="1"/>
  <c r="L9" i="54"/>
  <c r="J4" i="54"/>
  <c r="K4" i="54" s="1"/>
  <c r="F4" i="54"/>
  <c r="J3" i="54"/>
  <c r="K3" i="54" s="1"/>
  <c r="F3" i="54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J14" i="56" l="1"/>
  <c r="AP14" i="56" s="1"/>
</calcChain>
</file>

<file path=xl/sharedStrings.xml><?xml version="1.0" encoding="utf-8"?>
<sst xmlns="http://schemas.openxmlformats.org/spreadsheetml/2006/main" count="7044" uniqueCount="1134">
  <si>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</si>
  <si>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</si>
  <si>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</si>
  <si>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</si>
  <si>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</si>
  <si>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</si>
  <si>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</si>
  <si>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</si>
  <si>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</si>
  <si>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</si>
  <si>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</si>
  <si>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</si>
  <si>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</si>
  <si>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</si>
  <si>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</si>
  <si>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</si>
  <si>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</si>
  <si>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</si>
  <si>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</si>
  <si>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</si>
  <si>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</si>
  <si>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</si>
  <si>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</si>
  <si>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</si>
  <si>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</si>
  <si>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</si>
  <si>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</si>
  <si>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</si>
  <si>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</si>
  <si>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</si>
  <si>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</si>
  <si>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</si>
  <si>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</si>
  <si>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</si>
  <si>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</si>
  <si>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</si>
  <si>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</si>
  <si>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</si>
  <si>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</si>
  <si>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</si>
  <si>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</si>
  <si>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</si>
  <si>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</si>
  <si>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</si>
  <si>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</si>
  <si>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</si>
  <si>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</si>
  <si>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</si>
  <si>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</si>
  <si>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</si>
  <si>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</si>
  <si>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</si>
  <si>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</si>
  <si>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</si>
  <si>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</si>
  <si>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</si>
  <si>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</si>
  <si>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</si>
  <si>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</si>
  <si>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</si>
  <si>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</si>
  <si>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</si>
  <si>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</si>
  <si>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</si>
  <si>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</si>
  <si>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</si>
  <si>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</si>
  <si>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</si>
  <si>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</si>
  <si>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</si>
  <si>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</si>
  <si>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</si>
  <si>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</si>
  <si>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</si>
  <si>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</si>
  <si>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</si>
  <si>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</si>
  <si>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</si>
  <si>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</si>
  <si>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</si>
  <si>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</si>
  <si>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</si>
  <si>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</si>
  <si>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</si>
  <si>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</si>
  <si>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</si>
  <si>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</si>
  <si>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</si>
  <si>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</si>
  <si>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</si>
  <si>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</si>
  <si>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</si>
  <si>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</si>
  <si>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</si>
  <si>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</si>
  <si>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</si>
  <si>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</si>
  <si>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</si>
  <si>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</si>
  <si>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</si>
  <si>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</si>
  <si>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</si>
  <si>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</si>
  <si>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</si>
  <si>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</si>
  <si>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</si>
  <si>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</si>
  <si>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</si>
  <si>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</si>
  <si>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</si>
  <si>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</si>
  <si>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</si>
  <si>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</si>
  <si>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</si>
  <si>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</si>
  <si>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</si>
  <si>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</si>
  <si>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</si>
  <si>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</si>
  <si>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</si>
  <si>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</si>
  <si>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</si>
  <si>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</si>
  <si>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</si>
  <si>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</si>
  <si>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</si>
  <si>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</si>
  <si>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</si>
  <si>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</si>
  <si>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</si>
  <si>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</si>
  <si>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</si>
  <si>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</si>
  <si>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</si>
  <si>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</si>
  <si>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</si>
  <si>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</si>
  <si>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</si>
  <si>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</si>
  <si>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</si>
  <si>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</si>
  <si>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</si>
  <si>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</si>
  <si>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</si>
  <si>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</si>
  <si>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</si>
  <si>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</si>
  <si>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</si>
  <si>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</si>
  <si>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</si>
  <si>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</si>
  <si>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</si>
  <si>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</si>
  <si>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</si>
  <si>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</si>
  <si>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</si>
  <si>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</si>
  <si>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</si>
  <si>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</si>
  <si>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</si>
  <si>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</si>
  <si>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</si>
  <si>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</si>
  <si>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</si>
  <si>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</si>
  <si>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</si>
  <si>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</si>
  <si>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</si>
  <si>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</si>
  <si>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</si>
  <si>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</si>
  <si>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</si>
  <si>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</si>
  <si>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</si>
  <si>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</si>
  <si>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</si>
  <si>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</si>
  <si>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</si>
  <si>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</si>
  <si>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</si>
  <si>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</si>
  <si>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</si>
  <si>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</si>
  <si>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</si>
  <si>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</si>
  <si>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</si>
  <si>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</si>
  <si>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</si>
  <si>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</si>
  <si>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</si>
  <si>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</si>
  <si>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</si>
  <si>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</si>
  <si>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</si>
  <si>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</si>
  <si>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</si>
  <si>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</si>
  <si>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</si>
  <si>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</si>
  <si>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</si>
  <si>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</si>
  <si>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</si>
  <si>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</si>
  <si>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</si>
  <si>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</si>
  <si>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</si>
  <si>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</si>
  <si>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</si>
  <si>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</si>
  <si>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</si>
  <si>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</si>
  <si>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</si>
  <si>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</si>
  <si>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</si>
  <si>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</si>
  <si>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</si>
  <si>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</si>
  <si>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</si>
  <si>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</si>
  <si>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</si>
  <si>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</si>
  <si>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</si>
  <si>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</si>
  <si>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</si>
  <si>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</si>
  <si>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</si>
  <si>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</si>
  <si>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</si>
  <si>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</si>
  <si>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</si>
  <si>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</si>
  <si>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</si>
  <si>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</si>
  <si>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</si>
  <si>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</si>
  <si>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</si>
  <si>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</si>
  <si>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</si>
  <si>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</si>
  <si>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</si>
  <si>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</si>
  <si>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</si>
  <si>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</si>
  <si>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</si>
  <si>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</si>
  <si>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</si>
  <si>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</si>
  <si>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</si>
  <si>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</si>
  <si>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</si>
  <si>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</si>
  <si>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</si>
  <si>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</si>
  <si>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</si>
  <si>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</si>
  <si>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</si>
  <si>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</si>
  <si>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</si>
  <si>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</si>
  <si>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</si>
  <si>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</si>
  <si>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</si>
  <si>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</si>
  <si>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</si>
  <si>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</si>
  <si>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</si>
  <si>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</si>
  <si>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</si>
  <si>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</si>
  <si>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</si>
  <si>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</si>
  <si>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</si>
  <si>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</si>
  <si>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</si>
  <si>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</si>
  <si>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</si>
  <si>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</si>
  <si>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</si>
  <si>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</si>
  <si>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</si>
  <si>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</si>
  <si>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</si>
  <si>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</si>
  <si>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</si>
  <si>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</si>
  <si>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</si>
  <si>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</si>
  <si>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</si>
  <si>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</si>
  <si>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</si>
  <si>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</si>
  <si>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</si>
  <si>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</si>
  <si>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</si>
  <si>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</si>
  <si>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</si>
  <si>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</si>
  <si>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</si>
  <si>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</si>
  <si>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</si>
  <si>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</si>
  <si>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</si>
  <si>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</si>
  <si>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</si>
  <si>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</si>
  <si>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</si>
  <si>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</si>
  <si>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</si>
  <si>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</si>
  <si>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</si>
  <si>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</si>
  <si>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</si>
  <si>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</si>
  <si>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</si>
  <si>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</si>
  <si>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</si>
  <si>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</si>
  <si>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</si>
  <si>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</si>
  <si>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</si>
  <si>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</si>
  <si>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</si>
  <si>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</si>
  <si>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</si>
  <si>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</si>
  <si>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</si>
  <si>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</si>
  <si>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</si>
  <si>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</si>
  <si>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</si>
  <si>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</si>
  <si>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</si>
  <si>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</si>
  <si>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</si>
  <si>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</si>
  <si>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</si>
  <si>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</si>
  <si>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</si>
  <si>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</si>
  <si>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</si>
  <si>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</si>
  <si>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</si>
  <si>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</si>
  <si>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</si>
  <si>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</si>
  <si>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</si>
  <si>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</si>
  <si>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</si>
  <si>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</si>
  <si>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</si>
  <si>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</si>
  <si>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</si>
  <si>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</si>
  <si>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</si>
  <si>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</si>
  <si>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</si>
  <si>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</si>
  <si>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</si>
  <si>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</si>
  <si>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</si>
  <si>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</si>
  <si>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</si>
  <si>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</si>
  <si>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</si>
  <si>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</si>
  <si>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</si>
  <si>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</si>
  <si>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</si>
  <si>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</si>
  <si>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</si>
  <si>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</si>
  <si>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</si>
  <si>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</si>
  <si>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</si>
  <si>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</si>
  <si>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</si>
  <si>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</si>
  <si>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</si>
  <si>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</si>
  <si>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</si>
  <si>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</si>
  <si>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</si>
  <si>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</si>
  <si>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</si>
  <si>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</si>
  <si>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</si>
  <si>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</si>
  <si>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</si>
  <si>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</si>
  <si>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</si>
  <si>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</si>
  <si>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</si>
  <si>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</si>
  <si>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</si>
  <si>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</si>
  <si>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</si>
  <si>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</si>
  <si>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</si>
  <si>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</si>
  <si>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</si>
  <si>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</si>
  <si>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</si>
  <si>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</si>
  <si>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</si>
  <si>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</si>
  <si>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</si>
  <si>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</si>
  <si>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</si>
  <si>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</si>
  <si>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</si>
  <si>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</si>
  <si>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</si>
  <si>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</si>
  <si>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</si>
  <si>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</si>
  <si>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</si>
  <si>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</si>
  <si>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</si>
  <si>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</si>
  <si>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Reeta Bharti</t>
  </si>
  <si>
    <t>22A/0</t>
  </si>
  <si>
    <t>27/0</t>
  </si>
  <si>
    <t>Unity India</t>
  </si>
  <si>
    <t>Pankaj Kumar</t>
  </si>
  <si>
    <t>38/0</t>
  </si>
  <si>
    <t>Amit Choudhury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</si>
  <si>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</si>
  <si>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</si>
  <si>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</si>
  <si>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</si>
  <si>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</si>
  <si>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</si>
  <si>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</si>
  <si>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</si>
  <si>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</si>
  <si>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</si>
  <si>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</si>
  <si>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</si>
  <si>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</si>
  <si>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</si>
  <si>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</si>
  <si>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</si>
  <si>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</si>
  <si>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</si>
  <si>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</si>
  <si>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</si>
  <si>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</si>
  <si>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</si>
  <si>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</si>
  <si>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</si>
  <si>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</si>
  <si>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</si>
  <si>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</si>
  <si>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</si>
  <si>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</si>
  <si>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</si>
  <si>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</si>
  <si>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</si>
  <si>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</si>
  <si>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</si>
  <si>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</si>
  <si>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</si>
  <si>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</si>
  <si>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</si>
  <si>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</si>
  <si>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</si>
  <si>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</si>
  <si>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</si>
  <si>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</si>
  <si>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</si>
  <si>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</si>
  <si>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</si>
  <si>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</si>
  <si>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</si>
  <si>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</si>
  <si>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</si>
  <si>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</si>
  <si>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</si>
  <si>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</si>
  <si>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</si>
  <si>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</si>
  <si>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</si>
  <si>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</si>
  <si>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</si>
  <si>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</si>
  <si>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</si>
  <si>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</si>
  <si>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</si>
  <si>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</si>
  <si>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</si>
  <si>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</si>
  <si>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</si>
  <si>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</si>
  <si>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</si>
  <si>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</si>
  <si>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</si>
  <si>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</si>
  <si>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</si>
  <si>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</si>
  <si>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</si>
  <si>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</si>
  <si>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</si>
  <si>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</si>
  <si>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</si>
  <si>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</si>
  <si>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</si>
  <si>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</si>
  <si>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</si>
  <si>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</si>
  <si>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</si>
  <si>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</si>
  <si>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</si>
  <si>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</si>
  <si>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</si>
  <si>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</si>
  <si>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</si>
  <si>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</si>
  <si>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</si>
  <si>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</si>
  <si>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</si>
  <si>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</si>
  <si>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</si>
  <si>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</si>
  <si>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</si>
  <si>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</si>
  <si>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</si>
  <si>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</si>
  <si>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</si>
  <si>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</si>
  <si>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</si>
  <si>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</si>
  <si>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</si>
  <si>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</si>
  <si>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</si>
  <si>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</si>
  <si>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</si>
  <si>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</si>
  <si>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</si>
  <si>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</si>
  <si>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</si>
  <si>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</si>
  <si>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</si>
  <si>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</si>
  <si>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</si>
  <si>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</si>
  <si>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</si>
  <si>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</si>
  <si>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</si>
  <si>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</si>
  <si>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</si>
  <si>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</si>
  <si>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</si>
  <si>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</si>
  <si>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</si>
  <si>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</si>
  <si>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</si>
  <si>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</si>
  <si>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</si>
  <si>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</si>
  <si>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</si>
  <si>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</si>
  <si>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</si>
  <si>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</si>
  <si>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</si>
  <si>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</si>
  <si>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</si>
  <si>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</si>
  <si>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</si>
  <si>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</si>
  <si>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</si>
  <si>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</si>
  <si>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</si>
  <si>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</si>
  <si>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</si>
  <si>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</si>
  <si>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</si>
  <si>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</si>
  <si>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</si>
  <si>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</si>
  <si>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</si>
  <si>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</si>
  <si>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</si>
  <si>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</si>
  <si>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</si>
  <si>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</si>
  <si>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</si>
  <si>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</si>
  <si>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</si>
  <si>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</si>
  <si>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</si>
  <si>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</si>
  <si>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</si>
  <si>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</si>
  <si>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</si>
  <si>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</si>
  <si>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</si>
  <si>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</si>
  <si>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</si>
  <si>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</si>
  <si>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</si>
  <si>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</si>
  <si>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</si>
  <si>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</si>
  <si>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</si>
  <si>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</si>
  <si>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</si>
  <si>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</si>
  <si>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</si>
  <si>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</si>
  <si>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</si>
  <si>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</si>
  <si>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</si>
  <si>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</si>
  <si>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</si>
  <si>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</si>
  <si>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</si>
  <si>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</si>
  <si>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</si>
  <si>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</si>
  <si>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</si>
  <si>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</si>
  <si>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</si>
  <si>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</si>
  <si>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</si>
  <si>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</si>
  <si>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</si>
  <si>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</si>
  <si>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</si>
  <si>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</si>
  <si>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</si>
  <si>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</si>
  <si>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</si>
  <si>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</si>
  <si>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</si>
  <si>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</si>
  <si>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</si>
  <si>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</si>
  <si>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</si>
  <si>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</si>
  <si>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</si>
  <si>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</si>
  <si>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</si>
  <si>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</si>
  <si>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</si>
  <si>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</si>
  <si>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</si>
  <si>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</si>
  <si>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</si>
  <si>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</si>
  <si>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</si>
  <si>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</si>
  <si>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</si>
  <si>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</si>
  <si>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</si>
  <si>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</si>
  <si>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</si>
  <si>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</si>
  <si>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</si>
  <si>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</si>
  <si>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</si>
  <si>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</si>
  <si>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</si>
  <si>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</si>
  <si>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</si>
  <si>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</si>
  <si>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</si>
  <si>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</si>
  <si>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</si>
  <si>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</si>
  <si>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</si>
  <si>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</si>
  <si>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</si>
  <si>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</si>
  <si>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</si>
  <si>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</si>
  <si>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</si>
  <si>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</si>
  <si>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</si>
  <si>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</si>
  <si>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</si>
  <si>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</si>
  <si>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</si>
  <si>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</si>
  <si>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</si>
  <si>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</si>
  <si>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</si>
  <si>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</si>
  <si>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</si>
  <si>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</si>
  <si>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</si>
  <si>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</si>
  <si>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</si>
  <si>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</si>
  <si>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</si>
  <si>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</si>
  <si>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</si>
  <si>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</si>
  <si>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</si>
  <si>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</si>
  <si>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</si>
  <si>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</si>
  <si>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</si>
  <si>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</si>
  <si>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</si>
  <si>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</si>
  <si>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</si>
  <si>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</si>
  <si>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</si>
  <si>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</si>
  <si>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</si>
  <si>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</si>
  <si>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</si>
  <si>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</si>
  <si>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</si>
  <si>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</si>
  <si>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</si>
  <si>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</si>
  <si>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</si>
  <si>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</si>
  <si>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</si>
  <si>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</si>
  <si>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</si>
  <si>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</si>
  <si>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</si>
  <si>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</si>
  <si>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</si>
  <si>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</si>
  <si>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</si>
  <si>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</si>
  <si>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</si>
  <si>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</si>
  <si>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</si>
  <si>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</si>
  <si>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</si>
  <si>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</si>
  <si>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</si>
  <si>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</si>
  <si>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</si>
  <si>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</si>
  <si>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</si>
  <si>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</si>
  <si>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</si>
  <si>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</si>
  <si>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</si>
  <si>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</si>
  <si>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</si>
  <si>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</si>
  <si>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</si>
  <si>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</si>
  <si>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</si>
  <si>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</si>
  <si>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</si>
  <si>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</si>
  <si>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</si>
  <si>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</si>
  <si>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</si>
  <si>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</si>
  <si>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</si>
  <si>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</si>
  <si>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</si>
  <si>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</si>
  <si>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</si>
  <si>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</si>
  <si>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</si>
  <si>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</si>
  <si>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</si>
  <si>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</si>
  <si>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</si>
  <si>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</si>
  <si>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</si>
  <si>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</si>
  <si>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</si>
  <si>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</si>
  <si>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</si>
  <si>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</si>
  <si>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</si>
  <si>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</si>
  <si>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</si>
  <si>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</si>
  <si>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</si>
  <si>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</si>
  <si>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</si>
  <si>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</si>
  <si>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</si>
  <si>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</si>
  <si>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</si>
  <si>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</si>
  <si>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</si>
  <si>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</si>
  <si>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</si>
  <si>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</si>
  <si>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</si>
  <si>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</si>
  <si>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</si>
  <si>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</si>
  <si>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</si>
  <si>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</si>
  <si>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</si>
  <si>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</si>
  <si>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</si>
  <si>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</si>
  <si>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</si>
  <si>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</si>
  <si>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</si>
  <si>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</si>
  <si>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</si>
  <si>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</si>
  <si>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</si>
  <si>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</si>
  <si>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</si>
  <si>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</si>
  <si>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</si>
  <si>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</si>
  <si>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</si>
  <si>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</si>
  <si>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</si>
  <si>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</si>
  <si>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</si>
  <si>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</si>
  <si>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</si>
  <si>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</si>
  <si>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</si>
  <si>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</si>
  <si>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</si>
  <si>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</si>
  <si>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</si>
  <si>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</si>
  <si>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</si>
  <si>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</si>
  <si>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</si>
  <si>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</si>
  <si>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</si>
  <si>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</si>
  <si>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</si>
  <si>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</si>
  <si>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</si>
  <si>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</si>
  <si>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</si>
  <si>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</si>
  <si>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</si>
  <si>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</si>
  <si>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</si>
  <si>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</si>
  <si>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</si>
  <si>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</si>
  <si>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</si>
  <si>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</si>
  <si>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</si>
  <si>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</si>
  <si>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</si>
  <si>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</si>
  <si>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</si>
  <si>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</si>
  <si>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</si>
  <si>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</si>
  <si>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</si>
  <si>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</si>
  <si>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</si>
  <si>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</si>
  <si>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</si>
  <si>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</si>
  <si>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</si>
  <si>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</si>
  <si>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</si>
  <si>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</si>
  <si>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</si>
  <si>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</si>
  <si>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</si>
  <si>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</si>
  <si>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</si>
  <si>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</si>
  <si>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</si>
  <si>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</si>
  <si>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</si>
  <si>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</si>
  <si>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</si>
  <si>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</si>
  <si>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</si>
  <si>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</si>
  <si>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</si>
  <si>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</si>
  <si>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</si>
  <si>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</si>
  <si>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</si>
  <si>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</si>
  <si>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</si>
  <si>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</si>
  <si>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</si>
  <si>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</si>
  <si>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</si>
  <si>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</si>
  <si>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</si>
  <si>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</si>
  <si>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</si>
  <si>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</si>
  <si>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</si>
  <si>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</si>
  <si>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</si>
  <si>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</si>
  <si>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</si>
  <si>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</si>
  <si>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</si>
  <si>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</si>
  <si>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</si>
  <si>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</si>
  <si>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</si>
  <si>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</si>
  <si>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</si>
  <si>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</si>
  <si>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</si>
  <si>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</si>
  <si>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</si>
  <si>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</si>
  <si>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</si>
  <si>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</si>
  <si>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</si>
  <si>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</si>
  <si>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</si>
  <si>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</si>
  <si>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</si>
  <si>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</si>
  <si>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</si>
  <si>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</si>
  <si>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</si>
  <si>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</si>
  <si>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</si>
  <si>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</si>
  <si>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</si>
  <si>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</si>
  <si>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</si>
  <si>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</si>
  <si>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</si>
  <si>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</si>
  <si>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</si>
  <si>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</si>
  <si>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</si>
  <si>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</si>
  <si>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</si>
  <si>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</si>
  <si>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</si>
  <si>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</si>
  <si>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</si>
  <si>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</si>
  <si>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</si>
  <si>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</si>
  <si>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</si>
  <si>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</si>
  <si>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</si>
  <si>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</si>
  <si>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</si>
  <si>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</si>
  <si>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</si>
  <si>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</si>
  <si>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</si>
  <si>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</si>
  <si>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</si>
  <si>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</si>
  <si>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</si>
  <si>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</si>
  <si>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</si>
  <si>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</si>
  <si>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</si>
  <si>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</si>
  <si>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</si>
  <si>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</si>
  <si>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</si>
  <si>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</si>
  <si>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</si>
  <si>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</si>
  <si>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</si>
  <si>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</si>
  <si>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</si>
  <si>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</si>
  <si>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</si>
  <si>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</si>
  <si>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</si>
  <si>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</si>
  <si>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</si>
  <si>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</si>
  <si>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</si>
  <si>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</si>
  <si>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</si>
  <si>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</si>
  <si>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</si>
  <si>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</si>
  <si>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</si>
  <si>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</si>
  <si>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</si>
  <si>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</si>
  <si>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</si>
  <si>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</si>
  <si>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</si>
  <si>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</si>
  <si>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</si>
  <si>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</si>
  <si>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</si>
  <si>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</si>
  <si>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</si>
  <si>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</si>
  <si>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</si>
  <si>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</si>
  <si>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</si>
  <si>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</si>
  <si>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</si>
  <si>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</si>
  <si>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</si>
  <si>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</si>
  <si>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</si>
  <si>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</si>
  <si>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</si>
  <si>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</si>
  <si>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</si>
  <si>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</si>
  <si>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</si>
  <si>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</si>
  <si>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</si>
  <si>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</si>
  <si>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</si>
  <si>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</si>
  <si>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</si>
  <si>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</si>
  <si>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</si>
  <si>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</si>
  <si>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</si>
  <si>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</si>
  <si>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</si>
  <si>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</si>
  <si>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</si>
  <si>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</si>
  <si>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</si>
  <si>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</si>
  <si>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</si>
  <si>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</si>
  <si>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</si>
  <si>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</si>
  <si>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</si>
  <si>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</si>
  <si>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</si>
  <si>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</si>
  <si>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</si>
  <si>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</si>
  <si>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</si>
  <si>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</si>
  <si>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</si>
  <si>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</si>
  <si>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</si>
  <si>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</si>
  <si>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</si>
  <si>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</si>
  <si>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</si>
  <si>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</si>
  <si>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</si>
  <si>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</si>
  <si>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</si>
  <si>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</si>
  <si>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</si>
  <si>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</si>
  <si>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</si>
  <si>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</si>
  <si>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</si>
  <si>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</si>
  <si>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</si>
  <si>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</si>
  <si>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</si>
  <si>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</si>
  <si>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</si>
  <si>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</si>
  <si>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</si>
  <si>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</si>
  <si>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</si>
  <si>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</si>
  <si>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</si>
  <si>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</si>
  <si>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</si>
  <si>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</si>
  <si>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</si>
  <si>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</si>
  <si>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</si>
  <si>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</si>
  <si>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</si>
  <si>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</si>
  <si>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</si>
  <si>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</si>
  <si>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</si>
  <si>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</si>
  <si>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</si>
  <si>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</si>
  <si>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</si>
  <si>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</si>
  <si>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</si>
  <si>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</si>
  <si>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</si>
  <si>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</si>
  <si>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</si>
  <si>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</si>
  <si>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</si>
  <si>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</si>
  <si>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</si>
  <si>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</si>
  <si>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</si>
  <si>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</si>
  <si>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</si>
  <si>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</si>
  <si>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</si>
  <si>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</si>
  <si>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</si>
  <si>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</si>
  <si>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</si>
  <si>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Gang shift to Chatri Narela line on PGCIL request</t>
  </si>
  <si>
    <t>ALORIVA GLOBAL</t>
  </si>
  <si>
    <t>DD2+30</t>
  </si>
  <si>
    <t>Gourishankar/MITHILESH</t>
  </si>
  <si>
    <t>ROW</t>
  </si>
  <si>
    <t>Paying out WIP</t>
  </si>
  <si>
    <t>30/0-31/0</t>
  </si>
  <si>
    <t>DRUM-14</t>
  </si>
  <si>
    <t>Punam kumari-3</t>
  </si>
  <si>
    <t>DRUM-7</t>
  </si>
  <si>
    <t>12/0-14/0</t>
  </si>
  <si>
    <t xml:space="preserve">Row from last 5 days </t>
  </si>
  <si>
    <t>AP16/0</t>
  </si>
  <si>
    <t>AP18/0-AP19/0</t>
  </si>
  <si>
    <t>Express way</t>
  </si>
  <si>
    <t>ROW from 17.11.2025</t>
  </si>
  <si>
    <t>AP15/0-AP16/0</t>
  </si>
  <si>
    <t>Gang return on 26.11.2025</t>
  </si>
  <si>
    <t>Stringing (OPGW)</t>
  </si>
  <si>
    <t>AP11/0</t>
  </si>
  <si>
    <t>Mr Ashok Kumar</t>
  </si>
  <si>
    <t>20/0-21/0</t>
  </si>
  <si>
    <t>DRUM-11</t>
  </si>
  <si>
    <t>AP10/0-AP11/0</t>
  </si>
  <si>
    <t>Time Extension(3 month) Submitted upto 6th Feb 2026</t>
  </si>
  <si>
    <t>Sahdev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</si>
</sst>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802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5" xfId="2" applyFont="1" applyFill="1" applyBorder="1" applyAlignment="1">
      <alignment horizontal="center" vertical="center"/>
    </xf>
    <xf numFmtId="0" fontId="88" fillId="0" borderId="51" xfId="0" applyFont="1" applyBorder="1" applyAlignment="1">
      <alignment horizontal="center" vertical="center"/>
    </xf>
    <xf numFmtId="0" fontId="88" fillId="5" borderId="53" xfId="0" applyFont="1" applyFill="1" applyBorder="1" applyAlignment="1">
      <alignment horizontal="center" vertical="center"/>
    </xf>
    <xf numFmtId="0" fontId="88" fillId="0" borderId="56" xfId="0" applyFont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0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5" xfId="0" applyFont="1" applyBorder="1" applyAlignment="1">
      <alignment horizontal="center" vertical="center" wrapText="1"/>
    </xf>
    <xf numFmtId="0" fontId="92" fillId="61" borderId="65" xfId="0" applyFont="1" applyFill="1" applyBorder="1" applyAlignment="1">
      <alignment horizontal="center" vertical="center" wrapText="1"/>
    </xf>
    <xf numFmtId="0" fontId="100" fillId="0" borderId="65" xfId="0" applyFont="1" applyBorder="1" applyAlignment="1">
      <alignment horizontal="center" vertical="center" wrapText="1"/>
    </xf>
    <xf numFmtId="0" fontId="101" fillId="61" borderId="65" xfId="0" applyFont="1" applyFill="1" applyBorder="1" applyAlignment="1">
      <alignment horizontal="center" vertical="center" wrapText="1"/>
    </xf>
    <xf numFmtId="14" fontId="101" fillId="0" borderId="65" xfId="0" applyNumberFormat="1" applyFont="1" applyBorder="1" applyAlignment="1">
      <alignment horizontal="center" vertical="center" wrapText="1"/>
    </xf>
    <xf numFmtId="0" fontId="102" fillId="0" borderId="65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7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4" xfId="0" applyFont="1" applyBorder="1" applyAlignment="1">
      <alignment horizontal="center" vertical="center" wrapText="1"/>
    </xf>
    <xf numFmtId="0" fontId="122" fillId="0" borderId="74" xfId="0" applyFont="1" applyBorder="1" applyAlignment="1">
      <alignment horizontal="center" vertical="center" wrapText="1"/>
    </xf>
    <xf numFmtId="0" fontId="123" fillId="0" borderId="74" xfId="0" applyFont="1" applyBorder="1" applyAlignment="1">
      <alignment horizontal="center" vertical="center" wrapText="1"/>
    </xf>
    <xf numFmtId="0" fontId="124" fillId="0" borderId="74" xfId="0" applyFont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0" fontId="92" fillId="61" borderId="7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0" xfId="0" applyNumberFormat="1" applyFont="1" applyBorder="1" applyAlignment="1">
      <alignment horizontal="center" vertical="center"/>
    </xf>
    <xf numFmtId="0" fontId="126" fillId="0" borderId="65" xfId="0" applyFont="1" applyBorder="1" applyAlignment="1">
      <alignment horizontal="center" vertical="center" wrapText="1"/>
    </xf>
    <xf numFmtId="1" fontId="126" fillId="0" borderId="65" xfId="0" applyNumberFormat="1" applyFont="1" applyBorder="1" applyAlignment="1">
      <alignment horizontal="center" vertical="center" wrapText="1"/>
    </xf>
    <xf numFmtId="0" fontId="126" fillId="63" borderId="65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5" xfId="0" applyFont="1" applyBorder="1" applyAlignment="1">
      <alignment horizontal="center" vertical="center" wrapText="1"/>
    </xf>
    <xf numFmtId="0" fontId="101" fillId="0" borderId="65" xfId="0" applyFont="1" applyBorder="1" applyAlignment="1">
      <alignment horizontal="center" vertical="center" wrapText="1"/>
    </xf>
    <xf numFmtId="2" fontId="101" fillId="0" borderId="65" xfId="0" applyNumberFormat="1" applyFont="1" applyBorder="1" applyAlignment="1">
      <alignment horizontal="center" vertical="center" wrapText="1"/>
    </xf>
    <xf numFmtId="2" fontId="101" fillId="3" borderId="65" xfId="0" applyNumberFormat="1" applyFont="1" applyFill="1" applyBorder="1" applyAlignment="1">
      <alignment horizontal="center" vertical="center" wrapText="1"/>
    </xf>
    <xf numFmtId="2" fontId="101" fillId="62" borderId="65" xfId="0" applyNumberFormat="1" applyFont="1" applyFill="1" applyBorder="1" applyAlignment="1">
      <alignment horizontal="center" vertical="center" wrapText="1"/>
    </xf>
    <xf numFmtId="0" fontId="112" fillId="0" borderId="65" xfId="0" applyFont="1" applyBorder="1" applyAlignment="1">
      <alignment horizontal="center" vertical="center" wrapText="1"/>
    </xf>
    <xf numFmtId="2" fontId="112" fillId="3" borderId="65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5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5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6" xfId="0" applyFont="1" applyBorder="1" applyAlignment="1">
      <alignment horizontal="center" vertical="center" wrapText="1"/>
    </xf>
    <xf numFmtId="2" fontId="101" fillId="0" borderId="76" xfId="0" applyNumberFormat="1" applyFont="1" applyBorder="1" applyAlignment="1">
      <alignment horizontal="center" vertical="center" wrapText="1"/>
    </xf>
    <xf numFmtId="2" fontId="101" fillId="3" borderId="76" xfId="0" applyNumberFormat="1" applyFont="1" applyFill="1" applyBorder="1" applyAlignment="1">
      <alignment horizontal="center" vertical="center" wrapText="1"/>
    </xf>
    <xf numFmtId="2" fontId="101" fillId="62" borderId="76" xfId="0" applyNumberFormat="1" applyFont="1" applyFill="1" applyBorder="1" applyAlignment="1">
      <alignment horizontal="center" vertical="center" wrapText="1"/>
    </xf>
    <xf numFmtId="0" fontId="92" fillId="61" borderId="82" xfId="0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86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5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7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5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0" xfId="0" applyFont="1" applyFill="1" applyBorder="1" applyAlignment="1">
      <alignment horizontal="center" vertical="center" wrapText="1"/>
    </xf>
    <xf numFmtId="0" fontId="151" fillId="66" borderId="91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0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8" xfId="0" applyFont="1" applyFill="1" applyBorder="1" applyAlignment="1">
      <alignment horizontal="center" vertical="center" wrapText="1"/>
    </xf>
    <xf numFmtId="0" fontId="151" fillId="66" borderId="89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3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3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3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3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3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3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0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1" xfId="0" applyNumberFormat="1" applyFont="1" applyBorder="1" applyAlignment="1">
      <alignment horizontal="center" vertical="center" wrapText="1" shrinkToFit="1"/>
    </xf>
    <xf numFmtId="14" fontId="13" fillId="0" borderId="51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0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5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5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6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0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0" xfId="0" applyFont="1" applyFill="1" applyBorder="1" applyAlignment="1">
      <alignment vertical="center"/>
    </xf>
    <xf numFmtId="0" fontId="87" fillId="82" borderId="52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0" xfId="0" applyFont="1" applyFill="1" applyBorder="1" applyAlignment="1">
      <alignment horizontal="center" vertical="center"/>
    </xf>
    <xf numFmtId="0" fontId="80" fillId="2" borderId="51" xfId="0" applyFont="1" applyFill="1" applyBorder="1" applyAlignment="1">
      <alignment horizontal="center" vertical="center"/>
    </xf>
    <xf numFmtId="0" fontId="80" fillId="2" borderId="51" xfId="0" applyFont="1" applyFill="1" applyBorder="1" applyAlignment="1">
      <alignment horizontal="center" vertical="center" wrapText="1"/>
    </xf>
    <xf numFmtId="0" fontId="80" fillId="2" borderId="51" xfId="1979" applyFont="1" applyFill="1" applyBorder="1" applyAlignment="1">
      <alignment horizontal="center" vertical="center" wrapText="1"/>
    </xf>
    <xf numFmtId="0" fontId="80" fillId="2" borderId="52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5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2" fontId="87" fillId="0" borderId="1" xfId="0" applyNumberFormat="1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/>
    </xf>
    <xf numFmtId="0" fontId="111" fillId="3" borderId="42" xfId="0" applyFont="1" applyFill="1" applyBorder="1" applyAlignment="1">
      <alignment horizontal="center" vertical="center" wrapText="1"/>
    </xf>
    <xf numFmtId="0" fontId="111" fillId="3" borderId="31" xfId="0" applyFont="1" applyFill="1" applyBorder="1" applyAlignment="1">
      <alignment horizontal="center" vertical="center" wrapText="1"/>
    </xf>
    <xf numFmtId="0" fontId="111" fillId="3" borderId="45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152" fillId="0" borderId="1" xfId="0" applyFont="1" applyBorder="1"/>
    <xf numFmtId="0" fontId="0" fillId="56" borderId="40" xfId="0" applyFill="1" applyBorder="1" applyAlignment="1">
      <alignment horizontal="center"/>
    </xf>
    <xf numFmtId="2" fontId="128" fillId="0" borderId="40" xfId="1586" applyNumberFormat="1" applyFont="1" applyBorder="1" applyAlignment="1">
      <alignment horizontal="center" vertical="center" wrapText="1"/>
    </xf>
    <xf numFmtId="0" fontId="0" fillId="0" borderId="40" xfId="0" applyBorder="1"/>
    <xf numFmtId="14" fontId="154" fillId="0" borderId="40" xfId="1586" applyNumberFormat="1" applyFont="1" applyBorder="1" applyAlignment="1">
      <alignment horizontal="center" vertical="center" wrapText="1"/>
    </xf>
    <xf numFmtId="2" fontId="0" fillId="0" borderId="40" xfId="0" applyNumberFormat="1" applyBorder="1" applyAlignment="1">
      <alignment horizontal="center" vertical="center"/>
    </xf>
    <xf numFmtId="203" fontId="105" fillId="0" borderId="40" xfId="1586" applyNumberFormat="1" applyFont="1" applyBorder="1" applyAlignment="1">
      <alignment horizontal="center" vertical="center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0" fontId="99" fillId="61" borderId="68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146" fillId="0" borderId="0" xfId="0" applyFont="1" applyAlignment="1">
      <alignment horizontal="left" vertical="center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150" fillId="66" borderId="42" xfId="0" applyFont="1" applyFill="1" applyBorder="1" applyAlignment="1">
      <alignment horizontal="center" vertical="center"/>
    </xf>
    <xf numFmtId="0" fontId="150" fillId="66" borderId="72" xfId="0" applyFont="1" applyFill="1" applyBorder="1" applyAlignment="1">
      <alignment horizontal="center" vertical="center"/>
    </xf>
    <xf numFmtId="0" fontId="93" fillId="0" borderId="75" xfId="0" applyFont="1" applyBorder="1" applyAlignment="1">
      <alignment horizontal="left" vertical="center" wrapText="1"/>
    </xf>
    <xf numFmtId="0" fontId="93" fillId="0" borderId="81" xfId="0" applyFont="1" applyBorder="1" applyAlignment="1">
      <alignment horizontal="left" vertical="center" wrapText="1"/>
    </xf>
    <xf numFmtId="0" fontId="93" fillId="0" borderId="68" xfId="0" applyFont="1" applyBorder="1" applyAlignment="1">
      <alignment horizontal="left" vertical="center" wrapText="1"/>
    </xf>
    <xf numFmtId="0" fontId="93" fillId="0" borderId="70" xfId="0" applyFont="1" applyBorder="1" applyAlignment="1">
      <alignment horizontal="left" vertical="center" wrapText="1"/>
    </xf>
    <xf numFmtId="0" fontId="95" fillId="0" borderId="78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93" fillId="0" borderId="66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93" fillId="0" borderId="76" xfId="0" applyFont="1" applyBorder="1" applyAlignment="1">
      <alignment vertical="center" wrapText="1"/>
    </xf>
    <xf numFmtId="0" fontId="100" fillId="0" borderId="68" xfId="0" quotePrefix="1" applyFont="1" applyBorder="1" applyAlignment="1">
      <alignment horizontal="left"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1" fillId="0" borderId="68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8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2" xfId="0" applyFont="1" applyFill="1" applyBorder="1" applyAlignment="1">
      <alignment horizontal="center" vertical="center" wrapText="1"/>
    </xf>
    <xf numFmtId="0" fontId="92" fillId="61" borderId="71" xfId="0" applyFont="1" applyFill="1" applyBorder="1" applyAlignment="1">
      <alignment horizontal="center" vertical="center" wrapText="1"/>
    </xf>
    <xf numFmtId="0" fontId="151" fillId="66" borderId="102" xfId="0" applyFont="1" applyFill="1" applyBorder="1" applyAlignment="1">
      <alignment horizontal="center" vertical="center" wrapText="1"/>
    </xf>
    <xf numFmtId="0" fontId="151" fillId="66" borderId="72" xfId="0" applyFont="1" applyFill="1" applyBorder="1" applyAlignment="1">
      <alignment horizontal="center" vertical="center" wrapText="1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2" xfId="0" quotePrefix="1" applyFont="1" applyFill="1" applyBorder="1" applyAlignment="1">
      <alignment horizontal="center" vertical="center"/>
    </xf>
    <xf numFmtId="0" fontId="111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61" borderId="61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2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28" fillId="0" borderId="5" xfId="0" applyFont="1" applyBorder="1" applyAlignment="1">
      <alignment horizontal="center" vertical="center" wrapText="1"/>
    </xf>
    <xf numFmtId="0" fontId="128" fillId="0" borderId="46" xfId="0" applyFont="1" applyBorder="1" applyAlignment="1">
      <alignment horizontal="center" vertical="center" wrapText="1"/>
    </xf>
    <xf numFmtId="0" fontId="128" fillId="0" borderId="95" xfId="0" applyFont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168" fontId="0" fillId="0" borderId="93" xfId="0" applyNumberFormat="1" applyBorder="1" applyAlignment="1">
      <alignment horizontal="center"/>
    </xf>
    <xf numFmtId="168" fontId="0" fillId="0" borderId="96" xfId="0" applyNumberFormat="1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0" fontId="111" fillId="3" borderId="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79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89" fillId="61" borderId="58" xfId="0" applyFont="1" applyFill="1" applyBorder="1" applyAlignment="1">
      <alignment horizontal="center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1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7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7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4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4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59" fillId="0" borderId="43" xfId="1" applyFont="1" applyBorder="1" applyAlignment="1">
      <alignment horizontal="center" vertical="center" wrapText="1"/>
    </xf>
    <xf numFmtId="0" fontId="159" fillId="0" borderId="40" xfId="1" applyFont="1" applyBorder="1" applyAlignment="1">
      <alignment horizontal="center" vertical="center" wrapText="1"/>
    </xf>
    <xf numFmtId="0" fontId="159" fillId="0" borderId="41" xfId="1" applyFont="1" applyBorder="1" applyAlignment="1">
      <alignment horizontal="center" vertical="center" wrapText="1"/>
    </xf>
    <xf numFmtId="1" fontId="0" fillId="0" borderId="95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69" borderId="43" xfId="0" applyNumberFormat="1" applyFill="1" applyBorder="1" applyAlignment="1">
      <alignment horizontal="center"/>
    </xf>
    <xf numFmtId="1" fontId="0" fillId="69" borderId="40" xfId="0" applyNumberFormat="1" applyFill="1" applyBorder="1" applyAlignment="1">
      <alignment horizontal="center"/>
    </xf>
    <xf numFmtId="1" fontId="0" fillId="69" borderId="41" xfId="0" applyNumberFormat="1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0" xfId="0" applyFill="1" applyBorder="1" applyAlignment="1">
      <alignment horizontal="center"/>
    </xf>
    <xf numFmtId="0" fontId="0" fillId="56" borderId="41" xfId="0" applyFill="1" applyBorder="1" applyAlignment="1">
      <alignment horizontal="center"/>
    </xf>
    <xf numFmtId="1" fontId="0" fillId="0" borderId="103" xfId="0" applyNumberFormat="1" applyBorder="1" applyAlignment="1">
      <alignment horizontal="center"/>
    </xf>
    <xf numFmtId="1" fontId="0" fillId="0" borderId="73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0" fillId="77" borderId="1" xfId="0" applyFill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1" fontId="0" fillId="69" borderId="6" xfId="0" applyNumberFormat="1" applyFill="1" applyBorder="1" applyAlignment="1">
      <alignment horizontal="center"/>
    </xf>
    <xf numFmtId="1" fontId="0" fillId="69" borderId="1" xfId="0" applyNumberFormat="1" applyFill="1" applyBorder="1" applyAlignment="1">
      <alignment horizontal="center"/>
    </xf>
    <xf numFmtId="1" fontId="0" fillId="69" borderId="9" xfId="0" applyNumberFormat="1" applyFill="1" applyBorder="1" applyAlignment="1">
      <alignment horizontal="center"/>
    </xf>
    <xf numFmtId="0" fontId="159" fillId="0" borderId="50" xfId="1" applyFont="1" applyBorder="1" applyAlignment="1">
      <alignment horizontal="center" vertical="center" wrapText="1"/>
    </xf>
    <xf numFmtId="0" fontId="159" fillId="0" borderId="51" xfId="1" applyFont="1" applyBorder="1" applyAlignment="1">
      <alignment horizontal="center" vertical="center" wrapText="1"/>
    </xf>
    <xf numFmtId="0" fontId="159" fillId="0" borderId="52" xfId="1" applyFont="1" applyBorder="1" applyAlignment="1">
      <alignment horizontal="center" vertical="center" wrapText="1"/>
    </xf>
    <xf numFmtId="1" fontId="0" fillId="0" borderId="101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104" xfId="0" applyNumberFormat="1" applyBorder="1" applyAlignment="1">
      <alignment horizontal="center"/>
    </xf>
    <xf numFmtId="1" fontId="0" fillId="69" borderId="50" xfId="0" applyNumberFormat="1" applyFill="1" applyBorder="1" applyAlignment="1">
      <alignment horizontal="center"/>
    </xf>
    <xf numFmtId="1" fontId="0" fillId="69" borderId="51" xfId="0" applyNumberFormat="1" applyFill="1" applyBorder="1" applyAlignment="1">
      <alignment horizontal="center"/>
    </xf>
    <xf numFmtId="1" fontId="0" fillId="69" borderId="52" xfId="0" applyNumberFormat="1" applyFill="1" applyBorder="1" applyAlignment="1">
      <alignment horizontal="center"/>
    </xf>
    <xf numFmtId="0" fontId="0" fillId="56" borderId="101" xfId="0" applyFill="1" applyBorder="1" applyAlignment="1">
      <alignment horizontal="center"/>
    </xf>
    <xf numFmtId="0" fontId="0" fillId="56" borderId="51" xfId="0" applyFill="1" applyBorder="1" applyAlignment="1">
      <alignment horizontal="center"/>
    </xf>
    <xf numFmtId="0" fontId="0" fillId="56" borderId="52" xfId="0" applyFill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152" fillId="77" borderId="1" xfId="0" applyFont="1" applyFill="1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83" borderId="42" xfId="0" applyFill="1" applyBorder="1" applyAlignment="1">
      <alignment horizontal="center"/>
    </xf>
    <xf numFmtId="0" fontId="0" fillId="83" borderId="31" xfId="0" applyFill="1" applyBorder="1" applyAlignment="1">
      <alignment horizontal="center"/>
    </xf>
    <xf numFmtId="0" fontId="0" fillId="83" borderId="45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6" fontId="0" fillId="0" borderId="0" xfId="0" quotePrefix="1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80" fillId="5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74" borderId="1" xfId="0" applyFill="1" applyBorder="1" applyAlignment="1">
      <alignment horizontal="center"/>
    </xf>
    <xf numFmtId="0" fontId="0" fillId="74" borderId="42" xfId="0" applyFill="1" applyBorder="1" applyAlignment="1">
      <alignment horizontal="center"/>
    </xf>
    <xf numFmtId="0" fontId="0" fillId="74" borderId="31" xfId="0" applyFill="1" applyBorder="1" applyAlignment="1">
      <alignment horizontal="center"/>
    </xf>
    <xf numFmtId="0" fontId="0" fillId="74" borderId="45" xfId="0" applyFill="1" applyBorder="1" applyAlignment="1">
      <alignment horizontal="center"/>
    </xf>
    <xf numFmtId="0" fontId="0" fillId="75" borderId="1" xfId="0" applyFill="1" applyBorder="1" applyAlignment="1">
      <alignment horizontal="center"/>
    </xf>
    <xf numFmtId="0" fontId="0" fillId="75" borderId="42" xfId="0" applyFill="1" applyBorder="1" applyAlignment="1">
      <alignment horizontal="center"/>
    </xf>
    <xf numFmtId="0" fontId="0" fillId="75" borderId="31" xfId="0" applyFill="1" applyBorder="1" applyAlignment="1">
      <alignment horizontal="center"/>
    </xf>
    <xf numFmtId="0" fontId="0" fillId="75" borderId="45" xfId="0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114" fillId="0" borderId="46" xfId="0" applyFont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128" fillId="68" borderId="1" xfId="0" applyFont="1" applyFill="1" applyBorder="1" applyAlignment="1">
      <alignment horizontal="center" vertical="center" wrapText="1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9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0" fontId="9" fillId="0" borderId="99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1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7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4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49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49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2" fontId="119" fillId="0" borderId="1" xfId="0" applyNumberFormat="1" applyFont="1" applyBorder="1"/>
    <xf numFmtId="0" fontId="80" fillId="0" borderId="0" xfId="0" applyFont="1" applyAlignment="1">
      <alignment horizontal="left" vertical="top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7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979" name="0/0">
          <a:extLst>
            <a:ext uri="{FF2B5EF4-FFF2-40B4-BE49-F238E27FC236}">
              <a16:creationId xmlns:a16="http://schemas.microsoft.com/office/drawing/2014/main" id="{7FFF57DC-05B5-4F17-BF83-FED1C7BD4D8C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980" name="Freeform 10695">
          <a:extLst>
            <a:ext uri="{FF2B5EF4-FFF2-40B4-BE49-F238E27FC236}">
              <a16:creationId xmlns:a16="http://schemas.microsoft.com/office/drawing/2014/main" id="{D489B5A1-672F-4DF4-BF1E-370445D881E5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981" name="0/0">
          <a:extLst>
            <a:ext uri="{FF2B5EF4-FFF2-40B4-BE49-F238E27FC236}">
              <a16:creationId xmlns:a16="http://schemas.microsoft.com/office/drawing/2014/main" id="{8E355C77-7455-402E-A360-97DA28FFD20A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982" name="Freeform 10695">
          <a:extLst>
            <a:ext uri="{FF2B5EF4-FFF2-40B4-BE49-F238E27FC236}">
              <a16:creationId xmlns:a16="http://schemas.microsoft.com/office/drawing/2014/main" id="{D2401B83-EB39-48C9-BB38-B83A26E729AD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983" name="0/0">
          <a:extLst>
            <a:ext uri="{FF2B5EF4-FFF2-40B4-BE49-F238E27FC236}">
              <a16:creationId xmlns:a16="http://schemas.microsoft.com/office/drawing/2014/main" id="{9A77898E-7537-4FFF-8E90-C1E9A2421105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984" name="Freeform 10695">
          <a:extLst>
            <a:ext uri="{FF2B5EF4-FFF2-40B4-BE49-F238E27FC236}">
              <a16:creationId xmlns:a16="http://schemas.microsoft.com/office/drawing/2014/main" id="{0A7407EF-AF13-4FD0-B96D-8773AADA6AB7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985" name="0/0">
          <a:extLst>
            <a:ext uri="{FF2B5EF4-FFF2-40B4-BE49-F238E27FC236}">
              <a16:creationId xmlns:a16="http://schemas.microsoft.com/office/drawing/2014/main" id="{2574DE78-018C-4D00-837B-41FA8071EBEF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86" name="Freeform 10695">
          <a:extLst>
            <a:ext uri="{FF2B5EF4-FFF2-40B4-BE49-F238E27FC236}">
              <a16:creationId xmlns:a16="http://schemas.microsoft.com/office/drawing/2014/main" id="{A9A8AF4A-6A45-40B0-A6FF-FA137246BDFF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987" name="0/0">
          <a:extLst>
            <a:ext uri="{FF2B5EF4-FFF2-40B4-BE49-F238E27FC236}">
              <a16:creationId xmlns:a16="http://schemas.microsoft.com/office/drawing/2014/main" id="{D5804011-75FE-400C-8ABC-5F5FC3927263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988" name="Freeform 10695">
          <a:extLst>
            <a:ext uri="{FF2B5EF4-FFF2-40B4-BE49-F238E27FC236}">
              <a16:creationId xmlns:a16="http://schemas.microsoft.com/office/drawing/2014/main" id="{0E9C681F-8F11-4871-8522-D72598D48B94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989" name="0/0">
          <a:extLst>
            <a:ext uri="{FF2B5EF4-FFF2-40B4-BE49-F238E27FC236}">
              <a16:creationId xmlns:a16="http://schemas.microsoft.com/office/drawing/2014/main" id="{83046087-BD86-40BB-B810-71F30F689FE8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990" name="Freeform 10695">
          <a:extLst>
            <a:ext uri="{FF2B5EF4-FFF2-40B4-BE49-F238E27FC236}">
              <a16:creationId xmlns:a16="http://schemas.microsoft.com/office/drawing/2014/main" id="{2E66ACC8-5DF4-4C3B-9311-1BA2E07F9674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991" name="0/0">
          <a:extLst>
            <a:ext uri="{FF2B5EF4-FFF2-40B4-BE49-F238E27FC236}">
              <a16:creationId xmlns:a16="http://schemas.microsoft.com/office/drawing/2014/main" id="{11B0D0E3-A4B5-4213-BEC5-951B4812D95A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992" name="Freeform 10695">
          <a:extLst>
            <a:ext uri="{FF2B5EF4-FFF2-40B4-BE49-F238E27FC236}">
              <a16:creationId xmlns:a16="http://schemas.microsoft.com/office/drawing/2014/main" id="{92E22E43-FF6A-4715-8A0F-E536D499D9E3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993" name="0/0">
          <a:extLst>
            <a:ext uri="{FF2B5EF4-FFF2-40B4-BE49-F238E27FC236}">
              <a16:creationId xmlns:a16="http://schemas.microsoft.com/office/drawing/2014/main" id="{3893AE68-78FB-44DF-AB74-89C5398DE42D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994" name="Freeform 10695">
          <a:extLst>
            <a:ext uri="{FF2B5EF4-FFF2-40B4-BE49-F238E27FC236}">
              <a16:creationId xmlns:a16="http://schemas.microsoft.com/office/drawing/2014/main" id="{2D04B57A-4CDC-4009-B821-48F55383FA75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995" name="0/0">
          <a:extLst>
            <a:ext uri="{FF2B5EF4-FFF2-40B4-BE49-F238E27FC236}">
              <a16:creationId xmlns:a16="http://schemas.microsoft.com/office/drawing/2014/main" id="{4D9D586C-84FD-4728-84E7-B8CFE3DD2FAC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996" name="Freeform 10695">
          <a:extLst>
            <a:ext uri="{FF2B5EF4-FFF2-40B4-BE49-F238E27FC236}">
              <a16:creationId xmlns:a16="http://schemas.microsoft.com/office/drawing/2014/main" id="{55D7DE6B-C59E-411C-836A-365372AFEE12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997" name="0/0">
          <a:extLst>
            <a:ext uri="{FF2B5EF4-FFF2-40B4-BE49-F238E27FC236}">
              <a16:creationId xmlns:a16="http://schemas.microsoft.com/office/drawing/2014/main" id="{DE7BE5A2-D8B0-472F-A635-094DF4FA3DB1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998" name="Freeform 10695">
          <a:extLst>
            <a:ext uri="{FF2B5EF4-FFF2-40B4-BE49-F238E27FC236}">
              <a16:creationId xmlns:a16="http://schemas.microsoft.com/office/drawing/2014/main" id="{29EA3D21-E84A-4937-A5D9-DD07EB6D8F68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999" name="0/0">
          <a:extLst>
            <a:ext uri="{FF2B5EF4-FFF2-40B4-BE49-F238E27FC236}">
              <a16:creationId xmlns:a16="http://schemas.microsoft.com/office/drawing/2014/main" id="{3618AF95-B10B-4CE7-A523-84150CEBD880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1000" name="Freeform 10695">
          <a:extLst>
            <a:ext uri="{FF2B5EF4-FFF2-40B4-BE49-F238E27FC236}">
              <a16:creationId xmlns:a16="http://schemas.microsoft.com/office/drawing/2014/main" id="{5E410326-43F0-4A28-8AA2-2C7306106E59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1001" name="0/0">
          <a:extLst>
            <a:ext uri="{FF2B5EF4-FFF2-40B4-BE49-F238E27FC236}">
              <a16:creationId xmlns:a16="http://schemas.microsoft.com/office/drawing/2014/main" id="{E76A79A6-4FD7-4C74-BAF4-D26F910091CF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1002" name="Freeform 10695">
          <a:extLst>
            <a:ext uri="{FF2B5EF4-FFF2-40B4-BE49-F238E27FC236}">
              <a16:creationId xmlns:a16="http://schemas.microsoft.com/office/drawing/2014/main" id="{A0AB1329-B849-40C9-B9EF-23434036AFB4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1003" name="0/0">
          <a:extLst>
            <a:ext uri="{FF2B5EF4-FFF2-40B4-BE49-F238E27FC236}">
              <a16:creationId xmlns:a16="http://schemas.microsoft.com/office/drawing/2014/main" id="{D1D5C3A8-C43E-476E-9B7F-3AC9F957F5AD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1004" name="Freeform 10695">
          <a:extLst>
            <a:ext uri="{FF2B5EF4-FFF2-40B4-BE49-F238E27FC236}">
              <a16:creationId xmlns:a16="http://schemas.microsoft.com/office/drawing/2014/main" id="{970B2156-CA38-44E4-89E0-6E5215BE76AD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1005" name="0/0">
          <a:extLst>
            <a:ext uri="{FF2B5EF4-FFF2-40B4-BE49-F238E27FC236}">
              <a16:creationId xmlns:a16="http://schemas.microsoft.com/office/drawing/2014/main" id="{D231C3B6-84AA-46AB-86E8-21011E0D83EF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1006" name="Freeform 10695">
          <a:extLst>
            <a:ext uri="{FF2B5EF4-FFF2-40B4-BE49-F238E27FC236}">
              <a16:creationId xmlns:a16="http://schemas.microsoft.com/office/drawing/2014/main" id="{9A831707-D4F4-4EB8-9504-E04234C4325D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1007" name="0/0">
          <a:extLst>
            <a:ext uri="{FF2B5EF4-FFF2-40B4-BE49-F238E27FC236}">
              <a16:creationId xmlns:a16="http://schemas.microsoft.com/office/drawing/2014/main" id="{3E297906-5645-497F-BCE8-CC4A8A869DA9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1008" name="Freeform 10695">
          <a:extLst>
            <a:ext uri="{FF2B5EF4-FFF2-40B4-BE49-F238E27FC236}">
              <a16:creationId xmlns:a16="http://schemas.microsoft.com/office/drawing/2014/main" id="{B213EB3F-861A-41C7-94C6-D7B05C568528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1009" name="0/0">
          <a:extLst>
            <a:ext uri="{FF2B5EF4-FFF2-40B4-BE49-F238E27FC236}">
              <a16:creationId xmlns:a16="http://schemas.microsoft.com/office/drawing/2014/main" id="{39DEDBC1-FA45-4C78-903F-22C794DB91A0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1010" name="Freeform 10695">
          <a:extLst>
            <a:ext uri="{FF2B5EF4-FFF2-40B4-BE49-F238E27FC236}">
              <a16:creationId xmlns:a16="http://schemas.microsoft.com/office/drawing/2014/main" id="{E7842398-B158-4C8A-831F-2F7DDDA3E7BA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1011" name="0/0">
          <a:extLst>
            <a:ext uri="{FF2B5EF4-FFF2-40B4-BE49-F238E27FC236}">
              <a16:creationId xmlns:a16="http://schemas.microsoft.com/office/drawing/2014/main" id="{1D62B04B-9970-4401-99BD-86A89C953500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1012" name="Freeform 10695">
          <a:extLst>
            <a:ext uri="{FF2B5EF4-FFF2-40B4-BE49-F238E27FC236}">
              <a16:creationId xmlns:a16="http://schemas.microsoft.com/office/drawing/2014/main" id="{765C6B47-6277-4453-860F-833E92B9F229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1013" name="0/0">
          <a:extLst>
            <a:ext uri="{FF2B5EF4-FFF2-40B4-BE49-F238E27FC236}">
              <a16:creationId xmlns:a16="http://schemas.microsoft.com/office/drawing/2014/main" id="{B8F445E4-60F7-430E-A58B-C83E2E6730EA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1014" name="Freeform 10695">
          <a:extLst>
            <a:ext uri="{FF2B5EF4-FFF2-40B4-BE49-F238E27FC236}">
              <a16:creationId xmlns:a16="http://schemas.microsoft.com/office/drawing/2014/main" id="{F7B4F18A-7454-42CA-A520-22E090A52AD6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1015" name="0/0">
          <a:extLst>
            <a:ext uri="{FF2B5EF4-FFF2-40B4-BE49-F238E27FC236}">
              <a16:creationId xmlns:a16="http://schemas.microsoft.com/office/drawing/2014/main" id="{69847202-1584-435C-9BE4-5EE11D26541C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1016" name="Freeform 10695">
          <a:extLst>
            <a:ext uri="{FF2B5EF4-FFF2-40B4-BE49-F238E27FC236}">
              <a16:creationId xmlns:a16="http://schemas.microsoft.com/office/drawing/2014/main" id="{14F04F9E-D3BA-4362-88C4-2D8EE4C35DC2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1017" name="0/0">
          <a:extLst>
            <a:ext uri="{FF2B5EF4-FFF2-40B4-BE49-F238E27FC236}">
              <a16:creationId xmlns:a16="http://schemas.microsoft.com/office/drawing/2014/main" id="{E5AEE166-5B1C-4FE2-BC5D-C908F00882F0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1018" name="Freeform 10695">
          <a:extLst>
            <a:ext uri="{FF2B5EF4-FFF2-40B4-BE49-F238E27FC236}">
              <a16:creationId xmlns:a16="http://schemas.microsoft.com/office/drawing/2014/main" id="{A2BE15F6-A075-4D70-8AD5-FEBE8DE2B905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1019" name="0/0">
          <a:extLst>
            <a:ext uri="{FF2B5EF4-FFF2-40B4-BE49-F238E27FC236}">
              <a16:creationId xmlns:a16="http://schemas.microsoft.com/office/drawing/2014/main" id="{067DD8A3-5F7D-407C-B02C-F017085C6E02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1020" name="Freeform 10695">
          <a:extLst>
            <a:ext uri="{FF2B5EF4-FFF2-40B4-BE49-F238E27FC236}">
              <a16:creationId xmlns:a16="http://schemas.microsoft.com/office/drawing/2014/main" id="{FAFF9C99-9CCF-4844-9149-C76759AB279F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1021" name="0/0">
          <a:extLst>
            <a:ext uri="{FF2B5EF4-FFF2-40B4-BE49-F238E27FC236}">
              <a16:creationId xmlns:a16="http://schemas.microsoft.com/office/drawing/2014/main" id="{43CAFA5F-B169-49EC-B62B-C50510D12A7F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1022" name="Freeform 10695">
          <a:extLst>
            <a:ext uri="{FF2B5EF4-FFF2-40B4-BE49-F238E27FC236}">
              <a16:creationId xmlns:a16="http://schemas.microsoft.com/office/drawing/2014/main" id="{2A8970BD-659B-4469-A0E3-2337CC7F2963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1023" name="0/0">
          <a:extLst>
            <a:ext uri="{FF2B5EF4-FFF2-40B4-BE49-F238E27FC236}">
              <a16:creationId xmlns:a16="http://schemas.microsoft.com/office/drawing/2014/main" id="{B7C327A2-D8E9-42D6-98F6-1D692784D088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1024" name="Freeform 10695">
          <a:extLst>
            <a:ext uri="{FF2B5EF4-FFF2-40B4-BE49-F238E27FC236}">
              <a16:creationId xmlns:a16="http://schemas.microsoft.com/office/drawing/2014/main" id="{012C0CD3-1F2A-42E5-986F-9002A7B8AC9F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1025" name="0/0">
          <a:extLst>
            <a:ext uri="{FF2B5EF4-FFF2-40B4-BE49-F238E27FC236}">
              <a16:creationId xmlns:a16="http://schemas.microsoft.com/office/drawing/2014/main" id="{86C0F484-7FA1-4B69-928C-57C7030B48C6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1026" name="Freeform 10695">
          <a:extLst>
            <a:ext uri="{FF2B5EF4-FFF2-40B4-BE49-F238E27FC236}">
              <a16:creationId xmlns:a16="http://schemas.microsoft.com/office/drawing/2014/main" id="{9606EC58-BCED-4447-A257-EFA652081F7C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1027" name="0/0">
          <a:extLst>
            <a:ext uri="{FF2B5EF4-FFF2-40B4-BE49-F238E27FC236}">
              <a16:creationId xmlns:a16="http://schemas.microsoft.com/office/drawing/2014/main" id="{887354ED-A29C-48D4-9B61-14F6DFF4DF43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1028" name="Freeform 10695">
          <a:extLst>
            <a:ext uri="{FF2B5EF4-FFF2-40B4-BE49-F238E27FC236}">
              <a16:creationId xmlns:a16="http://schemas.microsoft.com/office/drawing/2014/main" id="{FF79D699-25B3-4E3C-A927-715345430E61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1029" name="0/0">
          <a:extLst>
            <a:ext uri="{FF2B5EF4-FFF2-40B4-BE49-F238E27FC236}">
              <a16:creationId xmlns:a16="http://schemas.microsoft.com/office/drawing/2014/main" id="{C22BF8A2-C029-4078-B1B8-2FDBA8ED5243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1030" name="Freeform 10695">
          <a:extLst>
            <a:ext uri="{FF2B5EF4-FFF2-40B4-BE49-F238E27FC236}">
              <a16:creationId xmlns:a16="http://schemas.microsoft.com/office/drawing/2014/main" id="{D9A0AA3B-3DD7-4BD5-9ED0-0D1FA4F642D7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1031" name="0/0">
          <a:extLst>
            <a:ext uri="{FF2B5EF4-FFF2-40B4-BE49-F238E27FC236}">
              <a16:creationId xmlns:a16="http://schemas.microsoft.com/office/drawing/2014/main" id="{1C56B0E9-D4C8-44CA-84F8-04F3D33F0BC3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1032" name="Freeform 10695">
          <a:extLst>
            <a:ext uri="{FF2B5EF4-FFF2-40B4-BE49-F238E27FC236}">
              <a16:creationId xmlns:a16="http://schemas.microsoft.com/office/drawing/2014/main" id="{F5393404-927E-4FF4-BB59-C038576579BA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1033" name="0/0">
          <a:extLst>
            <a:ext uri="{FF2B5EF4-FFF2-40B4-BE49-F238E27FC236}">
              <a16:creationId xmlns:a16="http://schemas.microsoft.com/office/drawing/2014/main" id="{57D11220-122E-4F0F-980C-B3DEF9DFDD23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1034" name="Freeform 10695">
          <a:extLst>
            <a:ext uri="{FF2B5EF4-FFF2-40B4-BE49-F238E27FC236}">
              <a16:creationId xmlns:a16="http://schemas.microsoft.com/office/drawing/2014/main" id="{96D54EEE-445F-4169-B5B5-32397E4706CF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1035" name="0/0">
          <a:extLst>
            <a:ext uri="{FF2B5EF4-FFF2-40B4-BE49-F238E27FC236}">
              <a16:creationId xmlns:a16="http://schemas.microsoft.com/office/drawing/2014/main" id="{7AFEE823-C263-4A86-BE83-0AC8A98E61F6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1036" name="Freeform 10695">
          <a:extLst>
            <a:ext uri="{FF2B5EF4-FFF2-40B4-BE49-F238E27FC236}">
              <a16:creationId xmlns:a16="http://schemas.microsoft.com/office/drawing/2014/main" id="{90A69D51-E96B-432B-9993-38152D3D4B91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1037" name="0/0">
          <a:extLst>
            <a:ext uri="{FF2B5EF4-FFF2-40B4-BE49-F238E27FC236}">
              <a16:creationId xmlns:a16="http://schemas.microsoft.com/office/drawing/2014/main" id="{096803A4-8CAA-477D-BB3C-721D00184434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1038" name="Freeform 10695">
          <a:extLst>
            <a:ext uri="{FF2B5EF4-FFF2-40B4-BE49-F238E27FC236}">
              <a16:creationId xmlns:a16="http://schemas.microsoft.com/office/drawing/2014/main" id="{168C1265-4E76-48A0-A0C9-8F328F9D5007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1039" name="0/0">
          <a:extLst>
            <a:ext uri="{FF2B5EF4-FFF2-40B4-BE49-F238E27FC236}">
              <a16:creationId xmlns:a16="http://schemas.microsoft.com/office/drawing/2014/main" id="{0553309D-AB00-4E47-B119-D3E3D4A3AA0B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1040" name="Freeform 10695">
          <a:extLst>
            <a:ext uri="{FF2B5EF4-FFF2-40B4-BE49-F238E27FC236}">
              <a16:creationId xmlns:a16="http://schemas.microsoft.com/office/drawing/2014/main" id="{95E5BC04-B154-4B36-8BCF-F3FC5A4218C6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1041" name="0/0">
          <a:extLst>
            <a:ext uri="{FF2B5EF4-FFF2-40B4-BE49-F238E27FC236}">
              <a16:creationId xmlns:a16="http://schemas.microsoft.com/office/drawing/2014/main" id="{D732B990-3CF6-4413-A921-02EAC4C3C7C1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1042" name="Freeform 10695">
          <a:extLst>
            <a:ext uri="{FF2B5EF4-FFF2-40B4-BE49-F238E27FC236}">
              <a16:creationId xmlns:a16="http://schemas.microsoft.com/office/drawing/2014/main" id="{139CA3B4-454D-4A0B-BF0A-3A809B75E386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1043" name="0/0">
          <a:extLst>
            <a:ext uri="{FF2B5EF4-FFF2-40B4-BE49-F238E27FC236}">
              <a16:creationId xmlns:a16="http://schemas.microsoft.com/office/drawing/2014/main" id="{86B3F280-08E4-432C-9648-E02E1E8FF582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1044" name="Freeform 10695">
          <a:extLst>
            <a:ext uri="{FF2B5EF4-FFF2-40B4-BE49-F238E27FC236}">
              <a16:creationId xmlns:a16="http://schemas.microsoft.com/office/drawing/2014/main" id="{8204CCD0-64A6-43E6-9FB2-1349604E4329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1045" name="0/0">
          <a:extLst>
            <a:ext uri="{FF2B5EF4-FFF2-40B4-BE49-F238E27FC236}">
              <a16:creationId xmlns:a16="http://schemas.microsoft.com/office/drawing/2014/main" id="{9D32C26D-CCF6-4295-A9C7-C3FE9A83BCCA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1046" name="Freeform 10695">
          <a:extLst>
            <a:ext uri="{FF2B5EF4-FFF2-40B4-BE49-F238E27FC236}">
              <a16:creationId xmlns:a16="http://schemas.microsoft.com/office/drawing/2014/main" id="{42F5CF15-FC7E-482F-8C74-11C1AFB62705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1047" name="0/0">
          <a:extLst>
            <a:ext uri="{FF2B5EF4-FFF2-40B4-BE49-F238E27FC236}">
              <a16:creationId xmlns:a16="http://schemas.microsoft.com/office/drawing/2014/main" id="{E73201DD-F320-4BA2-AAE2-4FDED6E0C2AE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1048" name="Freeform 10695">
          <a:extLst>
            <a:ext uri="{FF2B5EF4-FFF2-40B4-BE49-F238E27FC236}">
              <a16:creationId xmlns:a16="http://schemas.microsoft.com/office/drawing/2014/main" id="{34FCD3EE-38CA-4229-99B3-A866DAF1422A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1049" name="0/0">
          <a:extLst>
            <a:ext uri="{FF2B5EF4-FFF2-40B4-BE49-F238E27FC236}">
              <a16:creationId xmlns:a16="http://schemas.microsoft.com/office/drawing/2014/main" id="{D423F595-1587-4E14-A756-99254BE137A5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1050" name="Freeform 10695">
          <a:extLst>
            <a:ext uri="{FF2B5EF4-FFF2-40B4-BE49-F238E27FC236}">
              <a16:creationId xmlns:a16="http://schemas.microsoft.com/office/drawing/2014/main" id="{23765312-E36D-4952-AB8C-638039DC1D11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1051" name="0/0">
          <a:extLst>
            <a:ext uri="{FF2B5EF4-FFF2-40B4-BE49-F238E27FC236}">
              <a16:creationId xmlns:a16="http://schemas.microsoft.com/office/drawing/2014/main" id="{5A7D690C-CF4F-4645-AB2B-760B4726FBDF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1052" name="Freeform 10695">
          <a:extLst>
            <a:ext uri="{FF2B5EF4-FFF2-40B4-BE49-F238E27FC236}">
              <a16:creationId xmlns:a16="http://schemas.microsoft.com/office/drawing/2014/main" id="{A16F218F-107B-4F93-B3D3-B4E8B3A17A79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1053" name="0/0">
          <a:extLst>
            <a:ext uri="{FF2B5EF4-FFF2-40B4-BE49-F238E27FC236}">
              <a16:creationId xmlns:a16="http://schemas.microsoft.com/office/drawing/2014/main" id="{E46C3D29-025F-423E-A623-9D08EF3F7808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1054" name="Freeform 10695">
          <a:extLst>
            <a:ext uri="{FF2B5EF4-FFF2-40B4-BE49-F238E27FC236}">
              <a16:creationId xmlns:a16="http://schemas.microsoft.com/office/drawing/2014/main" id="{18476D59-1898-45EE-AAB2-1A75F3EA473F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1055" name="0/0">
          <a:extLst>
            <a:ext uri="{FF2B5EF4-FFF2-40B4-BE49-F238E27FC236}">
              <a16:creationId xmlns:a16="http://schemas.microsoft.com/office/drawing/2014/main" id="{483B4C51-239F-4F97-A5DD-8E0911948632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1056" name="Freeform 10695">
          <a:extLst>
            <a:ext uri="{FF2B5EF4-FFF2-40B4-BE49-F238E27FC236}">
              <a16:creationId xmlns:a16="http://schemas.microsoft.com/office/drawing/2014/main" id="{36DA191F-156D-4FFB-8F04-AA8AA8662903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1057" name="0/0">
          <a:extLst>
            <a:ext uri="{FF2B5EF4-FFF2-40B4-BE49-F238E27FC236}">
              <a16:creationId xmlns:a16="http://schemas.microsoft.com/office/drawing/2014/main" id="{E9FD1727-9F1F-405D-8B38-95A67526626B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1058" name="Freeform 10695">
          <a:extLst>
            <a:ext uri="{FF2B5EF4-FFF2-40B4-BE49-F238E27FC236}">
              <a16:creationId xmlns:a16="http://schemas.microsoft.com/office/drawing/2014/main" id="{F94B36D0-6485-49F2-9119-BB5210F3BC7A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1059" name="0/0">
          <a:extLst>
            <a:ext uri="{FF2B5EF4-FFF2-40B4-BE49-F238E27FC236}">
              <a16:creationId xmlns:a16="http://schemas.microsoft.com/office/drawing/2014/main" id="{1508AD31-3278-446C-B35A-DF070B4A262B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1060" name="Freeform 10695">
          <a:extLst>
            <a:ext uri="{FF2B5EF4-FFF2-40B4-BE49-F238E27FC236}">
              <a16:creationId xmlns:a16="http://schemas.microsoft.com/office/drawing/2014/main" id="{5A71C0E4-8DE7-4D62-99D1-3AE9A4BD8187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1061" name="0/0">
          <a:extLst>
            <a:ext uri="{FF2B5EF4-FFF2-40B4-BE49-F238E27FC236}">
              <a16:creationId xmlns:a16="http://schemas.microsoft.com/office/drawing/2014/main" id="{9BF05997-9CB9-4408-8A3D-1B7E14B695D0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1062" name="Freeform 10695">
          <a:extLst>
            <a:ext uri="{FF2B5EF4-FFF2-40B4-BE49-F238E27FC236}">
              <a16:creationId xmlns:a16="http://schemas.microsoft.com/office/drawing/2014/main" id="{A71B6727-088D-4638-8445-5D670C5437E0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1063" name="0/0">
          <a:extLst>
            <a:ext uri="{FF2B5EF4-FFF2-40B4-BE49-F238E27FC236}">
              <a16:creationId xmlns:a16="http://schemas.microsoft.com/office/drawing/2014/main" id="{0D2FFFAF-BA78-441B-90AE-6BFE1EF025C8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1064" name="Freeform 10695">
          <a:extLst>
            <a:ext uri="{FF2B5EF4-FFF2-40B4-BE49-F238E27FC236}">
              <a16:creationId xmlns:a16="http://schemas.microsoft.com/office/drawing/2014/main" id="{59CB2FDE-6661-4BDD-99F3-A412E285576B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1065" name="0/0">
          <a:extLst>
            <a:ext uri="{FF2B5EF4-FFF2-40B4-BE49-F238E27FC236}">
              <a16:creationId xmlns:a16="http://schemas.microsoft.com/office/drawing/2014/main" id="{B59A0013-DFCA-471B-838B-A70221983ECF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1066" name="Freeform 10695">
          <a:extLst>
            <a:ext uri="{FF2B5EF4-FFF2-40B4-BE49-F238E27FC236}">
              <a16:creationId xmlns:a16="http://schemas.microsoft.com/office/drawing/2014/main" id="{4395B5C2-9192-4B11-B30A-6A8ACC97553A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1067" name="0/0">
          <a:extLst>
            <a:ext uri="{FF2B5EF4-FFF2-40B4-BE49-F238E27FC236}">
              <a16:creationId xmlns:a16="http://schemas.microsoft.com/office/drawing/2014/main" id="{4CCD4537-5D55-45CC-9AD9-0D30FC5C6714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1068" name="Freeform 10695">
          <a:extLst>
            <a:ext uri="{FF2B5EF4-FFF2-40B4-BE49-F238E27FC236}">
              <a16:creationId xmlns:a16="http://schemas.microsoft.com/office/drawing/2014/main" id="{FEABADB8-1179-47D3-9C8F-F0C843D74E10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1069" name="0/0">
          <a:extLst>
            <a:ext uri="{FF2B5EF4-FFF2-40B4-BE49-F238E27FC236}">
              <a16:creationId xmlns:a16="http://schemas.microsoft.com/office/drawing/2014/main" id="{9ECC15BF-2A3D-4AE7-861D-0DB5E5104FD7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1070" name="Freeform 10695">
          <a:extLst>
            <a:ext uri="{FF2B5EF4-FFF2-40B4-BE49-F238E27FC236}">
              <a16:creationId xmlns:a16="http://schemas.microsoft.com/office/drawing/2014/main" id="{6219320A-7B81-44B6-BF95-1237A2CB6A26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1071" name="0/0">
          <a:extLst>
            <a:ext uri="{FF2B5EF4-FFF2-40B4-BE49-F238E27FC236}">
              <a16:creationId xmlns:a16="http://schemas.microsoft.com/office/drawing/2014/main" id="{0FDFC31F-3404-4016-9273-7B978FB2BC9F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1072" name="Freeform 10695">
          <a:extLst>
            <a:ext uri="{FF2B5EF4-FFF2-40B4-BE49-F238E27FC236}">
              <a16:creationId xmlns:a16="http://schemas.microsoft.com/office/drawing/2014/main" id="{3D4AF2B0-5A52-4585-A6E0-022D0F89F782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1073" name="0/0">
          <a:extLst>
            <a:ext uri="{FF2B5EF4-FFF2-40B4-BE49-F238E27FC236}">
              <a16:creationId xmlns:a16="http://schemas.microsoft.com/office/drawing/2014/main" id="{0B44C0F1-55BA-4878-9C11-181BC54130D6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1074" name="Freeform 10695">
          <a:extLst>
            <a:ext uri="{FF2B5EF4-FFF2-40B4-BE49-F238E27FC236}">
              <a16:creationId xmlns:a16="http://schemas.microsoft.com/office/drawing/2014/main" id="{F1EB4C57-5E6E-4095-8B03-5391ECE6218A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1075" name="0/0">
          <a:extLst>
            <a:ext uri="{FF2B5EF4-FFF2-40B4-BE49-F238E27FC236}">
              <a16:creationId xmlns:a16="http://schemas.microsoft.com/office/drawing/2014/main" id="{0549CD3B-2175-4B0B-ACAB-8ED55EC2B428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1076" name="0/0">
          <a:extLst>
            <a:ext uri="{FF2B5EF4-FFF2-40B4-BE49-F238E27FC236}">
              <a16:creationId xmlns:a16="http://schemas.microsoft.com/office/drawing/2014/main" id="{BBDA3494-DB89-426F-8019-A57B06B746C4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77" name="Freeform 10695">
          <a:extLst>
            <a:ext uri="{FF2B5EF4-FFF2-40B4-BE49-F238E27FC236}">
              <a16:creationId xmlns:a16="http://schemas.microsoft.com/office/drawing/2014/main" id="{AC2FC336-8015-450B-B2B7-686FB8BA271D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78" name="0/0">
          <a:extLst>
            <a:ext uri="{FF2B5EF4-FFF2-40B4-BE49-F238E27FC236}">
              <a16:creationId xmlns:a16="http://schemas.microsoft.com/office/drawing/2014/main" id="{41DE5BDD-B066-4534-B29E-0078B95D2DD9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79" name="Freeform 10695">
          <a:extLst>
            <a:ext uri="{FF2B5EF4-FFF2-40B4-BE49-F238E27FC236}">
              <a16:creationId xmlns:a16="http://schemas.microsoft.com/office/drawing/2014/main" id="{B04071AE-B6CB-4C50-BD53-48E5686BC8ED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80" name="0/0">
          <a:extLst>
            <a:ext uri="{FF2B5EF4-FFF2-40B4-BE49-F238E27FC236}">
              <a16:creationId xmlns:a16="http://schemas.microsoft.com/office/drawing/2014/main" id="{C10B0E01-E9B6-49E0-8562-1E00E0F1E545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81" name="Freeform 10695">
          <a:extLst>
            <a:ext uri="{FF2B5EF4-FFF2-40B4-BE49-F238E27FC236}">
              <a16:creationId xmlns:a16="http://schemas.microsoft.com/office/drawing/2014/main" id="{A460AA47-A495-467F-BBB5-1116A329AC68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82" name="0/0">
          <a:extLst>
            <a:ext uri="{FF2B5EF4-FFF2-40B4-BE49-F238E27FC236}">
              <a16:creationId xmlns:a16="http://schemas.microsoft.com/office/drawing/2014/main" id="{838A89AF-BEC0-476D-A7F3-F89ED085F8CC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83" name="Freeform 10695">
          <a:extLst>
            <a:ext uri="{FF2B5EF4-FFF2-40B4-BE49-F238E27FC236}">
              <a16:creationId xmlns:a16="http://schemas.microsoft.com/office/drawing/2014/main" id="{86A8BE4F-58AC-48EB-BBD1-67136968A230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84" name="0/0">
          <a:extLst>
            <a:ext uri="{FF2B5EF4-FFF2-40B4-BE49-F238E27FC236}">
              <a16:creationId xmlns:a16="http://schemas.microsoft.com/office/drawing/2014/main" id="{74F690FE-AE43-49EC-8B08-1004F387EA5B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5" name="Freeform 10695">
          <a:extLst>
            <a:ext uri="{FF2B5EF4-FFF2-40B4-BE49-F238E27FC236}">
              <a16:creationId xmlns:a16="http://schemas.microsoft.com/office/drawing/2014/main" id="{FA3E35CC-517B-417A-B2E6-3C6D2816D9B4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86" name="0/0">
          <a:extLst>
            <a:ext uri="{FF2B5EF4-FFF2-40B4-BE49-F238E27FC236}">
              <a16:creationId xmlns:a16="http://schemas.microsoft.com/office/drawing/2014/main" id="{E7321B18-6C99-494B-8EA3-1427BA63F422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087" name="Freeform 10695">
          <a:extLst>
            <a:ext uri="{FF2B5EF4-FFF2-40B4-BE49-F238E27FC236}">
              <a16:creationId xmlns:a16="http://schemas.microsoft.com/office/drawing/2014/main" id="{1CB13396-F072-4CF2-A7AA-AD3AE779549C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088" name="0/0">
          <a:extLst>
            <a:ext uri="{FF2B5EF4-FFF2-40B4-BE49-F238E27FC236}">
              <a16:creationId xmlns:a16="http://schemas.microsoft.com/office/drawing/2014/main" id="{7E16852E-0D4F-4222-8F01-8416EF7CD4FF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089" name="Freeform 10695">
          <a:extLst>
            <a:ext uri="{FF2B5EF4-FFF2-40B4-BE49-F238E27FC236}">
              <a16:creationId xmlns:a16="http://schemas.microsoft.com/office/drawing/2014/main" id="{A9795D30-A1BA-4E74-919E-DD5D5EA8F1E5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090" name="0/0">
          <a:extLst>
            <a:ext uri="{FF2B5EF4-FFF2-40B4-BE49-F238E27FC236}">
              <a16:creationId xmlns:a16="http://schemas.microsoft.com/office/drawing/2014/main" id="{6105BE46-B3A8-4F12-B66D-AC1C91D705B5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091" name="Freeform 10695">
          <a:extLst>
            <a:ext uri="{FF2B5EF4-FFF2-40B4-BE49-F238E27FC236}">
              <a16:creationId xmlns:a16="http://schemas.microsoft.com/office/drawing/2014/main" id="{51AF40AF-B5CB-4934-A407-395E0BACC430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092" name="0/0">
          <a:extLst>
            <a:ext uri="{FF2B5EF4-FFF2-40B4-BE49-F238E27FC236}">
              <a16:creationId xmlns:a16="http://schemas.microsoft.com/office/drawing/2014/main" id="{BF2A1DF1-BEF1-421D-AA41-48A89DED9AC8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093" name="Freeform 10695">
          <a:extLst>
            <a:ext uri="{FF2B5EF4-FFF2-40B4-BE49-F238E27FC236}">
              <a16:creationId xmlns:a16="http://schemas.microsoft.com/office/drawing/2014/main" id="{24E196AB-0D56-48D9-9071-E15024566661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94" name="0/0">
          <a:extLst>
            <a:ext uri="{FF2B5EF4-FFF2-40B4-BE49-F238E27FC236}">
              <a16:creationId xmlns:a16="http://schemas.microsoft.com/office/drawing/2014/main" id="{549BAB30-EC11-449C-BA47-A0BBB2D0D110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095" name="Freeform 10695">
          <a:extLst>
            <a:ext uri="{FF2B5EF4-FFF2-40B4-BE49-F238E27FC236}">
              <a16:creationId xmlns:a16="http://schemas.microsoft.com/office/drawing/2014/main" id="{F0221464-FEDE-4731-A55F-689702977A80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96" name="0/0">
          <a:extLst>
            <a:ext uri="{FF2B5EF4-FFF2-40B4-BE49-F238E27FC236}">
              <a16:creationId xmlns:a16="http://schemas.microsoft.com/office/drawing/2014/main" id="{D939608E-4985-4904-985B-DB3FE93A8DD0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097" name="Freeform 10695">
          <a:extLst>
            <a:ext uri="{FF2B5EF4-FFF2-40B4-BE49-F238E27FC236}">
              <a16:creationId xmlns:a16="http://schemas.microsoft.com/office/drawing/2014/main" id="{A1F9AEC6-EAE5-4162-B9DF-F502900C8AA4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098" name="0/0">
          <a:extLst>
            <a:ext uri="{FF2B5EF4-FFF2-40B4-BE49-F238E27FC236}">
              <a16:creationId xmlns:a16="http://schemas.microsoft.com/office/drawing/2014/main" id="{62609600-4E9D-4490-829A-82D8A5B5CDE5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099" name="Freeform 10695">
          <a:extLst>
            <a:ext uri="{FF2B5EF4-FFF2-40B4-BE49-F238E27FC236}">
              <a16:creationId xmlns:a16="http://schemas.microsoft.com/office/drawing/2014/main" id="{9FB53046-8997-470D-B2E7-04549E8BB56D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0" name="0/0">
          <a:extLst>
            <a:ext uri="{FF2B5EF4-FFF2-40B4-BE49-F238E27FC236}">
              <a16:creationId xmlns:a16="http://schemas.microsoft.com/office/drawing/2014/main" id="{5228A05D-47A9-4FF8-9635-B7BAED6AE088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101" name="Freeform 10695">
          <a:extLst>
            <a:ext uri="{FF2B5EF4-FFF2-40B4-BE49-F238E27FC236}">
              <a16:creationId xmlns:a16="http://schemas.microsoft.com/office/drawing/2014/main" id="{5B743548-3089-40BC-824E-5B0AD3CCCE7C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02" name="0/0">
          <a:extLst>
            <a:ext uri="{FF2B5EF4-FFF2-40B4-BE49-F238E27FC236}">
              <a16:creationId xmlns:a16="http://schemas.microsoft.com/office/drawing/2014/main" id="{1C2093C2-885E-47A9-9184-13B823162079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103" name="Freeform 10695">
          <a:extLst>
            <a:ext uri="{FF2B5EF4-FFF2-40B4-BE49-F238E27FC236}">
              <a16:creationId xmlns:a16="http://schemas.microsoft.com/office/drawing/2014/main" id="{7FE2AD41-72B2-42A4-8D2A-13FB97A9D479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104" name="0/0">
          <a:extLst>
            <a:ext uri="{FF2B5EF4-FFF2-40B4-BE49-F238E27FC236}">
              <a16:creationId xmlns:a16="http://schemas.microsoft.com/office/drawing/2014/main" id="{0422F352-1774-410B-A9AF-85ACB590EF31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105" name="Freeform 10695">
          <a:extLst>
            <a:ext uri="{FF2B5EF4-FFF2-40B4-BE49-F238E27FC236}">
              <a16:creationId xmlns:a16="http://schemas.microsoft.com/office/drawing/2014/main" id="{958454E9-ED58-4C21-8866-715755169E0B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06" name="0/0">
          <a:extLst>
            <a:ext uri="{FF2B5EF4-FFF2-40B4-BE49-F238E27FC236}">
              <a16:creationId xmlns:a16="http://schemas.microsoft.com/office/drawing/2014/main" id="{05CD4528-A83F-44DA-A1AF-E2D8A09D34B3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107" name="Freeform 10695">
          <a:extLst>
            <a:ext uri="{FF2B5EF4-FFF2-40B4-BE49-F238E27FC236}">
              <a16:creationId xmlns:a16="http://schemas.microsoft.com/office/drawing/2014/main" id="{13410B9C-BCCD-4265-B454-34F358FC0124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108" name="0/0">
          <a:extLst>
            <a:ext uri="{FF2B5EF4-FFF2-40B4-BE49-F238E27FC236}">
              <a16:creationId xmlns:a16="http://schemas.microsoft.com/office/drawing/2014/main" id="{708AFBC3-ED0B-49C4-9A57-D4C2CE0A2887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109" name="Freeform 10695">
          <a:extLst>
            <a:ext uri="{FF2B5EF4-FFF2-40B4-BE49-F238E27FC236}">
              <a16:creationId xmlns:a16="http://schemas.microsoft.com/office/drawing/2014/main" id="{A72D4C10-EE6F-44E1-A324-60BB81260AD7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110" name="0/0">
          <a:extLst>
            <a:ext uri="{FF2B5EF4-FFF2-40B4-BE49-F238E27FC236}">
              <a16:creationId xmlns:a16="http://schemas.microsoft.com/office/drawing/2014/main" id="{3EEFE46F-0E5C-4625-87F5-3A2977A065CD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111" name="Freeform 10695">
          <a:extLst>
            <a:ext uri="{FF2B5EF4-FFF2-40B4-BE49-F238E27FC236}">
              <a16:creationId xmlns:a16="http://schemas.microsoft.com/office/drawing/2014/main" id="{D6E58B18-FA3C-40EF-9126-1DA52C654FF9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112" name="0/0">
          <a:extLst>
            <a:ext uri="{FF2B5EF4-FFF2-40B4-BE49-F238E27FC236}">
              <a16:creationId xmlns:a16="http://schemas.microsoft.com/office/drawing/2014/main" id="{89936214-5906-4F93-8A55-CD97905F7CD6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113" name="Freeform 10695">
          <a:extLst>
            <a:ext uri="{FF2B5EF4-FFF2-40B4-BE49-F238E27FC236}">
              <a16:creationId xmlns:a16="http://schemas.microsoft.com/office/drawing/2014/main" id="{41A8B72F-EB9C-4CAF-9080-B0E6FDD59F7C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114" name="0/0">
          <a:extLst>
            <a:ext uri="{FF2B5EF4-FFF2-40B4-BE49-F238E27FC236}">
              <a16:creationId xmlns:a16="http://schemas.microsoft.com/office/drawing/2014/main" id="{CBD66194-46A5-4E05-BB3A-ABB89B962EEA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115" name="Freeform 10695">
          <a:extLst>
            <a:ext uri="{FF2B5EF4-FFF2-40B4-BE49-F238E27FC236}">
              <a16:creationId xmlns:a16="http://schemas.microsoft.com/office/drawing/2014/main" id="{799F6A63-12C5-4270-B8A8-FD7A7904EBDD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116" name="0/0">
          <a:extLst>
            <a:ext uri="{FF2B5EF4-FFF2-40B4-BE49-F238E27FC236}">
              <a16:creationId xmlns:a16="http://schemas.microsoft.com/office/drawing/2014/main" id="{B661CD89-298C-445F-85C1-31D3E2B082D5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117" name="Freeform 10695">
          <a:extLst>
            <a:ext uri="{FF2B5EF4-FFF2-40B4-BE49-F238E27FC236}">
              <a16:creationId xmlns:a16="http://schemas.microsoft.com/office/drawing/2014/main" id="{D85449A8-684D-4146-9556-13D0897CF9DF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118" name="0/0">
          <a:extLst>
            <a:ext uri="{FF2B5EF4-FFF2-40B4-BE49-F238E27FC236}">
              <a16:creationId xmlns:a16="http://schemas.microsoft.com/office/drawing/2014/main" id="{0BD609E2-AF45-4529-BB71-42508E47C478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119" name="Freeform 10695">
          <a:extLst>
            <a:ext uri="{FF2B5EF4-FFF2-40B4-BE49-F238E27FC236}">
              <a16:creationId xmlns:a16="http://schemas.microsoft.com/office/drawing/2014/main" id="{9F5B812B-9F61-463E-938C-B9F3B9665D41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120" name="0/0">
          <a:extLst>
            <a:ext uri="{FF2B5EF4-FFF2-40B4-BE49-F238E27FC236}">
              <a16:creationId xmlns:a16="http://schemas.microsoft.com/office/drawing/2014/main" id="{84EE3735-6CC5-42BA-B8FD-212CA1D634B7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121" name="Freeform 10695">
          <a:extLst>
            <a:ext uri="{FF2B5EF4-FFF2-40B4-BE49-F238E27FC236}">
              <a16:creationId xmlns:a16="http://schemas.microsoft.com/office/drawing/2014/main" id="{8C5A5D60-C225-49E0-8D49-6C6E014CE38B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122" name="0/0">
          <a:extLst>
            <a:ext uri="{FF2B5EF4-FFF2-40B4-BE49-F238E27FC236}">
              <a16:creationId xmlns:a16="http://schemas.microsoft.com/office/drawing/2014/main" id="{F5DD0142-D8CE-456E-9702-D007DC8A2136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123" name="Freeform 10695">
          <a:extLst>
            <a:ext uri="{FF2B5EF4-FFF2-40B4-BE49-F238E27FC236}">
              <a16:creationId xmlns:a16="http://schemas.microsoft.com/office/drawing/2014/main" id="{A3CDEB50-ED72-431B-9B9C-353E6D38B4FE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124" name="0/0">
          <a:extLst>
            <a:ext uri="{FF2B5EF4-FFF2-40B4-BE49-F238E27FC236}">
              <a16:creationId xmlns:a16="http://schemas.microsoft.com/office/drawing/2014/main" id="{5E535922-B492-46E4-93ED-675F8E49ADC3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125" name="Freeform 10695">
          <a:extLst>
            <a:ext uri="{FF2B5EF4-FFF2-40B4-BE49-F238E27FC236}">
              <a16:creationId xmlns:a16="http://schemas.microsoft.com/office/drawing/2014/main" id="{4708F4B4-BCF5-4C07-B351-4E6724AF2B4F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126" name="0/0">
          <a:extLst>
            <a:ext uri="{FF2B5EF4-FFF2-40B4-BE49-F238E27FC236}">
              <a16:creationId xmlns:a16="http://schemas.microsoft.com/office/drawing/2014/main" id="{E229BAF2-BA68-4E9E-86E3-9B5521B5A708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127" name="Freeform 10695">
          <a:extLst>
            <a:ext uri="{FF2B5EF4-FFF2-40B4-BE49-F238E27FC236}">
              <a16:creationId xmlns:a16="http://schemas.microsoft.com/office/drawing/2014/main" id="{A7379F7F-D140-478C-B78F-65B8062FAB79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128" name="0/0">
          <a:extLst>
            <a:ext uri="{FF2B5EF4-FFF2-40B4-BE49-F238E27FC236}">
              <a16:creationId xmlns:a16="http://schemas.microsoft.com/office/drawing/2014/main" id="{2BFA3E82-26E6-4461-A196-818227281CC1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129" name="Freeform 10695">
          <a:extLst>
            <a:ext uri="{FF2B5EF4-FFF2-40B4-BE49-F238E27FC236}">
              <a16:creationId xmlns:a16="http://schemas.microsoft.com/office/drawing/2014/main" id="{4082639B-9A18-4A80-852E-F6EB83571DF7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130" name="0/0">
          <a:extLst>
            <a:ext uri="{FF2B5EF4-FFF2-40B4-BE49-F238E27FC236}">
              <a16:creationId xmlns:a16="http://schemas.microsoft.com/office/drawing/2014/main" id="{B27CA3E6-D401-4861-87DF-8BC221DC551F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131" name="Freeform 10695">
          <a:extLst>
            <a:ext uri="{FF2B5EF4-FFF2-40B4-BE49-F238E27FC236}">
              <a16:creationId xmlns:a16="http://schemas.microsoft.com/office/drawing/2014/main" id="{DB1A9BA1-843E-4DCE-93E6-D69BEA3968F0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132" name="0/0">
          <a:extLst>
            <a:ext uri="{FF2B5EF4-FFF2-40B4-BE49-F238E27FC236}">
              <a16:creationId xmlns:a16="http://schemas.microsoft.com/office/drawing/2014/main" id="{DC48E7DB-498A-46F1-ABF0-818381CA3FF9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133" name="Freeform 10695">
          <a:extLst>
            <a:ext uri="{FF2B5EF4-FFF2-40B4-BE49-F238E27FC236}">
              <a16:creationId xmlns:a16="http://schemas.microsoft.com/office/drawing/2014/main" id="{5F293BCC-31AF-483E-8305-DE94158B09A4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134" name="0/0">
          <a:extLst>
            <a:ext uri="{FF2B5EF4-FFF2-40B4-BE49-F238E27FC236}">
              <a16:creationId xmlns:a16="http://schemas.microsoft.com/office/drawing/2014/main" id="{CA57CDDE-2376-4FB4-A154-313E4211B58D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135" name="Freeform 10695">
          <a:extLst>
            <a:ext uri="{FF2B5EF4-FFF2-40B4-BE49-F238E27FC236}">
              <a16:creationId xmlns:a16="http://schemas.microsoft.com/office/drawing/2014/main" id="{973C61F9-2D5F-4CD7-8957-EAFD748B397C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136" name="0/0">
          <a:extLst>
            <a:ext uri="{FF2B5EF4-FFF2-40B4-BE49-F238E27FC236}">
              <a16:creationId xmlns:a16="http://schemas.microsoft.com/office/drawing/2014/main" id="{0A0C5AA0-4297-408A-A48F-875CE7961C09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137" name="0/0">
          <a:extLst>
            <a:ext uri="{FF2B5EF4-FFF2-40B4-BE49-F238E27FC236}">
              <a16:creationId xmlns:a16="http://schemas.microsoft.com/office/drawing/2014/main" id="{93533619-A919-4AD9-9D8C-166BEF308BAB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138" name="Freeform 10695">
          <a:extLst>
            <a:ext uri="{FF2B5EF4-FFF2-40B4-BE49-F238E27FC236}">
              <a16:creationId xmlns:a16="http://schemas.microsoft.com/office/drawing/2014/main" id="{F1A2744A-1076-467A-9DB5-832179B6DA10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139" name="0/0">
          <a:extLst>
            <a:ext uri="{FF2B5EF4-FFF2-40B4-BE49-F238E27FC236}">
              <a16:creationId xmlns:a16="http://schemas.microsoft.com/office/drawing/2014/main" id="{F8DE2FA7-C6DB-4119-A2AD-D148CAD79D35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140" name="Freeform 10695">
          <a:extLst>
            <a:ext uri="{FF2B5EF4-FFF2-40B4-BE49-F238E27FC236}">
              <a16:creationId xmlns:a16="http://schemas.microsoft.com/office/drawing/2014/main" id="{CA30E4ED-E983-480D-BB13-DF32CC93DFA1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141" name="0/0">
          <a:extLst>
            <a:ext uri="{FF2B5EF4-FFF2-40B4-BE49-F238E27FC236}">
              <a16:creationId xmlns:a16="http://schemas.microsoft.com/office/drawing/2014/main" id="{A92855D2-FEA5-4014-8D7A-75785A89023C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142" name="Freeform 10695">
          <a:extLst>
            <a:ext uri="{FF2B5EF4-FFF2-40B4-BE49-F238E27FC236}">
              <a16:creationId xmlns:a16="http://schemas.microsoft.com/office/drawing/2014/main" id="{48E93DA9-D9D6-4BF0-BFE3-79E71B8FD761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143" name="0/0">
          <a:extLst>
            <a:ext uri="{FF2B5EF4-FFF2-40B4-BE49-F238E27FC236}">
              <a16:creationId xmlns:a16="http://schemas.microsoft.com/office/drawing/2014/main" id="{7644CA4F-81FA-40A6-92C7-0CA3DA1463FF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144" name="Freeform 10695">
          <a:extLst>
            <a:ext uri="{FF2B5EF4-FFF2-40B4-BE49-F238E27FC236}">
              <a16:creationId xmlns:a16="http://schemas.microsoft.com/office/drawing/2014/main" id="{70DB4365-44A9-4DEF-8608-F12134CB3A53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145" name="0/0">
          <a:extLst>
            <a:ext uri="{FF2B5EF4-FFF2-40B4-BE49-F238E27FC236}">
              <a16:creationId xmlns:a16="http://schemas.microsoft.com/office/drawing/2014/main" id="{1A2DF1BC-30EF-4BAC-A0DD-50EE216CC9BC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146" name="Freeform 10695">
          <a:extLst>
            <a:ext uri="{FF2B5EF4-FFF2-40B4-BE49-F238E27FC236}">
              <a16:creationId xmlns:a16="http://schemas.microsoft.com/office/drawing/2014/main" id="{B15545D9-E730-49A2-8902-BE217302B52E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147" name="0/0">
          <a:extLst>
            <a:ext uri="{FF2B5EF4-FFF2-40B4-BE49-F238E27FC236}">
              <a16:creationId xmlns:a16="http://schemas.microsoft.com/office/drawing/2014/main" id="{BAE26F7D-11FA-428B-9BE0-2BA718883889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148" name="Freeform 10695">
          <a:extLst>
            <a:ext uri="{FF2B5EF4-FFF2-40B4-BE49-F238E27FC236}">
              <a16:creationId xmlns:a16="http://schemas.microsoft.com/office/drawing/2014/main" id="{92F5913A-C103-467E-AC11-A56CBCBE5238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149" name="0/0">
          <a:extLst>
            <a:ext uri="{FF2B5EF4-FFF2-40B4-BE49-F238E27FC236}">
              <a16:creationId xmlns:a16="http://schemas.microsoft.com/office/drawing/2014/main" id="{145C20E7-317F-4234-8127-8D4CBE76A1D1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150" name="Freeform 10695">
          <a:extLst>
            <a:ext uri="{FF2B5EF4-FFF2-40B4-BE49-F238E27FC236}">
              <a16:creationId xmlns:a16="http://schemas.microsoft.com/office/drawing/2014/main" id="{15109BA3-C77A-42EA-B3A3-1580425DD52A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151" name="0/0">
          <a:extLst>
            <a:ext uri="{FF2B5EF4-FFF2-40B4-BE49-F238E27FC236}">
              <a16:creationId xmlns:a16="http://schemas.microsoft.com/office/drawing/2014/main" id="{088F0A05-344E-4CA3-9A1F-31337C56577A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152" name="Freeform 10695">
          <a:extLst>
            <a:ext uri="{FF2B5EF4-FFF2-40B4-BE49-F238E27FC236}">
              <a16:creationId xmlns:a16="http://schemas.microsoft.com/office/drawing/2014/main" id="{DB7A210A-6605-4E98-A4DA-8F3827F417D2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153" name="0/0">
          <a:extLst>
            <a:ext uri="{FF2B5EF4-FFF2-40B4-BE49-F238E27FC236}">
              <a16:creationId xmlns:a16="http://schemas.microsoft.com/office/drawing/2014/main" id="{01E978C8-435A-4B61-B6C8-F2CCBDAD265C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154" name="Freeform 10695">
          <a:extLst>
            <a:ext uri="{FF2B5EF4-FFF2-40B4-BE49-F238E27FC236}">
              <a16:creationId xmlns:a16="http://schemas.microsoft.com/office/drawing/2014/main" id="{26F36EC5-4B4F-4D48-9AD3-7D51225D0647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155" name="0/0">
          <a:extLst>
            <a:ext uri="{FF2B5EF4-FFF2-40B4-BE49-F238E27FC236}">
              <a16:creationId xmlns:a16="http://schemas.microsoft.com/office/drawing/2014/main" id="{BEA644DA-5B0F-44F3-B460-86A250C00B16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156" name="Freeform 10695">
          <a:extLst>
            <a:ext uri="{FF2B5EF4-FFF2-40B4-BE49-F238E27FC236}">
              <a16:creationId xmlns:a16="http://schemas.microsoft.com/office/drawing/2014/main" id="{2E98E72A-AAFC-4B39-8DD6-F8E72DE3F1EF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157" name="0/0">
          <a:extLst>
            <a:ext uri="{FF2B5EF4-FFF2-40B4-BE49-F238E27FC236}">
              <a16:creationId xmlns:a16="http://schemas.microsoft.com/office/drawing/2014/main" id="{F2C8349C-56A8-4DE3-B148-E77855A1892B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158" name="Freeform 10695">
          <a:extLst>
            <a:ext uri="{FF2B5EF4-FFF2-40B4-BE49-F238E27FC236}">
              <a16:creationId xmlns:a16="http://schemas.microsoft.com/office/drawing/2014/main" id="{AF2ABF3A-744B-4748-A6AD-04703CB98983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159" name="0/0">
          <a:extLst>
            <a:ext uri="{FF2B5EF4-FFF2-40B4-BE49-F238E27FC236}">
              <a16:creationId xmlns:a16="http://schemas.microsoft.com/office/drawing/2014/main" id="{3BAF6F1A-52FD-458D-9816-77F6D7FBC789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160" name="Freeform 10695">
          <a:extLst>
            <a:ext uri="{FF2B5EF4-FFF2-40B4-BE49-F238E27FC236}">
              <a16:creationId xmlns:a16="http://schemas.microsoft.com/office/drawing/2014/main" id="{B244F6F2-A0DC-4BD6-9E28-28ED84572371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161" name="0/0">
          <a:extLst>
            <a:ext uri="{FF2B5EF4-FFF2-40B4-BE49-F238E27FC236}">
              <a16:creationId xmlns:a16="http://schemas.microsoft.com/office/drawing/2014/main" id="{293D198F-5D27-4809-962C-20D4BBD8C2CC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162" name="Freeform 10695">
          <a:extLst>
            <a:ext uri="{FF2B5EF4-FFF2-40B4-BE49-F238E27FC236}">
              <a16:creationId xmlns:a16="http://schemas.microsoft.com/office/drawing/2014/main" id="{6C9A57F0-78BF-464F-B74C-1988B5797448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163" name="0/0">
          <a:extLst>
            <a:ext uri="{FF2B5EF4-FFF2-40B4-BE49-F238E27FC236}">
              <a16:creationId xmlns:a16="http://schemas.microsoft.com/office/drawing/2014/main" id="{22A979B1-76D6-4D69-8942-E243E9888AFA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164" name="Freeform 10695">
          <a:extLst>
            <a:ext uri="{FF2B5EF4-FFF2-40B4-BE49-F238E27FC236}">
              <a16:creationId xmlns:a16="http://schemas.microsoft.com/office/drawing/2014/main" id="{5E673ED7-A0DF-45A9-9952-083C4F0BF3DF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165" name="0/0">
          <a:extLst>
            <a:ext uri="{FF2B5EF4-FFF2-40B4-BE49-F238E27FC236}">
              <a16:creationId xmlns:a16="http://schemas.microsoft.com/office/drawing/2014/main" id="{8F42DEAF-F779-470C-A5BC-C26E339E7FBF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166" name="Freeform 10695">
          <a:extLst>
            <a:ext uri="{FF2B5EF4-FFF2-40B4-BE49-F238E27FC236}">
              <a16:creationId xmlns:a16="http://schemas.microsoft.com/office/drawing/2014/main" id="{38C15979-3435-4F65-A09B-F343B2235C36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167" name="0/0">
          <a:extLst>
            <a:ext uri="{FF2B5EF4-FFF2-40B4-BE49-F238E27FC236}">
              <a16:creationId xmlns:a16="http://schemas.microsoft.com/office/drawing/2014/main" id="{1791A586-8AFE-4CD6-986B-1DFF889CBD3D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168" name="Freeform 10695">
          <a:extLst>
            <a:ext uri="{FF2B5EF4-FFF2-40B4-BE49-F238E27FC236}">
              <a16:creationId xmlns:a16="http://schemas.microsoft.com/office/drawing/2014/main" id="{E143AD5E-6B1A-4069-B67B-321670098DD5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169" name="0/0">
          <a:extLst>
            <a:ext uri="{FF2B5EF4-FFF2-40B4-BE49-F238E27FC236}">
              <a16:creationId xmlns:a16="http://schemas.microsoft.com/office/drawing/2014/main" id="{2BFDD155-87D8-493A-875E-177748C4E976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170" name="Freeform 10695">
          <a:extLst>
            <a:ext uri="{FF2B5EF4-FFF2-40B4-BE49-F238E27FC236}">
              <a16:creationId xmlns:a16="http://schemas.microsoft.com/office/drawing/2014/main" id="{53FB476D-394A-4FF2-83FA-AA0413258225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171" name="0/0">
          <a:extLst>
            <a:ext uri="{FF2B5EF4-FFF2-40B4-BE49-F238E27FC236}">
              <a16:creationId xmlns:a16="http://schemas.microsoft.com/office/drawing/2014/main" id="{9C848674-C797-42F9-995E-FBB4B96F4B9A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172" name="Freeform 10695">
          <a:extLst>
            <a:ext uri="{FF2B5EF4-FFF2-40B4-BE49-F238E27FC236}">
              <a16:creationId xmlns:a16="http://schemas.microsoft.com/office/drawing/2014/main" id="{A991EE17-B126-4DA3-A84F-BC96FC460571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173" name="0/0">
          <a:extLst>
            <a:ext uri="{FF2B5EF4-FFF2-40B4-BE49-F238E27FC236}">
              <a16:creationId xmlns:a16="http://schemas.microsoft.com/office/drawing/2014/main" id="{C02CCDD1-F33A-4E21-99CA-E34B2470D723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174" name="Freeform 10695">
          <a:extLst>
            <a:ext uri="{FF2B5EF4-FFF2-40B4-BE49-F238E27FC236}">
              <a16:creationId xmlns:a16="http://schemas.microsoft.com/office/drawing/2014/main" id="{4CA2F6BB-8B82-41FE-BD52-923137F3177E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175" name="0/0">
          <a:extLst>
            <a:ext uri="{FF2B5EF4-FFF2-40B4-BE49-F238E27FC236}">
              <a16:creationId xmlns:a16="http://schemas.microsoft.com/office/drawing/2014/main" id="{FE77711E-7897-4682-B53E-3994913F4866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176" name="Freeform 10695">
          <a:extLst>
            <a:ext uri="{FF2B5EF4-FFF2-40B4-BE49-F238E27FC236}">
              <a16:creationId xmlns:a16="http://schemas.microsoft.com/office/drawing/2014/main" id="{2DB416F1-E76A-43CA-9F6A-62A484D9FEC5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177" name="0/0">
          <a:extLst>
            <a:ext uri="{FF2B5EF4-FFF2-40B4-BE49-F238E27FC236}">
              <a16:creationId xmlns:a16="http://schemas.microsoft.com/office/drawing/2014/main" id="{CA81F65A-65C7-4DA8-BA71-665DC99A5140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1178" name="Freeform 10695">
          <a:extLst>
            <a:ext uri="{FF2B5EF4-FFF2-40B4-BE49-F238E27FC236}">
              <a16:creationId xmlns:a16="http://schemas.microsoft.com/office/drawing/2014/main" id="{BFB0BC89-DC59-4359-872E-8225C6643B8A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179" name="0/0">
          <a:extLst>
            <a:ext uri="{FF2B5EF4-FFF2-40B4-BE49-F238E27FC236}">
              <a16:creationId xmlns:a16="http://schemas.microsoft.com/office/drawing/2014/main" id="{6041BC56-DC4F-494E-8F67-9225D497AE41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1180" name="Freeform 10695">
          <a:extLst>
            <a:ext uri="{FF2B5EF4-FFF2-40B4-BE49-F238E27FC236}">
              <a16:creationId xmlns:a16="http://schemas.microsoft.com/office/drawing/2014/main" id="{E282A24E-4FF0-4401-8600-D87E7007E84D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181" name="0/0">
          <a:extLst>
            <a:ext uri="{FF2B5EF4-FFF2-40B4-BE49-F238E27FC236}">
              <a16:creationId xmlns:a16="http://schemas.microsoft.com/office/drawing/2014/main" id="{3C8A28AE-9650-4850-BD06-66C68163C256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1182" name="Freeform 10695">
          <a:extLst>
            <a:ext uri="{FF2B5EF4-FFF2-40B4-BE49-F238E27FC236}">
              <a16:creationId xmlns:a16="http://schemas.microsoft.com/office/drawing/2014/main" id="{8B2E41F3-CADA-4D52-BA8F-06177E887DE1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183" name="0/0">
          <a:extLst>
            <a:ext uri="{FF2B5EF4-FFF2-40B4-BE49-F238E27FC236}">
              <a16:creationId xmlns:a16="http://schemas.microsoft.com/office/drawing/2014/main" id="{A58AC16D-16A7-4485-8E30-AAB3887579B3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1184" name="Freeform 10695">
          <a:extLst>
            <a:ext uri="{FF2B5EF4-FFF2-40B4-BE49-F238E27FC236}">
              <a16:creationId xmlns:a16="http://schemas.microsoft.com/office/drawing/2014/main" id="{DDEC04D9-7D83-4EE1-ACDF-55D3E1B7384F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185" name="0/0">
          <a:extLst>
            <a:ext uri="{FF2B5EF4-FFF2-40B4-BE49-F238E27FC236}">
              <a16:creationId xmlns:a16="http://schemas.microsoft.com/office/drawing/2014/main" id="{1C5CDC17-AF6A-485C-AE30-E3B20649F822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1186" name="Freeform 10695">
          <a:extLst>
            <a:ext uri="{FF2B5EF4-FFF2-40B4-BE49-F238E27FC236}">
              <a16:creationId xmlns:a16="http://schemas.microsoft.com/office/drawing/2014/main" id="{909516A4-0FB4-491B-AE1F-B411C2741F1A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187" name="0/0">
          <a:extLst>
            <a:ext uri="{FF2B5EF4-FFF2-40B4-BE49-F238E27FC236}">
              <a16:creationId xmlns:a16="http://schemas.microsoft.com/office/drawing/2014/main" id="{44F3D888-66A0-45D2-8F45-FE7E093B4156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1188" name="Freeform 10695">
          <a:extLst>
            <a:ext uri="{FF2B5EF4-FFF2-40B4-BE49-F238E27FC236}">
              <a16:creationId xmlns:a16="http://schemas.microsoft.com/office/drawing/2014/main" id="{4F28E868-46C6-41CB-956E-19ABEDD7FADF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189" name="0/0">
          <a:extLst>
            <a:ext uri="{FF2B5EF4-FFF2-40B4-BE49-F238E27FC236}">
              <a16:creationId xmlns:a16="http://schemas.microsoft.com/office/drawing/2014/main" id="{2895AFB7-440F-479C-85D9-757F63B9373C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1190" name="Freeform 10695">
          <a:extLst>
            <a:ext uri="{FF2B5EF4-FFF2-40B4-BE49-F238E27FC236}">
              <a16:creationId xmlns:a16="http://schemas.microsoft.com/office/drawing/2014/main" id="{F073F036-9630-4901-9944-3986508A0FAC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191" name="0/0">
          <a:extLst>
            <a:ext uri="{FF2B5EF4-FFF2-40B4-BE49-F238E27FC236}">
              <a16:creationId xmlns:a16="http://schemas.microsoft.com/office/drawing/2014/main" id="{573F65CF-56DE-4956-A08B-9F4A62C59623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1192" name="Freeform 10695">
          <a:extLst>
            <a:ext uri="{FF2B5EF4-FFF2-40B4-BE49-F238E27FC236}">
              <a16:creationId xmlns:a16="http://schemas.microsoft.com/office/drawing/2014/main" id="{5DC336C0-6700-4205-A6B7-9285E96FC176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193" name="0/0">
          <a:extLst>
            <a:ext uri="{FF2B5EF4-FFF2-40B4-BE49-F238E27FC236}">
              <a16:creationId xmlns:a16="http://schemas.microsoft.com/office/drawing/2014/main" id="{067A900F-DBDC-41D2-A246-DCB0B3CF44BE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1194" name="Freeform 10695">
          <a:extLst>
            <a:ext uri="{FF2B5EF4-FFF2-40B4-BE49-F238E27FC236}">
              <a16:creationId xmlns:a16="http://schemas.microsoft.com/office/drawing/2014/main" id="{002EEF7F-6541-4624-A553-C6CB630923F0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195" name="0/0">
          <a:extLst>
            <a:ext uri="{FF2B5EF4-FFF2-40B4-BE49-F238E27FC236}">
              <a16:creationId xmlns:a16="http://schemas.microsoft.com/office/drawing/2014/main" id="{B31CE7F7-969A-45BA-81B8-65895FA88635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1196" name="Freeform 10695">
          <a:extLst>
            <a:ext uri="{FF2B5EF4-FFF2-40B4-BE49-F238E27FC236}">
              <a16:creationId xmlns:a16="http://schemas.microsoft.com/office/drawing/2014/main" id="{B47209D2-69CF-4C52-BE9E-7DED30B3B1C5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1197" name="0/0">
          <a:extLst>
            <a:ext uri="{FF2B5EF4-FFF2-40B4-BE49-F238E27FC236}">
              <a16:creationId xmlns:a16="http://schemas.microsoft.com/office/drawing/2014/main" id="{A2022BA2-CA22-4593-807A-0D5C5606B7F0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1198" name="Freeform 10695">
          <a:extLst>
            <a:ext uri="{FF2B5EF4-FFF2-40B4-BE49-F238E27FC236}">
              <a16:creationId xmlns:a16="http://schemas.microsoft.com/office/drawing/2014/main" id="{9C094967-240B-4408-AFBA-9E36EBB2ADDE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1199" name="0/0">
          <a:extLst>
            <a:ext uri="{FF2B5EF4-FFF2-40B4-BE49-F238E27FC236}">
              <a16:creationId xmlns:a16="http://schemas.microsoft.com/office/drawing/2014/main" id="{0772A23C-0E6F-4986-85FD-E06DB5E9A4AD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1200" name="Freeform 10695">
          <a:extLst>
            <a:ext uri="{FF2B5EF4-FFF2-40B4-BE49-F238E27FC236}">
              <a16:creationId xmlns:a16="http://schemas.microsoft.com/office/drawing/2014/main" id="{C5C35E6B-3470-4FDB-B6E9-57B1A335B6A6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1201" name="0/0">
          <a:extLst>
            <a:ext uri="{FF2B5EF4-FFF2-40B4-BE49-F238E27FC236}">
              <a16:creationId xmlns:a16="http://schemas.microsoft.com/office/drawing/2014/main" id="{87CC7778-B855-456F-93EB-BEF609EF0DBA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1202" name="Freeform 10695">
          <a:extLst>
            <a:ext uri="{FF2B5EF4-FFF2-40B4-BE49-F238E27FC236}">
              <a16:creationId xmlns:a16="http://schemas.microsoft.com/office/drawing/2014/main" id="{BE9B5953-73D3-4F3C-95A8-3769F811B975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1203" name="0/0">
          <a:extLst>
            <a:ext uri="{FF2B5EF4-FFF2-40B4-BE49-F238E27FC236}">
              <a16:creationId xmlns:a16="http://schemas.microsoft.com/office/drawing/2014/main" id="{C5C92725-74B9-444E-B7AE-E19E682893F8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1204" name="Freeform 10695">
          <a:extLst>
            <a:ext uri="{FF2B5EF4-FFF2-40B4-BE49-F238E27FC236}">
              <a16:creationId xmlns:a16="http://schemas.microsoft.com/office/drawing/2014/main" id="{2EA975AF-39D0-4C8C-B97E-2E4B2457DB70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1205" name="0/0">
          <a:extLst>
            <a:ext uri="{FF2B5EF4-FFF2-40B4-BE49-F238E27FC236}">
              <a16:creationId xmlns:a16="http://schemas.microsoft.com/office/drawing/2014/main" id="{E9731437-10B2-4171-BEC2-B7217E0B560F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1206" name="Freeform 10695">
          <a:extLst>
            <a:ext uri="{FF2B5EF4-FFF2-40B4-BE49-F238E27FC236}">
              <a16:creationId xmlns:a16="http://schemas.microsoft.com/office/drawing/2014/main" id="{E4410112-0AAE-4DA3-A9EE-4EFC99C67F70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1207" name="0/0">
          <a:extLst>
            <a:ext uri="{FF2B5EF4-FFF2-40B4-BE49-F238E27FC236}">
              <a16:creationId xmlns:a16="http://schemas.microsoft.com/office/drawing/2014/main" id="{A0163ABB-9E88-467F-AACB-D39FE5B7CB31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1208" name="Freeform 10695">
          <a:extLst>
            <a:ext uri="{FF2B5EF4-FFF2-40B4-BE49-F238E27FC236}">
              <a16:creationId xmlns:a16="http://schemas.microsoft.com/office/drawing/2014/main" id="{4EC5B05D-E712-411A-9AA2-85EBCB0733BC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1209" name="0/0">
          <a:extLst>
            <a:ext uri="{FF2B5EF4-FFF2-40B4-BE49-F238E27FC236}">
              <a16:creationId xmlns:a16="http://schemas.microsoft.com/office/drawing/2014/main" id="{A5B16FDF-E275-445A-A547-F18B2F6202BB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1210" name="Freeform 10695">
          <a:extLst>
            <a:ext uri="{FF2B5EF4-FFF2-40B4-BE49-F238E27FC236}">
              <a16:creationId xmlns:a16="http://schemas.microsoft.com/office/drawing/2014/main" id="{DA8EE3EB-F44E-458D-AB77-FBF9BA225D0B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1211" name="0/0">
          <a:extLst>
            <a:ext uri="{FF2B5EF4-FFF2-40B4-BE49-F238E27FC236}">
              <a16:creationId xmlns:a16="http://schemas.microsoft.com/office/drawing/2014/main" id="{E79E0F30-541B-4D19-902E-FA5DEF35AAB0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1212" name="Freeform 10695">
          <a:extLst>
            <a:ext uri="{FF2B5EF4-FFF2-40B4-BE49-F238E27FC236}">
              <a16:creationId xmlns:a16="http://schemas.microsoft.com/office/drawing/2014/main" id="{A48539DE-BE3C-4DEF-837D-A7BE3AD672A1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1213" name="0/0">
          <a:extLst>
            <a:ext uri="{FF2B5EF4-FFF2-40B4-BE49-F238E27FC236}">
              <a16:creationId xmlns:a16="http://schemas.microsoft.com/office/drawing/2014/main" id="{A18D6604-4402-49FA-8C45-167B72697A74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1214" name="Freeform 10695">
          <a:extLst>
            <a:ext uri="{FF2B5EF4-FFF2-40B4-BE49-F238E27FC236}">
              <a16:creationId xmlns:a16="http://schemas.microsoft.com/office/drawing/2014/main" id="{905AB995-A482-4308-BB69-39387ABF201D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1215" name="0/0">
          <a:extLst>
            <a:ext uri="{FF2B5EF4-FFF2-40B4-BE49-F238E27FC236}">
              <a16:creationId xmlns:a16="http://schemas.microsoft.com/office/drawing/2014/main" id="{7B546D51-BDF7-4B0F-B6C5-FCC7845DA3C3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1216" name="Freeform 10695">
          <a:extLst>
            <a:ext uri="{FF2B5EF4-FFF2-40B4-BE49-F238E27FC236}">
              <a16:creationId xmlns:a16="http://schemas.microsoft.com/office/drawing/2014/main" id="{DC8FC4DC-B344-4C5B-9E83-AD9F3B218F72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1217" name="0/0">
          <a:extLst>
            <a:ext uri="{FF2B5EF4-FFF2-40B4-BE49-F238E27FC236}">
              <a16:creationId xmlns:a16="http://schemas.microsoft.com/office/drawing/2014/main" id="{863943A7-B47D-479A-85AF-BC5BE7DB2843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1218" name="Freeform 10695">
          <a:extLst>
            <a:ext uri="{FF2B5EF4-FFF2-40B4-BE49-F238E27FC236}">
              <a16:creationId xmlns:a16="http://schemas.microsoft.com/office/drawing/2014/main" id="{66D9CC68-101E-45A8-949B-FAE5B939A195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1219" name="0/0">
          <a:extLst>
            <a:ext uri="{FF2B5EF4-FFF2-40B4-BE49-F238E27FC236}">
              <a16:creationId xmlns:a16="http://schemas.microsoft.com/office/drawing/2014/main" id="{06C95178-3CF4-4363-A4D8-217E59B9F614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1220" name="Freeform 10695">
          <a:extLst>
            <a:ext uri="{FF2B5EF4-FFF2-40B4-BE49-F238E27FC236}">
              <a16:creationId xmlns:a16="http://schemas.microsoft.com/office/drawing/2014/main" id="{F6BF3892-A660-402C-8526-410A5EC33854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1221" name="0/0">
          <a:extLst>
            <a:ext uri="{FF2B5EF4-FFF2-40B4-BE49-F238E27FC236}">
              <a16:creationId xmlns:a16="http://schemas.microsoft.com/office/drawing/2014/main" id="{D275C2EA-4F64-4CA1-B98C-297526788907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1222" name="Freeform 10695">
          <a:extLst>
            <a:ext uri="{FF2B5EF4-FFF2-40B4-BE49-F238E27FC236}">
              <a16:creationId xmlns:a16="http://schemas.microsoft.com/office/drawing/2014/main" id="{1B2D1539-49AD-494B-89F8-EFF06275A02F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1223" name="0/0">
          <a:extLst>
            <a:ext uri="{FF2B5EF4-FFF2-40B4-BE49-F238E27FC236}">
              <a16:creationId xmlns:a16="http://schemas.microsoft.com/office/drawing/2014/main" id="{6379F3A0-1555-4D1F-B489-525F0DF58F1C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1224" name="Freeform 10695">
          <a:extLst>
            <a:ext uri="{FF2B5EF4-FFF2-40B4-BE49-F238E27FC236}">
              <a16:creationId xmlns:a16="http://schemas.microsoft.com/office/drawing/2014/main" id="{EBDE3F49-C2B6-4BC5-B64C-D8FF3812D350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1225" name="0/0">
          <a:extLst>
            <a:ext uri="{FF2B5EF4-FFF2-40B4-BE49-F238E27FC236}">
              <a16:creationId xmlns:a16="http://schemas.microsoft.com/office/drawing/2014/main" id="{EC352702-6101-4A4E-B441-B752A16FF0D2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1226" name="Freeform 10695">
          <a:extLst>
            <a:ext uri="{FF2B5EF4-FFF2-40B4-BE49-F238E27FC236}">
              <a16:creationId xmlns:a16="http://schemas.microsoft.com/office/drawing/2014/main" id="{4FE26760-50FD-4DAF-87EF-F484EE43893F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1227" name="0/0">
          <a:extLst>
            <a:ext uri="{FF2B5EF4-FFF2-40B4-BE49-F238E27FC236}">
              <a16:creationId xmlns:a16="http://schemas.microsoft.com/office/drawing/2014/main" id="{A0D8634F-9E27-412B-B491-DDD63B1DC40E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1228" name="Freeform 10695">
          <a:extLst>
            <a:ext uri="{FF2B5EF4-FFF2-40B4-BE49-F238E27FC236}">
              <a16:creationId xmlns:a16="http://schemas.microsoft.com/office/drawing/2014/main" id="{E7CB3F26-01B4-4BEB-AC86-6600F27E6F48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1229" name="0/0">
          <a:extLst>
            <a:ext uri="{FF2B5EF4-FFF2-40B4-BE49-F238E27FC236}">
              <a16:creationId xmlns:a16="http://schemas.microsoft.com/office/drawing/2014/main" id="{918D50F4-6AE4-4C81-879A-5C2B0EE6A4C1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1230" name="Freeform 10695">
          <a:extLst>
            <a:ext uri="{FF2B5EF4-FFF2-40B4-BE49-F238E27FC236}">
              <a16:creationId xmlns:a16="http://schemas.microsoft.com/office/drawing/2014/main" id="{4B79971A-D468-492E-9062-097FF26B60DA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1231" name="0/0">
          <a:extLst>
            <a:ext uri="{FF2B5EF4-FFF2-40B4-BE49-F238E27FC236}">
              <a16:creationId xmlns:a16="http://schemas.microsoft.com/office/drawing/2014/main" id="{11AF3E7C-963B-4EAE-913F-026C50EC5BD6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1232" name="Freeform 10695">
          <a:extLst>
            <a:ext uri="{FF2B5EF4-FFF2-40B4-BE49-F238E27FC236}">
              <a16:creationId xmlns:a16="http://schemas.microsoft.com/office/drawing/2014/main" id="{C22CBCB5-025A-4AF2-84C2-B9B986708CC0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1233" name="0/0">
          <a:extLst>
            <a:ext uri="{FF2B5EF4-FFF2-40B4-BE49-F238E27FC236}">
              <a16:creationId xmlns:a16="http://schemas.microsoft.com/office/drawing/2014/main" id="{EAE04A9D-1586-4957-AAFA-56FAACDA7350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1234" name="Freeform 10695">
          <a:extLst>
            <a:ext uri="{FF2B5EF4-FFF2-40B4-BE49-F238E27FC236}">
              <a16:creationId xmlns:a16="http://schemas.microsoft.com/office/drawing/2014/main" id="{DF88D81B-92FC-415C-A948-42C3BCCD5687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1235" name="0/0">
          <a:extLst>
            <a:ext uri="{FF2B5EF4-FFF2-40B4-BE49-F238E27FC236}">
              <a16:creationId xmlns:a16="http://schemas.microsoft.com/office/drawing/2014/main" id="{7781C88E-7280-4FE5-9647-8F5F256F9335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1236" name="Freeform 10695">
          <a:extLst>
            <a:ext uri="{FF2B5EF4-FFF2-40B4-BE49-F238E27FC236}">
              <a16:creationId xmlns:a16="http://schemas.microsoft.com/office/drawing/2014/main" id="{C39D8C8D-3076-44A6-AC58-DDF03BD09BFB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1237" name="0/0">
          <a:extLst>
            <a:ext uri="{FF2B5EF4-FFF2-40B4-BE49-F238E27FC236}">
              <a16:creationId xmlns:a16="http://schemas.microsoft.com/office/drawing/2014/main" id="{F40A74D8-D46F-4A08-9128-A3E4EFA4ED29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1238" name="Freeform 10695">
          <a:extLst>
            <a:ext uri="{FF2B5EF4-FFF2-40B4-BE49-F238E27FC236}">
              <a16:creationId xmlns:a16="http://schemas.microsoft.com/office/drawing/2014/main" id="{76C50711-AD06-4E6B-8669-E6751EE1B40B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1239" name="0/0">
          <a:extLst>
            <a:ext uri="{FF2B5EF4-FFF2-40B4-BE49-F238E27FC236}">
              <a16:creationId xmlns:a16="http://schemas.microsoft.com/office/drawing/2014/main" id="{2E684C06-34C8-4B33-A74A-0796235BA385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1240" name="Freeform 10695">
          <a:extLst>
            <a:ext uri="{FF2B5EF4-FFF2-40B4-BE49-F238E27FC236}">
              <a16:creationId xmlns:a16="http://schemas.microsoft.com/office/drawing/2014/main" id="{C6CB806B-EC32-43EC-ACD7-13D190B452A0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1241" name="0/0">
          <a:extLst>
            <a:ext uri="{FF2B5EF4-FFF2-40B4-BE49-F238E27FC236}">
              <a16:creationId xmlns:a16="http://schemas.microsoft.com/office/drawing/2014/main" id="{87B8AFAD-8CA9-4822-A712-077052F6B002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1242" name="Freeform 10695">
          <a:extLst>
            <a:ext uri="{FF2B5EF4-FFF2-40B4-BE49-F238E27FC236}">
              <a16:creationId xmlns:a16="http://schemas.microsoft.com/office/drawing/2014/main" id="{0F7E00E7-0E85-4B25-AB85-6202A71EEEE8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1243" name="0/0">
          <a:extLst>
            <a:ext uri="{FF2B5EF4-FFF2-40B4-BE49-F238E27FC236}">
              <a16:creationId xmlns:a16="http://schemas.microsoft.com/office/drawing/2014/main" id="{CABA893F-A98E-4DD9-A8E7-BA6384086F5C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1244" name="Freeform 10695">
          <a:extLst>
            <a:ext uri="{FF2B5EF4-FFF2-40B4-BE49-F238E27FC236}">
              <a16:creationId xmlns:a16="http://schemas.microsoft.com/office/drawing/2014/main" id="{9188CF2A-9F7B-44D7-B794-FD830DEFFDF1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1245" name="0/0">
          <a:extLst>
            <a:ext uri="{FF2B5EF4-FFF2-40B4-BE49-F238E27FC236}">
              <a16:creationId xmlns:a16="http://schemas.microsoft.com/office/drawing/2014/main" id="{103F91BD-D557-4CF6-A950-AF96D1C89DD3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1246" name="Freeform 10695">
          <a:extLst>
            <a:ext uri="{FF2B5EF4-FFF2-40B4-BE49-F238E27FC236}">
              <a16:creationId xmlns:a16="http://schemas.microsoft.com/office/drawing/2014/main" id="{060CDF28-7D05-422F-B995-3C42A8FABEDE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1247" name="0/0">
          <a:extLst>
            <a:ext uri="{FF2B5EF4-FFF2-40B4-BE49-F238E27FC236}">
              <a16:creationId xmlns:a16="http://schemas.microsoft.com/office/drawing/2014/main" id="{7E7E0F8C-861F-42E5-A428-2041F6C772EB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1248" name="Freeform 10695">
          <a:extLst>
            <a:ext uri="{FF2B5EF4-FFF2-40B4-BE49-F238E27FC236}">
              <a16:creationId xmlns:a16="http://schemas.microsoft.com/office/drawing/2014/main" id="{D22A88C5-85E4-41CE-A532-3840374D672E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1249" name="0/0">
          <a:extLst>
            <a:ext uri="{FF2B5EF4-FFF2-40B4-BE49-F238E27FC236}">
              <a16:creationId xmlns:a16="http://schemas.microsoft.com/office/drawing/2014/main" id="{C1AFFF7F-D4E7-43D1-82D0-3D2112E790AD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1250" name="Freeform 10695">
          <a:extLst>
            <a:ext uri="{FF2B5EF4-FFF2-40B4-BE49-F238E27FC236}">
              <a16:creationId xmlns:a16="http://schemas.microsoft.com/office/drawing/2014/main" id="{1939B955-92C6-4528-8383-D654AB8D35A9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1251" name="0/0">
          <a:extLst>
            <a:ext uri="{FF2B5EF4-FFF2-40B4-BE49-F238E27FC236}">
              <a16:creationId xmlns:a16="http://schemas.microsoft.com/office/drawing/2014/main" id="{A1922388-F865-4C27-BDC4-2F583952110B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1252" name="Freeform 10695">
          <a:extLst>
            <a:ext uri="{FF2B5EF4-FFF2-40B4-BE49-F238E27FC236}">
              <a16:creationId xmlns:a16="http://schemas.microsoft.com/office/drawing/2014/main" id="{1DAE4E76-45BB-4489-B9E1-6F97C958EFA8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1253" name="0/0">
          <a:extLst>
            <a:ext uri="{FF2B5EF4-FFF2-40B4-BE49-F238E27FC236}">
              <a16:creationId xmlns:a16="http://schemas.microsoft.com/office/drawing/2014/main" id="{1EFDBF19-57AA-4A97-8646-E6F3B1E7B272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1254" name="Freeform 10695">
          <a:extLst>
            <a:ext uri="{FF2B5EF4-FFF2-40B4-BE49-F238E27FC236}">
              <a16:creationId xmlns:a16="http://schemas.microsoft.com/office/drawing/2014/main" id="{079A9B0A-DCE5-405B-8101-28B100E00993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1255" name="0/0">
          <a:extLst>
            <a:ext uri="{FF2B5EF4-FFF2-40B4-BE49-F238E27FC236}">
              <a16:creationId xmlns:a16="http://schemas.microsoft.com/office/drawing/2014/main" id="{133930C9-DB5C-491E-9EE0-624A47A9DB32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1256" name="Freeform 10695">
          <a:extLst>
            <a:ext uri="{FF2B5EF4-FFF2-40B4-BE49-F238E27FC236}">
              <a16:creationId xmlns:a16="http://schemas.microsoft.com/office/drawing/2014/main" id="{25C54EFA-02F7-498B-ADAF-F7A107F3C712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1257" name="0/0">
          <a:extLst>
            <a:ext uri="{FF2B5EF4-FFF2-40B4-BE49-F238E27FC236}">
              <a16:creationId xmlns:a16="http://schemas.microsoft.com/office/drawing/2014/main" id="{6502E98C-7795-42EE-9149-E0AE91029B0D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1258" name="Freeform 10695">
          <a:extLst>
            <a:ext uri="{FF2B5EF4-FFF2-40B4-BE49-F238E27FC236}">
              <a16:creationId xmlns:a16="http://schemas.microsoft.com/office/drawing/2014/main" id="{1DE8E298-602D-4B67-A8E9-1B7E0E4C368A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1259" name="0/0">
          <a:extLst>
            <a:ext uri="{FF2B5EF4-FFF2-40B4-BE49-F238E27FC236}">
              <a16:creationId xmlns:a16="http://schemas.microsoft.com/office/drawing/2014/main" id="{D0687776-0681-4765-BBAA-3270704B3871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1260" name="Freeform 10695">
          <a:extLst>
            <a:ext uri="{FF2B5EF4-FFF2-40B4-BE49-F238E27FC236}">
              <a16:creationId xmlns:a16="http://schemas.microsoft.com/office/drawing/2014/main" id="{03D19409-FE6A-4CBE-83BB-1DE75A2CCA1F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1261" name="0/0">
          <a:extLst>
            <a:ext uri="{FF2B5EF4-FFF2-40B4-BE49-F238E27FC236}">
              <a16:creationId xmlns:a16="http://schemas.microsoft.com/office/drawing/2014/main" id="{18AC5AD6-55A3-4477-A441-79412F7ECD06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1262" name="Freeform 10695">
          <a:extLst>
            <a:ext uri="{FF2B5EF4-FFF2-40B4-BE49-F238E27FC236}">
              <a16:creationId xmlns:a16="http://schemas.microsoft.com/office/drawing/2014/main" id="{D107CD03-BB17-4F4F-A6F9-3018A99D036E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1263" name="0/0">
          <a:extLst>
            <a:ext uri="{FF2B5EF4-FFF2-40B4-BE49-F238E27FC236}">
              <a16:creationId xmlns:a16="http://schemas.microsoft.com/office/drawing/2014/main" id="{62316DF6-5DA0-436E-A057-37CAEFCB6D57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1264" name="Freeform 10695">
          <a:extLst>
            <a:ext uri="{FF2B5EF4-FFF2-40B4-BE49-F238E27FC236}">
              <a16:creationId xmlns:a16="http://schemas.microsoft.com/office/drawing/2014/main" id="{566C7634-D2EF-4AD3-B10F-B92C269113AF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1265" name="0/0">
          <a:extLst>
            <a:ext uri="{FF2B5EF4-FFF2-40B4-BE49-F238E27FC236}">
              <a16:creationId xmlns:a16="http://schemas.microsoft.com/office/drawing/2014/main" id="{A11E492A-BA45-47D3-80C4-C0F998F851B6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1266" name="Freeform 10695">
          <a:extLst>
            <a:ext uri="{FF2B5EF4-FFF2-40B4-BE49-F238E27FC236}">
              <a16:creationId xmlns:a16="http://schemas.microsoft.com/office/drawing/2014/main" id="{B28646F5-6E96-4533-951B-5A01003B9DB7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1267" name="0/0">
          <a:extLst>
            <a:ext uri="{FF2B5EF4-FFF2-40B4-BE49-F238E27FC236}">
              <a16:creationId xmlns:a16="http://schemas.microsoft.com/office/drawing/2014/main" id="{AFF05E3B-2B2E-4574-ACC7-0F6214D19965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1268" name="Freeform 10695">
          <a:extLst>
            <a:ext uri="{FF2B5EF4-FFF2-40B4-BE49-F238E27FC236}">
              <a16:creationId xmlns:a16="http://schemas.microsoft.com/office/drawing/2014/main" id="{97965BFC-8C9D-4A01-A82C-DFD6CDA718DE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1269" name="0/0">
          <a:extLst>
            <a:ext uri="{FF2B5EF4-FFF2-40B4-BE49-F238E27FC236}">
              <a16:creationId xmlns:a16="http://schemas.microsoft.com/office/drawing/2014/main" id="{56D856E6-2E17-4531-9C5C-00F1204ADA70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1270" name="Freeform 10695">
          <a:extLst>
            <a:ext uri="{FF2B5EF4-FFF2-40B4-BE49-F238E27FC236}">
              <a16:creationId xmlns:a16="http://schemas.microsoft.com/office/drawing/2014/main" id="{D863E9A3-E603-48BD-A0A7-27BBE1E9FDC8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1271" name="0/0">
          <a:extLst>
            <a:ext uri="{FF2B5EF4-FFF2-40B4-BE49-F238E27FC236}">
              <a16:creationId xmlns:a16="http://schemas.microsoft.com/office/drawing/2014/main" id="{A0D589CB-9E12-46C3-A7D4-242A8A2D040F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1272" name="Freeform 10695">
          <a:extLst>
            <a:ext uri="{FF2B5EF4-FFF2-40B4-BE49-F238E27FC236}">
              <a16:creationId xmlns:a16="http://schemas.microsoft.com/office/drawing/2014/main" id="{B4E8B0FE-974C-4801-8C15-91F0ACB6B02A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1273" name="0/0">
          <a:extLst>
            <a:ext uri="{FF2B5EF4-FFF2-40B4-BE49-F238E27FC236}">
              <a16:creationId xmlns:a16="http://schemas.microsoft.com/office/drawing/2014/main" id="{85FBB877-2124-4251-B235-B6D604D4E3B5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1274" name="Freeform 10695">
          <a:extLst>
            <a:ext uri="{FF2B5EF4-FFF2-40B4-BE49-F238E27FC236}">
              <a16:creationId xmlns:a16="http://schemas.microsoft.com/office/drawing/2014/main" id="{30A2CE66-E442-4881-AE35-F975A2F33333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1275" name="0/0">
          <a:extLst>
            <a:ext uri="{FF2B5EF4-FFF2-40B4-BE49-F238E27FC236}">
              <a16:creationId xmlns:a16="http://schemas.microsoft.com/office/drawing/2014/main" id="{04766E62-B367-4E5D-87B5-16D30946E308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1276" name="Freeform 10695">
          <a:extLst>
            <a:ext uri="{FF2B5EF4-FFF2-40B4-BE49-F238E27FC236}">
              <a16:creationId xmlns:a16="http://schemas.microsoft.com/office/drawing/2014/main" id="{8CF1425F-1627-41A9-9C42-F16533FB7C0D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1277" name="0/0">
          <a:extLst>
            <a:ext uri="{FF2B5EF4-FFF2-40B4-BE49-F238E27FC236}">
              <a16:creationId xmlns:a16="http://schemas.microsoft.com/office/drawing/2014/main" id="{4BD87EE3-BA77-43BD-B409-2BB9DBE19DB6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1278" name="Freeform 10695">
          <a:extLst>
            <a:ext uri="{FF2B5EF4-FFF2-40B4-BE49-F238E27FC236}">
              <a16:creationId xmlns:a16="http://schemas.microsoft.com/office/drawing/2014/main" id="{B8D9FB5C-AE7B-45B7-B789-2FC11DA472A9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1279" name="0/0">
          <a:extLst>
            <a:ext uri="{FF2B5EF4-FFF2-40B4-BE49-F238E27FC236}">
              <a16:creationId xmlns:a16="http://schemas.microsoft.com/office/drawing/2014/main" id="{043BC379-7DCA-4FB2-82B0-F9431471433C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1280" name="Freeform 10695">
          <a:extLst>
            <a:ext uri="{FF2B5EF4-FFF2-40B4-BE49-F238E27FC236}">
              <a16:creationId xmlns:a16="http://schemas.microsoft.com/office/drawing/2014/main" id="{2464FDF6-2912-4339-93EB-BF662795F541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1281" name="0/0">
          <a:extLst>
            <a:ext uri="{FF2B5EF4-FFF2-40B4-BE49-F238E27FC236}">
              <a16:creationId xmlns:a16="http://schemas.microsoft.com/office/drawing/2014/main" id="{69C765C2-86B3-40FF-B5E1-2405092C8BD9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1282" name="Freeform 10695">
          <a:extLst>
            <a:ext uri="{FF2B5EF4-FFF2-40B4-BE49-F238E27FC236}">
              <a16:creationId xmlns:a16="http://schemas.microsoft.com/office/drawing/2014/main" id="{401F99A0-423B-4781-87B5-B7E94A8EB92A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1283" name="0/0">
          <a:extLst>
            <a:ext uri="{FF2B5EF4-FFF2-40B4-BE49-F238E27FC236}">
              <a16:creationId xmlns:a16="http://schemas.microsoft.com/office/drawing/2014/main" id="{D5303164-C525-4A2C-BA36-F429CA6D1656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1284" name="Freeform 10695">
          <a:extLst>
            <a:ext uri="{FF2B5EF4-FFF2-40B4-BE49-F238E27FC236}">
              <a16:creationId xmlns:a16="http://schemas.microsoft.com/office/drawing/2014/main" id="{951D9185-D2D0-432C-85A2-00E4F5A28579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1285" name="0/0">
          <a:extLst>
            <a:ext uri="{FF2B5EF4-FFF2-40B4-BE49-F238E27FC236}">
              <a16:creationId xmlns:a16="http://schemas.microsoft.com/office/drawing/2014/main" id="{A39B4189-4FEB-4613-987A-3512CB03E1A5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1286" name="Freeform 10695">
          <a:extLst>
            <a:ext uri="{FF2B5EF4-FFF2-40B4-BE49-F238E27FC236}">
              <a16:creationId xmlns:a16="http://schemas.microsoft.com/office/drawing/2014/main" id="{3BF08A93-2560-4EDD-A2FF-52182EC5D1B6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1287" name="0/0">
          <a:extLst>
            <a:ext uri="{FF2B5EF4-FFF2-40B4-BE49-F238E27FC236}">
              <a16:creationId xmlns:a16="http://schemas.microsoft.com/office/drawing/2014/main" id="{F081984E-6BC0-4258-AB29-561CEA12B4D9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1288" name="Freeform 10695">
          <a:extLst>
            <a:ext uri="{FF2B5EF4-FFF2-40B4-BE49-F238E27FC236}">
              <a16:creationId xmlns:a16="http://schemas.microsoft.com/office/drawing/2014/main" id="{7D5D8E2C-F1E2-42FC-9478-49785CBAF8FB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1289" name="0/0">
          <a:extLst>
            <a:ext uri="{FF2B5EF4-FFF2-40B4-BE49-F238E27FC236}">
              <a16:creationId xmlns:a16="http://schemas.microsoft.com/office/drawing/2014/main" id="{8136E82A-638B-4668-B147-AD8165B3FC74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1290" name="Freeform 10695">
          <a:extLst>
            <a:ext uri="{FF2B5EF4-FFF2-40B4-BE49-F238E27FC236}">
              <a16:creationId xmlns:a16="http://schemas.microsoft.com/office/drawing/2014/main" id="{1D8081C6-4E8D-401E-A85C-A03C3C77047F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1291" name="0/0">
          <a:extLst>
            <a:ext uri="{FF2B5EF4-FFF2-40B4-BE49-F238E27FC236}">
              <a16:creationId xmlns:a16="http://schemas.microsoft.com/office/drawing/2014/main" id="{18B8D5C7-F170-42FF-9918-881E12DC8101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1292" name="Freeform 10695">
          <a:extLst>
            <a:ext uri="{FF2B5EF4-FFF2-40B4-BE49-F238E27FC236}">
              <a16:creationId xmlns:a16="http://schemas.microsoft.com/office/drawing/2014/main" id="{6534B174-DE10-4F3E-B0DB-11EBA025F9D5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1293" name="0/0">
          <a:extLst>
            <a:ext uri="{FF2B5EF4-FFF2-40B4-BE49-F238E27FC236}">
              <a16:creationId xmlns:a16="http://schemas.microsoft.com/office/drawing/2014/main" id="{CB66EDD0-86F3-45B7-92B7-AB7C8034AC57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1294" name="Freeform 10695">
          <a:extLst>
            <a:ext uri="{FF2B5EF4-FFF2-40B4-BE49-F238E27FC236}">
              <a16:creationId xmlns:a16="http://schemas.microsoft.com/office/drawing/2014/main" id="{91EA327C-8284-400A-B2C3-769D7A7D40D4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1295" name="0/0">
          <a:extLst>
            <a:ext uri="{FF2B5EF4-FFF2-40B4-BE49-F238E27FC236}">
              <a16:creationId xmlns:a16="http://schemas.microsoft.com/office/drawing/2014/main" id="{286CF867-5608-41A0-AA35-AF288ED17E94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1296" name="Freeform 10695">
          <a:extLst>
            <a:ext uri="{FF2B5EF4-FFF2-40B4-BE49-F238E27FC236}">
              <a16:creationId xmlns:a16="http://schemas.microsoft.com/office/drawing/2014/main" id="{F91645E7-DE96-44EA-AACD-A5D0EAF006B5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1297" name="0/0">
          <a:extLst>
            <a:ext uri="{FF2B5EF4-FFF2-40B4-BE49-F238E27FC236}">
              <a16:creationId xmlns:a16="http://schemas.microsoft.com/office/drawing/2014/main" id="{443D6CF5-DDF1-4F41-80B7-26C7D92ED188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1298" name="Freeform 10695">
          <a:extLst>
            <a:ext uri="{FF2B5EF4-FFF2-40B4-BE49-F238E27FC236}">
              <a16:creationId xmlns:a16="http://schemas.microsoft.com/office/drawing/2014/main" id="{129A2A3F-1F0E-4918-BCCD-2B6191B85ED9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1299" name="0/0">
          <a:extLst>
            <a:ext uri="{FF2B5EF4-FFF2-40B4-BE49-F238E27FC236}">
              <a16:creationId xmlns:a16="http://schemas.microsoft.com/office/drawing/2014/main" id="{C647CA05-A8B5-461B-84B7-7BC3BBA4E440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1300" name="Freeform 10695">
          <a:extLst>
            <a:ext uri="{FF2B5EF4-FFF2-40B4-BE49-F238E27FC236}">
              <a16:creationId xmlns:a16="http://schemas.microsoft.com/office/drawing/2014/main" id="{1467F366-8E95-4C3B-9F34-553979BF52AB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1301" name="0/0">
          <a:extLst>
            <a:ext uri="{FF2B5EF4-FFF2-40B4-BE49-F238E27FC236}">
              <a16:creationId xmlns:a16="http://schemas.microsoft.com/office/drawing/2014/main" id="{8F32ED7F-F559-42B2-B0EE-7195AB613CB9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1302" name="Freeform 10695">
          <a:extLst>
            <a:ext uri="{FF2B5EF4-FFF2-40B4-BE49-F238E27FC236}">
              <a16:creationId xmlns:a16="http://schemas.microsoft.com/office/drawing/2014/main" id="{24BDA44A-A85B-4E01-941D-8CE744B6B459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1303" name="0/0">
          <a:extLst>
            <a:ext uri="{FF2B5EF4-FFF2-40B4-BE49-F238E27FC236}">
              <a16:creationId xmlns:a16="http://schemas.microsoft.com/office/drawing/2014/main" id="{13C8B04D-D251-4B6F-A06C-A1B7EC73C54B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1304" name="Freeform 10695">
          <a:extLst>
            <a:ext uri="{FF2B5EF4-FFF2-40B4-BE49-F238E27FC236}">
              <a16:creationId xmlns:a16="http://schemas.microsoft.com/office/drawing/2014/main" id="{EC6D9984-5242-4509-977F-EE49869736FD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1305" name="0/0">
          <a:extLst>
            <a:ext uri="{FF2B5EF4-FFF2-40B4-BE49-F238E27FC236}">
              <a16:creationId xmlns:a16="http://schemas.microsoft.com/office/drawing/2014/main" id="{EA66D34C-F8C2-4258-9AED-AA3271CD6FA7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1306" name="0/0">
          <a:extLst>
            <a:ext uri="{FF2B5EF4-FFF2-40B4-BE49-F238E27FC236}">
              <a16:creationId xmlns:a16="http://schemas.microsoft.com/office/drawing/2014/main" id="{0F60DB83-F3D1-4C6A-A20A-6C31364AD034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1307" name="Freeform 10695">
          <a:extLst>
            <a:ext uri="{FF2B5EF4-FFF2-40B4-BE49-F238E27FC236}">
              <a16:creationId xmlns:a16="http://schemas.microsoft.com/office/drawing/2014/main" id="{FE2E4F62-93E6-461D-951B-E1BFD9F1D325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1308" name="0/0">
          <a:extLst>
            <a:ext uri="{FF2B5EF4-FFF2-40B4-BE49-F238E27FC236}">
              <a16:creationId xmlns:a16="http://schemas.microsoft.com/office/drawing/2014/main" id="{86FAF8A3-9550-437A-8394-2370599E228B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1309" name="Freeform 10695">
          <a:extLst>
            <a:ext uri="{FF2B5EF4-FFF2-40B4-BE49-F238E27FC236}">
              <a16:creationId xmlns:a16="http://schemas.microsoft.com/office/drawing/2014/main" id="{7777E0B2-F784-42E3-8AE9-5C3E17C70A63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1310" name="0/0">
          <a:extLst>
            <a:ext uri="{FF2B5EF4-FFF2-40B4-BE49-F238E27FC236}">
              <a16:creationId xmlns:a16="http://schemas.microsoft.com/office/drawing/2014/main" id="{CAB3BAEE-B0FF-4C45-8C6D-4A2C50857032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1311" name="Freeform 10695">
          <a:extLst>
            <a:ext uri="{FF2B5EF4-FFF2-40B4-BE49-F238E27FC236}">
              <a16:creationId xmlns:a16="http://schemas.microsoft.com/office/drawing/2014/main" id="{4D1119EE-34E3-4D3D-9998-8F5D7088B572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1312" name="0/0">
          <a:extLst>
            <a:ext uri="{FF2B5EF4-FFF2-40B4-BE49-F238E27FC236}">
              <a16:creationId xmlns:a16="http://schemas.microsoft.com/office/drawing/2014/main" id="{43BB1243-827A-4199-9B58-A978F50D7392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1313" name="Freeform 10695">
          <a:extLst>
            <a:ext uri="{FF2B5EF4-FFF2-40B4-BE49-F238E27FC236}">
              <a16:creationId xmlns:a16="http://schemas.microsoft.com/office/drawing/2014/main" id="{622A3DE7-0F3A-4B2F-A195-2D412CDC38D8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1314" name="0/0">
          <a:extLst>
            <a:ext uri="{FF2B5EF4-FFF2-40B4-BE49-F238E27FC236}">
              <a16:creationId xmlns:a16="http://schemas.microsoft.com/office/drawing/2014/main" id="{31ED38F4-87B6-4A87-9A4C-8314073CA2D8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1315" name="Freeform 10695">
          <a:extLst>
            <a:ext uri="{FF2B5EF4-FFF2-40B4-BE49-F238E27FC236}">
              <a16:creationId xmlns:a16="http://schemas.microsoft.com/office/drawing/2014/main" id="{5977E4BA-DBB9-4892-A3A9-3E4E0D21C471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1316" name="0/0">
          <a:extLst>
            <a:ext uri="{FF2B5EF4-FFF2-40B4-BE49-F238E27FC236}">
              <a16:creationId xmlns:a16="http://schemas.microsoft.com/office/drawing/2014/main" id="{20372CEE-38EA-465F-94E8-51AFF08434FC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1317" name="Freeform 10695">
          <a:extLst>
            <a:ext uri="{FF2B5EF4-FFF2-40B4-BE49-F238E27FC236}">
              <a16:creationId xmlns:a16="http://schemas.microsoft.com/office/drawing/2014/main" id="{BB7B441B-8289-4A13-A5C7-443F90CCAADA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1318" name="0/0">
          <a:extLst>
            <a:ext uri="{FF2B5EF4-FFF2-40B4-BE49-F238E27FC236}">
              <a16:creationId xmlns:a16="http://schemas.microsoft.com/office/drawing/2014/main" id="{292D9566-89C8-43E3-91FA-431D2B15C271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1319" name="Freeform 10695">
          <a:extLst>
            <a:ext uri="{FF2B5EF4-FFF2-40B4-BE49-F238E27FC236}">
              <a16:creationId xmlns:a16="http://schemas.microsoft.com/office/drawing/2014/main" id="{0777C385-C1EE-4EEE-A579-DD6118690CDE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1320" name="0/0">
          <a:extLst>
            <a:ext uri="{FF2B5EF4-FFF2-40B4-BE49-F238E27FC236}">
              <a16:creationId xmlns:a16="http://schemas.microsoft.com/office/drawing/2014/main" id="{82B7F494-E0FE-4D42-8F94-4B7643DA21E1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1321" name="Freeform 10695">
          <a:extLst>
            <a:ext uri="{FF2B5EF4-FFF2-40B4-BE49-F238E27FC236}">
              <a16:creationId xmlns:a16="http://schemas.microsoft.com/office/drawing/2014/main" id="{CE4ABE8E-7D1E-4435-8F44-ACAB49575F13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1322" name="0/0">
          <a:extLst>
            <a:ext uri="{FF2B5EF4-FFF2-40B4-BE49-F238E27FC236}">
              <a16:creationId xmlns:a16="http://schemas.microsoft.com/office/drawing/2014/main" id="{4F30BA4A-7589-4D7B-80B9-1B1ADE38A0C1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1323" name="Freeform 10695">
          <a:extLst>
            <a:ext uri="{FF2B5EF4-FFF2-40B4-BE49-F238E27FC236}">
              <a16:creationId xmlns:a16="http://schemas.microsoft.com/office/drawing/2014/main" id="{F90C99F3-CBC9-4547-A62A-3128F9FA3E16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1324" name="0/0">
          <a:extLst>
            <a:ext uri="{FF2B5EF4-FFF2-40B4-BE49-F238E27FC236}">
              <a16:creationId xmlns:a16="http://schemas.microsoft.com/office/drawing/2014/main" id="{B3BC5F97-E148-4B7E-A4BD-933C82CC04D1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1325" name="Freeform 10695">
          <a:extLst>
            <a:ext uri="{FF2B5EF4-FFF2-40B4-BE49-F238E27FC236}">
              <a16:creationId xmlns:a16="http://schemas.microsoft.com/office/drawing/2014/main" id="{6A00E1F0-FBCE-4B77-A000-84E6ACA97F67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1326" name="0/0">
          <a:extLst>
            <a:ext uri="{FF2B5EF4-FFF2-40B4-BE49-F238E27FC236}">
              <a16:creationId xmlns:a16="http://schemas.microsoft.com/office/drawing/2014/main" id="{9E91D347-6236-45FB-951E-88491C6BBAEE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1327" name="0/0">
          <a:extLst>
            <a:ext uri="{FF2B5EF4-FFF2-40B4-BE49-F238E27FC236}">
              <a16:creationId xmlns:a16="http://schemas.microsoft.com/office/drawing/2014/main" id="{73DC1B57-61B6-4C69-9829-7E0C91C4A7A6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1328" name="Freeform 10695">
          <a:extLst>
            <a:ext uri="{FF2B5EF4-FFF2-40B4-BE49-F238E27FC236}">
              <a16:creationId xmlns:a16="http://schemas.microsoft.com/office/drawing/2014/main" id="{C989E64E-39B1-4202-8D68-F5D20734483E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1329" name="0/0">
          <a:extLst>
            <a:ext uri="{FF2B5EF4-FFF2-40B4-BE49-F238E27FC236}">
              <a16:creationId xmlns:a16="http://schemas.microsoft.com/office/drawing/2014/main" id="{B596194B-5F7A-40E8-B8B2-26EAB67B961F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1330" name="Freeform 10695">
          <a:extLst>
            <a:ext uri="{FF2B5EF4-FFF2-40B4-BE49-F238E27FC236}">
              <a16:creationId xmlns:a16="http://schemas.microsoft.com/office/drawing/2014/main" id="{2D98C0E7-7403-46BD-8836-65B5181D900E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1331" name="0/0">
          <a:extLst>
            <a:ext uri="{FF2B5EF4-FFF2-40B4-BE49-F238E27FC236}">
              <a16:creationId xmlns:a16="http://schemas.microsoft.com/office/drawing/2014/main" id="{C47E5D03-AD69-4DCB-9C79-609D42FE38CE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1332" name="Freeform 10695">
          <a:extLst>
            <a:ext uri="{FF2B5EF4-FFF2-40B4-BE49-F238E27FC236}">
              <a16:creationId xmlns:a16="http://schemas.microsoft.com/office/drawing/2014/main" id="{41CA3839-8C61-4031-931E-9DF2A1A84641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1333" name="0/0">
          <a:extLst>
            <a:ext uri="{FF2B5EF4-FFF2-40B4-BE49-F238E27FC236}">
              <a16:creationId xmlns:a16="http://schemas.microsoft.com/office/drawing/2014/main" id="{B0DDBE40-EC9A-4F64-A905-904E71487107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1334" name="Freeform 10695">
          <a:extLst>
            <a:ext uri="{FF2B5EF4-FFF2-40B4-BE49-F238E27FC236}">
              <a16:creationId xmlns:a16="http://schemas.microsoft.com/office/drawing/2014/main" id="{8DBF0FD4-5851-4889-AD68-EBC4501E44D4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1335" name="0/0">
          <a:extLst>
            <a:ext uri="{FF2B5EF4-FFF2-40B4-BE49-F238E27FC236}">
              <a16:creationId xmlns:a16="http://schemas.microsoft.com/office/drawing/2014/main" id="{40E46C90-A26F-4CBB-BC56-AB6E6190B37A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1336" name="Freeform 10695">
          <a:extLst>
            <a:ext uri="{FF2B5EF4-FFF2-40B4-BE49-F238E27FC236}">
              <a16:creationId xmlns:a16="http://schemas.microsoft.com/office/drawing/2014/main" id="{F58D0EFC-591D-4A8B-87D6-7C1AF8BC1332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1337" name="0/0">
          <a:extLst>
            <a:ext uri="{FF2B5EF4-FFF2-40B4-BE49-F238E27FC236}">
              <a16:creationId xmlns:a16="http://schemas.microsoft.com/office/drawing/2014/main" id="{598278EF-408A-47BD-8CEA-094BE0D684C0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1338" name="Freeform 10695">
          <a:extLst>
            <a:ext uri="{FF2B5EF4-FFF2-40B4-BE49-F238E27FC236}">
              <a16:creationId xmlns:a16="http://schemas.microsoft.com/office/drawing/2014/main" id="{95EFC2F0-26FE-476E-8AD5-EE39D95007C4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1339" name="0/0">
          <a:extLst>
            <a:ext uri="{FF2B5EF4-FFF2-40B4-BE49-F238E27FC236}">
              <a16:creationId xmlns:a16="http://schemas.microsoft.com/office/drawing/2014/main" id="{3822B1F6-018C-46E4-B5AD-C912F949F3A3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1340" name="Freeform 10695">
          <a:extLst>
            <a:ext uri="{FF2B5EF4-FFF2-40B4-BE49-F238E27FC236}">
              <a16:creationId xmlns:a16="http://schemas.microsoft.com/office/drawing/2014/main" id="{51ADFAD9-416B-42A6-B5E0-2EFB51B16F01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1341" name="0/0">
          <a:extLst>
            <a:ext uri="{FF2B5EF4-FFF2-40B4-BE49-F238E27FC236}">
              <a16:creationId xmlns:a16="http://schemas.microsoft.com/office/drawing/2014/main" id="{D2367814-61AF-4459-9469-10A11A141B8C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1342" name="Freeform 10695">
          <a:extLst>
            <a:ext uri="{FF2B5EF4-FFF2-40B4-BE49-F238E27FC236}">
              <a16:creationId xmlns:a16="http://schemas.microsoft.com/office/drawing/2014/main" id="{90A37E3E-3516-4268-A1DB-A50C6F7D0B5C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1343" name="0/0">
          <a:extLst>
            <a:ext uri="{FF2B5EF4-FFF2-40B4-BE49-F238E27FC236}">
              <a16:creationId xmlns:a16="http://schemas.microsoft.com/office/drawing/2014/main" id="{CC67459D-ED96-4B16-85C0-6CA14563C340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1344" name="Freeform 10695">
          <a:extLst>
            <a:ext uri="{FF2B5EF4-FFF2-40B4-BE49-F238E27FC236}">
              <a16:creationId xmlns:a16="http://schemas.microsoft.com/office/drawing/2014/main" id="{BB68A7E4-4E0B-4B59-9DF5-DE5B057FC2F1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1345" name="0/0">
          <a:extLst>
            <a:ext uri="{FF2B5EF4-FFF2-40B4-BE49-F238E27FC236}">
              <a16:creationId xmlns:a16="http://schemas.microsoft.com/office/drawing/2014/main" id="{F761CF1B-6162-4ECF-89EC-D34E10154DB7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1346" name="Freeform 10695">
          <a:extLst>
            <a:ext uri="{FF2B5EF4-FFF2-40B4-BE49-F238E27FC236}">
              <a16:creationId xmlns:a16="http://schemas.microsoft.com/office/drawing/2014/main" id="{79057E1D-6286-4F7E-8361-2BAA7A245DFB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1347" name="0/0">
          <a:extLst>
            <a:ext uri="{FF2B5EF4-FFF2-40B4-BE49-F238E27FC236}">
              <a16:creationId xmlns:a16="http://schemas.microsoft.com/office/drawing/2014/main" id="{198E25FD-0BD8-4222-8280-3C101D054BBB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1348" name="0/0">
          <a:extLst>
            <a:ext uri="{FF2B5EF4-FFF2-40B4-BE49-F238E27FC236}">
              <a16:creationId xmlns:a16="http://schemas.microsoft.com/office/drawing/2014/main" id="{C59D1C58-1F3B-41A5-BBDA-3B38A0C6F3B2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1349" name="Freeform 10695">
          <a:extLst>
            <a:ext uri="{FF2B5EF4-FFF2-40B4-BE49-F238E27FC236}">
              <a16:creationId xmlns:a16="http://schemas.microsoft.com/office/drawing/2014/main" id="{DA64B955-51E6-4E31-B316-3EF83AF5C9B0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1350" name="0/0">
          <a:extLst>
            <a:ext uri="{FF2B5EF4-FFF2-40B4-BE49-F238E27FC236}">
              <a16:creationId xmlns:a16="http://schemas.microsoft.com/office/drawing/2014/main" id="{7F23C10B-7D90-48FA-8166-F893EC5B5474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1351" name="Freeform 10695">
          <a:extLst>
            <a:ext uri="{FF2B5EF4-FFF2-40B4-BE49-F238E27FC236}">
              <a16:creationId xmlns:a16="http://schemas.microsoft.com/office/drawing/2014/main" id="{10ABB13D-FC85-42DF-86DB-26F575BB0284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1352" name="0/0">
          <a:extLst>
            <a:ext uri="{FF2B5EF4-FFF2-40B4-BE49-F238E27FC236}">
              <a16:creationId xmlns:a16="http://schemas.microsoft.com/office/drawing/2014/main" id="{45CB67F0-AF67-48CE-905C-76879BEEFD26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1353" name="Freeform 10695">
          <a:extLst>
            <a:ext uri="{FF2B5EF4-FFF2-40B4-BE49-F238E27FC236}">
              <a16:creationId xmlns:a16="http://schemas.microsoft.com/office/drawing/2014/main" id="{8EEAB627-E1E0-49B4-99EF-9B7AA934BBA7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1354" name="0/0">
          <a:extLst>
            <a:ext uri="{FF2B5EF4-FFF2-40B4-BE49-F238E27FC236}">
              <a16:creationId xmlns:a16="http://schemas.microsoft.com/office/drawing/2014/main" id="{CB22465A-ECBA-4DCF-A522-820B15F0E6CE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1355" name="Freeform 10695">
          <a:extLst>
            <a:ext uri="{FF2B5EF4-FFF2-40B4-BE49-F238E27FC236}">
              <a16:creationId xmlns:a16="http://schemas.microsoft.com/office/drawing/2014/main" id="{48F08A5E-A681-4C0A-AAEB-394F61493346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1356" name="0/0">
          <a:extLst>
            <a:ext uri="{FF2B5EF4-FFF2-40B4-BE49-F238E27FC236}">
              <a16:creationId xmlns:a16="http://schemas.microsoft.com/office/drawing/2014/main" id="{4B740887-7887-4E08-93F1-8156EE9496BE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1357" name="Freeform 10695">
          <a:extLst>
            <a:ext uri="{FF2B5EF4-FFF2-40B4-BE49-F238E27FC236}">
              <a16:creationId xmlns:a16="http://schemas.microsoft.com/office/drawing/2014/main" id="{F923DB64-EDD5-4003-9B56-E6BB57499484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1358" name="0/0">
          <a:extLst>
            <a:ext uri="{FF2B5EF4-FFF2-40B4-BE49-F238E27FC236}">
              <a16:creationId xmlns:a16="http://schemas.microsoft.com/office/drawing/2014/main" id="{A0252C8B-1CFB-449D-8F3C-E9E35AFC342D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1359" name="Freeform 10695">
          <a:extLst>
            <a:ext uri="{FF2B5EF4-FFF2-40B4-BE49-F238E27FC236}">
              <a16:creationId xmlns:a16="http://schemas.microsoft.com/office/drawing/2014/main" id="{F2E30FB0-B6F9-4D25-820C-AC2A72EF97DC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1360" name="0/0">
          <a:extLst>
            <a:ext uri="{FF2B5EF4-FFF2-40B4-BE49-F238E27FC236}">
              <a16:creationId xmlns:a16="http://schemas.microsoft.com/office/drawing/2014/main" id="{12A3576B-7598-4ABB-8999-AA88CBD75F5E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1361" name="Freeform 10695">
          <a:extLst>
            <a:ext uri="{FF2B5EF4-FFF2-40B4-BE49-F238E27FC236}">
              <a16:creationId xmlns:a16="http://schemas.microsoft.com/office/drawing/2014/main" id="{A2EF54ED-0F10-4D79-A5E7-DBDD03D4E53A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1362" name="0/0">
          <a:extLst>
            <a:ext uri="{FF2B5EF4-FFF2-40B4-BE49-F238E27FC236}">
              <a16:creationId xmlns:a16="http://schemas.microsoft.com/office/drawing/2014/main" id="{5C9D4637-3F87-4847-9218-A811703BF7D8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1363" name="Freeform 10695">
          <a:extLst>
            <a:ext uri="{FF2B5EF4-FFF2-40B4-BE49-F238E27FC236}">
              <a16:creationId xmlns:a16="http://schemas.microsoft.com/office/drawing/2014/main" id="{28E27D65-2717-453E-96E3-8C569DA6C10D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1364" name="0/0">
          <a:extLst>
            <a:ext uri="{FF2B5EF4-FFF2-40B4-BE49-F238E27FC236}">
              <a16:creationId xmlns:a16="http://schemas.microsoft.com/office/drawing/2014/main" id="{277D3C62-D659-4BD1-93B9-EB7230F84547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1365" name="Freeform 10695">
          <a:extLst>
            <a:ext uri="{FF2B5EF4-FFF2-40B4-BE49-F238E27FC236}">
              <a16:creationId xmlns:a16="http://schemas.microsoft.com/office/drawing/2014/main" id="{F8612344-33DB-4C34-8169-3DDE76E8FFD3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1366" name="0/0">
          <a:extLst>
            <a:ext uri="{FF2B5EF4-FFF2-40B4-BE49-F238E27FC236}">
              <a16:creationId xmlns:a16="http://schemas.microsoft.com/office/drawing/2014/main" id="{8D60B845-CED0-4573-AB8B-8C60F89AC261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1367" name="Freeform 10695">
          <a:extLst>
            <a:ext uri="{FF2B5EF4-FFF2-40B4-BE49-F238E27FC236}">
              <a16:creationId xmlns:a16="http://schemas.microsoft.com/office/drawing/2014/main" id="{5BD0B187-DA64-4404-BA68-BD40E6E8964D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1368" name="0/0">
          <a:extLst>
            <a:ext uri="{FF2B5EF4-FFF2-40B4-BE49-F238E27FC236}">
              <a16:creationId xmlns:a16="http://schemas.microsoft.com/office/drawing/2014/main" id="{F6CCF445-E1E9-4373-8DFB-8AE7E507A56C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1369" name="0/0">
          <a:extLst>
            <a:ext uri="{FF2B5EF4-FFF2-40B4-BE49-F238E27FC236}">
              <a16:creationId xmlns:a16="http://schemas.microsoft.com/office/drawing/2014/main" id="{2B459FAC-BFFB-4B38-93AD-7041F4C7280E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1370" name="Freeform 10695">
          <a:extLst>
            <a:ext uri="{FF2B5EF4-FFF2-40B4-BE49-F238E27FC236}">
              <a16:creationId xmlns:a16="http://schemas.microsoft.com/office/drawing/2014/main" id="{863930C7-EB18-44E6-81F3-E10D1A4F741A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1371" name="0/0">
          <a:extLst>
            <a:ext uri="{FF2B5EF4-FFF2-40B4-BE49-F238E27FC236}">
              <a16:creationId xmlns:a16="http://schemas.microsoft.com/office/drawing/2014/main" id="{7CE2F91D-6F67-4823-80E0-27B8B35EB4BA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1372" name="Freeform 10695">
          <a:extLst>
            <a:ext uri="{FF2B5EF4-FFF2-40B4-BE49-F238E27FC236}">
              <a16:creationId xmlns:a16="http://schemas.microsoft.com/office/drawing/2014/main" id="{779937A5-D869-47D1-A18C-0CB9EA6CA5A1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1373" name="0/0">
          <a:extLst>
            <a:ext uri="{FF2B5EF4-FFF2-40B4-BE49-F238E27FC236}">
              <a16:creationId xmlns:a16="http://schemas.microsoft.com/office/drawing/2014/main" id="{E1D0541C-4D36-43E9-A04A-DF4B9E6D3BB7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1374" name="Freeform 10695">
          <a:extLst>
            <a:ext uri="{FF2B5EF4-FFF2-40B4-BE49-F238E27FC236}">
              <a16:creationId xmlns:a16="http://schemas.microsoft.com/office/drawing/2014/main" id="{A307FBC3-4D45-43C0-8D4B-665253A282E9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1375" name="0/0">
          <a:extLst>
            <a:ext uri="{FF2B5EF4-FFF2-40B4-BE49-F238E27FC236}">
              <a16:creationId xmlns:a16="http://schemas.microsoft.com/office/drawing/2014/main" id="{6F917D6A-F20E-4B2B-AFF2-1854F635B769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1376" name="Freeform 10695">
          <a:extLst>
            <a:ext uri="{FF2B5EF4-FFF2-40B4-BE49-F238E27FC236}">
              <a16:creationId xmlns:a16="http://schemas.microsoft.com/office/drawing/2014/main" id="{86DCA02D-4DD8-40E3-9D1A-456F887D6F3F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1377" name="0/0">
          <a:extLst>
            <a:ext uri="{FF2B5EF4-FFF2-40B4-BE49-F238E27FC236}">
              <a16:creationId xmlns:a16="http://schemas.microsoft.com/office/drawing/2014/main" id="{5149D191-563E-4B40-AE1C-B38EF525BDA9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1378" name="Freeform 10695">
          <a:extLst>
            <a:ext uri="{FF2B5EF4-FFF2-40B4-BE49-F238E27FC236}">
              <a16:creationId xmlns:a16="http://schemas.microsoft.com/office/drawing/2014/main" id="{6CFEF50F-67A4-463D-9E4B-B928F400543E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1379" name="0/0">
          <a:extLst>
            <a:ext uri="{FF2B5EF4-FFF2-40B4-BE49-F238E27FC236}">
              <a16:creationId xmlns:a16="http://schemas.microsoft.com/office/drawing/2014/main" id="{D1EAC1F0-3B0B-45AC-8C8C-A14519674E02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1380" name="Freeform 10695">
          <a:extLst>
            <a:ext uri="{FF2B5EF4-FFF2-40B4-BE49-F238E27FC236}">
              <a16:creationId xmlns:a16="http://schemas.microsoft.com/office/drawing/2014/main" id="{2A91AEDA-5DAA-4C66-BA15-2E01D965AF0A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1381" name="0/0">
          <a:extLst>
            <a:ext uri="{FF2B5EF4-FFF2-40B4-BE49-F238E27FC236}">
              <a16:creationId xmlns:a16="http://schemas.microsoft.com/office/drawing/2014/main" id="{80E1740A-EB49-4082-8617-EC883A4013E2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1382" name="Freeform 10695">
          <a:extLst>
            <a:ext uri="{FF2B5EF4-FFF2-40B4-BE49-F238E27FC236}">
              <a16:creationId xmlns:a16="http://schemas.microsoft.com/office/drawing/2014/main" id="{81297B30-4E6D-4D5D-AA19-2A55EF6394F2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1383" name="0/0">
          <a:extLst>
            <a:ext uri="{FF2B5EF4-FFF2-40B4-BE49-F238E27FC236}">
              <a16:creationId xmlns:a16="http://schemas.microsoft.com/office/drawing/2014/main" id="{807E0383-3371-432A-976E-33CC2DA38DE5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1384" name="Freeform 10695">
          <a:extLst>
            <a:ext uri="{FF2B5EF4-FFF2-40B4-BE49-F238E27FC236}">
              <a16:creationId xmlns:a16="http://schemas.microsoft.com/office/drawing/2014/main" id="{06B0FA5F-702F-4AD8-8E67-44D3D1192C11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1385" name="0/0">
          <a:extLst>
            <a:ext uri="{FF2B5EF4-FFF2-40B4-BE49-F238E27FC236}">
              <a16:creationId xmlns:a16="http://schemas.microsoft.com/office/drawing/2014/main" id="{705008CA-4AD5-478A-9474-3971258A9C03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1386" name="Freeform 10695">
          <a:extLst>
            <a:ext uri="{FF2B5EF4-FFF2-40B4-BE49-F238E27FC236}">
              <a16:creationId xmlns:a16="http://schemas.microsoft.com/office/drawing/2014/main" id="{8D160F3B-8CFF-4D22-9C0D-605D8E4102E5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1387" name="0/0">
          <a:extLst>
            <a:ext uri="{FF2B5EF4-FFF2-40B4-BE49-F238E27FC236}">
              <a16:creationId xmlns:a16="http://schemas.microsoft.com/office/drawing/2014/main" id="{7FDEF692-2B53-404C-BDEE-8E45BEB107C0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1388" name="Freeform 10695">
          <a:extLst>
            <a:ext uri="{FF2B5EF4-FFF2-40B4-BE49-F238E27FC236}">
              <a16:creationId xmlns:a16="http://schemas.microsoft.com/office/drawing/2014/main" id="{27AC66CC-0DA5-4759-8069-46FBDEB5DE3F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1389" name="0/0">
          <a:extLst>
            <a:ext uri="{FF2B5EF4-FFF2-40B4-BE49-F238E27FC236}">
              <a16:creationId xmlns:a16="http://schemas.microsoft.com/office/drawing/2014/main" id="{A4C28EF1-7B94-4A5C-8C11-A298EA84EDA2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1390" name="0/0">
          <a:extLst>
            <a:ext uri="{FF2B5EF4-FFF2-40B4-BE49-F238E27FC236}">
              <a16:creationId xmlns:a16="http://schemas.microsoft.com/office/drawing/2014/main" id="{6A6BA504-43B4-417B-A693-446018CCC28C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1391" name="Freeform 10695">
          <a:extLst>
            <a:ext uri="{FF2B5EF4-FFF2-40B4-BE49-F238E27FC236}">
              <a16:creationId xmlns:a16="http://schemas.microsoft.com/office/drawing/2014/main" id="{659D1658-F90A-4ED5-B8F5-BC752F50AEF2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1392" name="0/0">
          <a:extLst>
            <a:ext uri="{FF2B5EF4-FFF2-40B4-BE49-F238E27FC236}">
              <a16:creationId xmlns:a16="http://schemas.microsoft.com/office/drawing/2014/main" id="{3A2E97DB-F263-4F24-9018-F824D3D2C750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1393" name="Freeform 10695">
          <a:extLst>
            <a:ext uri="{FF2B5EF4-FFF2-40B4-BE49-F238E27FC236}">
              <a16:creationId xmlns:a16="http://schemas.microsoft.com/office/drawing/2014/main" id="{9C578485-F650-4E9E-9C2A-1C0AF86D2A34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1394" name="0/0">
          <a:extLst>
            <a:ext uri="{FF2B5EF4-FFF2-40B4-BE49-F238E27FC236}">
              <a16:creationId xmlns:a16="http://schemas.microsoft.com/office/drawing/2014/main" id="{1E49C0F5-6BAB-4588-884B-DF505CEE01D8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1395" name="Freeform 10695">
          <a:extLst>
            <a:ext uri="{FF2B5EF4-FFF2-40B4-BE49-F238E27FC236}">
              <a16:creationId xmlns:a16="http://schemas.microsoft.com/office/drawing/2014/main" id="{288C337D-AC6A-4ECC-8AF9-2749719F5482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1396" name="0/0">
          <a:extLst>
            <a:ext uri="{FF2B5EF4-FFF2-40B4-BE49-F238E27FC236}">
              <a16:creationId xmlns:a16="http://schemas.microsoft.com/office/drawing/2014/main" id="{040E2A22-EA4A-43A5-A5D6-8D55DDEA5D7E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1397" name="Freeform 10695">
          <a:extLst>
            <a:ext uri="{FF2B5EF4-FFF2-40B4-BE49-F238E27FC236}">
              <a16:creationId xmlns:a16="http://schemas.microsoft.com/office/drawing/2014/main" id="{D9CE0216-F5A9-40B5-9A87-2BC05425714A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1398" name="0/0">
          <a:extLst>
            <a:ext uri="{FF2B5EF4-FFF2-40B4-BE49-F238E27FC236}">
              <a16:creationId xmlns:a16="http://schemas.microsoft.com/office/drawing/2014/main" id="{E189EF56-B39C-44D1-A356-BC3E19463206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1399" name="Freeform 10695">
          <a:extLst>
            <a:ext uri="{FF2B5EF4-FFF2-40B4-BE49-F238E27FC236}">
              <a16:creationId xmlns:a16="http://schemas.microsoft.com/office/drawing/2014/main" id="{1C13F81B-0C59-4A97-8703-FAEFBA52562E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1400" name="0/0">
          <a:extLst>
            <a:ext uri="{FF2B5EF4-FFF2-40B4-BE49-F238E27FC236}">
              <a16:creationId xmlns:a16="http://schemas.microsoft.com/office/drawing/2014/main" id="{584BB706-14B6-48C4-8134-EAF111B7175B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1401" name="Freeform 10695">
          <a:extLst>
            <a:ext uri="{FF2B5EF4-FFF2-40B4-BE49-F238E27FC236}">
              <a16:creationId xmlns:a16="http://schemas.microsoft.com/office/drawing/2014/main" id="{9C113AE2-64D1-48BA-8C81-B35B732C6567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1402" name="0/0">
          <a:extLst>
            <a:ext uri="{FF2B5EF4-FFF2-40B4-BE49-F238E27FC236}">
              <a16:creationId xmlns:a16="http://schemas.microsoft.com/office/drawing/2014/main" id="{887C257A-9868-470E-A4AB-B11AFDDEA34A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1403" name="Freeform 10695">
          <a:extLst>
            <a:ext uri="{FF2B5EF4-FFF2-40B4-BE49-F238E27FC236}">
              <a16:creationId xmlns:a16="http://schemas.microsoft.com/office/drawing/2014/main" id="{A2FC751F-0E75-4BEA-A032-EDA8DC676B72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1404" name="0/0">
          <a:extLst>
            <a:ext uri="{FF2B5EF4-FFF2-40B4-BE49-F238E27FC236}">
              <a16:creationId xmlns:a16="http://schemas.microsoft.com/office/drawing/2014/main" id="{BF839F6F-EFD5-4868-A011-35A1F6847C56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1405" name="Freeform 10695">
          <a:extLst>
            <a:ext uri="{FF2B5EF4-FFF2-40B4-BE49-F238E27FC236}">
              <a16:creationId xmlns:a16="http://schemas.microsoft.com/office/drawing/2014/main" id="{7D6FC873-129E-498D-A87E-CC63C77E8CB5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1406" name="0/0">
          <a:extLst>
            <a:ext uri="{FF2B5EF4-FFF2-40B4-BE49-F238E27FC236}">
              <a16:creationId xmlns:a16="http://schemas.microsoft.com/office/drawing/2014/main" id="{AE2BDC1B-0100-4EFD-B721-EE4B45CC0578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1407" name="Freeform 10695">
          <a:extLst>
            <a:ext uri="{FF2B5EF4-FFF2-40B4-BE49-F238E27FC236}">
              <a16:creationId xmlns:a16="http://schemas.microsoft.com/office/drawing/2014/main" id="{0DB4B499-80F7-4CC8-81CD-900B6E55685B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1408" name="0/0">
          <a:extLst>
            <a:ext uri="{FF2B5EF4-FFF2-40B4-BE49-F238E27FC236}">
              <a16:creationId xmlns:a16="http://schemas.microsoft.com/office/drawing/2014/main" id="{A1DEFB69-CD1D-4BCC-B03C-4883F6233EFD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1409" name="Freeform 10695">
          <a:extLst>
            <a:ext uri="{FF2B5EF4-FFF2-40B4-BE49-F238E27FC236}">
              <a16:creationId xmlns:a16="http://schemas.microsoft.com/office/drawing/2014/main" id="{8A4F2721-9A09-45F5-AA52-86C941E4C53C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1410" name="0/0">
          <a:extLst>
            <a:ext uri="{FF2B5EF4-FFF2-40B4-BE49-F238E27FC236}">
              <a16:creationId xmlns:a16="http://schemas.microsoft.com/office/drawing/2014/main" id="{E6F39864-D60E-4E67-85CD-DC9394E4C516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1411" name="Freeform 10695">
          <a:extLst>
            <a:ext uri="{FF2B5EF4-FFF2-40B4-BE49-F238E27FC236}">
              <a16:creationId xmlns:a16="http://schemas.microsoft.com/office/drawing/2014/main" id="{ED70B8D8-50B2-48EC-9F39-4682813A340A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1412" name="0/0">
          <a:extLst>
            <a:ext uri="{FF2B5EF4-FFF2-40B4-BE49-F238E27FC236}">
              <a16:creationId xmlns:a16="http://schemas.microsoft.com/office/drawing/2014/main" id="{83D7F2FA-F2A1-4D70-A4E8-8FD588BE7F3B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1413" name="Freeform 10695">
          <a:extLst>
            <a:ext uri="{FF2B5EF4-FFF2-40B4-BE49-F238E27FC236}">
              <a16:creationId xmlns:a16="http://schemas.microsoft.com/office/drawing/2014/main" id="{9D15796B-F635-4A13-9C91-F1DC289C4DF5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1414" name="0/0">
          <a:extLst>
            <a:ext uri="{FF2B5EF4-FFF2-40B4-BE49-F238E27FC236}">
              <a16:creationId xmlns:a16="http://schemas.microsoft.com/office/drawing/2014/main" id="{FC2F61FB-0ECF-47E6-8B38-6C74ECE600C1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1415" name="Freeform 10695">
          <a:extLst>
            <a:ext uri="{FF2B5EF4-FFF2-40B4-BE49-F238E27FC236}">
              <a16:creationId xmlns:a16="http://schemas.microsoft.com/office/drawing/2014/main" id="{A78DD602-00A7-4C3E-9E74-48CD8C8A654A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1416" name="0/0">
          <a:extLst>
            <a:ext uri="{FF2B5EF4-FFF2-40B4-BE49-F238E27FC236}">
              <a16:creationId xmlns:a16="http://schemas.microsoft.com/office/drawing/2014/main" id="{9C384834-F91A-4DE5-9D6E-E78BD9998544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1417" name="Freeform 10695">
          <a:extLst>
            <a:ext uri="{FF2B5EF4-FFF2-40B4-BE49-F238E27FC236}">
              <a16:creationId xmlns:a16="http://schemas.microsoft.com/office/drawing/2014/main" id="{E108EA04-4B61-4415-9253-D7DF7AE71FE0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1418" name="0/0">
          <a:extLst>
            <a:ext uri="{FF2B5EF4-FFF2-40B4-BE49-F238E27FC236}">
              <a16:creationId xmlns:a16="http://schemas.microsoft.com/office/drawing/2014/main" id="{031C3324-14A9-4A20-B47A-DA52123013B8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1419" name="Freeform 10695">
          <a:extLst>
            <a:ext uri="{FF2B5EF4-FFF2-40B4-BE49-F238E27FC236}">
              <a16:creationId xmlns:a16="http://schemas.microsoft.com/office/drawing/2014/main" id="{CA5FD942-6DEE-4833-983C-DDD3870B89FA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1420" name="0/0">
          <a:extLst>
            <a:ext uri="{FF2B5EF4-FFF2-40B4-BE49-F238E27FC236}">
              <a16:creationId xmlns:a16="http://schemas.microsoft.com/office/drawing/2014/main" id="{5298E240-4E30-4B55-A877-0F70814F3122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1421" name="Freeform 10695">
          <a:extLst>
            <a:ext uri="{FF2B5EF4-FFF2-40B4-BE49-F238E27FC236}">
              <a16:creationId xmlns:a16="http://schemas.microsoft.com/office/drawing/2014/main" id="{FFFA7CE6-A908-4CA6-BE9F-96583AE4AAA1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1422" name="0/0">
          <a:extLst>
            <a:ext uri="{FF2B5EF4-FFF2-40B4-BE49-F238E27FC236}">
              <a16:creationId xmlns:a16="http://schemas.microsoft.com/office/drawing/2014/main" id="{A0D2DB58-6F61-44E8-B351-F0B9C22DFE70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1423" name="Freeform 10695">
          <a:extLst>
            <a:ext uri="{FF2B5EF4-FFF2-40B4-BE49-F238E27FC236}">
              <a16:creationId xmlns:a16="http://schemas.microsoft.com/office/drawing/2014/main" id="{91C53693-B84C-4F4D-A580-EA3EF6149F63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1424" name="0/0">
          <a:extLst>
            <a:ext uri="{FF2B5EF4-FFF2-40B4-BE49-F238E27FC236}">
              <a16:creationId xmlns:a16="http://schemas.microsoft.com/office/drawing/2014/main" id="{4DAD77B9-3F84-490B-B806-CFC140FF4E2C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1425" name="Freeform 10695">
          <a:extLst>
            <a:ext uri="{FF2B5EF4-FFF2-40B4-BE49-F238E27FC236}">
              <a16:creationId xmlns:a16="http://schemas.microsoft.com/office/drawing/2014/main" id="{1591CFB6-EC26-47F3-9558-90D21470F278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1426" name="0/0">
          <a:extLst>
            <a:ext uri="{FF2B5EF4-FFF2-40B4-BE49-F238E27FC236}">
              <a16:creationId xmlns:a16="http://schemas.microsoft.com/office/drawing/2014/main" id="{AD44F0CA-CF84-4953-987B-A796B6B61383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1427" name="Freeform 10695">
          <a:extLst>
            <a:ext uri="{FF2B5EF4-FFF2-40B4-BE49-F238E27FC236}">
              <a16:creationId xmlns:a16="http://schemas.microsoft.com/office/drawing/2014/main" id="{0D4D5900-C88B-422D-B73E-8B9B2D52DA0D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1428" name="0/0">
          <a:extLst>
            <a:ext uri="{FF2B5EF4-FFF2-40B4-BE49-F238E27FC236}">
              <a16:creationId xmlns:a16="http://schemas.microsoft.com/office/drawing/2014/main" id="{C7A0B902-5FE7-420B-B1F8-15668B77FDDA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1429" name="Freeform 10695">
          <a:extLst>
            <a:ext uri="{FF2B5EF4-FFF2-40B4-BE49-F238E27FC236}">
              <a16:creationId xmlns:a16="http://schemas.microsoft.com/office/drawing/2014/main" id="{F2FF3564-CE68-4016-BFEC-BC515C3F2F83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1430" name="0/0">
          <a:extLst>
            <a:ext uri="{FF2B5EF4-FFF2-40B4-BE49-F238E27FC236}">
              <a16:creationId xmlns:a16="http://schemas.microsoft.com/office/drawing/2014/main" id="{4187D0EE-8058-43ED-93E9-4206316B8C0B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1431" name="Freeform 10695">
          <a:extLst>
            <a:ext uri="{FF2B5EF4-FFF2-40B4-BE49-F238E27FC236}">
              <a16:creationId xmlns:a16="http://schemas.microsoft.com/office/drawing/2014/main" id="{9FC6C24C-298A-4BF1-AD29-7BBE8865117A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1432" name="0/0">
          <a:extLst>
            <a:ext uri="{FF2B5EF4-FFF2-40B4-BE49-F238E27FC236}">
              <a16:creationId xmlns:a16="http://schemas.microsoft.com/office/drawing/2014/main" id="{1850D48B-5745-47ED-9319-53B0B35C66AF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1433" name="Freeform 10695">
          <a:extLst>
            <a:ext uri="{FF2B5EF4-FFF2-40B4-BE49-F238E27FC236}">
              <a16:creationId xmlns:a16="http://schemas.microsoft.com/office/drawing/2014/main" id="{168D4CF2-E5D4-42B3-8105-F43361468517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1434" name="0/0">
          <a:extLst>
            <a:ext uri="{FF2B5EF4-FFF2-40B4-BE49-F238E27FC236}">
              <a16:creationId xmlns:a16="http://schemas.microsoft.com/office/drawing/2014/main" id="{CCBB8375-87F2-4D61-8B46-7897550855CC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1435" name="Freeform 10695">
          <a:extLst>
            <a:ext uri="{FF2B5EF4-FFF2-40B4-BE49-F238E27FC236}">
              <a16:creationId xmlns:a16="http://schemas.microsoft.com/office/drawing/2014/main" id="{F8C4F909-90E8-41CB-ACB0-B96265A70C9D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1436" name="0/0">
          <a:extLst>
            <a:ext uri="{FF2B5EF4-FFF2-40B4-BE49-F238E27FC236}">
              <a16:creationId xmlns:a16="http://schemas.microsoft.com/office/drawing/2014/main" id="{849293AF-E073-4B63-BDE7-DA068E119661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1437" name="Freeform 10695">
          <a:extLst>
            <a:ext uri="{FF2B5EF4-FFF2-40B4-BE49-F238E27FC236}">
              <a16:creationId xmlns:a16="http://schemas.microsoft.com/office/drawing/2014/main" id="{D97F7364-1C4B-4417-889A-DE42A68177CC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1438" name="0/0">
          <a:extLst>
            <a:ext uri="{FF2B5EF4-FFF2-40B4-BE49-F238E27FC236}">
              <a16:creationId xmlns:a16="http://schemas.microsoft.com/office/drawing/2014/main" id="{7B1AEF95-6333-44B0-8F37-8D080192E312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1439" name="Freeform 10695">
          <a:extLst>
            <a:ext uri="{FF2B5EF4-FFF2-40B4-BE49-F238E27FC236}">
              <a16:creationId xmlns:a16="http://schemas.microsoft.com/office/drawing/2014/main" id="{E3C09EE8-FD46-4DF7-A16F-F069B1C8D99F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1440" name="0/0">
          <a:extLst>
            <a:ext uri="{FF2B5EF4-FFF2-40B4-BE49-F238E27FC236}">
              <a16:creationId xmlns:a16="http://schemas.microsoft.com/office/drawing/2014/main" id="{A8728C6E-32BF-402A-83AA-EA09525FD657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1441" name="Freeform 10695">
          <a:extLst>
            <a:ext uri="{FF2B5EF4-FFF2-40B4-BE49-F238E27FC236}">
              <a16:creationId xmlns:a16="http://schemas.microsoft.com/office/drawing/2014/main" id="{D7246D36-881A-4BC0-AD92-480B2C3EF26E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1442" name="0/0">
          <a:extLst>
            <a:ext uri="{FF2B5EF4-FFF2-40B4-BE49-F238E27FC236}">
              <a16:creationId xmlns:a16="http://schemas.microsoft.com/office/drawing/2014/main" id="{904656AF-FC8C-4BF8-8E5A-C7B82C76C55F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1443" name="Freeform 10695">
          <a:extLst>
            <a:ext uri="{FF2B5EF4-FFF2-40B4-BE49-F238E27FC236}">
              <a16:creationId xmlns:a16="http://schemas.microsoft.com/office/drawing/2014/main" id="{D4941B54-9CA9-4A30-BE6B-C3492B022584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1444" name="0/0">
          <a:extLst>
            <a:ext uri="{FF2B5EF4-FFF2-40B4-BE49-F238E27FC236}">
              <a16:creationId xmlns:a16="http://schemas.microsoft.com/office/drawing/2014/main" id="{AE0478E9-46F1-446D-86B2-97786077EAAC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1445" name="Freeform 10695">
          <a:extLst>
            <a:ext uri="{FF2B5EF4-FFF2-40B4-BE49-F238E27FC236}">
              <a16:creationId xmlns:a16="http://schemas.microsoft.com/office/drawing/2014/main" id="{08D46966-CE56-4B7F-8C60-2923761D4322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1446" name="0/0">
          <a:extLst>
            <a:ext uri="{FF2B5EF4-FFF2-40B4-BE49-F238E27FC236}">
              <a16:creationId xmlns:a16="http://schemas.microsoft.com/office/drawing/2014/main" id="{D4C5B7EA-6F4B-40F1-A90E-1338F7829F05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1447" name="Freeform 10695">
          <a:extLst>
            <a:ext uri="{FF2B5EF4-FFF2-40B4-BE49-F238E27FC236}">
              <a16:creationId xmlns:a16="http://schemas.microsoft.com/office/drawing/2014/main" id="{B57782D8-0BF3-4247-989F-28CDC8578926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1448" name="0/0">
          <a:extLst>
            <a:ext uri="{FF2B5EF4-FFF2-40B4-BE49-F238E27FC236}">
              <a16:creationId xmlns:a16="http://schemas.microsoft.com/office/drawing/2014/main" id="{EEC7A3A4-7A5A-443E-B90F-708676C0BECF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1449" name="Freeform 10695">
          <a:extLst>
            <a:ext uri="{FF2B5EF4-FFF2-40B4-BE49-F238E27FC236}">
              <a16:creationId xmlns:a16="http://schemas.microsoft.com/office/drawing/2014/main" id="{E5D65861-C6DC-4384-AA29-EC5D2D18EB4A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1450" name="0/0">
          <a:extLst>
            <a:ext uri="{FF2B5EF4-FFF2-40B4-BE49-F238E27FC236}">
              <a16:creationId xmlns:a16="http://schemas.microsoft.com/office/drawing/2014/main" id="{ABEF849A-275C-4168-A6E1-4344C34306A4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1451" name="Freeform 10695">
          <a:extLst>
            <a:ext uri="{FF2B5EF4-FFF2-40B4-BE49-F238E27FC236}">
              <a16:creationId xmlns:a16="http://schemas.microsoft.com/office/drawing/2014/main" id="{E80CDA62-5768-4675-9E24-358C4DF07739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1452" name="0/0">
          <a:extLst>
            <a:ext uri="{FF2B5EF4-FFF2-40B4-BE49-F238E27FC236}">
              <a16:creationId xmlns:a16="http://schemas.microsoft.com/office/drawing/2014/main" id="{4AD0F283-E07F-474A-A632-6DB3CE98792D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1453" name="Freeform 10695">
          <a:extLst>
            <a:ext uri="{FF2B5EF4-FFF2-40B4-BE49-F238E27FC236}">
              <a16:creationId xmlns:a16="http://schemas.microsoft.com/office/drawing/2014/main" id="{9C4B8D25-C357-4586-8B2B-28B62DF99F75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1454" name="0/0">
          <a:extLst>
            <a:ext uri="{FF2B5EF4-FFF2-40B4-BE49-F238E27FC236}">
              <a16:creationId xmlns:a16="http://schemas.microsoft.com/office/drawing/2014/main" id="{2A40BF43-A3F6-4D47-81FE-C0E15544466E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1455" name="0/0">
          <a:extLst>
            <a:ext uri="{FF2B5EF4-FFF2-40B4-BE49-F238E27FC236}">
              <a16:creationId xmlns:a16="http://schemas.microsoft.com/office/drawing/2014/main" id="{EB8DAA54-8509-443F-B7C3-6E31C01EACC0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1456" name="Freeform 10695">
          <a:extLst>
            <a:ext uri="{FF2B5EF4-FFF2-40B4-BE49-F238E27FC236}">
              <a16:creationId xmlns:a16="http://schemas.microsoft.com/office/drawing/2014/main" id="{0F18922A-436A-4AB5-B88A-C5082F49F19E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1457" name="0/0">
          <a:extLst>
            <a:ext uri="{FF2B5EF4-FFF2-40B4-BE49-F238E27FC236}">
              <a16:creationId xmlns:a16="http://schemas.microsoft.com/office/drawing/2014/main" id="{E900687F-3783-4EDF-BDA8-4900AD36D4DC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1458" name="Freeform 10695">
          <a:extLst>
            <a:ext uri="{FF2B5EF4-FFF2-40B4-BE49-F238E27FC236}">
              <a16:creationId xmlns:a16="http://schemas.microsoft.com/office/drawing/2014/main" id="{FC4321C9-FFA8-4F78-AE7E-EA15AE1AD002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1459" name="0/0">
          <a:extLst>
            <a:ext uri="{FF2B5EF4-FFF2-40B4-BE49-F238E27FC236}">
              <a16:creationId xmlns:a16="http://schemas.microsoft.com/office/drawing/2014/main" id="{EE3AEAEA-97CC-4F12-A9A1-5A82B73BA745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1460" name="Freeform 10695">
          <a:extLst>
            <a:ext uri="{FF2B5EF4-FFF2-40B4-BE49-F238E27FC236}">
              <a16:creationId xmlns:a16="http://schemas.microsoft.com/office/drawing/2014/main" id="{4334464D-55D3-47CC-819C-F59496279035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1461" name="0/0">
          <a:extLst>
            <a:ext uri="{FF2B5EF4-FFF2-40B4-BE49-F238E27FC236}">
              <a16:creationId xmlns:a16="http://schemas.microsoft.com/office/drawing/2014/main" id="{2F042064-AB13-4C8F-B942-558744487115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1462" name="Freeform 10695">
          <a:extLst>
            <a:ext uri="{FF2B5EF4-FFF2-40B4-BE49-F238E27FC236}">
              <a16:creationId xmlns:a16="http://schemas.microsoft.com/office/drawing/2014/main" id="{23F106A3-0FC6-40E0-BFB6-929508E22B31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1463" name="0/0">
          <a:extLst>
            <a:ext uri="{FF2B5EF4-FFF2-40B4-BE49-F238E27FC236}">
              <a16:creationId xmlns:a16="http://schemas.microsoft.com/office/drawing/2014/main" id="{9DCC71E8-012D-4E94-95E2-3317766BE3BF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1464" name="Freeform 10695">
          <a:extLst>
            <a:ext uri="{FF2B5EF4-FFF2-40B4-BE49-F238E27FC236}">
              <a16:creationId xmlns:a16="http://schemas.microsoft.com/office/drawing/2014/main" id="{5AE3FF9A-37CF-4E24-83AC-FA36004ACA39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1465" name="0/0">
          <a:extLst>
            <a:ext uri="{FF2B5EF4-FFF2-40B4-BE49-F238E27FC236}">
              <a16:creationId xmlns:a16="http://schemas.microsoft.com/office/drawing/2014/main" id="{A6F5748F-FFBB-4F89-A7F3-3272BC838CCF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1466" name="Freeform 10695">
          <a:extLst>
            <a:ext uri="{FF2B5EF4-FFF2-40B4-BE49-F238E27FC236}">
              <a16:creationId xmlns:a16="http://schemas.microsoft.com/office/drawing/2014/main" id="{B5C4AA3C-DAFC-4BA4-98AF-5D39DAB61B0A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1467" name="0/0">
          <a:extLst>
            <a:ext uri="{FF2B5EF4-FFF2-40B4-BE49-F238E27FC236}">
              <a16:creationId xmlns:a16="http://schemas.microsoft.com/office/drawing/2014/main" id="{79098761-6B5B-4153-86B7-D6BED1BBE937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1468" name="Freeform 10695">
          <a:extLst>
            <a:ext uri="{FF2B5EF4-FFF2-40B4-BE49-F238E27FC236}">
              <a16:creationId xmlns:a16="http://schemas.microsoft.com/office/drawing/2014/main" id="{7860C54E-AB0A-4A75-A0B4-7670409FA5A1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1469" name="0/0">
          <a:extLst>
            <a:ext uri="{FF2B5EF4-FFF2-40B4-BE49-F238E27FC236}">
              <a16:creationId xmlns:a16="http://schemas.microsoft.com/office/drawing/2014/main" id="{0FC43A3F-D31A-43A2-AAC5-EFFC39634927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1470" name="Freeform 10695">
          <a:extLst>
            <a:ext uri="{FF2B5EF4-FFF2-40B4-BE49-F238E27FC236}">
              <a16:creationId xmlns:a16="http://schemas.microsoft.com/office/drawing/2014/main" id="{A25A8D46-023C-4C84-87E5-EC3433D92269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1471" name="0/0">
          <a:extLst>
            <a:ext uri="{FF2B5EF4-FFF2-40B4-BE49-F238E27FC236}">
              <a16:creationId xmlns:a16="http://schemas.microsoft.com/office/drawing/2014/main" id="{5E8F3B84-D7DA-4775-9652-1196E725481A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1472" name="Freeform 10695">
          <a:extLst>
            <a:ext uri="{FF2B5EF4-FFF2-40B4-BE49-F238E27FC236}">
              <a16:creationId xmlns:a16="http://schemas.microsoft.com/office/drawing/2014/main" id="{20398538-7C47-4E73-A026-82CAE6D56399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1473" name="0/0">
          <a:extLst>
            <a:ext uri="{FF2B5EF4-FFF2-40B4-BE49-F238E27FC236}">
              <a16:creationId xmlns:a16="http://schemas.microsoft.com/office/drawing/2014/main" id="{01E15758-EE9A-40DC-A4AF-1DC4F3771555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1474" name="Freeform 10695">
          <a:extLst>
            <a:ext uri="{FF2B5EF4-FFF2-40B4-BE49-F238E27FC236}">
              <a16:creationId xmlns:a16="http://schemas.microsoft.com/office/drawing/2014/main" id="{64250C7D-FB7E-486E-AAC9-42F65E3FB2A7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1475" name="0/0">
          <a:extLst>
            <a:ext uri="{FF2B5EF4-FFF2-40B4-BE49-F238E27FC236}">
              <a16:creationId xmlns:a16="http://schemas.microsoft.com/office/drawing/2014/main" id="{027B83C2-767C-4D52-9EBA-0A4123B6D430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1476" name="Freeform 10695">
          <a:extLst>
            <a:ext uri="{FF2B5EF4-FFF2-40B4-BE49-F238E27FC236}">
              <a16:creationId xmlns:a16="http://schemas.microsoft.com/office/drawing/2014/main" id="{AA6C4D66-9B36-4086-99B7-684A6E3C38A0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1477" name="0/0">
          <a:extLst>
            <a:ext uri="{FF2B5EF4-FFF2-40B4-BE49-F238E27FC236}">
              <a16:creationId xmlns:a16="http://schemas.microsoft.com/office/drawing/2014/main" id="{0083DE32-50EE-42B7-9BA6-57F9969D94FB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1478" name="Freeform 10695">
          <a:extLst>
            <a:ext uri="{FF2B5EF4-FFF2-40B4-BE49-F238E27FC236}">
              <a16:creationId xmlns:a16="http://schemas.microsoft.com/office/drawing/2014/main" id="{04255283-4E00-47C5-9353-79F08A595A7D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1479" name="0/0">
          <a:extLst>
            <a:ext uri="{FF2B5EF4-FFF2-40B4-BE49-F238E27FC236}">
              <a16:creationId xmlns:a16="http://schemas.microsoft.com/office/drawing/2014/main" id="{68450F1F-14DC-4DDD-B58A-93421CF28437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1480" name="Freeform 10695">
          <a:extLst>
            <a:ext uri="{FF2B5EF4-FFF2-40B4-BE49-F238E27FC236}">
              <a16:creationId xmlns:a16="http://schemas.microsoft.com/office/drawing/2014/main" id="{9E667EE1-5048-467A-897F-C00539E52CBB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1481" name="0/0">
          <a:extLst>
            <a:ext uri="{FF2B5EF4-FFF2-40B4-BE49-F238E27FC236}">
              <a16:creationId xmlns:a16="http://schemas.microsoft.com/office/drawing/2014/main" id="{556FDED9-90D2-47D7-9B65-EE4106FABD44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1482" name="Freeform 10695">
          <a:extLst>
            <a:ext uri="{FF2B5EF4-FFF2-40B4-BE49-F238E27FC236}">
              <a16:creationId xmlns:a16="http://schemas.microsoft.com/office/drawing/2014/main" id="{B321CB69-62D7-418C-802A-CC9A8735CBFF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1483" name="0/0">
          <a:extLst>
            <a:ext uri="{FF2B5EF4-FFF2-40B4-BE49-F238E27FC236}">
              <a16:creationId xmlns:a16="http://schemas.microsoft.com/office/drawing/2014/main" id="{6FF70271-65D0-4436-820E-B82D35F13D8A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1484" name="Freeform 10695">
          <a:extLst>
            <a:ext uri="{FF2B5EF4-FFF2-40B4-BE49-F238E27FC236}">
              <a16:creationId xmlns:a16="http://schemas.microsoft.com/office/drawing/2014/main" id="{8B213BFA-E940-42EB-871E-B92F326A4E46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1485" name="0/0">
          <a:extLst>
            <a:ext uri="{FF2B5EF4-FFF2-40B4-BE49-F238E27FC236}">
              <a16:creationId xmlns:a16="http://schemas.microsoft.com/office/drawing/2014/main" id="{9F942AA5-027B-459F-AA0D-91AF46E582A5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1486" name="Freeform 10695">
          <a:extLst>
            <a:ext uri="{FF2B5EF4-FFF2-40B4-BE49-F238E27FC236}">
              <a16:creationId xmlns:a16="http://schemas.microsoft.com/office/drawing/2014/main" id="{0F048FA9-F4AE-4AD0-9990-7EC88946A3C7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1487" name="0/0">
          <a:extLst>
            <a:ext uri="{FF2B5EF4-FFF2-40B4-BE49-F238E27FC236}">
              <a16:creationId xmlns:a16="http://schemas.microsoft.com/office/drawing/2014/main" id="{2BB8F5C5-CA2D-4F9D-8083-2A63851C6438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1488" name="Freeform 10695">
          <a:extLst>
            <a:ext uri="{FF2B5EF4-FFF2-40B4-BE49-F238E27FC236}">
              <a16:creationId xmlns:a16="http://schemas.microsoft.com/office/drawing/2014/main" id="{A051EC25-6325-49FF-8B72-E0E48B69C98E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1489" name="0/0">
          <a:extLst>
            <a:ext uri="{FF2B5EF4-FFF2-40B4-BE49-F238E27FC236}">
              <a16:creationId xmlns:a16="http://schemas.microsoft.com/office/drawing/2014/main" id="{BCE3EB1E-7D72-47AE-80F9-6DF56DDB9AED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1490" name="Freeform 10695">
          <a:extLst>
            <a:ext uri="{FF2B5EF4-FFF2-40B4-BE49-F238E27FC236}">
              <a16:creationId xmlns:a16="http://schemas.microsoft.com/office/drawing/2014/main" id="{4965E281-19F5-4595-A419-D192757A93D8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1491" name="0/0">
          <a:extLst>
            <a:ext uri="{FF2B5EF4-FFF2-40B4-BE49-F238E27FC236}">
              <a16:creationId xmlns:a16="http://schemas.microsoft.com/office/drawing/2014/main" id="{E3259D04-7A1E-47D8-9051-FAF62399C081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1492" name="Freeform 10695">
          <a:extLst>
            <a:ext uri="{FF2B5EF4-FFF2-40B4-BE49-F238E27FC236}">
              <a16:creationId xmlns:a16="http://schemas.microsoft.com/office/drawing/2014/main" id="{B4CA088E-31CF-4DA6-88BF-A1BB73C22F27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1493" name="0/0">
          <a:extLst>
            <a:ext uri="{FF2B5EF4-FFF2-40B4-BE49-F238E27FC236}">
              <a16:creationId xmlns:a16="http://schemas.microsoft.com/office/drawing/2014/main" id="{1A2F2852-DC9D-4FBB-9456-4280043CB6C4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1494" name="Freeform 10695">
          <a:extLst>
            <a:ext uri="{FF2B5EF4-FFF2-40B4-BE49-F238E27FC236}">
              <a16:creationId xmlns:a16="http://schemas.microsoft.com/office/drawing/2014/main" id="{F68D946A-D774-4427-8C70-EBC9D4B63F3F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1495" name="0/0">
          <a:extLst>
            <a:ext uri="{FF2B5EF4-FFF2-40B4-BE49-F238E27FC236}">
              <a16:creationId xmlns:a16="http://schemas.microsoft.com/office/drawing/2014/main" id="{E1A533D0-F71C-4F8C-9A33-90EBD5EB7FA5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1496" name="0/0">
          <a:extLst>
            <a:ext uri="{FF2B5EF4-FFF2-40B4-BE49-F238E27FC236}">
              <a16:creationId xmlns:a16="http://schemas.microsoft.com/office/drawing/2014/main" id="{4D8E865E-76E0-402B-A972-81BE27CB90CF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1497" name="0/0">
          <a:extLst>
            <a:ext uri="{FF2B5EF4-FFF2-40B4-BE49-F238E27FC236}">
              <a16:creationId xmlns:a16="http://schemas.microsoft.com/office/drawing/2014/main" id="{79ACADEF-C52B-4D5D-B04D-61F8746B0F55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1498" name="Freeform 10695">
          <a:extLst>
            <a:ext uri="{FF2B5EF4-FFF2-40B4-BE49-F238E27FC236}">
              <a16:creationId xmlns:a16="http://schemas.microsoft.com/office/drawing/2014/main" id="{CEE876EB-5BD5-48BC-BBA9-093DB39014FF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1499" name="0/0">
          <a:extLst>
            <a:ext uri="{FF2B5EF4-FFF2-40B4-BE49-F238E27FC236}">
              <a16:creationId xmlns:a16="http://schemas.microsoft.com/office/drawing/2014/main" id="{7398EBC5-75BD-49A9-A40A-D9692374B3CF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1500" name="Freeform 10695">
          <a:extLst>
            <a:ext uri="{FF2B5EF4-FFF2-40B4-BE49-F238E27FC236}">
              <a16:creationId xmlns:a16="http://schemas.microsoft.com/office/drawing/2014/main" id="{BD4D4525-1AA5-42F2-8E6B-426392EA19B9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1501" name="0/0">
          <a:extLst>
            <a:ext uri="{FF2B5EF4-FFF2-40B4-BE49-F238E27FC236}">
              <a16:creationId xmlns:a16="http://schemas.microsoft.com/office/drawing/2014/main" id="{A5FD24BD-D8C1-4A6A-9E5D-5A835060C0AB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1502" name="Freeform 10695">
          <a:extLst>
            <a:ext uri="{FF2B5EF4-FFF2-40B4-BE49-F238E27FC236}">
              <a16:creationId xmlns:a16="http://schemas.microsoft.com/office/drawing/2014/main" id="{B90C3BAA-6AC1-40EB-B1DC-FFF48E20EB43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1503" name="0/0">
          <a:extLst>
            <a:ext uri="{FF2B5EF4-FFF2-40B4-BE49-F238E27FC236}">
              <a16:creationId xmlns:a16="http://schemas.microsoft.com/office/drawing/2014/main" id="{05070CC0-0DF6-499B-A281-50B8D5DA8964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1504" name="Freeform 10695">
          <a:extLst>
            <a:ext uri="{FF2B5EF4-FFF2-40B4-BE49-F238E27FC236}">
              <a16:creationId xmlns:a16="http://schemas.microsoft.com/office/drawing/2014/main" id="{3B98E159-9420-475A-A37D-44BB61DFE2A1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1505" name="0/0">
          <a:extLst>
            <a:ext uri="{FF2B5EF4-FFF2-40B4-BE49-F238E27FC236}">
              <a16:creationId xmlns:a16="http://schemas.microsoft.com/office/drawing/2014/main" id="{56CF5299-A3A4-46F5-B414-8F27C4335BE8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1506" name="Freeform 10695">
          <a:extLst>
            <a:ext uri="{FF2B5EF4-FFF2-40B4-BE49-F238E27FC236}">
              <a16:creationId xmlns:a16="http://schemas.microsoft.com/office/drawing/2014/main" id="{7239F0FC-DE5D-4EF1-8F6C-5B74E3AFDB87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1507" name="0/0">
          <a:extLst>
            <a:ext uri="{FF2B5EF4-FFF2-40B4-BE49-F238E27FC236}">
              <a16:creationId xmlns:a16="http://schemas.microsoft.com/office/drawing/2014/main" id="{1B3B3175-E48F-4333-B2FA-972EA62C06DA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1508" name="Freeform 10695">
          <a:extLst>
            <a:ext uri="{FF2B5EF4-FFF2-40B4-BE49-F238E27FC236}">
              <a16:creationId xmlns:a16="http://schemas.microsoft.com/office/drawing/2014/main" id="{1340BB2B-0C69-455F-9B29-E1CE03E77711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1509" name="0/0">
          <a:extLst>
            <a:ext uri="{FF2B5EF4-FFF2-40B4-BE49-F238E27FC236}">
              <a16:creationId xmlns:a16="http://schemas.microsoft.com/office/drawing/2014/main" id="{923ABA41-07AE-4768-B4D8-443BA73F8158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1510" name="Freeform 10695">
          <a:extLst>
            <a:ext uri="{FF2B5EF4-FFF2-40B4-BE49-F238E27FC236}">
              <a16:creationId xmlns:a16="http://schemas.microsoft.com/office/drawing/2014/main" id="{9EF3CF39-0074-470C-AD52-F124640856A1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1511" name="0/0">
          <a:extLst>
            <a:ext uri="{FF2B5EF4-FFF2-40B4-BE49-F238E27FC236}">
              <a16:creationId xmlns:a16="http://schemas.microsoft.com/office/drawing/2014/main" id="{AD97BBBB-76F6-469A-96E8-AAD2D35F71BD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1512" name="Freeform 10695">
          <a:extLst>
            <a:ext uri="{FF2B5EF4-FFF2-40B4-BE49-F238E27FC236}">
              <a16:creationId xmlns:a16="http://schemas.microsoft.com/office/drawing/2014/main" id="{32897D28-A0DC-4F8C-B45A-5444D5E7F171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1513" name="0/0">
          <a:extLst>
            <a:ext uri="{FF2B5EF4-FFF2-40B4-BE49-F238E27FC236}">
              <a16:creationId xmlns:a16="http://schemas.microsoft.com/office/drawing/2014/main" id="{CA9BD925-5E37-4B0C-B7E3-0A505E8BDDDE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1514" name="Freeform 10695">
          <a:extLst>
            <a:ext uri="{FF2B5EF4-FFF2-40B4-BE49-F238E27FC236}">
              <a16:creationId xmlns:a16="http://schemas.microsoft.com/office/drawing/2014/main" id="{37440FE2-BD06-4EEE-A49D-A4D65BF96E2A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1515" name="0/0">
          <a:extLst>
            <a:ext uri="{FF2B5EF4-FFF2-40B4-BE49-F238E27FC236}">
              <a16:creationId xmlns:a16="http://schemas.microsoft.com/office/drawing/2014/main" id="{FB42F7CF-2F9E-426E-85C5-687B258D42A7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1516" name="Freeform 10695">
          <a:extLst>
            <a:ext uri="{FF2B5EF4-FFF2-40B4-BE49-F238E27FC236}">
              <a16:creationId xmlns:a16="http://schemas.microsoft.com/office/drawing/2014/main" id="{4B89101B-AE39-4F42-AA47-28ADBC54FBDB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1517" name="0/0">
          <a:extLst>
            <a:ext uri="{FF2B5EF4-FFF2-40B4-BE49-F238E27FC236}">
              <a16:creationId xmlns:a16="http://schemas.microsoft.com/office/drawing/2014/main" id="{27144C61-98B1-4D49-A012-7491909A675A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1518" name="Freeform 10695">
          <a:extLst>
            <a:ext uri="{FF2B5EF4-FFF2-40B4-BE49-F238E27FC236}">
              <a16:creationId xmlns:a16="http://schemas.microsoft.com/office/drawing/2014/main" id="{8643C829-EDB3-46A2-947A-EDE96549B13A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1519" name="0/0">
          <a:extLst>
            <a:ext uri="{FF2B5EF4-FFF2-40B4-BE49-F238E27FC236}">
              <a16:creationId xmlns:a16="http://schemas.microsoft.com/office/drawing/2014/main" id="{5A697004-5B37-4B09-A610-9F63FEA2A226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1520" name="Freeform 10695">
          <a:extLst>
            <a:ext uri="{FF2B5EF4-FFF2-40B4-BE49-F238E27FC236}">
              <a16:creationId xmlns:a16="http://schemas.microsoft.com/office/drawing/2014/main" id="{A2A5C747-946B-4344-ABAA-04AB995EC772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1521" name="0/0">
          <a:extLst>
            <a:ext uri="{FF2B5EF4-FFF2-40B4-BE49-F238E27FC236}">
              <a16:creationId xmlns:a16="http://schemas.microsoft.com/office/drawing/2014/main" id="{93DEE61D-F53D-4872-A433-3B32D5C0AE3F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1522" name="Freeform 10695">
          <a:extLst>
            <a:ext uri="{FF2B5EF4-FFF2-40B4-BE49-F238E27FC236}">
              <a16:creationId xmlns:a16="http://schemas.microsoft.com/office/drawing/2014/main" id="{ACE6A427-F469-46B9-B31D-44C4CA699A5E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1523" name="0/0">
          <a:extLst>
            <a:ext uri="{FF2B5EF4-FFF2-40B4-BE49-F238E27FC236}">
              <a16:creationId xmlns:a16="http://schemas.microsoft.com/office/drawing/2014/main" id="{ADC85C57-B37B-4DB6-AD46-172B31BC59AE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1524" name="Freeform 10695">
          <a:extLst>
            <a:ext uri="{FF2B5EF4-FFF2-40B4-BE49-F238E27FC236}">
              <a16:creationId xmlns:a16="http://schemas.microsoft.com/office/drawing/2014/main" id="{2629F5F9-416E-4DC1-89E7-D41FE14D942C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1525" name="0/0">
          <a:extLst>
            <a:ext uri="{FF2B5EF4-FFF2-40B4-BE49-F238E27FC236}">
              <a16:creationId xmlns:a16="http://schemas.microsoft.com/office/drawing/2014/main" id="{9A2E893A-5266-4DA4-A852-AED8D31C16F1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1526" name="Freeform 10695">
          <a:extLst>
            <a:ext uri="{FF2B5EF4-FFF2-40B4-BE49-F238E27FC236}">
              <a16:creationId xmlns:a16="http://schemas.microsoft.com/office/drawing/2014/main" id="{05D99270-3E4A-4340-A437-648A5358BA34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1527" name="0/0">
          <a:extLst>
            <a:ext uri="{FF2B5EF4-FFF2-40B4-BE49-F238E27FC236}">
              <a16:creationId xmlns:a16="http://schemas.microsoft.com/office/drawing/2014/main" id="{E86346E3-39AD-4686-9940-247B3477CE44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1528" name="Freeform 10695">
          <a:extLst>
            <a:ext uri="{FF2B5EF4-FFF2-40B4-BE49-F238E27FC236}">
              <a16:creationId xmlns:a16="http://schemas.microsoft.com/office/drawing/2014/main" id="{FF69B729-E5CD-4C09-B8A2-B4F82BFA2B0B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1529" name="0/0">
          <a:extLst>
            <a:ext uri="{FF2B5EF4-FFF2-40B4-BE49-F238E27FC236}">
              <a16:creationId xmlns:a16="http://schemas.microsoft.com/office/drawing/2014/main" id="{C82B595E-BADD-4619-8FC6-57B4EAF59406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1530" name="Freeform 10695">
          <a:extLst>
            <a:ext uri="{FF2B5EF4-FFF2-40B4-BE49-F238E27FC236}">
              <a16:creationId xmlns:a16="http://schemas.microsoft.com/office/drawing/2014/main" id="{9D98B695-F3CB-41C7-9567-05E93A8620E0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1531" name="0/0">
          <a:extLst>
            <a:ext uri="{FF2B5EF4-FFF2-40B4-BE49-F238E27FC236}">
              <a16:creationId xmlns:a16="http://schemas.microsoft.com/office/drawing/2014/main" id="{05999BA4-8E4B-4011-A07D-35DE30A41179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1532" name="Freeform 10695">
          <a:extLst>
            <a:ext uri="{FF2B5EF4-FFF2-40B4-BE49-F238E27FC236}">
              <a16:creationId xmlns:a16="http://schemas.microsoft.com/office/drawing/2014/main" id="{63029D94-C7A0-4918-B582-EA6735B7D37B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1533" name="0/0">
          <a:extLst>
            <a:ext uri="{FF2B5EF4-FFF2-40B4-BE49-F238E27FC236}">
              <a16:creationId xmlns:a16="http://schemas.microsoft.com/office/drawing/2014/main" id="{D29E7F78-6262-4738-AEA7-87489BA41CF1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1534" name="Freeform 10695">
          <a:extLst>
            <a:ext uri="{FF2B5EF4-FFF2-40B4-BE49-F238E27FC236}">
              <a16:creationId xmlns:a16="http://schemas.microsoft.com/office/drawing/2014/main" id="{7FBB60AD-86E7-43FB-8C31-5AC070B5C63B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1535" name="0/0">
          <a:extLst>
            <a:ext uri="{FF2B5EF4-FFF2-40B4-BE49-F238E27FC236}">
              <a16:creationId xmlns:a16="http://schemas.microsoft.com/office/drawing/2014/main" id="{A9CA83B0-11CC-4313-8A76-DEA494C79475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1536" name="Freeform 10695">
          <a:extLst>
            <a:ext uri="{FF2B5EF4-FFF2-40B4-BE49-F238E27FC236}">
              <a16:creationId xmlns:a16="http://schemas.microsoft.com/office/drawing/2014/main" id="{3B84D03F-55CE-45C2-9CBB-B246F271E42E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1537" name="0/0">
          <a:extLst>
            <a:ext uri="{FF2B5EF4-FFF2-40B4-BE49-F238E27FC236}">
              <a16:creationId xmlns:a16="http://schemas.microsoft.com/office/drawing/2014/main" id="{35C5BA63-D384-4615-99F0-5C33A678456C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1538" name="Freeform 10695">
          <a:extLst>
            <a:ext uri="{FF2B5EF4-FFF2-40B4-BE49-F238E27FC236}">
              <a16:creationId xmlns:a16="http://schemas.microsoft.com/office/drawing/2014/main" id="{BE39BC25-46BD-485C-8175-11AB6C0D95E0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1539" name="0/0">
          <a:extLst>
            <a:ext uri="{FF2B5EF4-FFF2-40B4-BE49-F238E27FC236}">
              <a16:creationId xmlns:a16="http://schemas.microsoft.com/office/drawing/2014/main" id="{8B9FC0C8-1D50-4867-897A-46F5315A2D1F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1540" name="0/0">
          <a:extLst>
            <a:ext uri="{FF2B5EF4-FFF2-40B4-BE49-F238E27FC236}">
              <a16:creationId xmlns:a16="http://schemas.microsoft.com/office/drawing/2014/main" id="{18A5D07D-DD53-4A52-B8EC-8842881FB61E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1541" name="Freeform 10695">
          <a:extLst>
            <a:ext uri="{FF2B5EF4-FFF2-40B4-BE49-F238E27FC236}">
              <a16:creationId xmlns:a16="http://schemas.microsoft.com/office/drawing/2014/main" id="{1C5411BB-A4C1-485F-8F01-529D4B5A0182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1542" name="0/0">
          <a:extLst>
            <a:ext uri="{FF2B5EF4-FFF2-40B4-BE49-F238E27FC236}">
              <a16:creationId xmlns:a16="http://schemas.microsoft.com/office/drawing/2014/main" id="{033DA91F-E37E-4172-A5DB-709ED8C91E60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1543" name="Freeform 10695">
          <a:extLst>
            <a:ext uri="{FF2B5EF4-FFF2-40B4-BE49-F238E27FC236}">
              <a16:creationId xmlns:a16="http://schemas.microsoft.com/office/drawing/2014/main" id="{ED6EC88A-1628-4E4E-B083-1CA804DB0C13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1544" name="AutoShape 10732">
          <a:extLst>
            <a:ext uri="{FF2B5EF4-FFF2-40B4-BE49-F238E27FC236}">
              <a16:creationId xmlns:a16="http://schemas.microsoft.com/office/drawing/2014/main" id="{BBECA005-C1DD-4DEE-BCFE-7658252FB079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1545" name="AutoShape 10734">
          <a:extLst>
            <a:ext uri="{FF2B5EF4-FFF2-40B4-BE49-F238E27FC236}">
              <a16:creationId xmlns:a16="http://schemas.microsoft.com/office/drawing/2014/main" id="{8F3F3909-51C8-4295-8C73-9BA15876A883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1546" name="Rectangle 11590" descr="Light horizontal">
          <a:extLst>
            <a:ext uri="{FF2B5EF4-FFF2-40B4-BE49-F238E27FC236}">
              <a16:creationId xmlns:a16="http://schemas.microsoft.com/office/drawing/2014/main" id="{3D13247C-B19B-4AC6-BDCA-99252FFEC822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1547" name="Lightning Bolt 1546">
          <a:extLst>
            <a:ext uri="{FF2B5EF4-FFF2-40B4-BE49-F238E27FC236}">
              <a16:creationId xmlns:a16="http://schemas.microsoft.com/office/drawing/2014/main" id="{2E1B4A77-40A5-4688-A24D-1795B25DC5CA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1548" name="Line 10711">
          <a:extLst>
            <a:ext uri="{FF2B5EF4-FFF2-40B4-BE49-F238E27FC236}">
              <a16:creationId xmlns:a16="http://schemas.microsoft.com/office/drawing/2014/main" id="{B20BEA6A-FCEF-4E74-BC05-044CD4FD51BA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1549" name="Line 10711">
          <a:extLst>
            <a:ext uri="{FF2B5EF4-FFF2-40B4-BE49-F238E27FC236}">
              <a16:creationId xmlns:a16="http://schemas.microsoft.com/office/drawing/2014/main" id="{9DC3A340-3C13-42E2-9839-498686B37EAD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1550" name="Line 10711">
          <a:extLst>
            <a:ext uri="{FF2B5EF4-FFF2-40B4-BE49-F238E27FC236}">
              <a16:creationId xmlns:a16="http://schemas.microsoft.com/office/drawing/2014/main" id="{4EF6E08B-E27C-40D5-A5F2-9A3D08CDC687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1551" name="Line 10711">
          <a:extLst>
            <a:ext uri="{FF2B5EF4-FFF2-40B4-BE49-F238E27FC236}">
              <a16:creationId xmlns:a16="http://schemas.microsoft.com/office/drawing/2014/main" id="{5A9171D4-38A2-41CE-9660-0E1DEE5DC266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1552" name="Line 10711">
          <a:extLst>
            <a:ext uri="{FF2B5EF4-FFF2-40B4-BE49-F238E27FC236}">
              <a16:creationId xmlns:a16="http://schemas.microsoft.com/office/drawing/2014/main" id="{9CE1FF31-CE4B-4A94-BBB1-46A9B3C03E79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1553" name="Line 10711">
          <a:extLst>
            <a:ext uri="{FF2B5EF4-FFF2-40B4-BE49-F238E27FC236}">
              <a16:creationId xmlns:a16="http://schemas.microsoft.com/office/drawing/2014/main" id="{7C3FF9BE-FA2F-4CD8-87F4-043A317F210C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1554" name="Line 10711">
          <a:extLst>
            <a:ext uri="{FF2B5EF4-FFF2-40B4-BE49-F238E27FC236}">
              <a16:creationId xmlns:a16="http://schemas.microsoft.com/office/drawing/2014/main" id="{B2A60482-78C6-41E2-BD05-20949C644A4B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1555" name="Freeform 10695">
          <a:extLst>
            <a:ext uri="{FF2B5EF4-FFF2-40B4-BE49-F238E27FC236}">
              <a16:creationId xmlns:a16="http://schemas.microsoft.com/office/drawing/2014/main" id="{3AF0B263-1668-4E38-8E6B-3FC55523ED35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1556" name="Freeform 10695">
          <a:extLst>
            <a:ext uri="{FF2B5EF4-FFF2-40B4-BE49-F238E27FC236}">
              <a16:creationId xmlns:a16="http://schemas.microsoft.com/office/drawing/2014/main" id="{1D7AD1CD-6042-4CD9-8305-F19D2D7B0234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1557" name="Freeform 10695">
          <a:extLst>
            <a:ext uri="{FF2B5EF4-FFF2-40B4-BE49-F238E27FC236}">
              <a16:creationId xmlns:a16="http://schemas.microsoft.com/office/drawing/2014/main" id="{DE9CB8E2-BE8C-47A5-A119-98A7527C6F74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1558" name="Freeform 10695">
          <a:extLst>
            <a:ext uri="{FF2B5EF4-FFF2-40B4-BE49-F238E27FC236}">
              <a16:creationId xmlns:a16="http://schemas.microsoft.com/office/drawing/2014/main" id="{60E53B31-9283-4A14-B15D-AA2CA388CEC9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1559" name="Freeform 10695">
          <a:extLst>
            <a:ext uri="{FF2B5EF4-FFF2-40B4-BE49-F238E27FC236}">
              <a16:creationId xmlns:a16="http://schemas.microsoft.com/office/drawing/2014/main" id="{E44B7CC6-5005-4EDD-BEA8-C459DE6AA4FA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1560" name="0/0">
          <a:extLst>
            <a:ext uri="{FF2B5EF4-FFF2-40B4-BE49-F238E27FC236}">
              <a16:creationId xmlns:a16="http://schemas.microsoft.com/office/drawing/2014/main" id="{1D8E75E6-CCDA-4BFD-A843-B8BD90584B23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1561" name="Freeform 10695">
          <a:extLst>
            <a:ext uri="{FF2B5EF4-FFF2-40B4-BE49-F238E27FC236}">
              <a16:creationId xmlns:a16="http://schemas.microsoft.com/office/drawing/2014/main" id="{DA791BDA-6617-428E-A5D5-B678E4A0432F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1562" name="0/0">
          <a:extLst>
            <a:ext uri="{FF2B5EF4-FFF2-40B4-BE49-F238E27FC236}">
              <a16:creationId xmlns:a16="http://schemas.microsoft.com/office/drawing/2014/main" id="{C67561AC-177D-47F5-904C-7141CC41C6C7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1563" name="Freeform 10695">
          <a:extLst>
            <a:ext uri="{FF2B5EF4-FFF2-40B4-BE49-F238E27FC236}">
              <a16:creationId xmlns:a16="http://schemas.microsoft.com/office/drawing/2014/main" id="{2FD68AB3-666B-4D8F-99D8-E2C76D5A6C77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1564" name="0/0">
          <a:extLst>
            <a:ext uri="{FF2B5EF4-FFF2-40B4-BE49-F238E27FC236}">
              <a16:creationId xmlns:a16="http://schemas.microsoft.com/office/drawing/2014/main" id="{9492ED97-574C-4476-964D-0BFE3486ADB3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1565" name="Freeform 10695">
          <a:extLst>
            <a:ext uri="{FF2B5EF4-FFF2-40B4-BE49-F238E27FC236}">
              <a16:creationId xmlns:a16="http://schemas.microsoft.com/office/drawing/2014/main" id="{367785DB-A0E6-4E68-9394-2ED267778D1E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1566" name="0/0">
          <a:extLst>
            <a:ext uri="{FF2B5EF4-FFF2-40B4-BE49-F238E27FC236}">
              <a16:creationId xmlns:a16="http://schemas.microsoft.com/office/drawing/2014/main" id="{54C21A9B-AE42-417E-B47D-2021F1036CD6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1567" name="Freeform 10695">
          <a:extLst>
            <a:ext uri="{FF2B5EF4-FFF2-40B4-BE49-F238E27FC236}">
              <a16:creationId xmlns:a16="http://schemas.microsoft.com/office/drawing/2014/main" id="{E64349D9-A085-44B7-A702-17EDF806A312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1568" name="0/0">
          <a:extLst>
            <a:ext uri="{FF2B5EF4-FFF2-40B4-BE49-F238E27FC236}">
              <a16:creationId xmlns:a16="http://schemas.microsoft.com/office/drawing/2014/main" id="{297ADCCD-50AD-4A09-9271-13BE7F31FACF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1569" name="Freeform 10695">
          <a:extLst>
            <a:ext uri="{FF2B5EF4-FFF2-40B4-BE49-F238E27FC236}">
              <a16:creationId xmlns:a16="http://schemas.microsoft.com/office/drawing/2014/main" id="{06A3A18E-5FC0-4B25-AB1B-8776BA380644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1570" name="0/0">
          <a:extLst>
            <a:ext uri="{FF2B5EF4-FFF2-40B4-BE49-F238E27FC236}">
              <a16:creationId xmlns:a16="http://schemas.microsoft.com/office/drawing/2014/main" id="{F7C8FAD0-AB29-469C-B510-87847AEBED89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1571" name="Freeform 10695">
          <a:extLst>
            <a:ext uri="{FF2B5EF4-FFF2-40B4-BE49-F238E27FC236}">
              <a16:creationId xmlns:a16="http://schemas.microsoft.com/office/drawing/2014/main" id="{BDD79EC7-A2E8-4D7D-A28B-66658F34E1BA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1572" name="0/0">
          <a:extLst>
            <a:ext uri="{FF2B5EF4-FFF2-40B4-BE49-F238E27FC236}">
              <a16:creationId xmlns:a16="http://schemas.microsoft.com/office/drawing/2014/main" id="{20A9B433-1E94-489A-8057-108CECDD29F4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1573" name="Freeform 10695">
          <a:extLst>
            <a:ext uri="{FF2B5EF4-FFF2-40B4-BE49-F238E27FC236}">
              <a16:creationId xmlns:a16="http://schemas.microsoft.com/office/drawing/2014/main" id="{5FE0A341-F9CB-482B-BB0D-29AFF3C3D3BD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1574" name="0/0">
          <a:extLst>
            <a:ext uri="{FF2B5EF4-FFF2-40B4-BE49-F238E27FC236}">
              <a16:creationId xmlns:a16="http://schemas.microsoft.com/office/drawing/2014/main" id="{708B21BF-2171-4849-8A8D-D36C1BFE9D76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1575" name="Freeform 10695">
          <a:extLst>
            <a:ext uri="{FF2B5EF4-FFF2-40B4-BE49-F238E27FC236}">
              <a16:creationId xmlns:a16="http://schemas.microsoft.com/office/drawing/2014/main" id="{41582336-9B5D-4610-BF54-9933D060C8EE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1576" name="0/0">
          <a:extLst>
            <a:ext uri="{FF2B5EF4-FFF2-40B4-BE49-F238E27FC236}">
              <a16:creationId xmlns:a16="http://schemas.microsoft.com/office/drawing/2014/main" id="{D3FAFDC5-E836-40CD-847D-91B3D188F031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1577" name="Freeform 10695">
          <a:extLst>
            <a:ext uri="{FF2B5EF4-FFF2-40B4-BE49-F238E27FC236}">
              <a16:creationId xmlns:a16="http://schemas.microsoft.com/office/drawing/2014/main" id="{91D934A1-A02A-49DE-89A0-CA2A75401443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1578" name="0/0">
          <a:extLst>
            <a:ext uri="{FF2B5EF4-FFF2-40B4-BE49-F238E27FC236}">
              <a16:creationId xmlns:a16="http://schemas.microsoft.com/office/drawing/2014/main" id="{767B147E-33E9-4C80-A8E5-BEC3D962B13E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1579" name="0/0">
          <a:extLst>
            <a:ext uri="{FF2B5EF4-FFF2-40B4-BE49-F238E27FC236}">
              <a16:creationId xmlns:a16="http://schemas.microsoft.com/office/drawing/2014/main" id="{51C8FC2E-DF7E-452B-86D3-00938E17E412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1580" name="Freeform 10695">
          <a:extLst>
            <a:ext uri="{FF2B5EF4-FFF2-40B4-BE49-F238E27FC236}">
              <a16:creationId xmlns:a16="http://schemas.microsoft.com/office/drawing/2014/main" id="{C2897761-D9F2-44D5-B6B2-2DBBE83D539E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1581" name="Graphic 797">
          <a:extLst>
            <a:ext uri="{FF2B5EF4-FFF2-40B4-BE49-F238E27FC236}">
              <a16:creationId xmlns:a16="http://schemas.microsoft.com/office/drawing/2014/main" id="{0CC70F9E-E07F-4D2D-BE3D-FDE5C59A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1582" name="Line 10711">
          <a:extLst>
            <a:ext uri="{FF2B5EF4-FFF2-40B4-BE49-F238E27FC236}">
              <a16:creationId xmlns:a16="http://schemas.microsoft.com/office/drawing/2014/main" id="{6495DAC1-BA75-405F-9236-2240133F6C3A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1583" name="Line 10711">
          <a:extLst>
            <a:ext uri="{FF2B5EF4-FFF2-40B4-BE49-F238E27FC236}">
              <a16:creationId xmlns:a16="http://schemas.microsoft.com/office/drawing/2014/main" id="{D5A4A9BE-3ACA-45CE-A2FC-CA6EE1305E1B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1584" name="AutoShape 10734">
          <a:extLst>
            <a:ext uri="{FF2B5EF4-FFF2-40B4-BE49-F238E27FC236}">
              <a16:creationId xmlns:a16="http://schemas.microsoft.com/office/drawing/2014/main" id="{4E99464B-A1E6-4E9C-AA2D-B102C526040D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1585" name="Lightning Bolt 1584">
          <a:extLst>
            <a:ext uri="{FF2B5EF4-FFF2-40B4-BE49-F238E27FC236}">
              <a16:creationId xmlns:a16="http://schemas.microsoft.com/office/drawing/2014/main" id="{C7B65A57-E492-480D-AF06-B6439E1F690D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1586" name="Lightning Bolt 1585">
          <a:extLst>
            <a:ext uri="{FF2B5EF4-FFF2-40B4-BE49-F238E27FC236}">
              <a16:creationId xmlns:a16="http://schemas.microsoft.com/office/drawing/2014/main" id="{9F86DE88-D7C7-4504-8E50-DFA9728D731C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1587" name="Line 10711">
          <a:extLst>
            <a:ext uri="{FF2B5EF4-FFF2-40B4-BE49-F238E27FC236}">
              <a16:creationId xmlns:a16="http://schemas.microsoft.com/office/drawing/2014/main" id="{C9536A61-546A-4875-8FE0-9819ECD31B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1588" name="Lightning Bolt 1587">
          <a:extLst>
            <a:ext uri="{FF2B5EF4-FFF2-40B4-BE49-F238E27FC236}">
              <a16:creationId xmlns:a16="http://schemas.microsoft.com/office/drawing/2014/main" id="{55F61D15-E9A9-480C-8E2C-39ABCA7F123E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1589" name="Lightning Bolt 1588">
          <a:extLst>
            <a:ext uri="{FF2B5EF4-FFF2-40B4-BE49-F238E27FC236}">
              <a16:creationId xmlns:a16="http://schemas.microsoft.com/office/drawing/2014/main" id="{1F42D59E-94A8-48B1-9291-43578CBA87E7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1590" name="Lightning Bolt 1589">
          <a:extLst>
            <a:ext uri="{FF2B5EF4-FFF2-40B4-BE49-F238E27FC236}">
              <a16:creationId xmlns:a16="http://schemas.microsoft.com/office/drawing/2014/main" id="{FDBAEE9B-AB81-45AC-A781-8EBFC25F17CD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1591" name="Freeform 10695">
          <a:extLst>
            <a:ext uri="{FF2B5EF4-FFF2-40B4-BE49-F238E27FC236}">
              <a16:creationId xmlns:a16="http://schemas.microsoft.com/office/drawing/2014/main" id="{6FBABC11-EF18-440C-941A-9B766B7F2FC8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1592" name="AutoShape 10734">
          <a:extLst>
            <a:ext uri="{FF2B5EF4-FFF2-40B4-BE49-F238E27FC236}">
              <a16:creationId xmlns:a16="http://schemas.microsoft.com/office/drawing/2014/main" id="{EFE6F056-805B-4F96-AE2E-0D3E16927124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1593" name="Freeform 10695">
          <a:extLst>
            <a:ext uri="{FF2B5EF4-FFF2-40B4-BE49-F238E27FC236}">
              <a16:creationId xmlns:a16="http://schemas.microsoft.com/office/drawing/2014/main" id="{C3BC1ED7-6805-4E12-A70D-6796A24D41D2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1594" name="Lightning Bolt 1593">
          <a:extLst>
            <a:ext uri="{FF2B5EF4-FFF2-40B4-BE49-F238E27FC236}">
              <a16:creationId xmlns:a16="http://schemas.microsoft.com/office/drawing/2014/main" id="{0F4081CC-C4C2-45DC-95A9-86FB0BB3DDA8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1595" name="AutoShape 10734">
          <a:extLst>
            <a:ext uri="{FF2B5EF4-FFF2-40B4-BE49-F238E27FC236}">
              <a16:creationId xmlns:a16="http://schemas.microsoft.com/office/drawing/2014/main" id="{F734ECDE-E80B-4CC1-AD4B-124E44604CEC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1596" name="Arrow: U-Turn 1595">
          <a:extLst>
            <a:ext uri="{FF2B5EF4-FFF2-40B4-BE49-F238E27FC236}">
              <a16:creationId xmlns:a16="http://schemas.microsoft.com/office/drawing/2014/main" id="{237B7FF9-7F4A-44A6-ACD5-61D454D5A725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1597" name="Arrow: U-Turn 1596">
          <a:extLst>
            <a:ext uri="{FF2B5EF4-FFF2-40B4-BE49-F238E27FC236}">
              <a16:creationId xmlns:a16="http://schemas.microsoft.com/office/drawing/2014/main" id="{3171E178-737B-4869-A5A0-ED36108D4D2A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1598" name="Arrow: U-Turn 1597">
          <a:extLst>
            <a:ext uri="{FF2B5EF4-FFF2-40B4-BE49-F238E27FC236}">
              <a16:creationId xmlns:a16="http://schemas.microsoft.com/office/drawing/2014/main" id="{CCD2ED0C-8172-4D2A-8515-11936BB05774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1599" name="Arrow: U-Turn 1598">
          <a:extLst>
            <a:ext uri="{FF2B5EF4-FFF2-40B4-BE49-F238E27FC236}">
              <a16:creationId xmlns:a16="http://schemas.microsoft.com/office/drawing/2014/main" id="{C5C545D7-9A65-464B-88F2-CCFAB5CC8AEC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1600" name="Line 10711">
          <a:extLst>
            <a:ext uri="{FF2B5EF4-FFF2-40B4-BE49-F238E27FC236}">
              <a16:creationId xmlns:a16="http://schemas.microsoft.com/office/drawing/2014/main" id="{2DADD3A5-5588-4026-81C1-7532F10BCB79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1601" name="AutoShape 10734">
          <a:extLst>
            <a:ext uri="{FF2B5EF4-FFF2-40B4-BE49-F238E27FC236}">
              <a16:creationId xmlns:a16="http://schemas.microsoft.com/office/drawing/2014/main" id="{096A1E8E-C513-497C-B29F-56B960E850CA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1602" name="Lightning Bolt 1601">
          <a:extLst>
            <a:ext uri="{FF2B5EF4-FFF2-40B4-BE49-F238E27FC236}">
              <a16:creationId xmlns:a16="http://schemas.microsoft.com/office/drawing/2014/main" id="{4FA77142-8280-4F13-BA31-0E635EF06A93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1603" name="Lightning Bolt 1602">
          <a:extLst>
            <a:ext uri="{FF2B5EF4-FFF2-40B4-BE49-F238E27FC236}">
              <a16:creationId xmlns:a16="http://schemas.microsoft.com/office/drawing/2014/main" id="{76CE56DF-2A0E-4F72-91DA-3B008122D4E2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1604" name="Lightning Bolt 1603">
          <a:extLst>
            <a:ext uri="{FF2B5EF4-FFF2-40B4-BE49-F238E27FC236}">
              <a16:creationId xmlns:a16="http://schemas.microsoft.com/office/drawing/2014/main" id="{F7E963A5-6BAA-4081-910D-072166F6765B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1605" name="Lightning Bolt 1604">
          <a:extLst>
            <a:ext uri="{FF2B5EF4-FFF2-40B4-BE49-F238E27FC236}">
              <a16:creationId xmlns:a16="http://schemas.microsoft.com/office/drawing/2014/main" id="{5CA71616-E3EF-4FA1-807D-33ABCAEDBCF8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1606" name="Freeform 10695">
          <a:extLst>
            <a:ext uri="{FF2B5EF4-FFF2-40B4-BE49-F238E27FC236}">
              <a16:creationId xmlns:a16="http://schemas.microsoft.com/office/drawing/2014/main" id="{F6D63F1A-18B2-4F04-9A41-22BF6C91FD15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1607" name="Freeform 10695">
          <a:extLst>
            <a:ext uri="{FF2B5EF4-FFF2-40B4-BE49-F238E27FC236}">
              <a16:creationId xmlns:a16="http://schemas.microsoft.com/office/drawing/2014/main" id="{90389EDB-A391-4E05-9011-4E996B155671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1608" name="Freeform 10695">
          <a:extLst>
            <a:ext uri="{FF2B5EF4-FFF2-40B4-BE49-F238E27FC236}">
              <a16:creationId xmlns:a16="http://schemas.microsoft.com/office/drawing/2014/main" id="{589045B4-2853-423C-BF81-E44F811925D5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1609" name="Freeform 10695">
          <a:extLst>
            <a:ext uri="{FF2B5EF4-FFF2-40B4-BE49-F238E27FC236}">
              <a16:creationId xmlns:a16="http://schemas.microsoft.com/office/drawing/2014/main" id="{00EF4715-421C-4DBA-9F2A-7BAE6F5CC9CF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1610" name="Freeform 10695">
          <a:extLst>
            <a:ext uri="{FF2B5EF4-FFF2-40B4-BE49-F238E27FC236}">
              <a16:creationId xmlns:a16="http://schemas.microsoft.com/office/drawing/2014/main" id="{036D23E6-6904-4C4D-83BF-6DEA48D4A36E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1611" name="Freeform 10695">
          <a:extLst>
            <a:ext uri="{FF2B5EF4-FFF2-40B4-BE49-F238E27FC236}">
              <a16:creationId xmlns:a16="http://schemas.microsoft.com/office/drawing/2014/main" id="{95C6A762-1D98-4537-BF18-7E9705BCF4C2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1612" name="Freeform 10695">
          <a:extLst>
            <a:ext uri="{FF2B5EF4-FFF2-40B4-BE49-F238E27FC236}">
              <a16:creationId xmlns:a16="http://schemas.microsoft.com/office/drawing/2014/main" id="{BD03CFEC-8B7F-48E2-A39C-176B2ACBDC18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1613" name="Freeform 10695">
          <a:extLst>
            <a:ext uri="{FF2B5EF4-FFF2-40B4-BE49-F238E27FC236}">
              <a16:creationId xmlns:a16="http://schemas.microsoft.com/office/drawing/2014/main" id="{FCE637DF-E792-42A0-B3CC-39FBBB042CE1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1614" name="Freeform 10695">
          <a:extLst>
            <a:ext uri="{FF2B5EF4-FFF2-40B4-BE49-F238E27FC236}">
              <a16:creationId xmlns:a16="http://schemas.microsoft.com/office/drawing/2014/main" id="{B7E8529B-BC72-4EAE-A6A2-CB62F9D0FE75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1615" name="Freeform 10695">
          <a:extLst>
            <a:ext uri="{FF2B5EF4-FFF2-40B4-BE49-F238E27FC236}">
              <a16:creationId xmlns:a16="http://schemas.microsoft.com/office/drawing/2014/main" id="{F80D1E0F-4DED-483D-BCF2-BDE6BDB1C466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1616" name="Freeform 10695">
          <a:extLst>
            <a:ext uri="{FF2B5EF4-FFF2-40B4-BE49-F238E27FC236}">
              <a16:creationId xmlns:a16="http://schemas.microsoft.com/office/drawing/2014/main" id="{924CF1A1-CB2F-49BC-818D-E5367DA7466B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1617" name="Freeform 10695">
          <a:extLst>
            <a:ext uri="{FF2B5EF4-FFF2-40B4-BE49-F238E27FC236}">
              <a16:creationId xmlns:a16="http://schemas.microsoft.com/office/drawing/2014/main" id="{2D92E9AA-4C2D-4070-BD99-4C0398DC2DBF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1618" name="Freeform 10695">
          <a:extLst>
            <a:ext uri="{FF2B5EF4-FFF2-40B4-BE49-F238E27FC236}">
              <a16:creationId xmlns:a16="http://schemas.microsoft.com/office/drawing/2014/main" id="{ECEC2781-E969-4A4D-A3E7-ACC70908E058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1619" name="Freeform 10695">
          <a:extLst>
            <a:ext uri="{FF2B5EF4-FFF2-40B4-BE49-F238E27FC236}">
              <a16:creationId xmlns:a16="http://schemas.microsoft.com/office/drawing/2014/main" id="{3FD9020F-D0B7-4B92-B7AF-7CF837375014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1620" name="Freeform 10695">
          <a:extLst>
            <a:ext uri="{FF2B5EF4-FFF2-40B4-BE49-F238E27FC236}">
              <a16:creationId xmlns:a16="http://schemas.microsoft.com/office/drawing/2014/main" id="{671B8C00-5A4E-4D04-8AF3-9385C7125259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1621" name="Freeform 10695">
          <a:extLst>
            <a:ext uri="{FF2B5EF4-FFF2-40B4-BE49-F238E27FC236}">
              <a16:creationId xmlns:a16="http://schemas.microsoft.com/office/drawing/2014/main" id="{E5A6C34A-0014-4F83-8B1B-E83620569EE5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1622" name="Rectangle 11590" descr="Light horizontal">
          <a:extLst>
            <a:ext uri="{FF2B5EF4-FFF2-40B4-BE49-F238E27FC236}">
              <a16:creationId xmlns:a16="http://schemas.microsoft.com/office/drawing/2014/main" id="{E7A65DAE-7A6E-4FB6-9444-DA8561AF2462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34304710-A9CF-4834-AF87-D4775AB2B28D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1624" name="Line 10711">
          <a:extLst>
            <a:ext uri="{FF2B5EF4-FFF2-40B4-BE49-F238E27FC236}">
              <a16:creationId xmlns:a16="http://schemas.microsoft.com/office/drawing/2014/main" id="{D82257F4-A3AB-4575-9579-EF66EE6D6259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1625" name="0/0">
          <a:extLst>
            <a:ext uri="{FF2B5EF4-FFF2-40B4-BE49-F238E27FC236}">
              <a16:creationId xmlns:a16="http://schemas.microsoft.com/office/drawing/2014/main" id="{2482E6D7-72BB-46A9-A350-AA81A689769F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1626" name="Freeform 10695">
          <a:extLst>
            <a:ext uri="{FF2B5EF4-FFF2-40B4-BE49-F238E27FC236}">
              <a16:creationId xmlns:a16="http://schemas.microsoft.com/office/drawing/2014/main" id="{AE36CB59-0FEE-420A-9519-2CA42FCA9AB5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1627" name="0/0">
          <a:extLst>
            <a:ext uri="{FF2B5EF4-FFF2-40B4-BE49-F238E27FC236}">
              <a16:creationId xmlns:a16="http://schemas.microsoft.com/office/drawing/2014/main" id="{63AF0881-364B-4FA1-ABEA-BC6318B238BB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1628" name="Freeform 10695">
          <a:extLst>
            <a:ext uri="{FF2B5EF4-FFF2-40B4-BE49-F238E27FC236}">
              <a16:creationId xmlns:a16="http://schemas.microsoft.com/office/drawing/2014/main" id="{0883A892-C81D-47B3-8454-C014957C32E6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1629" name="0/0">
          <a:extLst>
            <a:ext uri="{FF2B5EF4-FFF2-40B4-BE49-F238E27FC236}">
              <a16:creationId xmlns:a16="http://schemas.microsoft.com/office/drawing/2014/main" id="{15B296A9-BC99-45E8-A62C-FC4DEFE7EECA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1630" name="Freeform 10695">
          <a:extLst>
            <a:ext uri="{FF2B5EF4-FFF2-40B4-BE49-F238E27FC236}">
              <a16:creationId xmlns:a16="http://schemas.microsoft.com/office/drawing/2014/main" id="{322B38F0-E036-48C9-978E-2979D0AE974B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1631" name="0/0">
          <a:extLst>
            <a:ext uri="{FF2B5EF4-FFF2-40B4-BE49-F238E27FC236}">
              <a16:creationId xmlns:a16="http://schemas.microsoft.com/office/drawing/2014/main" id="{D9B099DD-2B89-445E-9207-BEEAFD28743B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1632" name="0/0">
          <a:extLst>
            <a:ext uri="{FF2B5EF4-FFF2-40B4-BE49-F238E27FC236}">
              <a16:creationId xmlns:a16="http://schemas.microsoft.com/office/drawing/2014/main" id="{C8F046CA-BBAA-4A84-BFA9-CE393B988763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1633" name="Freeform 10695">
          <a:extLst>
            <a:ext uri="{FF2B5EF4-FFF2-40B4-BE49-F238E27FC236}">
              <a16:creationId xmlns:a16="http://schemas.microsoft.com/office/drawing/2014/main" id="{10B637CD-F4C4-4CC5-A582-85D6FDC827D3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1634" name="Freeform 10695">
          <a:extLst>
            <a:ext uri="{FF2B5EF4-FFF2-40B4-BE49-F238E27FC236}">
              <a16:creationId xmlns:a16="http://schemas.microsoft.com/office/drawing/2014/main" id="{65ED37B2-C3D8-4553-8FCB-3B6B2EAB5A30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1635" name="AutoShape 10734">
          <a:extLst>
            <a:ext uri="{FF2B5EF4-FFF2-40B4-BE49-F238E27FC236}">
              <a16:creationId xmlns:a16="http://schemas.microsoft.com/office/drawing/2014/main" id="{25043BC6-8D29-474F-B860-0FA27D29CD1D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1636" name="AutoShape 10732">
          <a:extLst>
            <a:ext uri="{FF2B5EF4-FFF2-40B4-BE49-F238E27FC236}">
              <a16:creationId xmlns:a16="http://schemas.microsoft.com/office/drawing/2014/main" id="{510D7A82-FE05-44CF-BF95-884E61E2E093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1637" name="Lightning Bolt 1636">
          <a:extLst>
            <a:ext uri="{FF2B5EF4-FFF2-40B4-BE49-F238E27FC236}">
              <a16:creationId xmlns:a16="http://schemas.microsoft.com/office/drawing/2014/main" id="{73253111-F18D-4072-B0CE-E04E6728439E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1638" name="Lightning Bolt 1637">
          <a:extLst>
            <a:ext uri="{FF2B5EF4-FFF2-40B4-BE49-F238E27FC236}">
              <a16:creationId xmlns:a16="http://schemas.microsoft.com/office/drawing/2014/main" id="{B6FB7F0D-83B8-44BB-A789-06CE5D75FB46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1639" name="Lightning Bolt 1638">
          <a:extLst>
            <a:ext uri="{FF2B5EF4-FFF2-40B4-BE49-F238E27FC236}">
              <a16:creationId xmlns:a16="http://schemas.microsoft.com/office/drawing/2014/main" id="{2412DF93-DEDE-4E55-8865-13552F13B0BF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1640" name="AutoShape 10734">
          <a:extLst>
            <a:ext uri="{FF2B5EF4-FFF2-40B4-BE49-F238E27FC236}">
              <a16:creationId xmlns:a16="http://schemas.microsoft.com/office/drawing/2014/main" id="{5B261988-11FA-42C8-822E-39349D4D971D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1641" name="Rectangle 11590" descr="Light horizontal">
          <a:extLst>
            <a:ext uri="{FF2B5EF4-FFF2-40B4-BE49-F238E27FC236}">
              <a16:creationId xmlns:a16="http://schemas.microsoft.com/office/drawing/2014/main" id="{C682EEFC-B97A-46AA-B46A-EF89D8E89705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1642" name="Lightning Bolt 1641">
          <a:extLst>
            <a:ext uri="{FF2B5EF4-FFF2-40B4-BE49-F238E27FC236}">
              <a16:creationId xmlns:a16="http://schemas.microsoft.com/office/drawing/2014/main" id="{785131E8-2660-46B0-847F-21C9D77DC0F0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1643" name="Lightning Bolt 1642">
          <a:extLst>
            <a:ext uri="{FF2B5EF4-FFF2-40B4-BE49-F238E27FC236}">
              <a16:creationId xmlns:a16="http://schemas.microsoft.com/office/drawing/2014/main" id="{7C76CFAD-BAFE-48DA-AC13-C2E6D538C345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1644" name="Lightning Bolt 1643">
          <a:extLst>
            <a:ext uri="{FF2B5EF4-FFF2-40B4-BE49-F238E27FC236}">
              <a16:creationId xmlns:a16="http://schemas.microsoft.com/office/drawing/2014/main" id="{E3E4D0C2-074D-43E0-A8C5-1C86C5680D23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1645" name="AutoShape 10734">
          <a:extLst>
            <a:ext uri="{FF2B5EF4-FFF2-40B4-BE49-F238E27FC236}">
              <a16:creationId xmlns:a16="http://schemas.microsoft.com/office/drawing/2014/main" id="{C48C08D0-48D2-4B80-92AA-01C46D0FA5B0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1646" name="Rectangle 11590" descr="Light horizontal">
          <a:extLst>
            <a:ext uri="{FF2B5EF4-FFF2-40B4-BE49-F238E27FC236}">
              <a16:creationId xmlns:a16="http://schemas.microsoft.com/office/drawing/2014/main" id="{0E75DE98-7F55-4694-959E-C81E8D7641CF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1647" name="Lightning Bolt 1646">
          <a:extLst>
            <a:ext uri="{FF2B5EF4-FFF2-40B4-BE49-F238E27FC236}">
              <a16:creationId xmlns:a16="http://schemas.microsoft.com/office/drawing/2014/main" id="{8972776E-FC77-449C-B1A2-8E848BFFA1B5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1648" name="Lightning Bolt 1647">
          <a:extLst>
            <a:ext uri="{FF2B5EF4-FFF2-40B4-BE49-F238E27FC236}">
              <a16:creationId xmlns:a16="http://schemas.microsoft.com/office/drawing/2014/main" id="{DE47B9D2-9C7D-4286-A6C9-963186F5E9BB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1649" name="Lightning Bolt 1648">
          <a:extLst>
            <a:ext uri="{FF2B5EF4-FFF2-40B4-BE49-F238E27FC236}">
              <a16:creationId xmlns:a16="http://schemas.microsoft.com/office/drawing/2014/main" id="{97571EA6-BF3D-46B2-8DE3-7B671F8B11EC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1650" name="Line 10711">
          <a:extLst>
            <a:ext uri="{FF2B5EF4-FFF2-40B4-BE49-F238E27FC236}">
              <a16:creationId xmlns:a16="http://schemas.microsoft.com/office/drawing/2014/main" id="{0323C510-4947-4361-B6A1-1933EB4BD284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1651" name="Minus 382">
          <a:extLst>
            <a:ext uri="{FF2B5EF4-FFF2-40B4-BE49-F238E27FC236}">
              <a16:creationId xmlns:a16="http://schemas.microsoft.com/office/drawing/2014/main" id="{13C0E897-0879-4815-AC81-27BB559C9A0F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1652" name="Minus 382">
          <a:extLst>
            <a:ext uri="{FF2B5EF4-FFF2-40B4-BE49-F238E27FC236}">
              <a16:creationId xmlns:a16="http://schemas.microsoft.com/office/drawing/2014/main" id="{5E3C874E-96BC-4E35-98AD-A5092D1D5ADC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1653" name="Minus 382">
          <a:extLst>
            <a:ext uri="{FF2B5EF4-FFF2-40B4-BE49-F238E27FC236}">
              <a16:creationId xmlns:a16="http://schemas.microsoft.com/office/drawing/2014/main" id="{4B301F58-F676-4BE5-8CF5-C8BEFA4A06FC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1654" name="Minus 382">
          <a:extLst>
            <a:ext uri="{FF2B5EF4-FFF2-40B4-BE49-F238E27FC236}">
              <a16:creationId xmlns:a16="http://schemas.microsoft.com/office/drawing/2014/main" id="{B6741627-3F42-401D-9AC0-930852F81A20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1655" name="Minus 382">
          <a:extLst>
            <a:ext uri="{FF2B5EF4-FFF2-40B4-BE49-F238E27FC236}">
              <a16:creationId xmlns:a16="http://schemas.microsoft.com/office/drawing/2014/main" id="{FC7D5D5E-3F37-4B7F-93BF-52F9B9B36C78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1656" name="Minus 382">
          <a:extLst>
            <a:ext uri="{FF2B5EF4-FFF2-40B4-BE49-F238E27FC236}">
              <a16:creationId xmlns:a16="http://schemas.microsoft.com/office/drawing/2014/main" id="{EB4F51EA-F2CF-4185-ACD2-F2D04766C75E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1657" name="Minus 382">
          <a:extLst>
            <a:ext uri="{FF2B5EF4-FFF2-40B4-BE49-F238E27FC236}">
              <a16:creationId xmlns:a16="http://schemas.microsoft.com/office/drawing/2014/main" id="{DA9B8891-AA6A-4651-B6E8-43D72F8DDB21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1658" name="Minus 382">
          <a:extLst>
            <a:ext uri="{FF2B5EF4-FFF2-40B4-BE49-F238E27FC236}">
              <a16:creationId xmlns:a16="http://schemas.microsoft.com/office/drawing/2014/main" id="{338F81D4-540E-4216-A1B0-11D548A6DC4E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1659" name="Minus 382">
          <a:extLst>
            <a:ext uri="{FF2B5EF4-FFF2-40B4-BE49-F238E27FC236}">
              <a16:creationId xmlns:a16="http://schemas.microsoft.com/office/drawing/2014/main" id="{11FF827D-207C-4612-914B-3727BED09189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1660" name="Minus 382">
          <a:extLst>
            <a:ext uri="{FF2B5EF4-FFF2-40B4-BE49-F238E27FC236}">
              <a16:creationId xmlns:a16="http://schemas.microsoft.com/office/drawing/2014/main" id="{7111D133-9589-4F1A-935A-940C0BEBC84C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1661" name="Minus 382">
          <a:extLst>
            <a:ext uri="{FF2B5EF4-FFF2-40B4-BE49-F238E27FC236}">
              <a16:creationId xmlns:a16="http://schemas.microsoft.com/office/drawing/2014/main" id="{551BE7CC-09DB-4294-9C25-9624AAFE007A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1662" name="Minus 382">
          <a:extLst>
            <a:ext uri="{FF2B5EF4-FFF2-40B4-BE49-F238E27FC236}">
              <a16:creationId xmlns:a16="http://schemas.microsoft.com/office/drawing/2014/main" id="{4719ADAD-03FB-48ED-8DE2-0CB854C3C0C7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1663" name="Minus 382">
          <a:extLst>
            <a:ext uri="{FF2B5EF4-FFF2-40B4-BE49-F238E27FC236}">
              <a16:creationId xmlns:a16="http://schemas.microsoft.com/office/drawing/2014/main" id="{3974B851-67C9-43F3-B167-126C5BBA1CCA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1664" name="Minus 382">
          <a:extLst>
            <a:ext uri="{FF2B5EF4-FFF2-40B4-BE49-F238E27FC236}">
              <a16:creationId xmlns:a16="http://schemas.microsoft.com/office/drawing/2014/main" id="{10506D52-ED68-4B3D-8C0E-EF0D1913E7A4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1665" name="Minus 382">
          <a:extLst>
            <a:ext uri="{FF2B5EF4-FFF2-40B4-BE49-F238E27FC236}">
              <a16:creationId xmlns:a16="http://schemas.microsoft.com/office/drawing/2014/main" id="{15F028A8-1A46-4D1A-BFB3-F570894CA232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1666" name="Minus 382">
          <a:extLst>
            <a:ext uri="{FF2B5EF4-FFF2-40B4-BE49-F238E27FC236}">
              <a16:creationId xmlns:a16="http://schemas.microsoft.com/office/drawing/2014/main" id="{BA170FF9-51E2-4D70-9A92-5DF987ACAB80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1667" name="Minus 382">
          <a:extLst>
            <a:ext uri="{FF2B5EF4-FFF2-40B4-BE49-F238E27FC236}">
              <a16:creationId xmlns:a16="http://schemas.microsoft.com/office/drawing/2014/main" id="{A10EB8C1-5FAF-4857-A420-44B3A5F87F79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1668" name="Minus 382">
          <a:extLst>
            <a:ext uri="{FF2B5EF4-FFF2-40B4-BE49-F238E27FC236}">
              <a16:creationId xmlns:a16="http://schemas.microsoft.com/office/drawing/2014/main" id="{CAE721AF-13A9-4BB7-BA92-6EE832053E32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1669" name="Minus 382">
          <a:extLst>
            <a:ext uri="{FF2B5EF4-FFF2-40B4-BE49-F238E27FC236}">
              <a16:creationId xmlns:a16="http://schemas.microsoft.com/office/drawing/2014/main" id="{4885F545-10B7-4E0A-9628-4677A4E254DD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1670" name="Minus 382">
          <a:extLst>
            <a:ext uri="{FF2B5EF4-FFF2-40B4-BE49-F238E27FC236}">
              <a16:creationId xmlns:a16="http://schemas.microsoft.com/office/drawing/2014/main" id="{2A055E41-A7A2-4137-910F-BCE14CAF8475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1671" name="Minus 382">
          <a:extLst>
            <a:ext uri="{FF2B5EF4-FFF2-40B4-BE49-F238E27FC236}">
              <a16:creationId xmlns:a16="http://schemas.microsoft.com/office/drawing/2014/main" id="{D71D5FDD-8186-4E3D-B42B-26B61B54E408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1672" name="Minus 382">
          <a:extLst>
            <a:ext uri="{FF2B5EF4-FFF2-40B4-BE49-F238E27FC236}">
              <a16:creationId xmlns:a16="http://schemas.microsoft.com/office/drawing/2014/main" id="{C3ED8916-A769-4374-9189-8D60D23AA04F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1673" name="Minus 382">
          <a:extLst>
            <a:ext uri="{FF2B5EF4-FFF2-40B4-BE49-F238E27FC236}">
              <a16:creationId xmlns:a16="http://schemas.microsoft.com/office/drawing/2014/main" id="{1C669C87-D2D4-4BF2-AEED-294DACF30FE9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1674" name="Minus 382">
          <a:extLst>
            <a:ext uri="{FF2B5EF4-FFF2-40B4-BE49-F238E27FC236}">
              <a16:creationId xmlns:a16="http://schemas.microsoft.com/office/drawing/2014/main" id="{9CF79635-3EB1-4206-B3B9-9C092243A557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1675" name="Minus 382">
          <a:extLst>
            <a:ext uri="{FF2B5EF4-FFF2-40B4-BE49-F238E27FC236}">
              <a16:creationId xmlns:a16="http://schemas.microsoft.com/office/drawing/2014/main" id="{31DC1290-2C11-47F3-A802-F5EF5BDF3F67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1676" name="Minus 382">
          <a:extLst>
            <a:ext uri="{FF2B5EF4-FFF2-40B4-BE49-F238E27FC236}">
              <a16:creationId xmlns:a16="http://schemas.microsoft.com/office/drawing/2014/main" id="{9C90694E-8608-4755-A173-EF8FCA13AD9D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1677" name="Minus 382">
          <a:extLst>
            <a:ext uri="{FF2B5EF4-FFF2-40B4-BE49-F238E27FC236}">
              <a16:creationId xmlns:a16="http://schemas.microsoft.com/office/drawing/2014/main" id="{6B00D796-2AB9-474A-9C73-CA050D4F7D19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1678" name="Minus 382">
          <a:extLst>
            <a:ext uri="{FF2B5EF4-FFF2-40B4-BE49-F238E27FC236}">
              <a16:creationId xmlns:a16="http://schemas.microsoft.com/office/drawing/2014/main" id="{ABA59C85-D016-4CDF-8707-5EED7D3D7331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1679" name="Minus 382">
          <a:extLst>
            <a:ext uri="{FF2B5EF4-FFF2-40B4-BE49-F238E27FC236}">
              <a16:creationId xmlns:a16="http://schemas.microsoft.com/office/drawing/2014/main" id="{AA23265F-4297-4C8E-92C1-5E3A612DA97A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1680" name="Minus 382">
          <a:extLst>
            <a:ext uri="{FF2B5EF4-FFF2-40B4-BE49-F238E27FC236}">
              <a16:creationId xmlns:a16="http://schemas.microsoft.com/office/drawing/2014/main" id="{8D47C20A-6D92-46A1-AE18-971F522CDCA4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1681" name="Minus 382">
          <a:extLst>
            <a:ext uri="{FF2B5EF4-FFF2-40B4-BE49-F238E27FC236}">
              <a16:creationId xmlns:a16="http://schemas.microsoft.com/office/drawing/2014/main" id="{3C158F25-D0AA-4B5E-A9D9-EC2FDDB5199E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1682" name="Minus 382">
          <a:extLst>
            <a:ext uri="{FF2B5EF4-FFF2-40B4-BE49-F238E27FC236}">
              <a16:creationId xmlns:a16="http://schemas.microsoft.com/office/drawing/2014/main" id="{BBC36D89-F323-4BE5-86C1-D2564C829E08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1683" name="Minus 382">
          <a:extLst>
            <a:ext uri="{FF2B5EF4-FFF2-40B4-BE49-F238E27FC236}">
              <a16:creationId xmlns:a16="http://schemas.microsoft.com/office/drawing/2014/main" id="{D26CFC09-2515-4B15-B08A-C9A873A82303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1684" name="Minus 382">
          <a:extLst>
            <a:ext uri="{FF2B5EF4-FFF2-40B4-BE49-F238E27FC236}">
              <a16:creationId xmlns:a16="http://schemas.microsoft.com/office/drawing/2014/main" id="{C8F3E689-4641-4808-8864-48562DA5B1EF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1685" name="Minus 382">
          <a:extLst>
            <a:ext uri="{FF2B5EF4-FFF2-40B4-BE49-F238E27FC236}">
              <a16:creationId xmlns:a16="http://schemas.microsoft.com/office/drawing/2014/main" id="{70A9C2CF-D4D6-4720-8B67-F24FCEA702B7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1686" name="Minus 382">
          <a:extLst>
            <a:ext uri="{FF2B5EF4-FFF2-40B4-BE49-F238E27FC236}">
              <a16:creationId xmlns:a16="http://schemas.microsoft.com/office/drawing/2014/main" id="{0761EE6A-36F5-459B-9EC7-AA32BFA3317B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1687" name="Minus 382">
          <a:extLst>
            <a:ext uri="{FF2B5EF4-FFF2-40B4-BE49-F238E27FC236}">
              <a16:creationId xmlns:a16="http://schemas.microsoft.com/office/drawing/2014/main" id="{297EF88D-C0C5-425E-A7BD-3902693C5F01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1688" name="Minus 382">
          <a:extLst>
            <a:ext uri="{FF2B5EF4-FFF2-40B4-BE49-F238E27FC236}">
              <a16:creationId xmlns:a16="http://schemas.microsoft.com/office/drawing/2014/main" id="{17ECE752-F8E0-4EC8-8661-C70D3CFEA157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1689" name="Minus 382">
          <a:extLst>
            <a:ext uri="{FF2B5EF4-FFF2-40B4-BE49-F238E27FC236}">
              <a16:creationId xmlns:a16="http://schemas.microsoft.com/office/drawing/2014/main" id="{1638593A-60E1-4530-A3E4-DEC72A7F21C5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1690" name="Minus 382">
          <a:extLst>
            <a:ext uri="{FF2B5EF4-FFF2-40B4-BE49-F238E27FC236}">
              <a16:creationId xmlns:a16="http://schemas.microsoft.com/office/drawing/2014/main" id="{6AFDF957-877C-46E2-9D57-98EEB8BA1BAC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1691" name="Minus 382">
          <a:extLst>
            <a:ext uri="{FF2B5EF4-FFF2-40B4-BE49-F238E27FC236}">
              <a16:creationId xmlns:a16="http://schemas.microsoft.com/office/drawing/2014/main" id="{534EE966-AA91-4FA6-AE76-AA8E09328160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1692" name="Minus 382">
          <a:extLst>
            <a:ext uri="{FF2B5EF4-FFF2-40B4-BE49-F238E27FC236}">
              <a16:creationId xmlns:a16="http://schemas.microsoft.com/office/drawing/2014/main" id="{F0D7ECFC-A8CF-48F0-B3D1-5E9AEF873217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1693" name="Minus 382">
          <a:extLst>
            <a:ext uri="{FF2B5EF4-FFF2-40B4-BE49-F238E27FC236}">
              <a16:creationId xmlns:a16="http://schemas.microsoft.com/office/drawing/2014/main" id="{E8A801A5-C4AE-47E9-AD45-A39B20AD8359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1694" name="Minus 382">
          <a:extLst>
            <a:ext uri="{FF2B5EF4-FFF2-40B4-BE49-F238E27FC236}">
              <a16:creationId xmlns:a16="http://schemas.microsoft.com/office/drawing/2014/main" id="{06A56017-7928-4263-9F3C-C7AE579D90EB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1695" name="Minus 382">
          <a:extLst>
            <a:ext uri="{FF2B5EF4-FFF2-40B4-BE49-F238E27FC236}">
              <a16:creationId xmlns:a16="http://schemas.microsoft.com/office/drawing/2014/main" id="{959B114D-D586-4019-AB09-DF3F06F9488A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1696" name="Minus 382">
          <a:extLst>
            <a:ext uri="{FF2B5EF4-FFF2-40B4-BE49-F238E27FC236}">
              <a16:creationId xmlns:a16="http://schemas.microsoft.com/office/drawing/2014/main" id="{F3D8A95F-A96E-4EAA-91D3-96E69287091D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1697" name="Minus 382">
          <a:extLst>
            <a:ext uri="{FF2B5EF4-FFF2-40B4-BE49-F238E27FC236}">
              <a16:creationId xmlns:a16="http://schemas.microsoft.com/office/drawing/2014/main" id="{D5E9C605-0D17-495F-AA9A-A8D7CF8D9736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1698" name="Minus 382">
          <a:extLst>
            <a:ext uri="{FF2B5EF4-FFF2-40B4-BE49-F238E27FC236}">
              <a16:creationId xmlns:a16="http://schemas.microsoft.com/office/drawing/2014/main" id="{40BE69E8-9081-4184-9E88-46FE4BCC56B9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1699" name="Minus 382">
          <a:extLst>
            <a:ext uri="{FF2B5EF4-FFF2-40B4-BE49-F238E27FC236}">
              <a16:creationId xmlns:a16="http://schemas.microsoft.com/office/drawing/2014/main" id="{0CDF8621-28CE-4C1C-989B-47E7160FF7EF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1700" name="Minus 382">
          <a:extLst>
            <a:ext uri="{FF2B5EF4-FFF2-40B4-BE49-F238E27FC236}">
              <a16:creationId xmlns:a16="http://schemas.microsoft.com/office/drawing/2014/main" id="{9A6D8B1A-B148-414A-97CB-DEB29851C351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1701" name="Minus 382">
          <a:extLst>
            <a:ext uri="{FF2B5EF4-FFF2-40B4-BE49-F238E27FC236}">
              <a16:creationId xmlns:a16="http://schemas.microsoft.com/office/drawing/2014/main" id="{A9ED5920-B154-4DBB-A151-C8A3E475A12E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1702" name="Minus 382">
          <a:extLst>
            <a:ext uri="{FF2B5EF4-FFF2-40B4-BE49-F238E27FC236}">
              <a16:creationId xmlns:a16="http://schemas.microsoft.com/office/drawing/2014/main" id="{DFA38EA0-5E26-4183-983C-60D40EEDC2FF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1703" name="Minus 382">
          <a:extLst>
            <a:ext uri="{FF2B5EF4-FFF2-40B4-BE49-F238E27FC236}">
              <a16:creationId xmlns:a16="http://schemas.microsoft.com/office/drawing/2014/main" id="{F6F3573E-4489-463F-A759-D9443C201A4E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1704" name="Minus 382">
          <a:extLst>
            <a:ext uri="{FF2B5EF4-FFF2-40B4-BE49-F238E27FC236}">
              <a16:creationId xmlns:a16="http://schemas.microsoft.com/office/drawing/2014/main" id="{D9EBC3D2-B77B-4619-9620-091851C648F0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1705" name="Minus 382">
          <a:extLst>
            <a:ext uri="{FF2B5EF4-FFF2-40B4-BE49-F238E27FC236}">
              <a16:creationId xmlns:a16="http://schemas.microsoft.com/office/drawing/2014/main" id="{641AC18C-1E13-4AA2-BD84-74CF1570BF77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1706" name="Minus 382">
          <a:extLst>
            <a:ext uri="{FF2B5EF4-FFF2-40B4-BE49-F238E27FC236}">
              <a16:creationId xmlns:a16="http://schemas.microsoft.com/office/drawing/2014/main" id="{D82E109B-030A-45C7-9968-5C64C28BB509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1707" name="Minus 382">
          <a:extLst>
            <a:ext uri="{FF2B5EF4-FFF2-40B4-BE49-F238E27FC236}">
              <a16:creationId xmlns:a16="http://schemas.microsoft.com/office/drawing/2014/main" id="{736EC9AD-17FC-4E20-BFAC-7BC000F975A8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1708" name="Minus 382">
          <a:extLst>
            <a:ext uri="{FF2B5EF4-FFF2-40B4-BE49-F238E27FC236}">
              <a16:creationId xmlns:a16="http://schemas.microsoft.com/office/drawing/2014/main" id="{5B199B80-795C-4D0D-8E47-2399F0789DFC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1709" name="Minus 382">
          <a:extLst>
            <a:ext uri="{FF2B5EF4-FFF2-40B4-BE49-F238E27FC236}">
              <a16:creationId xmlns:a16="http://schemas.microsoft.com/office/drawing/2014/main" id="{A25BCD8E-A11B-4707-965C-EA2626F9A783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1710" name="Minus 382">
          <a:extLst>
            <a:ext uri="{FF2B5EF4-FFF2-40B4-BE49-F238E27FC236}">
              <a16:creationId xmlns:a16="http://schemas.microsoft.com/office/drawing/2014/main" id="{E5ADAEF9-7BF3-41A2-A95A-EA0BABCF936D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1711" name="Minus 382">
          <a:extLst>
            <a:ext uri="{FF2B5EF4-FFF2-40B4-BE49-F238E27FC236}">
              <a16:creationId xmlns:a16="http://schemas.microsoft.com/office/drawing/2014/main" id="{381815DA-A58D-44AF-B933-B9D1DA926070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1712" name="Minus 382">
          <a:extLst>
            <a:ext uri="{FF2B5EF4-FFF2-40B4-BE49-F238E27FC236}">
              <a16:creationId xmlns:a16="http://schemas.microsoft.com/office/drawing/2014/main" id="{9DDBD213-6394-4906-850F-47858D7F37F6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1713" name="Minus 382">
          <a:extLst>
            <a:ext uri="{FF2B5EF4-FFF2-40B4-BE49-F238E27FC236}">
              <a16:creationId xmlns:a16="http://schemas.microsoft.com/office/drawing/2014/main" id="{2D2CC1C3-DF9C-49D6-A819-D92537404944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1714" name="Minus 382">
          <a:extLst>
            <a:ext uri="{FF2B5EF4-FFF2-40B4-BE49-F238E27FC236}">
              <a16:creationId xmlns:a16="http://schemas.microsoft.com/office/drawing/2014/main" id="{D6B68545-484E-4A73-8F26-1368B1DD7B91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1715" name="Minus 382">
          <a:extLst>
            <a:ext uri="{FF2B5EF4-FFF2-40B4-BE49-F238E27FC236}">
              <a16:creationId xmlns:a16="http://schemas.microsoft.com/office/drawing/2014/main" id="{A480B54B-EFB0-4575-A67E-701D1C6A48A5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1716" name="Minus 382">
          <a:extLst>
            <a:ext uri="{FF2B5EF4-FFF2-40B4-BE49-F238E27FC236}">
              <a16:creationId xmlns:a16="http://schemas.microsoft.com/office/drawing/2014/main" id="{4C98DBAC-848F-4E17-BA04-201FBE03F602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1717" name="Minus 382">
          <a:extLst>
            <a:ext uri="{FF2B5EF4-FFF2-40B4-BE49-F238E27FC236}">
              <a16:creationId xmlns:a16="http://schemas.microsoft.com/office/drawing/2014/main" id="{E065EF1F-331D-4EB5-816D-4280107273DC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1718" name="Minus 382">
          <a:extLst>
            <a:ext uri="{FF2B5EF4-FFF2-40B4-BE49-F238E27FC236}">
              <a16:creationId xmlns:a16="http://schemas.microsoft.com/office/drawing/2014/main" id="{29B0D624-B918-45B0-9AFF-AA930EB42DD1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1719" name="Minus 382">
          <a:extLst>
            <a:ext uri="{FF2B5EF4-FFF2-40B4-BE49-F238E27FC236}">
              <a16:creationId xmlns:a16="http://schemas.microsoft.com/office/drawing/2014/main" id="{18846584-69E3-49D1-BA8D-353AEE1F0F01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1720" name="Minus 382">
          <a:extLst>
            <a:ext uri="{FF2B5EF4-FFF2-40B4-BE49-F238E27FC236}">
              <a16:creationId xmlns:a16="http://schemas.microsoft.com/office/drawing/2014/main" id="{4EEDD715-BBBF-4FB0-A135-1ADE6D3FD038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1721" name="Minus 382">
          <a:extLst>
            <a:ext uri="{FF2B5EF4-FFF2-40B4-BE49-F238E27FC236}">
              <a16:creationId xmlns:a16="http://schemas.microsoft.com/office/drawing/2014/main" id="{E3026B9D-1E55-4D13-9568-B399A1498465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1722" name="Minus 382">
          <a:extLst>
            <a:ext uri="{FF2B5EF4-FFF2-40B4-BE49-F238E27FC236}">
              <a16:creationId xmlns:a16="http://schemas.microsoft.com/office/drawing/2014/main" id="{6AC68348-A765-4862-A4B8-DDCB52033A8E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1723" name="Minus 382">
          <a:extLst>
            <a:ext uri="{FF2B5EF4-FFF2-40B4-BE49-F238E27FC236}">
              <a16:creationId xmlns:a16="http://schemas.microsoft.com/office/drawing/2014/main" id="{30DF6C26-B9C9-470E-A495-A1904391B2BE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1724" name="Minus 382">
          <a:extLst>
            <a:ext uri="{FF2B5EF4-FFF2-40B4-BE49-F238E27FC236}">
              <a16:creationId xmlns:a16="http://schemas.microsoft.com/office/drawing/2014/main" id="{5EA6D262-6892-49BD-8D65-8A0298FAE055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1725" name="Minus 382">
          <a:extLst>
            <a:ext uri="{FF2B5EF4-FFF2-40B4-BE49-F238E27FC236}">
              <a16:creationId xmlns:a16="http://schemas.microsoft.com/office/drawing/2014/main" id="{3813F374-7B8E-48DD-A8FA-6C9B4126B910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1726" name="Minus 382">
          <a:extLst>
            <a:ext uri="{FF2B5EF4-FFF2-40B4-BE49-F238E27FC236}">
              <a16:creationId xmlns:a16="http://schemas.microsoft.com/office/drawing/2014/main" id="{8F94EF99-9AFC-466C-81A3-1B08B45B6FF9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1727" name="Minus 382">
          <a:extLst>
            <a:ext uri="{FF2B5EF4-FFF2-40B4-BE49-F238E27FC236}">
              <a16:creationId xmlns:a16="http://schemas.microsoft.com/office/drawing/2014/main" id="{818432D1-1833-41AE-89A8-4FCA9F402FE9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1728" name="Minus 382">
          <a:extLst>
            <a:ext uri="{FF2B5EF4-FFF2-40B4-BE49-F238E27FC236}">
              <a16:creationId xmlns:a16="http://schemas.microsoft.com/office/drawing/2014/main" id="{B1ED6273-BD5B-40C1-B2CC-AA05A7820BF0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1729" name="Minus 382">
          <a:extLst>
            <a:ext uri="{FF2B5EF4-FFF2-40B4-BE49-F238E27FC236}">
              <a16:creationId xmlns:a16="http://schemas.microsoft.com/office/drawing/2014/main" id="{60BD1413-92A5-4D01-BDBC-90B0FD8B645C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1730" name="Minus 382">
          <a:extLst>
            <a:ext uri="{FF2B5EF4-FFF2-40B4-BE49-F238E27FC236}">
              <a16:creationId xmlns:a16="http://schemas.microsoft.com/office/drawing/2014/main" id="{ED90F73B-CDEF-49BE-9213-9884CCC7DA3A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1731" name="Minus 382">
          <a:extLst>
            <a:ext uri="{FF2B5EF4-FFF2-40B4-BE49-F238E27FC236}">
              <a16:creationId xmlns:a16="http://schemas.microsoft.com/office/drawing/2014/main" id="{4C74A6A4-2A33-4ACD-9898-BF4F544F1190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1732" name="Minus 382">
          <a:extLst>
            <a:ext uri="{FF2B5EF4-FFF2-40B4-BE49-F238E27FC236}">
              <a16:creationId xmlns:a16="http://schemas.microsoft.com/office/drawing/2014/main" id="{D3CE102C-AE4E-4412-9C85-ED47598A3926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1733" name="Minus 382">
          <a:extLst>
            <a:ext uri="{FF2B5EF4-FFF2-40B4-BE49-F238E27FC236}">
              <a16:creationId xmlns:a16="http://schemas.microsoft.com/office/drawing/2014/main" id="{C89AFF4C-9B55-4D87-8742-F2EF82E91F39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1734" name="Minus 382">
          <a:extLst>
            <a:ext uri="{FF2B5EF4-FFF2-40B4-BE49-F238E27FC236}">
              <a16:creationId xmlns:a16="http://schemas.microsoft.com/office/drawing/2014/main" id="{D91732BF-1071-4DC2-BCA0-3DF0FC99FF50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1735" name="Minus 382">
          <a:extLst>
            <a:ext uri="{FF2B5EF4-FFF2-40B4-BE49-F238E27FC236}">
              <a16:creationId xmlns:a16="http://schemas.microsoft.com/office/drawing/2014/main" id="{16117BA0-0E99-4264-99AD-C60FDA69DA72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1736" name="Minus 382">
          <a:extLst>
            <a:ext uri="{FF2B5EF4-FFF2-40B4-BE49-F238E27FC236}">
              <a16:creationId xmlns:a16="http://schemas.microsoft.com/office/drawing/2014/main" id="{83FCF3CF-2BD8-4449-865C-E286BCD8BFF0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1737" name="Minus 382">
          <a:extLst>
            <a:ext uri="{FF2B5EF4-FFF2-40B4-BE49-F238E27FC236}">
              <a16:creationId xmlns:a16="http://schemas.microsoft.com/office/drawing/2014/main" id="{0D6B5A2E-B3A7-4DB0-88EC-01AC827F432A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1738" name="Minus 382">
          <a:extLst>
            <a:ext uri="{FF2B5EF4-FFF2-40B4-BE49-F238E27FC236}">
              <a16:creationId xmlns:a16="http://schemas.microsoft.com/office/drawing/2014/main" id="{81500AF8-4671-449E-A8BC-2204A9FD284A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1739" name="Minus 382">
          <a:extLst>
            <a:ext uri="{FF2B5EF4-FFF2-40B4-BE49-F238E27FC236}">
              <a16:creationId xmlns:a16="http://schemas.microsoft.com/office/drawing/2014/main" id="{DE2AA425-2D94-4E8C-91F6-53CDB97B0695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1740" name="Minus 382">
          <a:extLst>
            <a:ext uri="{FF2B5EF4-FFF2-40B4-BE49-F238E27FC236}">
              <a16:creationId xmlns:a16="http://schemas.microsoft.com/office/drawing/2014/main" id="{3EAA8E69-ABCC-4AC3-BD43-10F374DB4A5A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1741" name="Minus 382">
          <a:extLst>
            <a:ext uri="{FF2B5EF4-FFF2-40B4-BE49-F238E27FC236}">
              <a16:creationId xmlns:a16="http://schemas.microsoft.com/office/drawing/2014/main" id="{7F7BBF30-B430-41FD-AE67-5658CDC581E0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1742" name="Minus 382">
          <a:extLst>
            <a:ext uri="{FF2B5EF4-FFF2-40B4-BE49-F238E27FC236}">
              <a16:creationId xmlns:a16="http://schemas.microsoft.com/office/drawing/2014/main" id="{FF816B58-2C42-434E-BCFD-AAC9A29F40E0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1743" name="Minus 382">
          <a:extLst>
            <a:ext uri="{FF2B5EF4-FFF2-40B4-BE49-F238E27FC236}">
              <a16:creationId xmlns:a16="http://schemas.microsoft.com/office/drawing/2014/main" id="{E45B0F5E-4F73-4FFE-993D-7E8AAABC3BA5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1744" name="Minus 382">
          <a:extLst>
            <a:ext uri="{FF2B5EF4-FFF2-40B4-BE49-F238E27FC236}">
              <a16:creationId xmlns:a16="http://schemas.microsoft.com/office/drawing/2014/main" id="{C908B2BD-66CC-4028-B68E-1395280DC8D0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1745" name="Minus 382">
          <a:extLst>
            <a:ext uri="{FF2B5EF4-FFF2-40B4-BE49-F238E27FC236}">
              <a16:creationId xmlns:a16="http://schemas.microsoft.com/office/drawing/2014/main" id="{233146D5-6F85-4457-8A92-3BECC0DBC686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1746" name="Minus 382">
          <a:extLst>
            <a:ext uri="{FF2B5EF4-FFF2-40B4-BE49-F238E27FC236}">
              <a16:creationId xmlns:a16="http://schemas.microsoft.com/office/drawing/2014/main" id="{1FEA9AB3-1341-4A8A-AC60-9201ABABD7FD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1747" name="Minus 382">
          <a:extLst>
            <a:ext uri="{FF2B5EF4-FFF2-40B4-BE49-F238E27FC236}">
              <a16:creationId xmlns:a16="http://schemas.microsoft.com/office/drawing/2014/main" id="{9110598B-AFF3-4317-80AF-19EABC17806F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1748" name="Minus 382">
          <a:extLst>
            <a:ext uri="{FF2B5EF4-FFF2-40B4-BE49-F238E27FC236}">
              <a16:creationId xmlns:a16="http://schemas.microsoft.com/office/drawing/2014/main" id="{A434B088-C837-4729-A9FD-F00CC26CBE47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1749" name="Minus 382">
          <a:extLst>
            <a:ext uri="{FF2B5EF4-FFF2-40B4-BE49-F238E27FC236}">
              <a16:creationId xmlns:a16="http://schemas.microsoft.com/office/drawing/2014/main" id="{5CB25F31-0B31-4DDD-AA87-7F66CE0B3082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1750" name="Minus 382">
          <a:extLst>
            <a:ext uri="{FF2B5EF4-FFF2-40B4-BE49-F238E27FC236}">
              <a16:creationId xmlns:a16="http://schemas.microsoft.com/office/drawing/2014/main" id="{B989C7F5-A9DD-4D34-80C5-23701BEAFD9C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1751" name="Minus 382">
          <a:extLst>
            <a:ext uri="{FF2B5EF4-FFF2-40B4-BE49-F238E27FC236}">
              <a16:creationId xmlns:a16="http://schemas.microsoft.com/office/drawing/2014/main" id="{0A3EE8E1-39D2-4985-A672-930DDF701AE2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1752" name="Minus 382">
          <a:extLst>
            <a:ext uri="{FF2B5EF4-FFF2-40B4-BE49-F238E27FC236}">
              <a16:creationId xmlns:a16="http://schemas.microsoft.com/office/drawing/2014/main" id="{707C55AB-CD1B-4A8E-BFE2-687D0773D208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1753" name="Minus 382">
          <a:extLst>
            <a:ext uri="{FF2B5EF4-FFF2-40B4-BE49-F238E27FC236}">
              <a16:creationId xmlns:a16="http://schemas.microsoft.com/office/drawing/2014/main" id="{6DA16958-8AA3-4D33-B33C-65AF3E43B516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1754" name="Minus 382">
          <a:extLst>
            <a:ext uri="{FF2B5EF4-FFF2-40B4-BE49-F238E27FC236}">
              <a16:creationId xmlns:a16="http://schemas.microsoft.com/office/drawing/2014/main" id="{0F56B241-1C8D-4A94-83D4-18A336127B20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1755" name="Minus 382">
          <a:extLst>
            <a:ext uri="{FF2B5EF4-FFF2-40B4-BE49-F238E27FC236}">
              <a16:creationId xmlns:a16="http://schemas.microsoft.com/office/drawing/2014/main" id="{E6943BED-E54E-4FE8-AB57-2115F232DAA2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1756" name="Minus 382">
          <a:extLst>
            <a:ext uri="{FF2B5EF4-FFF2-40B4-BE49-F238E27FC236}">
              <a16:creationId xmlns:a16="http://schemas.microsoft.com/office/drawing/2014/main" id="{BC492FCD-5B33-4D71-8640-B64365BAD782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1757" name="Minus 382">
          <a:extLst>
            <a:ext uri="{FF2B5EF4-FFF2-40B4-BE49-F238E27FC236}">
              <a16:creationId xmlns:a16="http://schemas.microsoft.com/office/drawing/2014/main" id="{EAA50289-3A9B-4BCC-A6AC-0B757659BA62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1758" name="Minus 382">
          <a:extLst>
            <a:ext uri="{FF2B5EF4-FFF2-40B4-BE49-F238E27FC236}">
              <a16:creationId xmlns:a16="http://schemas.microsoft.com/office/drawing/2014/main" id="{252B8E19-CEE8-4150-A34B-8BECF58680D9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1759" name="Minus 382">
          <a:extLst>
            <a:ext uri="{FF2B5EF4-FFF2-40B4-BE49-F238E27FC236}">
              <a16:creationId xmlns:a16="http://schemas.microsoft.com/office/drawing/2014/main" id="{9D9879EE-D971-4620-9337-EC0A2D80F274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1760" name="Minus 382">
          <a:extLst>
            <a:ext uri="{FF2B5EF4-FFF2-40B4-BE49-F238E27FC236}">
              <a16:creationId xmlns:a16="http://schemas.microsoft.com/office/drawing/2014/main" id="{5353A24C-973C-4649-AD91-7266757A0EC4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1761" name="Minus 382">
          <a:extLst>
            <a:ext uri="{FF2B5EF4-FFF2-40B4-BE49-F238E27FC236}">
              <a16:creationId xmlns:a16="http://schemas.microsoft.com/office/drawing/2014/main" id="{6BCD8F82-2475-405E-8766-D034FB0886AC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1762" name="Minus 382">
          <a:extLst>
            <a:ext uri="{FF2B5EF4-FFF2-40B4-BE49-F238E27FC236}">
              <a16:creationId xmlns:a16="http://schemas.microsoft.com/office/drawing/2014/main" id="{6326DFEB-AAFD-4D01-84E4-2F11B68A9087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1763" name="Minus 382">
          <a:extLst>
            <a:ext uri="{FF2B5EF4-FFF2-40B4-BE49-F238E27FC236}">
              <a16:creationId xmlns:a16="http://schemas.microsoft.com/office/drawing/2014/main" id="{772FBF52-807C-488D-B030-81E265426321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1764" name="Minus 382">
          <a:extLst>
            <a:ext uri="{FF2B5EF4-FFF2-40B4-BE49-F238E27FC236}">
              <a16:creationId xmlns:a16="http://schemas.microsoft.com/office/drawing/2014/main" id="{0DCD93A6-4A87-46BA-9314-F02D891C6577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1765" name="Minus 382">
          <a:extLst>
            <a:ext uri="{FF2B5EF4-FFF2-40B4-BE49-F238E27FC236}">
              <a16:creationId xmlns:a16="http://schemas.microsoft.com/office/drawing/2014/main" id="{C71DA628-7F98-48A3-9B8E-F5D01EF1D0C8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1766" name="Minus 382">
          <a:extLst>
            <a:ext uri="{FF2B5EF4-FFF2-40B4-BE49-F238E27FC236}">
              <a16:creationId xmlns:a16="http://schemas.microsoft.com/office/drawing/2014/main" id="{972F7A7A-6D73-4B76-8758-F25302AA0F18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1767" name="Minus 382">
          <a:extLst>
            <a:ext uri="{FF2B5EF4-FFF2-40B4-BE49-F238E27FC236}">
              <a16:creationId xmlns:a16="http://schemas.microsoft.com/office/drawing/2014/main" id="{C8380454-FE82-4ADE-AA1A-C2C914FFF147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1768" name="Minus 382">
          <a:extLst>
            <a:ext uri="{FF2B5EF4-FFF2-40B4-BE49-F238E27FC236}">
              <a16:creationId xmlns:a16="http://schemas.microsoft.com/office/drawing/2014/main" id="{172193BF-42DC-4570-8EBF-E616F0022C80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1769" name="Minus 382">
          <a:extLst>
            <a:ext uri="{FF2B5EF4-FFF2-40B4-BE49-F238E27FC236}">
              <a16:creationId xmlns:a16="http://schemas.microsoft.com/office/drawing/2014/main" id="{307206A8-3A62-47D1-B053-CC04A54B7374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1770" name="Minus 382">
          <a:extLst>
            <a:ext uri="{FF2B5EF4-FFF2-40B4-BE49-F238E27FC236}">
              <a16:creationId xmlns:a16="http://schemas.microsoft.com/office/drawing/2014/main" id="{A57E834B-8366-453E-92ED-B60CE86A3490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1771" name="Minus 382">
          <a:extLst>
            <a:ext uri="{FF2B5EF4-FFF2-40B4-BE49-F238E27FC236}">
              <a16:creationId xmlns:a16="http://schemas.microsoft.com/office/drawing/2014/main" id="{08B1E13B-53F3-4ED5-8B5F-8C5EF1F7EEF2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1772" name="Minus 382">
          <a:extLst>
            <a:ext uri="{FF2B5EF4-FFF2-40B4-BE49-F238E27FC236}">
              <a16:creationId xmlns:a16="http://schemas.microsoft.com/office/drawing/2014/main" id="{98B99E4E-32D8-46E9-A746-9FC02C53DCB0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1773" name="Minus 382">
          <a:extLst>
            <a:ext uri="{FF2B5EF4-FFF2-40B4-BE49-F238E27FC236}">
              <a16:creationId xmlns:a16="http://schemas.microsoft.com/office/drawing/2014/main" id="{213C7D0C-3A5B-479E-B9AA-8AB6179A87B3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1774" name="Minus 382">
          <a:extLst>
            <a:ext uri="{FF2B5EF4-FFF2-40B4-BE49-F238E27FC236}">
              <a16:creationId xmlns:a16="http://schemas.microsoft.com/office/drawing/2014/main" id="{626A8534-4980-4AB9-8007-700D4A248C91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1775" name="Minus 382">
          <a:extLst>
            <a:ext uri="{FF2B5EF4-FFF2-40B4-BE49-F238E27FC236}">
              <a16:creationId xmlns:a16="http://schemas.microsoft.com/office/drawing/2014/main" id="{E7D846D7-36DA-4B1E-A226-D6566BCBF295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1776" name="Minus 382">
          <a:extLst>
            <a:ext uri="{FF2B5EF4-FFF2-40B4-BE49-F238E27FC236}">
              <a16:creationId xmlns:a16="http://schemas.microsoft.com/office/drawing/2014/main" id="{AA8CEC52-8857-4C37-8531-E2F848203FC8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1777" name="Minus 382">
          <a:extLst>
            <a:ext uri="{FF2B5EF4-FFF2-40B4-BE49-F238E27FC236}">
              <a16:creationId xmlns:a16="http://schemas.microsoft.com/office/drawing/2014/main" id="{68D5FDAF-DB73-4A08-8EA2-2858EE1045F1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1778" name="Minus 382">
          <a:extLst>
            <a:ext uri="{FF2B5EF4-FFF2-40B4-BE49-F238E27FC236}">
              <a16:creationId xmlns:a16="http://schemas.microsoft.com/office/drawing/2014/main" id="{E3283C33-68AE-478F-AB02-BF6F7968FC5C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1779" name="Minus 382">
          <a:extLst>
            <a:ext uri="{FF2B5EF4-FFF2-40B4-BE49-F238E27FC236}">
              <a16:creationId xmlns:a16="http://schemas.microsoft.com/office/drawing/2014/main" id="{FECD8AFE-5623-43B5-AA7B-0793759A4642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1780" name="Minus 382">
          <a:extLst>
            <a:ext uri="{FF2B5EF4-FFF2-40B4-BE49-F238E27FC236}">
              <a16:creationId xmlns:a16="http://schemas.microsoft.com/office/drawing/2014/main" id="{F45FDFD4-D5DF-4AC6-A9AE-7E9B61D14835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1781" name="Minus 382">
          <a:extLst>
            <a:ext uri="{FF2B5EF4-FFF2-40B4-BE49-F238E27FC236}">
              <a16:creationId xmlns:a16="http://schemas.microsoft.com/office/drawing/2014/main" id="{1F38BB35-C785-4549-B6A2-FE292BBE8489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1782" name="Minus 382">
          <a:extLst>
            <a:ext uri="{FF2B5EF4-FFF2-40B4-BE49-F238E27FC236}">
              <a16:creationId xmlns:a16="http://schemas.microsoft.com/office/drawing/2014/main" id="{361B3256-C7F7-4B93-84D6-6FD4C0B9DA87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1783" name="Minus 382">
          <a:extLst>
            <a:ext uri="{FF2B5EF4-FFF2-40B4-BE49-F238E27FC236}">
              <a16:creationId xmlns:a16="http://schemas.microsoft.com/office/drawing/2014/main" id="{4C3E8E6D-F9CC-4C37-83A1-524EA88B27CD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1784" name="Minus 382">
          <a:extLst>
            <a:ext uri="{FF2B5EF4-FFF2-40B4-BE49-F238E27FC236}">
              <a16:creationId xmlns:a16="http://schemas.microsoft.com/office/drawing/2014/main" id="{3E5F5D56-F704-4534-9ACF-F62005FC3AC3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1785" name="Minus 382">
          <a:extLst>
            <a:ext uri="{FF2B5EF4-FFF2-40B4-BE49-F238E27FC236}">
              <a16:creationId xmlns:a16="http://schemas.microsoft.com/office/drawing/2014/main" id="{1843B877-8E4C-416B-8DD5-4A1F58632CE5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1786" name="Minus 382">
          <a:extLst>
            <a:ext uri="{FF2B5EF4-FFF2-40B4-BE49-F238E27FC236}">
              <a16:creationId xmlns:a16="http://schemas.microsoft.com/office/drawing/2014/main" id="{C1F90A9F-25A7-46A3-AB1C-65BD39B0F454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1787" name="Minus 382">
          <a:extLst>
            <a:ext uri="{FF2B5EF4-FFF2-40B4-BE49-F238E27FC236}">
              <a16:creationId xmlns:a16="http://schemas.microsoft.com/office/drawing/2014/main" id="{090325E9-D4FB-41B8-932D-3F9351B67E71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1788" name="Minus 382">
          <a:extLst>
            <a:ext uri="{FF2B5EF4-FFF2-40B4-BE49-F238E27FC236}">
              <a16:creationId xmlns:a16="http://schemas.microsoft.com/office/drawing/2014/main" id="{C754864D-D44F-434C-A386-B024D80472A6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1789" name="Minus 382">
          <a:extLst>
            <a:ext uri="{FF2B5EF4-FFF2-40B4-BE49-F238E27FC236}">
              <a16:creationId xmlns:a16="http://schemas.microsoft.com/office/drawing/2014/main" id="{D2E5D79B-6819-4D52-BA63-F35174DCDD59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1790" name="Minus 382">
          <a:extLst>
            <a:ext uri="{FF2B5EF4-FFF2-40B4-BE49-F238E27FC236}">
              <a16:creationId xmlns:a16="http://schemas.microsoft.com/office/drawing/2014/main" id="{D219AA30-DAC4-475E-9DB2-06A449BEB191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1791" name="Minus 382">
          <a:extLst>
            <a:ext uri="{FF2B5EF4-FFF2-40B4-BE49-F238E27FC236}">
              <a16:creationId xmlns:a16="http://schemas.microsoft.com/office/drawing/2014/main" id="{D033F69E-6E3A-45D8-AA25-D2FE4EE96493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1792" name="Minus 382">
          <a:extLst>
            <a:ext uri="{FF2B5EF4-FFF2-40B4-BE49-F238E27FC236}">
              <a16:creationId xmlns:a16="http://schemas.microsoft.com/office/drawing/2014/main" id="{AAFEA1DD-12AB-4D78-A721-28469BA9E0E6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1793" name="Minus 382">
          <a:extLst>
            <a:ext uri="{FF2B5EF4-FFF2-40B4-BE49-F238E27FC236}">
              <a16:creationId xmlns:a16="http://schemas.microsoft.com/office/drawing/2014/main" id="{F7FBCF17-2976-4A4F-88FB-C4976D6911D8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1794" name="Minus 382">
          <a:extLst>
            <a:ext uri="{FF2B5EF4-FFF2-40B4-BE49-F238E27FC236}">
              <a16:creationId xmlns:a16="http://schemas.microsoft.com/office/drawing/2014/main" id="{4BBA613C-DDB5-4C0F-8D34-E300EB5C6BC5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1795" name="Minus 382">
          <a:extLst>
            <a:ext uri="{FF2B5EF4-FFF2-40B4-BE49-F238E27FC236}">
              <a16:creationId xmlns:a16="http://schemas.microsoft.com/office/drawing/2014/main" id="{3D15B287-85AC-4E1E-8AF7-A837507939CC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1796" name="Minus 382">
          <a:extLst>
            <a:ext uri="{FF2B5EF4-FFF2-40B4-BE49-F238E27FC236}">
              <a16:creationId xmlns:a16="http://schemas.microsoft.com/office/drawing/2014/main" id="{F989408B-A2D3-4716-B209-B7C2A3223E59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1797" name="Minus 382">
          <a:extLst>
            <a:ext uri="{FF2B5EF4-FFF2-40B4-BE49-F238E27FC236}">
              <a16:creationId xmlns:a16="http://schemas.microsoft.com/office/drawing/2014/main" id="{10F98D5B-6FDE-4F59-A6D9-7B27E68E9C24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1798" name="Minus 382">
          <a:extLst>
            <a:ext uri="{FF2B5EF4-FFF2-40B4-BE49-F238E27FC236}">
              <a16:creationId xmlns:a16="http://schemas.microsoft.com/office/drawing/2014/main" id="{4FE97967-47B7-40B0-868A-83BF061580C4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1799" name="Minus 382">
          <a:extLst>
            <a:ext uri="{FF2B5EF4-FFF2-40B4-BE49-F238E27FC236}">
              <a16:creationId xmlns:a16="http://schemas.microsoft.com/office/drawing/2014/main" id="{243FCF9C-E684-42E6-8183-CADF4A17230F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1800" name="Minus 382">
          <a:extLst>
            <a:ext uri="{FF2B5EF4-FFF2-40B4-BE49-F238E27FC236}">
              <a16:creationId xmlns:a16="http://schemas.microsoft.com/office/drawing/2014/main" id="{F57ADD1E-3E53-4A16-8723-051ABE3F292F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1801" name="Minus 382">
          <a:extLst>
            <a:ext uri="{FF2B5EF4-FFF2-40B4-BE49-F238E27FC236}">
              <a16:creationId xmlns:a16="http://schemas.microsoft.com/office/drawing/2014/main" id="{B4873956-9274-4167-97DE-65DEDC18187A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1802" name="Minus 382">
          <a:extLst>
            <a:ext uri="{FF2B5EF4-FFF2-40B4-BE49-F238E27FC236}">
              <a16:creationId xmlns:a16="http://schemas.microsoft.com/office/drawing/2014/main" id="{E033A8CF-8C58-4A44-91D9-0FE89C55C839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1803" name="Minus 382">
          <a:extLst>
            <a:ext uri="{FF2B5EF4-FFF2-40B4-BE49-F238E27FC236}">
              <a16:creationId xmlns:a16="http://schemas.microsoft.com/office/drawing/2014/main" id="{E319267F-7D50-45AB-86E9-06D96E02D23F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1804" name="Minus 382">
          <a:extLst>
            <a:ext uri="{FF2B5EF4-FFF2-40B4-BE49-F238E27FC236}">
              <a16:creationId xmlns:a16="http://schemas.microsoft.com/office/drawing/2014/main" id="{9E48B899-E5EF-45C4-AB57-10873DBCF3A8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1805" name="Minus 382">
          <a:extLst>
            <a:ext uri="{FF2B5EF4-FFF2-40B4-BE49-F238E27FC236}">
              <a16:creationId xmlns:a16="http://schemas.microsoft.com/office/drawing/2014/main" id="{82DB2AD1-6D5C-4EA5-AEC1-8037E4FB4874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1806" name="Minus 382">
          <a:extLst>
            <a:ext uri="{FF2B5EF4-FFF2-40B4-BE49-F238E27FC236}">
              <a16:creationId xmlns:a16="http://schemas.microsoft.com/office/drawing/2014/main" id="{43425366-9F4E-48E2-82E2-4B42A474C61C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1807" name="Minus 382">
          <a:extLst>
            <a:ext uri="{FF2B5EF4-FFF2-40B4-BE49-F238E27FC236}">
              <a16:creationId xmlns:a16="http://schemas.microsoft.com/office/drawing/2014/main" id="{B293DC5C-81AA-4C5F-B836-8D85218416A2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1808" name="Minus 382">
          <a:extLst>
            <a:ext uri="{FF2B5EF4-FFF2-40B4-BE49-F238E27FC236}">
              <a16:creationId xmlns:a16="http://schemas.microsoft.com/office/drawing/2014/main" id="{300585A0-4D8E-4F20-8807-ECB980B83CC8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1809" name="Minus 382">
          <a:extLst>
            <a:ext uri="{FF2B5EF4-FFF2-40B4-BE49-F238E27FC236}">
              <a16:creationId xmlns:a16="http://schemas.microsoft.com/office/drawing/2014/main" id="{43CF6922-A8BB-4A7F-8A04-0D2ADEAEA133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1810" name="Minus 382">
          <a:extLst>
            <a:ext uri="{FF2B5EF4-FFF2-40B4-BE49-F238E27FC236}">
              <a16:creationId xmlns:a16="http://schemas.microsoft.com/office/drawing/2014/main" id="{4283FA87-CE2C-4A83-907F-65C3B2CA8630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1811" name="Minus 382">
          <a:extLst>
            <a:ext uri="{FF2B5EF4-FFF2-40B4-BE49-F238E27FC236}">
              <a16:creationId xmlns:a16="http://schemas.microsoft.com/office/drawing/2014/main" id="{24422BE2-0E65-4A18-B64A-8DDC69D65324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1812" name="Minus 382">
          <a:extLst>
            <a:ext uri="{FF2B5EF4-FFF2-40B4-BE49-F238E27FC236}">
              <a16:creationId xmlns:a16="http://schemas.microsoft.com/office/drawing/2014/main" id="{A4F5B68B-D9AE-47DA-83F9-A9DA7964581D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1813" name="Minus 382">
          <a:extLst>
            <a:ext uri="{FF2B5EF4-FFF2-40B4-BE49-F238E27FC236}">
              <a16:creationId xmlns:a16="http://schemas.microsoft.com/office/drawing/2014/main" id="{255A2356-ABD3-425D-BA5C-5E3C9F6E0F66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1814" name="Minus 382">
          <a:extLst>
            <a:ext uri="{FF2B5EF4-FFF2-40B4-BE49-F238E27FC236}">
              <a16:creationId xmlns:a16="http://schemas.microsoft.com/office/drawing/2014/main" id="{112C6799-96C7-4C8C-ABF5-8E34DF31DC70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1815" name="Minus 382">
          <a:extLst>
            <a:ext uri="{FF2B5EF4-FFF2-40B4-BE49-F238E27FC236}">
              <a16:creationId xmlns:a16="http://schemas.microsoft.com/office/drawing/2014/main" id="{C2649D01-C4AF-4ADE-B1F0-E263B6251AF7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1816" name="Minus 382">
          <a:extLst>
            <a:ext uri="{FF2B5EF4-FFF2-40B4-BE49-F238E27FC236}">
              <a16:creationId xmlns:a16="http://schemas.microsoft.com/office/drawing/2014/main" id="{3655F2A5-86B7-4859-B75B-120E51DDF3AF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1817" name="Minus 382">
          <a:extLst>
            <a:ext uri="{FF2B5EF4-FFF2-40B4-BE49-F238E27FC236}">
              <a16:creationId xmlns:a16="http://schemas.microsoft.com/office/drawing/2014/main" id="{DBE1AE49-7E8A-421E-AE6D-03774DE03F56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1818" name="Minus 382">
          <a:extLst>
            <a:ext uri="{FF2B5EF4-FFF2-40B4-BE49-F238E27FC236}">
              <a16:creationId xmlns:a16="http://schemas.microsoft.com/office/drawing/2014/main" id="{71CDD2B7-FA32-4BB2-9C02-CFA46A49AEAE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1819" name="Minus 382">
          <a:extLst>
            <a:ext uri="{FF2B5EF4-FFF2-40B4-BE49-F238E27FC236}">
              <a16:creationId xmlns:a16="http://schemas.microsoft.com/office/drawing/2014/main" id="{0B5A6CDA-D727-40FC-AA10-7608040FF35A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1820" name="Minus 382">
          <a:extLst>
            <a:ext uri="{FF2B5EF4-FFF2-40B4-BE49-F238E27FC236}">
              <a16:creationId xmlns:a16="http://schemas.microsoft.com/office/drawing/2014/main" id="{CD764992-2190-440A-8721-EC8ABC701D70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1821" name="Minus 382">
          <a:extLst>
            <a:ext uri="{FF2B5EF4-FFF2-40B4-BE49-F238E27FC236}">
              <a16:creationId xmlns:a16="http://schemas.microsoft.com/office/drawing/2014/main" id="{5B06BEB7-18A2-4BAD-8D64-D3CE67ED7507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1822" name="Minus 382">
          <a:extLst>
            <a:ext uri="{FF2B5EF4-FFF2-40B4-BE49-F238E27FC236}">
              <a16:creationId xmlns:a16="http://schemas.microsoft.com/office/drawing/2014/main" id="{251CEBA6-1932-479A-9911-BDA4630ED5B0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1823" name="Minus 382">
          <a:extLst>
            <a:ext uri="{FF2B5EF4-FFF2-40B4-BE49-F238E27FC236}">
              <a16:creationId xmlns:a16="http://schemas.microsoft.com/office/drawing/2014/main" id="{1C5444D8-3CC3-4DDE-9993-698766A58FD4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1824" name="Minus 382">
          <a:extLst>
            <a:ext uri="{FF2B5EF4-FFF2-40B4-BE49-F238E27FC236}">
              <a16:creationId xmlns:a16="http://schemas.microsoft.com/office/drawing/2014/main" id="{1CAD1446-FDC3-41A1-B007-99ACFD9EF42B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1825" name="Minus 382">
          <a:extLst>
            <a:ext uri="{FF2B5EF4-FFF2-40B4-BE49-F238E27FC236}">
              <a16:creationId xmlns:a16="http://schemas.microsoft.com/office/drawing/2014/main" id="{D19E2368-B349-4ADE-A080-CCACDDB894BA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1826" name="Minus 382">
          <a:extLst>
            <a:ext uri="{FF2B5EF4-FFF2-40B4-BE49-F238E27FC236}">
              <a16:creationId xmlns:a16="http://schemas.microsoft.com/office/drawing/2014/main" id="{A8B81B0A-D305-4111-AE1C-EA73BC11F6A0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1827" name="Minus 382">
          <a:extLst>
            <a:ext uri="{FF2B5EF4-FFF2-40B4-BE49-F238E27FC236}">
              <a16:creationId xmlns:a16="http://schemas.microsoft.com/office/drawing/2014/main" id="{C62A9887-E3E4-479F-B6AC-CCB96AE42001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1828" name="Minus 382">
          <a:extLst>
            <a:ext uri="{FF2B5EF4-FFF2-40B4-BE49-F238E27FC236}">
              <a16:creationId xmlns:a16="http://schemas.microsoft.com/office/drawing/2014/main" id="{F0884E9B-6081-40EA-96BE-8C1B70BA6313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1829" name="Minus 382">
          <a:extLst>
            <a:ext uri="{FF2B5EF4-FFF2-40B4-BE49-F238E27FC236}">
              <a16:creationId xmlns:a16="http://schemas.microsoft.com/office/drawing/2014/main" id="{B2647287-1BFE-4BEF-8C18-A83E6518C89E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1830" name="Minus 382">
          <a:extLst>
            <a:ext uri="{FF2B5EF4-FFF2-40B4-BE49-F238E27FC236}">
              <a16:creationId xmlns:a16="http://schemas.microsoft.com/office/drawing/2014/main" id="{781C34C1-6F9A-48FB-9F2D-F8B4191FA66B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1831" name="Minus 382">
          <a:extLst>
            <a:ext uri="{FF2B5EF4-FFF2-40B4-BE49-F238E27FC236}">
              <a16:creationId xmlns:a16="http://schemas.microsoft.com/office/drawing/2014/main" id="{C5F788F6-D835-4574-92F9-3DADB949037C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1832" name="Minus 382">
          <a:extLst>
            <a:ext uri="{FF2B5EF4-FFF2-40B4-BE49-F238E27FC236}">
              <a16:creationId xmlns:a16="http://schemas.microsoft.com/office/drawing/2014/main" id="{078D6ED1-D26F-4DD0-8798-0F003EF47692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1833" name="Minus 382">
          <a:extLst>
            <a:ext uri="{FF2B5EF4-FFF2-40B4-BE49-F238E27FC236}">
              <a16:creationId xmlns:a16="http://schemas.microsoft.com/office/drawing/2014/main" id="{307C67D0-3650-4D62-BD08-FF145BB0066B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1834" name="Minus 382">
          <a:extLst>
            <a:ext uri="{FF2B5EF4-FFF2-40B4-BE49-F238E27FC236}">
              <a16:creationId xmlns:a16="http://schemas.microsoft.com/office/drawing/2014/main" id="{092161EB-583A-4452-A5F2-80DC59364613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1835" name="Minus 382">
          <a:extLst>
            <a:ext uri="{FF2B5EF4-FFF2-40B4-BE49-F238E27FC236}">
              <a16:creationId xmlns:a16="http://schemas.microsoft.com/office/drawing/2014/main" id="{D9946B65-7D78-4136-8F0F-185EBDB07664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1836" name="Minus 382">
          <a:extLst>
            <a:ext uri="{FF2B5EF4-FFF2-40B4-BE49-F238E27FC236}">
              <a16:creationId xmlns:a16="http://schemas.microsoft.com/office/drawing/2014/main" id="{AB280D2F-F807-4D55-8216-3F25BF5A05BB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1837" name="Minus 382">
          <a:extLst>
            <a:ext uri="{FF2B5EF4-FFF2-40B4-BE49-F238E27FC236}">
              <a16:creationId xmlns:a16="http://schemas.microsoft.com/office/drawing/2014/main" id="{43CF627E-786B-4632-9BEC-C4CC536B4AF1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1838" name="Minus 382">
          <a:extLst>
            <a:ext uri="{FF2B5EF4-FFF2-40B4-BE49-F238E27FC236}">
              <a16:creationId xmlns:a16="http://schemas.microsoft.com/office/drawing/2014/main" id="{AD379217-6FED-48F8-ACAF-048DA50243DD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1839" name="Minus 382">
          <a:extLst>
            <a:ext uri="{FF2B5EF4-FFF2-40B4-BE49-F238E27FC236}">
              <a16:creationId xmlns:a16="http://schemas.microsoft.com/office/drawing/2014/main" id="{803B89B3-1FBC-4567-82DF-F33E08CD5026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1840" name="Minus 382">
          <a:extLst>
            <a:ext uri="{FF2B5EF4-FFF2-40B4-BE49-F238E27FC236}">
              <a16:creationId xmlns:a16="http://schemas.microsoft.com/office/drawing/2014/main" id="{FF875CCA-9513-4921-8593-AA9508DBB5C7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1841" name="Minus 382">
          <a:extLst>
            <a:ext uri="{FF2B5EF4-FFF2-40B4-BE49-F238E27FC236}">
              <a16:creationId xmlns:a16="http://schemas.microsoft.com/office/drawing/2014/main" id="{9D3F0347-DC0E-4E1A-934C-38985D5CEBD7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1842" name="Minus 382">
          <a:extLst>
            <a:ext uri="{FF2B5EF4-FFF2-40B4-BE49-F238E27FC236}">
              <a16:creationId xmlns:a16="http://schemas.microsoft.com/office/drawing/2014/main" id="{9366C6C0-F97F-466A-8B15-8F6D6335D171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1843" name="Minus 382">
          <a:extLst>
            <a:ext uri="{FF2B5EF4-FFF2-40B4-BE49-F238E27FC236}">
              <a16:creationId xmlns:a16="http://schemas.microsoft.com/office/drawing/2014/main" id="{B4468DE9-4BC6-421B-9FF3-1F1E3380FC63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1844" name="Minus 382">
          <a:extLst>
            <a:ext uri="{FF2B5EF4-FFF2-40B4-BE49-F238E27FC236}">
              <a16:creationId xmlns:a16="http://schemas.microsoft.com/office/drawing/2014/main" id="{C7D9572F-657E-4B6D-8B34-8444DD266A0B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1845" name="Minus 382">
          <a:extLst>
            <a:ext uri="{FF2B5EF4-FFF2-40B4-BE49-F238E27FC236}">
              <a16:creationId xmlns:a16="http://schemas.microsoft.com/office/drawing/2014/main" id="{D254B3A7-B719-4E3B-9486-E660F79E1D9C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1846" name="Minus 382">
          <a:extLst>
            <a:ext uri="{FF2B5EF4-FFF2-40B4-BE49-F238E27FC236}">
              <a16:creationId xmlns:a16="http://schemas.microsoft.com/office/drawing/2014/main" id="{753E5801-5DC7-4C12-AE81-EA72680F2B10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1847" name="Minus 382">
          <a:extLst>
            <a:ext uri="{FF2B5EF4-FFF2-40B4-BE49-F238E27FC236}">
              <a16:creationId xmlns:a16="http://schemas.microsoft.com/office/drawing/2014/main" id="{20A18F75-EB4A-4DE4-B8B8-FF982C00E59E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1848" name="Minus 382">
          <a:extLst>
            <a:ext uri="{FF2B5EF4-FFF2-40B4-BE49-F238E27FC236}">
              <a16:creationId xmlns:a16="http://schemas.microsoft.com/office/drawing/2014/main" id="{44CE3891-E992-4E10-8BFF-2C1AB8149494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1849" name="Minus 382">
          <a:extLst>
            <a:ext uri="{FF2B5EF4-FFF2-40B4-BE49-F238E27FC236}">
              <a16:creationId xmlns:a16="http://schemas.microsoft.com/office/drawing/2014/main" id="{94A9D2EE-7B00-4252-A4FE-A9F959BC892F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1850" name="Minus 382">
          <a:extLst>
            <a:ext uri="{FF2B5EF4-FFF2-40B4-BE49-F238E27FC236}">
              <a16:creationId xmlns:a16="http://schemas.microsoft.com/office/drawing/2014/main" id="{EA53A973-3027-4279-A609-A1A51BA7F432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1851" name="Minus 382">
          <a:extLst>
            <a:ext uri="{FF2B5EF4-FFF2-40B4-BE49-F238E27FC236}">
              <a16:creationId xmlns:a16="http://schemas.microsoft.com/office/drawing/2014/main" id="{C193C307-1DE8-495C-8A0C-256D4BBBC94A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1852" name="Minus 382">
          <a:extLst>
            <a:ext uri="{FF2B5EF4-FFF2-40B4-BE49-F238E27FC236}">
              <a16:creationId xmlns:a16="http://schemas.microsoft.com/office/drawing/2014/main" id="{23D67DBC-ACD3-4519-A600-633A4DDCF920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1853" name="Minus 382">
          <a:extLst>
            <a:ext uri="{FF2B5EF4-FFF2-40B4-BE49-F238E27FC236}">
              <a16:creationId xmlns:a16="http://schemas.microsoft.com/office/drawing/2014/main" id="{F389E67B-9F11-4314-B4EE-1252811C7731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1854" name="Minus 382">
          <a:extLst>
            <a:ext uri="{FF2B5EF4-FFF2-40B4-BE49-F238E27FC236}">
              <a16:creationId xmlns:a16="http://schemas.microsoft.com/office/drawing/2014/main" id="{1115DCB1-3E15-401C-B877-CA0C673CA993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1855" name="Minus 382">
          <a:extLst>
            <a:ext uri="{FF2B5EF4-FFF2-40B4-BE49-F238E27FC236}">
              <a16:creationId xmlns:a16="http://schemas.microsoft.com/office/drawing/2014/main" id="{CAA2FF9D-A248-4817-9FF3-389A3BC843D4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1856" name="Minus 382">
          <a:extLst>
            <a:ext uri="{FF2B5EF4-FFF2-40B4-BE49-F238E27FC236}">
              <a16:creationId xmlns:a16="http://schemas.microsoft.com/office/drawing/2014/main" id="{A4F91465-D4F8-4416-B5A4-F68BC23E3084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1857" name="Minus 382">
          <a:extLst>
            <a:ext uri="{FF2B5EF4-FFF2-40B4-BE49-F238E27FC236}">
              <a16:creationId xmlns:a16="http://schemas.microsoft.com/office/drawing/2014/main" id="{95C02286-D565-4717-9575-A60E7372748F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1858" name="Minus 382">
          <a:extLst>
            <a:ext uri="{FF2B5EF4-FFF2-40B4-BE49-F238E27FC236}">
              <a16:creationId xmlns:a16="http://schemas.microsoft.com/office/drawing/2014/main" id="{87DA4793-DEE4-43AB-97ED-104C31C5F7FD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1859" name="Minus 382">
          <a:extLst>
            <a:ext uri="{FF2B5EF4-FFF2-40B4-BE49-F238E27FC236}">
              <a16:creationId xmlns:a16="http://schemas.microsoft.com/office/drawing/2014/main" id="{5F4D40CF-B28F-4B2E-B906-CAA4B2F74E7B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1860" name="Minus 382">
          <a:extLst>
            <a:ext uri="{FF2B5EF4-FFF2-40B4-BE49-F238E27FC236}">
              <a16:creationId xmlns:a16="http://schemas.microsoft.com/office/drawing/2014/main" id="{D7870E6B-CC0F-455D-8D38-892A41634E8A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1861" name="Minus 382">
          <a:extLst>
            <a:ext uri="{FF2B5EF4-FFF2-40B4-BE49-F238E27FC236}">
              <a16:creationId xmlns:a16="http://schemas.microsoft.com/office/drawing/2014/main" id="{EF42E814-4097-4EE7-89B9-081F8B63BB2F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1862" name="Minus 382">
          <a:extLst>
            <a:ext uri="{FF2B5EF4-FFF2-40B4-BE49-F238E27FC236}">
              <a16:creationId xmlns:a16="http://schemas.microsoft.com/office/drawing/2014/main" id="{C7528165-9F30-4F3D-B105-EA8A3CF72CED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1863" name="Minus 382">
          <a:extLst>
            <a:ext uri="{FF2B5EF4-FFF2-40B4-BE49-F238E27FC236}">
              <a16:creationId xmlns:a16="http://schemas.microsoft.com/office/drawing/2014/main" id="{A49104E9-5975-4A7D-B4BE-37F59C9D3D05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1864" name="Minus 382">
          <a:extLst>
            <a:ext uri="{FF2B5EF4-FFF2-40B4-BE49-F238E27FC236}">
              <a16:creationId xmlns:a16="http://schemas.microsoft.com/office/drawing/2014/main" id="{D25B2A69-7C44-45EC-87A8-4DE62EBA7ECE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1865" name="Minus 382">
          <a:extLst>
            <a:ext uri="{FF2B5EF4-FFF2-40B4-BE49-F238E27FC236}">
              <a16:creationId xmlns:a16="http://schemas.microsoft.com/office/drawing/2014/main" id="{4A56BCB7-BA36-4CBB-9A6B-5F9D40FB741C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1866" name="Minus 382">
          <a:extLst>
            <a:ext uri="{FF2B5EF4-FFF2-40B4-BE49-F238E27FC236}">
              <a16:creationId xmlns:a16="http://schemas.microsoft.com/office/drawing/2014/main" id="{D9E2F915-EFFC-406C-8286-4481F7479BE7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1867" name="Minus 382">
          <a:extLst>
            <a:ext uri="{FF2B5EF4-FFF2-40B4-BE49-F238E27FC236}">
              <a16:creationId xmlns:a16="http://schemas.microsoft.com/office/drawing/2014/main" id="{F0BCB251-FE16-4400-915E-AB3F6CB72889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1868" name="Minus 382">
          <a:extLst>
            <a:ext uri="{FF2B5EF4-FFF2-40B4-BE49-F238E27FC236}">
              <a16:creationId xmlns:a16="http://schemas.microsoft.com/office/drawing/2014/main" id="{DFB4F806-BCB8-449F-B60B-C5F929567121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1869" name="Minus 382">
          <a:extLst>
            <a:ext uri="{FF2B5EF4-FFF2-40B4-BE49-F238E27FC236}">
              <a16:creationId xmlns:a16="http://schemas.microsoft.com/office/drawing/2014/main" id="{D9A5456C-98C6-4F5A-895F-24756D459DF7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1870" name="Minus 382">
          <a:extLst>
            <a:ext uri="{FF2B5EF4-FFF2-40B4-BE49-F238E27FC236}">
              <a16:creationId xmlns:a16="http://schemas.microsoft.com/office/drawing/2014/main" id="{894CEB03-10FA-4AEF-9182-4BF8A0E20BF4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1871" name="Minus 382">
          <a:extLst>
            <a:ext uri="{FF2B5EF4-FFF2-40B4-BE49-F238E27FC236}">
              <a16:creationId xmlns:a16="http://schemas.microsoft.com/office/drawing/2014/main" id="{0D140426-0ED5-4634-8C15-FB22E2F24672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1872" name="Minus 382">
          <a:extLst>
            <a:ext uri="{FF2B5EF4-FFF2-40B4-BE49-F238E27FC236}">
              <a16:creationId xmlns:a16="http://schemas.microsoft.com/office/drawing/2014/main" id="{F4050D79-E997-40E2-9FD9-1834BE0D8D2F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1873" name="Minus 382">
          <a:extLst>
            <a:ext uri="{FF2B5EF4-FFF2-40B4-BE49-F238E27FC236}">
              <a16:creationId xmlns:a16="http://schemas.microsoft.com/office/drawing/2014/main" id="{D75BBBFF-97AB-4BCC-9819-FCC2B946A50B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1874" name="Minus 382">
          <a:extLst>
            <a:ext uri="{FF2B5EF4-FFF2-40B4-BE49-F238E27FC236}">
              <a16:creationId xmlns:a16="http://schemas.microsoft.com/office/drawing/2014/main" id="{2B06090C-C5FE-4E24-8BA9-7DCF5E80D7DB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1875" name="Minus 382">
          <a:extLst>
            <a:ext uri="{FF2B5EF4-FFF2-40B4-BE49-F238E27FC236}">
              <a16:creationId xmlns:a16="http://schemas.microsoft.com/office/drawing/2014/main" id="{A8DCAAEB-2152-4D9A-95A3-667357A059C9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1876" name="Minus 382">
          <a:extLst>
            <a:ext uri="{FF2B5EF4-FFF2-40B4-BE49-F238E27FC236}">
              <a16:creationId xmlns:a16="http://schemas.microsoft.com/office/drawing/2014/main" id="{130383C7-57B2-4FE4-8271-FBF866D7DA9E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1877" name="Minus 382">
          <a:extLst>
            <a:ext uri="{FF2B5EF4-FFF2-40B4-BE49-F238E27FC236}">
              <a16:creationId xmlns:a16="http://schemas.microsoft.com/office/drawing/2014/main" id="{186654E4-E039-4C40-8D1B-97938C6CB9BD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1878" name="Minus 382">
          <a:extLst>
            <a:ext uri="{FF2B5EF4-FFF2-40B4-BE49-F238E27FC236}">
              <a16:creationId xmlns:a16="http://schemas.microsoft.com/office/drawing/2014/main" id="{F229B016-AE84-42EB-A0E1-CF9EF91CE074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1879" name="Minus 382">
          <a:extLst>
            <a:ext uri="{FF2B5EF4-FFF2-40B4-BE49-F238E27FC236}">
              <a16:creationId xmlns:a16="http://schemas.microsoft.com/office/drawing/2014/main" id="{2DBE3ED6-7A06-4BD3-8EDA-BE706D10AE28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1880" name="Minus 382">
          <a:extLst>
            <a:ext uri="{FF2B5EF4-FFF2-40B4-BE49-F238E27FC236}">
              <a16:creationId xmlns:a16="http://schemas.microsoft.com/office/drawing/2014/main" id="{A129E51A-3E2B-4410-9DD3-9D49F43AEC70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1881" name="Minus 382">
          <a:extLst>
            <a:ext uri="{FF2B5EF4-FFF2-40B4-BE49-F238E27FC236}">
              <a16:creationId xmlns:a16="http://schemas.microsoft.com/office/drawing/2014/main" id="{B93C5040-983B-4C86-9EBD-FEB998012265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1882" name="Minus 382">
          <a:extLst>
            <a:ext uri="{FF2B5EF4-FFF2-40B4-BE49-F238E27FC236}">
              <a16:creationId xmlns:a16="http://schemas.microsoft.com/office/drawing/2014/main" id="{31C4E581-E604-4DB3-A872-8BABE58B4AA5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1883" name="Minus 382">
          <a:extLst>
            <a:ext uri="{FF2B5EF4-FFF2-40B4-BE49-F238E27FC236}">
              <a16:creationId xmlns:a16="http://schemas.microsoft.com/office/drawing/2014/main" id="{1B9783D1-EBF4-4B0E-A33F-A5AAF3B58F87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1884" name="Minus 382">
          <a:extLst>
            <a:ext uri="{FF2B5EF4-FFF2-40B4-BE49-F238E27FC236}">
              <a16:creationId xmlns:a16="http://schemas.microsoft.com/office/drawing/2014/main" id="{B5D0A54B-B2A5-425F-BAEE-40A5A8940C62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1885" name="Minus 382">
          <a:extLst>
            <a:ext uri="{FF2B5EF4-FFF2-40B4-BE49-F238E27FC236}">
              <a16:creationId xmlns:a16="http://schemas.microsoft.com/office/drawing/2014/main" id="{F88AE41F-3AED-4A57-B7D3-52D17713D730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1886" name="Minus 382">
          <a:extLst>
            <a:ext uri="{FF2B5EF4-FFF2-40B4-BE49-F238E27FC236}">
              <a16:creationId xmlns:a16="http://schemas.microsoft.com/office/drawing/2014/main" id="{9CA9F95E-3663-4B0D-A838-AF9AD4D51549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1887" name="Minus 382">
          <a:extLst>
            <a:ext uri="{FF2B5EF4-FFF2-40B4-BE49-F238E27FC236}">
              <a16:creationId xmlns:a16="http://schemas.microsoft.com/office/drawing/2014/main" id="{DF43497D-C68B-4B11-A158-412B0B2DEC14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1888" name="Minus 382">
          <a:extLst>
            <a:ext uri="{FF2B5EF4-FFF2-40B4-BE49-F238E27FC236}">
              <a16:creationId xmlns:a16="http://schemas.microsoft.com/office/drawing/2014/main" id="{045765C1-7DE2-4E25-A954-15D5660FAD7E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1889" name="Minus 382">
          <a:extLst>
            <a:ext uri="{FF2B5EF4-FFF2-40B4-BE49-F238E27FC236}">
              <a16:creationId xmlns:a16="http://schemas.microsoft.com/office/drawing/2014/main" id="{1398655F-E37B-4980-A366-A0C13867ED61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1890" name="Minus 382">
          <a:extLst>
            <a:ext uri="{FF2B5EF4-FFF2-40B4-BE49-F238E27FC236}">
              <a16:creationId xmlns:a16="http://schemas.microsoft.com/office/drawing/2014/main" id="{24CB2657-A5DF-4429-9173-11FAC14CD6F8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1891" name="Minus 382">
          <a:extLst>
            <a:ext uri="{FF2B5EF4-FFF2-40B4-BE49-F238E27FC236}">
              <a16:creationId xmlns:a16="http://schemas.microsoft.com/office/drawing/2014/main" id="{FFB82F02-BFC3-4153-AA0E-A3CDC1ABBB76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1892" name="Minus 382">
          <a:extLst>
            <a:ext uri="{FF2B5EF4-FFF2-40B4-BE49-F238E27FC236}">
              <a16:creationId xmlns:a16="http://schemas.microsoft.com/office/drawing/2014/main" id="{143ED4DF-EC8E-40A3-8C54-523B58C64BF0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1893" name="Minus 382">
          <a:extLst>
            <a:ext uri="{FF2B5EF4-FFF2-40B4-BE49-F238E27FC236}">
              <a16:creationId xmlns:a16="http://schemas.microsoft.com/office/drawing/2014/main" id="{99740550-133D-49B3-9B79-5BE89834DDB4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1894" name="Minus 382">
          <a:extLst>
            <a:ext uri="{FF2B5EF4-FFF2-40B4-BE49-F238E27FC236}">
              <a16:creationId xmlns:a16="http://schemas.microsoft.com/office/drawing/2014/main" id="{CB274423-A270-44CB-8327-9DACD27CE785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1895" name="Minus 382">
          <a:extLst>
            <a:ext uri="{FF2B5EF4-FFF2-40B4-BE49-F238E27FC236}">
              <a16:creationId xmlns:a16="http://schemas.microsoft.com/office/drawing/2014/main" id="{8E6C5793-B21E-4144-9FA8-41C6C68DAF5B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1896" name="Minus 382">
          <a:extLst>
            <a:ext uri="{FF2B5EF4-FFF2-40B4-BE49-F238E27FC236}">
              <a16:creationId xmlns:a16="http://schemas.microsoft.com/office/drawing/2014/main" id="{C32D074F-D9A5-4670-8E2A-A8AFF828D684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1897" name="Minus 382">
          <a:extLst>
            <a:ext uri="{FF2B5EF4-FFF2-40B4-BE49-F238E27FC236}">
              <a16:creationId xmlns:a16="http://schemas.microsoft.com/office/drawing/2014/main" id="{A0EC80D6-3D16-4374-A45E-4EFAE8074057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1898" name="Minus 382">
          <a:extLst>
            <a:ext uri="{FF2B5EF4-FFF2-40B4-BE49-F238E27FC236}">
              <a16:creationId xmlns:a16="http://schemas.microsoft.com/office/drawing/2014/main" id="{CB2D24EC-6CFA-4CC0-BABB-7CF668ADE88F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1899" name="Minus 382">
          <a:extLst>
            <a:ext uri="{FF2B5EF4-FFF2-40B4-BE49-F238E27FC236}">
              <a16:creationId xmlns:a16="http://schemas.microsoft.com/office/drawing/2014/main" id="{099195D4-36E8-4D03-A86D-D23E01CB464D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1900" name="Minus 382">
          <a:extLst>
            <a:ext uri="{FF2B5EF4-FFF2-40B4-BE49-F238E27FC236}">
              <a16:creationId xmlns:a16="http://schemas.microsoft.com/office/drawing/2014/main" id="{B1FE8B68-3A61-4B1A-844A-474BEA454794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1901" name="Minus 382">
          <a:extLst>
            <a:ext uri="{FF2B5EF4-FFF2-40B4-BE49-F238E27FC236}">
              <a16:creationId xmlns:a16="http://schemas.microsoft.com/office/drawing/2014/main" id="{8FEAB8D1-FE59-4DE0-8D35-07E52D2E84C5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1902" name="Minus 382">
          <a:extLst>
            <a:ext uri="{FF2B5EF4-FFF2-40B4-BE49-F238E27FC236}">
              <a16:creationId xmlns:a16="http://schemas.microsoft.com/office/drawing/2014/main" id="{0EAE8033-5F8F-408E-98C7-EC12EBD05102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1903" name="Minus 382">
          <a:extLst>
            <a:ext uri="{FF2B5EF4-FFF2-40B4-BE49-F238E27FC236}">
              <a16:creationId xmlns:a16="http://schemas.microsoft.com/office/drawing/2014/main" id="{E006D1F3-027E-47A7-81B3-99CF0D114AA4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1904" name="Minus 382">
          <a:extLst>
            <a:ext uri="{FF2B5EF4-FFF2-40B4-BE49-F238E27FC236}">
              <a16:creationId xmlns:a16="http://schemas.microsoft.com/office/drawing/2014/main" id="{A49B86AB-3C72-4D45-B840-A43327C252A7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1905" name="Minus 382">
          <a:extLst>
            <a:ext uri="{FF2B5EF4-FFF2-40B4-BE49-F238E27FC236}">
              <a16:creationId xmlns:a16="http://schemas.microsoft.com/office/drawing/2014/main" id="{CDA8F36B-D455-4C7F-B51D-F77251245947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1906" name="Minus 382">
          <a:extLst>
            <a:ext uri="{FF2B5EF4-FFF2-40B4-BE49-F238E27FC236}">
              <a16:creationId xmlns:a16="http://schemas.microsoft.com/office/drawing/2014/main" id="{943A9423-4BE8-495C-8C24-43B7249290A3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1907" name="Minus 382">
          <a:extLst>
            <a:ext uri="{FF2B5EF4-FFF2-40B4-BE49-F238E27FC236}">
              <a16:creationId xmlns:a16="http://schemas.microsoft.com/office/drawing/2014/main" id="{5C7C5682-19B7-4E95-BAB7-FE6F8B942DD1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1908" name="Minus 382">
          <a:extLst>
            <a:ext uri="{FF2B5EF4-FFF2-40B4-BE49-F238E27FC236}">
              <a16:creationId xmlns:a16="http://schemas.microsoft.com/office/drawing/2014/main" id="{44F7A4BF-B671-4F90-A160-937AFC6D2B15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1909" name="Minus 382">
          <a:extLst>
            <a:ext uri="{FF2B5EF4-FFF2-40B4-BE49-F238E27FC236}">
              <a16:creationId xmlns:a16="http://schemas.microsoft.com/office/drawing/2014/main" id="{F82FE65F-31EB-4A40-9408-D10BDEA202B6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1910" name="Minus 382">
          <a:extLst>
            <a:ext uri="{FF2B5EF4-FFF2-40B4-BE49-F238E27FC236}">
              <a16:creationId xmlns:a16="http://schemas.microsoft.com/office/drawing/2014/main" id="{52A09F13-CED7-42FF-A286-F7C5DA46D1CE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1911" name="Minus 382">
          <a:extLst>
            <a:ext uri="{FF2B5EF4-FFF2-40B4-BE49-F238E27FC236}">
              <a16:creationId xmlns:a16="http://schemas.microsoft.com/office/drawing/2014/main" id="{91D7A2FB-784A-4197-BD3A-EA7D9D30A9CC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1912" name="Minus 382">
          <a:extLst>
            <a:ext uri="{FF2B5EF4-FFF2-40B4-BE49-F238E27FC236}">
              <a16:creationId xmlns:a16="http://schemas.microsoft.com/office/drawing/2014/main" id="{BEFC7F4D-8D06-42B3-A5B1-3B35D004B250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1913" name="Minus 382">
          <a:extLst>
            <a:ext uri="{FF2B5EF4-FFF2-40B4-BE49-F238E27FC236}">
              <a16:creationId xmlns:a16="http://schemas.microsoft.com/office/drawing/2014/main" id="{F2FE2B98-91A4-4C38-AF58-E3AF652FBF3E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1914" name="Minus 382">
          <a:extLst>
            <a:ext uri="{FF2B5EF4-FFF2-40B4-BE49-F238E27FC236}">
              <a16:creationId xmlns:a16="http://schemas.microsoft.com/office/drawing/2014/main" id="{4EE622B3-8D44-4CA1-9070-C77F0EAD02CF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1915" name="Minus 382">
          <a:extLst>
            <a:ext uri="{FF2B5EF4-FFF2-40B4-BE49-F238E27FC236}">
              <a16:creationId xmlns:a16="http://schemas.microsoft.com/office/drawing/2014/main" id="{A872EA2B-6061-4728-B5CB-68EDE09D44E4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1916" name="Minus 382">
          <a:extLst>
            <a:ext uri="{FF2B5EF4-FFF2-40B4-BE49-F238E27FC236}">
              <a16:creationId xmlns:a16="http://schemas.microsoft.com/office/drawing/2014/main" id="{256D6321-902D-4832-9825-CF659A642D30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1917" name="Minus 382">
          <a:extLst>
            <a:ext uri="{FF2B5EF4-FFF2-40B4-BE49-F238E27FC236}">
              <a16:creationId xmlns:a16="http://schemas.microsoft.com/office/drawing/2014/main" id="{5D2BAF25-9E1F-474F-B572-1D450E730812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1918" name="Minus 382">
          <a:extLst>
            <a:ext uri="{FF2B5EF4-FFF2-40B4-BE49-F238E27FC236}">
              <a16:creationId xmlns:a16="http://schemas.microsoft.com/office/drawing/2014/main" id="{A60B24E1-E625-4BE9-A42D-9EAFB5FECB63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1919" name="Minus 382">
          <a:extLst>
            <a:ext uri="{FF2B5EF4-FFF2-40B4-BE49-F238E27FC236}">
              <a16:creationId xmlns:a16="http://schemas.microsoft.com/office/drawing/2014/main" id="{148DF0D7-A2FE-4E77-932B-BF9F1565B04D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1920" name="Minus 382">
          <a:extLst>
            <a:ext uri="{FF2B5EF4-FFF2-40B4-BE49-F238E27FC236}">
              <a16:creationId xmlns:a16="http://schemas.microsoft.com/office/drawing/2014/main" id="{D32FCCC9-2793-4FAE-BB2A-89D5E1C6D6AA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1921" name="Minus 382">
          <a:extLst>
            <a:ext uri="{FF2B5EF4-FFF2-40B4-BE49-F238E27FC236}">
              <a16:creationId xmlns:a16="http://schemas.microsoft.com/office/drawing/2014/main" id="{75AB948B-9FB8-4156-9156-37EAB442D3D5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1922" name="Minus 382">
          <a:extLst>
            <a:ext uri="{FF2B5EF4-FFF2-40B4-BE49-F238E27FC236}">
              <a16:creationId xmlns:a16="http://schemas.microsoft.com/office/drawing/2014/main" id="{9754C076-DF14-4E96-AA22-CBEB2551F3B1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1923" name="Minus 382">
          <a:extLst>
            <a:ext uri="{FF2B5EF4-FFF2-40B4-BE49-F238E27FC236}">
              <a16:creationId xmlns:a16="http://schemas.microsoft.com/office/drawing/2014/main" id="{E64C3F4B-A9DD-4536-9C65-423A23451346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1924" name="Minus 382">
          <a:extLst>
            <a:ext uri="{FF2B5EF4-FFF2-40B4-BE49-F238E27FC236}">
              <a16:creationId xmlns:a16="http://schemas.microsoft.com/office/drawing/2014/main" id="{BFE6129C-FA29-4B35-ADED-3E44856CD619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1925" name="Minus 382">
          <a:extLst>
            <a:ext uri="{FF2B5EF4-FFF2-40B4-BE49-F238E27FC236}">
              <a16:creationId xmlns:a16="http://schemas.microsoft.com/office/drawing/2014/main" id="{6518DC5E-67F6-4275-AC34-829F2F5AB7AF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1926" name="Minus 382">
          <a:extLst>
            <a:ext uri="{FF2B5EF4-FFF2-40B4-BE49-F238E27FC236}">
              <a16:creationId xmlns:a16="http://schemas.microsoft.com/office/drawing/2014/main" id="{7224B6EE-599B-4B43-9422-7C9E7C2C4AD7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1927" name="Minus 382">
          <a:extLst>
            <a:ext uri="{FF2B5EF4-FFF2-40B4-BE49-F238E27FC236}">
              <a16:creationId xmlns:a16="http://schemas.microsoft.com/office/drawing/2014/main" id="{14B30E89-A952-4AE8-84AC-97C8BCBA1191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1928" name="Minus 382">
          <a:extLst>
            <a:ext uri="{FF2B5EF4-FFF2-40B4-BE49-F238E27FC236}">
              <a16:creationId xmlns:a16="http://schemas.microsoft.com/office/drawing/2014/main" id="{716A8AFA-C406-4B94-9F24-B85C70C23AB3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1929" name="Minus 382">
          <a:extLst>
            <a:ext uri="{FF2B5EF4-FFF2-40B4-BE49-F238E27FC236}">
              <a16:creationId xmlns:a16="http://schemas.microsoft.com/office/drawing/2014/main" id="{D881835E-24EA-46BD-922F-962B48716244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1930" name="Minus 382">
          <a:extLst>
            <a:ext uri="{FF2B5EF4-FFF2-40B4-BE49-F238E27FC236}">
              <a16:creationId xmlns:a16="http://schemas.microsoft.com/office/drawing/2014/main" id="{A7F1017F-8D47-469D-8EA3-93497985D013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1931" name="Minus 382">
          <a:extLst>
            <a:ext uri="{FF2B5EF4-FFF2-40B4-BE49-F238E27FC236}">
              <a16:creationId xmlns:a16="http://schemas.microsoft.com/office/drawing/2014/main" id="{2EC99D7C-1648-4A1B-90FA-9711487161E2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1932" name="Minus 382">
          <a:extLst>
            <a:ext uri="{FF2B5EF4-FFF2-40B4-BE49-F238E27FC236}">
              <a16:creationId xmlns:a16="http://schemas.microsoft.com/office/drawing/2014/main" id="{05FAD629-3094-479E-B194-C31768A07C97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1933" name="Minus 382">
          <a:extLst>
            <a:ext uri="{FF2B5EF4-FFF2-40B4-BE49-F238E27FC236}">
              <a16:creationId xmlns:a16="http://schemas.microsoft.com/office/drawing/2014/main" id="{FC37D33C-9AD9-48B9-9DE5-D604ACF41DF3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1934" name="Minus 382">
          <a:extLst>
            <a:ext uri="{FF2B5EF4-FFF2-40B4-BE49-F238E27FC236}">
              <a16:creationId xmlns:a16="http://schemas.microsoft.com/office/drawing/2014/main" id="{E12C464C-9540-4148-B27E-AD4FE8E8305D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1935" name="Minus 382">
          <a:extLst>
            <a:ext uri="{FF2B5EF4-FFF2-40B4-BE49-F238E27FC236}">
              <a16:creationId xmlns:a16="http://schemas.microsoft.com/office/drawing/2014/main" id="{D5260278-545E-4E9A-88F3-B7C8BB5B2473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1936" name="Minus 382">
          <a:extLst>
            <a:ext uri="{FF2B5EF4-FFF2-40B4-BE49-F238E27FC236}">
              <a16:creationId xmlns:a16="http://schemas.microsoft.com/office/drawing/2014/main" id="{B858E18E-54D2-45AF-BDE9-174E43FE4374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1937" name="Minus 382">
          <a:extLst>
            <a:ext uri="{FF2B5EF4-FFF2-40B4-BE49-F238E27FC236}">
              <a16:creationId xmlns:a16="http://schemas.microsoft.com/office/drawing/2014/main" id="{2D3C2021-12D1-44F9-9AAF-78CF9D4636AD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1938" name="Minus 382">
          <a:extLst>
            <a:ext uri="{FF2B5EF4-FFF2-40B4-BE49-F238E27FC236}">
              <a16:creationId xmlns:a16="http://schemas.microsoft.com/office/drawing/2014/main" id="{167C7E6F-0609-41FD-8CF4-EA55EA65C5C5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1939" name="Minus 382">
          <a:extLst>
            <a:ext uri="{FF2B5EF4-FFF2-40B4-BE49-F238E27FC236}">
              <a16:creationId xmlns:a16="http://schemas.microsoft.com/office/drawing/2014/main" id="{87D0B6E0-1592-4566-96D1-FB7153906FF0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1940" name="Minus 382">
          <a:extLst>
            <a:ext uri="{FF2B5EF4-FFF2-40B4-BE49-F238E27FC236}">
              <a16:creationId xmlns:a16="http://schemas.microsoft.com/office/drawing/2014/main" id="{26EB7276-B948-450F-95E8-E24819873526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1941" name="Minus 382">
          <a:extLst>
            <a:ext uri="{FF2B5EF4-FFF2-40B4-BE49-F238E27FC236}">
              <a16:creationId xmlns:a16="http://schemas.microsoft.com/office/drawing/2014/main" id="{0E63B655-DD46-46F3-97C8-4A9E351DAF97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1942" name="Minus 382">
          <a:extLst>
            <a:ext uri="{FF2B5EF4-FFF2-40B4-BE49-F238E27FC236}">
              <a16:creationId xmlns:a16="http://schemas.microsoft.com/office/drawing/2014/main" id="{F8D7D964-B23B-42CF-B755-242CFFA5517A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1943" name="Minus 382">
          <a:extLst>
            <a:ext uri="{FF2B5EF4-FFF2-40B4-BE49-F238E27FC236}">
              <a16:creationId xmlns:a16="http://schemas.microsoft.com/office/drawing/2014/main" id="{DDA4C96F-1C4D-495F-B526-3522827F4A3F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1944" name="Minus 382">
          <a:extLst>
            <a:ext uri="{FF2B5EF4-FFF2-40B4-BE49-F238E27FC236}">
              <a16:creationId xmlns:a16="http://schemas.microsoft.com/office/drawing/2014/main" id="{27A99615-E499-493E-883A-AE64CF70ED22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1945" name="Minus 382">
          <a:extLst>
            <a:ext uri="{FF2B5EF4-FFF2-40B4-BE49-F238E27FC236}">
              <a16:creationId xmlns:a16="http://schemas.microsoft.com/office/drawing/2014/main" id="{6CC4138A-1F24-496B-A48D-CA744E10C918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1946" name="Minus 382">
          <a:extLst>
            <a:ext uri="{FF2B5EF4-FFF2-40B4-BE49-F238E27FC236}">
              <a16:creationId xmlns:a16="http://schemas.microsoft.com/office/drawing/2014/main" id="{8121B3D0-B236-481C-919D-20094A1A93B6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1947" name="Minus 382">
          <a:extLst>
            <a:ext uri="{FF2B5EF4-FFF2-40B4-BE49-F238E27FC236}">
              <a16:creationId xmlns:a16="http://schemas.microsoft.com/office/drawing/2014/main" id="{D6245BF9-5561-4E73-B26C-900C8898B18A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1948" name="Minus 382">
          <a:extLst>
            <a:ext uri="{FF2B5EF4-FFF2-40B4-BE49-F238E27FC236}">
              <a16:creationId xmlns:a16="http://schemas.microsoft.com/office/drawing/2014/main" id="{FBCF8460-822D-436E-93CD-4D2CD78BE5B4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1949" name="Minus 382">
          <a:extLst>
            <a:ext uri="{FF2B5EF4-FFF2-40B4-BE49-F238E27FC236}">
              <a16:creationId xmlns:a16="http://schemas.microsoft.com/office/drawing/2014/main" id="{A3C5956A-31AB-470C-8B7B-4A4FA8A9685F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1950" name="Minus 382">
          <a:extLst>
            <a:ext uri="{FF2B5EF4-FFF2-40B4-BE49-F238E27FC236}">
              <a16:creationId xmlns:a16="http://schemas.microsoft.com/office/drawing/2014/main" id="{95B4D67B-C8CB-480B-8344-4F3269A63EA3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1951" name="Minus 382">
          <a:extLst>
            <a:ext uri="{FF2B5EF4-FFF2-40B4-BE49-F238E27FC236}">
              <a16:creationId xmlns:a16="http://schemas.microsoft.com/office/drawing/2014/main" id="{B8134BB5-0353-4C8C-8D85-C71285213218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1952" name="Minus 382">
          <a:extLst>
            <a:ext uri="{FF2B5EF4-FFF2-40B4-BE49-F238E27FC236}">
              <a16:creationId xmlns:a16="http://schemas.microsoft.com/office/drawing/2014/main" id="{85200992-07A2-4A41-AC55-B98E4955FD0A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1953" name="0/0">
          <a:extLst>
            <a:ext uri="{FF2B5EF4-FFF2-40B4-BE49-F238E27FC236}">
              <a16:creationId xmlns:a16="http://schemas.microsoft.com/office/drawing/2014/main" id="{3C0A43A9-D63E-4DC9-B971-A9C1BF792B12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1954" name="Minus 382">
          <a:extLst>
            <a:ext uri="{FF2B5EF4-FFF2-40B4-BE49-F238E27FC236}">
              <a16:creationId xmlns:a16="http://schemas.microsoft.com/office/drawing/2014/main" id="{C6CF106E-C90A-4D74-ABF7-CC6E5492152E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1955" name="Freeform 10695">
          <a:extLst>
            <a:ext uri="{FF2B5EF4-FFF2-40B4-BE49-F238E27FC236}">
              <a16:creationId xmlns:a16="http://schemas.microsoft.com/office/drawing/2014/main" id="{5ED77736-2BE6-4824-8C92-61CB4ECC7DB3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1956" name="0/0">
          <a:extLst>
            <a:ext uri="{FF2B5EF4-FFF2-40B4-BE49-F238E27FC236}">
              <a16:creationId xmlns:a16="http://schemas.microsoft.com/office/drawing/2014/main" id="{9EC0F6FF-6615-4B67-B132-9585E052FD32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1957" name="Freeform 10695">
          <a:extLst>
            <a:ext uri="{FF2B5EF4-FFF2-40B4-BE49-F238E27FC236}">
              <a16:creationId xmlns:a16="http://schemas.microsoft.com/office/drawing/2014/main" id="{0D9C3495-805D-4E68-A64F-74F160B3B204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1958" name="0/0">
          <a:extLst>
            <a:ext uri="{FF2B5EF4-FFF2-40B4-BE49-F238E27FC236}">
              <a16:creationId xmlns:a16="http://schemas.microsoft.com/office/drawing/2014/main" id="{31D0E44B-5A6D-40D7-B267-CE617645325F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1959" name="Freeform 10695">
          <a:extLst>
            <a:ext uri="{FF2B5EF4-FFF2-40B4-BE49-F238E27FC236}">
              <a16:creationId xmlns:a16="http://schemas.microsoft.com/office/drawing/2014/main" id="{9E169F71-74A3-4AA5-800F-CB2DEE2795B8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1960" name="0/0">
          <a:extLst>
            <a:ext uri="{FF2B5EF4-FFF2-40B4-BE49-F238E27FC236}">
              <a16:creationId xmlns:a16="http://schemas.microsoft.com/office/drawing/2014/main" id="{8CF40585-D589-44EE-A5CC-82A4192F4D0F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1961" name="Freeform 10695">
          <a:extLst>
            <a:ext uri="{FF2B5EF4-FFF2-40B4-BE49-F238E27FC236}">
              <a16:creationId xmlns:a16="http://schemas.microsoft.com/office/drawing/2014/main" id="{048E040F-B8A7-45CD-BFF2-BB4C5866BF06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1962" name="0/0">
          <a:extLst>
            <a:ext uri="{FF2B5EF4-FFF2-40B4-BE49-F238E27FC236}">
              <a16:creationId xmlns:a16="http://schemas.microsoft.com/office/drawing/2014/main" id="{3D1E87E8-1D16-4C47-8A5B-58B2F2809A1B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1963" name="Freeform 10695">
          <a:extLst>
            <a:ext uri="{FF2B5EF4-FFF2-40B4-BE49-F238E27FC236}">
              <a16:creationId xmlns:a16="http://schemas.microsoft.com/office/drawing/2014/main" id="{4A00BD21-A427-4377-A988-5FBAC2843477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964" name="0/0">
          <a:extLst>
            <a:ext uri="{FF2B5EF4-FFF2-40B4-BE49-F238E27FC236}">
              <a16:creationId xmlns:a16="http://schemas.microsoft.com/office/drawing/2014/main" id="{3590A6C6-69D9-49E6-806F-4674DCF8866E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965" name="Freeform 10695">
          <a:extLst>
            <a:ext uri="{FF2B5EF4-FFF2-40B4-BE49-F238E27FC236}">
              <a16:creationId xmlns:a16="http://schemas.microsoft.com/office/drawing/2014/main" id="{F04DD5EF-F9EA-4E7B-B8DB-D00DBBF47367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966" name="0/0">
          <a:extLst>
            <a:ext uri="{FF2B5EF4-FFF2-40B4-BE49-F238E27FC236}">
              <a16:creationId xmlns:a16="http://schemas.microsoft.com/office/drawing/2014/main" id="{BB6CD888-31C6-4075-AC01-907772E5A037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967" name="Freeform 10695">
          <a:extLst>
            <a:ext uri="{FF2B5EF4-FFF2-40B4-BE49-F238E27FC236}">
              <a16:creationId xmlns:a16="http://schemas.microsoft.com/office/drawing/2014/main" id="{83299D94-6270-4D3C-AD87-E24AF34578D0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968" name="0/0">
          <a:extLst>
            <a:ext uri="{FF2B5EF4-FFF2-40B4-BE49-F238E27FC236}">
              <a16:creationId xmlns:a16="http://schemas.microsoft.com/office/drawing/2014/main" id="{6DDC1DD1-20DE-4D63-9D51-4DE17BAE73E6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969" name="Freeform 10695">
          <a:extLst>
            <a:ext uri="{FF2B5EF4-FFF2-40B4-BE49-F238E27FC236}">
              <a16:creationId xmlns:a16="http://schemas.microsoft.com/office/drawing/2014/main" id="{8F7CB1E8-146F-4C78-9104-2EE7425380A7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970" name="0/0">
          <a:extLst>
            <a:ext uri="{FF2B5EF4-FFF2-40B4-BE49-F238E27FC236}">
              <a16:creationId xmlns:a16="http://schemas.microsoft.com/office/drawing/2014/main" id="{686598B3-6F3B-4BA7-A053-B1162320BF8E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971" name="Freeform 10695">
          <a:extLst>
            <a:ext uri="{FF2B5EF4-FFF2-40B4-BE49-F238E27FC236}">
              <a16:creationId xmlns:a16="http://schemas.microsoft.com/office/drawing/2014/main" id="{7AAA3212-B403-4A3A-83DD-31C1C73EADB3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972" name="0/0">
          <a:extLst>
            <a:ext uri="{FF2B5EF4-FFF2-40B4-BE49-F238E27FC236}">
              <a16:creationId xmlns:a16="http://schemas.microsoft.com/office/drawing/2014/main" id="{D20EE585-C4FC-4B96-9D1B-A476DFC7680D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73" name="Freeform 10695">
          <a:extLst>
            <a:ext uri="{FF2B5EF4-FFF2-40B4-BE49-F238E27FC236}">
              <a16:creationId xmlns:a16="http://schemas.microsoft.com/office/drawing/2014/main" id="{DFF3D4CF-434E-40C7-B55B-83145C182CDC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1974" name="0/0">
          <a:extLst>
            <a:ext uri="{FF2B5EF4-FFF2-40B4-BE49-F238E27FC236}">
              <a16:creationId xmlns:a16="http://schemas.microsoft.com/office/drawing/2014/main" id="{80DD195D-C8FA-4D7E-8B92-2C5526D06DB0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1975" name="Freeform 10695">
          <a:extLst>
            <a:ext uri="{FF2B5EF4-FFF2-40B4-BE49-F238E27FC236}">
              <a16:creationId xmlns:a16="http://schemas.microsoft.com/office/drawing/2014/main" id="{67F0482B-0F4D-40FE-AEF1-2888AA448437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1976" name="0/0">
          <a:extLst>
            <a:ext uri="{FF2B5EF4-FFF2-40B4-BE49-F238E27FC236}">
              <a16:creationId xmlns:a16="http://schemas.microsoft.com/office/drawing/2014/main" id="{CF24A117-A32A-434C-A732-91EF5B700D3E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1977" name="Freeform 10695">
          <a:extLst>
            <a:ext uri="{FF2B5EF4-FFF2-40B4-BE49-F238E27FC236}">
              <a16:creationId xmlns:a16="http://schemas.microsoft.com/office/drawing/2014/main" id="{48937E56-642D-4F9C-BA19-0F9590A36257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1978" name="0/0">
          <a:extLst>
            <a:ext uri="{FF2B5EF4-FFF2-40B4-BE49-F238E27FC236}">
              <a16:creationId xmlns:a16="http://schemas.microsoft.com/office/drawing/2014/main" id="{D9119A43-D796-4487-92F3-5D91C15262CE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1979" name="Freeform 10695">
          <a:extLst>
            <a:ext uri="{FF2B5EF4-FFF2-40B4-BE49-F238E27FC236}">
              <a16:creationId xmlns:a16="http://schemas.microsoft.com/office/drawing/2014/main" id="{279D8A15-E182-4FB6-8976-1E34AF088925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1980" name="0/0">
          <a:extLst>
            <a:ext uri="{FF2B5EF4-FFF2-40B4-BE49-F238E27FC236}">
              <a16:creationId xmlns:a16="http://schemas.microsoft.com/office/drawing/2014/main" id="{6B22C28C-1B4A-4903-8102-0124E238BCF8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1981" name="Freeform 10695">
          <a:extLst>
            <a:ext uri="{FF2B5EF4-FFF2-40B4-BE49-F238E27FC236}">
              <a16:creationId xmlns:a16="http://schemas.microsoft.com/office/drawing/2014/main" id="{E8F858B1-2FA5-412D-B583-227D63CE85B8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1982" name="0/0">
          <a:extLst>
            <a:ext uri="{FF2B5EF4-FFF2-40B4-BE49-F238E27FC236}">
              <a16:creationId xmlns:a16="http://schemas.microsoft.com/office/drawing/2014/main" id="{B644EEDC-3864-4C50-A079-07D9D6060740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1983" name="Freeform 10695">
          <a:extLst>
            <a:ext uri="{FF2B5EF4-FFF2-40B4-BE49-F238E27FC236}">
              <a16:creationId xmlns:a16="http://schemas.microsoft.com/office/drawing/2014/main" id="{E0DB9C9C-F350-4C6D-9F88-64C0413415B0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1984" name="0/0">
          <a:extLst>
            <a:ext uri="{FF2B5EF4-FFF2-40B4-BE49-F238E27FC236}">
              <a16:creationId xmlns:a16="http://schemas.microsoft.com/office/drawing/2014/main" id="{FBA114A2-D8C1-45DC-A322-1C84A3DA6C54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1985" name="Freeform 10695">
          <a:extLst>
            <a:ext uri="{FF2B5EF4-FFF2-40B4-BE49-F238E27FC236}">
              <a16:creationId xmlns:a16="http://schemas.microsoft.com/office/drawing/2014/main" id="{CF655406-382F-4A7A-BC58-84DB6F25D6D2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1986" name="0/0">
          <a:extLst>
            <a:ext uri="{FF2B5EF4-FFF2-40B4-BE49-F238E27FC236}">
              <a16:creationId xmlns:a16="http://schemas.microsoft.com/office/drawing/2014/main" id="{79284877-C4E3-4035-9D3B-E0FC2B2C07D6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1987" name="Freeform 10695">
          <a:extLst>
            <a:ext uri="{FF2B5EF4-FFF2-40B4-BE49-F238E27FC236}">
              <a16:creationId xmlns:a16="http://schemas.microsoft.com/office/drawing/2014/main" id="{10DE37C5-D799-445B-9FA2-B09FE4839F0A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1988" name="0/0">
          <a:extLst>
            <a:ext uri="{FF2B5EF4-FFF2-40B4-BE49-F238E27FC236}">
              <a16:creationId xmlns:a16="http://schemas.microsoft.com/office/drawing/2014/main" id="{3BCC581D-3DEB-465F-BF94-670707E3ADC4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1989" name="Freeform 10695">
          <a:extLst>
            <a:ext uri="{FF2B5EF4-FFF2-40B4-BE49-F238E27FC236}">
              <a16:creationId xmlns:a16="http://schemas.microsoft.com/office/drawing/2014/main" id="{2836074F-5572-4B3F-B47E-B77A9FCF35FF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1990" name="0/0">
          <a:extLst>
            <a:ext uri="{FF2B5EF4-FFF2-40B4-BE49-F238E27FC236}">
              <a16:creationId xmlns:a16="http://schemas.microsoft.com/office/drawing/2014/main" id="{B3AE8ACB-EE15-40CB-913B-C9502E462F5C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1991" name="Freeform 10695">
          <a:extLst>
            <a:ext uri="{FF2B5EF4-FFF2-40B4-BE49-F238E27FC236}">
              <a16:creationId xmlns:a16="http://schemas.microsoft.com/office/drawing/2014/main" id="{C706423D-65F2-4251-B3B3-DB48A01BCD5D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1992" name="0/0">
          <a:extLst>
            <a:ext uri="{FF2B5EF4-FFF2-40B4-BE49-F238E27FC236}">
              <a16:creationId xmlns:a16="http://schemas.microsoft.com/office/drawing/2014/main" id="{5B6AE804-E9EE-4627-8132-C89E79DE9F6B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1993" name="Freeform 10695">
          <a:extLst>
            <a:ext uri="{FF2B5EF4-FFF2-40B4-BE49-F238E27FC236}">
              <a16:creationId xmlns:a16="http://schemas.microsoft.com/office/drawing/2014/main" id="{5E82CAA8-585D-4672-9556-E3C7D7FA7DA3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1994" name="0/0">
          <a:extLst>
            <a:ext uri="{FF2B5EF4-FFF2-40B4-BE49-F238E27FC236}">
              <a16:creationId xmlns:a16="http://schemas.microsoft.com/office/drawing/2014/main" id="{A2C426C5-BE27-45C3-9382-C6CA9BBEF2E6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1995" name="Freeform 10695">
          <a:extLst>
            <a:ext uri="{FF2B5EF4-FFF2-40B4-BE49-F238E27FC236}">
              <a16:creationId xmlns:a16="http://schemas.microsoft.com/office/drawing/2014/main" id="{873D3AD0-2320-4BC1-A304-A357144C2167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1996" name="0/0">
          <a:extLst>
            <a:ext uri="{FF2B5EF4-FFF2-40B4-BE49-F238E27FC236}">
              <a16:creationId xmlns:a16="http://schemas.microsoft.com/office/drawing/2014/main" id="{B716BF56-152A-4EAD-81ED-AF42BE9B0EEC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1997" name="Freeform 10695">
          <a:extLst>
            <a:ext uri="{FF2B5EF4-FFF2-40B4-BE49-F238E27FC236}">
              <a16:creationId xmlns:a16="http://schemas.microsoft.com/office/drawing/2014/main" id="{01BCAA67-2A99-49E4-A1D2-7099601123C5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1998" name="0/0">
          <a:extLst>
            <a:ext uri="{FF2B5EF4-FFF2-40B4-BE49-F238E27FC236}">
              <a16:creationId xmlns:a16="http://schemas.microsoft.com/office/drawing/2014/main" id="{292AE178-6970-484D-9DED-377559B7987F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1999" name="Freeform 10695">
          <a:extLst>
            <a:ext uri="{FF2B5EF4-FFF2-40B4-BE49-F238E27FC236}">
              <a16:creationId xmlns:a16="http://schemas.microsoft.com/office/drawing/2014/main" id="{8080CA38-2D76-4521-B491-7950D0554B25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2000" name="0/0">
          <a:extLst>
            <a:ext uri="{FF2B5EF4-FFF2-40B4-BE49-F238E27FC236}">
              <a16:creationId xmlns:a16="http://schemas.microsoft.com/office/drawing/2014/main" id="{1AF11C5A-19B6-4B94-9F45-D7552A995FDA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2001" name="Freeform 10695">
          <a:extLst>
            <a:ext uri="{FF2B5EF4-FFF2-40B4-BE49-F238E27FC236}">
              <a16:creationId xmlns:a16="http://schemas.microsoft.com/office/drawing/2014/main" id="{43D670DF-D173-4EBA-A639-D79285F573A8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2002" name="0/0">
          <a:extLst>
            <a:ext uri="{FF2B5EF4-FFF2-40B4-BE49-F238E27FC236}">
              <a16:creationId xmlns:a16="http://schemas.microsoft.com/office/drawing/2014/main" id="{C6FBA13A-C2F5-4C98-AD31-E45CC0763F30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2003" name="Freeform 10695">
          <a:extLst>
            <a:ext uri="{FF2B5EF4-FFF2-40B4-BE49-F238E27FC236}">
              <a16:creationId xmlns:a16="http://schemas.microsoft.com/office/drawing/2014/main" id="{CC5F7426-78FA-48AC-9882-16EA443EB650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2004" name="0/0">
          <a:extLst>
            <a:ext uri="{FF2B5EF4-FFF2-40B4-BE49-F238E27FC236}">
              <a16:creationId xmlns:a16="http://schemas.microsoft.com/office/drawing/2014/main" id="{447A7EFE-DA68-45CB-9D52-F962129DC45C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2005" name="Freeform 10695">
          <a:extLst>
            <a:ext uri="{FF2B5EF4-FFF2-40B4-BE49-F238E27FC236}">
              <a16:creationId xmlns:a16="http://schemas.microsoft.com/office/drawing/2014/main" id="{B13A2420-3461-421A-A610-F62A2EF55C9A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2006" name="0/0">
          <a:extLst>
            <a:ext uri="{FF2B5EF4-FFF2-40B4-BE49-F238E27FC236}">
              <a16:creationId xmlns:a16="http://schemas.microsoft.com/office/drawing/2014/main" id="{F3DAFB00-9C90-4375-B85F-28C230D93E38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2007" name="Freeform 10695">
          <a:extLst>
            <a:ext uri="{FF2B5EF4-FFF2-40B4-BE49-F238E27FC236}">
              <a16:creationId xmlns:a16="http://schemas.microsoft.com/office/drawing/2014/main" id="{22ABEF07-1350-4712-8677-7603102C8640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2008" name="0/0">
          <a:extLst>
            <a:ext uri="{FF2B5EF4-FFF2-40B4-BE49-F238E27FC236}">
              <a16:creationId xmlns:a16="http://schemas.microsoft.com/office/drawing/2014/main" id="{32FCC7E2-8EE7-404D-A8C2-A6F25895FA9E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2009" name="Freeform 10695">
          <a:extLst>
            <a:ext uri="{FF2B5EF4-FFF2-40B4-BE49-F238E27FC236}">
              <a16:creationId xmlns:a16="http://schemas.microsoft.com/office/drawing/2014/main" id="{33173D6D-53B5-457E-8846-422550F94EFE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2010" name="0/0">
          <a:extLst>
            <a:ext uri="{FF2B5EF4-FFF2-40B4-BE49-F238E27FC236}">
              <a16:creationId xmlns:a16="http://schemas.microsoft.com/office/drawing/2014/main" id="{75751216-B988-48F8-98B4-D217F91B4858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2011" name="Freeform 10695">
          <a:extLst>
            <a:ext uri="{FF2B5EF4-FFF2-40B4-BE49-F238E27FC236}">
              <a16:creationId xmlns:a16="http://schemas.microsoft.com/office/drawing/2014/main" id="{504264C9-5CDB-4074-8927-D80F8E9FFB7C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2012" name="0/0">
          <a:extLst>
            <a:ext uri="{FF2B5EF4-FFF2-40B4-BE49-F238E27FC236}">
              <a16:creationId xmlns:a16="http://schemas.microsoft.com/office/drawing/2014/main" id="{F6836123-D039-479C-8922-6E269AFEBD7B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2013" name="Freeform 10695">
          <a:extLst>
            <a:ext uri="{FF2B5EF4-FFF2-40B4-BE49-F238E27FC236}">
              <a16:creationId xmlns:a16="http://schemas.microsoft.com/office/drawing/2014/main" id="{769EA1DB-792D-4177-B746-72065D036749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2014" name="0/0">
          <a:extLst>
            <a:ext uri="{FF2B5EF4-FFF2-40B4-BE49-F238E27FC236}">
              <a16:creationId xmlns:a16="http://schemas.microsoft.com/office/drawing/2014/main" id="{BB69C32B-EF95-4027-8C89-D8A4FE9E4512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2015" name="Freeform 10695">
          <a:extLst>
            <a:ext uri="{FF2B5EF4-FFF2-40B4-BE49-F238E27FC236}">
              <a16:creationId xmlns:a16="http://schemas.microsoft.com/office/drawing/2014/main" id="{031BAF17-DF29-4C7F-9EF6-ABC38B350346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2016" name="0/0">
          <a:extLst>
            <a:ext uri="{FF2B5EF4-FFF2-40B4-BE49-F238E27FC236}">
              <a16:creationId xmlns:a16="http://schemas.microsoft.com/office/drawing/2014/main" id="{4F5EAE12-2BB1-42D1-BB3C-FF65E69794AC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2017" name="Freeform 10695">
          <a:extLst>
            <a:ext uri="{FF2B5EF4-FFF2-40B4-BE49-F238E27FC236}">
              <a16:creationId xmlns:a16="http://schemas.microsoft.com/office/drawing/2014/main" id="{96D35142-599B-4F98-9016-70D14DBD06AD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2018" name="0/0">
          <a:extLst>
            <a:ext uri="{FF2B5EF4-FFF2-40B4-BE49-F238E27FC236}">
              <a16:creationId xmlns:a16="http://schemas.microsoft.com/office/drawing/2014/main" id="{763E4033-7909-4DC1-9792-8634791F27FE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2019" name="Freeform 10695">
          <a:extLst>
            <a:ext uri="{FF2B5EF4-FFF2-40B4-BE49-F238E27FC236}">
              <a16:creationId xmlns:a16="http://schemas.microsoft.com/office/drawing/2014/main" id="{879CE78D-0FCD-4ED6-912B-CE4E5876A727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2020" name="0/0">
          <a:extLst>
            <a:ext uri="{FF2B5EF4-FFF2-40B4-BE49-F238E27FC236}">
              <a16:creationId xmlns:a16="http://schemas.microsoft.com/office/drawing/2014/main" id="{0DCC921C-0E2E-4390-B612-4AC873BA8BD4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2021" name="Freeform 10695">
          <a:extLst>
            <a:ext uri="{FF2B5EF4-FFF2-40B4-BE49-F238E27FC236}">
              <a16:creationId xmlns:a16="http://schemas.microsoft.com/office/drawing/2014/main" id="{F1B620F9-071B-426A-AA4C-E442ACA8D819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2022" name="0/0">
          <a:extLst>
            <a:ext uri="{FF2B5EF4-FFF2-40B4-BE49-F238E27FC236}">
              <a16:creationId xmlns:a16="http://schemas.microsoft.com/office/drawing/2014/main" id="{88B50A0E-5D32-4B18-9AFC-2DC8B3C9F8F4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2023" name="Freeform 10695">
          <a:extLst>
            <a:ext uri="{FF2B5EF4-FFF2-40B4-BE49-F238E27FC236}">
              <a16:creationId xmlns:a16="http://schemas.microsoft.com/office/drawing/2014/main" id="{645D09BC-3767-4F36-975A-A1ED39860434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2024" name="0/0">
          <a:extLst>
            <a:ext uri="{FF2B5EF4-FFF2-40B4-BE49-F238E27FC236}">
              <a16:creationId xmlns:a16="http://schemas.microsoft.com/office/drawing/2014/main" id="{43AC4B05-B119-4D23-99B2-D6886930C250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2025" name="Freeform 10695">
          <a:extLst>
            <a:ext uri="{FF2B5EF4-FFF2-40B4-BE49-F238E27FC236}">
              <a16:creationId xmlns:a16="http://schemas.microsoft.com/office/drawing/2014/main" id="{7E72D268-F29F-4EC1-950C-2A0134DF50BB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2026" name="0/0">
          <a:extLst>
            <a:ext uri="{FF2B5EF4-FFF2-40B4-BE49-F238E27FC236}">
              <a16:creationId xmlns:a16="http://schemas.microsoft.com/office/drawing/2014/main" id="{D6B9A7EB-96DD-40E6-8A67-ACF5A69201F7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2027" name="Freeform 10695">
          <a:extLst>
            <a:ext uri="{FF2B5EF4-FFF2-40B4-BE49-F238E27FC236}">
              <a16:creationId xmlns:a16="http://schemas.microsoft.com/office/drawing/2014/main" id="{F8375855-954A-49DA-9209-8CA16EE7CAD8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2028" name="0/0">
          <a:extLst>
            <a:ext uri="{FF2B5EF4-FFF2-40B4-BE49-F238E27FC236}">
              <a16:creationId xmlns:a16="http://schemas.microsoft.com/office/drawing/2014/main" id="{00EABE3A-4411-4765-B18B-F3D82F3338B9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2029" name="Freeform 10695">
          <a:extLst>
            <a:ext uri="{FF2B5EF4-FFF2-40B4-BE49-F238E27FC236}">
              <a16:creationId xmlns:a16="http://schemas.microsoft.com/office/drawing/2014/main" id="{004745CE-198A-4338-87AD-D7D54EE5F734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2030" name="0/0">
          <a:extLst>
            <a:ext uri="{FF2B5EF4-FFF2-40B4-BE49-F238E27FC236}">
              <a16:creationId xmlns:a16="http://schemas.microsoft.com/office/drawing/2014/main" id="{EF42A5F9-66F6-49C0-AF5A-22F1B2B10F12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2031" name="Freeform 10695">
          <a:extLst>
            <a:ext uri="{FF2B5EF4-FFF2-40B4-BE49-F238E27FC236}">
              <a16:creationId xmlns:a16="http://schemas.microsoft.com/office/drawing/2014/main" id="{B198FE30-CD71-4DC4-989C-2A457E211802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2032" name="0/0">
          <a:extLst>
            <a:ext uri="{FF2B5EF4-FFF2-40B4-BE49-F238E27FC236}">
              <a16:creationId xmlns:a16="http://schemas.microsoft.com/office/drawing/2014/main" id="{25742745-A08F-4B42-A35C-29997DBC405B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2033" name="Freeform 10695">
          <a:extLst>
            <a:ext uri="{FF2B5EF4-FFF2-40B4-BE49-F238E27FC236}">
              <a16:creationId xmlns:a16="http://schemas.microsoft.com/office/drawing/2014/main" id="{D29C7854-E982-45BB-B5CC-A739A7494BC0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2034" name="0/0">
          <a:extLst>
            <a:ext uri="{FF2B5EF4-FFF2-40B4-BE49-F238E27FC236}">
              <a16:creationId xmlns:a16="http://schemas.microsoft.com/office/drawing/2014/main" id="{735F1D69-7EB0-4CEE-8E76-2BA7EADBB3F6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2035" name="Freeform 10695">
          <a:extLst>
            <a:ext uri="{FF2B5EF4-FFF2-40B4-BE49-F238E27FC236}">
              <a16:creationId xmlns:a16="http://schemas.microsoft.com/office/drawing/2014/main" id="{B2D7F207-4E7F-4D69-9BDD-CA9126F91179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2036" name="0/0">
          <a:extLst>
            <a:ext uri="{FF2B5EF4-FFF2-40B4-BE49-F238E27FC236}">
              <a16:creationId xmlns:a16="http://schemas.microsoft.com/office/drawing/2014/main" id="{A8C38E52-6C97-46B1-8F38-7A9A688E182D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2037" name="Freeform 10695">
          <a:extLst>
            <a:ext uri="{FF2B5EF4-FFF2-40B4-BE49-F238E27FC236}">
              <a16:creationId xmlns:a16="http://schemas.microsoft.com/office/drawing/2014/main" id="{F57D234E-B97B-4BBD-BF8C-19812D769261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2038" name="0/0">
          <a:extLst>
            <a:ext uri="{FF2B5EF4-FFF2-40B4-BE49-F238E27FC236}">
              <a16:creationId xmlns:a16="http://schemas.microsoft.com/office/drawing/2014/main" id="{4E782002-9421-47B9-B589-48D6590CDBD4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2039" name="Freeform 10695">
          <a:extLst>
            <a:ext uri="{FF2B5EF4-FFF2-40B4-BE49-F238E27FC236}">
              <a16:creationId xmlns:a16="http://schemas.microsoft.com/office/drawing/2014/main" id="{4A051051-347F-4C2B-BB7C-19BFD9482E19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2040" name="0/0">
          <a:extLst>
            <a:ext uri="{FF2B5EF4-FFF2-40B4-BE49-F238E27FC236}">
              <a16:creationId xmlns:a16="http://schemas.microsoft.com/office/drawing/2014/main" id="{7A751C96-3EF0-49E3-A60C-02F063F2AC66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2041" name="Freeform 10695">
          <a:extLst>
            <a:ext uri="{FF2B5EF4-FFF2-40B4-BE49-F238E27FC236}">
              <a16:creationId xmlns:a16="http://schemas.microsoft.com/office/drawing/2014/main" id="{15524869-6102-49B1-BBDA-6F503F8B40D7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2042" name="0/0">
          <a:extLst>
            <a:ext uri="{FF2B5EF4-FFF2-40B4-BE49-F238E27FC236}">
              <a16:creationId xmlns:a16="http://schemas.microsoft.com/office/drawing/2014/main" id="{F71F9060-FC9B-425A-B62A-D7C2A8E59E39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2043" name="Freeform 10695">
          <a:extLst>
            <a:ext uri="{FF2B5EF4-FFF2-40B4-BE49-F238E27FC236}">
              <a16:creationId xmlns:a16="http://schemas.microsoft.com/office/drawing/2014/main" id="{B61CC4EB-9A2B-4137-BD0C-53672114E24C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2044" name="0/0">
          <a:extLst>
            <a:ext uri="{FF2B5EF4-FFF2-40B4-BE49-F238E27FC236}">
              <a16:creationId xmlns:a16="http://schemas.microsoft.com/office/drawing/2014/main" id="{0958C978-8C9B-4583-9649-3271E10CBD6B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2045" name="Freeform 10695">
          <a:extLst>
            <a:ext uri="{FF2B5EF4-FFF2-40B4-BE49-F238E27FC236}">
              <a16:creationId xmlns:a16="http://schemas.microsoft.com/office/drawing/2014/main" id="{3C4BD9E8-6249-4ADF-9478-A762CCA7BB2C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2046" name="0/0">
          <a:extLst>
            <a:ext uri="{FF2B5EF4-FFF2-40B4-BE49-F238E27FC236}">
              <a16:creationId xmlns:a16="http://schemas.microsoft.com/office/drawing/2014/main" id="{99023AEA-4CE4-43B2-B927-3CA0DBEFC2D1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2047" name="Freeform 10695">
          <a:extLst>
            <a:ext uri="{FF2B5EF4-FFF2-40B4-BE49-F238E27FC236}">
              <a16:creationId xmlns:a16="http://schemas.microsoft.com/office/drawing/2014/main" id="{ABE240A4-9E0B-40E0-A300-B824AFC3EAF4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2048" name="0/0">
          <a:extLst>
            <a:ext uri="{FF2B5EF4-FFF2-40B4-BE49-F238E27FC236}">
              <a16:creationId xmlns:a16="http://schemas.microsoft.com/office/drawing/2014/main" id="{C9D5D62A-2CF8-40CB-94C3-AF80F3EFCDF4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2049" name="Freeform 10695">
          <a:extLst>
            <a:ext uri="{FF2B5EF4-FFF2-40B4-BE49-F238E27FC236}">
              <a16:creationId xmlns:a16="http://schemas.microsoft.com/office/drawing/2014/main" id="{E232EB36-0139-4ADA-985E-59FB69F03858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2050" name="0/0">
          <a:extLst>
            <a:ext uri="{FF2B5EF4-FFF2-40B4-BE49-F238E27FC236}">
              <a16:creationId xmlns:a16="http://schemas.microsoft.com/office/drawing/2014/main" id="{FBEFB820-03DD-472B-B889-C2BF410F3882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2051" name="Freeform 10695">
          <a:extLst>
            <a:ext uri="{FF2B5EF4-FFF2-40B4-BE49-F238E27FC236}">
              <a16:creationId xmlns:a16="http://schemas.microsoft.com/office/drawing/2014/main" id="{6B9875FD-4497-46AF-BE90-B8002061E70D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2052" name="0/0">
          <a:extLst>
            <a:ext uri="{FF2B5EF4-FFF2-40B4-BE49-F238E27FC236}">
              <a16:creationId xmlns:a16="http://schemas.microsoft.com/office/drawing/2014/main" id="{4210A71A-F5FC-4B08-B911-19B30F22ED5A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2053" name="0/0">
          <a:extLst>
            <a:ext uri="{FF2B5EF4-FFF2-40B4-BE49-F238E27FC236}">
              <a16:creationId xmlns:a16="http://schemas.microsoft.com/office/drawing/2014/main" id="{E144E5D5-7435-4793-ACAC-6AA1A9AE6B21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2054" name="Freeform 10695">
          <a:extLst>
            <a:ext uri="{FF2B5EF4-FFF2-40B4-BE49-F238E27FC236}">
              <a16:creationId xmlns:a16="http://schemas.microsoft.com/office/drawing/2014/main" id="{20E3314B-85CC-4263-B40D-890B5337409A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2055" name="0/0">
          <a:extLst>
            <a:ext uri="{FF2B5EF4-FFF2-40B4-BE49-F238E27FC236}">
              <a16:creationId xmlns:a16="http://schemas.microsoft.com/office/drawing/2014/main" id="{3744CE44-0324-4E21-B825-B7CD3DE373E9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2056" name="Freeform 10695">
          <a:extLst>
            <a:ext uri="{FF2B5EF4-FFF2-40B4-BE49-F238E27FC236}">
              <a16:creationId xmlns:a16="http://schemas.microsoft.com/office/drawing/2014/main" id="{6C900280-C9B2-4A60-BB15-6CAAF53CDA09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2057" name="0/0">
          <a:extLst>
            <a:ext uri="{FF2B5EF4-FFF2-40B4-BE49-F238E27FC236}">
              <a16:creationId xmlns:a16="http://schemas.microsoft.com/office/drawing/2014/main" id="{0D37E263-ECA3-45BB-857B-3437CC2EE354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2058" name="Freeform 10695">
          <a:extLst>
            <a:ext uri="{FF2B5EF4-FFF2-40B4-BE49-F238E27FC236}">
              <a16:creationId xmlns:a16="http://schemas.microsoft.com/office/drawing/2014/main" id="{1745B066-21DD-4BDB-82FD-94B6AFE8DB93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2059" name="0/0">
          <a:extLst>
            <a:ext uri="{FF2B5EF4-FFF2-40B4-BE49-F238E27FC236}">
              <a16:creationId xmlns:a16="http://schemas.microsoft.com/office/drawing/2014/main" id="{6BF4563B-FC1C-4FB5-A05E-2018D17FF6DC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2060" name="Freeform 10695">
          <a:extLst>
            <a:ext uri="{FF2B5EF4-FFF2-40B4-BE49-F238E27FC236}">
              <a16:creationId xmlns:a16="http://schemas.microsoft.com/office/drawing/2014/main" id="{2EDD9092-CCC4-44EF-A471-5F486D0622BA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2061" name="0/0">
          <a:extLst>
            <a:ext uri="{FF2B5EF4-FFF2-40B4-BE49-F238E27FC236}">
              <a16:creationId xmlns:a16="http://schemas.microsoft.com/office/drawing/2014/main" id="{3CA772A4-3A85-427A-9236-10160D3BB4D3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2062" name="Freeform 10695">
          <a:extLst>
            <a:ext uri="{FF2B5EF4-FFF2-40B4-BE49-F238E27FC236}">
              <a16:creationId xmlns:a16="http://schemas.microsoft.com/office/drawing/2014/main" id="{C2E932D7-CBD5-4373-9555-F459B655268D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2063" name="0/0">
          <a:extLst>
            <a:ext uri="{FF2B5EF4-FFF2-40B4-BE49-F238E27FC236}">
              <a16:creationId xmlns:a16="http://schemas.microsoft.com/office/drawing/2014/main" id="{F03B0688-081B-4DF1-AEA0-7DC70682BAC9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2064" name="Freeform 10695">
          <a:extLst>
            <a:ext uri="{FF2B5EF4-FFF2-40B4-BE49-F238E27FC236}">
              <a16:creationId xmlns:a16="http://schemas.microsoft.com/office/drawing/2014/main" id="{FF6AFF98-A024-45B0-B96A-08ECB569A16B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2065" name="0/0">
          <a:extLst>
            <a:ext uri="{FF2B5EF4-FFF2-40B4-BE49-F238E27FC236}">
              <a16:creationId xmlns:a16="http://schemas.microsoft.com/office/drawing/2014/main" id="{DC2BDF3B-BFF1-4FA0-971E-2DD9A4122248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2066" name="Freeform 10695">
          <a:extLst>
            <a:ext uri="{FF2B5EF4-FFF2-40B4-BE49-F238E27FC236}">
              <a16:creationId xmlns:a16="http://schemas.microsoft.com/office/drawing/2014/main" id="{1DB88D81-12DA-48BC-BCAC-44924CF7E4C4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2067" name="0/0">
          <a:extLst>
            <a:ext uri="{FF2B5EF4-FFF2-40B4-BE49-F238E27FC236}">
              <a16:creationId xmlns:a16="http://schemas.microsoft.com/office/drawing/2014/main" id="{218BDD2C-B679-4AFE-97DA-385B2995F2FF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2068" name="Freeform 10695">
          <a:extLst>
            <a:ext uri="{FF2B5EF4-FFF2-40B4-BE49-F238E27FC236}">
              <a16:creationId xmlns:a16="http://schemas.microsoft.com/office/drawing/2014/main" id="{BBEF7ED4-6C76-4FFF-992C-827786B28500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2069" name="0/0">
          <a:extLst>
            <a:ext uri="{FF2B5EF4-FFF2-40B4-BE49-F238E27FC236}">
              <a16:creationId xmlns:a16="http://schemas.microsoft.com/office/drawing/2014/main" id="{3E5D116F-B06C-4016-BFB3-8008BCFE2BA5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2070" name="Freeform 10695">
          <a:extLst>
            <a:ext uri="{FF2B5EF4-FFF2-40B4-BE49-F238E27FC236}">
              <a16:creationId xmlns:a16="http://schemas.microsoft.com/office/drawing/2014/main" id="{077A4DB2-B346-4577-A67E-23BA4BBCFB2B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2071" name="0/0">
          <a:extLst>
            <a:ext uri="{FF2B5EF4-FFF2-40B4-BE49-F238E27FC236}">
              <a16:creationId xmlns:a16="http://schemas.microsoft.com/office/drawing/2014/main" id="{DFD1C395-491F-417D-A52E-CD291B73818D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2072" name="Freeform 10695">
          <a:extLst>
            <a:ext uri="{FF2B5EF4-FFF2-40B4-BE49-F238E27FC236}">
              <a16:creationId xmlns:a16="http://schemas.microsoft.com/office/drawing/2014/main" id="{805497B3-B45C-4255-A73D-C6402EBBC661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2073" name="0/0">
          <a:extLst>
            <a:ext uri="{FF2B5EF4-FFF2-40B4-BE49-F238E27FC236}">
              <a16:creationId xmlns:a16="http://schemas.microsoft.com/office/drawing/2014/main" id="{467148D4-B484-4E6C-9D04-1A3487070E6A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2074" name="Freeform 10695">
          <a:extLst>
            <a:ext uri="{FF2B5EF4-FFF2-40B4-BE49-F238E27FC236}">
              <a16:creationId xmlns:a16="http://schemas.microsoft.com/office/drawing/2014/main" id="{F4484F49-1918-495A-88EA-9509B398D340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2075" name="0/0">
          <a:extLst>
            <a:ext uri="{FF2B5EF4-FFF2-40B4-BE49-F238E27FC236}">
              <a16:creationId xmlns:a16="http://schemas.microsoft.com/office/drawing/2014/main" id="{F3E4D7FE-D7F1-4630-928D-14D56258FA40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2076" name="Freeform 10695">
          <a:extLst>
            <a:ext uri="{FF2B5EF4-FFF2-40B4-BE49-F238E27FC236}">
              <a16:creationId xmlns:a16="http://schemas.microsoft.com/office/drawing/2014/main" id="{CFB89590-99A7-46F9-911F-2CDB754821E9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2077" name="0/0">
          <a:extLst>
            <a:ext uri="{FF2B5EF4-FFF2-40B4-BE49-F238E27FC236}">
              <a16:creationId xmlns:a16="http://schemas.microsoft.com/office/drawing/2014/main" id="{0FB08201-58BD-4A84-A5A5-0138B3215373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2078" name="Freeform 10695">
          <a:extLst>
            <a:ext uri="{FF2B5EF4-FFF2-40B4-BE49-F238E27FC236}">
              <a16:creationId xmlns:a16="http://schemas.microsoft.com/office/drawing/2014/main" id="{FFF65A23-8A04-4C50-8BAC-D8247E0F34B8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2079" name="0/0">
          <a:extLst>
            <a:ext uri="{FF2B5EF4-FFF2-40B4-BE49-F238E27FC236}">
              <a16:creationId xmlns:a16="http://schemas.microsoft.com/office/drawing/2014/main" id="{75418DB9-DA5F-4223-B9A1-8F94314BB957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2080" name="Freeform 10695">
          <a:extLst>
            <a:ext uri="{FF2B5EF4-FFF2-40B4-BE49-F238E27FC236}">
              <a16:creationId xmlns:a16="http://schemas.microsoft.com/office/drawing/2014/main" id="{77E0BE76-F91E-40FC-A592-9EE08806C15B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2081" name="0/0">
          <a:extLst>
            <a:ext uri="{FF2B5EF4-FFF2-40B4-BE49-F238E27FC236}">
              <a16:creationId xmlns:a16="http://schemas.microsoft.com/office/drawing/2014/main" id="{413AA339-8D73-4108-B684-3F952487C0CA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2082" name="Freeform 10695">
          <a:extLst>
            <a:ext uri="{FF2B5EF4-FFF2-40B4-BE49-F238E27FC236}">
              <a16:creationId xmlns:a16="http://schemas.microsoft.com/office/drawing/2014/main" id="{1FB908EC-8623-4A77-98A2-95D1EDDC5311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2083" name="0/0">
          <a:extLst>
            <a:ext uri="{FF2B5EF4-FFF2-40B4-BE49-F238E27FC236}">
              <a16:creationId xmlns:a16="http://schemas.microsoft.com/office/drawing/2014/main" id="{6E8A249E-DE07-4D73-80D7-AE44619AB407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2084" name="Freeform 10695">
          <a:extLst>
            <a:ext uri="{FF2B5EF4-FFF2-40B4-BE49-F238E27FC236}">
              <a16:creationId xmlns:a16="http://schemas.microsoft.com/office/drawing/2014/main" id="{57921A28-2897-4F02-8F8F-5D2B1EF660EC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2085" name="0/0">
          <a:extLst>
            <a:ext uri="{FF2B5EF4-FFF2-40B4-BE49-F238E27FC236}">
              <a16:creationId xmlns:a16="http://schemas.microsoft.com/office/drawing/2014/main" id="{85B0F421-DD45-438B-BCF0-381A2627450D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2086" name="Freeform 10695">
          <a:extLst>
            <a:ext uri="{FF2B5EF4-FFF2-40B4-BE49-F238E27FC236}">
              <a16:creationId xmlns:a16="http://schemas.microsoft.com/office/drawing/2014/main" id="{8F94BAF3-1E73-4E20-8BA5-EC8BAC72C05D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2087" name="0/0">
          <a:extLst>
            <a:ext uri="{FF2B5EF4-FFF2-40B4-BE49-F238E27FC236}">
              <a16:creationId xmlns:a16="http://schemas.microsoft.com/office/drawing/2014/main" id="{42CD7044-6A4E-4A32-B83E-E7E91994C824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2088" name="Freeform 10695">
          <a:extLst>
            <a:ext uri="{FF2B5EF4-FFF2-40B4-BE49-F238E27FC236}">
              <a16:creationId xmlns:a16="http://schemas.microsoft.com/office/drawing/2014/main" id="{D04DA61F-DBDD-4690-A959-A3FB9B555288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2089" name="0/0">
          <a:extLst>
            <a:ext uri="{FF2B5EF4-FFF2-40B4-BE49-F238E27FC236}">
              <a16:creationId xmlns:a16="http://schemas.microsoft.com/office/drawing/2014/main" id="{1B1EA18D-DA2C-495F-9D88-950C6E5E8817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2090" name="Freeform 10695">
          <a:extLst>
            <a:ext uri="{FF2B5EF4-FFF2-40B4-BE49-F238E27FC236}">
              <a16:creationId xmlns:a16="http://schemas.microsoft.com/office/drawing/2014/main" id="{18483F08-CED6-438F-A04C-9EBC59E62673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2091" name="0/0">
          <a:extLst>
            <a:ext uri="{FF2B5EF4-FFF2-40B4-BE49-F238E27FC236}">
              <a16:creationId xmlns:a16="http://schemas.microsoft.com/office/drawing/2014/main" id="{A01FF18C-4233-4EEA-96AB-40D16CE99605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2092" name="Freeform 10695">
          <a:extLst>
            <a:ext uri="{FF2B5EF4-FFF2-40B4-BE49-F238E27FC236}">
              <a16:creationId xmlns:a16="http://schemas.microsoft.com/office/drawing/2014/main" id="{7583D7B0-59EE-4ACE-A4F1-31F9D87FF4C6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2093" name="0/0">
          <a:extLst>
            <a:ext uri="{FF2B5EF4-FFF2-40B4-BE49-F238E27FC236}">
              <a16:creationId xmlns:a16="http://schemas.microsoft.com/office/drawing/2014/main" id="{B681ADCA-C6A6-466A-84C5-BBAEAED98759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2094" name="Freeform 10695">
          <a:extLst>
            <a:ext uri="{FF2B5EF4-FFF2-40B4-BE49-F238E27FC236}">
              <a16:creationId xmlns:a16="http://schemas.microsoft.com/office/drawing/2014/main" id="{70935532-D7F3-4D4C-87B4-2281D22FB693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2095" name="0/0">
          <a:extLst>
            <a:ext uri="{FF2B5EF4-FFF2-40B4-BE49-F238E27FC236}">
              <a16:creationId xmlns:a16="http://schemas.microsoft.com/office/drawing/2014/main" id="{3940EB12-3B73-4734-B216-E96DFC17800B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2096" name="Freeform 10695">
          <a:extLst>
            <a:ext uri="{FF2B5EF4-FFF2-40B4-BE49-F238E27FC236}">
              <a16:creationId xmlns:a16="http://schemas.microsoft.com/office/drawing/2014/main" id="{77D53C06-937F-4BF6-85DD-A6131F86E36A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2097" name="0/0">
          <a:extLst>
            <a:ext uri="{FF2B5EF4-FFF2-40B4-BE49-F238E27FC236}">
              <a16:creationId xmlns:a16="http://schemas.microsoft.com/office/drawing/2014/main" id="{EAA3FE58-6317-47B0-BB89-8AE9BED47569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2098" name="Freeform 10695">
          <a:extLst>
            <a:ext uri="{FF2B5EF4-FFF2-40B4-BE49-F238E27FC236}">
              <a16:creationId xmlns:a16="http://schemas.microsoft.com/office/drawing/2014/main" id="{B1EC8131-23F7-4759-8379-D42652BED3B7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2099" name="0/0">
          <a:extLst>
            <a:ext uri="{FF2B5EF4-FFF2-40B4-BE49-F238E27FC236}">
              <a16:creationId xmlns:a16="http://schemas.microsoft.com/office/drawing/2014/main" id="{0B1339AB-35F3-4704-8C3F-3BE9783B8BCA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2100" name="Freeform 10695">
          <a:extLst>
            <a:ext uri="{FF2B5EF4-FFF2-40B4-BE49-F238E27FC236}">
              <a16:creationId xmlns:a16="http://schemas.microsoft.com/office/drawing/2014/main" id="{4EE37CD3-B7CB-423B-A121-803A83FC56C6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2101" name="0/0">
          <a:extLst>
            <a:ext uri="{FF2B5EF4-FFF2-40B4-BE49-F238E27FC236}">
              <a16:creationId xmlns:a16="http://schemas.microsoft.com/office/drawing/2014/main" id="{06903F6A-B511-45D5-B434-18CA2AEC3C59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2102" name="Freeform 10695">
          <a:extLst>
            <a:ext uri="{FF2B5EF4-FFF2-40B4-BE49-F238E27FC236}">
              <a16:creationId xmlns:a16="http://schemas.microsoft.com/office/drawing/2014/main" id="{2E25C09A-15E6-49E3-A4E2-52F9BF18B097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2103" name="0/0">
          <a:extLst>
            <a:ext uri="{FF2B5EF4-FFF2-40B4-BE49-F238E27FC236}">
              <a16:creationId xmlns:a16="http://schemas.microsoft.com/office/drawing/2014/main" id="{B1F79761-B233-49F9-8750-7C07D5E25E1E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2104" name="Freeform 10695">
          <a:extLst>
            <a:ext uri="{FF2B5EF4-FFF2-40B4-BE49-F238E27FC236}">
              <a16:creationId xmlns:a16="http://schemas.microsoft.com/office/drawing/2014/main" id="{F08FE33E-4E86-44DB-9035-44BE3DCA1A69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2105" name="0/0">
          <a:extLst>
            <a:ext uri="{FF2B5EF4-FFF2-40B4-BE49-F238E27FC236}">
              <a16:creationId xmlns:a16="http://schemas.microsoft.com/office/drawing/2014/main" id="{3F1EF5CB-767D-4F08-A51B-B841512542BE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2106" name="Freeform 10695">
          <a:extLst>
            <a:ext uri="{FF2B5EF4-FFF2-40B4-BE49-F238E27FC236}">
              <a16:creationId xmlns:a16="http://schemas.microsoft.com/office/drawing/2014/main" id="{A2EB9226-7383-4253-8D30-2AA57964D87F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2107" name="0/0">
          <a:extLst>
            <a:ext uri="{FF2B5EF4-FFF2-40B4-BE49-F238E27FC236}">
              <a16:creationId xmlns:a16="http://schemas.microsoft.com/office/drawing/2014/main" id="{BABAF8F2-996B-4B1F-8FB5-523D15FCF1D2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2108" name="Freeform 10695">
          <a:extLst>
            <a:ext uri="{FF2B5EF4-FFF2-40B4-BE49-F238E27FC236}">
              <a16:creationId xmlns:a16="http://schemas.microsoft.com/office/drawing/2014/main" id="{A91E0A8B-AF06-4A6F-90DD-2865AF22832A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2109" name="0/0">
          <a:extLst>
            <a:ext uri="{FF2B5EF4-FFF2-40B4-BE49-F238E27FC236}">
              <a16:creationId xmlns:a16="http://schemas.microsoft.com/office/drawing/2014/main" id="{AD9F6067-F91D-403F-9C8A-94B084F10743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2110" name="Freeform 10695">
          <a:extLst>
            <a:ext uri="{FF2B5EF4-FFF2-40B4-BE49-F238E27FC236}">
              <a16:creationId xmlns:a16="http://schemas.microsoft.com/office/drawing/2014/main" id="{39B8B986-640E-4268-B4F0-FDEEB3CAF53A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2111" name="0/0">
          <a:extLst>
            <a:ext uri="{FF2B5EF4-FFF2-40B4-BE49-F238E27FC236}">
              <a16:creationId xmlns:a16="http://schemas.microsoft.com/office/drawing/2014/main" id="{3B4A79B3-B3A3-4FA8-B311-04FFACB60F50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2112" name="Freeform 10695">
          <a:extLst>
            <a:ext uri="{FF2B5EF4-FFF2-40B4-BE49-F238E27FC236}">
              <a16:creationId xmlns:a16="http://schemas.microsoft.com/office/drawing/2014/main" id="{6BBE8193-1B35-4875-B08A-9E0CA3D97113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2113" name="0/0">
          <a:extLst>
            <a:ext uri="{FF2B5EF4-FFF2-40B4-BE49-F238E27FC236}">
              <a16:creationId xmlns:a16="http://schemas.microsoft.com/office/drawing/2014/main" id="{4FE4DF79-E199-4D0B-94E9-3F3046C86B3A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2114" name="0/0">
          <a:extLst>
            <a:ext uri="{FF2B5EF4-FFF2-40B4-BE49-F238E27FC236}">
              <a16:creationId xmlns:a16="http://schemas.microsoft.com/office/drawing/2014/main" id="{41118069-5623-4277-8AF6-55D0029910E4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2115" name="Freeform 10695">
          <a:extLst>
            <a:ext uri="{FF2B5EF4-FFF2-40B4-BE49-F238E27FC236}">
              <a16:creationId xmlns:a16="http://schemas.microsoft.com/office/drawing/2014/main" id="{E94B8CCF-A6D0-4F40-A19E-68E75329F127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2116" name="0/0">
          <a:extLst>
            <a:ext uri="{FF2B5EF4-FFF2-40B4-BE49-F238E27FC236}">
              <a16:creationId xmlns:a16="http://schemas.microsoft.com/office/drawing/2014/main" id="{C8696347-0946-49A5-B71C-8BFB0CC934C1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2117" name="Freeform 10695">
          <a:extLst>
            <a:ext uri="{FF2B5EF4-FFF2-40B4-BE49-F238E27FC236}">
              <a16:creationId xmlns:a16="http://schemas.microsoft.com/office/drawing/2014/main" id="{0A4B0D43-D2C3-4537-B866-0A364D154D9C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2118" name="0/0">
          <a:extLst>
            <a:ext uri="{FF2B5EF4-FFF2-40B4-BE49-F238E27FC236}">
              <a16:creationId xmlns:a16="http://schemas.microsoft.com/office/drawing/2014/main" id="{AE08F2F4-FDFE-40E6-82B7-FC7FE0852645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2119" name="Freeform 10695">
          <a:extLst>
            <a:ext uri="{FF2B5EF4-FFF2-40B4-BE49-F238E27FC236}">
              <a16:creationId xmlns:a16="http://schemas.microsoft.com/office/drawing/2014/main" id="{65FD881A-81DB-4057-8FFA-363FB7CAE2C8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2120" name="0/0">
          <a:extLst>
            <a:ext uri="{FF2B5EF4-FFF2-40B4-BE49-F238E27FC236}">
              <a16:creationId xmlns:a16="http://schemas.microsoft.com/office/drawing/2014/main" id="{CA6ACE19-E84C-4A69-A822-788B7C02B691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2121" name="Freeform 10695">
          <a:extLst>
            <a:ext uri="{FF2B5EF4-FFF2-40B4-BE49-F238E27FC236}">
              <a16:creationId xmlns:a16="http://schemas.microsoft.com/office/drawing/2014/main" id="{EC598F35-30A3-494F-9960-F4CCEF4F5888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2122" name="0/0">
          <a:extLst>
            <a:ext uri="{FF2B5EF4-FFF2-40B4-BE49-F238E27FC236}">
              <a16:creationId xmlns:a16="http://schemas.microsoft.com/office/drawing/2014/main" id="{F2290B70-C077-4B70-B6EE-7010AE0AC248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2123" name="Freeform 10695">
          <a:extLst>
            <a:ext uri="{FF2B5EF4-FFF2-40B4-BE49-F238E27FC236}">
              <a16:creationId xmlns:a16="http://schemas.microsoft.com/office/drawing/2014/main" id="{F7B7C13B-6826-48D4-BFAE-594EC94DD8E5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2124" name="0/0">
          <a:extLst>
            <a:ext uri="{FF2B5EF4-FFF2-40B4-BE49-F238E27FC236}">
              <a16:creationId xmlns:a16="http://schemas.microsoft.com/office/drawing/2014/main" id="{0D69E0DE-FB1C-429E-821E-7E1A0B3BF055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2125" name="Freeform 10695">
          <a:extLst>
            <a:ext uri="{FF2B5EF4-FFF2-40B4-BE49-F238E27FC236}">
              <a16:creationId xmlns:a16="http://schemas.microsoft.com/office/drawing/2014/main" id="{A861ACDD-1AC4-48D5-A877-8F57859F238B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2126" name="0/0">
          <a:extLst>
            <a:ext uri="{FF2B5EF4-FFF2-40B4-BE49-F238E27FC236}">
              <a16:creationId xmlns:a16="http://schemas.microsoft.com/office/drawing/2014/main" id="{C3EA5F95-7438-4998-8914-DA24C793759C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2127" name="Freeform 10695">
          <a:extLst>
            <a:ext uri="{FF2B5EF4-FFF2-40B4-BE49-F238E27FC236}">
              <a16:creationId xmlns:a16="http://schemas.microsoft.com/office/drawing/2014/main" id="{64868F07-6EF5-4F47-A411-7CB1B183986D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2128" name="0/0">
          <a:extLst>
            <a:ext uri="{FF2B5EF4-FFF2-40B4-BE49-F238E27FC236}">
              <a16:creationId xmlns:a16="http://schemas.microsoft.com/office/drawing/2014/main" id="{714A4639-F8CD-475F-805D-DB1B99E3D258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2129" name="Freeform 10695">
          <a:extLst>
            <a:ext uri="{FF2B5EF4-FFF2-40B4-BE49-F238E27FC236}">
              <a16:creationId xmlns:a16="http://schemas.microsoft.com/office/drawing/2014/main" id="{B6BEEC70-759D-4049-9F15-8DB276A83AE9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2130" name="0/0">
          <a:extLst>
            <a:ext uri="{FF2B5EF4-FFF2-40B4-BE49-F238E27FC236}">
              <a16:creationId xmlns:a16="http://schemas.microsoft.com/office/drawing/2014/main" id="{177D8FA8-6A5E-43B6-9401-2AFC99DB9FE1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2131" name="Freeform 10695">
          <a:extLst>
            <a:ext uri="{FF2B5EF4-FFF2-40B4-BE49-F238E27FC236}">
              <a16:creationId xmlns:a16="http://schemas.microsoft.com/office/drawing/2014/main" id="{9F496599-2989-42CA-9058-C1BE2BD8A3AC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2132" name="0/0">
          <a:extLst>
            <a:ext uri="{FF2B5EF4-FFF2-40B4-BE49-F238E27FC236}">
              <a16:creationId xmlns:a16="http://schemas.microsoft.com/office/drawing/2014/main" id="{E05FF3BE-A243-41D7-968B-4F3DB283DA06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2133" name="Freeform 10695">
          <a:extLst>
            <a:ext uri="{FF2B5EF4-FFF2-40B4-BE49-F238E27FC236}">
              <a16:creationId xmlns:a16="http://schemas.microsoft.com/office/drawing/2014/main" id="{01E63F53-414B-4BFE-9310-E0E38D022DE4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2134" name="0/0">
          <a:extLst>
            <a:ext uri="{FF2B5EF4-FFF2-40B4-BE49-F238E27FC236}">
              <a16:creationId xmlns:a16="http://schemas.microsoft.com/office/drawing/2014/main" id="{EBFADD0B-7C3A-4719-AEA7-7F3BCB957AF3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2135" name="Freeform 10695">
          <a:extLst>
            <a:ext uri="{FF2B5EF4-FFF2-40B4-BE49-F238E27FC236}">
              <a16:creationId xmlns:a16="http://schemas.microsoft.com/office/drawing/2014/main" id="{B820BE8D-28A0-4D6C-ACDA-1E47368BBA39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2136" name="0/0">
          <a:extLst>
            <a:ext uri="{FF2B5EF4-FFF2-40B4-BE49-F238E27FC236}">
              <a16:creationId xmlns:a16="http://schemas.microsoft.com/office/drawing/2014/main" id="{519EF26F-976D-4F2D-B355-C7277E9CEE9C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2137" name="Freeform 10695">
          <a:extLst>
            <a:ext uri="{FF2B5EF4-FFF2-40B4-BE49-F238E27FC236}">
              <a16:creationId xmlns:a16="http://schemas.microsoft.com/office/drawing/2014/main" id="{5FF0C423-5483-456B-A635-8DA78BF08C9D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2138" name="0/0">
          <a:extLst>
            <a:ext uri="{FF2B5EF4-FFF2-40B4-BE49-F238E27FC236}">
              <a16:creationId xmlns:a16="http://schemas.microsoft.com/office/drawing/2014/main" id="{FA30D2E6-E642-426C-857C-DAAFE45DF07E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2139" name="Freeform 10695">
          <a:extLst>
            <a:ext uri="{FF2B5EF4-FFF2-40B4-BE49-F238E27FC236}">
              <a16:creationId xmlns:a16="http://schemas.microsoft.com/office/drawing/2014/main" id="{EFBBC1BE-9B63-4D12-966B-AB40856EC3D4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2140" name="0/0">
          <a:extLst>
            <a:ext uri="{FF2B5EF4-FFF2-40B4-BE49-F238E27FC236}">
              <a16:creationId xmlns:a16="http://schemas.microsoft.com/office/drawing/2014/main" id="{C081D118-3D3E-48D2-91B1-82974673C901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2141" name="Freeform 10695">
          <a:extLst>
            <a:ext uri="{FF2B5EF4-FFF2-40B4-BE49-F238E27FC236}">
              <a16:creationId xmlns:a16="http://schemas.microsoft.com/office/drawing/2014/main" id="{BA57B426-6535-45AA-B5BF-80DCF1BC254C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2142" name="0/0">
          <a:extLst>
            <a:ext uri="{FF2B5EF4-FFF2-40B4-BE49-F238E27FC236}">
              <a16:creationId xmlns:a16="http://schemas.microsoft.com/office/drawing/2014/main" id="{D3E7C1F2-FB66-4ED9-B532-598B1F4DC3B0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2143" name="Freeform 10695">
          <a:extLst>
            <a:ext uri="{FF2B5EF4-FFF2-40B4-BE49-F238E27FC236}">
              <a16:creationId xmlns:a16="http://schemas.microsoft.com/office/drawing/2014/main" id="{5B2598F7-DCA3-4C59-A598-C5D2E4376571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2144" name="0/0">
          <a:extLst>
            <a:ext uri="{FF2B5EF4-FFF2-40B4-BE49-F238E27FC236}">
              <a16:creationId xmlns:a16="http://schemas.microsoft.com/office/drawing/2014/main" id="{7FD0FDAB-70E4-40CA-AE52-179E9EF19908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2145" name="Freeform 10695">
          <a:extLst>
            <a:ext uri="{FF2B5EF4-FFF2-40B4-BE49-F238E27FC236}">
              <a16:creationId xmlns:a16="http://schemas.microsoft.com/office/drawing/2014/main" id="{46E8780F-611D-4DAF-AC7C-FBB07E6D3F79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2146" name="0/0">
          <a:extLst>
            <a:ext uri="{FF2B5EF4-FFF2-40B4-BE49-F238E27FC236}">
              <a16:creationId xmlns:a16="http://schemas.microsoft.com/office/drawing/2014/main" id="{80761214-436A-4767-9CAA-73F179EBD1EC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2147" name="Freeform 10695">
          <a:extLst>
            <a:ext uri="{FF2B5EF4-FFF2-40B4-BE49-F238E27FC236}">
              <a16:creationId xmlns:a16="http://schemas.microsoft.com/office/drawing/2014/main" id="{4076F3C4-2ABE-4CA2-A6E3-28D339946D39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2148" name="0/0">
          <a:extLst>
            <a:ext uri="{FF2B5EF4-FFF2-40B4-BE49-F238E27FC236}">
              <a16:creationId xmlns:a16="http://schemas.microsoft.com/office/drawing/2014/main" id="{D2280D23-1728-43F1-8547-EA85BBDDA817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2149" name="Freeform 10695">
          <a:extLst>
            <a:ext uri="{FF2B5EF4-FFF2-40B4-BE49-F238E27FC236}">
              <a16:creationId xmlns:a16="http://schemas.microsoft.com/office/drawing/2014/main" id="{1143BCCD-A242-43FB-824C-9434FDF49B0E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2150" name="0/0">
          <a:extLst>
            <a:ext uri="{FF2B5EF4-FFF2-40B4-BE49-F238E27FC236}">
              <a16:creationId xmlns:a16="http://schemas.microsoft.com/office/drawing/2014/main" id="{CCAA4DD9-FA4F-4F37-AA8F-BE6247CDE24A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2151" name="Freeform 10695">
          <a:extLst>
            <a:ext uri="{FF2B5EF4-FFF2-40B4-BE49-F238E27FC236}">
              <a16:creationId xmlns:a16="http://schemas.microsoft.com/office/drawing/2014/main" id="{8A7AE7B8-FC6E-4655-B895-7DC42EFEFDB1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2152" name="0/0">
          <a:extLst>
            <a:ext uri="{FF2B5EF4-FFF2-40B4-BE49-F238E27FC236}">
              <a16:creationId xmlns:a16="http://schemas.microsoft.com/office/drawing/2014/main" id="{C8E6009C-9040-4138-AF2C-092D375C13ED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2153" name="Freeform 10695">
          <a:extLst>
            <a:ext uri="{FF2B5EF4-FFF2-40B4-BE49-F238E27FC236}">
              <a16:creationId xmlns:a16="http://schemas.microsoft.com/office/drawing/2014/main" id="{97CE8740-5AAD-41B8-8D77-3639340814FA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154" name="0/0">
          <a:extLst>
            <a:ext uri="{FF2B5EF4-FFF2-40B4-BE49-F238E27FC236}">
              <a16:creationId xmlns:a16="http://schemas.microsoft.com/office/drawing/2014/main" id="{A000BD08-2BD6-4AEA-887D-DC6EA3DEF6AA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155" name="Freeform 10695">
          <a:extLst>
            <a:ext uri="{FF2B5EF4-FFF2-40B4-BE49-F238E27FC236}">
              <a16:creationId xmlns:a16="http://schemas.microsoft.com/office/drawing/2014/main" id="{BDF220D8-6247-49BC-B4EC-0CEB4665D354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156" name="0/0">
          <a:extLst>
            <a:ext uri="{FF2B5EF4-FFF2-40B4-BE49-F238E27FC236}">
              <a16:creationId xmlns:a16="http://schemas.microsoft.com/office/drawing/2014/main" id="{714EF648-1080-43CA-8D45-92E6833FFE1F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157" name="Freeform 10695">
          <a:extLst>
            <a:ext uri="{FF2B5EF4-FFF2-40B4-BE49-F238E27FC236}">
              <a16:creationId xmlns:a16="http://schemas.microsoft.com/office/drawing/2014/main" id="{8BB6068A-35CD-4346-93C9-4B8B9E9C5D6A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158" name="0/0">
          <a:extLst>
            <a:ext uri="{FF2B5EF4-FFF2-40B4-BE49-F238E27FC236}">
              <a16:creationId xmlns:a16="http://schemas.microsoft.com/office/drawing/2014/main" id="{1A3FFAF6-399B-4A7B-9064-C324F52231EB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159" name="Freeform 10695">
          <a:extLst>
            <a:ext uri="{FF2B5EF4-FFF2-40B4-BE49-F238E27FC236}">
              <a16:creationId xmlns:a16="http://schemas.microsoft.com/office/drawing/2014/main" id="{B35007C4-A925-44C0-9DBA-346B7CAC0398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160" name="0/0">
          <a:extLst>
            <a:ext uri="{FF2B5EF4-FFF2-40B4-BE49-F238E27FC236}">
              <a16:creationId xmlns:a16="http://schemas.microsoft.com/office/drawing/2014/main" id="{DCBAC214-52F9-43F0-941B-A047555EBD2A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161" name="Freeform 10695">
          <a:extLst>
            <a:ext uri="{FF2B5EF4-FFF2-40B4-BE49-F238E27FC236}">
              <a16:creationId xmlns:a16="http://schemas.microsoft.com/office/drawing/2014/main" id="{0AC89AE7-21B1-47D4-9253-9CC7671A87DF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162" name="0/0">
          <a:extLst>
            <a:ext uri="{FF2B5EF4-FFF2-40B4-BE49-F238E27FC236}">
              <a16:creationId xmlns:a16="http://schemas.microsoft.com/office/drawing/2014/main" id="{79A90D21-528A-41C4-92DA-F52681ADFB49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163" name="Freeform 10695">
          <a:extLst>
            <a:ext uri="{FF2B5EF4-FFF2-40B4-BE49-F238E27FC236}">
              <a16:creationId xmlns:a16="http://schemas.microsoft.com/office/drawing/2014/main" id="{61B750D3-6936-4308-85CB-664A5D67C2D3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64" name="0/0">
          <a:extLst>
            <a:ext uri="{FF2B5EF4-FFF2-40B4-BE49-F238E27FC236}">
              <a16:creationId xmlns:a16="http://schemas.microsoft.com/office/drawing/2014/main" id="{62A40F18-C825-479A-A555-1007012FC8B1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65" name="Freeform 10695">
          <a:extLst>
            <a:ext uri="{FF2B5EF4-FFF2-40B4-BE49-F238E27FC236}">
              <a16:creationId xmlns:a16="http://schemas.microsoft.com/office/drawing/2014/main" id="{15553926-CB41-47F6-8295-05B5759EAFFA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66" name="0/0">
          <a:extLst>
            <a:ext uri="{FF2B5EF4-FFF2-40B4-BE49-F238E27FC236}">
              <a16:creationId xmlns:a16="http://schemas.microsoft.com/office/drawing/2014/main" id="{E8A4033D-F5B1-4618-AA84-E5285FF29152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67" name="Freeform 10695">
          <a:extLst>
            <a:ext uri="{FF2B5EF4-FFF2-40B4-BE49-F238E27FC236}">
              <a16:creationId xmlns:a16="http://schemas.microsoft.com/office/drawing/2014/main" id="{57EF7B93-061D-420D-B8EA-D6F5C084A011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68" name="0/0">
          <a:extLst>
            <a:ext uri="{FF2B5EF4-FFF2-40B4-BE49-F238E27FC236}">
              <a16:creationId xmlns:a16="http://schemas.microsoft.com/office/drawing/2014/main" id="{644D67B8-75E2-49E4-9B69-990B007BCE41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69" name="Freeform 10695">
          <a:extLst>
            <a:ext uri="{FF2B5EF4-FFF2-40B4-BE49-F238E27FC236}">
              <a16:creationId xmlns:a16="http://schemas.microsoft.com/office/drawing/2014/main" id="{20864B70-922C-4EA3-B84D-70F5025A703C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70" name="0/0">
          <a:extLst>
            <a:ext uri="{FF2B5EF4-FFF2-40B4-BE49-F238E27FC236}">
              <a16:creationId xmlns:a16="http://schemas.microsoft.com/office/drawing/2014/main" id="{45A4A84F-7CC4-4750-ADB6-19B33C34042D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1" name="Freeform 10695">
          <a:extLst>
            <a:ext uri="{FF2B5EF4-FFF2-40B4-BE49-F238E27FC236}">
              <a16:creationId xmlns:a16="http://schemas.microsoft.com/office/drawing/2014/main" id="{E65252D4-02C2-4E1A-9AB1-937CE0B28619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72" name="0/0">
          <a:extLst>
            <a:ext uri="{FF2B5EF4-FFF2-40B4-BE49-F238E27FC236}">
              <a16:creationId xmlns:a16="http://schemas.microsoft.com/office/drawing/2014/main" id="{57072B9B-0FF5-42A7-8E76-AFA4E57D96FD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73" name="Freeform 10695">
          <a:extLst>
            <a:ext uri="{FF2B5EF4-FFF2-40B4-BE49-F238E27FC236}">
              <a16:creationId xmlns:a16="http://schemas.microsoft.com/office/drawing/2014/main" id="{E8729ABA-27D5-4A77-BAFF-3A64CE96BBBD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174" name="0/0">
          <a:extLst>
            <a:ext uri="{FF2B5EF4-FFF2-40B4-BE49-F238E27FC236}">
              <a16:creationId xmlns:a16="http://schemas.microsoft.com/office/drawing/2014/main" id="{0C846380-E1FA-4B6F-B4F2-DAA4D8E871B9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175" name="Freeform 10695">
          <a:extLst>
            <a:ext uri="{FF2B5EF4-FFF2-40B4-BE49-F238E27FC236}">
              <a16:creationId xmlns:a16="http://schemas.microsoft.com/office/drawing/2014/main" id="{198676B1-C419-4297-9EE6-04E985F65241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76" name="0/0">
          <a:extLst>
            <a:ext uri="{FF2B5EF4-FFF2-40B4-BE49-F238E27FC236}">
              <a16:creationId xmlns:a16="http://schemas.microsoft.com/office/drawing/2014/main" id="{EC8F9852-6D84-4294-9B3F-B996699AD6FD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177" name="Freeform 10695">
          <a:extLst>
            <a:ext uri="{FF2B5EF4-FFF2-40B4-BE49-F238E27FC236}">
              <a16:creationId xmlns:a16="http://schemas.microsoft.com/office/drawing/2014/main" id="{2E5301E0-06F8-4B82-A950-06023FCAF505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178" name="0/0">
          <a:extLst>
            <a:ext uri="{FF2B5EF4-FFF2-40B4-BE49-F238E27FC236}">
              <a16:creationId xmlns:a16="http://schemas.microsoft.com/office/drawing/2014/main" id="{262D6721-B639-46E3-8CF1-DAF9F8499082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179" name="Freeform 10695">
          <a:extLst>
            <a:ext uri="{FF2B5EF4-FFF2-40B4-BE49-F238E27FC236}">
              <a16:creationId xmlns:a16="http://schemas.microsoft.com/office/drawing/2014/main" id="{7D43DF8D-EBC5-4F63-B01A-39CC2DA43430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180" name="0/0">
          <a:extLst>
            <a:ext uri="{FF2B5EF4-FFF2-40B4-BE49-F238E27FC236}">
              <a16:creationId xmlns:a16="http://schemas.microsoft.com/office/drawing/2014/main" id="{D11FC3C0-2FCD-49BB-9B0C-2CD2221E0285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181" name="Freeform 10695">
          <a:extLst>
            <a:ext uri="{FF2B5EF4-FFF2-40B4-BE49-F238E27FC236}">
              <a16:creationId xmlns:a16="http://schemas.microsoft.com/office/drawing/2014/main" id="{C125FF86-FFBF-463B-9747-09D350EF6378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82" name="0/0">
          <a:extLst>
            <a:ext uri="{FF2B5EF4-FFF2-40B4-BE49-F238E27FC236}">
              <a16:creationId xmlns:a16="http://schemas.microsoft.com/office/drawing/2014/main" id="{48DE6E1F-F27E-4755-A475-7B9D0117C399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183" name="Freeform 10695">
          <a:extLst>
            <a:ext uri="{FF2B5EF4-FFF2-40B4-BE49-F238E27FC236}">
              <a16:creationId xmlns:a16="http://schemas.microsoft.com/office/drawing/2014/main" id="{44773773-84EE-4DB4-8665-9DEF4B23F96C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84" name="0/0">
          <a:extLst>
            <a:ext uri="{FF2B5EF4-FFF2-40B4-BE49-F238E27FC236}">
              <a16:creationId xmlns:a16="http://schemas.microsoft.com/office/drawing/2014/main" id="{28BA95B9-5726-4842-81CC-0DCE1C793B0D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185" name="Freeform 10695">
          <a:extLst>
            <a:ext uri="{FF2B5EF4-FFF2-40B4-BE49-F238E27FC236}">
              <a16:creationId xmlns:a16="http://schemas.microsoft.com/office/drawing/2014/main" id="{986568DA-D42C-456F-A1FA-D7188DCDD7AC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86" name="0/0">
          <a:extLst>
            <a:ext uri="{FF2B5EF4-FFF2-40B4-BE49-F238E27FC236}">
              <a16:creationId xmlns:a16="http://schemas.microsoft.com/office/drawing/2014/main" id="{F7DE4889-B911-42D0-B638-8B4C1C85FF5A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187" name="Freeform 10695">
          <a:extLst>
            <a:ext uri="{FF2B5EF4-FFF2-40B4-BE49-F238E27FC236}">
              <a16:creationId xmlns:a16="http://schemas.microsoft.com/office/drawing/2014/main" id="{E287B8D4-8D70-44D6-BCA8-9308D4D9269D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188" name="0/0">
          <a:extLst>
            <a:ext uri="{FF2B5EF4-FFF2-40B4-BE49-F238E27FC236}">
              <a16:creationId xmlns:a16="http://schemas.microsoft.com/office/drawing/2014/main" id="{508DFB2B-C65B-439B-94E0-EBEF723686DC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189" name="Freeform 10695">
          <a:extLst>
            <a:ext uri="{FF2B5EF4-FFF2-40B4-BE49-F238E27FC236}">
              <a16:creationId xmlns:a16="http://schemas.microsoft.com/office/drawing/2014/main" id="{358802F1-0052-42B6-ACF9-6E5451938775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190" name="0/0">
          <a:extLst>
            <a:ext uri="{FF2B5EF4-FFF2-40B4-BE49-F238E27FC236}">
              <a16:creationId xmlns:a16="http://schemas.microsoft.com/office/drawing/2014/main" id="{9E40BD33-CEDE-41D3-B494-C04FA0CCC6A1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191" name="Freeform 10695">
          <a:extLst>
            <a:ext uri="{FF2B5EF4-FFF2-40B4-BE49-F238E27FC236}">
              <a16:creationId xmlns:a16="http://schemas.microsoft.com/office/drawing/2014/main" id="{3AA4B016-C6A3-418D-86B4-70120B8CF45A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192" name="0/0">
          <a:extLst>
            <a:ext uri="{FF2B5EF4-FFF2-40B4-BE49-F238E27FC236}">
              <a16:creationId xmlns:a16="http://schemas.microsoft.com/office/drawing/2014/main" id="{53390A22-5328-4A5D-8A83-992DD889CC70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193" name="Freeform 10695">
          <a:extLst>
            <a:ext uri="{FF2B5EF4-FFF2-40B4-BE49-F238E27FC236}">
              <a16:creationId xmlns:a16="http://schemas.microsoft.com/office/drawing/2014/main" id="{BA7B6EA0-66B1-412B-B3AE-927E9D49EF51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194" name="0/0">
          <a:extLst>
            <a:ext uri="{FF2B5EF4-FFF2-40B4-BE49-F238E27FC236}">
              <a16:creationId xmlns:a16="http://schemas.microsoft.com/office/drawing/2014/main" id="{EA99E6B2-AE37-4730-ACCC-6C0CAE792AB3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195" name="Freeform 10695">
          <a:extLst>
            <a:ext uri="{FF2B5EF4-FFF2-40B4-BE49-F238E27FC236}">
              <a16:creationId xmlns:a16="http://schemas.microsoft.com/office/drawing/2014/main" id="{200C6EFF-CABF-4C2D-BBBF-DB0A2151D6DE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196" name="0/0">
          <a:extLst>
            <a:ext uri="{FF2B5EF4-FFF2-40B4-BE49-F238E27FC236}">
              <a16:creationId xmlns:a16="http://schemas.microsoft.com/office/drawing/2014/main" id="{1E321B64-E792-401E-997C-DD3FEF0C6B4F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197" name="Freeform 10695">
          <a:extLst>
            <a:ext uri="{FF2B5EF4-FFF2-40B4-BE49-F238E27FC236}">
              <a16:creationId xmlns:a16="http://schemas.microsoft.com/office/drawing/2014/main" id="{DEA327A4-3F7D-4EEC-9322-A7E2C2A67EAE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198" name="0/0">
          <a:extLst>
            <a:ext uri="{FF2B5EF4-FFF2-40B4-BE49-F238E27FC236}">
              <a16:creationId xmlns:a16="http://schemas.microsoft.com/office/drawing/2014/main" id="{17494219-6A31-458D-8106-A8D2C168A83E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199" name="Freeform 10695">
          <a:extLst>
            <a:ext uri="{FF2B5EF4-FFF2-40B4-BE49-F238E27FC236}">
              <a16:creationId xmlns:a16="http://schemas.microsoft.com/office/drawing/2014/main" id="{734243EF-9B45-476E-960C-136AC1F23094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200" name="0/0">
          <a:extLst>
            <a:ext uri="{FF2B5EF4-FFF2-40B4-BE49-F238E27FC236}">
              <a16:creationId xmlns:a16="http://schemas.microsoft.com/office/drawing/2014/main" id="{AE3BB542-BF2E-4243-9D6F-5164C944ED58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201" name="Freeform 10695">
          <a:extLst>
            <a:ext uri="{FF2B5EF4-FFF2-40B4-BE49-F238E27FC236}">
              <a16:creationId xmlns:a16="http://schemas.microsoft.com/office/drawing/2014/main" id="{0F73010B-2E1D-418E-AACE-151AB22804BD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202" name="0/0">
          <a:extLst>
            <a:ext uri="{FF2B5EF4-FFF2-40B4-BE49-F238E27FC236}">
              <a16:creationId xmlns:a16="http://schemas.microsoft.com/office/drawing/2014/main" id="{D9DE0DC4-19E9-46C3-9AD1-46AC7E0D7939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203" name="Freeform 10695">
          <a:extLst>
            <a:ext uri="{FF2B5EF4-FFF2-40B4-BE49-F238E27FC236}">
              <a16:creationId xmlns:a16="http://schemas.microsoft.com/office/drawing/2014/main" id="{EBB2656D-722E-48E6-9817-E50CB9D65F9C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204" name="0/0">
          <a:extLst>
            <a:ext uri="{FF2B5EF4-FFF2-40B4-BE49-F238E27FC236}">
              <a16:creationId xmlns:a16="http://schemas.microsoft.com/office/drawing/2014/main" id="{58C5CB67-2AAA-4F1D-A73E-221FFBE5396B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205" name="Freeform 10695">
          <a:extLst>
            <a:ext uri="{FF2B5EF4-FFF2-40B4-BE49-F238E27FC236}">
              <a16:creationId xmlns:a16="http://schemas.microsoft.com/office/drawing/2014/main" id="{B679D998-4228-4F97-9E09-CB342AF4F6B8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206" name="0/0">
          <a:extLst>
            <a:ext uri="{FF2B5EF4-FFF2-40B4-BE49-F238E27FC236}">
              <a16:creationId xmlns:a16="http://schemas.microsoft.com/office/drawing/2014/main" id="{0A9E0F66-FC02-4D7A-B364-37D9D9A27469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207" name="Freeform 10695">
          <a:extLst>
            <a:ext uri="{FF2B5EF4-FFF2-40B4-BE49-F238E27FC236}">
              <a16:creationId xmlns:a16="http://schemas.microsoft.com/office/drawing/2014/main" id="{90750E6E-1B9E-42F9-AF7E-229F7F16EF0A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208" name="0/0">
          <a:extLst>
            <a:ext uri="{FF2B5EF4-FFF2-40B4-BE49-F238E27FC236}">
              <a16:creationId xmlns:a16="http://schemas.microsoft.com/office/drawing/2014/main" id="{9C53A6B2-1AF2-4F03-B202-6C563D9EB8C7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209" name="Freeform 10695">
          <a:extLst>
            <a:ext uri="{FF2B5EF4-FFF2-40B4-BE49-F238E27FC236}">
              <a16:creationId xmlns:a16="http://schemas.microsoft.com/office/drawing/2014/main" id="{563B2BC1-A3F8-4E54-876A-44B19E92A7D5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210" name="0/0">
          <a:extLst>
            <a:ext uri="{FF2B5EF4-FFF2-40B4-BE49-F238E27FC236}">
              <a16:creationId xmlns:a16="http://schemas.microsoft.com/office/drawing/2014/main" id="{0DA72C39-4E89-4A52-8B0E-8128A8F5E670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211" name="Freeform 10695">
          <a:extLst>
            <a:ext uri="{FF2B5EF4-FFF2-40B4-BE49-F238E27FC236}">
              <a16:creationId xmlns:a16="http://schemas.microsoft.com/office/drawing/2014/main" id="{528226BA-222E-4123-B568-283BF7326DF5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212" name="0/0">
          <a:extLst>
            <a:ext uri="{FF2B5EF4-FFF2-40B4-BE49-F238E27FC236}">
              <a16:creationId xmlns:a16="http://schemas.microsoft.com/office/drawing/2014/main" id="{1B841C7E-DF5D-4983-A827-990F10973698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213" name="Freeform 10695">
          <a:extLst>
            <a:ext uri="{FF2B5EF4-FFF2-40B4-BE49-F238E27FC236}">
              <a16:creationId xmlns:a16="http://schemas.microsoft.com/office/drawing/2014/main" id="{93A7A0D5-C205-48BD-9C08-8DC648E12F1A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214" name="0/0">
          <a:extLst>
            <a:ext uri="{FF2B5EF4-FFF2-40B4-BE49-F238E27FC236}">
              <a16:creationId xmlns:a16="http://schemas.microsoft.com/office/drawing/2014/main" id="{4B401634-9A81-4A12-916A-0B546338E445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215" name="Freeform 10695">
          <a:extLst>
            <a:ext uri="{FF2B5EF4-FFF2-40B4-BE49-F238E27FC236}">
              <a16:creationId xmlns:a16="http://schemas.microsoft.com/office/drawing/2014/main" id="{4E23959F-7D6B-48E2-91EF-355973946CFF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216" name="0/0">
          <a:extLst>
            <a:ext uri="{FF2B5EF4-FFF2-40B4-BE49-F238E27FC236}">
              <a16:creationId xmlns:a16="http://schemas.microsoft.com/office/drawing/2014/main" id="{49BA352E-3D06-46B9-84C9-0F7762435587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217" name="Freeform 10695">
          <a:extLst>
            <a:ext uri="{FF2B5EF4-FFF2-40B4-BE49-F238E27FC236}">
              <a16:creationId xmlns:a16="http://schemas.microsoft.com/office/drawing/2014/main" id="{AD202883-3AAC-4B9C-A775-44E7A3198AF4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218" name="0/0">
          <a:extLst>
            <a:ext uri="{FF2B5EF4-FFF2-40B4-BE49-F238E27FC236}">
              <a16:creationId xmlns:a16="http://schemas.microsoft.com/office/drawing/2014/main" id="{EF781863-B48A-4353-BA5C-F8E161B84105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219" name="Freeform 10695">
          <a:extLst>
            <a:ext uri="{FF2B5EF4-FFF2-40B4-BE49-F238E27FC236}">
              <a16:creationId xmlns:a16="http://schemas.microsoft.com/office/drawing/2014/main" id="{97E88C3A-81C3-46C2-9B3B-F12C9F2C23E6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220" name="0/0">
          <a:extLst>
            <a:ext uri="{FF2B5EF4-FFF2-40B4-BE49-F238E27FC236}">
              <a16:creationId xmlns:a16="http://schemas.microsoft.com/office/drawing/2014/main" id="{338FF4CA-24C5-40AC-9550-A2FAB233408A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221" name="Freeform 10695">
          <a:extLst>
            <a:ext uri="{FF2B5EF4-FFF2-40B4-BE49-F238E27FC236}">
              <a16:creationId xmlns:a16="http://schemas.microsoft.com/office/drawing/2014/main" id="{9DC3D534-109F-4D37-9CDC-57EFA67F414C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222" name="0/0">
          <a:extLst>
            <a:ext uri="{FF2B5EF4-FFF2-40B4-BE49-F238E27FC236}">
              <a16:creationId xmlns:a16="http://schemas.microsoft.com/office/drawing/2014/main" id="{A9383331-CEC5-44D8-A636-DF0FFA400C3D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223" name="Freeform 10695">
          <a:extLst>
            <a:ext uri="{FF2B5EF4-FFF2-40B4-BE49-F238E27FC236}">
              <a16:creationId xmlns:a16="http://schemas.microsoft.com/office/drawing/2014/main" id="{CFA9023C-6BB7-4C06-A715-0C0749257D66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224" name="0/0">
          <a:extLst>
            <a:ext uri="{FF2B5EF4-FFF2-40B4-BE49-F238E27FC236}">
              <a16:creationId xmlns:a16="http://schemas.microsoft.com/office/drawing/2014/main" id="{A12973B2-C713-430C-A86E-7A3602042CFE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225" name="Freeform 10695">
          <a:extLst>
            <a:ext uri="{FF2B5EF4-FFF2-40B4-BE49-F238E27FC236}">
              <a16:creationId xmlns:a16="http://schemas.microsoft.com/office/drawing/2014/main" id="{521AF07C-0099-48B2-9AFA-F952281EB06B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226" name="0/0">
          <a:extLst>
            <a:ext uri="{FF2B5EF4-FFF2-40B4-BE49-F238E27FC236}">
              <a16:creationId xmlns:a16="http://schemas.microsoft.com/office/drawing/2014/main" id="{3DD843E4-8261-4528-A195-FB78BAE93B2A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227" name="Freeform 10695">
          <a:extLst>
            <a:ext uri="{FF2B5EF4-FFF2-40B4-BE49-F238E27FC236}">
              <a16:creationId xmlns:a16="http://schemas.microsoft.com/office/drawing/2014/main" id="{DDA8C775-BEEA-4B04-B2BC-30D35F0534D5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228" name="0/0">
          <a:extLst>
            <a:ext uri="{FF2B5EF4-FFF2-40B4-BE49-F238E27FC236}">
              <a16:creationId xmlns:a16="http://schemas.microsoft.com/office/drawing/2014/main" id="{DAC33CDC-07B3-4468-828A-66EC4123273A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229" name="Freeform 10695">
          <a:extLst>
            <a:ext uri="{FF2B5EF4-FFF2-40B4-BE49-F238E27FC236}">
              <a16:creationId xmlns:a16="http://schemas.microsoft.com/office/drawing/2014/main" id="{FDFD363E-F790-46E3-9D0B-CEA3A264ED8D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230" name="0/0">
          <a:extLst>
            <a:ext uri="{FF2B5EF4-FFF2-40B4-BE49-F238E27FC236}">
              <a16:creationId xmlns:a16="http://schemas.microsoft.com/office/drawing/2014/main" id="{CE1D3FB9-9E6F-48C7-B9DF-5EFC09B6411B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231" name="Freeform 10695">
          <a:extLst>
            <a:ext uri="{FF2B5EF4-FFF2-40B4-BE49-F238E27FC236}">
              <a16:creationId xmlns:a16="http://schemas.microsoft.com/office/drawing/2014/main" id="{44D66BB8-4711-46C1-A4F9-B1684D17C850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232" name="0/0">
          <a:extLst>
            <a:ext uri="{FF2B5EF4-FFF2-40B4-BE49-F238E27FC236}">
              <a16:creationId xmlns:a16="http://schemas.microsoft.com/office/drawing/2014/main" id="{E168382D-D83C-45C8-B048-F293854BE224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233" name="Freeform 10695">
          <a:extLst>
            <a:ext uri="{FF2B5EF4-FFF2-40B4-BE49-F238E27FC236}">
              <a16:creationId xmlns:a16="http://schemas.microsoft.com/office/drawing/2014/main" id="{2DF544D0-0304-4179-B0F5-1984492B7247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234" name="0/0">
          <a:extLst>
            <a:ext uri="{FF2B5EF4-FFF2-40B4-BE49-F238E27FC236}">
              <a16:creationId xmlns:a16="http://schemas.microsoft.com/office/drawing/2014/main" id="{CB3642C9-8E5B-44E1-A3AE-B3847EE4F909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235" name="Freeform 10695">
          <a:extLst>
            <a:ext uri="{FF2B5EF4-FFF2-40B4-BE49-F238E27FC236}">
              <a16:creationId xmlns:a16="http://schemas.microsoft.com/office/drawing/2014/main" id="{F92052C0-0FBC-452D-8B4D-820FA9590269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236" name="0/0">
          <a:extLst>
            <a:ext uri="{FF2B5EF4-FFF2-40B4-BE49-F238E27FC236}">
              <a16:creationId xmlns:a16="http://schemas.microsoft.com/office/drawing/2014/main" id="{FC53E25C-534A-4045-BDA1-BDDCCF7D00B4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237" name="Freeform 10695">
          <a:extLst>
            <a:ext uri="{FF2B5EF4-FFF2-40B4-BE49-F238E27FC236}">
              <a16:creationId xmlns:a16="http://schemas.microsoft.com/office/drawing/2014/main" id="{6A79DD0D-BA6D-4318-B27F-6737F7DE317C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238" name="0/0">
          <a:extLst>
            <a:ext uri="{FF2B5EF4-FFF2-40B4-BE49-F238E27FC236}">
              <a16:creationId xmlns:a16="http://schemas.microsoft.com/office/drawing/2014/main" id="{B9B63694-6761-4266-BECD-D427069A963A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239" name="Freeform 10695">
          <a:extLst>
            <a:ext uri="{FF2B5EF4-FFF2-40B4-BE49-F238E27FC236}">
              <a16:creationId xmlns:a16="http://schemas.microsoft.com/office/drawing/2014/main" id="{1C2D371C-A52F-4696-874F-B855A77AB4D0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240" name="0/0">
          <a:extLst>
            <a:ext uri="{FF2B5EF4-FFF2-40B4-BE49-F238E27FC236}">
              <a16:creationId xmlns:a16="http://schemas.microsoft.com/office/drawing/2014/main" id="{201661A5-2684-4DA0-A522-59A78BCD6B3A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241" name="Freeform 10695">
          <a:extLst>
            <a:ext uri="{FF2B5EF4-FFF2-40B4-BE49-F238E27FC236}">
              <a16:creationId xmlns:a16="http://schemas.microsoft.com/office/drawing/2014/main" id="{C545BAAA-CE5A-4D61-B0C7-60D9621BC27B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242" name="0/0">
          <a:extLst>
            <a:ext uri="{FF2B5EF4-FFF2-40B4-BE49-F238E27FC236}">
              <a16:creationId xmlns:a16="http://schemas.microsoft.com/office/drawing/2014/main" id="{B3E5D6C7-AFF0-475E-A6C6-7CDFE998022A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243" name="Freeform 10695">
          <a:extLst>
            <a:ext uri="{FF2B5EF4-FFF2-40B4-BE49-F238E27FC236}">
              <a16:creationId xmlns:a16="http://schemas.microsoft.com/office/drawing/2014/main" id="{F89D1CAF-F3C4-43DD-9092-AB751FA46101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244" name="0/0">
          <a:extLst>
            <a:ext uri="{FF2B5EF4-FFF2-40B4-BE49-F238E27FC236}">
              <a16:creationId xmlns:a16="http://schemas.microsoft.com/office/drawing/2014/main" id="{DA308C2D-43F2-451E-BD13-6436631C639B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245" name="Freeform 10695">
          <a:extLst>
            <a:ext uri="{FF2B5EF4-FFF2-40B4-BE49-F238E27FC236}">
              <a16:creationId xmlns:a16="http://schemas.microsoft.com/office/drawing/2014/main" id="{749201D4-A62A-449D-8319-404C5F03AE97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246" name="0/0">
          <a:extLst>
            <a:ext uri="{FF2B5EF4-FFF2-40B4-BE49-F238E27FC236}">
              <a16:creationId xmlns:a16="http://schemas.microsoft.com/office/drawing/2014/main" id="{8E96E648-1298-4FB4-AEF3-BD51C35C4763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247" name="Freeform 10695">
          <a:extLst>
            <a:ext uri="{FF2B5EF4-FFF2-40B4-BE49-F238E27FC236}">
              <a16:creationId xmlns:a16="http://schemas.microsoft.com/office/drawing/2014/main" id="{F48ED298-AF3F-4630-9678-EE2AFBA2562A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248" name="0/0">
          <a:extLst>
            <a:ext uri="{FF2B5EF4-FFF2-40B4-BE49-F238E27FC236}">
              <a16:creationId xmlns:a16="http://schemas.microsoft.com/office/drawing/2014/main" id="{263FDD13-B2E8-4F77-B8C8-228C3C15240E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249" name="Freeform 10695">
          <a:extLst>
            <a:ext uri="{FF2B5EF4-FFF2-40B4-BE49-F238E27FC236}">
              <a16:creationId xmlns:a16="http://schemas.microsoft.com/office/drawing/2014/main" id="{D657E302-D586-46C3-83C1-574CDFF961F7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250" name="0/0">
          <a:extLst>
            <a:ext uri="{FF2B5EF4-FFF2-40B4-BE49-F238E27FC236}">
              <a16:creationId xmlns:a16="http://schemas.microsoft.com/office/drawing/2014/main" id="{D7D6BFC8-10AC-486D-8932-3C374B333B6B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251" name="Freeform 10695">
          <a:extLst>
            <a:ext uri="{FF2B5EF4-FFF2-40B4-BE49-F238E27FC236}">
              <a16:creationId xmlns:a16="http://schemas.microsoft.com/office/drawing/2014/main" id="{C2BAFF6C-CC46-4819-BD5A-47C1C696FE74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252" name="0/0">
          <a:extLst>
            <a:ext uri="{FF2B5EF4-FFF2-40B4-BE49-F238E27FC236}">
              <a16:creationId xmlns:a16="http://schemas.microsoft.com/office/drawing/2014/main" id="{9950BA85-69BE-4FF2-A4DC-D72F3AE451D2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253" name="Freeform 10695">
          <a:extLst>
            <a:ext uri="{FF2B5EF4-FFF2-40B4-BE49-F238E27FC236}">
              <a16:creationId xmlns:a16="http://schemas.microsoft.com/office/drawing/2014/main" id="{A4DE013B-096B-490D-A8E5-C31BF68D129D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2254" name="0/0">
          <a:extLst>
            <a:ext uri="{FF2B5EF4-FFF2-40B4-BE49-F238E27FC236}">
              <a16:creationId xmlns:a16="http://schemas.microsoft.com/office/drawing/2014/main" id="{D655F7CE-DF03-4963-986E-EA14F236497E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2255" name="Freeform 10695">
          <a:extLst>
            <a:ext uri="{FF2B5EF4-FFF2-40B4-BE49-F238E27FC236}">
              <a16:creationId xmlns:a16="http://schemas.microsoft.com/office/drawing/2014/main" id="{583034DB-0CC8-4E09-9622-C4899145EF36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2256" name="0/0">
          <a:extLst>
            <a:ext uri="{FF2B5EF4-FFF2-40B4-BE49-F238E27FC236}">
              <a16:creationId xmlns:a16="http://schemas.microsoft.com/office/drawing/2014/main" id="{4E5B0F6A-6ABC-428C-A057-88A762F09061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2257" name="Freeform 10695">
          <a:extLst>
            <a:ext uri="{FF2B5EF4-FFF2-40B4-BE49-F238E27FC236}">
              <a16:creationId xmlns:a16="http://schemas.microsoft.com/office/drawing/2014/main" id="{150B4C54-5B00-425A-9A22-C07F8EAB6C43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2258" name="0/0">
          <a:extLst>
            <a:ext uri="{FF2B5EF4-FFF2-40B4-BE49-F238E27FC236}">
              <a16:creationId xmlns:a16="http://schemas.microsoft.com/office/drawing/2014/main" id="{31228D77-5657-4AE4-A5E5-6B816F82A8AD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2259" name="Freeform 10695">
          <a:extLst>
            <a:ext uri="{FF2B5EF4-FFF2-40B4-BE49-F238E27FC236}">
              <a16:creationId xmlns:a16="http://schemas.microsoft.com/office/drawing/2014/main" id="{92146704-BD79-42BA-A5C8-4E3F0E3B530E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2260" name="0/0">
          <a:extLst>
            <a:ext uri="{FF2B5EF4-FFF2-40B4-BE49-F238E27FC236}">
              <a16:creationId xmlns:a16="http://schemas.microsoft.com/office/drawing/2014/main" id="{0BB4F6C1-4781-4E78-A2D1-A43DEC6D7EE1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2261" name="Freeform 10695">
          <a:extLst>
            <a:ext uri="{FF2B5EF4-FFF2-40B4-BE49-F238E27FC236}">
              <a16:creationId xmlns:a16="http://schemas.microsoft.com/office/drawing/2014/main" id="{A444DB4F-3690-465F-844F-B99BA497CD2A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2262" name="0/0">
          <a:extLst>
            <a:ext uri="{FF2B5EF4-FFF2-40B4-BE49-F238E27FC236}">
              <a16:creationId xmlns:a16="http://schemas.microsoft.com/office/drawing/2014/main" id="{9EF7A9BD-772E-4908-923F-17377315978F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2263" name="Freeform 10695">
          <a:extLst>
            <a:ext uri="{FF2B5EF4-FFF2-40B4-BE49-F238E27FC236}">
              <a16:creationId xmlns:a16="http://schemas.microsoft.com/office/drawing/2014/main" id="{66B75DB3-4C98-4BA4-9BD1-AFB951AC3754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2264" name="0/0">
          <a:extLst>
            <a:ext uri="{FF2B5EF4-FFF2-40B4-BE49-F238E27FC236}">
              <a16:creationId xmlns:a16="http://schemas.microsoft.com/office/drawing/2014/main" id="{6F7EDC65-DA44-42A8-9685-0E1984A17D24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2265" name="Freeform 10695">
          <a:extLst>
            <a:ext uri="{FF2B5EF4-FFF2-40B4-BE49-F238E27FC236}">
              <a16:creationId xmlns:a16="http://schemas.microsoft.com/office/drawing/2014/main" id="{C385EB32-A2FB-43D1-9F45-28A053CEE9F1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2266" name="0/0">
          <a:extLst>
            <a:ext uri="{FF2B5EF4-FFF2-40B4-BE49-F238E27FC236}">
              <a16:creationId xmlns:a16="http://schemas.microsoft.com/office/drawing/2014/main" id="{6CE0E3BD-BC99-43E2-8F68-725A54C16935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2267" name="Freeform 10695">
          <a:extLst>
            <a:ext uri="{FF2B5EF4-FFF2-40B4-BE49-F238E27FC236}">
              <a16:creationId xmlns:a16="http://schemas.microsoft.com/office/drawing/2014/main" id="{C2D77133-FD30-4DDF-A748-4D2EEEB40279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2268" name="0/0">
          <a:extLst>
            <a:ext uri="{FF2B5EF4-FFF2-40B4-BE49-F238E27FC236}">
              <a16:creationId xmlns:a16="http://schemas.microsoft.com/office/drawing/2014/main" id="{C97A9779-C5CD-4EED-B342-8322FFC20C49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2269" name="Freeform 10695">
          <a:extLst>
            <a:ext uri="{FF2B5EF4-FFF2-40B4-BE49-F238E27FC236}">
              <a16:creationId xmlns:a16="http://schemas.microsoft.com/office/drawing/2014/main" id="{F65A4937-0AB3-481E-B0F4-E19C8DE63398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2270" name="0/0">
          <a:extLst>
            <a:ext uri="{FF2B5EF4-FFF2-40B4-BE49-F238E27FC236}">
              <a16:creationId xmlns:a16="http://schemas.microsoft.com/office/drawing/2014/main" id="{48FE8294-2597-4761-A33D-31DC2249D102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2271" name="Freeform 10695">
          <a:extLst>
            <a:ext uri="{FF2B5EF4-FFF2-40B4-BE49-F238E27FC236}">
              <a16:creationId xmlns:a16="http://schemas.microsoft.com/office/drawing/2014/main" id="{959CAE1C-9FE9-4763-ABB1-59A98780084B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2272" name="0/0">
          <a:extLst>
            <a:ext uri="{FF2B5EF4-FFF2-40B4-BE49-F238E27FC236}">
              <a16:creationId xmlns:a16="http://schemas.microsoft.com/office/drawing/2014/main" id="{E8A34A26-A58F-43E9-BCEA-6C3B61B0DE8B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2273" name="Freeform 10695">
          <a:extLst>
            <a:ext uri="{FF2B5EF4-FFF2-40B4-BE49-F238E27FC236}">
              <a16:creationId xmlns:a16="http://schemas.microsoft.com/office/drawing/2014/main" id="{6BD913FE-412F-475E-9EF1-A7ACEDA071D3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2274" name="0/0">
          <a:extLst>
            <a:ext uri="{FF2B5EF4-FFF2-40B4-BE49-F238E27FC236}">
              <a16:creationId xmlns:a16="http://schemas.microsoft.com/office/drawing/2014/main" id="{32247E74-B393-4A5C-B934-3D7E7855D45D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2275" name="Freeform 10695">
          <a:extLst>
            <a:ext uri="{FF2B5EF4-FFF2-40B4-BE49-F238E27FC236}">
              <a16:creationId xmlns:a16="http://schemas.microsoft.com/office/drawing/2014/main" id="{7CE82566-ECB2-493F-85D6-7A6F0CD61471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2276" name="0/0">
          <a:extLst>
            <a:ext uri="{FF2B5EF4-FFF2-40B4-BE49-F238E27FC236}">
              <a16:creationId xmlns:a16="http://schemas.microsoft.com/office/drawing/2014/main" id="{F66D7547-9112-4A93-8E68-D09CB105D7EC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2277" name="Freeform 10695">
          <a:extLst>
            <a:ext uri="{FF2B5EF4-FFF2-40B4-BE49-F238E27FC236}">
              <a16:creationId xmlns:a16="http://schemas.microsoft.com/office/drawing/2014/main" id="{7E7EC063-3FE3-46D3-AB1D-FCFC6C98C385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2278" name="0/0">
          <a:extLst>
            <a:ext uri="{FF2B5EF4-FFF2-40B4-BE49-F238E27FC236}">
              <a16:creationId xmlns:a16="http://schemas.microsoft.com/office/drawing/2014/main" id="{4F4B07D8-020B-460D-8D76-8BEE5D4B95B2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2279" name="Freeform 10695">
          <a:extLst>
            <a:ext uri="{FF2B5EF4-FFF2-40B4-BE49-F238E27FC236}">
              <a16:creationId xmlns:a16="http://schemas.microsoft.com/office/drawing/2014/main" id="{577DA0AF-AA33-4E57-94D9-9E09472DAC1C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2280" name="0/0">
          <a:extLst>
            <a:ext uri="{FF2B5EF4-FFF2-40B4-BE49-F238E27FC236}">
              <a16:creationId xmlns:a16="http://schemas.microsoft.com/office/drawing/2014/main" id="{CD429DFF-99A8-4615-994C-5B3CAD47B307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2281" name="Freeform 10695">
          <a:extLst>
            <a:ext uri="{FF2B5EF4-FFF2-40B4-BE49-F238E27FC236}">
              <a16:creationId xmlns:a16="http://schemas.microsoft.com/office/drawing/2014/main" id="{148DB779-B88A-4823-A1CC-E33DD6D33D88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2282" name="0/0">
          <a:extLst>
            <a:ext uri="{FF2B5EF4-FFF2-40B4-BE49-F238E27FC236}">
              <a16:creationId xmlns:a16="http://schemas.microsoft.com/office/drawing/2014/main" id="{B770B7A7-CBF8-4290-B15B-DE8344C23E4E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2283" name="0/0">
          <a:extLst>
            <a:ext uri="{FF2B5EF4-FFF2-40B4-BE49-F238E27FC236}">
              <a16:creationId xmlns:a16="http://schemas.microsoft.com/office/drawing/2014/main" id="{FD418D77-2C83-40D2-AEDB-2928A0448847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2284" name="Freeform 10695">
          <a:extLst>
            <a:ext uri="{FF2B5EF4-FFF2-40B4-BE49-F238E27FC236}">
              <a16:creationId xmlns:a16="http://schemas.microsoft.com/office/drawing/2014/main" id="{0B963646-C1D2-4CF4-8B1A-FCB212AE77C8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2285" name="0/0">
          <a:extLst>
            <a:ext uri="{FF2B5EF4-FFF2-40B4-BE49-F238E27FC236}">
              <a16:creationId xmlns:a16="http://schemas.microsoft.com/office/drawing/2014/main" id="{5AB94812-2645-4D01-92BF-AB59310FE041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2286" name="Freeform 10695">
          <a:extLst>
            <a:ext uri="{FF2B5EF4-FFF2-40B4-BE49-F238E27FC236}">
              <a16:creationId xmlns:a16="http://schemas.microsoft.com/office/drawing/2014/main" id="{6D3CC938-BBCE-454F-8E5B-B7DA8BCDFC41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2287" name="0/0">
          <a:extLst>
            <a:ext uri="{FF2B5EF4-FFF2-40B4-BE49-F238E27FC236}">
              <a16:creationId xmlns:a16="http://schemas.microsoft.com/office/drawing/2014/main" id="{E0949C95-982E-4543-8AB4-624790143D7A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2288" name="Freeform 10695">
          <a:extLst>
            <a:ext uri="{FF2B5EF4-FFF2-40B4-BE49-F238E27FC236}">
              <a16:creationId xmlns:a16="http://schemas.microsoft.com/office/drawing/2014/main" id="{988D5D6B-C2B8-4847-A6D4-4E8286BD8392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2289" name="0/0">
          <a:extLst>
            <a:ext uri="{FF2B5EF4-FFF2-40B4-BE49-F238E27FC236}">
              <a16:creationId xmlns:a16="http://schemas.microsoft.com/office/drawing/2014/main" id="{D411F42E-783B-4B3E-9F9A-2DE9994E0FAE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2290" name="Freeform 10695">
          <a:extLst>
            <a:ext uri="{FF2B5EF4-FFF2-40B4-BE49-F238E27FC236}">
              <a16:creationId xmlns:a16="http://schemas.microsoft.com/office/drawing/2014/main" id="{9B3CCE2B-802E-4000-938F-D08E446B9269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2291" name="0/0">
          <a:extLst>
            <a:ext uri="{FF2B5EF4-FFF2-40B4-BE49-F238E27FC236}">
              <a16:creationId xmlns:a16="http://schemas.microsoft.com/office/drawing/2014/main" id="{BF2509F8-1392-43EC-92E7-43073D083B50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2292" name="Freeform 10695">
          <a:extLst>
            <a:ext uri="{FF2B5EF4-FFF2-40B4-BE49-F238E27FC236}">
              <a16:creationId xmlns:a16="http://schemas.microsoft.com/office/drawing/2014/main" id="{E461705C-E818-46D1-85B1-5F3DC52872D8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2293" name="0/0">
          <a:extLst>
            <a:ext uri="{FF2B5EF4-FFF2-40B4-BE49-F238E27FC236}">
              <a16:creationId xmlns:a16="http://schemas.microsoft.com/office/drawing/2014/main" id="{FFC28FEE-F531-4A1C-A9E7-63A89EE55F86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2294" name="Freeform 10695">
          <a:extLst>
            <a:ext uri="{FF2B5EF4-FFF2-40B4-BE49-F238E27FC236}">
              <a16:creationId xmlns:a16="http://schemas.microsoft.com/office/drawing/2014/main" id="{B03A89D1-6D50-415C-8E32-6D505494D6AE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2295" name="0/0">
          <a:extLst>
            <a:ext uri="{FF2B5EF4-FFF2-40B4-BE49-F238E27FC236}">
              <a16:creationId xmlns:a16="http://schemas.microsoft.com/office/drawing/2014/main" id="{4E18F3F3-7001-445B-847B-6B6D8C16C1DA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2296" name="Freeform 10695">
          <a:extLst>
            <a:ext uri="{FF2B5EF4-FFF2-40B4-BE49-F238E27FC236}">
              <a16:creationId xmlns:a16="http://schemas.microsoft.com/office/drawing/2014/main" id="{5B4A95C1-56D1-4E3E-947D-9289F571B9E6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2297" name="0/0">
          <a:extLst>
            <a:ext uri="{FF2B5EF4-FFF2-40B4-BE49-F238E27FC236}">
              <a16:creationId xmlns:a16="http://schemas.microsoft.com/office/drawing/2014/main" id="{041B7A6D-5996-4688-BC4C-D814554A58F2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2298" name="Freeform 10695">
          <a:extLst>
            <a:ext uri="{FF2B5EF4-FFF2-40B4-BE49-F238E27FC236}">
              <a16:creationId xmlns:a16="http://schemas.microsoft.com/office/drawing/2014/main" id="{E103C80A-26F1-4561-B650-40BC509C6408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2299" name="0/0">
          <a:extLst>
            <a:ext uri="{FF2B5EF4-FFF2-40B4-BE49-F238E27FC236}">
              <a16:creationId xmlns:a16="http://schemas.microsoft.com/office/drawing/2014/main" id="{AFEEF1F6-652C-42E3-AAA4-DCC0F253297F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2300" name="Freeform 10695">
          <a:extLst>
            <a:ext uri="{FF2B5EF4-FFF2-40B4-BE49-F238E27FC236}">
              <a16:creationId xmlns:a16="http://schemas.microsoft.com/office/drawing/2014/main" id="{E9FBD4A0-6E55-4801-9429-4B48413C677B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2301" name="0/0">
          <a:extLst>
            <a:ext uri="{FF2B5EF4-FFF2-40B4-BE49-F238E27FC236}">
              <a16:creationId xmlns:a16="http://schemas.microsoft.com/office/drawing/2014/main" id="{30FD33D9-565C-4FEB-BE48-70BF8E3A183B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2302" name="Freeform 10695">
          <a:extLst>
            <a:ext uri="{FF2B5EF4-FFF2-40B4-BE49-F238E27FC236}">
              <a16:creationId xmlns:a16="http://schemas.microsoft.com/office/drawing/2014/main" id="{F858A2CD-02A7-4A8A-8052-E1542A6406D2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2303" name="0/0">
          <a:extLst>
            <a:ext uri="{FF2B5EF4-FFF2-40B4-BE49-F238E27FC236}">
              <a16:creationId xmlns:a16="http://schemas.microsoft.com/office/drawing/2014/main" id="{76784978-5815-4989-8C01-73E5AF9D474D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2304" name="0/0">
          <a:extLst>
            <a:ext uri="{FF2B5EF4-FFF2-40B4-BE49-F238E27FC236}">
              <a16:creationId xmlns:a16="http://schemas.microsoft.com/office/drawing/2014/main" id="{1FA1414C-3305-4284-A80A-13D2FF644470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2305" name="Freeform 10695">
          <a:extLst>
            <a:ext uri="{FF2B5EF4-FFF2-40B4-BE49-F238E27FC236}">
              <a16:creationId xmlns:a16="http://schemas.microsoft.com/office/drawing/2014/main" id="{4D140014-0BAC-44EB-8C52-99C822AF960C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2306" name="0/0">
          <a:extLst>
            <a:ext uri="{FF2B5EF4-FFF2-40B4-BE49-F238E27FC236}">
              <a16:creationId xmlns:a16="http://schemas.microsoft.com/office/drawing/2014/main" id="{DC7D87AF-4571-452C-B697-68331C09486E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2307" name="Freeform 10695">
          <a:extLst>
            <a:ext uri="{FF2B5EF4-FFF2-40B4-BE49-F238E27FC236}">
              <a16:creationId xmlns:a16="http://schemas.microsoft.com/office/drawing/2014/main" id="{6E2F4CEB-B9BA-4116-84B0-21694AEE839F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2308" name="0/0">
          <a:extLst>
            <a:ext uri="{FF2B5EF4-FFF2-40B4-BE49-F238E27FC236}">
              <a16:creationId xmlns:a16="http://schemas.microsoft.com/office/drawing/2014/main" id="{05E8FA78-C396-4691-BCE3-10F64EFCD78C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2309" name="Freeform 10695">
          <a:extLst>
            <a:ext uri="{FF2B5EF4-FFF2-40B4-BE49-F238E27FC236}">
              <a16:creationId xmlns:a16="http://schemas.microsoft.com/office/drawing/2014/main" id="{D852F89A-D1FA-4430-B7DB-D55059F5091F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2310" name="0/0">
          <a:extLst>
            <a:ext uri="{FF2B5EF4-FFF2-40B4-BE49-F238E27FC236}">
              <a16:creationId xmlns:a16="http://schemas.microsoft.com/office/drawing/2014/main" id="{3C223796-0F14-4B79-A950-7F6C8CAD0322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2311" name="Freeform 10695">
          <a:extLst>
            <a:ext uri="{FF2B5EF4-FFF2-40B4-BE49-F238E27FC236}">
              <a16:creationId xmlns:a16="http://schemas.microsoft.com/office/drawing/2014/main" id="{EBA85E0E-80BB-4662-B2BA-D3DAD749A6AE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2312" name="0/0">
          <a:extLst>
            <a:ext uri="{FF2B5EF4-FFF2-40B4-BE49-F238E27FC236}">
              <a16:creationId xmlns:a16="http://schemas.microsoft.com/office/drawing/2014/main" id="{78B16268-A499-417D-8D23-48D0BDE3DE79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2313" name="Freeform 10695">
          <a:extLst>
            <a:ext uri="{FF2B5EF4-FFF2-40B4-BE49-F238E27FC236}">
              <a16:creationId xmlns:a16="http://schemas.microsoft.com/office/drawing/2014/main" id="{E16BBFFB-8A99-4C1A-834E-ACDC2E63499E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2314" name="0/0">
          <a:extLst>
            <a:ext uri="{FF2B5EF4-FFF2-40B4-BE49-F238E27FC236}">
              <a16:creationId xmlns:a16="http://schemas.microsoft.com/office/drawing/2014/main" id="{B62166B6-17B0-438E-941B-5F4C2A12DB39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2315" name="Freeform 10695">
          <a:extLst>
            <a:ext uri="{FF2B5EF4-FFF2-40B4-BE49-F238E27FC236}">
              <a16:creationId xmlns:a16="http://schemas.microsoft.com/office/drawing/2014/main" id="{F72C11C3-2B93-4FFC-8B62-61EBF0ECF27D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2316" name="0/0">
          <a:extLst>
            <a:ext uri="{FF2B5EF4-FFF2-40B4-BE49-F238E27FC236}">
              <a16:creationId xmlns:a16="http://schemas.microsoft.com/office/drawing/2014/main" id="{BA5AC987-AB26-4E59-8F20-753EF31CE744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2317" name="Freeform 10695">
          <a:extLst>
            <a:ext uri="{FF2B5EF4-FFF2-40B4-BE49-F238E27FC236}">
              <a16:creationId xmlns:a16="http://schemas.microsoft.com/office/drawing/2014/main" id="{C8B42AAB-2D79-4856-9D94-5EB25A06A03D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2318" name="0/0">
          <a:extLst>
            <a:ext uri="{FF2B5EF4-FFF2-40B4-BE49-F238E27FC236}">
              <a16:creationId xmlns:a16="http://schemas.microsoft.com/office/drawing/2014/main" id="{FC09922A-8C83-4E0B-B7AD-3792ABA88466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2319" name="Freeform 10695">
          <a:extLst>
            <a:ext uri="{FF2B5EF4-FFF2-40B4-BE49-F238E27FC236}">
              <a16:creationId xmlns:a16="http://schemas.microsoft.com/office/drawing/2014/main" id="{B0C1D145-2993-410F-B186-89B049D21830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2320" name="0/0">
          <a:extLst>
            <a:ext uri="{FF2B5EF4-FFF2-40B4-BE49-F238E27FC236}">
              <a16:creationId xmlns:a16="http://schemas.microsoft.com/office/drawing/2014/main" id="{26CB896B-06D5-45A6-9462-5C6035CCBA12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2321" name="Freeform 10695">
          <a:extLst>
            <a:ext uri="{FF2B5EF4-FFF2-40B4-BE49-F238E27FC236}">
              <a16:creationId xmlns:a16="http://schemas.microsoft.com/office/drawing/2014/main" id="{0D82C885-738C-4F84-A98C-15B09FEE3833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2322" name="0/0">
          <a:extLst>
            <a:ext uri="{FF2B5EF4-FFF2-40B4-BE49-F238E27FC236}">
              <a16:creationId xmlns:a16="http://schemas.microsoft.com/office/drawing/2014/main" id="{79108222-32A3-4D20-94DD-3D22D229167D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2323" name="Freeform 10695">
          <a:extLst>
            <a:ext uri="{FF2B5EF4-FFF2-40B4-BE49-F238E27FC236}">
              <a16:creationId xmlns:a16="http://schemas.microsoft.com/office/drawing/2014/main" id="{9EEC9AB0-7D97-470E-B269-A424B16D520F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2324" name="0/0">
          <a:extLst>
            <a:ext uri="{FF2B5EF4-FFF2-40B4-BE49-F238E27FC236}">
              <a16:creationId xmlns:a16="http://schemas.microsoft.com/office/drawing/2014/main" id="{CFBA5A37-02D6-41EF-BF45-922482D3CB46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2325" name="0/0">
          <a:extLst>
            <a:ext uri="{FF2B5EF4-FFF2-40B4-BE49-F238E27FC236}">
              <a16:creationId xmlns:a16="http://schemas.microsoft.com/office/drawing/2014/main" id="{52321EB2-AE49-451D-ADE2-E893DDC8883A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2326" name="Freeform 10695">
          <a:extLst>
            <a:ext uri="{FF2B5EF4-FFF2-40B4-BE49-F238E27FC236}">
              <a16:creationId xmlns:a16="http://schemas.microsoft.com/office/drawing/2014/main" id="{07042F20-C455-4A15-83F6-F80BF93F5450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2327" name="0/0">
          <a:extLst>
            <a:ext uri="{FF2B5EF4-FFF2-40B4-BE49-F238E27FC236}">
              <a16:creationId xmlns:a16="http://schemas.microsoft.com/office/drawing/2014/main" id="{7583D9CB-5895-423C-973E-1A6375EB5111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2328" name="Freeform 10695">
          <a:extLst>
            <a:ext uri="{FF2B5EF4-FFF2-40B4-BE49-F238E27FC236}">
              <a16:creationId xmlns:a16="http://schemas.microsoft.com/office/drawing/2014/main" id="{A6E2EEDB-11F9-4399-91A8-AF42C11295E7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2329" name="0/0">
          <a:extLst>
            <a:ext uri="{FF2B5EF4-FFF2-40B4-BE49-F238E27FC236}">
              <a16:creationId xmlns:a16="http://schemas.microsoft.com/office/drawing/2014/main" id="{6AA25116-DEE0-4C2B-81F1-A4BF2728A8C9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2330" name="Freeform 10695">
          <a:extLst>
            <a:ext uri="{FF2B5EF4-FFF2-40B4-BE49-F238E27FC236}">
              <a16:creationId xmlns:a16="http://schemas.microsoft.com/office/drawing/2014/main" id="{15797883-B6C2-4810-8529-27A7300BC1A4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2331" name="0/0">
          <a:extLst>
            <a:ext uri="{FF2B5EF4-FFF2-40B4-BE49-F238E27FC236}">
              <a16:creationId xmlns:a16="http://schemas.microsoft.com/office/drawing/2014/main" id="{A952F756-1A1C-4F92-AFC8-7C0B2BB70A4A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2332" name="Freeform 10695">
          <a:extLst>
            <a:ext uri="{FF2B5EF4-FFF2-40B4-BE49-F238E27FC236}">
              <a16:creationId xmlns:a16="http://schemas.microsoft.com/office/drawing/2014/main" id="{83951984-B008-4377-9750-40F8286FFB37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2333" name="0/0">
          <a:extLst>
            <a:ext uri="{FF2B5EF4-FFF2-40B4-BE49-F238E27FC236}">
              <a16:creationId xmlns:a16="http://schemas.microsoft.com/office/drawing/2014/main" id="{348F3C7A-9AEC-4389-937D-0939D7EA18A5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2334" name="Freeform 10695">
          <a:extLst>
            <a:ext uri="{FF2B5EF4-FFF2-40B4-BE49-F238E27FC236}">
              <a16:creationId xmlns:a16="http://schemas.microsoft.com/office/drawing/2014/main" id="{7B3108A9-5751-4242-A0CB-C5BB8EA5EF2D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2335" name="0/0">
          <a:extLst>
            <a:ext uri="{FF2B5EF4-FFF2-40B4-BE49-F238E27FC236}">
              <a16:creationId xmlns:a16="http://schemas.microsoft.com/office/drawing/2014/main" id="{F99839ED-3A62-4A67-9BFB-A31663A622D4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2336" name="Freeform 10695">
          <a:extLst>
            <a:ext uri="{FF2B5EF4-FFF2-40B4-BE49-F238E27FC236}">
              <a16:creationId xmlns:a16="http://schemas.microsoft.com/office/drawing/2014/main" id="{DCB4D1AA-E557-4970-8CA2-E5596006376C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2337" name="0/0">
          <a:extLst>
            <a:ext uri="{FF2B5EF4-FFF2-40B4-BE49-F238E27FC236}">
              <a16:creationId xmlns:a16="http://schemas.microsoft.com/office/drawing/2014/main" id="{99B82692-D7F9-48F4-8BAF-E76434A9AE1D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2338" name="Freeform 10695">
          <a:extLst>
            <a:ext uri="{FF2B5EF4-FFF2-40B4-BE49-F238E27FC236}">
              <a16:creationId xmlns:a16="http://schemas.microsoft.com/office/drawing/2014/main" id="{62BDCC63-3728-468C-8AE2-76F50B7DE995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2339" name="0/0">
          <a:extLst>
            <a:ext uri="{FF2B5EF4-FFF2-40B4-BE49-F238E27FC236}">
              <a16:creationId xmlns:a16="http://schemas.microsoft.com/office/drawing/2014/main" id="{B50FC051-2316-4868-BCE8-16919CBDDAE3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2340" name="Freeform 10695">
          <a:extLst>
            <a:ext uri="{FF2B5EF4-FFF2-40B4-BE49-F238E27FC236}">
              <a16:creationId xmlns:a16="http://schemas.microsoft.com/office/drawing/2014/main" id="{0BC17C58-00CE-437C-9F35-7D1AF4A0F62F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2341" name="0/0">
          <a:extLst>
            <a:ext uri="{FF2B5EF4-FFF2-40B4-BE49-F238E27FC236}">
              <a16:creationId xmlns:a16="http://schemas.microsoft.com/office/drawing/2014/main" id="{B50DE15F-25D9-4EE6-93C9-B09833092B92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2342" name="Freeform 10695">
          <a:extLst>
            <a:ext uri="{FF2B5EF4-FFF2-40B4-BE49-F238E27FC236}">
              <a16:creationId xmlns:a16="http://schemas.microsoft.com/office/drawing/2014/main" id="{AB2309C2-84EC-4670-A5A4-A9F2C00A8BDE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2343" name="0/0">
          <a:extLst>
            <a:ext uri="{FF2B5EF4-FFF2-40B4-BE49-F238E27FC236}">
              <a16:creationId xmlns:a16="http://schemas.microsoft.com/office/drawing/2014/main" id="{1316BCE3-59B4-4DC4-8BB6-D34764275F51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2344" name="Freeform 10695">
          <a:extLst>
            <a:ext uri="{FF2B5EF4-FFF2-40B4-BE49-F238E27FC236}">
              <a16:creationId xmlns:a16="http://schemas.microsoft.com/office/drawing/2014/main" id="{2922DBAB-DC95-46C1-80D5-6270103E3CD6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2345" name="0/0">
          <a:extLst>
            <a:ext uri="{FF2B5EF4-FFF2-40B4-BE49-F238E27FC236}">
              <a16:creationId xmlns:a16="http://schemas.microsoft.com/office/drawing/2014/main" id="{C479A0ED-5C11-4E9D-99C7-FFDE5843FA25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2346" name="0/0">
          <a:extLst>
            <a:ext uri="{FF2B5EF4-FFF2-40B4-BE49-F238E27FC236}">
              <a16:creationId xmlns:a16="http://schemas.microsoft.com/office/drawing/2014/main" id="{A10E56E0-48CC-496D-8885-BC96A722B97E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2347" name="Freeform 10695">
          <a:extLst>
            <a:ext uri="{FF2B5EF4-FFF2-40B4-BE49-F238E27FC236}">
              <a16:creationId xmlns:a16="http://schemas.microsoft.com/office/drawing/2014/main" id="{D9B3F37B-AF9E-4D50-AEFB-C98EFDD70D78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2348" name="0/0">
          <a:extLst>
            <a:ext uri="{FF2B5EF4-FFF2-40B4-BE49-F238E27FC236}">
              <a16:creationId xmlns:a16="http://schemas.microsoft.com/office/drawing/2014/main" id="{2FF898B3-D3A4-437C-9E8F-D6BBC405D3D1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2349" name="Freeform 10695">
          <a:extLst>
            <a:ext uri="{FF2B5EF4-FFF2-40B4-BE49-F238E27FC236}">
              <a16:creationId xmlns:a16="http://schemas.microsoft.com/office/drawing/2014/main" id="{3248F5EE-7261-4CB9-BF0E-05EA09930DC6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2350" name="0/0">
          <a:extLst>
            <a:ext uri="{FF2B5EF4-FFF2-40B4-BE49-F238E27FC236}">
              <a16:creationId xmlns:a16="http://schemas.microsoft.com/office/drawing/2014/main" id="{8151B73B-FD10-4091-BBFE-E0606631E2A9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2351" name="Freeform 10695">
          <a:extLst>
            <a:ext uri="{FF2B5EF4-FFF2-40B4-BE49-F238E27FC236}">
              <a16:creationId xmlns:a16="http://schemas.microsoft.com/office/drawing/2014/main" id="{C45A27EE-A625-4AF2-8E24-9153375224DB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2352" name="0/0">
          <a:extLst>
            <a:ext uri="{FF2B5EF4-FFF2-40B4-BE49-F238E27FC236}">
              <a16:creationId xmlns:a16="http://schemas.microsoft.com/office/drawing/2014/main" id="{2ED28A99-2D57-4147-A999-8DB494CEC1C1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2353" name="Freeform 10695">
          <a:extLst>
            <a:ext uri="{FF2B5EF4-FFF2-40B4-BE49-F238E27FC236}">
              <a16:creationId xmlns:a16="http://schemas.microsoft.com/office/drawing/2014/main" id="{362A56DF-4F2B-4237-8032-2896C96F752B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2354" name="0/0">
          <a:extLst>
            <a:ext uri="{FF2B5EF4-FFF2-40B4-BE49-F238E27FC236}">
              <a16:creationId xmlns:a16="http://schemas.microsoft.com/office/drawing/2014/main" id="{4545A106-0D47-4D3C-B569-2761EC5E1EA3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2355" name="Freeform 10695">
          <a:extLst>
            <a:ext uri="{FF2B5EF4-FFF2-40B4-BE49-F238E27FC236}">
              <a16:creationId xmlns:a16="http://schemas.microsoft.com/office/drawing/2014/main" id="{45D036CF-9C62-4125-8D7C-87368423E940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2356" name="0/0">
          <a:extLst>
            <a:ext uri="{FF2B5EF4-FFF2-40B4-BE49-F238E27FC236}">
              <a16:creationId xmlns:a16="http://schemas.microsoft.com/office/drawing/2014/main" id="{B774D31B-63B0-42B9-9126-322565FEF530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2357" name="Freeform 10695">
          <a:extLst>
            <a:ext uri="{FF2B5EF4-FFF2-40B4-BE49-F238E27FC236}">
              <a16:creationId xmlns:a16="http://schemas.microsoft.com/office/drawing/2014/main" id="{56A3CEFD-9085-4DC6-B9B1-1CADF62AC733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2358" name="0/0">
          <a:extLst>
            <a:ext uri="{FF2B5EF4-FFF2-40B4-BE49-F238E27FC236}">
              <a16:creationId xmlns:a16="http://schemas.microsoft.com/office/drawing/2014/main" id="{A1007C05-D6FE-44AB-B888-62F698FF910C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2359" name="Freeform 10695">
          <a:extLst>
            <a:ext uri="{FF2B5EF4-FFF2-40B4-BE49-F238E27FC236}">
              <a16:creationId xmlns:a16="http://schemas.microsoft.com/office/drawing/2014/main" id="{4A949787-D89D-4C77-8C29-D49DB4DE6917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2360" name="0/0">
          <a:extLst>
            <a:ext uri="{FF2B5EF4-FFF2-40B4-BE49-F238E27FC236}">
              <a16:creationId xmlns:a16="http://schemas.microsoft.com/office/drawing/2014/main" id="{0ADF7094-34CB-4DC2-B920-838CB691C3F2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2361" name="Freeform 10695">
          <a:extLst>
            <a:ext uri="{FF2B5EF4-FFF2-40B4-BE49-F238E27FC236}">
              <a16:creationId xmlns:a16="http://schemas.microsoft.com/office/drawing/2014/main" id="{CD123D05-934D-4ADC-A8E2-ED8A6B041903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2362" name="0/0">
          <a:extLst>
            <a:ext uri="{FF2B5EF4-FFF2-40B4-BE49-F238E27FC236}">
              <a16:creationId xmlns:a16="http://schemas.microsoft.com/office/drawing/2014/main" id="{BA1FE62D-D60E-4952-AC16-A924B6DF363F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2363" name="Freeform 10695">
          <a:extLst>
            <a:ext uri="{FF2B5EF4-FFF2-40B4-BE49-F238E27FC236}">
              <a16:creationId xmlns:a16="http://schemas.microsoft.com/office/drawing/2014/main" id="{6CE2542E-1F8B-4C89-BA49-42EA58C356F7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2364" name="0/0">
          <a:extLst>
            <a:ext uri="{FF2B5EF4-FFF2-40B4-BE49-F238E27FC236}">
              <a16:creationId xmlns:a16="http://schemas.microsoft.com/office/drawing/2014/main" id="{2B25DAA1-2B69-4954-9E6F-549A2C6C05B4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2365" name="Freeform 10695">
          <a:extLst>
            <a:ext uri="{FF2B5EF4-FFF2-40B4-BE49-F238E27FC236}">
              <a16:creationId xmlns:a16="http://schemas.microsoft.com/office/drawing/2014/main" id="{C9F6E95E-70FA-4460-8B19-20050D4AF581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2366" name="0/0">
          <a:extLst>
            <a:ext uri="{FF2B5EF4-FFF2-40B4-BE49-F238E27FC236}">
              <a16:creationId xmlns:a16="http://schemas.microsoft.com/office/drawing/2014/main" id="{CC4109A7-6569-41CD-BF51-221D3A88D913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2367" name="0/0">
          <a:extLst>
            <a:ext uri="{FF2B5EF4-FFF2-40B4-BE49-F238E27FC236}">
              <a16:creationId xmlns:a16="http://schemas.microsoft.com/office/drawing/2014/main" id="{3EDA78E3-32B5-4FB2-88BA-A32F66148220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2368" name="Freeform 10695">
          <a:extLst>
            <a:ext uri="{FF2B5EF4-FFF2-40B4-BE49-F238E27FC236}">
              <a16:creationId xmlns:a16="http://schemas.microsoft.com/office/drawing/2014/main" id="{D7835782-4C3B-49CF-9BB4-ED448AF9A821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2369" name="0/0">
          <a:extLst>
            <a:ext uri="{FF2B5EF4-FFF2-40B4-BE49-F238E27FC236}">
              <a16:creationId xmlns:a16="http://schemas.microsoft.com/office/drawing/2014/main" id="{5B2BA64C-14C0-4342-88A1-B4BC1E3B76A7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2370" name="Freeform 10695">
          <a:extLst>
            <a:ext uri="{FF2B5EF4-FFF2-40B4-BE49-F238E27FC236}">
              <a16:creationId xmlns:a16="http://schemas.microsoft.com/office/drawing/2014/main" id="{82F9CEDC-B5D9-412D-9F32-6127DD423198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2371" name="0/0">
          <a:extLst>
            <a:ext uri="{FF2B5EF4-FFF2-40B4-BE49-F238E27FC236}">
              <a16:creationId xmlns:a16="http://schemas.microsoft.com/office/drawing/2014/main" id="{FAD85C76-E321-44D6-938A-2B1CD67E20EB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2372" name="Freeform 10695">
          <a:extLst>
            <a:ext uri="{FF2B5EF4-FFF2-40B4-BE49-F238E27FC236}">
              <a16:creationId xmlns:a16="http://schemas.microsoft.com/office/drawing/2014/main" id="{43B75D97-BCED-408E-8811-8C6DF6B07783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2373" name="0/0">
          <a:extLst>
            <a:ext uri="{FF2B5EF4-FFF2-40B4-BE49-F238E27FC236}">
              <a16:creationId xmlns:a16="http://schemas.microsoft.com/office/drawing/2014/main" id="{A4964E11-13B3-4F1C-9968-9E872D7B8561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2374" name="Freeform 10695">
          <a:extLst>
            <a:ext uri="{FF2B5EF4-FFF2-40B4-BE49-F238E27FC236}">
              <a16:creationId xmlns:a16="http://schemas.microsoft.com/office/drawing/2014/main" id="{A98A84CD-D8ED-4C36-BA15-1F41799F7275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2375" name="0/0">
          <a:extLst>
            <a:ext uri="{FF2B5EF4-FFF2-40B4-BE49-F238E27FC236}">
              <a16:creationId xmlns:a16="http://schemas.microsoft.com/office/drawing/2014/main" id="{3817E4F7-28AD-40D1-B7C3-3CFAA4FC7417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2376" name="Freeform 10695">
          <a:extLst>
            <a:ext uri="{FF2B5EF4-FFF2-40B4-BE49-F238E27FC236}">
              <a16:creationId xmlns:a16="http://schemas.microsoft.com/office/drawing/2014/main" id="{5A063CD4-C2DA-46E0-957F-A7B7BD8CBD71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2377" name="0/0">
          <a:extLst>
            <a:ext uri="{FF2B5EF4-FFF2-40B4-BE49-F238E27FC236}">
              <a16:creationId xmlns:a16="http://schemas.microsoft.com/office/drawing/2014/main" id="{52E33303-B78D-4F6E-B2A5-80ADB4D5D32B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2378" name="Freeform 10695">
          <a:extLst>
            <a:ext uri="{FF2B5EF4-FFF2-40B4-BE49-F238E27FC236}">
              <a16:creationId xmlns:a16="http://schemas.microsoft.com/office/drawing/2014/main" id="{44411310-84FC-48A9-86F1-83AA664C335C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2379" name="0/0">
          <a:extLst>
            <a:ext uri="{FF2B5EF4-FFF2-40B4-BE49-F238E27FC236}">
              <a16:creationId xmlns:a16="http://schemas.microsoft.com/office/drawing/2014/main" id="{4BAA4CE9-C34A-447A-9981-C5540C9CE752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2380" name="Freeform 10695">
          <a:extLst>
            <a:ext uri="{FF2B5EF4-FFF2-40B4-BE49-F238E27FC236}">
              <a16:creationId xmlns:a16="http://schemas.microsoft.com/office/drawing/2014/main" id="{22D7A1D3-936F-4039-9A88-72DE2938C25D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2381" name="0/0">
          <a:extLst>
            <a:ext uri="{FF2B5EF4-FFF2-40B4-BE49-F238E27FC236}">
              <a16:creationId xmlns:a16="http://schemas.microsoft.com/office/drawing/2014/main" id="{2CFD4069-4D9F-4365-8065-990D5A601397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2382" name="Freeform 10695">
          <a:extLst>
            <a:ext uri="{FF2B5EF4-FFF2-40B4-BE49-F238E27FC236}">
              <a16:creationId xmlns:a16="http://schemas.microsoft.com/office/drawing/2014/main" id="{CFE83753-A01C-40C9-9A02-BE510A7B8E8D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2383" name="0/0">
          <a:extLst>
            <a:ext uri="{FF2B5EF4-FFF2-40B4-BE49-F238E27FC236}">
              <a16:creationId xmlns:a16="http://schemas.microsoft.com/office/drawing/2014/main" id="{78EC6389-F586-4C94-82D4-7C14255D69E1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2384" name="Freeform 10695">
          <a:extLst>
            <a:ext uri="{FF2B5EF4-FFF2-40B4-BE49-F238E27FC236}">
              <a16:creationId xmlns:a16="http://schemas.microsoft.com/office/drawing/2014/main" id="{465BB09B-6936-4CF8-8D1C-26A740766334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2385" name="0/0">
          <a:extLst>
            <a:ext uri="{FF2B5EF4-FFF2-40B4-BE49-F238E27FC236}">
              <a16:creationId xmlns:a16="http://schemas.microsoft.com/office/drawing/2014/main" id="{3AE64284-6AA0-4BF4-8D24-D888A9DF7461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2386" name="Freeform 10695">
          <a:extLst>
            <a:ext uri="{FF2B5EF4-FFF2-40B4-BE49-F238E27FC236}">
              <a16:creationId xmlns:a16="http://schemas.microsoft.com/office/drawing/2014/main" id="{4EF4FB67-84AF-402A-8399-F6AC48BAF52B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2387" name="0/0">
          <a:extLst>
            <a:ext uri="{FF2B5EF4-FFF2-40B4-BE49-F238E27FC236}">
              <a16:creationId xmlns:a16="http://schemas.microsoft.com/office/drawing/2014/main" id="{A1FC61A9-1270-4677-A334-57447005E7CD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2388" name="Freeform 10695">
          <a:extLst>
            <a:ext uri="{FF2B5EF4-FFF2-40B4-BE49-F238E27FC236}">
              <a16:creationId xmlns:a16="http://schemas.microsoft.com/office/drawing/2014/main" id="{4AD5F669-C33C-4E3C-88C0-DDD50FEC1C2D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2389" name="0/0">
          <a:extLst>
            <a:ext uri="{FF2B5EF4-FFF2-40B4-BE49-F238E27FC236}">
              <a16:creationId xmlns:a16="http://schemas.microsoft.com/office/drawing/2014/main" id="{E48FABEB-621B-4BF1-B143-1F49D52F4A2C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2390" name="Freeform 10695">
          <a:extLst>
            <a:ext uri="{FF2B5EF4-FFF2-40B4-BE49-F238E27FC236}">
              <a16:creationId xmlns:a16="http://schemas.microsoft.com/office/drawing/2014/main" id="{D131D83F-0795-4A54-8B10-43DD745C1574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2391" name="0/0">
          <a:extLst>
            <a:ext uri="{FF2B5EF4-FFF2-40B4-BE49-F238E27FC236}">
              <a16:creationId xmlns:a16="http://schemas.microsoft.com/office/drawing/2014/main" id="{778D2B8F-7452-4F7C-AC55-BAFC15B382F0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2392" name="Freeform 10695">
          <a:extLst>
            <a:ext uri="{FF2B5EF4-FFF2-40B4-BE49-F238E27FC236}">
              <a16:creationId xmlns:a16="http://schemas.microsoft.com/office/drawing/2014/main" id="{BB04FA04-8F08-4EF5-A02B-0F36300888F0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2393" name="0/0">
          <a:extLst>
            <a:ext uri="{FF2B5EF4-FFF2-40B4-BE49-F238E27FC236}">
              <a16:creationId xmlns:a16="http://schemas.microsoft.com/office/drawing/2014/main" id="{E7FC644F-D4DB-4FE3-B9CB-6989404C078D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2394" name="Freeform 10695">
          <a:extLst>
            <a:ext uri="{FF2B5EF4-FFF2-40B4-BE49-F238E27FC236}">
              <a16:creationId xmlns:a16="http://schemas.microsoft.com/office/drawing/2014/main" id="{74585DF6-8E58-4A1B-B0C7-CBBBA4E6B090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2395" name="0/0">
          <a:extLst>
            <a:ext uri="{FF2B5EF4-FFF2-40B4-BE49-F238E27FC236}">
              <a16:creationId xmlns:a16="http://schemas.microsoft.com/office/drawing/2014/main" id="{FFC9F46B-70E2-4CC4-8302-A1FDC1C9A86D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2396" name="Freeform 10695">
          <a:extLst>
            <a:ext uri="{FF2B5EF4-FFF2-40B4-BE49-F238E27FC236}">
              <a16:creationId xmlns:a16="http://schemas.microsoft.com/office/drawing/2014/main" id="{D9E4CE6B-08D6-4A36-836A-A0AD508FC2DF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2397" name="0/0">
          <a:extLst>
            <a:ext uri="{FF2B5EF4-FFF2-40B4-BE49-F238E27FC236}">
              <a16:creationId xmlns:a16="http://schemas.microsoft.com/office/drawing/2014/main" id="{78C0A271-57E6-4F03-A0B9-9CB8006F1877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2398" name="Freeform 10695">
          <a:extLst>
            <a:ext uri="{FF2B5EF4-FFF2-40B4-BE49-F238E27FC236}">
              <a16:creationId xmlns:a16="http://schemas.microsoft.com/office/drawing/2014/main" id="{F8D6D75F-B2A9-4E07-8B3A-BF62A83ECED5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2399" name="0/0">
          <a:extLst>
            <a:ext uri="{FF2B5EF4-FFF2-40B4-BE49-F238E27FC236}">
              <a16:creationId xmlns:a16="http://schemas.microsoft.com/office/drawing/2014/main" id="{6A2B18F6-F383-41A4-A422-66D9553B4998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2400" name="Freeform 10695">
          <a:extLst>
            <a:ext uri="{FF2B5EF4-FFF2-40B4-BE49-F238E27FC236}">
              <a16:creationId xmlns:a16="http://schemas.microsoft.com/office/drawing/2014/main" id="{2C472556-A375-44E6-9DDC-D8882905858B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2401" name="0/0">
          <a:extLst>
            <a:ext uri="{FF2B5EF4-FFF2-40B4-BE49-F238E27FC236}">
              <a16:creationId xmlns:a16="http://schemas.microsoft.com/office/drawing/2014/main" id="{1CC0250D-6DB2-4EC6-92C1-B60AD53F39DE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2402" name="Freeform 10695">
          <a:extLst>
            <a:ext uri="{FF2B5EF4-FFF2-40B4-BE49-F238E27FC236}">
              <a16:creationId xmlns:a16="http://schemas.microsoft.com/office/drawing/2014/main" id="{A449C867-6F31-46DF-88AE-08EE2FB8670A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2403" name="0/0">
          <a:extLst>
            <a:ext uri="{FF2B5EF4-FFF2-40B4-BE49-F238E27FC236}">
              <a16:creationId xmlns:a16="http://schemas.microsoft.com/office/drawing/2014/main" id="{588685A9-7CFD-41D2-ACEA-E5CCA07DAA78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2404" name="Freeform 10695">
          <a:extLst>
            <a:ext uri="{FF2B5EF4-FFF2-40B4-BE49-F238E27FC236}">
              <a16:creationId xmlns:a16="http://schemas.microsoft.com/office/drawing/2014/main" id="{008AC822-A0B2-461A-82CA-469598FCF365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2405" name="0/0">
          <a:extLst>
            <a:ext uri="{FF2B5EF4-FFF2-40B4-BE49-F238E27FC236}">
              <a16:creationId xmlns:a16="http://schemas.microsoft.com/office/drawing/2014/main" id="{F01C9E48-7CBD-4F88-85F8-8813EC7BA196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2406" name="Freeform 10695">
          <a:extLst>
            <a:ext uri="{FF2B5EF4-FFF2-40B4-BE49-F238E27FC236}">
              <a16:creationId xmlns:a16="http://schemas.microsoft.com/office/drawing/2014/main" id="{70214691-F018-4A2D-A341-42DA1E7F98A5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2407" name="0/0">
          <a:extLst>
            <a:ext uri="{FF2B5EF4-FFF2-40B4-BE49-F238E27FC236}">
              <a16:creationId xmlns:a16="http://schemas.microsoft.com/office/drawing/2014/main" id="{A1068956-3A1C-4220-85E5-61FD04FDA4EB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2408" name="Freeform 10695">
          <a:extLst>
            <a:ext uri="{FF2B5EF4-FFF2-40B4-BE49-F238E27FC236}">
              <a16:creationId xmlns:a16="http://schemas.microsoft.com/office/drawing/2014/main" id="{F89E7022-89DD-476D-9BA8-25C4F07F582D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2409" name="0/0">
          <a:extLst>
            <a:ext uri="{FF2B5EF4-FFF2-40B4-BE49-F238E27FC236}">
              <a16:creationId xmlns:a16="http://schemas.microsoft.com/office/drawing/2014/main" id="{98ADA6EB-0FBC-48A2-81F0-CE02B95C9F4C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2410" name="Freeform 10695">
          <a:extLst>
            <a:ext uri="{FF2B5EF4-FFF2-40B4-BE49-F238E27FC236}">
              <a16:creationId xmlns:a16="http://schemas.microsoft.com/office/drawing/2014/main" id="{57E21957-DCE3-4CCD-8063-32A5E115FF17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2411" name="0/0">
          <a:extLst>
            <a:ext uri="{FF2B5EF4-FFF2-40B4-BE49-F238E27FC236}">
              <a16:creationId xmlns:a16="http://schemas.microsoft.com/office/drawing/2014/main" id="{02D7D1BC-3535-4BA5-BB9A-257E480F71DF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2412" name="Freeform 10695">
          <a:extLst>
            <a:ext uri="{FF2B5EF4-FFF2-40B4-BE49-F238E27FC236}">
              <a16:creationId xmlns:a16="http://schemas.microsoft.com/office/drawing/2014/main" id="{74490B73-2FCF-40BE-A5A5-AC9CCC6A9F0A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2413" name="0/0">
          <a:extLst>
            <a:ext uri="{FF2B5EF4-FFF2-40B4-BE49-F238E27FC236}">
              <a16:creationId xmlns:a16="http://schemas.microsoft.com/office/drawing/2014/main" id="{0499051E-0FF3-49FE-8313-D56E3FEFF9C4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2414" name="Freeform 10695">
          <a:extLst>
            <a:ext uri="{FF2B5EF4-FFF2-40B4-BE49-F238E27FC236}">
              <a16:creationId xmlns:a16="http://schemas.microsoft.com/office/drawing/2014/main" id="{7D629F61-11DF-4023-A86D-D205EDA04B93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2415" name="0/0">
          <a:extLst>
            <a:ext uri="{FF2B5EF4-FFF2-40B4-BE49-F238E27FC236}">
              <a16:creationId xmlns:a16="http://schemas.microsoft.com/office/drawing/2014/main" id="{A301C0FF-D2E9-49D8-85AD-9D2B2B1DF5CF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2416" name="Freeform 10695">
          <a:extLst>
            <a:ext uri="{FF2B5EF4-FFF2-40B4-BE49-F238E27FC236}">
              <a16:creationId xmlns:a16="http://schemas.microsoft.com/office/drawing/2014/main" id="{3AABFC2F-47EE-4B8E-B0DE-DE6F049A72E0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2417" name="0/0">
          <a:extLst>
            <a:ext uri="{FF2B5EF4-FFF2-40B4-BE49-F238E27FC236}">
              <a16:creationId xmlns:a16="http://schemas.microsoft.com/office/drawing/2014/main" id="{634B6642-FF00-4F7F-876C-8BD4D95A20ED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2418" name="Freeform 10695">
          <a:extLst>
            <a:ext uri="{FF2B5EF4-FFF2-40B4-BE49-F238E27FC236}">
              <a16:creationId xmlns:a16="http://schemas.microsoft.com/office/drawing/2014/main" id="{B72CC755-EFB8-40BF-BAD5-7CF53CB8D4CE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2419" name="0/0">
          <a:extLst>
            <a:ext uri="{FF2B5EF4-FFF2-40B4-BE49-F238E27FC236}">
              <a16:creationId xmlns:a16="http://schemas.microsoft.com/office/drawing/2014/main" id="{BB54581B-5BB3-438A-BFF6-A76EC9C44541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2420" name="Freeform 10695">
          <a:extLst>
            <a:ext uri="{FF2B5EF4-FFF2-40B4-BE49-F238E27FC236}">
              <a16:creationId xmlns:a16="http://schemas.microsoft.com/office/drawing/2014/main" id="{ED88C943-09B6-485A-9884-32B16B9E1DF1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2421" name="0/0">
          <a:extLst>
            <a:ext uri="{FF2B5EF4-FFF2-40B4-BE49-F238E27FC236}">
              <a16:creationId xmlns:a16="http://schemas.microsoft.com/office/drawing/2014/main" id="{F41AF28C-8232-4DDF-A810-E89F0D92991C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2422" name="Freeform 10695">
          <a:extLst>
            <a:ext uri="{FF2B5EF4-FFF2-40B4-BE49-F238E27FC236}">
              <a16:creationId xmlns:a16="http://schemas.microsoft.com/office/drawing/2014/main" id="{4A35873D-6BE7-4C5F-AA60-EB16C2CB0345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2423" name="0/0">
          <a:extLst>
            <a:ext uri="{FF2B5EF4-FFF2-40B4-BE49-F238E27FC236}">
              <a16:creationId xmlns:a16="http://schemas.microsoft.com/office/drawing/2014/main" id="{23153385-1903-4EC9-AD8E-E5D584B47062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2424" name="Freeform 10695">
          <a:extLst>
            <a:ext uri="{FF2B5EF4-FFF2-40B4-BE49-F238E27FC236}">
              <a16:creationId xmlns:a16="http://schemas.microsoft.com/office/drawing/2014/main" id="{1ECCD4B1-60B7-4D4F-974E-1EC2591D63E7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2425" name="0/0">
          <a:extLst>
            <a:ext uri="{FF2B5EF4-FFF2-40B4-BE49-F238E27FC236}">
              <a16:creationId xmlns:a16="http://schemas.microsoft.com/office/drawing/2014/main" id="{F08E38F9-71C7-4CA6-80CA-49CE62615CE9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2426" name="Freeform 10695">
          <a:extLst>
            <a:ext uri="{FF2B5EF4-FFF2-40B4-BE49-F238E27FC236}">
              <a16:creationId xmlns:a16="http://schemas.microsoft.com/office/drawing/2014/main" id="{BD61D877-F9BE-4C75-94AA-AC52171CF043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2427" name="0/0">
          <a:extLst>
            <a:ext uri="{FF2B5EF4-FFF2-40B4-BE49-F238E27FC236}">
              <a16:creationId xmlns:a16="http://schemas.microsoft.com/office/drawing/2014/main" id="{FB0E8980-C77D-43E3-B4C0-BEAB3B6447C6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2428" name="Freeform 10695">
          <a:extLst>
            <a:ext uri="{FF2B5EF4-FFF2-40B4-BE49-F238E27FC236}">
              <a16:creationId xmlns:a16="http://schemas.microsoft.com/office/drawing/2014/main" id="{6AD8B849-5E45-4845-9392-63C0B4401329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2429" name="0/0">
          <a:extLst>
            <a:ext uri="{FF2B5EF4-FFF2-40B4-BE49-F238E27FC236}">
              <a16:creationId xmlns:a16="http://schemas.microsoft.com/office/drawing/2014/main" id="{0C2D3780-4D3A-4C41-AF32-2ECA7B7D7A9D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2430" name="Freeform 10695">
          <a:extLst>
            <a:ext uri="{FF2B5EF4-FFF2-40B4-BE49-F238E27FC236}">
              <a16:creationId xmlns:a16="http://schemas.microsoft.com/office/drawing/2014/main" id="{1F1820A0-8F52-41AB-9F2A-9CB50199597B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2431" name="0/0">
          <a:extLst>
            <a:ext uri="{FF2B5EF4-FFF2-40B4-BE49-F238E27FC236}">
              <a16:creationId xmlns:a16="http://schemas.microsoft.com/office/drawing/2014/main" id="{AFE39FB2-0EF2-4CB7-AF09-337011EDB0A3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2432" name="0/0">
          <a:extLst>
            <a:ext uri="{FF2B5EF4-FFF2-40B4-BE49-F238E27FC236}">
              <a16:creationId xmlns:a16="http://schemas.microsoft.com/office/drawing/2014/main" id="{88D18C4D-B23F-4717-A14F-40708D740ECD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2433" name="Freeform 10695">
          <a:extLst>
            <a:ext uri="{FF2B5EF4-FFF2-40B4-BE49-F238E27FC236}">
              <a16:creationId xmlns:a16="http://schemas.microsoft.com/office/drawing/2014/main" id="{C9E1E95F-E311-4509-8F32-D272D856F53F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2434" name="0/0">
          <a:extLst>
            <a:ext uri="{FF2B5EF4-FFF2-40B4-BE49-F238E27FC236}">
              <a16:creationId xmlns:a16="http://schemas.microsoft.com/office/drawing/2014/main" id="{6219FF41-9CA2-4B95-8D67-1E63D94E6E44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2435" name="Freeform 10695">
          <a:extLst>
            <a:ext uri="{FF2B5EF4-FFF2-40B4-BE49-F238E27FC236}">
              <a16:creationId xmlns:a16="http://schemas.microsoft.com/office/drawing/2014/main" id="{20728E63-4410-454C-A8BF-CBFCA0771AC1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2436" name="0/0">
          <a:extLst>
            <a:ext uri="{FF2B5EF4-FFF2-40B4-BE49-F238E27FC236}">
              <a16:creationId xmlns:a16="http://schemas.microsoft.com/office/drawing/2014/main" id="{234F99E6-1AD5-4B72-A499-6253173947F8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2437" name="Freeform 10695">
          <a:extLst>
            <a:ext uri="{FF2B5EF4-FFF2-40B4-BE49-F238E27FC236}">
              <a16:creationId xmlns:a16="http://schemas.microsoft.com/office/drawing/2014/main" id="{68FC0107-3451-40C3-9535-EC7D04ACB60C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2438" name="0/0">
          <a:extLst>
            <a:ext uri="{FF2B5EF4-FFF2-40B4-BE49-F238E27FC236}">
              <a16:creationId xmlns:a16="http://schemas.microsoft.com/office/drawing/2014/main" id="{29E59736-ED9B-48CF-A726-BFAB6BAC7150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2439" name="Freeform 10695">
          <a:extLst>
            <a:ext uri="{FF2B5EF4-FFF2-40B4-BE49-F238E27FC236}">
              <a16:creationId xmlns:a16="http://schemas.microsoft.com/office/drawing/2014/main" id="{49559667-2137-4CF4-9C82-29D997B4994A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2440" name="0/0">
          <a:extLst>
            <a:ext uri="{FF2B5EF4-FFF2-40B4-BE49-F238E27FC236}">
              <a16:creationId xmlns:a16="http://schemas.microsoft.com/office/drawing/2014/main" id="{EB5C6321-EFA4-4C80-86AA-B042AB3BEFDF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2441" name="Freeform 10695">
          <a:extLst>
            <a:ext uri="{FF2B5EF4-FFF2-40B4-BE49-F238E27FC236}">
              <a16:creationId xmlns:a16="http://schemas.microsoft.com/office/drawing/2014/main" id="{13F03E1D-641F-4641-8174-E438E793E75A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2442" name="0/0">
          <a:extLst>
            <a:ext uri="{FF2B5EF4-FFF2-40B4-BE49-F238E27FC236}">
              <a16:creationId xmlns:a16="http://schemas.microsoft.com/office/drawing/2014/main" id="{D46371BA-1003-4C27-ADBA-6EB60AA71045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2443" name="Freeform 10695">
          <a:extLst>
            <a:ext uri="{FF2B5EF4-FFF2-40B4-BE49-F238E27FC236}">
              <a16:creationId xmlns:a16="http://schemas.microsoft.com/office/drawing/2014/main" id="{606C8BEE-340F-4C54-99E5-D24EEFC1415C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2444" name="0/0">
          <a:extLst>
            <a:ext uri="{FF2B5EF4-FFF2-40B4-BE49-F238E27FC236}">
              <a16:creationId xmlns:a16="http://schemas.microsoft.com/office/drawing/2014/main" id="{A90F37E0-7DF0-46EB-AD1B-C7D2B7D71B9B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2445" name="Freeform 10695">
          <a:extLst>
            <a:ext uri="{FF2B5EF4-FFF2-40B4-BE49-F238E27FC236}">
              <a16:creationId xmlns:a16="http://schemas.microsoft.com/office/drawing/2014/main" id="{B6170926-0495-4D12-9ED1-A0284A6BC69C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2446" name="0/0">
          <a:extLst>
            <a:ext uri="{FF2B5EF4-FFF2-40B4-BE49-F238E27FC236}">
              <a16:creationId xmlns:a16="http://schemas.microsoft.com/office/drawing/2014/main" id="{95F9369A-6C65-4F9E-BEBA-4110F3A8CD99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2447" name="Freeform 10695">
          <a:extLst>
            <a:ext uri="{FF2B5EF4-FFF2-40B4-BE49-F238E27FC236}">
              <a16:creationId xmlns:a16="http://schemas.microsoft.com/office/drawing/2014/main" id="{889109F5-948B-4F1D-B4E2-4E7F7D64DE2F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2448" name="0/0">
          <a:extLst>
            <a:ext uri="{FF2B5EF4-FFF2-40B4-BE49-F238E27FC236}">
              <a16:creationId xmlns:a16="http://schemas.microsoft.com/office/drawing/2014/main" id="{8B6350DD-74FA-4625-88B9-B923A758F776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2449" name="Freeform 10695">
          <a:extLst>
            <a:ext uri="{FF2B5EF4-FFF2-40B4-BE49-F238E27FC236}">
              <a16:creationId xmlns:a16="http://schemas.microsoft.com/office/drawing/2014/main" id="{AE2A0D26-2602-4766-AC3B-D4C194C3C607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2450" name="0/0">
          <a:extLst>
            <a:ext uri="{FF2B5EF4-FFF2-40B4-BE49-F238E27FC236}">
              <a16:creationId xmlns:a16="http://schemas.microsoft.com/office/drawing/2014/main" id="{A4EEE9B5-E339-439D-B268-44717AC5DAD6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2451" name="Freeform 10695">
          <a:extLst>
            <a:ext uri="{FF2B5EF4-FFF2-40B4-BE49-F238E27FC236}">
              <a16:creationId xmlns:a16="http://schemas.microsoft.com/office/drawing/2014/main" id="{26ECAB26-26F1-41F8-B432-17ED7232BDD2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2452" name="0/0">
          <a:extLst>
            <a:ext uri="{FF2B5EF4-FFF2-40B4-BE49-F238E27FC236}">
              <a16:creationId xmlns:a16="http://schemas.microsoft.com/office/drawing/2014/main" id="{B4784258-A7CA-4E5C-8F5D-A88B179EE150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2453" name="Freeform 10695">
          <a:extLst>
            <a:ext uri="{FF2B5EF4-FFF2-40B4-BE49-F238E27FC236}">
              <a16:creationId xmlns:a16="http://schemas.microsoft.com/office/drawing/2014/main" id="{22BCFE7D-FC6C-4DA9-ACA6-80BE313554D8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2454" name="0/0">
          <a:extLst>
            <a:ext uri="{FF2B5EF4-FFF2-40B4-BE49-F238E27FC236}">
              <a16:creationId xmlns:a16="http://schemas.microsoft.com/office/drawing/2014/main" id="{872BE1D6-0BF8-42F6-AC32-7107925E7560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2455" name="Freeform 10695">
          <a:extLst>
            <a:ext uri="{FF2B5EF4-FFF2-40B4-BE49-F238E27FC236}">
              <a16:creationId xmlns:a16="http://schemas.microsoft.com/office/drawing/2014/main" id="{46BAE83D-7C31-4AAD-86D6-511470CD2C8C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2456" name="0/0">
          <a:extLst>
            <a:ext uri="{FF2B5EF4-FFF2-40B4-BE49-F238E27FC236}">
              <a16:creationId xmlns:a16="http://schemas.microsoft.com/office/drawing/2014/main" id="{505DFAA4-D9E0-4FD7-8A83-E28D40539223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2457" name="Freeform 10695">
          <a:extLst>
            <a:ext uri="{FF2B5EF4-FFF2-40B4-BE49-F238E27FC236}">
              <a16:creationId xmlns:a16="http://schemas.microsoft.com/office/drawing/2014/main" id="{11C5FC9C-A143-4A82-90A3-59D89F45F9F4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2458" name="0/0">
          <a:extLst>
            <a:ext uri="{FF2B5EF4-FFF2-40B4-BE49-F238E27FC236}">
              <a16:creationId xmlns:a16="http://schemas.microsoft.com/office/drawing/2014/main" id="{799AB59D-E49D-4E39-ABCE-5E0988128A3D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2459" name="Freeform 10695">
          <a:extLst>
            <a:ext uri="{FF2B5EF4-FFF2-40B4-BE49-F238E27FC236}">
              <a16:creationId xmlns:a16="http://schemas.microsoft.com/office/drawing/2014/main" id="{51D30985-00BF-4451-99D9-E45D439DCE8F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2460" name="0/0">
          <a:extLst>
            <a:ext uri="{FF2B5EF4-FFF2-40B4-BE49-F238E27FC236}">
              <a16:creationId xmlns:a16="http://schemas.microsoft.com/office/drawing/2014/main" id="{F11F3D11-8F90-4D28-AC6C-B5632125345E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2461" name="Freeform 10695">
          <a:extLst>
            <a:ext uri="{FF2B5EF4-FFF2-40B4-BE49-F238E27FC236}">
              <a16:creationId xmlns:a16="http://schemas.microsoft.com/office/drawing/2014/main" id="{4BE7F6CE-99CC-41C6-A053-3E883ED678F1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2462" name="0/0">
          <a:extLst>
            <a:ext uri="{FF2B5EF4-FFF2-40B4-BE49-F238E27FC236}">
              <a16:creationId xmlns:a16="http://schemas.microsoft.com/office/drawing/2014/main" id="{1F1ECE58-888E-4893-901A-3EA9E51CF54E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2463" name="Freeform 10695">
          <a:extLst>
            <a:ext uri="{FF2B5EF4-FFF2-40B4-BE49-F238E27FC236}">
              <a16:creationId xmlns:a16="http://schemas.microsoft.com/office/drawing/2014/main" id="{714347AE-95A9-4361-A7FF-93B6556C9ABA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2464" name="0/0">
          <a:extLst>
            <a:ext uri="{FF2B5EF4-FFF2-40B4-BE49-F238E27FC236}">
              <a16:creationId xmlns:a16="http://schemas.microsoft.com/office/drawing/2014/main" id="{DD185229-EC23-4699-B6E9-9031C2DC817B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2465" name="Freeform 10695">
          <a:extLst>
            <a:ext uri="{FF2B5EF4-FFF2-40B4-BE49-F238E27FC236}">
              <a16:creationId xmlns:a16="http://schemas.microsoft.com/office/drawing/2014/main" id="{836CCD52-C7DD-457E-99D1-BF00AB27B7B5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2466" name="0/0">
          <a:extLst>
            <a:ext uri="{FF2B5EF4-FFF2-40B4-BE49-F238E27FC236}">
              <a16:creationId xmlns:a16="http://schemas.microsoft.com/office/drawing/2014/main" id="{1AEEF23C-0F35-4A61-9A29-CCE5358E818A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2467" name="Freeform 10695">
          <a:extLst>
            <a:ext uri="{FF2B5EF4-FFF2-40B4-BE49-F238E27FC236}">
              <a16:creationId xmlns:a16="http://schemas.microsoft.com/office/drawing/2014/main" id="{5B10F12F-83DA-4DC3-A9DE-D1FB44A78500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2468" name="0/0">
          <a:extLst>
            <a:ext uri="{FF2B5EF4-FFF2-40B4-BE49-F238E27FC236}">
              <a16:creationId xmlns:a16="http://schemas.microsoft.com/office/drawing/2014/main" id="{4CEE3602-BA7A-419E-942A-B81205F20AD8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2469" name="Freeform 10695">
          <a:extLst>
            <a:ext uri="{FF2B5EF4-FFF2-40B4-BE49-F238E27FC236}">
              <a16:creationId xmlns:a16="http://schemas.microsoft.com/office/drawing/2014/main" id="{A98262E5-039A-4D79-9486-C1FFBDF50A77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2470" name="0/0">
          <a:extLst>
            <a:ext uri="{FF2B5EF4-FFF2-40B4-BE49-F238E27FC236}">
              <a16:creationId xmlns:a16="http://schemas.microsoft.com/office/drawing/2014/main" id="{CFFB8759-D01C-4520-872B-3880F23D5A6C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2471" name="Freeform 10695">
          <a:extLst>
            <a:ext uri="{FF2B5EF4-FFF2-40B4-BE49-F238E27FC236}">
              <a16:creationId xmlns:a16="http://schemas.microsoft.com/office/drawing/2014/main" id="{092BC19C-43E4-4C7C-92AE-47F387D10F6C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2472" name="0/0">
          <a:extLst>
            <a:ext uri="{FF2B5EF4-FFF2-40B4-BE49-F238E27FC236}">
              <a16:creationId xmlns:a16="http://schemas.microsoft.com/office/drawing/2014/main" id="{DCF5F05C-79F5-4E73-80BF-941DA8C443E6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2473" name="0/0">
          <a:extLst>
            <a:ext uri="{FF2B5EF4-FFF2-40B4-BE49-F238E27FC236}">
              <a16:creationId xmlns:a16="http://schemas.microsoft.com/office/drawing/2014/main" id="{53945089-8B5F-4DD3-96DA-B4AFA755DD6C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2474" name="0/0">
          <a:extLst>
            <a:ext uri="{FF2B5EF4-FFF2-40B4-BE49-F238E27FC236}">
              <a16:creationId xmlns:a16="http://schemas.microsoft.com/office/drawing/2014/main" id="{91DC6944-0FCF-4C3C-B395-E0320954D301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2475" name="Freeform 10695">
          <a:extLst>
            <a:ext uri="{FF2B5EF4-FFF2-40B4-BE49-F238E27FC236}">
              <a16:creationId xmlns:a16="http://schemas.microsoft.com/office/drawing/2014/main" id="{DF1A126A-3B8D-40CB-AAD7-F35B2493ABC7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2476" name="0/0">
          <a:extLst>
            <a:ext uri="{FF2B5EF4-FFF2-40B4-BE49-F238E27FC236}">
              <a16:creationId xmlns:a16="http://schemas.microsoft.com/office/drawing/2014/main" id="{714235B1-7263-42EA-88B6-F0AFF9C108DE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2477" name="Freeform 10695">
          <a:extLst>
            <a:ext uri="{FF2B5EF4-FFF2-40B4-BE49-F238E27FC236}">
              <a16:creationId xmlns:a16="http://schemas.microsoft.com/office/drawing/2014/main" id="{FABB8E40-6E46-457B-94BB-F1A11C4F123E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2478" name="0/0">
          <a:extLst>
            <a:ext uri="{FF2B5EF4-FFF2-40B4-BE49-F238E27FC236}">
              <a16:creationId xmlns:a16="http://schemas.microsoft.com/office/drawing/2014/main" id="{D5E2E9DB-3920-4147-BFCF-F4390809D142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2479" name="Freeform 10695">
          <a:extLst>
            <a:ext uri="{FF2B5EF4-FFF2-40B4-BE49-F238E27FC236}">
              <a16:creationId xmlns:a16="http://schemas.microsoft.com/office/drawing/2014/main" id="{70D9BC2A-BA1A-4CDD-8789-98C4842364F9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2480" name="0/0">
          <a:extLst>
            <a:ext uri="{FF2B5EF4-FFF2-40B4-BE49-F238E27FC236}">
              <a16:creationId xmlns:a16="http://schemas.microsoft.com/office/drawing/2014/main" id="{E16E8B40-D6E9-4250-A8EB-7B287B542CFF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2481" name="Freeform 10695">
          <a:extLst>
            <a:ext uri="{FF2B5EF4-FFF2-40B4-BE49-F238E27FC236}">
              <a16:creationId xmlns:a16="http://schemas.microsoft.com/office/drawing/2014/main" id="{6C7645EC-1E53-49B4-B07A-B36630033EFB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2482" name="0/0">
          <a:extLst>
            <a:ext uri="{FF2B5EF4-FFF2-40B4-BE49-F238E27FC236}">
              <a16:creationId xmlns:a16="http://schemas.microsoft.com/office/drawing/2014/main" id="{70D5BC7D-A863-45C5-AD5D-E9341C636755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2483" name="Freeform 10695">
          <a:extLst>
            <a:ext uri="{FF2B5EF4-FFF2-40B4-BE49-F238E27FC236}">
              <a16:creationId xmlns:a16="http://schemas.microsoft.com/office/drawing/2014/main" id="{27124EEA-D737-4061-BD9A-357C11A43D34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2484" name="0/0">
          <a:extLst>
            <a:ext uri="{FF2B5EF4-FFF2-40B4-BE49-F238E27FC236}">
              <a16:creationId xmlns:a16="http://schemas.microsoft.com/office/drawing/2014/main" id="{E59985D0-C0FE-49B6-BE88-CA20F95D1059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2485" name="Freeform 10695">
          <a:extLst>
            <a:ext uri="{FF2B5EF4-FFF2-40B4-BE49-F238E27FC236}">
              <a16:creationId xmlns:a16="http://schemas.microsoft.com/office/drawing/2014/main" id="{BB76B870-0848-44BE-BB56-59395C6C71E3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2486" name="0/0">
          <a:extLst>
            <a:ext uri="{FF2B5EF4-FFF2-40B4-BE49-F238E27FC236}">
              <a16:creationId xmlns:a16="http://schemas.microsoft.com/office/drawing/2014/main" id="{7EF7277C-5030-47CC-9EFB-41BB5D645B6B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2487" name="Freeform 10695">
          <a:extLst>
            <a:ext uri="{FF2B5EF4-FFF2-40B4-BE49-F238E27FC236}">
              <a16:creationId xmlns:a16="http://schemas.microsoft.com/office/drawing/2014/main" id="{18E2D263-EC5C-4403-BC84-973EFD807323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2488" name="0/0">
          <a:extLst>
            <a:ext uri="{FF2B5EF4-FFF2-40B4-BE49-F238E27FC236}">
              <a16:creationId xmlns:a16="http://schemas.microsoft.com/office/drawing/2014/main" id="{BA7CD157-C908-436F-AA14-E51C03B9E304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2489" name="Freeform 10695">
          <a:extLst>
            <a:ext uri="{FF2B5EF4-FFF2-40B4-BE49-F238E27FC236}">
              <a16:creationId xmlns:a16="http://schemas.microsoft.com/office/drawing/2014/main" id="{ADC281D1-C14C-4B3B-BDCE-EAA4DA7353AA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2490" name="0/0">
          <a:extLst>
            <a:ext uri="{FF2B5EF4-FFF2-40B4-BE49-F238E27FC236}">
              <a16:creationId xmlns:a16="http://schemas.microsoft.com/office/drawing/2014/main" id="{AD2AC65D-B97A-4F37-8ACC-A82E72B0AEAC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2491" name="Freeform 10695">
          <a:extLst>
            <a:ext uri="{FF2B5EF4-FFF2-40B4-BE49-F238E27FC236}">
              <a16:creationId xmlns:a16="http://schemas.microsoft.com/office/drawing/2014/main" id="{0943D2AE-07E8-4F81-949C-0C63CA2E473D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2492" name="0/0">
          <a:extLst>
            <a:ext uri="{FF2B5EF4-FFF2-40B4-BE49-F238E27FC236}">
              <a16:creationId xmlns:a16="http://schemas.microsoft.com/office/drawing/2014/main" id="{321C6AE5-03E3-4842-8F70-B002E75BCB8D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2493" name="Freeform 10695">
          <a:extLst>
            <a:ext uri="{FF2B5EF4-FFF2-40B4-BE49-F238E27FC236}">
              <a16:creationId xmlns:a16="http://schemas.microsoft.com/office/drawing/2014/main" id="{F6349777-9925-4151-8C02-07391B2DC69F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2494" name="0/0">
          <a:extLst>
            <a:ext uri="{FF2B5EF4-FFF2-40B4-BE49-F238E27FC236}">
              <a16:creationId xmlns:a16="http://schemas.microsoft.com/office/drawing/2014/main" id="{7F5DB492-EAA6-44EB-9818-D56E35381BDD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2495" name="Freeform 10695">
          <a:extLst>
            <a:ext uri="{FF2B5EF4-FFF2-40B4-BE49-F238E27FC236}">
              <a16:creationId xmlns:a16="http://schemas.microsoft.com/office/drawing/2014/main" id="{21D2B76E-B51F-4E7C-B7D9-CA005EDB6FE0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2496" name="0/0">
          <a:extLst>
            <a:ext uri="{FF2B5EF4-FFF2-40B4-BE49-F238E27FC236}">
              <a16:creationId xmlns:a16="http://schemas.microsoft.com/office/drawing/2014/main" id="{C83C8773-66AF-4B33-990D-88A08AF40BEB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2497" name="Freeform 10695">
          <a:extLst>
            <a:ext uri="{FF2B5EF4-FFF2-40B4-BE49-F238E27FC236}">
              <a16:creationId xmlns:a16="http://schemas.microsoft.com/office/drawing/2014/main" id="{374ABF74-6234-43B3-A68E-BA9335BE8C34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2498" name="0/0">
          <a:extLst>
            <a:ext uri="{FF2B5EF4-FFF2-40B4-BE49-F238E27FC236}">
              <a16:creationId xmlns:a16="http://schemas.microsoft.com/office/drawing/2014/main" id="{C3A03C30-5211-48BC-8045-B9825F115EE1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2499" name="Freeform 10695">
          <a:extLst>
            <a:ext uri="{FF2B5EF4-FFF2-40B4-BE49-F238E27FC236}">
              <a16:creationId xmlns:a16="http://schemas.microsoft.com/office/drawing/2014/main" id="{C462D448-BF7B-4119-880E-991AB8CAC732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2500" name="0/0">
          <a:extLst>
            <a:ext uri="{FF2B5EF4-FFF2-40B4-BE49-F238E27FC236}">
              <a16:creationId xmlns:a16="http://schemas.microsoft.com/office/drawing/2014/main" id="{F56F807B-D0C3-42E7-88F1-5F99AB1CB03F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2501" name="Freeform 10695">
          <a:extLst>
            <a:ext uri="{FF2B5EF4-FFF2-40B4-BE49-F238E27FC236}">
              <a16:creationId xmlns:a16="http://schemas.microsoft.com/office/drawing/2014/main" id="{55B511C0-E54A-4C26-9805-1505DD978265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2502" name="0/0">
          <a:extLst>
            <a:ext uri="{FF2B5EF4-FFF2-40B4-BE49-F238E27FC236}">
              <a16:creationId xmlns:a16="http://schemas.microsoft.com/office/drawing/2014/main" id="{85C0E8FB-0CD2-468D-ACEE-79EEA36D8053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2503" name="Freeform 10695">
          <a:extLst>
            <a:ext uri="{FF2B5EF4-FFF2-40B4-BE49-F238E27FC236}">
              <a16:creationId xmlns:a16="http://schemas.microsoft.com/office/drawing/2014/main" id="{DC9B0690-B3CF-482D-9B0F-9783F39A4244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2504" name="0/0">
          <a:extLst>
            <a:ext uri="{FF2B5EF4-FFF2-40B4-BE49-F238E27FC236}">
              <a16:creationId xmlns:a16="http://schemas.microsoft.com/office/drawing/2014/main" id="{47E2AEDA-60AA-4C4E-B5B7-CD06BB1C59CC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2505" name="Freeform 10695">
          <a:extLst>
            <a:ext uri="{FF2B5EF4-FFF2-40B4-BE49-F238E27FC236}">
              <a16:creationId xmlns:a16="http://schemas.microsoft.com/office/drawing/2014/main" id="{9D1D02A8-D9AB-4F09-A6F0-A4059F5B2618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2506" name="0/0">
          <a:extLst>
            <a:ext uri="{FF2B5EF4-FFF2-40B4-BE49-F238E27FC236}">
              <a16:creationId xmlns:a16="http://schemas.microsoft.com/office/drawing/2014/main" id="{B4D8AB5C-3279-4038-9A06-E17450362AC1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2507" name="Freeform 10695">
          <a:extLst>
            <a:ext uri="{FF2B5EF4-FFF2-40B4-BE49-F238E27FC236}">
              <a16:creationId xmlns:a16="http://schemas.microsoft.com/office/drawing/2014/main" id="{AE50CC64-ED2F-44FB-86A2-D185994A9CC7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2508" name="0/0">
          <a:extLst>
            <a:ext uri="{FF2B5EF4-FFF2-40B4-BE49-F238E27FC236}">
              <a16:creationId xmlns:a16="http://schemas.microsoft.com/office/drawing/2014/main" id="{C8349C5F-0946-47F7-843B-2978C8DC40F8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2509" name="Freeform 10695">
          <a:extLst>
            <a:ext uri="{FF2B5EF4-FFF2-40B4-BE49-F238E27FC236}">
              <a16:creationId xmlns:a16="http://schemas.microsoft.com/office/drawing/2014/main" id="{FE5A102F-4107-4287-9F44-1F96FA9D97DB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2510" name="0/0">
          <a:extLst>
            <a:ext uri="{FF2B5EF4-FFF2-40B4-BE49-F238E27FC236}">
              <a16:creationId xmlns:a16="http://schemas.microsoft.com/office/drawing/2014/main" id="{CC01FD5A-B5F7-4F33-AF45-A686EA887536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2511" name="Freeform 10695">
          <a:extLst>
            <a:ext uri="{FF2B5EF4-FFF2-40B4-BE49-F238E27FC236}">
              <a16:creationId xmlns:a16="http://schemas.microsoft.com/office/drawing/2014/main" id="{AB375986-087D-46E5-A328-71EED438959F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2512" name="0/0">
          <a:extLst>
            <a:ext uri="{FF2B5EF4-FFF2-40B4-BE49-F238E27FC236}">
              <a16:creationId xmlns:a16="http://schemas.microsoft.com/office/drawing/2014/main" id="{B718E858-80C6-49E4-A4CE-6E8AFE5010FA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2513" name="Freeform 10695">
          <a:extLst>
            <a:ext uri="{FF2B5EF4-FFF2-40B4-BE49-F238E27FC236}">
              <a16:creationId xmlns:a16="http://schemas.microsoft.com/office/drawing/2014/main" id="{F8ACA876-0BC7-4ECA-9B5D-B80C70CEEA4C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2514" name="0/0">
          <a:extLst>
            <a:ext uri="{FF2B5EF4-FFF2-40B4-BE49-F238E27FC236}">
              <a16:creationId xmlns:a16="http://schemas.microsoft.com/office/drawing/2014/main" id="{7DEB8C11-DFE0-4414-84C8-3F3E867948A2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2515" name="Freeform 10695">
          <a:extLst>
            <a:ext uri="{FF2B5EF4-FFF2-40B4-BE49-F238E27FC236}">
              <a16:creationId xmlns:a16="http://schemas.microsoft.com/office/drawing/2014/main" id="{969239A4-38A5-4AA3-B6AC-9B54865DDB40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2516" name="0/0">
          <a:extLst>
            <a:ext uri="{FF2B5EF4-FFF2-40B4-BE49-F238E27FC236}">
              <a16:creationId xmlns:a16="http://schemas.microsoft.com/office/drawing/2014/main" id="{5A79C96D-FFD9-4F5E-82FF-5796068CE795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2517" name="0/0">
          <a:extLst>
            <a:ext uri="{FF2B5EF4-FFF2-40B4-BE49-F238E27FC236}">
              <a16:creationId xmlns:a16="http://schemas.microsoft.com/office/drawing/2014/main" id="{42EC475C-D430-4524-B0F4-36C47532485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2518" name="Freeform 10695">
          <a:extLst>
            <a:ext uri="{FF2B5EF4-FFF2-40B4-BE49-F238E27FC236}">
              <a16:creationId xmlns:a16="http://schemas.microsoft.com/office/drawing/2014/main" id="{A21D510E-3E28-4EAA-B058-F2027056568B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2519" name="0/0">
          <a:extLst>
            <a:ext uri="{FF2B5EF4-FFF2-40B4-BE49-F238E27FC236}">
              <a16:creationId xmlns:a16="http://schemas.microsoft.com/office/drawing/2014/main" id="{EBD04396-0F80-4A9D-86F2-8A12CC13C666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2520" name="Freeform 10695">
          <a:extLst>
            <a:ext uri="{FF2B5EF4-FFF2-40B4-BE49-F238E27FC236}">
              <a16:creationId xmlns:a16="http://schemas.microsoft.com/office/drawing/2014/main" id="{000EB79B-076C-4C80-B4F6-83D282FB080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2521" name="AutoShape 10732">
          <a:extLst>
            <a:ext uri="{FF2B5EF4-FFF2-40B4-BE49-F238E27FC236}">
              <a16:creationId xmlns:a16="http://schemas.microsoft.com/office/drawing/2014/main" id="{DE4262C5-CBA9-49D2-B42E-6CFE5CF852C4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2522" name="AutoShape 10734">
          <a:extLst>
            <a:ext uri="{FF2B5EF4-FFF2-40B4-BE49-F238E27FC236}">
              <a16:creationId xmlns:a16="http://schemas.microsoft.com/office/drawing/2014/main" id="{54AE8EC0-0FE3-492B-B073-F87013794167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2523" name="Rectangle 11590" descr="Light horizontal">
          <a:extLst>
            <a:ext uri="{FF2B5EF4-FFF2-40B4-BE49-F238E27FC236}">
              <a16:creationId xmlns:a16="http://schemas.microsoft.com/office/drawing/2014/main" id="{EB789D8C-F535-4C97-995B-76C2790706C7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2524" name="Lightning Bolt 2523">
          <a:extLst>
            <a:ext uri="{FF2B5EF4-FFF2-40B4-BE49-F238E27FC236}">
              <a16:creationId xmlns:a16="http://schemas.microsoft.com/office/drawing/2014/main" id="{5FD38711-531F-44E3-9AA5-8BD84CFFD2A4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2525" name="Line 10711">
          <a:extLst>
            <a:ext uri="{FF2B5EF4-FFF2-40B4-BE49-F238E27FC236}">
              <a16:creationId xmlns:a16="http://schemas.microsoft.com/office/drawing/2014/main" id="{D90BF1A7-1F4E-41B8-B610-13E8EA3C11A1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2526" name="Line 10711">
          <a:extLst>
            <a:ext uri="{FF2B5EF4-FFF2-40B4-BE49-F238E27FC236}">
              <a16:creationId xmlns:a16="http://schemas.microsoft.com/office/drawing/2014/main" id="{6E427935-DF46-4FA9-BF78-412D23E2CD07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2527" name="Line 10711">
          <a:extLst>
            <a:ext uri="{FF2B5EF4-FFF2-40B4-BE49-F238E27FC236}">
              <a16:creationId xmlns:a16="http://schemas.microsoft.com/office/drawing/2014/main" id="{74AC9F0E-30DD-443D-8B86-AB761D39B1D6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2528" name="Line 10711">
          <a:extLst>
            <a:ext uri="{FF2B5EF4-FFF2-40B4-BE49-F238E27FC236}">
              <a16:creationId xmlns:a16="http://schemas.microsoft.com/office/drawing/2014/main" id="{CDB96C9B-36B1-4DB4-B11F-4D76A0C98D72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2529" name="Line 10711">
          <a:extLst>
            <a:ext uri="{FF2B5EF4-FFF2-40B4-BE49-F238E27FC236}">
              <a16:creationId xmlns:a16="http://schemas.microsoft.com/office/drawing/2014/main" id="{3B37CD9E-7771-46D3-B385-E343CBC69AFF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2530" name="Line 10711">
          <a:extLst>
            <a:ext uri="{FF2B5EF4-FFF2-40B4-BE49-F238E27FC236}">
              <a16:creationId xmlns:a16="http://schemas.microsoft.com/office/drawing/2014/main" id="{0C5E38AB-ED01-43A7-9906-A14406FA1385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2531" name="Line 10711">
          <a:extLst>
            <a:ext uri="{FF2B5EF4-FFF2-40B4-BE49-F238E27FC236}">
              <a16:creationId xmlns:a16="http://schemas.microsoft.com/office/drawing/2014/main" id="{A84871E8-97D4-4210-BDB5-639D5B427B29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2532" name="Freeform 10695">
          <a:extLst>
            <a:ext uri="{FF2B5EF4-FFF2-40B4-BE49-F238E27FC236}">
              <a16:creationId xmlns:a16="http://schemas.microsoft.com/office/drawing/2014/main" id="{4F7B99D8-7E8C-4C1C-A3DB-9813C3B1C5C2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2533" name="Freeform 10695">
          <a:extLst>
            <a:ext uri="{FF2B5EF4-FFF2-40B4-BE49-F238E27FC236}">
              <a16:creationId xmlns:a16="http://schemas.microsoft.com/office/drawing/2014/main" id="{125F1383-E365-4076-820B-619B9721F8C3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2534" name="Freeform 10695">
          <a:extLst>
            <a:ext uri="{FF2B5EF4-FFF2-40B4-BE49-F238E27FC236}">
              <a16:creationId xmlns:a16="http://schemas.microsoft.com/office/drawing/2014/main" id="{269E49CA-D479-4DA9-B17E-D769AEB126EE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2535" name="Freeform 10695">
          <a:extLst>
            <a:ext uri="{FF2B5EF4-FFF2-40B4-BE49-F238E27FC236}">
              <a16:creationId xmlns:a16="http://schemas.microsoft.com/office/drawing/2014/main" id="{1813CCC0-C6E6-4D03-AAAE-32D7A9ED010A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2536" name="Freeform 10695">
          <a:extLst>
            <a:ext uri="{FF2B5EF4-FFF2-40B4-BE49-F238E27FC236}">
              <a16:creationId xmlns:a16="http://schemas.microsoft.com/office/drawing/2014/main" id="{76A8BA53-52E0-4F8B-A883-9D4B723CD791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2537" name="0/0">
          <a:extLst>
            <a:ext uri="{FF2B5EF4-FFF2-40B4-BE49-F238E27FC236}">
              <a16:creationId xmlns:a16="http://schemas.microsoft.com/office/drawing/2014/main" id="{D43F3877-A0BD-4A9F-8617-BD89DE1521E3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2538" name="Freeform 10695">
          <a:extLst>
            <a:ext uri="{FF2B5EF4-FFF2-40B4-BE49-F238E27FC236}">
              <a16:creationId xmlns:a16="http://schemas.microsoft.com/office/drawing/2014/main" id="{46F50307-565F-41B2-8CB4-64AD1B31B139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2539" name="0/0">
          <a:extLst>
            <a:ext uri="{FF2B5EF4-FFF2-40B4-BE49-F238E27FC236}">
              <a16:creationId xmlns:a16="http://schemas.microsoft.com/office/drawing/2014/main" id="{0A65EBD6-71A5-45BE-9007-88DCE7B9FBD9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2540" name="Freeform 10695">
          <a:extLst>
            <a:ext uri="{FF2B5EF4-FFF2-40B4-BE49-F238E27FC236}">
              <a16:creationId xmlns:a16="http://schemas.microsoft.com/office/drawing/2014/main" id="{A38195C6-AA79-4B0B-ADE8-A076EF2E3072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2541" name="0/0">
          <a:extLst>
            <a:ext uri="{FF2B5EF4-FFF2-40B4-BE49-F238E27FC236}">
              <a16:creationId xmlns:a16="http://schemas.microsoft.com/office/drawing/2014/main" id="{A3F71561-AC08-4A8A-A7DD-5863047E38D2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2542" name="Freeform 10695">
          <a:extLst>
            <a:ext uri="{FF2B5EF4-FFF2-40B4-BE49-F238E27FC236}">
              <a16:creationId xmlns:a16="http://schemas.microsoft.com/office/drawing/2014/main" id="{6C601EE3-6E13-48F6-9DEB-9739522B08EE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2543" name="0/0">
          <a:extLst>
            <a:ext uri="{FF2B5EF4-FFF2-40B4-BE49-F238E27FC236}">
              <a16:creationId xmlns:a16="http://schemas.microsoft.com/office/drawing/2014/main" id="{D4997BEC-AD2C-41F0-B075-F4955C12A435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2544" name="Freeform 10695">
          <a:extLst>
            <a:ext uri="{FF2B5EF4-FFF2-40B4-BE49-F238E27FC236}">
              <a16:creationId xmlns:a16="http://schemas.microsoft.com/office/drawing/2014/main" id="{14811AC4-E6C4-41F5-9ACE-5B66A15182C7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2545" name="0/0">
          <a:extLst>
            <a:ext uri="{FF2B5EF4-FFF2-40B4-BE49-F238E27FC236}">
              <a16:creationId xmlns:a16="http://schemas.microsoft.com/office/drawing/2014/main" id="{3F12A761-60F4-4088-BE44-30DCECA4D82A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2546" name="Freeform 10695">
          <a:extLst>
            <a:ext uri="{FF2B5EF4-FFF2-40B4-BE49-F238E27FC236}">
              <a16:creationId xmlns:a16="http://schemas.microsoft.com/office/drawing/2014/main" id="{379719F1-35A6-4E3B-8F72-BA9EEA511919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2547" name="0/0">
          <a:extLst>
            <a:ext uri="{FF2B5EF4-FFF2-40B4-BE49-F238E27FC236}">
              <a16:creationId xmlns:a16="http://schemas.microsoft.com/office/drawing/2014/main" id="{37D1B82C-CB67-4121-8F74-50E5217FC26A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2548" name="Freeform 10695">
          <a:extLst>
            <a:ext uri="{FF2B5EF4-FFF2-40B4-BE49-F238E27FC236}">
              <a16:creationId xmlns:a16="http://schemas.microsoft.com/office/drawing/2014/main" id="{B1BD2937-9234-4662-A049-2A3DC98B0541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2549" name="0/0">
          <a:extLst>
            <a:ext uri="{FF2B5EF4-FFF2-40B4-BE49-F238E27FC236}">
              <a16:creationId xmlns:a16="http://schemas.microsoft.com/office/drawing/2014/main" id="{968EF79C-AC82-4E83-A53C-51C404DC58B0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2550" name="Freeform 10695">
          <a:extLst>
            <a:ext uri="{FF2B5EF4-FFF2-40B4-BE49-F238E27FC236}">
              <a16:creationId xmlns:a16="http://schemas.microsoft.com/office/drawing/2014/main" id="{42E7A55F-8243-4D38-B44C-2184151B4F31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2551" name="0/0">
          <a:extLst>
            <a:ext uri="{FF2B5EF4-FFF2-40B4-BE49-F238E27FC236}">
              <a16:creationId xmlns:a16="http://schemas.microsoft.com/office/drawing/2014/main" id="{B35E002B-DEED-4353-B75D-FD031637CF26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2552" name="Freeform 10695">
          <a:extLst>
            <a:ext uri="{FF2B5EF4-FFF2-40B4-BE49-F238E27FC236}">
              <a16:creationId xmlns:a16="http://schemas.microsoft.com/office/drawing/2014/main" id="{0FB371CE-D021-4718-8482-3BC9CCA9D6F8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2553" name="0/0">
          <a:extLst>
            <a:ext uri="{FF2B5EF4-FFF2-40B4-BE49-F238E27FC236}">
              <a16:creationId xmlns:a16="http://schemas.microsoft.com/office/drawing/2014/main" id="{5AE75743-F3CD-4297-8F5D-0353D8CA5F36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2554" name="Freeform 10695">
          <a:extLst>
            <a:ext uri="{FF2B5EF4-FFF2-40B4-BE49-F238E27FC236}">
              <a16:creationId xmlns:a16="http://schemas.microsoft.com/office/drawing/2014/main" id="{25F4F0E6-BE88-4C11-8886-BEC20007ECCA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2555" name="0/0">
          <a:extLst>
            <a:ext uri="{FF2B5EF4-FFF2-40B4-BE49-F238E27FC236}">
              <a16:creationId xmlns:a16="http://schemas.microsoft.com/office/drawing/2014/main" id="{190F0598-C0D8-41C0-BEB7-87375F930CE6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2556" name="0/0">
          <a:extLst>
            <a:ext uri="{FF2B5EF4-FFF2-40B4-BE49-F238E27FC236}">
              <a16:creationId xmlns:a16="http://schemas.microsoft.com/office/drawing/2014/main" id="{2E50F30D-423B-4A81-900C-49FCA9C89F2F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2557" name="Freeform 10695">
          <a:extLst>
            <a:ext uri="{FF2B5EF4-FFF2-40B4-BE49-F238E27FC236}">
              <a16:creationId xmlns:a16="http://schemas.microsoft.com/office/drawing/2014/main" id="{5614DCA0-E5A6-46B4-8EC8-69C733A34FDC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2558" name="Graphic 797">
          <a:extLst>
            <a:ext uri="{FF2B5EF4-FFF2-40B4-BE49-F238E27FC236}">
              <a16:creationId xmlns:a16="http://schemas.microsoft.com/office/drawing/2014/main" id="{CAAD0208-82B2-4A39-BBFC-2DB203D6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2559" name="Line 10711">
          <a:extLst>
            <a:ext uri="{FF2B5EF4-FFF2-40B4-BE49-F238E27FC236}">
              <a16:creationId xmlns:a16="http://schemas.microsoft.com/office/drawing/2014/main" id="{E0D93DE9-4AAF-4914-8B33-A3DB0D069D17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2560" name="Line 10711">
          <a:extLst>
            <a:ext uri="{FF2B5EF4-FFF2-40B4-BE49-F238E27FC236}">
              <a16:creationId xmlns:a16="http://schemas.microsoft.com/office/drawing/2014/main" id="{F33FB294-B14D-412C-BE33-CB9149CCBDF0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2561" name="AutoShape 10734">
          <a:extLst>
            <a:ext uri="{FF2B5EF4-FFF2-40B4-BE49-F238E27FC236}">
              <a16:creationId xmlns:a16="http://schemas.microsoft.com/office/drawing/2014/main" id="{5E40CC34-0376-409B-9EF1-5C199C9977E3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2562" name="Lightning Bolt 2561">
          <a:extLst>
            <a:ext uri="{FF2B5EF4-FFF2-40B4-BE49-F238E27FC236}">
              <a16:creationId xmlns:a16="http://schemas.microsoft.com/office/drawing/2014/main" id="{3E01352D-DB66-42B5-AA6B-D1803DBE6EC9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2563" name="Lightning Bolt 2562">
          <a:extLst>
            <a:ext uri="{FF2B5EF4-FFF2-40B4-BE49-F238E27FC236}">
              <a16:creationId xmlns:a16="http://schemas.microsoft.com/office/drawing/2014/main" id="{A433A23B-FBFA-4F86-9A87-8BF30C042165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2564" name="Line 10711">
          <a:extLst>
            <a:ext uri="{FF2B5EF4-FFF2-40B4-BE49-F238E27FC236}">
              <a16:creationId xmlns:a16="http://schemas.microsoft.com/office/drawing/2014/main" id="{D4DD0995-6629-45EE-B873-18B867B49135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2565" name="Lightning Bolt 2564">
          <a:extLst>
            <a:ext uri="{FF2B5EF4-FFF2-40B4-BE49-F238E27FC236}">
              <a16:creationId xmlns:a16="http://schemas.microsoft.com/office/drawing/2014/main" id="{143AA1BD-06F8-4BB0-A572-B86F46D8C532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2566" name="Lightning Bolt 2565">
          <a:extLst>
            <a:ext uri="{FF2B5EF4-FFF2-40B4-BE49-F238E27FC236}">
              <a16:creationId xmlns:a16="http://schemas.microsoft.com/office/drawing/2014/main" id="{F375F6D5-8D93-410F-9215-F003122A8EED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2567" name="Lightning Bolt 2566">
          <a:extLst>
            <a:ext uri="{FF2B5EF4-FFF2-40B4-BE49-F238E27FC236}">
              <a16:creationId xmlns:a16="http://schemas.microsoft.com/office/drawing/2014/main" id="{94FF5307-35B5-4B65-88D7-09D8F58B7A18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2568" name="Freeform 10695">
          <a:extLst>
            <a:ext uri="{FF2B5EF4-FFF2-40B4-BE49-F238E27FC236}">
              <a16:creationId xmlns:a16="http://schemas.microsoft.com/office/drawing/2014/main" id="{BD80AF1A-DF14-419C-81DF-D408633164CA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2569" name="AutoShape 10734">
          <a:extLst>
            <a:ext uri="{FF2B5EF4-FFF2-40B4-BE49-F238E27FC236}">
              <a16:creationId xmlns:a16="http://schemas.microsoft.com/office/drawing/2014/main" id="{948DCCD1-449F-4B89-882E-7C421FFD657B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2570" name="Freeform 10695">
          <a:extLst>
            <a:ext uri="{FF2B5EF4-FFF2-40B4-BE49-F238E27FC236}">
              <a16:creationId xmlns:a16="http://schemas.microsoft.com/office/drawing/2014/main" id="{F15B592C-094D-4FB6-86F2-A2BEC1B0B236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2571" name="Lightning Bolt 2570">
          <a:extLst>
            <a:ext uri="{FF2B5EF4-FFF2-40B4-BE49-F238E27FC236}">
              <a16:creationId xmlns:a16="http://schemas.microsoft.com/office/drawing/2014/main" id="{A23C0223-260B-4F38-8EC3-F0D4C0485B10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2572" name="AutoShape 10734">
          <a:extLst>
            <a:ext uri="{FF2B5EF4-FFF2-40B4-BE49-F238E27FC236}">
              <a16:creationId xmlns:a16="http://schemas.microsoft.com/office/drawing/2014/main" id="{517877EB-AE0E-4CCA-AA31-06518326EC1E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2573" name="Arrow: U-Turn 2572">
          <a:extLst>
            <a:ext uri="{FF2B5EF4-FFF2-40B4-BE49-F238E27FC236}">
              <a16:creationId xmlns:a16="http://schemas.microsoft.com/office/drawing/2014/main" id="{6629B6B3-B6F0-4A7A-902A-129A2E5313D4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2574" name="Arrow: U-Turn 2573">
          <a:extLst>
            <a:ext uri="{FF2B5EF4-FFF2-40B4-BE49-F238E27FC236}">
              <a16:creationId xmlns:a16="http://schemas.microsoft.com/office/drawing/2014/main" id="{BE479F84-822C-491E-B4B9-5F980F414006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2575" name="Arrow: U-Turn 2574">
          <a:extLst>
            <a:ext uri="{FF2B5EF4-FFF2-40B4-BE49-F238E27FC236}">
              <a16:creationId xmlns:a16="http://schemas.microsoft.com/office/drawing/2014/main" id="{6D5C6BAC-F3C7-4E60-BE2F-2D4809BC106B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2576" name="Arrow: U-Turn 2575">
          <a:extLst>
            <a:ext uri="{FF2B5EF4-FFF2-40B4-BE49-F238E27FC236}">
              <a16:creationId xmlns:a16="http://schemas.microsoft.com/office/drawing/2014/main" id="{C7589C0D-5781-4F01-9876-C25F1CAC8764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2577" name="Line 10711">
          <a:extLst>
            <a:ext uri="{FF2B5EF4-FFF2-40B4-BE49-F238E27FC236}">
              <a16:creationId xmlns:a16="http://schemas.microsoft.com/office/drawing/2014/main" id="{B72EEF98-726F-4A76-8FF3-CFFA2D4E543E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2578" name="AutoShape 10734">
          <a:extLst>
            <a:ext uri="{FF2B5EF4-FFF2-40B4-BE49-F238E27FC236}">
              <a16:creationId xmlns:a16="http://schemas.microsoft.com/office/drawing/2014/main" id="{4B4D0665-9147-4D47-BC52-18322D34058F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2579" name="Lightning Bolt 2578">
          <a:extLst>
            <a:ext uri="{FF2B5EF4-FFF2-40B4-BE49-F238E27FC236}">
              <a16:creationId xmlns:a16="http://schemas.microsoft.com/office/drawing/2014/main" id="{0BDE9EE4-6BF6-48FE-9D6A-F33EF68D80ED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2580" name="Lightning Bolt 2579">
          <a:extLst>
            <a:ext uri="{FF2B5EF4-FFF2-40B4-BE49-F238E27FC236}">
              <a16:creationId xmlns:a16="http://schemas.microsoft.com/office/drawing/2014/main" id="{EF106E0F-420E-4618-AE47-DAE14F9E7791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2581" name="Lightning Bolt 2580">
          <a:extLst>
            <a:ext uri="{FF2B5EF4-FFF2-40B4-BE49-F238E27FC236}">
              <a16:creationId xmlns:a16="http://schemas.microsoft.com/office/drawing/2014/main" id="{1CB5A680-E08F-49F2-954F-8FA868046AA0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2582" name="Lightning Bolt 2581">
          <a:extLst>
            <a:ext uri="{FF2B5EF4-FFF2-40B4-BE49-F238E27FC236}">
              <a16:creationId xmlns:a16="http://schemas.microsoft.com/office/drawing/2014/main" id="{B8F9276C-1DBE-4DF5-AE3A-882837F18CFF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2583" name="Freeform 10695">
          <a:extLst>
            <a:ext uri="{FF2B5EF4-FFF2-40B4-BE49-F238E27FC236}">
              <a16:creationId xmlns:a16="http://schemas.microsoft.com/office/drawing/2014/main" id="{EC2B70FD-56A2-4208-AFE2-DD388EEDEE92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2584" name="Freeform 10695">
          <a:extLst>
            <a:ext uri="{FF2B5EF4-FFF2-40B4-BE49-F238E27FC236}">
              <a16:creationId xmlns:a16="http://schemas.microsoft.com/office/drawing/2014/main" id="{AA5FF3BC-84A6-4F6B-AC66-C5F3071C6F30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2585" name="Freeform 10695">
          <a:extLst>
            <a:ext uri="{FF2B5EF4-FFF2-40B4-BE49-F238E27FC236}">
              <a16:creationId xmlns:a16="http://schemas.microsoft.com/office/drawing/2014/main" id="{A74D92B4-946D-4824-8C2B-4A5EE6F48525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2586" name="Freeform 10695">
          <a:extLst>
            <a:ext uri="{FF2B5EF4-FFF2-40B4-BE49-F238E27FC236}">
              <a16:creationId xmlns:a16="http://schemas.microsoft.com/office/drawing/2014/main" id="{0B4A81A8-C583-44CE-9562-50B36D3640C5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2587" name="Freeform 10695">
          <a:extLst>
            <a:ext uri="{FF2B5EF4-FFF2-40B4-BE49-F238E27FC236}">
              <a16:creationId xmlns:a16="http://schemas.microsoft.com/office/drawing/2014/main" id="{1D057C83-A05B-4A9F-A261-B215FC87E302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2588" name="Freeform 10695">
          <a:extLst>
            <a:ext uri="{FF2B5EF4-FFF2-40B4-BE49-F238E27FC236}">
              <a16:creationId xmlns:a16="http://schemas.microsoft.com/office/drawing/2014/main" id="{188A5EA4-79DB-4CDB-8009-5A33CCF32E53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2589" name="Freeform 10695">
          <a:extLst>
            <a:ext uri="{FF2B5EF4-FFF2-40B4-BE49-F238E27FC236}">
              <a16:creationId xmlns:a16="http://schemas.microsoft.com/office/drawing/2014/main" id="{DDCF9032-1915-4092-9B02-B937AF036CF2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2590" name="Freeform 10695">
          <a:extLst>
            <a:ext uri="{FF2B5EF4-FFF2-40B4-BE49-F238E27FC236}">
              <a16:creationId xmlns:a16="http://schemas.microsoft.com/office/drawing/2014/main" id="{8F7AD2D9-B47C-4339-8B19-B6A6332592FD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2591" name="Freeform 10695">
          <a:extLst>
            <a:ext uri="{FF2B5EF4-FFF2-40B4-BE49-F238E27FC236}">
              <a16:creationId xmlns:a16="http://schemas.microsoft.com/office/drawing/2014/main" id="{369B9553-507F-48CF-A7B4-A6135B5FE293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2592" name="Freeform 10695">
          <a:extLst>
            <a:ext uri="{FF2B5EF4-FFF2-40B4-BE49-F238E27FC236}">
              <a16:creationId xmlns:a16="http://schemas.microsoft.com/office/drawing/2014/main" id="{067E8B54-301C-43CC-ABB0-CC24C1357926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2593" name="Freeform 10695">
          <a:extLst>
            <a:ext uri="{FF2B5EF4-FFF2-40B4-BE49-F238E27FC236}">
              <a16:creationId xmlns:a16="http://schemas.microsoft.com/office/drawing/2014/main" id="{AA8AFCDD-F80C-4F47-AB26-63B12E9F136A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2594" name="Freeform 10695">
          <a:extLst>
            <a:ext uri="{FF2B5EF4-FFF2-40B4-BE49-F238E27FC236}">
              <a16:creationId xmlns:a16="http://schemas.microsoft.com/office/drawing/2014/main" id="{28F03E5F-8C49-4A67-88B6-04B142BDCB10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2595" name="Freeform 10695">
          <a:extLst>
            <a:ext uri="{FF2B5EF4-FFF2-40B4-BE49-F238E27FC236}">
              <a16:creationId xmlns:a16="http://schemas.microsoft.com/office/drawing/2014/main" id="{BAE50F6F-D1A3-44F7-B7EE-8E0C56958C27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2596" name="Freeform 10695">
          <a:extLst>
            <a:ext uri="{FF2B5EF4-FFF2-40B4-BE49-F238E27FC236}">
              <a16:creationId xmlns:a16="http://schemas.microsoft.com/office/drawing/2014/main" id="{8D3B63B4-11B0-4E20-8C05-831DA6BF1BF4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2597" name="Freeform 10695">
          <a:extLst>
            <a:ext uri="{FF2B5EF4-FFF2-40B4-BE49-F238E27FC236}">
              <a16:creationId xmlns:a16="http://schemas.microsoft.com/office/drawing/2014/main" id="{09FF9595-C002-48EC-B324-BCB97399B4B9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2598" name="Freeform 10695">
          <a:extLst>
            <a:ext uri="{FF2B5EF4-FFF2-40B4-BE49-F238E27FC236}">
              <a16:creationId xmlns:a16="http://schemas.microsoft.com/office/drawing/2014/main" id="{41803670-C931-4FA1-A66E-D1F2E200644D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2599" name="Rectangle 11590" descr="Light horizontal">
          <a:extLst>
            <a:ext uri="{FF2B5EF4-FFF2-40B4-BE49-F238E27FC236}">
              <a16:creationId xmlns:a16="http://schemas.microsoft.com/office/drawing/2014/main" id="{8D710782-06E5-464D-87B7-BC6E8F56599B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2600" name="Lightning Bolt 2599">
          <a:extLst>
            <a:ext uri="{FF2B5EF4-FFF2-40B4-BE49-F238E27FC236}">
              <a16:creationId xmlns:a16="http://schemas.microsoft.com/office/drawing/2014/main" id="{B593401A-1D43-49CC-8300-F8B5DAC3C500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2601" name="Line 10711">
          <a:extLst>
            <a:ext uri="{FF2B5EF4-FFF2-40B4-BE49-F238E27FC236}">
              <a16:creationId xmlns:a16="http://schemas.microsoft.com/office/drawing/2014/main" id="{939C9981-E543-4BC6-BD6A-F5705A7A7515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2602" name="0/0">
          <a:extLst>
            <a:ext uri="{FF2B5EF4-FFF2-40B4-BE49-F238E27FC236}">
              <a16:creationId xmlns:a16="http://schemas.microsoft.com/office/drawing/2014/main" id="{ECA0EAD1-9E38-41BA-B048-50FEFB76D766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2603" name="Freeform 10695">
          <a:extLst>
            <a:ext uri="{FF2B5EF4-FFF2-40B4-BE49-F238E27FC236}">
              <a16:creationId xmlns:a16="http://schemas.microsoft.com/office/drawing/2014/main" id="{66310F4D-2BD3-4E41-8AC5-A137A674B5EB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2604" name="0/0">
          <a:extLst>
            <a:ext uri="{FF2B5EF4-FFF2-40B4-BE49-F238E27FC236}">
              <a16:creationId xmlns:a16="http://schemas.microsoft.com/office/drawing/2014/main" id="{4B48DE2D-787F-4ECD-87C8-D91A0D4CBA78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2605" name="Freeform 10695">
          <a:extLst>
            <a:ext uri="{FF2B5EF4-FFF2-40B4-BE49-F238E27FC236}">
              <a16:creationId xmlns:a16="http://schemas.microsoft.com/office/drawing/2014/main" id="{F805078E-B5DF-4A45-92EE-F4878F5F6487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2606" name="0/0">
          <a:extLst>
            <a:ext uri="{FF2B5EF4-FFF2-40B4-BE49-F238E27FC236}">
              <a16:creationId xmlns:a16="http://schemas.microsoft.com/office/drawing/2014/main" id="{12F29863-572C-4C43-924D-B7678E77B027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2607" name="Freeform 10695">
          <a:extLst>
            <a:ext uri="{FF2B5EF4-FFF2-40B4-BE49-F238E27FC236}">
              <a16:creationId xmlns:a16="http://schemas.microsoft.com/office/drawing/2014/main" id="{0D5DA6BD-E4A1-4D10-9892-41D6B4548F65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2608" name="0/0">
          <a:extLst>
            <a:ext uri="{FF2B5EF4-FFF2-40B4-BE49-F238E27FC236}">
              <a16:creationId xmlns:a16="http://schemas.microsoft.com/office/drawing/2014/main" id="{86BC4D5F-8E2D-4838-ACAF-D2D29A5C82B7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2609" name="0/0">
          <a:extLst>
            <a:ext uri="{FF2B5EF4-FFF2-40B4-BE49-F238E27FC236}">
              <a16:creationId xmlns:a16="http://schemas.microsoft.com/office/drawing/2014/main" id="{E5B23814-8F83-41D3-8B51-55F608D38AB3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2610" name="Freeform 10695">
          <a:extLst>
            <a:ext uri="{FF2B5EF4-FFF2-40B4-BE49-F238E27FC236}">
              <a16:creationId xmlns:a16="http://schemas.microsoft.com/office/drawing/2014/main" id="{E927E6A0-6DC6-48D9-ABAB-62813327067A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2611" name="Freeform 10695">
          <a:extLst>
            <a:ext uri="{FF2B5EF4-FFF2-40B4-BE49-F238E27FC236}">
              <a16:creationId xmlns:a16="http://schemas.microsoft.com/office/drawing/2014/main" id="{903342CC-F3C4-40D6-9005-F988F35CE85D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2612" name="AutoShape 10734">
          <a:extLst>
            <a:ext uri="{FF2B5EF4-FFF2-40B4-BE49-F238E27FC236}">
              <a16:creationId xmlns:a16="http://schemas.microsoft.com/office/drawing/2014/main" id="{32E22031-B9B4-43B1-B959-187D5B023282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2613" name="AutoShape 10732">
          <a:extLst>
            <a:ext uri="{FF2B5EF4-FFF2-40B4-BE49-F238E27FC236}">
              <a16:creationId xmlns:a16="http://schemas.microsoft.com/office/drawing/2014/main" id="{2C09C514-CB80-48E6-8377-E12C33B8E2C3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2614" name="Lightning Bolt 2613">
          <a:extLst>
            <a:ext uri="{FF2B5EF4-FFF2-40B4-BE49-F238E27FC236}">
              <a16:creationId xmlns:a16="http://schemas.microsoft.com/office/drawing/2014/main" id="{F30E53A5-9D55-4DEB-AE11-E14C06AC8E38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2615" name="Lightning Bolt 2614">
          <a:extLst>
            <a:ext uri="{FF2B5EF4-FFF2-40B4-BE49-F238E27FC236}">
              <a16:creationId xmlns:a16="http://schemas.microsoft.com/office/drawing/2014/main" id="{80861DF6-7079-4137-8B75-5E1FB6CA2D00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2616" name="Lightning Bolt 2615">
          <a:extLst>
            <a:ext uri="{FF2B5EF4-FFF2-40B4-BE49-F238E27FC236}">
              <a16:creationId xmlns:a16="http://schemas.microsoft.com/office/drawing/2014/main" id="{2016FC0A-33CC-4E3E-9178-BEA422913053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2617" name="AutoShape 10734">
          <a:extLst>
            <a:ext uri="{FF2B5EF4-FFF2-40B4-BE49-F238E27FC236}">
              <a16:creationId xmlns:a16="http://schemas.microsoft.com/office/drawing/2014/main" id="{9C1595D2-F2FA-495A-BD3C-EDA7B28ACB74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2618" name="Rectangle 11590" descr="Light horizontal">
          <a:extLst>
            <a:ext uri="{FF2B5EF4-FFF2-40B4-BE49-F238E27FC236}">
              <a16:creationId xmlns:a16="http://schemas.microsoft.com/office/drawing/2014/main" id="{BF93C397-02B8-43B3-B9BB-F42CD3345621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2619" name="Lightning Bolt 2618">
          <a:extLst>
            <a:ext uri="{FF2B5EF4-FFF2-40B4-BE49-F238E27FC236}">
              <a16:creationId xmlns:a16="http://schemas.microsoft.com/office/drawing/2014/main" id="{2F79401E-A1A6-4AFF-ABED-EB8096BEAE93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2620" name="Lightning Bolt 2619">
          <a:extLst>
            <a:ext uri="{FF2B5EF4-FFF2-40B4-BE49-F238E27FC236}">
              <a16:creationId xmlns:a16="http://schemas.microsoft.com/office/drawing/2014/main" id="{4FE00D28-477F-4162-A92C-6110738D6478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2621" name="Lightning Bolt 2620">
          <a:extLst>
            <a:ext uri="{FF2B5EF4-FFF2-40B4-BE49-F238E27FC236}">
              <a16:creationId xmlns:a16="http://schemas.microsoft.com/office/drawing/2014/main" id="{08666812-F8EF-4300-A087-1EB0E6D0F65E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2622" name="AutoShape 10734">
          <a:extLst>
            <a:ext uri="{FF2B5EF4-FFF2-40B4-BE49-F238E27FC236}">
              <a16:creationId xmlns:a16="http://schemas.microsoft.com/office/drawing/2014/main" id="{1BC6A59A-2875-449C-847F-C3C23CE04467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2623" name="Rectangle 11590" descr="Light horizontal">
          <a:extLst>
            <a:ext uri="{FF2B5EF4-FFF2-40B4-BE49-F238E27FC236}">
              <a16:creationId xmlns:a16="http://schemas.microsoft.com/office/drawing/2014/main" id="{C5CAE87D-AA97-4D65-A1DD-67BBD314253C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2624" name="Lightning Bolt 2623">
          <a:extLst>
            <a:ext uri="{FF2B5EF4-FFF2-40B4-BE49-F238E27FC236}">
              <a16:creationId xmlns:a16="http://schemas.microsoft.com/office/drawing/2014/main" id="{05E48423-47BA-4B40-A64A-5BC8A4FA462C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2625" name="Lightning Bolt 2624">
          <a:extLst>
            <a:ext uri="{FF2B5EF4-FFF2-40B4-BE49-F238E27FC236}">
              <a16:creationId xmlns:a16="http://schemas.microsoft.com/office/drawing/2014/main" id="{5C70DE4D-CD94-43F0-ACFA-F819D83A3FD1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2626" name="Lightning Bolt 2625">
          <a:extLst>
            <a:ext uri="{FF2B5EF4-FFF2-40B4-BE49-F238E27FC236}">
              <a16:creationId xmlns:a16="http://schemas.microsoft.com/office/drawing/2014/main" id="{CD4B0149-BE6E-46C8-A712-139621512AB0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2627" name="Line 10711">
          <a:extLst>
            <a:ext uri="{FF2B5EF4-FFF2-40B4-BE49-F238E27FC236}">
              <a16:creationId xmlns:a16="http://schemas.microsoft.com/office/drawing/2014/main" id="{E32881C9-BAE0-4D84-8259-B3A1185642F7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2628" name="Minus 382">
          <a:extLst>
            <a:ext uri="{FF2B5EF4-FFF2-40B4-BE49-F238E27FC236}">
              <a16:creationId xmlns:a16="http://schemas.microsoft.com/office/drawing/2014/main" id="{3FF4D981-966B-44BF-B617-492B4CA2B06C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2629" name="Minus 382">
          <a:extLst>
            <a:ext uri="{FF2B5EF4-FFF2-40B4-BE49-F238E27FC236}">
              <a16:creationId xmlns:a16="http://schemas.microsoft.com/office/drawing/2014/main" id="{2186E51A-F919-41CD-8805-5A9A5F3AA3E7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2630" name="Minus 382">
          <a:extLst>
            <a:ext uri="{FF2B5EF4-FFF2-40B4-BE49-F238E27FC236}">
              <a16:creationId xmlns:a16="http://schemas.microsoft.com/office/drawing/2014/main" id="{3B943E7A-3C9C-43CB-AE5D-F40C753D2498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2631" name="Minus 382">
          <a:extLst>
            <a:ext uri="{FF2B5EF4-FFF2-40B4-BE49-F238E27FC236}">
              <a16:creationId xmlns:a16="http://schemas.microsoft.com/office/drawing/2014/main" id="{EDC4B537-F080-4F91-812D-E79E3D655C20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2632" name="Minus 382">
          <a:extLst>
            <a:ext uri="{FF2B5EF4-FFF2-40B4-BE49-F238E27FC236}">
              <a16:creationId xmlns:a16="http://schemas.microsoft.com/office/drawing/2014/main" id="{4565F6AE-E368-4014-8422-8FF028A5C5D1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2633" name="Minus 382">
          <a:extLst>
            <a:ext uri="{FF2B5EF4-FFF2-40B4-BE49-F238E27FC236}">
              <a16:creationId xmlns:a16="http://schemas.microsoft.com/office/drawing/2014/main" id="{FBB86E6C-7E2C-4BC0-A36D-496914EC8BB0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2634" name="Minus 382">
          <a:extLst>
            <a:ext uri="{FF2B5EF4-FFF2-40B4-BE49-F238E27FC236}">
              <a16:creationId xmlns:a16="http://schemas.microsoft.com/office/drawing/2014/main" id="{AE857881-0B27-4CF5-AAB0-CF85224E7B48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2635" name="Minus 382">
          <a:extLst>
            <a:ext uri="{FF2B5EF4-FFF2-40B4-BE49-F238E27FC236}">
              <a16:creationId xmlns:a16="http://schemas.microsoft.com/office/drawing/2014/main" id="{4C2AF480-966E-4670-85E0-E932F6D25CD6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2636" name="Minus 382">
          <a:extLst>
            <a:ext uri="{FF2B5EF4-FFF2-40B4-BE49-F238E27FC236}">
              <a16:creationId xmlns:a16="http://schemas.microsoft.com/office/drawing/2014/main" id="{C0A665AD-1435-4C49-AACD-922D61A646DA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2637" name="Minus 382">
          <a:extLst>
            <a:ext uri="{FF2B5EF4-FFF2-40B4-BE49-F238E27FC236}">
              <a16:creationId xmlns:a16="http://schemas.microsoft.com/office/drawing/2014/main" id="{1C95009F-8335-466C-B8EC-D7C190A9114B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2638" name="Minus 382">
          <a:extLst>
            <a:ext uri="{FF2B5EF4-FFF2-40B4-BE49-F238E27FC236}">
              <a16:creationId xmlns:a16="http://schemas.microsoft.com/office/drawing/2014/main" id="{DD884613-510F-40DB-9DC0-A0E01152AC89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2639" name="Minus 382">
          <a:extLst>
            <a:ext uri="{FF2B5EF4-FFF2-40B4-BE49-F238E27FC236}">
              <a16:creationId xmlns:a16="http://schemas.microsoft.com/office/drawing/2014/main" id="{ACB2D5D5-221C-4F35-B13E-60C5EA3BCDC6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2640" name="Minus 382">
          <a:extLst>
            <a:ext uri="{FF2B5EF4-FFF2-40B4-BE49-F238E27FC236}">
              <a16:creationId xmlns:a16="http://schemas.microsoft.com/office/drawing/2014/main" id="{9A8AB8C4-9783-4B0C-B283-3D278B182DBD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2641" name="Minus 382">
          <a:extLst>
            <a:ext uri="{FF2B5EF4-FFF2-40B4-BE49-F238E27FC236}">
              <a16:creationId xmlns:a16="http://schemas.microsoft.com/office/drawing/2014/main" id="{F1672F31-3F4C-4F8E-B702-7DD7E1A3D26A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2642" name="Minus 382">
          <a:extLst>
            <a:ext uri="{FF2B5EF4-FFF2-40B4-BE49-F238E27FC236}">
              <a16:creationId xmlns:a16="http://schemas.microsoft.com/office/drawing/2014/main" id="{B3FB628F-FEDC-4C84-A67C-FEFB6D4C886D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2643" name="Minus 382">
          <a:extLst>
            <a:ext uri="{FF2B5EF4-FFF2-40B4-BE49-F238E27FC236}">
              <a16:creationId xmlns:a16="http://schemas.microsoft.com/office/drawing/2014/main" id="{7EBE4547-A551-4206-AF72-EC2D19489021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2644" name="Minus 382">
          <a:extLst>
            <a:ext uri="{FF2B5EF4-FFF2-40B4-BE49-F238E27FC236}">
              <a16:creationId xmlns:a16="http://schemas.microsoft.com/office/drawing/2014/main" id="{DC87316F-33B6-4FFA-9475-266800008CF9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2645" name="Minus 382">
          <a:extLst>
            <a:ext uri="{FF2B5EF4-FFF2-40B4-BE49-F238E27FC236}">
              <a16:creationId xmlns:a16="http://schemas.microsoft.com/office/drawing/2014/main" id="{3EC56626-4BAC-49D4-B598-A009FA342A2E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2646" name="Minus 382">
          <a:extLst>
            <a:ext uri="{FF2B5EF4-FFF2-40B4-BE49-F238E27FC236}">
              <a16:creationId xmlns:a16="http://schemas.microsoft.com/office/drawing/2014/main" id="{2B35D62A-046D-4F08-BA59-5E01BC8E9A96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2647" name="Minus 382">
          <a:extLst>
            <a:ext uri="{FF2B5EF4-FFF2-40B4-BE49-F238E27FC236}">
              <a16:creationId xmlns:a16="http://schemas.microsoft.com/office/drawing/2014/main" id="{57803E97-B5F6-4DD3-96B0-AE5A8E3C31AE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2648" name="Minus 382">
          <a:extLst>
            <a:ext uri="{FF2B5EF4-FFF2-40B4-BE49-F238E27FC236}">
              <a16:creationId xmlns:a16="http://schemas.microsoft.com/office/drawing/2014/main" id="{15C647D6-36E6-4698-8F3D-1B58EF6B9B04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2649" name="Minus 382">
          <a:extLst>
            <a:ext uri="{FF2B5EF4-FFF2-40B4-BE49-F238E27FC236}">
              <a16:creationId xmlns:a16="http://schemas.microsoft.com/office/drawing/2014/main" id="{81AB56D3-DA61-45BC-A5EE-F2882B77EE1A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2650" name="Minus 382">
          <a:extLst>
            <a:ext uri="{FF2B5EF4-FFF2-40B4-BE49-F238E27FC236}">
              <a16:creationId xmlns:a16="http://schemas.microsoft.com/office/drawing/2014/main" id="{D0FA581F-22D5-4073-98E2-2B7485CF8A09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2651" name="Minus 382">
          <a:extLst>
            <a:ext uri="{FF2B5EF4-FFF2-40B4-BE49-F238E27FC236}">
              <a16:creationId xmlns:a16="http://schemas.microsoft.com/office/drawing/2014/main" id="{F019561E-588C-4ED7-8175-BC769FB1AEA5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2652" name="Minus 382">
          <a:extLst>
            <a:ext uri="{FF2B5EF4-FFF2-40B4-BE49-F238E27FC236}">
              <a16:creationId xmlns:a16="http://schemas.microsoft.com/office/drawing/2014/main" id="{7D1B9C98-7661-44BD-A491-57F605AB0888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2653" name="Minus 382">
          <a:extLst>
            <a:ext uri="{FF2B5EF4-FFF2-40B4-BE49-F238E27FC236}">
              <a16:creationId xmlns:a16="http://schemas.microsoft.com/office/drawing/2014/main" id="{8231E298-A4B9-41BF-8332-B39B7E52D3B6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2654" name="Minus 382">
          <a:extLst>
            <a:ext uri="{FF2B5EF4-FFF2-40B4-BE49-F238E27FC236}">
              <a16:creationId xmlns:a16="http://schemas.microsoft.com/office/drawing/2014/main" id="{69A4F5A4-476F-47B1-95CD-212DE75200D5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2655" name="Minus 382">
          <a:extLst>
            <a:ext uri="{FF2B5EF4-FFF2-40B4-BE49-F238E27FC236}">
              <a16:creationId xmlns:a16="http://schemas.microsoft.com/office/drawing/2014/main" id="{F6F6C6EA-D97C-432C-8FEB-3E00DF883052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2656" name="Minus 382">
          <a:extLst>
            <a:ext uri="{FF2B5EF4-FFF2-40B4-BE49-F238E27FC236}">
              <a16:creationId xmlns:a16="http://schemas.microsoft.com/office/drawing/2014/main" id="{F0734C40-4B74-4F60-A5C9-93DC29056631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2657" name="Minus 382">
          <a:extLst>
            <a:ext uri="{FF2B5EF4-FFF2-40B4-BE49-F238E27FC236}">
              <a16:creationId xmlns:a16="http://schemas.microsoft.com/office/drawing/2014/main" id="{1A84AB01-A1C1-4424-8E29-64B078D2ECD2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2658" name="Minus 382">
          <a:extLst>
            <a:ext uri="{FF2B5EF4-FFF2-40B4-BE49-F238E27FC236}">
              <a16:creationId xmlns:a16="http://schemas.microsoft.com/office/drawing/2014/main" id="{50D5EBD4-11D4-4534-B3E1-C32DCD11CAF9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2659" name="Minus 382">
          <a:extLst>
            <a:ext uri="{FF2B5EF4-FFF2-40B4-BE49-F238E27FC236}">
              <a16:creationId xmlns:a16="http://schemas.microsoft.com/office/drawing/2014/main" id="{723ED9EB-8BE0-400C-A898-479708A1793F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2660" name="Minus 382">
          <a:extLst>
            <a:ext uri="{FF2B5EF4-FFF2-40B4-BE49-F238E27FC236}">
              <a16:creationId xmlns:a16="http://schemas.microsoft.com/office/drawing/2014/main" id="{72007D82-99A0-48A3-BBA2-13A93E8651F1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2661" name="Minus 382">
          <a:extLst>
            <a:ext uri="{FF2B5EF4-FFF2-40B4-BE49-F238E27FC236}">
              <a16:creationId xmlns:a16="http://schemas.microsoft.com/office/drawing/2014/main" id="{3B4C9349-AC26-42AF-ACC3-AF90C87A139C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2662" name="Minus 382">
          <a:extLst>
            <a:ext uri="{FF2B5EF4-FFF2-40B4-BE49-F238E27FC236}">
              <a16:creationId xmlns:a16="http://schemas.microsoft.com/office/drawing/2014/main" id="{B66CB760-CE35-45C6-B8F4-CACB44CDE0B6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2663" name="Minus 382">
          <a:extLst>
            <a:ext uri="{FF2B5EF4-FFF2-40B4-BE49-F238E27FC236}">
              <a16:creationId xmlns:a16="http://schemas.microsoft.com/office/drawing/2014/main" id="{9429EBD1-4494-4955-8387-B02D7E628178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2664" name="Minus 382">
          <a:extLst>
            <a:ext uri="{FF2B5EF4-FFF2-40B4-BE49-F238E27FC236}">
              <a16:creationId xmlns:a16="http://schemas.microsoft.com/office/drawing/2014/main" id="{DE81B4D2-45DC-4ABC-92F3-DAFE4D8072C0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2665" name="Minus 382">
          <a:extLst>
            <a:ext uri="{FF2B5EF4-FFF2-40B4-BE49-F238E27FC236}">
              <a16:creationId xmlns:a16="http://schemas.microsoft.com/office/drawing/2014/main" id="{3C406601-727F-440B-858E-4E7518300D6C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2666" name="Minus 382">
          <a:extLst>
            <a:ext uri="{FF2B5EF4-FFF2-40B4-BE49-F238E27FC236}">
              <a16:creationId xmlns:a16="http://schemas.microsoft.com/office/drawing/2014/main" id="{73E9F2F1-028B-496A-802A-3724F5F4C064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2667" name="Minus 382">
          <a:extLst>
            <a:ext uri="{FF2B5EF4-FFF2-40B4-BE49-F238E27FC236}">
              <a16:creationId xmlns:a16="http://schemas.microsoft.com/office/drawing/2014/main" id="{709630D9-F53C-4487-AFE0-82AC43AC4731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2668" name="Minus 382">
          <a:extLst>
            <a:ext uri="{FF2B5EF4-FFF2-40B4-BE49-F238E27FC236}">
              <a16:creationId xmlns:a16="http://schemas.microsoft.com/office/drawing/2014/main" id="{E9DAC008-D2D5-4621-881D-319774F6C407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2669" name="Minus 382">
          <a:extLst>
            <a:ext uri="{FF2B5EF4-FFF2-40B4-BE49-F238E27FC236}">
              <a16:creationId xmlns:a16="http://schemas.microsoft.com/office/drawing/2014/main" id="{16CC4DA7-F183-4E67-BE4D-3F96168782F6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2670" name="Minus 382">
          <a:extLst>
            <a:ext uri="{FF2B5EF4-FFF2-40B4-BE49-F238E27FC236}">
              <a16:creationId xmlns:a16="http://schemas.microsoft.com/office/drawing/2014/main" id="{E7D031FE-9CD9-4FF3-BD5F-3D6D00FAC5CB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2671" name="Minus 382">
          <a:extLst>
            <a:ext uri="{FF2B5EF4-FFF2-40B4-BE49-F238E27FC236}">
              <a16:creationId xmlns:a16="http://schemas.microsoft.com/office/drawing/2014/main" id="{598F4484-E7D7-4CBB-AB4C-848CA158F4BD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2672" name="Minus 382">
          <a:extLst>
            <a:ext uri="{FF2B5EF4-FFF2-40B4-BE49-F238E27FC236}">
              <a16:creationId xmlns:a16="http://schemas.microsoft.com/office/drawing/2014/main" id="{2C7D6CD6-CAE0-418D-B53E-731B4916BB40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2673" name="Minus 382">
          <a:extLst>
            <a:ext uri="{FF2B5EF4-FFF2-40B4-BE49-F238E27FC236}">
              <a16:creationId xmlns:a16="http://schemas.microsoft.com/office/drawing/2014/main" id="{B0BDC4BD-64C2-4C9B-9546-342629501BDB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2674" name="Minus 382">
          <a:extLst>
            <a:ext uri="{FF2B5EF4-FFF2-40B4-BE49-F238E27FC236}">
              <a16:creationId xmlns:a16="http://schemas.microsoft.com/office/drawing/2014/main" id="{2B6C0940-D865-42B2-BC88-C1C85FB283CA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2675" name="Minus 382">
          <a:extLst>
            <a:ext uri="{FF2B5EF4-FFF2-40B4-BE49-F238E27FC236}">
              <a16:creationId xmlns:a16="http://schemas.microsoft.com/office/drawing/2014/main" id="{3D2BC418-6986-49CB-AEFE-92E1961561BE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2676" name="Minus 382">
          <a:extLst>
            <a:ext uri="{FF2B5EF4-FFF2-40B4-BE49-F238E27FC236}">
              <a16:creationId xmlns:a16="http://schemas.microsoft.com/office/drawing/2014/main" id="{F71EF6B6-1332-4BD8-9E1A-1C11DA9991C5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2677" name="Minus 382">
          <a:extLst>
            <a:ext uri="{FF2B5EF4-FFF2-40B4-BE49-F238E27FC236}">
              <a16:creationId xmlns:a16="http://schemas.microsoft.com/office/drawing/2014/main" id="{0683C5E8-9319-4F1D-8DD9-23F3A66DF463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2678" name="Minus 382">
          <a:extLst>
            <a:ext uri="{FF2B5EF4-FFF2-40B4-BE49-F238E27FC236}">
              <a16:creationId xmlns:a16="http://schemas.microsoft.com/office/drawing/2014/main" id="{2B35A99A-9584-4A49-A5FC-859428BE440B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2679" name="Minus 382">
          <a:extLst>
            <a:ext uri="{FF2B5EF4-FFF2-40B4-BE49-F238E27FC236}">
              <a16:creationId xmlns:a16="http://schemas.microsoft.com/office/drawing/2014/main" id="{3A4A63E4-73A1-4033-B3DF-8A6120701089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2680" name="Minus 382">
          <a:extLst>
            <a:ext uri="{FF2B5EF4-FFF2-40B4-BE49-F238E27FC236}">
              <a16:creationId xmlns:a16="http://schemas.microsoft.com/office/drawing/2014/main" id="{6E07C19F-D79F-42BC-9424-CCBBC8B59E16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2681" name="Minus 382">
          <a:extLst>
            <a:ext uri="{FF2B5EF4-FFF2-40B4-BE49-F238E27FC236}">
              <a16:creationId xmlns:a16="http://schemas.microsoft.com/office/drawing/2014/main" id="{4A287A77-9508-4D06-8C7F-36FC01F232E4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2682" name="Minus 382">
          <a:extLst>
            <a:ext uri="{FF2B5EF4-FFF2-40B4-BE49-F238E27FC236}">
              <a16:creationId xmlns:a16="http://schemas.microsoft.com/office/drawing/2014/main" id="{1F0C4B28-0822-46C6-BA8F-411837212EFC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2683" name="Minus 382">
          <a:extLst>
            <a:ext uri="{FF2B5EF4-FFF2-40B4-BE49-F238E27FC236}">
              <a16:creationId xmlns:a16="http://schemas.microsoft.com/office/drawing/2014/main" id="{9778B0ED-6DBB-4A17-9EF3-9B6E6330D8E4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2684" name="Minus 382">
          <a:extLst>
            <a:ext uri="{FF2B5EF4-FFF2-40B4-BE49-F238E27FC236}">
              <a16:creationId xmlns:a16="http://schemas.microsoft.com/office/drawing/2014/main" id="{968CA9CA-3DB4-46B1-B255-2EE96D9264C9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2685" name="Minus 382">
          <a:extLst>
            <a:ext uri="{FF2B5EF4-FFF2-40B4-BE49-F238E27FC236}">
              <a16:creationId xmlns:a16="http://schemas.microsoft.com/office/drawing/2014/main" id="{E892BA7A-48A9-43E2-988E-C1656DFB1E82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2686" name="Minus 382">
          <a:extLst>
            <a:ext uri="{FF2B5EF4-FFF2-40B4-BE49-F238E27FC236}">
              <a16:creationId xmlns:a16="http://schemas.microsoft.com/office/drawing/2014/main" id="{8AFF516E-6011-4FB0-9FE9-41AC0F9BC369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2687" name="Minus 382">
          <a:extLst>
            <a:ext uri="{FF2B5EF4-FFF2-40B4-BE49-F238E27FC236}">
              <a16:creationId xmlns:a16="http://schemas.microsoft.com/office/drawing/2014/main" id="{261A31F7-3CCA-4FD1-AB96-DFE3EBAF7ABE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2688" name="Minus 382">
          <a:extLst>
            <a:ext uri="{FF2B5EF4-FFF2-40B4-BE49-F238E27FC236}">
              <a16:creationId xmlns:a16="http://schemas.microsoft.com/office/drawing/2014/main" id="{69C16409-953B-4184-AF22-EBBD1B06C263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2689" name="Minus 382">
          <a:extLst>
            <a:ext uri="{FF2B5EF4-FFF2-40B4-BE49-F238E27FC236}">
              <a16:creationId xmlns:a16="http://schemas.microsoft.com/office/drawing/2014/main" id="{A52A2047-9425-4EF0-9992-6270B2C65082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2690" name="Minus 382">
          <a:extLst>
            <a:ext uri="{FF2B5EF4-FFF2-40B4-BE49-F238E27FC236}">
              <a16:creationId xmlns:a16="http://schemas.microsoft.com/office/drawing/2014/main" id="{773D260B-31E3-4437-80CD-9B319A739EB3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2691" name="Minus 382">
          <a:extLst>
            <a:ext uri="{FF2B5EF4-FFF2-40B4-BE49-F238E27FC236}">
              <a16:creationId xmlns:a16="http://schemas.microsoft.com/office/drawing/2014/main" id="{EAEDCC52-8974-43DB-AC3C-4A993CA36D31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2692" name="Minus 382">
          <a:extLst>
            <a:ext uri="{FF2B5EF4-FFF2-40B4-BE49-F238E27FC236}">
              <a16:creationId xmlns:a16="http://schemas.microsoft.com/office/drawing/2014/main" id="{8A0246CF-3A19-4136-BD6F-D12C747ECC84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2693" name="Minus 382">
          <a:extLst>
            <a:ext uri="{FF2B5EF4-FFF2-40B4-BE49-F238E27FC236}">
              <a16:creationId xmlns:a16="http://schemas.microsoft.com/office/drawing/2014/main" id="{43D66C04-093B-4C0C-8822-63B9C14E3029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2694" name="Minus 382">
          <a:extLst>
            <a:ext uri="{FF2B5EF4-FFF2-40B4-BE49-F238E27FC236}">
              <a16:creationId xmlns:a16="http://schemas.microsoft.com/office/drawing/2014/main" id="{3D56B1C1-3521-4C6E-B2EB-B8C0C6731A90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2695" name="Minus 382">
          <a:extLst>
            <a:ext uri="{FF2B5EF4-FFF2-40B4-BE49-F238E27FC236}">
              <a16:creationId xmlns:a16="http://schemas.microsoft.com/office/drawing/2014/main" id="{AC8D7EFC-BD15-40DF-8ED2-1A93337B76CB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2696" name="Minus 382">
          <a:extLst>
            <a:ext uri="{FF2B5EF4-FFF2-40B4-BE49-F238E27FC236}">
              <a16:creationId xmlns:a16="http://schemas.microsoft.com/office/drawing/2014/main" id="{E5B746B0-DAD3-4C18-84F2-56DD945027FA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2697" name="Minus 382">
          <a:extLst>
            <a:ext uri="{FF2B5EF4-FFF2-40B4-BE49-F238E27FC236}">
              <a16:creationId xmlns:a16="http://schemas.microsoft.com/office/drawing/2014/main" id="{996217F5-DC94-4ED0-B1AD-A9EED9E9F3E5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2698" name="Minus 382">
          <a:extLst>
            <a:ext uri="{FF2B5EF4-FFF2-40B4-BE49-F238E27FC236}">
              <a16:creationId xmlns:a16="http://schemas.microsoft.com/office/drawing/2014/main" id="{D14D7BA8-5F2F-45CE-956E-8B2E4AD258CE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2699" name="Minus 382">
          <a:extLst>
            <a:ext uri="{FF2B5EF4-FFF2-40B4-BE49-F238E27FC236}">
              <a16:creationId xmlns:a16="http://schemas.microsoft.com/office/drawing/2014/main" id="{29B23FD1-0652-4BC1-9A4B-19B1D669D577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2700" name="Minus 382">
          <a:extLst>
            <a:ext uri="{FF2B5EF4-FFF2-40B4-BE49-F238E27FC236}">
              <a16:creationId xmlns:a16="http://schemas.microsoft.com/office/drawing/2014/main" id="{8CFA40A8-A01D-4AE8-9936-D4807550783B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2701" name="Minus 382">
          <a:extLst>
            <a:ext uri="{FF2B5EF4-FFF2-40B4-BE49-F238E27FC236}">
              <a16:creationId xmlns:a16="http://schemas.microsoft.com/office/drawing/2014/main" id="{8B4DAEAE-AE64-454F-A80E-51A6F94D01C7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2702" name="Minus 382">
          <a:extLst>
            <a:ext uri="{FF2B5EF4-FFF2-40B4-BE49-F238E27FC236}">
              <a16:creationId xmlns:a16="http://schemas.microsoft.com/office/drawing/2014/main" id="{22480815-F064-4429-8F90-AA6CF33034B7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2703" name="Minus 382">
          <a:extLst>
            <a:ext uri="{FF2B5EF4-FFF2-40B4-BE49-F238E27FC236}">
              <a16:creationId xmlns:a16="http://schemas.microsoft.com/office/drawing/2014/main" id="{30F9F0F5-AC90-4865-AEB0-BDD1929A51D0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2704" name="Minus 382">
          <a:extLst>
            <a:ext uri="{FF2B5EF4-FFF2-40B4-BE49-F238E27FC236}">
              <a16:creationId xmlns:a16="http://schemas.microsoft.com/office/drawing/2014/main" id="{8AAFA122-A493-4270-BDFF-414B94A46731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2705" name="Minus 382">
          <a:extLst>
            <a:ext uri="{FF2B5EF4-FFF2-40B4-BE49-F238E27FC236}">
              <a16:creationId xmlns:a16="http://schemas.microsoft.com/office/drawing/2014/main" id="{1EA6825D-7E82-4065-9E8D-AED570A25DE4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2706" name="Minus 382">
          <a:extLst>
            <a:ext uri="{FF2B5EF4-FFF2-40B4-BE49-F238E27FC236}">
              <a16:creationId xmlns:a16="http://schemas.microsoft.com/office/drawing/2014/main" id="{324931D4-C659-45BB-87BA-AC4CD63EBBAC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2707" name="Minus 382">
          <a:extLst>
            <a:ext uri="{FF2B5EF4-FFF2-40B4-BE49-F238E27FC236}">
              <a16:creationId xmlns:a16="http://schemas.microsoft.com/office/drawing/2014/main" id="{0944E91A-CC7D-4D0B-A219-9579EDE257C3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2708" name="Minus 382">
          <a:extLst>
            <a:ext uri="{FF2B5EF4-FFF2-40B4-BE49-F238E27FC236}">
              <a16:creationId xmlns:a16="http://schemas.microsoft.com/office/drawing/2014/main" id="{8FFD9013-F155-4656-9BA1-0BD162E8C420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2709" name="Minus 382">
          <a:extLst>
            <a:ext uri="{FF2B5EF4-FFF2-40B4-BE49-F238E27FC236}">
              <a16:creationId xmlns:a16="http://schemas.microsoft.com/office/drawing/2014/main" id="{57062255-42C0-490D-ADBC-FEF60FD6E1BA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2710" name="Minus 382">
          <a:extLst>
            <a:ext uri="{FF2B5EF4-FFF2-40B4-BE49-F238E27FC236}">
              <a16:creationId xmlns:a16="http://schemas.microsoft.com/office/drawing/2014/main" id="{0616E5AA-60C9-4E2D-BF5D-6C403DE03BA1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2711" name="Minus 382">
          <a:extLst>
            <a:ext uri="{FF2B5EF4-FFF2-40B4-BE49-F238E27FC236}">
              <a16:creationId xmlns:a16="http://schemas.microsoft.com/office/drawing/2014/main" id="{B6394A89-1D8D-4BBF-BAC0-3FDE59256D61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2712" name="Minus 382">
          <a:extLst>
            <a:ext uri="{FF2B5EF4-FFF2-40B4-BE49-F238E27FC236}">
              <a16:creationId xmlns:a16="http://schemas.microsoft.com/office/drawing/2014/main" id="{8C45E1EF-38C5-425C-83A4-4D4202BA130A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2713" name="Minus 382">
          <a:extLst>
            <a:ext uri="{FF2B5EF4-FFF2-40B4-BE49-F238E27FC236}">
              <a16:creationId xmlns:a16="http://schemas.microsoft.com/office/drawing/2014/main" id="{882B9146-BDE3-4EB7-96E8-E2B9E3F8DC2B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2714" name="Minus 382">
          <a:extLst>
            <a:ext uri="{FF2B5EF4-FFF2-40B4-BE49-F238E27FC236}">
              <a16:creationId xmlns:a16="http://schemas.microsoft.com/office/drawing/2014/main" id="{7F009369-AE9F-4A03-8CE3-AD9E3B7B36B5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2715" name="Minus 382">
          <a:extLst>
            <a:ext uri="{FF2B5EF4-FFF2-40B4-BE49-F238E27FC236}">
              <a16:creationId xmlns:a16="http://schemas.microsoft.com/office/drawing/2014/main" id="{5B786228-3323-4245-A53F-7E625A138F70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2716" name="Minus 382">
          <a:extLst>
            <a:ext uri="{FF2B5EF4-FFF2-40B4-BE49-F238E27FC236}">
              <a16:creationId xmlns:a16="http://schemas.microsoft.com/office/drawing/2014/main" id="{8595C449-BF1D-4DCD-9A47-3B079A6EDD0E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2717" name="Minus 382">
          <a:extLst>
            <a:ext uri="{FF2B5EF4-FFF2-40B4-BE49-F238E27FC236}">
              <a16:creationId xmlns:a16="http://schemas.microsoft.com/office/drawing/2014/main" id="{620B3DF8-B7FA-4EF9-B0FD-3E5B3C9DD5BE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2718" name="Minus 382">
          <a:extLst>
            <a:ext uri="{FF2B5EF4-FFF2-40B4-BE49-F238E27FC236}">
              <a16:creationId xmlns:a16="http://schemas.microsoft.com/office/drawing/2014/main" id="{78007853-EEEB-49CE-8DFD-AAAF0F648629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2719" name="Minus 382">
          <a:extLst>
            <a:ext uri="{FF2B5EF4-FFF2-40B4-BE49-F238E27FC236}">
              <a16:creationId xmlns:a16="http://schemas.microsoft.com/office/drawing/2014/main" id="{B31949B5-DB6E-4711-820C-DB496701F7BA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2720" name="Minus 382">
          <a:extLst>
            <a:ext uri="{FF2B5EF4-FFF2-40B4-BE49-F238E27FC236}">
              <a16:creationId xmlns:a16="http://schemas.microsoft.com/office/drawing/2014/main" id="{3DD11AEE-4339-49DA-B7BD-BC265C17FE8F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2721" name="Minus 382">
          <a:extLst>
            <a:ext uri="{FF2B5EF4-FFF2-40B4-BE49-F238E27FC236}">
              <a16:creationId xmlns:a16="http://schemas.microsoft.com/office/drawing/2014/main" id="{44340A37-B11C-426B-A6C5-190DCDDE2955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2722" name="Minus 382">
          <a:extLst>
            <a:ext uri="{FF2B5EF4-FFF2-40B4-BE49-F238E27FC236}">
              <a16:creationId xmlns:a16="http://schemas.microsoft.com/office/drawing/2014/main" id="{8D51BDA1-EE88-40DC-B628-1049B1E690D4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2723" name="Minus 382">
          <a:extLst>
            <a:ext uri="{FF2B5EF4-FFF2-40B4-BE49-F238E27FC236}">
              <a16:creationId xmlns:a16="http://schemas.microsoft.com/office/drawing/2014/main" id="{9B3F1C80-4067-4844-8A03-488104536814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2724" name="Minus 382">
          <a:extLst>
            <a:ext uri="{FF2B5EF4-FFF2-40B4-BE49-F238E27FC236}">
              <a16:creationId xmlns:a16="http://schemas.microsoft.com/office/drawing/2014/main" id="{F8E81590-DFAD-4FDA-A26F-3CB1224CF177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2725" name="Minus 382">
          <a:extLst>
            <a:ext uri="{FF2B5EF4-FFF2-40B4-BE49-F238E27FC236}">
              <a16:creationId xmlns:a16="http://schemas.microsoft.com/office/drawing/2014/main" id="{538C4E61-C1DF-4A28-B904-F186808C7FFE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2726" name="Minus 382">
          <a:extLst>
            <a:ext uri="{FF2B5EF4-FFF2-40B4-BE49-F238E27FC236}">
              <a16:creationId xmlns:a16="http://schemas.microsoft.com/office/drawing/2014/main" id="{7FEA9AD8-16A1-4C56-8995-EFEB0771BD36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2727" name="Minus 382">
          <a:extLst>
            <a:ext uri="{FF2B5EF4-FFF2-40B4-BE49-F238E27FC236}">
              <a16:creationId xmlns:a16="http://schemas.microsoft.com/office/drawing/2014/main" id="{31065DCA-46F1-44F1-B181-A08C6C8E3CC4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2728" name="Minus 382">
          <a:extLst>
            <a:ext uri="{FF2B5EF4-FFF2-40B4-BE49-F238E27FC236}">
              <a16:creationId xmlns:a16="http://schemas.microsoft.com/office/drawing/2014/main" id="{99716D6D-95E9-474D-8D66-7E20BD5BBCAF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2729" name="Minus 382">
          <a:extLst>
            <a:ext uri="{FF2B5EF4-FFF2-40B4-BE49-F238E27FC236}">
              <a16:creationId xmlns:a16="http://schemas.microsoft.com/office/drawing/2014/main" id="{0B6D0AF5-0F82-41B5-BEF6-D2349EEA1F34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2730" name="Minus 382">
          <a:extLst>
            <a:ext uri="{FF2B5EF4-FFF2-40B4-BE49-F238E27FC236}">
              <a16:creationId xmlns:a16="http://schemas.microsoft.com/office/drawing/2014/main" id="{B6EDFC05-47E3-4EEC-9428-52F34714A009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2731" name="Minus 382">
          <a:extLst>
            <a:ext uri="{FF2B5EF4-FFF2-40B4-BE49-F238E27FC236}">
              <a16:creationId xmlns:a16="http://schemas.microsoft.com/office/drawing/2014/main" id="{CD1B6C1B-5600-47F6-98D2-5F7A733071CE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2732" name="Minus 382">
          <a:extLst>
            <a:ext uri="{FF2B5EF4-FFF2-40B4-BE49-F238E27FC236}">
              <a16:creationId xmlns:a16="http://schemas.microsoft.com/office/drawing/2014/main" id="{87DFBF87-582D-42F6-8AF1-56A07239CC4E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2733" name="Minus 382">
          <a:extLst>
            <a:ext uri="{FF2B5EF4-FFF2-40B4-BE49-F238E27FC236}">
              <a16:creationId xmlns:a16="http://schemas.microsoft.com/office/drawing/2014/main" id="{412541A3-E900-492A-BB6A-4921D8B4D8FB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2734" name="Minus 382">
          <a:extLst>
            <a:ext uri="{FF2B5EF4-FFF2-40B4-BE49-F238E27FC236}">
              <a16:creationId xmlns:a16="http://schemas.microsoft.com/office/drawing/2014/main" id="{592D1B4C-6A43-40A9-8D6A-2D0A39ECEE5C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2735" name="Minus 382">
          <a:extLst>
            <a:ext uri="{FF2B5EF4-FFF2-40B4-BE49-F238E27FC236}">
              <a16:creationId xmlns:a16="http://schemas.microsoft.com/office/drawing/2014/main" id="{952AD484-4F9A-449D-A1F7-1BE14CB28C10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2736" name="Minus 382">
          <a:extLst>
            <a:ext uri="{FF2B5EF4-FFF2-40B4-BE49-F238E27FC236}">
              <a16:creationId xmlns:a16="http://schemas.microsoft.com/office/drawing/2014/main" id="{C0639E46-45C4-49E1-BF7D-ADE91E6F9C05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2737" name="Minus 382">
          <a:extLst>
            <a:ext uri="{FF2B5EF4-FFF2-40B4-BE49-F238E27FC236}">
              <a16:creationId xmlns:a16="http://schemas.microsoft.com/office/drawing/2014/main" id="{D3107B7D-80E9-44F1-9440-AD6A9EBCE839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2738" name="Minus 382">
          <a:extLst>
            <a:ext uri="{FF2B5EF4-FFF2-40B4-BE49-F238E27FC236}">
              <a16:creationId xmlns:a16="http://schemas.microsoft.com/office/drawing/2014/main" id="{A4C5A6B2-1A8B-4989-B516-AD7B8230D6F0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2739" name="Minus 382">
          <a:extLst>
            <a:ext uri="{FF2B5EF4-FFF2-40B4-BE49-F238E27FC236}">
              <a16:creationId xmlns:a16="http://schemas.microsoft.com/office/drawing/2014/main" id="{7A3E91CD-5323-480A-9545-8AC6F956365B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2740" name="Minus 382">
          <a:extLst>
            <a:ext uri="{FF2B5EF4-FFF2-40B4-BE49-F238E27FC236}">
              <a16:creationId xmlns:a16="http://schemas.microsoft.com/office/drawing/2014/main" id="{5ABDFA8F-814B-4941-B391-74F4E42E3F2F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2741" name="Minus 382">
          <a:extLst>
            <a:ext uri="{FF2B5EF4-FFF2-40B4-BE49-F238E27FC236}">
              <a16:creationId xmlns:a16="http://schemas.microsoft.com/office/drawing/2014/main" id="{2F4C2CC0-1AFA-442B-A014-534A6582C2A2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2742" name="Minus 382">
          <a:extLst>
            <a:ext uri="{FF2B5EF4-FFF2-40B4-BE49-F238E27FC236}">
              <a16:creationId xmlns:a16="http://schemas.microsoft.com/office/drawing/2014/main" id="{6771A85B-27B9-475F-8977-5040EA8F6A7A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2743" name="Minus 382">
          <a:extLst>
            <a:ext uri="{FF2B5EF4-FFF2-40B4-BE49-F238E27FC236}">
              <a16:creationId xmlns:a16="http://schemas.microsoft.com/office/drawing/2014/main" id="{B2AB9CE7-10EF-4C55-A1F0-F33ABDAA99F8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2744" name="Minus 382">
          <a:extLst>
            <a:ext uri="{FF2B5EF4-FFF2-40B4-BE49-F238E27FC236}">
              <a16:creationId xmlns:a16="http://schemas.microsoft.com/office/drawing/2014/main" id="{82659B7E-98BE-45CB-8A22-43C6493E66C0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2745" name="Minus 382">
          <a:extLst>
            <a:ext uri="{FF2B5EF4-FFF2-40B4-BE49-F238E27FC236}">
              <a16:creationId xmlns:a16="http://schemas.microsoft.com/office/drawing/2014/main" id="{71742F72-D154-44DA-AE2E-9986C1957C3C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2746" name="Minus 382">
          <a:extLst>
            <a:ext uri="{FF2B5EF4-FFF2-40B4-BE49-F238E27FC236}">
              <a16:creationId xmlns:a16="http://schemas.microsoft.com/office/drawing/2014/main" id="{BC897B75-5A4C-470F-B8B1-FEDEC2773D21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2747" name="Minus 382">
          <a:extLst>
            <a:ext uri="{FF2B5EF4-FFF2-40B4-BE49-F238E27FC236}">
              <a16:creationId xmlns:a16="http://schemas.microsoft.com/office/drawing/2014/main" id="{14015485-CAE8-40B9-88E4-441360FBA98D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2748" name="Minus 382">
          <a:extLst>
            <a:ext uri="{FF2B5EF4-FFF2-40B4-BE49-F238E27FC236}">
              <a16:creationId xmlns:a16="http://schemas.microsoft.com/office/drawing/2014/main" id="{6EF9E7B8-842B-4BD3-9406-25D83FA70C01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2749" name="Minus 382">
          <a:extLst>
            <a:ext uri="{FF2B5EF4-FFF2-40B4-BE49-F238E27FC236}">
              <a16:creationId xmlns:a16="http://schemas.microsoft.com/office/drawing/2014/main" id="{06C7046F-8781-46A1-9B76-60284ADD98E3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2750" name="Minus 382">
          <a:extLst>
            <a:ext uri="{FF2B5EF4-FFF2-40B4-BE49-F238E27FC236}">
              <a16:creationId xmlns:a16="http://schemas.microsoft.com/office/drawing/2014/main" id="{D7167907-B458-4A4B-A360-AE81ABBDD768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2751" name="Minus 382">
          <a:extLst>
            <a:ext uri="{FF2B5EF4-FFF2-40B4-BE49-F238E27FC236}">
              <a16:creationId xmlns:a16="http://schemas.microsoft.com/office/drawing/2014/main" id="{C157ED1B-DDAE-45EF-9A5D-C18673130FB6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2752" name="Minus 382">
          <a:extLst>
            <a:ext uri="{FF2B5EF4-FFF2-40B4-BE49-F238E27FC236}">
              <a16:creationId xmlns:a16="http://schemas.microsoft.com/office/drawing/2014/main" id="{5F120585-A7B6-4209-9043-451D12869614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2753" name="Minus 382">
          <a:extLst>
            <a:ext uri="{FF2B5EF4-FFF2-40B4-BE49-F238E27FC236}">
              <a16:creationId xmlns:a16="http://schemas.microsoft.com/office/drawing/2014/main" id="{B85DB385-1FBB-4C36-BC43-BF816185EA10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2754" name="Minus 382">
          <a:extLst>
            <a:ext uri="{FF2B5EF4-FFF2-40B4-BE49-F238E27FC236}">
              <a16:creationId xmlns:a16="http://schemas.microsoft.com/office/drawing/2014/main" id="{AD4E267E-E8CF-4A96-84DB-189BE65464AB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2755" name="Minus 382">
          <a:extLst>
            <a:ext uri="{FF2B5EF4-FFF2-40B4-BE49-F238E27FC236}">
              <a16:creationId xmlns:a16="http://schemas.microsoft.com/office/drawing/2014/main" id="{05D71184-FC20-4AA9-B365-FF7A4988B468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2756" name="Minus 382">
          <a:extLst>
            <a:ext uri="{FF2B5EF4-FFF2-40B4-BE49-F238E27FC236}">
              <a16:creationId xmlns:a16="http://schemas.microsoft.com/office/drawing/2014/main" id="{C1F74D6B-D8B5-4CFB-98A6-E69BBE6446C2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2757" name="Minus 382">
          <a:extLst>
            <a:ext uri="{FF2B5EF4-FFF2-40B4-BE49-F238E27FC236}">
              <a16:creationId xmlns:a16="http://schemas.microsoft.com/office/drawing/2014/main" id="{354A0EB1-AC82-40C7-9533-00EEB0FD7029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2758" name="Minus 382">
          <a:extLst>
            <a:ext uri="{FF2B5EF4-FFF2-40B4-BE49-F238E27FC236}">
              <a16:creationId xmlns:a16="http://schemas.microsoft.com/office/drawing/2014/main" id="{953E5EBB-03B1-4AD4-93E5-040842B4BBF5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2759" name="Minus 382">
          <a:extLst>
            <a:ext uri="{FF2B5EF4-FFF2-40B4-BE49-F238E27FC236}">
              <a16:creationId xmlns:a16="http://schemas.microsoft.com/office/drawing/2014/main" id="{875CF387-A293-4CF3-9F14-7B198EF0BA83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2760" name="Minus 382">
          <a:extLst>
            <a:ext uri="{FF2B5EF4-FFF2-40B4-BE49-F238E27FC236}">
              <a16:creationId xmlns:a16="http://schemas.microsoft.com/office/drawing/2014/main" id="{F68A4D6F-16F1-4CF2-BFB3-484F54DCD7FF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2761" name="Minus 382">
          <a:extLst>
            <a:ext uri="{FF2B5EF4-FFF2-40B4-BE49-F238E27FC236}">
              <a16:creationId xmlns:a16="http://schemas.microsoft.com/office/drawing/2014/main" id="{E4B8B628-1EC3-4509-8E5C-55071DFDAE26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2762" name="Minus 382">
          <a:extLst>
            <a:ext uri="{FF2B5EF4-FFF2-40B4-BE49-F238E27FC236}">
              <a16:creationId xmlns:a16="http://schemas.microsoft.com/office/drawing/2014/main" id="{64E691A1-6E00-48A7-B967-E680F0B19C8F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2763" name="Minus 382">
          <a:extLst>
            <a:ext uri="{FF2B5EF4-FFF2-40B4-BE49-F238E27FC236}">
              <a16:creationId xmlns:a16="http://schemas.microsoft.com/office/drawing/2014/main" id="{D06E1CA4-6005-411D-B429-83997AEDBDFA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2764" name="Minus 382">
          <a:extLst>
            <a:ext uri="{FF2B5EF4-FFF2-40B4-BE49-F238E27FC236}">
              <a16:creationId xmlns:a16="http://schemas.microsoft.com/office/drawing/2014/main" id="{D9BB7368-27E0-4869-A521-1865E1C2F852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2765" name="Minus 382">
          <a:extLst>
            <a:ext uri="{FF2B5EF4-FFF2-40B4-BE49-F238E27FC236}">
              <a16:creationId xmlns:a16="http://schemas.microsoft.com/office/drawing/2014/main" id="{89F9DC7D-6A75-4792-8186-6606267FF0F4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2766" name="Minus 382">
          <a:extLst>
            <a:ext uri="{FF2B5EF4-FFF2-40B4-BE49-F238E27FC236}">
              <a16:creationId xmlns:a16="http://schemas.microsoft.com/office/drawing/2014/main" id="{BE2C99B4-DCB5-43C0-BBD9-F95193455B30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2767" name="Minus 382">
          <a:extLst>
            <a:ext uri="{FF2B5EF4-FFF2-40B4-BE49-F238E27FC236}">
              <a16:creationId xmlns:a16="http://schemas.microsoft.com/office/drawing/2014/main" id="{684A5550-0989-477E-85D4-8E636B517917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2768" name="Minus 382">
          <a:extLst>
            <a:ext uri="{FF2B5EF4-FFF2-40B4-BE49-F238E27FC236}">
              <a16:creationId xmlns:a16="http://schemas.microsoft.com/office/drawing/2014/main" id="{68E643F0-79D7-43CC-AF3C-D7B5DA6801BC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2769" name="Minus 382">
          <a:extLst>
            <a:ext uri="{FF2B5EF4-FFF2-40B4-BE49-F238E27FC236}">
              <a16:creationId xmlns:a16="http://schemas.microsoft.com/office/drawing/2014/main" id="{F6A16F5B-35D4-49E3-9177-5C4EDF2B16C1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2770" name="Minus 382">
          <a:extLst>
            <a:ext uri="{FF2B5EF4-FFF2-40B4-BE49-F238E27FC236}">
              <a16:creationId xmlns:a16="http://schemas.microsoft.com/office/drawing/2014/main" id="{E0A8135E-FDD4-4D9A-87F5-6E711D5F81AD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2771" name="Minus 382">
          <a:extLst>
            <a:ext uri="{FF2B5EF4-FFF2-40B4-BE49-F238E27FC236}">
              <a16:creationId xmlns:a16="http://schemas.microsoft.com/office/drawing/2014/main" id="{EAFA24D1-D034-4009-B990-9314B43996B1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2772" name="Minus 382">
          <a:extLst>
            <a:ext uri="{FF2B5EF4-FFF2-40B4-BE49-F238E27FC236}">
              <a16:creationId xmlns:a16="http://schemas.microsoft.com/office/drawing/2014/main" id="{517F3EFD-44AF-4CFF-B779-10B3CC3B7AE6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2773" name="Minus 382">
          <a:extLst>
            <a:ext uri="{FF2B5EF4-FFF2-40B4-BE49-F238E27FC236}">
              <a16:creationId xmlns:a16="http://schemas.microsoft.com/office/drawing/2014/main" id="{0621A2FC-E288-4D3A-AC75-F5C40ED93ED0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2774" name="Minus 382">
          <a:extLst>
            <a:ext uri="{FF2B5EF4-FFF2-40B4-BE49-F238E27FC236}">
              <a16:creationId xmlns:a16="http://schemas.microsoft.com/office/drawing/2014/main" id="{3B61E633-46FE-4C06-B845-F68615AD595D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2775" name="Minus 382">
          <a:extLst>
            <a:ext uri="{FF2B5EF4-FFF2-40B4-BE49-F238E27FC236}">
              <a16:creationId xmlns:a16="http://schemas.microsoft.com/office/drawing/2014/main" id="{F106C2E5-DDEF-4588-B9B0-412615200971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2776" name="Minus 382">
          <a:extLst>
            <a:ext uri="{FF2B5EF4-FFF2-40B4-BE49-F238E27FC236}">
              <a16:creationId xmlns:a16="http://schemas.microsoft.com/office/drawing/2014/main" id="{28DE5CF9-95BD-4B12-98F9-1DC95386E4DB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2777" name="Minus 382">
          <a:extLst>
            <a:ext uri="{FF2B5EF4-FFF2-40B4-BE49-F238E27FC236}">
              <a16:creationId xmlns:a16="http://schemas.microsoft.com/office/drawing/2014/main" id="{25061ABB-ED66-4F85-A9BF-2F50AE9DCA8D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2778" name="Minus 382">
          <a:extLst>
            <a:ext uri="{FF2B5EF4-FFF2-40B4-BE49-F238E27FC236}">
              <a16:creationId xmlns:a16="http://schemas.microsoft.com/office/drawing/2014/main" id="{4DA0B595-0C0C-4670-AD34-90FA876AB486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2779" name="Minus 382">
          <a:extLst>
            <a:ext uri="{FF2B5EF4-FFF2-40B4-BE49-F238E27FC236}">
              <a16:creationId xmlns:a16="http://schemas.microsoft.com/office/drawing/2014/main" id="{5284104C-31AD-4471-B1A8-C42265F83A9F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2780" name="Minus 382">
          <a:extLst>
            <a:ext uri="{FF2B5EF4-FFF2-40B4-BE49-F238E27FC236}">
              <a16:creationId xmlns:a16="http://schemas.microsoft.com/office/drawing/2014/main" id="{50375E50-8505-49D1-B03C-EB541041EE90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2781" name="Minus 382">
          <a:extLst>
            <a:ext uri="{FF2B5EF4-FFF2-40B4-BE49-F238E27FC236}">
              <a16:creationId xmlns:a16="http://schemas.microsoft.com/office/drawing/2014/main" id="{9A3A5E49-19B9-4D60-8228-8CF0816C7714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2782" name="Minus 382">
          <a:extLst>
            <a:ext uri="{FF2B5EF4-FFF2-40B4-BE49-F238E27FC236}">
              <a16:creationId xmlns:a16="http://schemas.microsoft.com/office/drawing/2014/main" id="{9223F9A6-F847-48CA-A67A-FCF8786CA1FC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2783" name="Minus 382">
          <a:extLst>
            <a:ext uri="{FF2B5EF4-FFF2-40B4-BE49-F238E27FC236}">
              <a16:creationId xmlns:a16="http://schemas.microsoft.com/office/drawing/2014/main" id="{98CEEEAD-6B8E-44F7-991D-D147EF4A84DD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2784" name="Minus 382">
          <a:extLst>
            <a:ext uri="{FF2B5EF4-FFF2-40B4-BE49-F238E27FC236}">
              <a16:creationId xmlns:a16="http://schemas.microsoft.com/office/drawing/2014/main" id="{E5739C75-F191-4142-81A0-3A0CDB0B4530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2785" name="Minus 382">
          <a:extLst>
            <a:ext uri="{FF2B5EF4-FFF2-40B4-BE49-F238E27FC236}">
              <a16:creationId xmlns:a16="http://schemas.microsoft.com/office/drawing/2014/main" id="{DC3E0E78-5ADB-4799-AF08-B47D6B15274B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2786" name="Minus 382">
          <a:extLst>
            <a:ext uri="{FF2B5EF4-FFF2-40B4-BE49-F238E27FC236}">
              <a16:creationId xmlns:a16="http://schemas.microsoft.com/office/drawing/2014/main" id="{139983CF-72C4-4B0D-BD6A-C0544C3A16E2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2787" name="Minus 382">
          <a:extLst>
            <a:ext uri="{FF2B5EF4-FFF2-40B4-BE49-F238E27FC236}">
              <a16:creationId xmlns:a16="http://schemas.microsoft.com/office/drawing/2014/main" id="{5E498343-2B08-422A-AD23-7D1BF35645A1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2788" name="Minus 382">
          <a:extLst>
            <a:ext uri="{FF2B5EF4-FFF2-40B4-BE49-F238E27FC236}">
              <a16:creationId xmlns:a16="http://schemas.microsoft.com/office/drawing/2014/main" id="{2E1ACBA5-6042-47F3-8007-6C5AF27BBDBC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2789" name="Minus 382">
          <a:extLst>
            <a:ext uri="{FF2B5EF4-FFF2-40B4-BE49-F238E27FC236}">
              <a16:creationId xmlns:a16="http://schemas.microsoft.com/office/drawing/2014/main" id="{492CD8F1-68D8-42C6-A193-9E03F17F3E28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2790" name="Minus 382">
          <a:extLst>
            <a:ext uri="{FF2B5EF4-FFF2-40B4-BE49-F238E27FC236}">
              <a16:creationId xmlns:a16="http://schemas.microsoft.com/office/drawing/2014/main" id="{E47E3856-7B92-4D9C-A6DB-0F8DD1343163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2791" name="Minus 382">
          <a:extLst>
            <a:ext uri="{FF2B5EF4-FFF2-40B4-BE49-F238E27FC236}">
              <a16:creationId xmlns:a16="http://schemas.microsoft.com/office/drawing/2014/main" id="{F2CD9A9B-A39F-4D9A-87C8-DD2B8371CF51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2792" name="Minus 382">
          <a:extLst>
            <a:ext uri="{FF2B5EF4-FFF2-40B4-BE49-F238E27FC236}">
              <a16:creationId xmlns:a16="http://schemas.microsoft.com/office/drawing/2014/main" id="{EEF4C911-7785-4DE0-BAFE-64BDBB36EC3A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2793" name="Minus 382">
          <a:extLst>
            <a:ext uri="{FF2B5EF4-FFF2-40B4-BE49-F238E27FC236}">
              <a16:creationId xmlns:a16="http://schemas.microsoft.com/office/drawing/2014/main" id="{FB0F54F8-00DE-4912-A5A3-3A02FB1E4CCD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2794" name="Minus 382">
          <a:extLst>
            <a:ext uri="{FF2B5EF4-FFF2-40B4-BE49-F238E27FC236}">
              <a16:creationId xmlns:a16="http://schemas.microsoft.com/office/drawing/2014/main" id="{FE1ABD9A-DEA8-4B3A-BE97-E3F5D3E202E1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2795" name="Minus 382">
          <a:extLst>
            <a:ext uri="{FF2B5EF4-FFF2-40B4-BE49-F238E27FC236}">
              <a16:creationId xmlns:a16="http://schemas.microsoft.com/office/drawing/2014/main" id="{63E2336D-3170-417B-A39E-0617FD820B20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2796" name="Minus 382">
          <a:extLst>
            <a:ext uri="{FF2B5EF4-FFF2-40B4-BE49-F238E27FC236}">
              <a16:creationId xmlns:a16="http://schemas.microsoft.com/office/drawing/2014/main" id="{16293648-6C1F-44DA-95FA-3ED696D0E1C9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2797" name="Minus 382">
          <a:extLst>
            <a:ext uri="{FF2B5EF4-FFF2-40B4-BE49-F238E27FC236}">
              <a16:creationId xmlns:a16="http://schemas.microsoft.com/office/drawing/2014/main" id="{5582684D-EC8E-4EB7-AC24-ACF81E56CACB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2798" name="Minus 382">
          <a:extLst>
            <a:ext uri="{FF2B5EF4-FFF2-40B4-BE49-F238E27FC236}">
              <a16:creationId xmlns:a16="http://schemas.microsoft.com/office/drawing/2014/main" id="{C10C8075-EED4-4FE8-8524-5693A25971F0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2799" name="Minus 382">
          <a:extLst>
            <a:ext uri="{FF2B5EF4-FFF2-40B4-BE49-F238E27FC236}">
              <a16:creationId xmlns:a16="http://schemas.microsoft.com/office/drawing/2014/main" id="{2D81894A-68BC-41D2-A41A-827B816BC241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2800" name="Minus 382">
          <a:extLst>
            <a:ext uri="{FF2B5EF4-FFF2-40B4-BE49-F238E27FC236}">
              <a16:creationId xmlns:a16="http://schemas.microsoft.com/office/drawing/2014/main" id="{993A70AD-59D8-452E-8B02-8A86D18698A2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2801" name="Minus 382">
          <a:extLst>
            <a:ext uri="{FF2B5EF4-FFF2-40B4-BE49-F238E27FC236}">
              <a16:creationId xmlns:a16="http://schemas.microsoft.com/office/drawing/2014/main" id="{649422D6-2D1D-4C25-86FA-181E8E156867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2802" name="Minus 382">
          <a:extLst>
            <a:ext uri="{FF2B5EF4-FFF2-40B4-BE49-F238E27FC236}">
              <a16:creationId xmlns:a16="http://schemas.microsoft.com/office/drawing/2014/main" id="{5D925CD1-05C1-4009-8F4E-C2ACE01DF4D7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2803" name="Minus 382">
          <a:extLst>
            <a:ext uri="{FF2B5EF4-FFF2-40B4-BE49-F238E27FC236}">
              <a16:creationId xmlns:a16="http://schemas.microsoft.com/office/drawing/2014/main" id="{BA915927-CE74-4A43-BF2C-ABB1C3C59887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2804" name="Minus 382">
          <a:extLst>
            <a:ext uri="{FF2B5EF4-FFF2-40B4-BE49-F238E27FC236}">
              <a16:creationId xmlns:a16="http://schemas.microsoft.com/office/drawing/2014/main" id="{ABC2E8BE-46C0-4B9B-AABF-0A3C37FEADBB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2805" name="Minus 382">
          <a:extLst>
            <a:ext uri="{FF2B5EF4-FFF2-40B4-BE49-F238E27FC236}">
              <a16:creationId xmlns:a16="http://schemas.microsoft.com/office/drawing/2014/main" id="{13E01515-6A41-4755-8A88-ED3687AA6024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2806" name="Minus 382">
          <a:extLst>
            <a:ext uri="{FF2B5EF4-FFF2-40B4-BE49-F238E27FC236}">
              <a16:creationId xmlns:a16="http://schemas.microsoft.com/office/drawing/2014/main" id="{A4933CB3-B4C4-4535-A3E4-D4D9448F1669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2807" name="Minus 382">
          <a:extLst>
            <a:ext uri="{FF2B5EF4-FFF2-40B4-BE49-F238E27FC236}">
              <a16:creationId xmlns:a16="http://schemas.microsoft.com/office/drawing/2014/main" id="{91D65B66-CC53-44CB-BAE1-5B3185FEBF01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2808" name="Minus 382">
          <a:extLst>
            <a:ext uri="{FF2B5EF4-FFF2-40B4-BE49-F238E27FC236}">
              <a16:creationId xmlns:a16="http://schemas.microsoft.com/office/drawing/2014/main" id="{6F9D5C05-AEAB-4C9A-8462-CC39451A7DD5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2809" name="Minus 382">
          <a:extLst>
            <a:ext uri="{FF2B5EF4-FFF2-40B4-BE49-F238E27FC236}">
              <a16:creationId xmlns:a16="http://schemas.microsoft.com/office/drawing/2014/main" id="{EDF320C5-1307-4A8E-BD6E-AA65C09F218C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2810" name="Minus 382">
          <a:extLst>
            <a:ext uri="{FF2B5EF4-FFF2-40B4-BE49-F238E27FC236}">
              <a16:creationId xmlns:a16="http://schemas.microsoft.com/office/drawing/2014/main" id="{DB187AFA-771F-420D-97B2-660E09414425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2811" name="Minus 382">
          <a:extLst>
            <a:ext uri="{FF2B5EF4-FFF2-40B4-BE49-F238E27FC236}">
              <a16:creationId xmlns:a16="http://schemas.microsoft.com/office/drawing/2014/main" id="{C7880397-54AE-441D-BD56-F8BA8E7E78B8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2812" name="Minus 382">
          <a:extLst>
            <a:ext uri="{FF2B5EF4-FFF2-40B4-BE49-F238E27FC236}">
              <a16:creationId xmlns:a16="http://schemas.microsoft.com/office/drawing/2014/main" id="{961AE02A-7AD4-41F3-A207-72D87DF9CE50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2813" name="Minus 382">
          <a:extLst>
            <a:ext uri="{FF2B5EF4-FFF2-40B4-BE49-F238E27FC236}">
              <a16:creationId xmlns:a16="http://schemas.microsoft.com/office/drawing/2014/main" id="{62D35113-1121-4A96-B747-A11572A722CE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2814" name="Minus 382">
          <a:extLst>
            <a:ext uri="{FF2B5EF4-FFF2-40B4-BE49-F238E27FC236}">
              <a16:creationId xmlns:a16="http://schemas.microsoft.com/office/drawing/2014/main" id="{B574A187-B72B-4436-BF7E-D4E4FD34EA16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2815" name="Minus 382">
          <a:extLst>
            <a:ext uri="{FF2B5EF4-FFF2-40B4-BE49-F238E27FC236}">
              <a16:creationId xmlns:a16="http://schemas.microsoft.com/office/drawing/2014/main" id="{91E40502-66B7-4D07-9B64-4F92EC95D164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2816" name="Minus 382">
          <a:extLst>
            <a:ext uri="{FF2B5EF4-FFF2-40B4-BE49-F238E27FC236}">
              <a16:creationId xmlns:a16="http://schemas.microsoft.com/office/drawing/2014/main" id="{A5F60969-C579-4D40-A87E-FD5CF6CB0CA2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2817" name="Minus 382">
          <a:extLst>
            <a:ext uri="{FF2B5EF4-FFF2-40B4-BE49-F238E27FC236}">
              <a16:creationId xmlns:a16="http://schemas.microsoft.com/office/drawing/2014/main" id="{EEA9E946-C583-4F76-B379-C267900544BE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2818" name="Minus 382">
          <a:extLst>
            <a:ext uri="{FF2B5EF4-FFF2-40B4-BE49-F238E27FC236}">
              <a16:creationId xmlns:a16="http://schemas.microsoft.com/office/drawing/2014/main" id="{9483D714-E0F5-4D6A-BCD6-72808601B2F8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2819" name="Minus 382">
          <a:extLst>
            <a:ext uri="{FF2B5EF4-FFF2-40B4-BE49-F238E27FC236}">
              <a16:creationId xmlns:a16="http://schemas.microsoft.com/office/drawing/2014/main" id="{34BC492D-695E-4C77-A072-AC47D36B83F9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2820" name="Minus 382">
          <a:extLst>
            <a:ext uri="{FF2B5EF4-FFF2-40B4-BE49-F238E27FC236}">
              <a16:creationId xmlns:a16="http://schemas.microsoft.com/office/drawing/2014/main" id="{7830A0A9-AA0B-4F2A-9486-F2DFB3EDFC0E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2821" name="Minus 382">
          <a:extLst>
            <a:ext uri="{FF2B5EF4-FFF2-40B4-BE49-F238E27FC236}">
              <a16:creationId xmlns:a16="http://schemas.microsoft.com/office/drawing/2014/main" id="{9A4BBBF4-1C95-494A-B2F5-4E894935F217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2822" name="Minus 382">
          <a:extLst>
            <a:ext uri="{FF2B5EF4-FFF2-40B4-BE49-F238E27FC236}">
              <a16:creationId xmlns:a16="http://schemas.microsoft.com/office/drawing/2014/main" id="{900795FC-CE46-44F3-B6E3-4EA589B7C847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2823" name="Minus 382">
          <a:extLst>
            <a:ext uri="{FF2B5EF4-FFF2-40B4-BE49-F238E27FC236}">
              <a16:creationId xmlns:a16="http://schemas.microsoft.com/office/drawing/2014/main" id="{233E60E2-B856-4E87-8A59-B37B6B064B04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2824" name="Minus 382">
          <a:extLst>
            <a:ext uri="{FF2B5EF4-FFF2-40B4-BE49-F238E27FC236}">
              <a16:creationId xmlns:a16="http://schemas.microsoft.com/office/drawing/2014/main" id="{6C467B6F-3298-4A0A-80C0-DA33808403CA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2825" name="Minus 382">
          <a:extLst>
            <a:ext uri="{FF2B5EF4-FFF2-40B4-BE49-F238E27FC236}">
              <a16:creationId xmlns:a16="http://schemas.microsoft.com/office/drawing/2014/main" id="{ADAD5FEB-1119-4D99-8537-0EF7A04300BF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2826" name="Minus 382">
          <a:extLst>
            <a:ext uri="{FF2B5EF4-FFF2-40B4-BE49-F238E27FC236}">
              <a16:creationId xmlns:a16="http://schemas.microsoft.com/office/drawing/2014/main" id="{1A27C6E0-8FD8-4904-AB5C-C9141EE01A38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2827" name="Minus 382">
          <a:extLst>
            <a:ext uri="{FF2B5EF4-FFF2-40B4-BE49-F238E27FC236}">
              <a16:creationId xmlns:a16="http://schemas.microsoft.com/office/drawing/2014/main" id="{F9C6EC80-3833-44AF-8BE7-67CBEEE0B005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2828" name="Minus 382">
          <a:extLst>
            <a:ext uri="{FF2B5EF4-FFF2-40B4-BE49-F238E27FC236}">
              <a16:creationId xmlns:a16="http://schemas.microsoft.com/office/drawing/2014/main" id="{105BC05F-FA51-471A-B1C7-58FA4D2DCC4A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2829" name="Minus 382">
          <a:extLst>
            <a:ext uri="{FF2B5EF4-FFF2-40B4-BE49-F238E27FC236}">
              <a16:creationId xmlns:a16="http://schemas.microsoft.com/office/drawing/2014/main" id="{8C263230-6449-4490-AEAE-00C50A169071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2830" name="Minus 382">
          <a:extLst>
            <a:ext uri="{FF2B5EF4-FFF2-40B4-BE49-F238E27FC236}">
              <a16:creationId xmlns:a16="http://schemas.microsoft.com/office/drawing/2014/main" id="{07533A39-87D3-4018-A7CF-834A03D7C454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2831" name="Minus 382">
          <a:extLst>
            <a:ext uri="{FF2B5EF4-FFF2-40B4-BE49-F238E27FC236}">
              <a16:creationId xmlns:a16="http://schemas.microsoft.com/office/drawing/2014/main" id="{E2F66B00-4563-49A2-91E5-A4258F78721E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2832" name="Minus 382">
          <a:extLst>
            <a:ext uri="{FF2B5EF4-FFF2-40B4-BE49-F238E27FC236}">
              <a16:creationId xmlns:a16="http://schemas.microsoft.com/office/drawing/2014/main" id="{C1C24124-451C-47C6-A594-4EB15E6AC2AF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2833" name="Minus 382">
          <a:extLst>
            <a:ext uri="{FF2B5EF4-FFF2-40B4-BE49-F238E27FC236}">
              <a16:creationId xmlns:a16="http://schemas.microsoft.com/office/drawing/2014/main" id="{1C9FC39C-8E2B-4E1F-9B31-D1D95A0DA5F9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2834" name="Minus 382">
          <a:extLst>
            <a:ext uri="{FF2B5EF4-FFF2-40B4-BE49-F238E27FC236}">
              <a16:creationId xmlns:a16="http://schemas.microsoft.com/office/drawing/2014/main" id="{FC4A5CFD-6D00-4AA8-8851-EBF91AA16040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2835" name="Minus 382">
          <a:extLst>
            <a:ext uri="{FF2B5EF4-FFF2-40B4-BE49-F238E27FC236}">
              <a16:creationId xmlns:a16="http://schemas.microsoft.com/office/drawing/2014/main" id="{390CC8CF-0564-4C4D-A95C-4C655C1238CE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2836" name="Minus 382">
          <a:extLst>
            <a:ext uri="{FF2B5EF4-FFF2-40B4-BE49-F238E27FC236}">
              <a16:creationId xmlns:a16="http://schemas.microsoft.com/office/drawing/2014/main" id="{64099E2B-3760-4D1A-80FD-A60EEC0CEC7C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2837" name="Minus 382">
          <a:extLst>
            <a:ext uri="{FF2B5EF4-FFF2-40B4-BE49-F238E27FC236}">
              <a16:creationId xmlns:a16="http://schemas.microsoft.com/office/drawing/2014/main" id="{1A2E4395-1360-46E4-8E18-D5D5B0BAE5ED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2838" name="Minus 382">
          <a:extLst>
            <a:ext uri="{FF2B5EF4-FFF2-40B4-BE49-F238E27FC236}">
              <a16:creationId xmlns:a16="http://schemas.microsoft.com/office/drawing/2014/main" id="{0A6CDB28-9EAF-4B64-ACB1-62185F3C63AD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2839" name="Minus 382">
          <a:extLst>
            <a:ext uri="{FF2B5EF4-FFF2-40B4-BE49-F238E27FC236}">
              <a16:creationId xmlns:a16="http://schemas.microsoft.com/office/drawing/2014/main" id="{D3C6DA23-7E68-45A2-A462-C40147208AC6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2840" name="Minus 382">
          <a:extLst>
            <a:ext uri="{FF2B5EF4-FFF2-40B4-BE49-F238E27FC236}">
              <a16:creationId xmlns:a16="http://schemas.microsoft.com/office/drawing/2014/main" id="{D6A0931A-724D-401A-BB30-708B0C096FB5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2841" name="Minus 382">
          <a:extLst>
            <a:ext uri="{FF2B5EF4-FFF2-40B4-BE49-F238E27FC236}">
              <a16:creationId xmlns:a16="http://schemas.microsoft.com/office/drawing/2014/main" id="{F5B3DF77-32AF-4534-ABAD-A2FB3CFC8876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2842" name="Minus 382">
          <a:extLst>
            <a:ext uri="{FF2B5EF4-FFF2-40B4-BE49-F238E27FC236}">
              <a16:creationId xmlns:a16="http://schemas.microsoft.com/office/drawing/2014/main" id="{B8349DBF-A94D-44B8-BEAE-5F68CDD743B0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2843" name="Minus 382">
          <a:extLst>
            <a:ext uri="{FF2B5EF4-FFF2-40B4-BE49-F238E27FC236}">
              <a16:creationId xmlns:a16="http://schemas.microsoft.com/office/drawing/2014/main" id="{F125CA69-323E-4F2F-93D7-C1B5B1077A2E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2844" name="Minus 382">
          <a:extLst>
            <a:ext uri="{FF2B5EF4-FFF2-40B4-BE49-F238E27FC236}">
              <a16:creationId xmlns:a16="http://schemas.microsoft.com/office/drawing/2014/main" id="{46D9987D-8966-429D-8C6C-47534217A5E1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2845" name="Minus 382">
          <a:extLst>
            <a:ext uri="{FF2B5EF4-FFF2-40B4-BE49-F238E27FC236}">
              <a16:creationId xmlns:a16="http://schemas.microsoft.com/office/drawing/2014/main" id="{E9ACED88-6E96-447E-B624-35F5D150D4B9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2846" name="Minus 382">
          <a:extLst>
            <a:ext uri="{FF2B5EF4-FFF2-40B4-BE49-F238E27FC236}">
              <a16:creationId xmlns:a16="http://schemas.microsoft.com/office/drawing/2014/main" id="{8786303F-E9CD-46C9-9BD3-66E63C6ED52C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2847" name="Minus 382">
          <a:extLst>
            <a:ext uri="{FF2B5EF4-FFF2-40B4-BE49-F238E27FC236}">
              <a16:creationId xmlns:a16="http://schemas.microsoft.com/office/drawing/2014/main" id="{5850CB3A-B181-46A7-87D9-DDB4AF8CD9B9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2848" name="Minus 382">
          <a:extLst>
            <a:ext uri="{FF2B5EF4-FFF2-40B4-BE49-F238E27FC236}">
              <a16:creationId xmlns:a16="http://schemas.microsoft.com/office/drawing/2014/main" id="{7FE31C5B-A570-4A09-91DE-32FD4EB2576F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2849" name="Minus 382">
          <a:extLst>
            <a:ext uri="{FF2B5EF4-FFF2-40B4-BE49-F238E27FC236}">
              <a16:creationId xmlns:a16="http://schemas.microsoft.com/office/drawing/2014/main" id="{50447BB4-2CD0-4B3B-937C-2BF2CC3064B1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2850" name="Minus 382">
          <a:extLst>
            <a:ext uri="{FF2B5EF4-FFF2-40B4-BE49-F238E27FC236}">
              <a16:creationId xmlns:a16="http://schemas.microsoft.com/office/drawing/2014/main" id="{5907BCB4-F3B7-478A-AE82-876A5162E0DA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2851" name="Minus 382">
          <a:extLst>
            <a:ext uri="{FF2B5EF4-FFF2-40B4-BE49-F238E27FC236}">
              <a16:creationId xmlns:a16="http://schemas.microsoft.com/office/drawing/2014/main" id="{5468805F-A1EA-4CFE-A9CC-D333B8233C45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2852" name="Minus 382">
          <a:extLst>
            <a:ext uri="{FF2B5EF4-FFF2-40B4-BE49-F238E27FC236}">
              <a16:creationId xmlns:a16="http://schemas.microsoft.com/office/drawing/2014/main" id="{0E251A2E-BEAC-4156-8D89-5CE5371412F3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2853" name="Minus 382">
          <a:extLst>
            <a:ext uri="{FF2B5EF4-FFF2-40B4-BE49-F238E27FC236}">
              <a16:creationId xmlns:a16="http://schemas.microsoft.com/office/drawing/2014/main" id="{7326E4E3-CE3F-442D-969B-71986BA5D0D3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2854" name="Minus 382">
          <a:extLst>
            <a:ext uri="{FF2B5EF4-FFF2-40B4-BE49-F238E27FC236}">
              <a16:creationId xmlns:a16="http://schemas.microsoft.com/office/drawing/2014/main" id="{0391A145-8FEB-4279-8B90-F2F4484F0C71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2855" name="Minus 382">
          <a:extLst>
            <a:ext uri="{FF2B5EF4-FFF2-40B4-BE49-F238E27FC236}">
              <a16:creationId xmlns:a16="http://schemas.microsoft.com/office/drawing/2014/main" id="{0E8BAD56-F2EA-4E75-842D-CDEB7E298CE0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2856" name="Minus 382">
          <a:extLst>
            <a:ext uri="{FF2B5EF4-FFF2-40B4-BE49-F238E27FC236}">
              <a16:creationId xmlns:a16="http://schemas.microsoft.com/office/drawing/2014/main" id="{2F8D7041-3302-4266-B2F0-1535903282BB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2857" name="Minus 382">
          <a:extLst>
            <a:ext uri="{FF2B5EF4-FFF2-40B4-BE49-F238E27FC236}">
              <a16:creationId xmlns:a16="http://schemas.microsoft.com/office/drawing/2014/main" id="{609C5B3C-C514-4E76-A485-02BDA60D0D96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2858" name="Minus 382">
          <a:extLst>
            <a:ext uri="{FF2B5EF4-FFF2-40B4-BE49-F238E27FC236}">
              <a16:creationId xmlns:a16="http://schemas.microsoft.com/office/drawing/2014/main" id="{E5684FA5-ABA1-4AAC-B514-260612509EA4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2859" name="Minus 382">
          <a:extLst>
            <a:ext uri="{FF2B5EF4-FFF2-40B4-BE49-F238E27FC236}">
              <a16:creationId xmlns:a16="http://schemas.microsoft.com/office/drawing/2014/main" id="{5C76A7AB-E310-4AC1-823E-AFA6528A4445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2860" name="Minus 382">
          <a:extLst>
            <a:ext uri="{FF2B5EF4-FFF2-40B4-BE49-F238E27FC236}">
              <a16:creationId xmlns:a16="http://schemas.microsoft.com/office/drawing/2014/main" id="{F3421191-8CC3-4CA7-BB99-90E2FD0EEDEC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2861" name="Minus 382">
          <a:extLst>
            <a:ext uri="{FF2B5EF4-FFF2-40B4-BE49-F238E27FC236}">
              <a16:creationId xmlns:a16="http://schemas.microsoft.com/office/drawing/2014/main" id="{022D3B52-EA1B-41A5-9BF4-CED7E658F86E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2862" name="Minus 382">
          <a:extLst>
            <a:ext uri="{FF2B5EF4-FFF2-40B4-BE49-F238E27FC236}">
              <a16:creationId xmlns:a16="http://schemas.microsoft.com/office/drawing/2014/main" id="{3DAAA27D-D1C2-4F1E-8754-9DB4CFE1427C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2863" name="Minus 382">
          <a:extLst>
            <a:ext uri="{FF2B5EF4-FFF2-40B4-BE49-F238E27FC236}">
              <a16:creationId xmlns:a16="http://schemas.microsoft.com/office/drawing/2014/main" id="{62B1CA3F-F6E0-4DD9-BAD7-CD931AB614AB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2864" name="Minus 382">
          <a:extLst>
            <a:ext uri="{FF2B5EF4-FFF2-40B4-BE49-F238E27FC236}">
              <a16:creationId xmlns:a16="http://schemas.microsoft.com/office/drawing/2014/main" id="{13145BF2-9733-41AF-A4EC-D32C22B38138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2865" name="Minus 382">
          <a:extLst>
            <a:ext uri="{FF2B5EF4-FFF2-40B4-BE49-F238E27FC236}">
              <a16:creationId xmlns:a16="http://schemas.microsoft.com/office/drawing/2014/main" id="{5C65A9C0-EB1E-425B-A555-AD564C07653F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2866" name="Minus 382">
          <a:extLst>
            <a:ext uri="{FF2B5EF4-FFF2-40B4-BE49-F238E27FC236}">
              <a16:creationId xmlns:a16="http://schemas.microsoft.com/office/drawing/2014/main" id="{D683DC30-9DB2-428A-8F8F-93FFDA89399A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2867" name="Minus 382">
          <a:extLst>
            <a:ext uri="{FF2B5EF4-FFF2-40B4-BE49-F238E27FC236}">
              <a16:creationId xmlns:a16="http://schemas.microsoft.com/office/drawing/2014/main" id="{64C471EF-9B9F-4E12-B06E-EF6ACC4247AF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2868" name="Minus 382">
          <a:extLst>
            <a:ext uri="{FF2B5EF4-FFF2-40B4-BE49-F238E27FC236}">
              <a16:creationId xmlns:a16="http://schemas.microsoft.com/office/drawing/2014/main" id="{B3D445BF-6678-426A-85F2-D97707FDE1A6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2869" name="Minus 382">
          <a:extLst>
            <a:ext uri="{FF2B5EF4-FFF2-40B4-BE49-F238E27FC236}">
              <a16:creationId xmlns:a16="http://schemas.microsoft.com/office/drawing/2014/main" id="{E149F0C4-AC7B-4803-BC2A-10E91A6FB21A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2870" name="Minus 382">
          <a:extLst>
            <a:ext uri="{FF2B5EF4-FFF2-40B4-BE49-F238E27FC236}">
              <a16:creationId xmlns:a16="http://schemas.microsoft.com/office/drawing/2014/main" id="{2F30087D-25DA-4AEA-9F0D-94A0ED6C3611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2871" name="Minus 382">
          <a:extLst>
            <a:ext uri="{FF2B5EF4-FFF2-40B4-BE49-F238E27FC236}">
              <a16:creationId xmlns:a16="http://schemas.microsoft.com/office/drawing/2014/main" id="{EF5A0B9F-B0B3-460B-B6CC-E7FC01716B2C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2872" name="Minus 382">
          <a:extLst>
            <a:ext uri="{FF2B5EF4-FFF2-40B4-BE49-F238E27FC236}">
              <a16:creationId xmlns:a16="http://schemas.microsoft.com/office/drawing/2014/main" id="{C7C98B37-A374-4F87-AF94-BBF421F7BE3B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2873" name="Minus 382">
          <a:extLst>
            <a:ext uri="{FF2B5EF4-FFF2-40B4-BE49-F238E27FC236}">
              <a16:creationId xmlns:a16="http://schemas.microsoft.com/office/drawing/2014/main" id="{5C1338CF-14D7-46CD-B233-80B16A319E64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2874" name="Minus 382">
          <a:extLst>
            <a:ext uri="{FF2B5EF4-FFF2-40B4-BE49-F238E27FC236}">
              <a16:creationId xmlns:a16="http://schemas.microsoft.com/office/drawing/2014/main" id="{8D253402-E48A-49FB-B1D9-B754B88D6D8B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2875" name="Minus 382">
          <a:extLst>
            <a:ext uri="{FF2B5EF4-FFF2-40B4-BE49-F238E27FC236}">
              <a16:creationId xmlns:a16="http://schemas.microsoft.com/office/drawing/2014/main" id="{EAF93BC8-B734-49FB-A6FF-5A6B69AE4752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2876" name="Minus 382">
          <a:extLst>
            <a:ext uri="{FF2B5EF4-FFF2-40B4-BE49-F238E27FC236}">
              <a16:creationId xmlns:a16="http://schemas.microsoft.com/office/drawing/2014/main" id="{CDEDDFEB-9E9D-49AC-BA38-BBFEE8AB08D6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2877" name="Minus 382">
          <a:extLst>
            <a:ext uri="{FF2B5EF4-FFF2-40B4-BE49-F238E27FC236}">
              <a16:creationId xmlns:a16="http://schemas.microsoft.com/office/drawing/2014/main" id="{44B1B96D-DC64-4199-8BBB-DB7E93817F1E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2878" name="Minus 382">
          <a:extLst>
            <a:ext uri="{FF2B5EF4-FFF2-40B4-BE49-F238E27FC236}">
              <a16:creationId xmlns:a16="http://schemas.microsoft.com/office/drawing/2014/main" id="{B4F9F302-4FD9-48BA-976D-8846A6A2B8AD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2879" name="Minus 382">
          <a:extLst>
            <a:ext uri="{FF2B5EF4-FFF2-40B4-BE49-F238E27FC236}">
              <a16:creationId xmlns:a16="http://schemas.microsoft.com/office/drawing/2014/main" id="{140D5EC5-2239-4F00-A0B9-76E04D854149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2880" name="Minus 382">
          <a:extLst>
            <a:ext uri="{FF2B5EF4-FFF2-40B4-BE49-F238E27FC236}">
              <a16:creationId xmlns:a16="http://schemas.microsoft.com/office/drawing/2014/main" id="{9A8FDA7D-EA0F-49A7-B0A2-B58969EE4662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2881" name="Minus 382">
          <a:extLst>
            <a:ext uri="{FF2B5EF4-FFF2-40B4-BE49-F238E27FC236}">
              <a16:creationId xmlns:a16="http://schemas.microsoft.com/office/drawing/2014/main" id="{CB825D34-44FD-463F-B18F-29E93F4EE8CD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2882" name="Minus 382">
          <a:extLst>
            <a:ext uri="{FF2B5EF4-FFF2-40B4-BE49-F238E27FC236}">
              <a16:creationId xmlns:a16="http://schemas.microsoft.com/office/drawing/2014/main" id="{F34E52A6-236E-4284-88A7-DFF358871681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2883" name="Minus 382">
          <a:extLst>
            <a:ext uri="{FF2B5EF4-FFF2-40B4-BE49-F238E27FC236}">
              <a16:creationId xmlns:a16="http://schemas.microsoft.com/office/drawing/2014/main" id="{A8B75583-9195-4770-9B3F-87EDD9268ABE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2884" name="Minus 382">
          <a:extLst>
            <a:ext uri="{FF2B5EF4-FFF2-40B4-BE49-F238E27FC236}">
              <a16:creationId xmlns:a16="http://schemas.microsoft.com/office/drawing/2014/main" id="{AF0E0A98-2550-42A0-B7D0-69468E79CACF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2885" name="Minus 382">
          <a:extLst>
            <a:ext uri="{FF2B5EF4-FFF2-40B4-BE49-F238E27FC236}">
              <a16:creationId xmlns:a16="http://schemas.microsoft.com/office/drawing/2014/main" id="{5A2BAEAD-384B-40BB-B598-6D4CB39557A7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2886" name="Minus 382">
          <a:extLst>
            <a:ext uri="{FF2B5EF4-FFF2-40B4-BE49-F238E27FC236}">
              <a16:creationId xmlns:a16="http://schemas.microsoft.com/office/drawing/2014/main" id="{176918F4-97DE-40AC-8162-1E790F82170A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2887" name="Minus 382">
          <a:extLst>
            <a:ext uri="{FF2B5EF4-FFF2-40B4-BE49-F238E27FC236}">
              <a16:creationId xmlns:a16="http://schemas.microsoft.com/office/drawing/2014/main" id="{1E8BB796-F6AD-4DEA-9A9A-56F8A40288C2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2888" name="Minus 382">
          <a:extLst>
            <a:ext uri="{FF2B5EF4-FFF2-40B4-BE49-F238E27FC236}">
              <a16:creationId xmlns:a16="http://schemas.microsoft.com/office/drawing/2014/main" id="{5D221BD1-7330-41A7-BF73-8DBEA483D9D7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2889" name="Minus 382">
          <a:extLst>
            <a:ext uri="{FF2B5EF4-FFF2-40B4-BE49-F238E27FC236}">
              <a16:creationId xmlns:a16="http://schemas.microsoft.com/office/drawing/2014/main" id="{7D0CFD6D-47B7-4E33-B931-60C2E701EBB9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2890" name="Minus 382">
          <a:extLst>
            <a:ext uri="{FF2B5EF4-FFF2-40B4-BE49-F238E27FC236}">
              <a16:creationId xmlns:a16="http://schemas.microsoft.com/office/drawing/2014/main" id="{6BC5323E-2FD2-4EA0-9979-24C85ABD2F1A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2891" name="Minus 382">
          <a:extLst>
            <a:ext uri="{FF2B5EF4-FFF2-40B4-BE49-F238E27FC236}">
              <a16:creationId xmlns:a16="http://schemas.microsoft.com/office/drawing/2014/main" id="{A11CAF15-04E9-4123-8BC3-3006EBFDE631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2892" name="Minus 382">
          <a:extLst>
            <a:ext uri="{FF2B5EF4-FFF2-40B4-BE49-F238E27FC236}">
              <a16:creationId xmlns:a16="http://schemas.microsoft.com/office/drawing/2014/main" id="{CAA6BCAC-A40B-4804-A9D7-44E43589E99D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2893" name="Minus 382">
          <a:extLst>
            <a:ext uri="{FF2B5EF4-FFF2-40B4-BE49-F238E27FC236}">
              <a16:creationId xmlns:a16="http://schemas.microsoft.com/office/drawing/2014/main" id="{563A01AC-4D10-446B-A9E5-D376B14463FD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2894" name="Minus 382">
          <a:extLst>
            <a:ext uri="{FF2B5EF4-FFF2-40B4-BE49-F238E27FC236}">
              <a16:creationId xmlns:a16="http://schemas.microsoft.com/office/drawing/2014/main" id="{87E3B04D-1184-453F-B4D1-7FC39532FC8F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2895" name="Minus 382">
          <a:extLst>
            <a:ext uri="{FF2B5EF4-FFF2-40B4-BE49-F238E27FC236}">
              <a16:creationId xmlns:a16="http://schemas.microsoft.com/office/drawing/2014/main" id="{8F4A9B07-773A-49E2-89F8-6D6DF7AE388E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2896" name="Minus 382">
          <a:extLst>
            <a:ext uri="{FF2B5EF4-FFF2-40B4-BE49-F238E27FC236}">
              <a16:creationId xmlns:a16="http://schemas.microsoft.com/office/drawing/2014/main" id="{F70CA8F5-ACD5-45B0-BAFD-C8B5B13DFF26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2897" name="Minus 382">
          <a:extLst>
            <a:ext uri="{FF2B5EF4-FFF2-40B4-BE49-F238E27FC236}">
              <a16:creationId xmlns:a16="http://schemas.microsoft.com/office/drawing/2014/main" id="{2102A060-9CB6-4CB4-B810-A05767C95321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2898" name="Minus 382">
          <a:extLst>
            <a:ext uri="{FF2B5EF4-FFF2-40B4-BE49-F238E27FC236}">
              <a16:creationId xmlns:a16="http://schemas.microsoft.com/office/drawing/2014/main" id="{D89450B1-12C8-4776-823F-C89275BFD6A2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2899" name="Minus 382">
          <a:extLst>
            <a:ext uri="{FF2B5EF4-FFF2-40B4-BE49-F238E27FC236}">
              <a16:creationId xmlns:a16="http://schemas.microsoft.com/office/drawing/2014/main" id="{AF43C471-6A88-404E-9015-A38F56B79436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2900" name="Minus 382">
          <a:extLst>
            <a:ext uri="{FF2B5EF4-FFF2-40B4-BE49-F238E27FC236}">
              <a16:creationId xmlns:a16="http://schemas.microsoft.com/office/drawing/2014/main" id="{C2009DC4-1D79-4658-AAC5-2775A7EA3D29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2901" name="Minus 382">
          <a:extLst>
            <a:ext uri="{FF2B5EF4-FFF2-40B4-BE49-F238E27FC236}">
              <a16:creationId xmlns:a16="http://schemas.microsoft.com/office/drawing/2014/main" id="{8AFE175E-5A15-4A8E-B304-2DC5282BE186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2902" name="Minus 382">
          <a:extLst>
            <a:ext uri="{FF2B5EF4-FFF2-40B4-BE49-F238E27FC236}">
              <a16:creationId xmlns:a16="http://schemas.microsoft.com/office/drawing/2014/main" id="{BCCE6FA5-5D1D-4295-84EF-AA07C5D83557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2903" name="Minus 382">
          <a:extLst>
            <a:ext uri="{FF2B5EF4-FFF2-40B4-BE49-F238E27FC236}">
              <a16:creationId xmlns:a16="http://schemas.microsoft.com/office/drawing/2014/main" id="{ECEE70EF-9EEC-462A-9F2D-418745742D4C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2904" name="Minus 382">
          <a:extLst>
            <a:ext uri="{FF2B5EF4-FFF2-40B4-BE49-F238E27FC236}">
              <a16:creationId xmlns:a16="http://schemas.microsoft.com/office/drawing/2014/main" id="{9551C0B8-C72E-47DE-855D-FBDD43863DF7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2905" name="Minus 382">
          <a:extLst>
            <a:ext uri="{FF2B5EF4-FFF2-40B4-BE49-F238E27FC236}">
              <a16:creationId xmlns:a16="http://schemas.microsoft.com/office/drawing/2014/main" id="{C147B095-31FA-4DB3-B51B-B40A91AC2825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2906" name="Minus 382">
          <a:extLst>
            <a:ext uri="{FF2B5EF4-FFF2-40B4-BE49-F238E27FC236}">
              <a16:creationId xmlns:a16="http://schemas.microsoft.com/office/drawing/2014/main" id="{48717F11-ECD3-4D47-85D0-F0837E41AC02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2907" name="Minus 382">
          <a:extLst>
            <a:ext uri="{FF2B5EF4-FFF2-40B4-BE49-F238E27FC236}">
              <a16:creationId xmlns:a16="http://schemas.microsoft.com/office/drawing/2014/main" id="{B610795D-523C-49AB-ADAC-1790E358ACF1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2908" name="Minus 382">
          <a:extLst>
            <a:ext uri="{FF2B5EF4-FFF2-40B4-BE49-F238E27FC236}">
              <a16:creationId xmlns:a16="http://schemas.microsoft.com/office/drawing/2014/main" id="{60056B31-BFF8-4062-9784-AA4311FAAF29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2909" name="Minus 382">
          <a:extLst>
            <a:ext uri="{FF2B5EF4-FFF2-40B4-BE49-F238E27FC236}">
              <a16:creationId xmlns:a16="http://schemas.microsoft.com/office/drawing/2014/main" id="{B70B84FD-A202-4CC0-8CB1-6BC05229721D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2910" name="Minus 382">
          <a:extLst>
            <a:ext uri="{FF2B5EF4-FFF2-40B4-BE49-F238E27FC236}">
              <a16:creationId xmlns:a16="http://schemas.microsoft.com/office/drawing/2014/main" id="{65702700-977F-4E1E-87A4-FABBB2433D7F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2911" name="Minus 382">
          <a:extLst>
            <a:ext uri="{FF2B5EF4-FFF2-40B4-BE49-F238E27FC236}">
              <a16:creationId xmlns:a16="http://schemas.microsoft.com/office/drawing/2014/main" id="{B0C74504-7CAD-4413-885A-6FB5257D5B61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2912" name="Minus 382">
          <a:extLst>
            <a:ext uri="{FF2B5EF4-FFF2-40B4-BE49-F238E27FC236}">
              <a16:creationId xmlns:a16="http://schemas.microsoft.com/office/drawing/2014/main" id="{4386B05C-75A6-4CAA-B207-3601243DE5D7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2913" name="Minus 382">
          <a:extLst>
            <a:ext uri="{FF2B5EF4-FFF2-40B4-BE49-F238E27FC236}">
              <a16:creationId xmlns:a16="http://schemas.microsoft.com/office/drawing/2014/main" id="{D8BA4FD6-B0D1-48C6-8E7C-1249597D20A6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2914" name="Minus 382">
          <a:extLst>
            <a:ext uri="{FF2B5EF4-FFF2-40B4-BE49-F238E27FC236}">
              <a16:creationId xmlns:a16="http://schemas.microsoft.com/office/drawing/2014/main" id="{60796577-F339-4847-8195-2DC8BAFA2846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2915" name="Minus 382">
          <a:extLst>
            <a:ext uri="{FF2B5EF4-FFF2-40B4-BE49-F238E27FC236}">
              <a16:creationId xmlns:a16="http://schemas.microsoft.com/office/drawing/2014/main" id="{561710CE-D08A-4ECD-BB8F-431EF6F15C1E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2916" name="Minus 382">
          <a:extLst>
            <a:ext uri="{FF2B5EF4-FFF2-40B4-BE49-F238E27FC236}">
              <a16:creationId xmlns:a16="http://schemas.microsoft.com/office/drawing/2014/main" id="{430B0707-14CA-4696-BE30-C84499F71F66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2917" name="Minus 382">
          <a:extLst>
            <a:ext uri="{FF2B5EF4-FFF2-40B4-BE49-F238E27FC236}">
              <a16:creationId xmlns:a16="http://schemas.microsoft.com/office/drawing/2014/main" id="{A329FC06-640F-46D8-9FB8-B2B6109B4132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2918" name="Minus 382">
          <a:extLst>
            <a:ext uri="{FF2B5EF4-FFF2-40B4-BE49-F238E27FC236}">
              <a16:creationId xmlns:a16="http://schemas.microsoft.com/office/drawing/2014/main" id="{0CC57FE8-F496-4119-9126-E45CAACFFCD6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2919" name="Minus 382">
          <a:extLst>
            <a:ext uri="{FF2B5EF4-FFF2-40B4-BE49-F238E27FC236}">
              <a16:creationId xmlns:a16="http://schemas.microsoft.com/office/drawing/2014/main" id="{7CF1DADF-4060-4A0C-B619-F7CC508E5ADC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2920" name="Minus 382">
          <a:extLst>
            <a:ext uri="{FF2B5EF4-FFF2-40B4-BE49-F238E27FC236}">
              <a16:creationId xmlns:a16="http://schemas.microsoft.com/office/drawing/2014/main" id="{D2AC2F4F-594A-485F-B9DD-6353DE1AEC96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2921" name="Minus 382">
          <a:extLst>
            <a:ext uri="{FF2B5EF4-FFF2-40B4-BE49-F238E27FC236}">
              <a16:creationId xmlns:a16="http://schemas.microsoft.com/office/drawing/2014/main" id="{2A4BF477-6DAF-4EF3-AF69-CE6277946419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2922" name="Minus 382">
          <a:extLst>
            <a:ext uri="{FF2B5EF4-FFF2-40B4-BE49-F238E27FC236}">
              <a16:creationId xmlns:a16="http://schemas.microsoft.com/office/drawing/2014/main" id="{3002040E-4793-432D-9C91-9646608E5AC7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2923" name="Minus 382">
          <a:extLst>
            <a:ext uri="{FF2B5EF4-FFF2-40B4-BE49-F238E27FC236}">
              <a16:creationId xmlns:a16="http://schemas.microsoft.com/office/drawing/2014/main" id="{300A2133-20F2-4964-BB53-ED6AC033ED78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2924" name="Minus 382">
          <a:extLst>
            <a:ext uri="{FF2B5EF4-FFF2-40B4-BE49-F238E27FC236}">
              <a16:creationId xmlns:a16="http://schemas.microsoft.com/office/drawing/2014/main" id="{BF1003F1-5854-462E-954F-E7DE1A596E64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2925" name="Minus 382">
          <a:extLst>
            <a:ext uri="{FF2B5EF4-FFF2-40B4-BE49-F238E27FC236}">
              <a16:creationId xmlns:a16="http://schemas.microsoft.com/office/drawing/2014/main" id="{5FD1E5CE-F166-4358-8488-65C836D6D8DB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2926" name="Minus 382">
          <a:extLst>
            <a:ext uri="{FF2B5EF4-FFF2-40B4-BE49-F238E27FC236}">
              <a16:creationId xmlns:a16="http://schemas.microsoft.com/office/drawing/2014/main" id="{98981FA5-5C1E-4F0A-BF7D-041C36374759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2927" name="Minus 382">
          <a:extLst>
            <a:ext uri="{FF2B5EF4-FFF2-40B4-BE49-F238E27FC236}">
              <a16:creationId xmlns:a16="http://schemas.microsoft.com/office/drawing/2014/main" id="{3E312762-4933-4926-9C03-A046391C4DE2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2928" name="Minus 382">
          <a:extLst>
            <a:ext uri="{FF2B5EF4-FFF2-40B4-BE49-F238E27FC236}">
              <a16:creationId xmlns:a16="http://schemas.microsoft.com/office/drawing/2014/main" id="{BC7D225B-EDE3-4EF9-A0B7-7DD4B19236B4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2929" name="Minus 382">
          <a:extLst>
            <a:ext uri="{FF2B5EF4-FFF2-40B4-BE49-F238E27FC236}">
              <a16:creationId xmlns:a16="http://schemas.microsoft.com/office/drawing/2014/main" id="{64457E53-75D9-4761-9A75-51883D0D42F9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2930" name="0/0">
          <a:extLst>
            <a:ext uri="{FF2B5EF4-FFF2-40B4-BE49-F238E27FC236}">
              <a16:creationId xmlns:a16="http://schemas.microsoft.com/office/drawing/2014/main" id="{0BAFBE6D-E67B-4FB8-B8A5-657D3E823B83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2931" name="Minus 382">
          <a:extLst>
            <a:ext uri="{FF2B5EF4-FFF2-40B4-BE49-F238E27FC236}">
              <a16:creationId xmlns:a16="http://schemas.microsoft.com/office/drawing/2014/main" id="{1F545571-DE12-4376-AD60-4430729826BE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2932" name="Freeform 10695">
          <a:extLst>
            <a:ext uri="{FF2B5EF4-FFF2-40B4-BE49-F238E27FC236}">
              <a16:creationId xmlns:a16="http://schemas.microsoft.com/office/drawing/2014/main" id="{23DBBA25-8D47-4E82-A898-7A2FFFA4802D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933" name="0/0">
          <a:extLst>
            <a:ext uri="{FF2B5EF4-FFF2-40B4-BE49-F238E27FC236}">
              <a16:creationId xmlns:a16="http://schemas.microsoft.com/office/drawing/2014/main" id="{49C97AAB-992B-4344-9BB9-CB32EE1381D8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2934" name="Freeform 10695">
          <a:extLst>
            <a:ext uri="{FF2B5EF4-FFF2-40B4-BE49-F238E27FC236}">
              <a16:creationId xmlns:a16="http://schemas.microsoft.com/office/drawing/2014/main" id="{E5D00BF1-F15F-4A0A-A925-02439DA443C6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2935" name="0/0">
          <a:extLst>
            <a:ext uri="{FF2B5EF4-FFF2-40B4-BE49-F238E27FC236}">
              <a16:creationId xmlns:a16="http://schemas.microsoft.com/office/drawing/2014/main" id="{C384DC00-AC93-4F37-850D-D33D75A2B274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2936" name="Freeform 10695">
          <a:extLst>
            <a:ext uri="{FF2B5EF4-FFF2-40B4-BE49-F238E27FC236}">
              <a16:creationId xmlns:a16="http://schemas.microsoft.com/office/drawing/2014/main" id="{32CAAEA9-17C5-4743-8C2B-419119F1C7C1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2937" name="0/0">
          <a:extLst>
            <a:ext uri="{FF2B5EF4-FFF2-40B4-BE49-F238E27FC236}">
              <a16:creationId xmlns:a16="http://schemas.microsoft.com/office/drawing/2014/main" id="{64D89850-B9D6-4A1C-802C-3640DCC1B354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2938" name="Freeform 10695">
          <a:extLst>
            <a:ext uri="{FF2B5EF4-FFF2-40B4-BE49-F238E27FC236}">
              <a16:creationId xmlns:a16="http://schemas.microsoft.com/office/drawing/2014/main" id="{83FB1BCB-5B08-48B2-8EB2-EF824388AAE6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2939" name="0/0">
          <a:extLst>
            <a:ext uri="{FF2B5EF4-FFF2-40B4-BE49-F238E27FC236}">
              <a16:creationId xmlns:a16="http://schemas.microsoft.com/office/drawing/2014/main" id="{A852B251-4CB2-4F5B-B0B1-2E8CFEF91B58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2940" name="Freeform 10695">
          <a:extLst>
            <a:ext uri="{FF2B5EF4-FFF2-40B4-BE49-F238E27FC236}">
              <a16:creationId xmlns:a16="http://schemas.microsoft.com/office/drawing/2014/main" id="{FCF24877-A2AB-47F2-B1B1-92BA69AC66B5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2941" name="0/0">
          <a:extLst>
            <a:ext uri="{FF2B5EF4-FFF2-40B4-BE49-F238E27FC236}">
              <a16:creationId xmlns:a16="http://schemas.microsoft.com/office/drawing/2014/main" id="{07C6F6DE-CE3C-4815-9A30-DD400190ECEB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2942" name="Freeform 10695">
          <a:extLst>
            <a:ext uri="{FF2B5EF4-FFF2-40B4-BE49-F238E27FC236}">
              <a16:creationId xmlns:a16="http://schemas.microsoft.com/office/drawing/2014/main" id="{3AAFAF03-D923-4496-85F5-C1ABFC35E689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2943" name="0/0">
          <a:extLst>
            <a:ext uri="{FF2B5EF4-FFF2-40B4-BE49-F238E27FC236}">
              <a16:creationId xmlns:a16="http://schemas.microsoft.com/office/drawing/2014/main" id="{22470329-CE04-4575-A8DE-17A655E732A5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2944" name="Freeform 10695">
          <a:extLst>
            <a:ext uri="{FF2B5EF4-FFF2-40B4-BE49-F238E27FC236}">
              <a16:creationId xmlns:a16="http://schemas.microsoft.com/office/drawing/2014/main" id="{2E68C1B5-EB57-4153-9982-D63C7EE910BA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2945" name="0/0">
          <a:extLst>
            <a:ext uri="{FF2B5EF4-FFF2-40B4-BE49-F238E27FC236}">
              <a16:creationId xmlns:a16="http://schemas.microsoft.com/office/drawing/2014/main" id="{7ABE6C49-6AC8-4D92-9C03-B405AC74F88F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2946" name="Freeform 10695">
          <a:extLst>
            <a:ext uri="{FF2B5EF4-FFF2-40B4-BE49-F238E27FC236}">
              <a16:creationId xmlns:a16="http://schemas.microsoft.com/office/drawing/2014/main" id="{8315677D-D656-4051-9751-CC2982E81283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2947" name="0/0">
          <a:extLst>
            <a:ext uri="{FF2B5EF4-FFF2-40B4-BE49-F238E27FC236}">
              <a16:creationId xmlns:a16="http://schemas.microsoft.com/office/drawing/2014/main" id="{3669C9F1-9978-4116-BD6F-84B1B68F7DB8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2948" name="Freeform 10695">
          <a:extLst>
            <a:ext uri="{FF2B5EF4-FFF2-40B4-BE49-F238E27FC236}">
              <a16:creationId xmlns:a16="http://schemas.microsoft.com/office/drawing/2014/main" id="{BD9D2922-D8C6-486E-91BD-CCF2F851BA04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2949" name="0/0">
          <a:extLst>
            <a:ext uri="{FF2B5EF4-FFF2-40B4-BE49-F238E27FC236}">
              <a16:creationId xmlns:a16="http://schemas.microsoft.com/office/drawing/2014/main" id="{66C6EDC8-833B-42D8-B65D-D63ADA0617CD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2950" name="Freeform 10695">
          <a:extLst>
            <a:ext uri="{FF2B5EF4-FFF2-40B4-BE49-F238E27FC236}">
              <a16:creationId xmlns:a16="http://schemas.microsoft.com/office/drawing/2014/main" id="{9AAA698F-D4DF-47D4-909C-B2763E4F94ED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951" name="0/0">
          <a:extLst>
            <a:ext uri="{FF2B5EF4-FFF2-40B4-BE49-F238E27FC236}">
              <a16:creationId xmlns:a16="http://schemas.microsoft.com/office/drawing/2014/main" id="{A21CE66F-42A3-493C-AEEC-D6EFA703099E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952" name="Freeform 10695">
          <a:extLst>
            <a:ext uri="{FF2B5EF4-FFF2-40B4-BE49-F238E27FC236}">
              <a16:creationId xmlns:a16="http://schemas.microsoft.com/office/drawing/2014/main" id="{327AE9B2-D18C-42FB-8D17-0986DD0D3DC5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953" name="0/0">
          <a:extLst>
            <a:ext uri="{FF2B5EF4-FFF2-40B4-BE49-F238E27FC236}">
              <a16:creationId xmlns:a16="http://schemas.microsoft.com/office/drawing/2014/main" id="{A800236C-F58C-426B-B661-19F86E3EECFD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954" name="Freeform 10695">
          <a:extLst>
            <a:ext uri="{FF2B5EF4-FFF2-40B4-BE49-F238E27FC236}">
              <a16:creationId xmlns:a16="http://schemas.microsoft.com/office/drawing/2014/main" id="{0FFC190F-0277-4214-9139-FD53AA9396E0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955" name="0/0">
          <a:extLst>
            <a:ext uri="{FF2B5EF4-FFF2-40B4-BE49-F238E27FC236}">
              <a16:creationId xmlns:a16="http://schemas.microsoft.com/office/drawing/2014/main" id="{F49515AF-6281-4FB3-8266-4D2AF55860F3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956" name="Freeform 10695">
          <a:extLst>
            <a:ext uri="{FF2B5EF4-FFF2-40B4-BE49-F238E27FC236}">
              <a16:creationId xmlns:a16="http://schemas.microsoft.com/office/drawing/2014/main" id="{15658B10-E17E-45AA-9A67-529750901EF0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957" name="0/0">
          <a:extLst>
            <a:ext uri="{FF2B5EF4-FFF2-40B4-BE49-F238E27FC236}">
              <a16:creationId xmlns:a16="http://schemas.microsoft.com/office/drawing/2014/main" id="{83DF5BBA-D1F6-4260-916E-68B93C365163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958" name="Freeform 10695">
          <a:extLst>
            <a:ext uri="{FF2B5EF4-FFF2-40B4-BE49-F238E27FC236}">
              <a16:creationId xmlns:a16="http://schemas.microsoft.com/office/drawing/2014/main" id="{211F873D-7D54-44BC-BE4D-99EB72D3E291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959" name="0/0">
          <a:extLst>
            <a:ext uri="{FF2B5EF4-FFF2-40B4-BE49-F238E27FC236}">
              <a16:creationId xmlns:a16="http://schemas.microsoft.com/office/drawing/2014/main" id="{300C006E-0628-46B9-B36F-0FAC99492267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60" name="Freeform 10695">
          <a:extLst>
            <a:ext uri="{FF2B5EF4-FFF2-40B4-BE49-F238E27FC236}">
              <a16:creationId xmlns:a16="http://schemas.microsoft.com/office/drawing/2014/main" id="{2546F985-503A-460C-B081-C87F052CDDFC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2961" name="0/0">
          <a:extLst>
            <a:ext uri="{FF2B5EF4-FFF2-40B4-BE49-F238E27FC236}">
              <a16:creationId xmlns:a16="http://schemas.microsoft.com/office/drawing/2014/main" id="{70B26C37-AB31-4FAE-BA30-F7147D7A0B64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2962" name="Freeform 10695">
          <a:extLst>
            <a:ext uri="{FF2B5EF4-FFF2-40B4-BE49-F238E27FC236}">
              <a16:creationId xmlns:a16="http://schemas.microsoft.com/office/drawing/2014/main" id="{9F5E859E-8DBB-4D6A-87BC-EE3D28C703C6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2963" name="0/0">
          <a:extLst>
            <a:ext uri="{FF2B5EF4-FFF2-40B4-BE49-F238E27FC236}">
              <a16:creationId xmlns:a16="http://schemas.microsoft.com/office/drawing/2014/main" id="{CD332DC7-D84D-492A-AE39-BCBC67182444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2964" name="Freeform 10695">
          <a:extLst>
            <a:ext uri="{FF2B5EF4-FFF2-40B4-BE49-F238E27FC236}">
              <a16:creationId xmlns:a16="http://schemas.microsoft.com/office/drawing/2014/main" id="{BF70A7D8-1133-48C6-9A46-C054530019C6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2965" name="0/0">
          <a:extLst>
            <a:ext uri="{FF2B5EF4-FFF2-40B4-BE49-F238E27FC236}">
              <a16:creationId xmlns:a16="http://schemas.microsoft.com/office/drawing/2014/main" id="{7E4BB279-19C2-4FC3-B66F-0CDCB65FFFBF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2966" name="Freeform 10695">
          <a:extLst>
            <a:ext uri="{FF2B5EF4-FFF2-40B4-BE49-F238E27FC236}">
              <a16:creationId xmlns:a16="http://schemas.microsoft.com/office/drawing/2014/main" id="{01B24704-101E-4D7F-A256-D5BA9687AB99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2967" name="0/0">
          <a:extLst>
            <a:ext uri="{FF2B5EF4-FFF2-40B4-BE49-F238E27FC236}">
              <a16:creationId xmlns:a16="http://schemas.microsoft.com/office/drawing/2014/main" id="{BAFE6F20-51C1-4FF1-A3B9-10E0D00409E4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2968" name="Freeform 10695">
          <a:extLst>
            <a:ext uri="{FF2B5EF4-FFF2-40B4-BE49-F238E27FC236}">
              <a16:creationId xmlns:a16="http://schemas.microsoft.com/office/drawing/2014/main" id="{F4EE821C-520D-4D5C-AA91-D9D09A36BD5D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2969" name="0/0">
          <a:extLst>
            <a:ext uri="{FF2B5EF4-FFF2-40B4-BE49-F238E27FC236}">
              <a16:creationId xmlns:a16="http://schemas.microsoft.com/office/drawing/2014/main" id="{983DB728-8961-4D4F-9CB4-4178825B49EB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2970" name="Freeform 10695">
          <a:extLst>
            <a:ext uri="{FF2B5EF4-FFF2-40B4-BE49-F238E27FC236}">
              <a16:creationId xmlns:a16="http://schemas.microsoft.com/office/drawing/2014/main" id="{A782851A-B24A-44A6-9323-1A6DDFE7D2E3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2971" name="0/0">
          <a:extLst>
            <a:ext uri="{FF2B5EF4-FFF2-40B4-BE49-F238E27FC236}">
              <a16:creationId xmlns:a16="http://schemas.microsoft.com/office/drawing/2014/main" id="{D143195F-1D79-490F-9D8B-66E9C4B9FF70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2972" name="Freeform 10695">
          <a:extLst>
            <a:ext uri="{FF2B5EF4-FFF2-40B4-BE49-F238E27FC236}">
              <a16:creationId xmlns:a16="http://schemas.microsoft.com/office/drawing/2014/main" id="{829F11AB-9078-4AF8-8E5E-4DB2B4722E42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2973" name="0/0">
          <a:extLst>
            <a:ext uri="{FF2B5EF4-FFF2-40B4-BE49-F238E27FC236}">
              <a16:creationId xmlns:a16="http://schemas.microsoft.com/office/drawing/2014/main" id="{D6AE80C0-6E20-4519-AAA9-31687653BDB2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2974" name="Freeform 10695">
          <a:extLst>
            <a:ext uri="{FF2B5EF4-FFF2-40B4-BE49-F238E27FC236}">
              <a16:creationId xmlns:a16="http://schemas.microsoft.com/office/drawing/2014/main" id="{EA4EF3D8-4C9F-484B-AF34-A215E9C9756C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2975" name="0/0">
          <a:extLst>
            <a:ext uri="{FF2B5EF4-FFF2-40B4-BE49-F238E27FC236}">
              <a16:creationId xmlns:a16="http://schemas.microsoft.com/office/drawing/2014/main" id="{3F12684E-D1D5-4A13-A6A0-756CBDD947C6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2976" name="Freeform 10695">
          <a:extLst>
            <a:ext uri="{FF2B5EF4-FFF2-40B4-BE49-F238E27FC236}">
              <a16:creationId xmlns:a16="http://schemas.microsoft.com/office/drawing/2014/main" id="{7D0360E1-E564-4388-9734-2C48840C5D14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2977" name="0/0">
          <a:extLst>
            <a:ext uri="{FF2B5EF4-FFF2-40B4-BE49-F238E27FC236}">
              <a16:creationId xmlns:a16="http://schemas.microsoft.com/office/drawing/2014/main" id="{8495DCA5-900A-4F7C-8460-879E89C6FF03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2978" name="Freeform 10695">
          <a:extLst>
            <a:ext uri="{FF2B5EF4-FFF2-40B4-BE49-F238E27FC236}">
              <a16:creationId xmlns:a16="http://schemas.microsoft.com/office/drawing/2014/main" id="{2D852187-6822-4722-9B76-6A4709D3D0CF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2979" name="0/0">
          <a:extLst>
            <a:ext uri="{FF2B5EF4-FFF2-40B4-BE49-F238E27FC236}">
              <a16:creationId xmlns:a16="http://schemas.microsoft.com/office/drawing/2014/main" id="{30D46E5D-8CCC-4A03-A1A3-A91327375AF3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2980" name="Freeform 10695">
          <a:extLst>
            <a:ext uri="{FF2B5EF4-FFF2-40B4-BE49-F238E27FC236}">
              <a16:creationId xmlns:a16="http://schemas.microsoft.com/office/drawing/2014/main" id="{8ABC7E2C-28F2-43DD-88B5-38360576DF4E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2981" name="0/0">
          <a:extLst>
            <a:ext uri="{FF2B5EF4-FFF2-40B4-BE49-F238E27FC236}">
              <a16:creationId xmlns:a16="http://schemas.microsoft.com/office/drawing/2014/main" id="{99D013CB-CCC6-43AB-AD5C-882539E4EB92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2982" name="Freeform 10695">
          <a:extLst>
            <a:ext uri="{FF2B5EF4-FFF2-40B4-BE49-F238E27FC236}">
              <a16:creationId xmlns:a16="http://schemas.microsoft.com/office/drawing/2014/main" id="{9452D0CE-41D3-4118-8F7C-18DDCF3C67D9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2983" name="0/0">
          <a:extLst>
            <a:ext uri="{FF2B5EF4-FFF2-40B4-BE49-F238E27FC236}">
              <a16:creationId xmlns:a16="http://schemas.microsoft.com/office/drawing/2014/main" id="{25C5BC5A-AFCF-4421-AF5F-67D24CC5253E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2984" name="Freeform 10695">
          <a:extLst>
            <a:ext uri="{FF2B5EF4-FFF2-40B4-BE49-F238E27FC236}">
              <a16:creationId xmlns:a16="http://schemas.microsoft.com/office/drawing/2014/main" id="{0FA36A49-42B2-4BDB-B560-0F6EDB9EFC5B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2985" name="0/0">
          <a:extLst>
            <a:ext uri="{FF2B5EF4-FFF2-40B4-BE49-F238E27FC236}">
              <a16:creationId xmlns:a16="http://schemas.microsoft.com/office/drawing/2014/main" id="{95B78033-862B-46D8-8FCC-177325064E4B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2986" name="Freeform 10695">
          <a:extLst>
            <a:ext uri="{FF2B5EF4-FFF2-40B4-BE49-F238E27FC236}">
              <a16:creationId xmlns:a16="http://schemas.microsoft.com/office/drawing/2014/main" id="{5E7BEE74-3F9E-4848-9ECE-996A4E4F369D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2987" name="0/0">
          <a:extLst>
            <a:ext uri="{FF2B5EF4-FFF2-40B4-BE49-F238E27FC236}">
              <a16:creationId xmlns:a16="http://schemas.microsoft.com/office/drawing/2014/main" id="{CF55CA63-38DD-4B44-9957-6D2E0316B216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2988" name="Freeform 10695">
          <a:extLst>
            <a:ext uri="{FF2B5EF4-FFF2-40B4-BE49-F238E27FC236}">
              <a16:creationId xmlns:a16="http://schemas.microsoft.com/office/drawing/2014/main" id="{04E790CB-E99E-4ADA-92C0-B16276CE6ADF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2989" name="0/0">
          <a:extLst>
            <a:ext uri="{FF2B5EF4-FFF2-40B4-BE49-F238E27FC236}">
              <a16:creationId xmlns:a16="http://schemas.microsoft.com/office/drawing/2014/main" id="{75029182-B314-418F-9E60-4FA52B82E071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2990" name="Freeform 10695">
          <a:extLst>
            <a:ext uri="{FF2B5EF4-FFF2-40B4-BE49-F238E27FC236}">
              <a16:creationId xmlns:a16="http://schemas.microsoft.com/office/drawing/2014/main" id="{B0C9EE5D-7C6C-418E-8C74-A24C21D95669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2991" name="0/0">
          <a:extLst>
            <a:ext uri="{FF2B5EF4-FFF2-40B4-BE49-F238E27FC236}">
              <a16:creationId xmlns:a16="http://schemas.microsoft.com/office/drawing/2014/main" id="{6D548D1E-B236-4285-B61F-4C2268F1F08C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2992" name="Freeform 10695">
          <a:extLst>
            <a:ext uri="{FF2B5EF4-FFF2-40B4-BE49-F238E27FC236}">
              <a16:creationId xmlns:a16="http://schemas.microsoft.com/office/drawing/2014/main" id="{97018478-6A6A-48DD-A1E8-4DFC5F37DAA4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2993" name="0/0">
          <a:extLst>
            <a:ext uri="{FF2B5EF4-FFF2-40B4-BE49-F238E27FC236}">
              <a16:creationId xmlns:a16="http://schemas.microsoft.com/office/drawing/2014/main" id="{4B319828-9D00-4A24-A80E-E65ADF4410E5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2994" name="Freeform 10695">
          <a:extLst>
            <a:ext uri="{FF2B5EF4-FFF2-40B4-BE49-F238E27FC236}">
              <a16:creationId xmlns:a16="http://schemas.microsoft.com/office/drawing/2014/main" id="{483C69AC-B1B2-4BD9-A3BE-B8965C5F5637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2995" name="0/0">
          <a:extLst>
            <a:ext uri="{FF2B5EF4-FFF2-40B4-BE49-F238E27FC236}">
              <a16:creationId xmlns:a16="http://schemas.microsoft.com/office/drawing/2014/main" id="{6620D1B9-9D34-4AB1-862F-173CE2723835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2996" name="Freeform 10695">
          <a:extLst>
            <a:ext uri="{FF2B5EF4-FFF2-40B4-BE49-F238E27FC236}">
              <a16:creationId xmlns:a16="http://schemas.microsoft.com/office/drawing/2014/main" id="{70AA1CFA-92C0-449B-846D-85F7DFC1583B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2997" name="0/0">
          <a:extLst>
            <a:ext uri="{FF2B5EF4-FFF2-40B4-BE49-F238E27FC236}">
              <a16:creationId xmlns:a16="http://schemas.microsoft.com/office/drawing/2014/main" id="{C1C527F3-B971-46E3-B2B2-F0F6403AE9D2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2998" name="Freeform 10695">
          <a:extLst>
            <a:ext uri="{FF2B5EF4-FFF2-40B4-BE49-F238E27FC236}">
              <a16:creationId xmlns:a16="http://schemas.microsoft.com/office/drawing/2014/main" id="{46D71051-5C25-42F1-AF3A-E9C55B10579D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2999" name="0/0">
          <a:extLst>
            <a:ext uri="{FF2B5EF4-FFF2-40B4-BE49-F238E27FC236}">
              <a16:creationId xmlns:a16="http://schemas.microsoft.com/office/drawing/2014/main" id="{C5E6B7B8-5FE0-4B02-B9F1-03516AB613D6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3000" name="Freeform 10695">
          <a:extLst>
            <a:ext uri="{FF2B5EF4-FFF2-40B4-BE49-F238E27FC236}">
              <a16:creationId xmlns:a16="http://schemas.microsoft.com/office/drawing/2014/main" id="{9E51A4FF-461E-4DDC-9198-E669CE7772F5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3001" name="0/0">
          <a:extLst>
            <a:ext uri="{FF2B5EF4-FFF2-40B4-BE49-F238E27FC236}">
              <a16:creationId xmlns:a16="http://schemas.microsoft.com/office/drawing/2014/main" id="{B0445A10-FBB7-4569-A7FD-0B7C6425E833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3002" name="Freeform 10695">
          <a:extLst>
            <a:ext uri="{FF2B5EF4-FFF2-40B4-BE49-F238E27FC236}">
              <a16:creationId xmlns:a16="http://schemas.microsoft.com/office/drawing/2014/main" id="{ADE87F55-8E4A-4F92-B884-B0161FE1DF21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3003" name="0/0">
          <a:extLst>
            <a:ext uri="{FF2B5EF4-FFF2-40B4-BE49-F238E27FC236}">
              <a16:creationId xmlns:a16="http://schemas.microsoft.com/office/drawing/2014/main" id="{FCA801BF-BD5D-482E-81CC-AA9DF5F88321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3004" name="Freeform 10695">
          <a:extLst>
            <a:ext uri="{FF2B5EF4-FFF2-40B4-BE49-F238E27FC236}">
              <a16:creationId xmlns:a16="http://schemas.microsoft.com/office/drawing/2014/main" id="{7EE59350-6592-4CF1-870E-C3F523ED9DAF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3005" name="0/0">
          <a:extLst>
            <a:ext uri="{FF2B5EF4-FFF2-40B4-BE49-F238E27FC236}">
              <a16:creationId xmlns:a16="http://schemas.microsoft.com/office/drawing/2014/main" id="{6BF5A58C-367C-41F7-99C0-3D7750BFBD35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3006" name="Freeform 10695">
          <a:extLst>
            <a:ext uri="{FF2B5EF4-FFF2-40B4-BE49-F238E27FC236}">
              <a16:creationId xmlns:a16="http://schemas.microsoft.com/office/drawing/2014/main" id="{F79F57F1-14D4-4186-8ADC-8728331FCAE4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3007" name="0/0">
          <a:extLst>
            <a:ext uri="{FF2B5EF4-FFF2-40B4-BE49-F238E27FC236}">
              <a16:creationId xmlns:a16="http://schemas.microsoft.com/office/drawing/2014/main" id="{A5FCB0EF-BD9D-45B4-96AF-42D9C6056E95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3008" name="Freeform 10695">
          <a:extLst>
            <a:ext uri="{FF2B5EF4-FFF2-40B4-BE49-F238E27FC236}">
              <a16:creationId xmlns:a16="http://schemas.microsoft.com/office/drawing/2014/main" id="{C6A993F4-750D-40E4-97AA-53FC74F62FE6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3009" name="0/0">
          <a:extLst>
            <a:ext uri="{FF2B5EF4-FFF2-40B4-BE49-F238E27FC236}">
              <a16:creationId xmlns:a16="http://schemas.microsoft.com/office/drawing/2014/main" id="{AC3C94CD-4EF5-4413-8AE0-B7FB610912D2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3010" name="Freeform 10695">
          <a:extLst>
            <a:ext uri="{FF2B5EF4-FFF2-40B4-BE49-F238E27FC236}">
              <a16:creationId xmlns:a16="http://schemas.microsoft.com/office/drawing/2014/main" id="{F5C1ABAB-FD77-452F-8101-FBD9947DC2D4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3011" name="0/0">
          <a:extLst>
            <a:ext uri="{FF2B5EF4-FFF2-40B4-BE49-F238E27FC236}">
              <a16:creationId xmlns:a16="http://schemas.microsoft.com/office/drawing/2014/main" id="{6F662D22-44A7-4BF7-97E4-5E01AA06B700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3012" name="Freeform 10695">
          <a:extLst>
            <a:ext uri="{FF2B5EF4-FFF2-40B4-BE49-F238E27FC236}">
              <a16:creationId xmlns:a16="http://schemas.microsoft.com/office/drawing/2014/main" id="{793ECA02-9DA0-4075-85D9-B2B9201F2FEE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3013" name="0/0">
          <a:extLst>
            <a:ext uri="{FF2B5EF4-FFF2-40B4-BE49-F238E27FC236}">
              <a16:creationId xmlns:a16="http://schemas.microsoft.com/office/drawing/2014/main" id="{7A5953EB-4DD4-4AC7-A29D-1A387FAA31A1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3014" name="Freeform 10695">
          <a:extLst>
            <a:ext uri="{FF2B5EF4-FFF2-40B4-BE49-F238E27FC236}">
              <a16:creationId xmlns:a16="http://schemas.microsoft.com/office/drawing/2014/main" id="{882194A5-31F5-4FE8-9A1D-966B6D253A11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3015" name="0/0">
          <a:extLst>
            <a:ext uri="{FF2B5EF4-FFF2-40B4-BE49-F238E27FC236}">
              <a16:creationId xmlns:a16="http://schemas.microsoft.com/office/drawing/2014/main" id="{71937BAC-E83B-4796-821F-D7B0DAAC64D9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3016" name="Freeform 10695">
          <a:extLst>
            <a:ext uri="{FF2B5EF4-FFF2-40B4-BE49-F238E27FC236}">
              <a16:creationId xmlns:a16="http://schemas.microsoft.com/office/drawing/2014/main" id="{BA694ABC-BD50-495A-98E5-FF6E8352FB0B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3017" name="0/0">
          <a:extLst>
            <a:ext uri="{FF2B5EF4-FFF2-40B4-BE49-F238E27FC236}">
              <a16:creationId xmlns:a16="http://schemas.microsoft.com/office/drawing/2014/main" id="{A26D78B7-E1E9-4035-859C-52B23C2D6F3A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3018" name="Freeform 10695">
          <a:extLst>
            <a:ext uri="{FF2B5EF4-FFF2-40B4-BE49-F238E27FC236}">
              <a16:creationId xmlns:a16="http://schemas.microsoft.com/office/drawing/2014/main" id="{1C0BF754-2C4B-40E2-8962-2533F8CD773A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3019" name="0/0">
          <a:extLst>
            <a:ext uri="{FF2B5EF4-FFF2-40B4-BE49-F238E27FC236}">
              <a16:creationId xmlns:a16="http://schemas.microsoft.com/office/drawing/2014/main" id="{7EFFA7E5-BBD8-4C74-B2C3-2AE598EC1038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3020" name="Freeform 10695">
          <a:extLst>
            <a:ext uri="{FF2B5EF4-FFF2-40B4-BE49-F238E27FC236}">
              <a16:creationId xmlns:a16="http://schemas.microsoft.com/office/drawing/2014/main" id="{8487B062-9539-4560-B753-C5C18BFB198F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3021" name="0/0">
          <a:extLst>
            <a:ext uri="{FF2B5EF4-FFF2-40B4-BE49-F238E27FC236}">
              <a16:creationId xmlns:a16="http://schemas.microsoft.com/office/drawing/2014/main" id="{C10AFD4A-F10E-434E-BF55-81D5641801F0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3022" name="Freeform 10695">
          <a:extLst>
            <a:ext uri="{FF2B5EF4-FFF2-40B4-BE49-F238E27FC236}">
              <a16:creationId xmlns:a16="http://schemas.microsoft.com/office/drawing/2014/main" id="{D5978F68-3452-4053-B5B5-DDB506E28167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3023" name="0/0">
          <a:extLst>
            <a:ext uri="{FF2B5EF4-FFF2-40B4-BE49-F238E27FC236}">
              <a16:creationId xmlns:a16="http://schemas.microsoft.com/office/drawing/2014/main" id="{C19ED700-7C07-4215-87CB-CB1BD2BE157E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3024" name="Freeform 10695">
          <a:extLst>
            <a:ext uri="{FF2B5EF4-FFF2-40B4-BE49-F238E27FC236}">
              <a16:creationId xmlns:a16="http://schemas.microsoft.com/office/drawing/2014/main" id="{CEA03364-52B0-4B29-A7D6-633A92BFD30E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3025" name="0/0">
          <a:extLst>
            <a:ext uri="{FF2B5EF4-FFF2-40B4-BE49-F238E27FC236}">
              <a16:creationId xmlns:a16="http://schemas.microsoft.com/office/drawing/2014/main" id="{395121B1-0682-4AF3-B00A-EFFF2DD81506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3026" name="Freeform 10695">
          <a:extLst>
            <a:ext uri="{FF2B5EF4-FFF2-40B4-BE49-F238E27FC236}">
              <a16:creationId xmlns:a16="http://schemas.microsoft.com/office/drawing/2014/main" id="{1018C2C4-024B-4036-B06E-8F776CDAD5E8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3027" name="0/0">
          <a:extLst>
            <a:ext uri="{FF2B5EF4-FFF2-40B4-BE49-F238E27FC236}">
              <a16:creationId xmlns:a16="http://schemas.microsoft.com/office/drawing/2014/main" id="{664DB683-0A37-4D3C-8F80-2590361FF962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3028" name="Freeform 10695">
          <a:extLst>
            <a:ext uri="{FF2B5EF4-FFF2-40B4-BE49-F238E27FC236}">
              <a16:creationId xmlns:a16="http://schemas.microsoft.com/office/drawing/2014/main" id="{739D8CE7-1F5B-4C87-AF4E-1F8F366D6C9E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3029" name="0/0">
          <a:extLst>
            <a:ext uri="{FF2B5EF4-FFF2-40B4-BE49-F238E27FC236}">
              <a16:creationId xmlns:a16="http://schemas.microsoft.com/office/drawing/2014/main" id="{EDDC8DF1-B942-482F-A022-B06EBEDAE76D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3030" name="0/0">
          <a:extLst>
            <a:ext uri="{FF2B5EF4-FFF2-40B4-BE49-F238E27FC236}">
              <a16:creationId xmlns:a16="http://schemas.microsoft.com/office/drawing/2014/main" id="{EB6082CF-8992-4E3C-B9B9-147E3BFE8C02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3031" name="Freeform 10695">
          <a:extLst>
            <a:ext uri="{FF2B5EF4-FFF2-40B4-BE49-F238E27FC236}">
              <a16:creationId xmlns:a16="http://schemas.microsoft.com/office/drawing/2014/main" id="{E8BBEC9B-C33B-45E2-A4FA-18DB44D8BDAC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3032" name="0/0">
          <a:extLst>
            <a:ext uri="{FF2B5EF4-FFF2-40B4-BE49-F238E27FC236}">
              <a16:creationId xmlns:a16="http://schemas.microsoft.com/office/drawing/2014/main" id="{AE35AF3C-5CFB-4BEB-9211-E6CE9481E2A4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3033" name="Freeform 10695">
          <a:extLst>
            <a:ext uri="{FF2B5EF4-FFF2-40B4-BE49-F238E27FC236}">
              <a16:creationId xmlns:a16="http://schemas.microsoft.com/office/drawing/2014/main" id="{7579601C-77BF-4144-A3DE-03B0607E257C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3034" name="0/0">
          <a:extLst>
            <a:ext uri="{FF2B5EF4-FFF2-40B4-BE49-F238E27FC236}">
              <a16:creationId xmlns:a16="http://schemas.microsoft.com/office/drawing/2014/main" id="{DFD44747-92FA-435F-909A-A0CC7DD607B1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3035" name="Freeform 10695">
          <a:extLst>
            <a:ext uri="{FF2B5EF4-FFF2-40B4-BE49-F238E27FC236}">
              <a16:creationId xmlns:a16="http://schemas.microsoft.com/office/drawing/2014/main" id="{7B34057E-EA51-46FB-B1EE-FB0C62BB61C8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3036" name="0/0">
          <a:extLst>
            <a:ext uri="{FF2B5EF4-FFF2-40B4-BE49-F238E27FC236}">
              <a16:creationId xmlns:a16="http://schemas.microsoft.com/office/drawing/2014/main" id="{EC2C6285-10E0-43FF-9A95-1B588FF4B556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3037" name="Freeform 10695">
          <a:extLst>
            <a:ext uri="{FF2B5EF4-FFF2-40B4-BE49-F238E27FC236}">
              <a16:creationId xmlns:a16="http://schemas.microsoft.com/office/drawing/2014/main" id="{ED211A1D-8955-41AF-B1D8-3BCDC54F48B7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3038" name="0/0">
          <a:extLst>
            <a:ext uri="{FF2B5EF4-FFF2-40B4-BE49-F238E27FC236}">
              <a16:creationId xmlns:a16="http://schemas.microsoft.com/office/drawing/2014/main" id="{910998F3-E98E-438C-8600-45664DDF72F1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3039" name="Freeform 10695">
          <a:extLst>
            <a:ext uri="{FF2B5EF4-FFF2-40B4-BE49-F238E27FC236}">
              <a16:creationId xmlns:a16="http://schemas.microsoft.com/office/drawing/2014/main" id="{43A893A3-AC4E-411C-81DA-BC12649E59B8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3040" name="0/0">
          <a:extLst>
            <a:ext uri="{FF2B5EF4-FFF2-40B4-BE49-F238E27FC236}">
              <a16:creationId xmlns:a16="http://schemas.microsoft.com/office/drawing/2014/main" id="{2DEF5DB1-8207-457A-AFC0-CB1F492CAB8A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3041" name="Freeform 10695">
          <a:extLst>
            <a:ext uri="{FF2B5EF4-FFF2-40B4-BE49-F238E27FC236}">
              <a16:creationId xmlns:a16="http://schemas.microsoft.com/office/drawing/2014/main" id="{F76134F0-01BA-4EAF-A5AB-53D6E46043B7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042" name="0/0">
          <a:extLst>
            <a:ext uri="{FF2B5EF4-FFF2-40B4-BE49-F238E27FC236}">
              <a16:creationId xmlns:a16="http://schemas.microsoft.com/office/drawing/2014/main" id="{B6D5495E-813E-45BA-B6D3-17A44285D00D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3043" name="Freeform 10695">
          <a:extLst>
            <a:ext uri="{FF2B5EF4-FFF2-40B4-BE49-F238E27FC236}">
              <a16:creationId xmlns:a16="http://schemas.microsoft.com/office/drawing/2014/main" id="{3215CA20-6F4F-4919-A482-2E7DA6AFDFEF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044" name="0/0">
          <a:extLst>
            <a:ext uri="{FF2B5EF4-FFF2-40B4-BE49-F238E27FC236}">
              <a16:creationId xmlns:a16="http://schemas.microsoft.com/office/drawing/2014/main" id="{0F27E925-CEA9-4F3F-9338-1BB0CF9000F8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3045" name="Freeform 10695">
          <a:extLst>
            <a:ext uri="{FF2B5EF4-FFF2-40B4-BE49-F238E27FC236}">
              <a16:creationId xmlns:a16="http://schemas.microsoft.com/office/drawing/2014/main" id="{5EE20CE8-3C29-413B-8053-B0184707C688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046" name="0/0">
          <a:extLst>
            <a:ext uri="{FF2B5EF4-FFF2-40B4-BE49-F238E27FC236}">
              <a16:creationId xmlns:a16="http://schemas.microsoft.com/office/drawing/2014/main" id="{C58976EC-0D0B-43E3-AE31-DE8595161794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3047" name="Freeform 10695">
          <a:extLst>
            <a:ext uri="{FF2B5EF4-FFF2-40B4-BE49-F238E27FC236}">
              <a16:creationId xmlns:a16="http://schemas.microsoft.com/office/drawing/2014/main" id="{D7E124AD-4235-4E0D-8846-8879DAECD53C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3048" name="0/0">
          <a:extLst>
            <a:ext uri="{FF2B5EF4-FFF2-40B4-BE49-F238E27FC236}">
              <a16:creationId xmlns:a16="http://schemas.microsoft.com/office/drawing/2014/main" id="{07E735BD-86C3-4FB7-8019-0AA651BFBDDF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3049" name="Freeform 10695">
          <a:extLst>
            <a:ext uri="{FF2B5EF4-FFF2-40B4-BE49-F238E27FC236}">
              <a16:creationId xmlns:a16="http://schemas.microsoft.com/office/drawing/2014/main" id="{8A899DCA-ABF9-41A3-8D20-92C32F74F864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3050" name="0/0">
          <a:extLst>
            <a:ext uri="{FF2B5EF4-FFF2-40B4-BE49-F238E27FC236}">
              <a16:creationId xmlns:a16="http://schemas.microsoft.com/office/drawing/2014/main" id="{3C481955-3F04-4490-9792-58C3A8F31077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3051" name="Freeform 10695">
          <a:extLst>
            <a:ext uri="{FF2B5EF4-FFF2-40B4-BE49-F238E27FC236}">
              <a16:creationId xmlns:a16="http://schemas.microsoft.com/office/drawing/2014/main" id="{0875FC7C-2252-4797-BEF2-FA82CF6948AB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052" name="0/0">
          <a:extLst>
            <a:ext uri="{FF2B5EF4-FFF2-40B4-BE49-F238E27FC236}">
              <a16:creationId xmlns:a16="http://schemas.microsoft.com/office/drawing/2014/main" id="{580EA799-2BFC-4E6B-8636-01BD5F877DE8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3053" name="Freeform 10695">
          <a:extLst>
            <a:ext uri="{FF2B5EF4-FFF2-40B4-BE49-F238E27FC236}">
              <a16:creationId xmlns:a16="http://schemas.microsoft.com/office/drawing/2014/main" id="{3521FBC5-2746-40DF-B11B-CF7B86F8D39A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3054" name="0/0">
          <a:extLst>
            <a:ext uri="{FF2B5EF4-FFF2-40B4-BE49-F238E27FC236}">
              <a16:creationId xmlns:a16="http://schemas.microsoft.com/office/drawing/2014/main" id="{380D83F9-C308-41E3-998E-2DBF41A9E478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3055" name="Freeform 10695">
          <a:extLst>
            <a:ext uri="{FF2B5EF4-FFF2-40B4-BE49-F238E27FC236}">
              <a16:creationId xmlns:a16="http://schemas.microsoft.com/office/drawing/2014/main" id="{8C40FA2A-5FE3-4052-9043-DDA1005DED88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3056" name="0/0">
          <a:extLst>
            <a:ext uri="{FF2B5EF4-FFF2-40B4-BE49-F238E27FC236}">
              <a16:creationId xmlns:a16="http://schemas.microsoft.com/office/drawing/2014/main" id="{5BA957FC-CC2C-4227-A8C0-3089FFAED2EB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3057" name="Freeform 10695">
          <a:extLst>
            <a:ext uri="{FF2B5EF4-FFF2-40B4-BE49-F238E27FC236}">
              <a16:creationId xmlns:a16="http://schemas.microsoft.com/office/drawing/2014/main" id="{E87FC2C9-24DA-4287-A618-CC4B35C4D7C6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058" name="0/0">
          <a:extLst>
            <a:ext uri="{FF2B5EF4-FFF2-40B4-BE49-F238E27FC236}">
              <a16:creationId xmlns:a16="http://schemas.microsoft.com/office/drawing/2014/main" id="{504DD0F5-FB11-4DCD-9E3B-4AFCFD0331A0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3059" name="Freeform 10695">
          <a:extLst>
            <a:ext uri="{FF2B5EF4-FFF2-40B4-BE49-F238E27FC236}">
              <a16:creationId xmlns:a16="http://schemas.microsoft.com/office/drawing/2014/main" id="{AD30A7FE-4776-4E3D-B2AD-FE9C6CDB2AE4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3060" name="0/0">
          <a:extLst>
            <a:ext uri="{FF2B5EF4-FFF2-40B4-BE49-F238E27FC236}">
              <a16:creationId xmlns:a16="http://schemas.microsoft.com/office/drawing/2014/main" id="{C38451A0-E00F-4A9C-AEA6-6DD728D96F6F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3061" name="Freeform 10695">
          <a:extLst>
            <a:ext uri="{FF2B5EF4-FFF2-40B4-BE49-F238E27FC236}">
              <a16:creationId xmlns:a16="http://schemas.microsoft.com/office/drawing/2014/main" id="{C648F988-EA7F-49A6-983F-079BFC365707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062" name="0/0">
          <a:extLst>
            <a:ext uri="{FF2B5EF4-FFF2-40B4-BE49-F238E27FC236}">
              <a16:creationId xmlns:a16="http://schemas.microsoft.com/office/drawing/2014/main" id="{E074F659-9184-4DEA-BBF1-1EDC675C2E6E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3063" name="Freeform 10695">
          <a:extLst>
            <a:ext uri="{FF2B5EF4-FFF2-40B4-BE49-F238E27FC236}">
              <a16:creationId xmlns:a16="http://schemas.microsoft.com/office/drawing/2014/main" id="{493EF959-7A07-4983-B739-95E1281F12CE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3064" name="0/0">
          <a:extLst>
            <a:ext uri="{FF2B5EF4-FFF2-40B4-BE49-F238E27FC236}">
              <a16:creationId xmlns:a16="http://schemas.microsoft.com/office/drawing/2014/main" id="{909A32F5-90C0-4E62-95F3-0F4A3B14651E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3065" name="Freeform 10695">
          <a:extLst>
            <a:ext uri="{FF2B5EF4-FFF2-40B4-BE49-F238E27FC236}">
              <a16:creationId xmlns:a16="http://schemas.microsoft.com/office/drawing/2014/main" id="{11FA32E4-68D6-423E-B938-39E9916D53D4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3066" name="0/0">
          <a:extLst>
            <a:ext uri="{FF2B5EF4-FFF2-40B4-BE49-F238E27FC236}">
              <a16:creationId xmlns:a16="http://schemas.microsoft.com/office/drawing/2014/main" id="{D7B29538-22BC-407F-B1EB-E312BEE73ED2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3067" name="Freeform 10695">
          <a:extLst>
            <a:ext uri="{FF2B5EF4-FFF2-40B4-BE49-F238E27FC236}">
              <a16:creationId xmlns:a16="http://schemas.microsoft.com/office/drawing/2014/main" id="{21554504-0ABF-4F18-8B99-1B7EDF91CF27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3068" name="0/0">
          <a:extLst>
            <a:ext uri="{FF2B5EF4-FFF2-40B4-BE49-F238E27FC236}">
              <a16:creationId xmlns:a16="http://schemas.microsoft.com/office/drawing/2014/main" id="{8B59AC58-06E5-4C25-B5FA-F104A767CADD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3069" name="Freeform 10695">
          <a:extLst>
            <a:ext uri="{FF2B5EF4-FFF2-40B4-BE49-F238E27FC236}">
              <a16:creationId xmlns:a16="http://schemas.microsoft.com/office/drawing/2014/main" id="{B01CEA6C-E98C-43B5-867F-AECDF8C55F3B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3070" name="0/0">
          <a:extLst>
            <a:ext uri="{FF2B5EF4-FFF2-40B4-BE49-F238E27FC236}">
              <a16:creationId xmlns:a16="http://schemas.microsoft.com/office/drawing/2014/main" id="{20ED6D35-2728-41AC-BC44-1EC0BF7F3036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3071" name="Freeform 10695">
          <a:extLst>
            <a:ext uri="{FF2B5EF4-FFF2-40B4-BE49-F238E27FC236}">
              <a16:creationId xmlns:a16="http://schemas.microsoft.com/office/drawing/2014/main" id="{BD413CE8-6417-4D05-B965-F4E5F93A42A0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3072" name="0/0">
          <a:extLst>
            <a:ext uri="{FF2B5EF4-FFF2-40B4-BE49-F238E27FC236}">
              <a16:creationId xmlns:a16="http://schemas.microsoft.com/office/drawing/2014/main" id="{B8EC32FF-C0F8-4C80-99CD-574650B40FEB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3073" name="Freeform 10695">
          <a:extLst>
            <a:ext uri="{FF2B5EF4-FFF2-40B4-BE49-F238E27FC236}">
              <a16:creationId xmlns:a16="http://schemas.microsoft.com/office/drawing/2014/main" id="{045C72B9-99CF-4622-85D9-0D55BFC5E807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3074" name="0/0">
          <a:extLst>
            <a:ext uri="{FF2B5EF4-FFF2-40B4-BE49-F238E27FC236}">
              <a16:creationId xmlns:a16="http://schemas.microsoft.com/office/drawing/2014/main" id="{4424A143-ED64-4829-8397-A72B52AFE665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3075" name="Freeform 10695">
          <a:extLst>
            <a:ext uri="{FF2B5EF4-FFF2-40B4-BE49-F238E27FC236}">
              <a16:creationId xmlns:a16="http://schemas.microsoft.com/office/drawing/2014/main" id="{4D28ED67-0ACC-4919-BA23-C77F88EA4139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3076" name="0/0">
          <a:extLst>
            <a:ext uri="{FF2B5EF4-FFF2-40B4-BE49-F238E27FC236}">
              <a16:creationId xmlns:a16="http://schemas.microsoft.com/office/drawing/2014/main" id="{B73E4981-555D-4F0F-AF82-D15E79271A2B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3077" name="Freeform 10695">
          <a:extLst>
            <a:ext uri="{FF2B5EF4-FFF2-40B4-BE49-F238E27FC236}">
              <a16:creationId xmlns:a16="http://schemas.microsoft.com/office/drawing/2014/main" id="{25ABFAAE-ACAD-4A85-8D7B-3022E21FE364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3078" name="0/0">
          <a:extLst>
            <a:ext uri="{FF2B5EF4-FFF2-40B4-BE49-F238E27FC236}">
              <a16:creationId xmlns:a16="http://schemas.microsoft.com/office/drawing/2014/main" id="{AE6FDA29-40BA-43A6-8B5D-7D8D714DB436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3079" name="Freeform 10695">
          <a:extLst>
            <a:ext uri="{FF2B5EF4-FFF2-40B4-BE49-F238E27FC236}">
              <a16:creationId xmlns:a16="http://schemas.microsoft.com/office/drawing/2014/main" id="{819A3421-0D3A-43EE-9326-34FAD8F56960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3080" name="0/0">
          <a:extLst>
            <a:ext uri="{FF2B5EF4-FFF2-40B4-BE49-F238E27FC236}">
              <a16:creationId xmlns:a16="http://schemas.microsoft.com/office/drawing/2014/main" id="{6245F005-DE2F-4BA3-8BA2-403E1B362689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3081" name="Freeform 10695">
          <a:extLst>
            <a:ext uri="{FF2B5EF4-FFF2-40B4-BE49-F238E27FC236}">
              <a16:creationId xmlns:a16="http://schemas.microsoft.com/office/drawing/2014/main" id="{63C2C9F2-7AF4-4B6A-8D61-C301D8A15734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3082" name="0/0">
          <a:extLst>
            <a:ext uri="{FF2B5EF4-FFF2-40B4-BE49-F238E27FC236}">
              <a16:creationId xmlns:a16="http://schemas.microsoft.com/office/drawing/2014/main" id="{D9A8D186-69FF-4CCC-A9E3-A4074F4472E0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3083" name="Freeform 10695">
          <a:extLst>
            <a:ext uri="{FF2B5EF4-FFF2-40B4-BE49-F238E27FC236}">
              <a16:creationId xmlns:a16="http://schemas.microsoft.com/office/drawing/2014/main" id="{AF324EA3-B961-4363-9464-B9E78572723B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3084" name="0/0">
          <a:extLst>
            <a:ext uri="{FF2B5EF4-FFF2-40B4-BE49-F238E27FC236}">
              <a16:creationId xmlns:a16="http://schemas.microsoft.com/office/drawing/2014/main" id="{486FD70C-8BCB-4060-BE6C-3AA5D36FD5B1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3085" name="Freeform 10695">
          <a:extLst>
            <a:ext uri="{FF2B5EF4-FFF2-40B4-BE49-F238E27FC236}">
              <a16:creationId xmlns:a16="http://schemas.microsoft.com/office/drawing/2014/main" id="{3A60FF6B-9009-40E0-88E1-956C97503DCD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3086" name="0/0">
          <a:extLst>
            <a:ext uri="{FF2B5EF4-FFF2-40B4-BE49-F238E27FC236}">
              <a16:creationId xmlns:a16="http://schemas.microsoft.com/office/drawing/2014/main" id="{313DB977-183C-4F73-8B96-79A572AD903A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3087" name="Freeform 10695">
          <a:extLst>
            <a:ext uri="{FF2B5EF4-FFF2-40B4-BE49-F238E27FC236}">
              <a16:creationId xmlns:a16="http://schemas.microsoft.com/office/drawing/2014/main" id="{A39FA2D5-3135-4D3B-8A81-6352D34720F5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3088" name="0/0">
          <a:extLst>
            <a:ext uri="{FF2B5EF4-FFF2-40B4-BE49-F238E27FC236}">
              <a16:creationId xmlns:a16="http://schemas.microsoft.com/office/drawing/2014/main" id="{5BE7A7B9-D4E0-4FF0-BB94-26ED8A691F15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3089" name="Freeform 10695">
          <a:extLst>
            <a:ext uri="{FF2B5EF4-FFF2-40B4-BE49-F238E27FC236}">
              <a16:creationId xmlns:a16="http://schemas.microsoft.com/office/drawing/2014/main" id="{18717B21-CD96-47ED-B405-C536519D8C0D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3090" name="0/0">
          <a:extLst>
            <a:ext uri="{FF2B5EF4-FFF2-40B4-BE49-F238E27FC236}">
              <a16:creationId xmlns:a16="http://schemas.microsoft.com/office/drawing/2014/main" id="{90C9A347-B261-4AD3-BE38-1524A7A0C11B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3091" name="0/0">
          <a:extLst>
            <a:ext uri="{FF2B5EF4-FFF2-40B4-BE49-F238E27FC236}">
              <a16:creationId xmlns:a16="http://schemas.microsoft.com/office/drawing/2014/main" id="{56C2027A-9229-489E-BA78-CDA799EE832E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3092" name="Freeform 10695">
          <a:extLst>
            <a:ext uri="{FF2B5EF4-FFF2-40B4-BE49-F238E27FC236}">
              <a16:creationId xmlns:a16="http://schemas.microsoft.com/office/drawing/2014/main" id="{44B064CA-F374-4732-8D6C-347B11ED3B63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3093" name="0/0">
          <a:extLst>
            <a:ext uri="{FF2B5EF4-FFF2-40B4-BE49-F238E27FC236}">
              <a16:creationId xmlns:a16="http://schemas.microsoft.com/office/drawing/2014/main" id="{FE908B82-6558-4E22-8F42-9BD1BD81951E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3094" name="Freeform 10695">
          <a:extLst>
            <a:ext uri="{FF2B5EF4-FFF2-40B4-BE49-F238E27FC236}">
              <a16:creationId xmlns:a16="http://schemas.microsoft.com/office/drawing/2014/main" id="{E18F4194-570E-421A-BDFE-61CED99E5159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3095" name="0/0">
          <a:extLst>
            <a:ext uri="{FF2B5EF4-FFF2-40B4-BE49-F238E27FC236}">
              <a16:creationId xmlns:a16="http://schemas.microsoft.com/office/drawing/2014/main" id="{7F194E4C-2BD3-4A47-924A-6EAE429B8029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3096" name="Freeform 10695">
          <a:extLst>
            <a:ext uri="{FF2B5EF4-FFF2-40B4-BE49-F238E27FC236}">
              <a16:creationId xmlns:a16="http://schemas.microsoft.com/office/drawing/2014/main" id="{AF121454-B83B-42DF-8DF8-801302DC7CF8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3097" name="0/0">
          <a:extLst>
            <a:ext uri="{FF2B5EF4-FFF2-40B4-BE49-F238E27FC236}">
              <a16:creationId xmlns:a16="http://schemas.microsoft.com/office/drawing/2014/main" id="{7FE212F8-0A57-4554-9401-CB98C15ABE12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3098" name="Freeform 10695">
          <a:extLst>
            <a:ext uri="{FF2B5EF4-FFF2-40B4-BE49-F238E27FC236}">
              <a16:creationId xmlns:a16="http://schemas.microsoft.com/office/drawing/2014/main" id="{8996648F-DF7B-4616-9CCD-65A7E97148BB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3099" name="0/0">
          <a:extLst>
            <a:ext uri="{FF2B5EF4-FFF2-40B4-BE49-F238E27FC236}">
              <a16:creationId xmlns:a16="http://schemas.microsoft.com/office/drawing/2014/main" id="{652B0F53-41C2-4D76-93CB-497D6D31850A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3100" name="Freeform 10695">
          <a:extLst>
            <a:ext uri="{FF2B5EF4-FFF2-40B4-BE49-F238E27FC236}">
              <a16:creationId xmlns:a16="http://schemas.microsoft.com/office/drawing/2014/main" id="{1056DBAA-3B65-4892-A998-06E1830302F7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3101" name="0/0">
          <a:extLst>
            <a:ext uri="{FF2B5EF4-FFF2-40B4-BE49-F238E27FC236}">
              <a16:creationId xmlns:a16="http://schemas.microsoft.com/office/drawing/2014/main" id="{6DC9ED4A-75EC-4D75-A0DD-70104740CFCA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3102" name="Freeform 10695">
          <a:extLst>
            <a:ext uri="{FF2B5EF4-FFF2-40B4-BE49-F238E27FC236}">
              <a16:creationId xmlns:a16="http://schemas.microsoft.com/office/drawing/2014/main" id="{38F561D4-7F90-4F15-959E-D5F36B444B2C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3103" name="0/0">
          <a:extLst>
            <a:ext uri="{FF2B5EF4-FFF2-40B4-BE49-F238E27FC236}">
              <a16:creationId xmlns:a16="http://schemas.microsoft.com/office/drawing/2014/main" id="{9A540BF6-642E-40BC-94AA-5E9701CDB12F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3104" name="Freeform 10695">
          <a:extLst>
            <a:ext uri="{FF2B5EF4-FFF2-40B4-BE49-F238E27FC236}">
              <a16:creationId xmlns:a16="http://schemas.microsoft.com/office/drawing/2014/main" id="{0535AD58-63C6-41CB-86A4-599D131FFFE7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3105" name="0/0">
          <a:extLst>
            <a:ext uri="{FF2B5EF4-FFF2-40B4-BE49-F238E27FC236}">
              <a16:creationId xmlns:a16="http://schemas.microsoft.com/office/drawing/2014/main" id="{A783AF5E-805C-4953-AB41-829E8CF4CF38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3106" name="Freeform 10695">
          <a:extLst>
            <a:ext uri="{FF2B5EF4-FFF2-40B4-BE49-F238E27FC236}">
              <a16:creationId xmlns:a16="http://schemas.microsoft.com/office/drawing/2014/main" id="{730651DB-A9E2-43AE-AAA8-27D7735B692F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3107" name="0/0">
          <a:extLst>
            <a:ext uri="{FF2B5EF4-FFF2-40B4-BE49-F238E27FC236}">
              <a16:creationId xmlns:a16="http://schemas.microsoft.com/office/drawing/2014/main" id="{8EB307CA-C732-4AA6-915C-62E64109B455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3108" name="Freeform 10695">
          <a:extLst>
            <a:ext uri="{FF2B5EF4-FFF2-40B4-BE49-F238E27FC236}">
              <a16:creationId xmlns:a16="http://schemas.microsoft.com/office/drawing/2014/main" id="{B0195AAC-D326-41FD-A5FA-4D87108C7C2B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3109" name="0/0">
          <a:extLst>
            <a:ext uri="{FF2B5EF4-FFF2-40B4-BE49-F238E27FC236}">
              <a16:creationId xmlns:a16="http://schemas.microsoft.com/office/drawing/2014/main" id="{11E1BC99-2BB8-4321-999D-B3436BEA9D34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3110" name="Freeform 10695">
          <a:extLst>
            <a:ext uri="{FF2B5EF4-FFF2-40B4-BE49-F238E27FC236}">
              <a16:creationId xmlns:a16="http://schemas.microsoft.com/office/drawing/2014/main" id="{12B949E1-CEF9-44D1-891E-53A629BA2829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111" name="0/0">
          <a:extLst>
            <a:ext uri="{FF2B5EF4-FFF2-40B4-BE49-F238E27FC236}">
              <a16:creationId xmlns:a16="http://schemas.microsoft.com/office/drawing/2014/main" id="{52E0B6FF-320B-4CE2-BFEE-72F51A5CE5DE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3112" name="Freeform 10695">
          <a:extLst>
            <a:ext uri="{FF2B5EF4-FFF2-40B4-BE49-F238E27FC236}">
              <a16:creationId xmlns:a16="http://schemas.microsoft.com/office/drawing/2014/main" id="{BDE26009-2ED6-495F-B193-9D39EDF836F5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113" name="0/0">
          <a:extLst>
            <a:ext uri="{FF2B5EF4-FFF2-40B4-BE49-F238E27FC236}">
              <a16:creationId xmlns:a16="http://schemas.microsoft.com/office/drawing/2014/main" id="{7E1BC45C-2F2C-4555-BC3E-5BE16027DF5A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3114" name="Freeform 10695">
          <a:extLst>
            <a:ext uri="{FF2B5EF4-FFF2-40B4-BE49-F238E27FC236}">
              <a16:creationId xmlns:a16="http://schemas.microsoft.com/office/drawing/2014/main" id="{4AAAF23A-B94D-4437-BEE5-CDF7ECE98296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3115" name="0/0">
          <a:extLst>
            <a:ext uri="{FF2B5EF4-FFF2-40B4-BE49-F238E27FC236}">
              <a16:creationId xmlns:a16="http://schemas.microsoft.com/office/drawing/2014/main" id="{7B41B047-ABC3-4C88-9442-332E4D0BCBC0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3116" name="Freeform 10695">
          <a:extLst>
            <a:ext uri="{FF2B5EF4-FFF2-40B4-BE49-F238E27FC236}">
              <a16:creationId xmlns:a16="http://schemas.microsoft.com/office/drawing/2014/main" id="{7FF4A8AB-D26A-40F5-A1C4-170717FABEFF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3117" name="0/0">
          <a:extLst>
            <a:ext uri="{FF2B5EF4-FFF2-40B4-BE49-F238E27FC236}">
              <a16:creationId xmlns:a16="http://schemas.microsoft.com/office/drawing/2014/main" id="{137B3E04-863B-49BF-88F2-1AF8C2021964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3118" name="Freeform 10695">
          <a:extLst>
            <a:ext uri="{FF2B5EF4-FFF2-40B4-BE49-F238E27FC236}">
              <a16:creationId xmlns:a16="http://schemas.microsoft.com/office/drawing/2014/main" id="{027B89CA-43DD-4A00-8997-D35A8144128A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3119" name="0/0">
          <a:extLst>
            <a:ext uri="{FF2B5EF4-FFF2-40B4-BE49-F238E27FC236}">
              <a16:creationId xmlns:a16="http://schemas.microsoft.com/office/drawing/2014/main" id="{18A37020-4433-46A0-9874-687C7ACE36A2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3120" name="Freeform 10695">
          <a:extLst>
            <a:ext uri="{FF2B5EF4-FFF2-40B4-BE49-F238E27FC236}">
              <a16:creationId xmlns:a16="http://schemas.microsoft.com/office/drawing/2014/main" id="{B87B15E9-4258-44DC-A470-D43BA8112352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3121" name="0/0">
          <a:extLst>
            <a:ext uri="{FF2B5EF4-FFF2-40B4-BE49-F238E27FC236}">
              <a16:creationId xmlns:a16="http://schemas.microsoft.com/office/drawing/2014/main" id="{55C20A4E-1A2B-40A4-8BCE-2B44F1E03AA7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3122" name="Freeform 10695">
          <a:extLst>
            <a:ext uri="{FF2B5EF4-FFF2-40B4-BE49-F238E27FC236}">
              <a16:creationId xmlns:a16="http://schemas.microsoft.com/office/drawing/2014/main" id="{53ADB848-3651-4076-BC1E-5DBBD2DB80F5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3123" name="0/0">
          <a:extLst>
            <a:ext uri="{FF2B5EF4-FFF2-40B4-BE49-F238E27FC236}">
              <a16:creationId xmlns:a16="http://schemas.microsoft.com/office/drawing/2014/main" id="{C7031379-4853-487D-B315-589B12738631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3124" name="Freeform 10695">
          <a:extLst>
            <a:ext uri="{FF2B5EF4-FFF2-40B4-BE49-F238E27FC236}">
              <a16:creationId xmlns:a16="http://schemas.microsoft.com/office/drawing/2014/main" id="{7C8D35AA-B038-4FB9-B975-11E9505D5890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3125" name="0/0">
          <a:extLst>
            <a:ext uri="{FF2B5EF4-FFF2-40B4-BE49-F238E27FC236}">
              <a16:creationId xmlns:a16="http://schemas.microsoft.com/office/drawing/2014/main" id="{16CD735E-8D88-42F6-947D-DC425435CF47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3126" name="Freeform 10695">
          <a:extLst>
            <a:ext uri="{FF2B5EF4-FFF2-40B4-BE49-F238E27FC236}">
              <a16:creationId xmlns:a16="http://schemas.microsoft.com/office/drawing/2014/main" id="{25AC80D0-79FD-40D5-A51D-5F9D5DBCA867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3127" name="0/0">
          <a:extLst>
            <a:ext uri="{FF2B5EF4-FFF2-40B4-BE49-F238E27FC236}">
              <a16:creationId xmlns:a16="http://schemas.microsoft.com/office/drawing/2014/main" id="{8A7E5BF0-48D4-4A08-8ED2-C5FCB528BC2A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3128" name="Freeform 10695">
          <a:extLst>
            <a:ext uri="{FF2B5EF4-FFF2-40B4-BE49-F238E27FC236}">
              <a16:creationId xmlns:a16="http://schemas.microsoft.com/office/drawing/2014/main" id="{08FDEA24-A415-4B15-B888-3C3669BBD52F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3129" name="0/0">
          <a:extLst>
            <a:ext uri="{FF2B5EF4-FFF2-40B4-BE49-F238E27FC236}">
              <a16:creationId xmlns:a16="http://schemas.microsoft.com/office/drawing/2014/main" id="{6CFF5D2D-C49B-4F83-9D5C-C6FBE6300AAC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3130" name="Freeform 10695">
          <a:extLst>
            <a:ext uri="{FF2B5EF4-FFF2-40B4-BE49-F238E27FC236}">
              <a16:creationId xmlns:a16="http://schemas.microsoft.com/office/drawing/2014/main" id="{DDF37A27-1CCD-46EA-8C10-6F4F1F3E8318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3131" name="0/0">
          <a:extLst>
            <a:ext uri="{FF2B5EF4-FFF2-40B4-BE49-F238E27FC236}">
              <a16:creationId xmlns:a16="http://schemas.microsoft.com/office/drawing/2014/main" id="{EE9394E7-5C50-4CDD-832D-A75498C43DAD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3132" name="Freeform 10695">
          <a:extLst>
            <a:ext uri="{FF2B5EF4-FFF2-40B4-BE49-F238E27FC236}">
              <a16:creationId xmlns:a16="http://schemas.microsoft.com/office/drawing/2014/main" id="{C7D2639B-E61C-45DC-868A-3111A196AB72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3133" name="0/0">
          <a:extLst>
            <a:ext uri="{FF2B5EF4-FFF2-40B4-BE49-F238E27FC236}">
              <a16:creationId xmlns:a16="http://schemas.microsoft.com/office/drawing/2014/main" id="{A17F8C56-0A39-49CF-9B89-C840573C0367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3134" name="Freeform 10695">
          <a:extLst>
            <a:ext uri="{FF2B5EF4-FFF2-40B4-BE49-F238E27FC236}">
              <a16:creationId xmlns:a16="http://schemas.microsoft.com/office/drawing/2014/main" id="{A947C7CE-E098-4246-BFFF-E2260A476BBC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3135" name="0/0">
          <a:extLst>
            <a:ext uri="{FF2B5EF4-FFF2-40B4-BE49-F238E27FC236}">
              <a16:creationId xmlns:a16="http://schemas.microsoft.com/office/drawing/2014/main" id="{F3061D19-548A-4D4D-A7CB-B9B4934A225B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3136" name="Freeform 10695">
          <a:extLst>
            <a:ext uri="{FF2B5EF4-FFF2-40B4-BE49-F238E27FC236}">
              <a16:creationId xmlns:a16="http://schemas.microsoft.com/office/drawing/2014/main" id="{3A5C4A20-6021-44DC-BEB5-455B9231EBFA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3137" name="0/0">
          <a:extLst>
            <a:ext uri="{FF2B5EF4-FFF2-40B4-BE49-F238E27FC236}">
              <a16:creationId xmlns:a16="http://schemas.microsoft.com/office/drawing/2014/main" id="{83942CE3-8688-4C11-B095-01F8BFF27F54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3138" name="Freeform 10695">
          <a:extLst>
            <a:ext uri="{FF2B5EF4-FFF2-40B4-BE49-F238E27FC236}">
              <a16:creationId xmlns:a16="http://schemas.microsoft.com/office/drawing/2014/main" id="{30DEF162-87E9-435D-85FF-4A51B32C4BC8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3139" name="0/0">
          <a:extLst>
            <a:ext uri="{FF2B5EF4-FFF2-40B4-BE49-F238E27FC236}">
              <a16:creationId xmlns:a16="http://schemas.microsoft.com/office/drawing/2014/main" id="{5A1F8EE8-6E9B-4F32-A75E-9BFEF9808F2D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3140" name="Freeform 10695">
          <a:extLst>
            <a:ext uri="{FF2B5EF4-FFF2-40B4-BE49-F238E27FC236}">
              <a16:creationId xmlns:a16="http://schemas.microsoft.com/office/drawing/2014/main" id="{A6A99D04-2B11-4ADA-B74E-3557DA1EB104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3141" name="0/0">
          <a:extLst>
            <a:ext uri="{FF2B5EF4-FFF2-40B4-BE49-F238E27FC236}">
              <a16:creationId xmlns:a16="http://schemas.microsoft.com/office/drawing/2014/main" id="{4205E58D-4AE3-4E43-A90B-0219E29E9CB4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3142" name="Freeform 10695">
          <a:extLst>
            <a:ext uri="{FF2B5EF4-FFF2-40B4-BE49-F238E27FC236}">
              <a16:creationId xmlns:a16="http://schemas.microsoft.com/office/drawing/2014/main" id="{AD65DC20-2CBE-4E8B-966F-3FED8FF63CBB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3143" name="0/0">
          <a:extLst>
            <a:ext uri="{FF2B5EF4-FFF2-40B4-BE49-F238E27FC236}">
              <a16:creationId xmlns:a16="http://schemas.microsoft.com/office/drawing/2014/main" id="{7DEF8E65-0730-4F4A-B6C9-1065DF159D4D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3144" name="Freeform 10695">
          <a:extLst>
            <a:ext uri="{FF2B5EF4-FFF2-40B4-BE49-F238E27FC236}">
              <a16:creationId xmlns:a16="http://schemas.microsoft.com/office/drawing/2014/main" id="{19ECEC7A-4370-4015-AD20-36C0840C9F1D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3145" name="0/0">
          <a:extLst>
            <a:ext uri="{FF2B5EF4-FFF2-40B4-BE49-F238E27FC236}">
              <a16:creationId xmlns:a16="http://schemas.microsoft.com/office/drawing/2014/main" id="{1AE91528-4831-4B78-9197-FEC7B9A243F9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3146" name="Freeform 10695">
          <a:extLst>
            <a:ext uri="{FF2B5EF4-FFF2-40B4-BE49-F238E27FC236}">
              <a16:creationId xmlns:a16="http://schemas.microsoft.com/office/drawing/2014/main" id="{0A9AFC35-FFF7-4BDB-BD6E-031D6070475A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3147" name="0/0">
          <a:extLst>
            <a:ext uri="{FF2B5EF4-FFF2-40B4-BE49-F238E27FC236}">
              <a16:creationId xmlns:a16="http://schemas.microsoft.com/office/drawing/2014/main" id="{ACE16177-DCBE-440B-B6E8-CE922D0B70A4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3148" name="Freeform 10695">
          <a:extLst>
            <a:ext uri="{FF2B5EF4-FFF2-40B4-BE49-F238E27FC236}">
              <a16:creationId xmlns:a16="http://schemas.microsoft.com/office/drawing/2014/main" id="{906426BD-B98E-41BD-A4DC-A5DC9B70BD71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3149" name="0/0">
          <a:extLst>
            <a:ext uri="{FF2B5EF4-FFF2-40B4-BE49-F238E27FC236}">
              <a16:creationId xmlns:a16="http://schemas.microsoft.com/office/drawing/2014/main" id="{B8382189-A8D8-4C47-A310-224339A47CD2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3150" name="Freeform 10695">
          <a:extLst>
            <a:ext uri="{FF2B5EF4-FFF2-40B4-BE49-F238E27FC236}">
              <a16:creationId xmlns:a16="http://schemas.microsoft.com/office/drawing/2014/main" id="{1815543F-5FDC-4505-BD54-984B3882266E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3151" name="0/0">
          <a:extLst>
            <a:ext uri="{FF2B5EF4-FFF2-40B4-BE49-F238E27FC236}">
              <a16:creationId xmlns:a16="http://schemas.microsoft.com/office/drawing/2014/main" id="{96CB6DF2-F72A-40EB-91F7-909422BB8FC3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3152" name="Freeform 10695">
          <a:extLst>
            <a:ext uri="{FF2B5EF4-FFF2-40B4-BE49-F238E27FC236}">
              <a16:creationId xmlns:a16="http://schemas.microsoft.com/office/drawing/2014/main" id="{83B51E54-F1B8-4781-BC0B-81E972712FA0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3153" name="0/0">
          <a:extLst>
            <a:ext uri="{FF2B5EF4-FFF2-40B4-BE49-F238E27FC236}">
              <a16:creationId xmlns:a16="http://schemas.microsoft.com/office/drawing/2014/main" id="{5303109E-7A2F-4722-AA9F-4AEEF819AC4D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3154" name="Freeform 10695">
          <a:extLst>
            <a:ext uri="{FF2B5EF4-FFF2-40B4-BE49-F238E27FC236}">
              <a16:creationId xmlns:a16="http://schemas.microsoft.com/office/drawing/2014/main" id="{4B09ED8D-32C2-4976-85C9-E7AB15D5EB7D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3155" name="0/0">
          <a:extLst>
            <a:ext uri="{FF2B5EF4-FFF2-40B4-BE49-F238E27FC236}">
              <a16:creationId xmlns:a16="http://schemas.microsoft.com/office/drawing/2014/main" id="{DDA255AA-3B72-40D8-B801-FC172369DF3D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3156" name="Freeform 10695">
          <a:extLst>
            <a:ext uri="{FF2B5EF4-FFF2-40B4-BE49-F238E27FC236}">
              <a16:creationId xmlns:a16="http://schemas.microsoft.com/office/drawing/2014/main" id="{7B76F5E8-471E-4258-B73E-0F70D22458E9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3157" name="0/0">
          <a:extLst>
            <a:ext uri="{FF2B5EF4-FFF2-40B4-BE49-F238E27FC236}">
              <a16:creationId xmlns:a16="http://schemas.microsoft.com/office/drawing/2014/main" id="{A98EBFBD-DDC8-4C19-B119-0F82709CDBEB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3158" name="Freeform 10695">
          <a:extLst>
            <a:ext uri="{FF2B5EF4-FFF2-40B4-BE49-F238E27FC236}">
              <a16:creationId xmlns:a16="http://schemas.microsoft.com/office/drawing/2014/main" id="{BDA47276-E1EB-452E-8CB1-BD6806AB46B1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3159" name="0/0">
          <a:extLst>
            <a:ext uri="{FF2B5EF4-FFF2-40B4-BE49-F238E27FC236}">
              <a16:creationId xmlns:a16="http://schemas.microsoft.com/office/drawing/2014/main" id="{9398D6BD-BACD-4430-BB68-549A5DF3B4B0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3160" name="Freeform 10695">
          <a:extLst>
            <a:ext uri="{FF2B5EF4-FFF2-40B4-BE49-F238E27FC236}">
              <a16:creationId xmlns:a16="http://schemas.microsoft.com/office/drawing/2014/main" id="{3BDB2FEA-01B5-49D6-834B-D9826DFF6BA5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3161" name="0/0">
          <a:extLst>
            <a:ext uri="{FF2B5EF4-FFF2-40B4-BE49-F238E27FC236}">
              <a16:creationId xmlns:a16="http://schemas.microsoft.com/office/drawing/2014/main" id="{B95CA761-F6C9-4276-AD97-C1AC0C5DB96E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3162" name="Freeform 10695">
          <a:extLst>
            <a:ext uri="{FF2B5EF4-FFF2-40B4-BE49-F238E27FC236}">
              <a16:creationId xmlns:a16="http://schemas.microsoft.com/office/drawing/2014/main" id="{2546B0B9-352A-48E1-BDC0-1EEC08CC2E30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3163" name="0/0">
          <a:extLst>
            <a:ext uri="{FF2B5EF4-FFF2-40B4-BE49-F238E27FC236}">
              <a16:creationId xmlns:a16="http://schemas.microsoft.com/office/drawing/2014/main" id="{A2C6F301-62AB-4F30-858D-BB44671E9D6B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3164" name="Freeform 10695">
          <a:extLst>
            <a:ext uri="{FF2B5EF4-FFF2-40B4-BE49-F238E27FC236}">
              <a16:creationId xmlns:a16="http://schemas.microsoft.com/office/drawing/2014/main" id="{7FA714D5-43AA-4D9A-BBDA-0747ADB8309E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3165" name="0/0">
          <a:extLst>
            <a:ext uri="{FF2B5EF4-FFF2-40B4-BE49-F238E27FC236}">
              <a16:creationId xmlns:a16="http://schemas.microsoft.com/office/drawing/2014/main" id="{C7E15800-E115-4953-BD5C-51A669EB102D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3166" name="Freeform 10695">
          <a:extLst>
            <a:ext uri="{FF2B5EF4-FFF2-40B4-BE49-F238E27FC236}">
              <a16:creationId xmlns:a16="http://schemas.microsoft.com/office/drawing/2014/main" id="{54C60BC6-CAE9-4444-8A51-73637BCEA52C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3167" name="0/0">
          <a:extLst>
            <a:ext uri="{FF2B5EF4-FFF2-40B4-BE49-F238E27FC236}">
              <a16:creationId xmlns:a16="http://schemas.microsoft.com/office/drawing/2014/main" id="{38401E39-DAAE-45D5-826D-36276D18BBE1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3168" name="Freeform 10695">
          <a:extLst>
            <a:ext uri="{FF2B5EF4-FFF2-40B4-BE49-F238E27FC236}">
              <a16:creationId xmlns:a16="http://schemas.microsoft.com/office/drawing/2014/main" id="{49FA8367-553E-490E-9AD5-AF2EA7174BA7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3169" name="0/0">
          <a:extLst>
            <a:ext uri="{FF2B5EF4-FFF2-40B4-BE49-F238E27FC236}">
              <a16:creationId xmlns:a16="http://schemas.microsoft.com/office/drawing/2014/main" id="{867E7B52-5C88-4E46-A137-9D680826EA27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3170" name="Freeform 10695">
          <a:extLst>
            <a:ext uri="{FF2B5EF4-FFF2-40B4-BE49-F238E27FC236}">
              <a16:creationId xmlns:a16="http://schemas.microsoft.com/office/drawing/2014/main" id="{5AC853EC-8A8C-4DD0-A836-D656AD404B6E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3171" name="0/0">
          <a:extLst>
            <a:ext uri="{FF2B5EF4-FFF2-40B4-BE49-F238E27FC236}">
              <a16:creationId xmlns:a16="http://schemas.microsoft.com/office/drawing/2014/main" id="{43AD3E2B-5F77-40E9-B0AB-88E50B5DE3EE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3172" name="Freeform 10695">
          <a:extLst>
            <a:ext uri="{FF2B5EF4-FFF2-40B4-BE49-F238E27FC236}">
              <a16:creationId xmlns:a16="http://schemas.microsoft.com/office/drawing/2014/main" id="{4A07F2E5-D6A4-41B5-82AA-990F28A83DC8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3173" name="0/0">
          <a:extLst>
            <a:ext uri="{FF2B5EF4-FFF2-40B4-BE49-F238E27FC236}">
              <a16:creationId xmlns:a16="http://schemas.microsoft.com/office/drawing/2014/main" id="{12370977-7BC5-443A-8179-E8B6A5C7AB83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3174" name="Freeform 10695">
          <a:extLst>
            <a:ext uri="{FF2B5EF4-FFF2-40B4-BE49-F238E27FC236}">
              <a16:creationId xmlns:a16="http://schemas.microsoft.com/office/drawing/2014/main" id="{02EABDE6-1834-4260-983A-1BE69E1F3518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3175" name="0/0">
          <a:extLst>
            <a:ext uri="{FF2B5EF4-FFF2-40B4-BE49-F238E27FC236}">
              <a16:creationId xmlns:a16="http://schemas.microsoft.com/office/drawing/2014/main" id="{67BB4CE5-AC61-4840-A5FA-435AC0A3232F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3176" name="Freeform 10695">
          <a:extLst>
            <a:ext uri="{FF2B5EF4-FFF2-40B4-BE49-F238E27FC236}">
              <a16:creationId xmlns:a16="http://schemas.microsoft.com/office/drawing/2014/main" id="{245EA1C9-DD55-4654-8DD1-2809D9E0A8C7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3177" name="0/0">
          <a:extLst>
            <a:ext uri="{FF2B5EF4-FFF2-40B4-BE49-F238E27FC236}">
              <a16:creationId xmlns:a16="http://schemas.microsoft.com/office/drawing/2014/main" id="{A71EC149-9382-4579-97E7-66460439B90A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3178" name="Freeform 10695">
          <a:extLst>
            <a:ext uri="{FF2B5EF4-FFF2-40B4-BE49-F238E27FC236}">
              <a16:creationId xmlns:a16="http://schemas.microsoft.com/office/drawing/2014/main" id="{A40A3D47-7522-4B1F-9414-37A4835DED91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3179" name="0/0">
          <a:extLst>
            <a:ext uri="{FF2B5EF4-FFF2-40B4-BE49-F238E27FC236}">
              <a16:creationId xmlns:a16="http://schemas.microsoft.com/office/drawing/2014/main" id="{73788DDA-6E6F-4BC2-B21E-4D8974F550C3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3180" name="Freeform 10695">
          <a:extLst>
            <a:ext uri="{FF2B5EF4-FFF2-40B4-BE49-F238E27FC236}">
              <a16:creationId xmlns:a16="http://schemas.microsoft.com/office/drawing/2014/main" id="{588D4215-2BB3-47EE-B0AC-0F2A164B6E93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3181" name="0/0">
          <a:extLst>
            <a:ext uri="{FF2B5EF4-FFF2-40B4-BE49-F238E27FC236}">
              <a16:creationId xmlns:a16="http://schemas.microsoft.com/office/drawing/2014/main" id="{5C35EF9C-4FB2-4201-B03E-C10B34C2A635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3182" name="Freeform 10695">
          <a:extLst>
            <a:ext uri="{FF2B5EF4-FFF2-40B4-BE49-F238E27FC236}">
              <a16:creationId xmlns:a16="http://schemas.microsoft.com/office/drawing/2014/main" id="{E9744E36-132C-4946-9746-4147321F1B27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3183" name="0/0">
          <a:extLst>
            <a:ext uri="{FF2B5EF4-FFF2-40B4-BE49-F238E27FC236}">
              <a16:creationId xmlns:a16="http://schemas.microsoft.com/office/drawing/2014/main" id="{6A41E339-4295-467C-A3CC-B3BCA8F75065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3184" name="Freeform 10695">
          <a:extLst>
            <a:ext uri="{FF2B5EF4-FFF2-40B4-BE49-F238E27FC236}">
              <a16:creationId xmlns:a16="http://schemas.microsoft.com/office/drawing/2014/main" id="{F7121908-6932-4008-A3BB-51A3F0174684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3185" name="0/0">
          <a:extLst>
            <a:ext uri="{FF2B5EF4-FFF2-40B4-BE49-F238E27FC236}">
              <a16:creationId xmlns:a16="http://schemas.microsoft.com/office/drawing/2014/main" id="{7EB8E6B3-6827-4305-8E61-2E80FF98B8A1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3186" name="Freeform 10695">
          <a:extLst>
            <a:ext uri="{FF2B5EF4-FFF2-40B4-BE49-F238E27FC236}">
              <a16:creationId xmlns:a16="http://schemas.microsoft.com/office/drawing/2014/main" id="{C48EAD0F-CDB3-4550-B430-9CADC0761B04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3187" name="0/0">
          <a:extLst>
            <a:ext uri="{FF2B5EF4-FFF2-40B4-BE49-F238E27FC236}">
              <a16:creationId xmlns:a16="http://schemas.microsoft.com/office/drawing/2014/main" id="{6D45F216-4F40-4CB2-A03E-3326ACD0D9BA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3188" name="Freeform 10695">
          <a:extLst>
            <a:ext uri="{FF2B5EF4-FFF2-40B4-BE49-F238E27FC236}">
              <a16:creationId xmlns:a16="http://schemas.microsoft.com/office/drawing/2014/main" id="{C3188E3C-660A-4583-A78D-AD590417FCA0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3189" name="0/0">
          <a:extLst>
            <a:ext uri="{FF2B5EF4-FFF2-40B4-BE49-F238E27FC236}">
              <a16:creationId xmlns:a16="http://schemas.microsoft.com/office/drawing/2014/main" id="{05A4E04C-573E-4CA6-A788-C08004E63698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3190" name="Freeform 10695">
          <a:extLst>
            <a:ext uri="{FF2B5EF4-FFF2-40B4-BE49-F238E27FC236}">
              <a16:creationId xmlns:a16="http://schemas.microsoft.com/office/drawing/2014/main" id="{CFACB452-D604-4AA7-A0EF-F85BA2902106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3191" name="0/0">
          <a:extLst>
            <a:ext uri="{FF2B5EF4-FFF2-40B4-BE49-F238E27FC236}">
              <a16:creationId xmlns:a16="http://schemas.microsoft.com/office/drawing/2014/main" id="{2022444F-4006-4772-9888-E4824BA6F410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3192" name="Freeform 10695">
          <a:extLst>
            <a:ext uri="{FF2B5EF4-FFF2-40B4-BE49-F238E27FC236}">
              <a16:creationId xmlns:a16="http://schemas.microsoft.com/office/drawing/2014/main" id="{DD9E3085-B765-4FCE-8C64-B9AB56291D40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3193" name="0/0">
          <a:extLst>
            <a:ext uri="{FF2B5EF4-FFF2-40B4-BE49-F238E27FC236}">
              <a16:creationId xmlns:a16="http://schemas.microsoft.com/office/drawing/2014/main" id="{83D30A96-E954-4D51-A13B-41DF2ACAA1AE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3194" name="Freeform 10695">
          <a:extLst>
            <a:ext uri="{FF2B5EF4-FFF2-40B4-BE49-F238E27FC236}">
              <a16:creationId xmlns:a16="http://schemas.microsoft.com/office/drawing/2014/main" id="{67B5361A-1ADB-4929-AE28-19333F1D663F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3195" name="0/0">
          <a:extLst>
            <a:ext uri="{FF2B5EF4-FFF2-40B4-BE49-F238E27FC236}">
              <a16:creationId xmlns:a16="http://schemas.microsoft.com/office/drawing/2014/main" id="{665225D0-FE06-4BF2-AA84-44C618747408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3196" name="Freeform 10695">
          <a:extLst>
            <a:ext uri="{FF2B5EF4-FFF2-40B4-BE49-F238E27FC236}">
              <a16:creationId xmlns:a16="http://schemas.microsoft.com/office/drawing/2014/main" id="{E33E080F-BD84-46B0-A5E7-DAA88AF5D301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3197" name="0/0">
          <a:extLst>
            <a:ext uri="{FF2B5EF4-FFF2-40B4-BE49-F238E27FC236}">
              <a16:creationId xmlns:a16="http://schemas.microsoft.com/office/drawing/2014/main" id="{147D97B1-8D01-4B4A-A4BF-2D6EBA023954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3198" name="Freeform 10695">
          <a:extLst>
            <a:ext uri="{FF2B5EF4-FFF2-40B4-BE49-F238E27FC236}">
              <a16:creationId xmlns:a16="http://schemas.microsoft.com/office/drawing/2014/main" id="{66C13B63-0C5A-4146-824F-8E83C91F54F1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3199" name="0/0">
          <a:extLst>
            <a:ext uri="{FF2B5EF4-FFF2-40B4-BE49-F238E27FC236}">
              <a16:creationId xmlns:a16="http://schemas.microsoft.com/office/drawing/2014/main" id="{6B3952E5-BA18-4E4C-AA3A-1FFC00FD73E2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3200" name="Freeform 10695">
          <a:extLst>
            <a:ext uri="{FF2B5EF4-FFF2-40B4-BE49-F238E27FC236}">
              <a16:creationId xmlns:a16="http://schemas.microsoft.com/office/drawing/2014/main" id="{2A10C6B9-F893-4BD7-A6BA-FEC0B45EACC7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3201" name="0/0">
          <a:extLst>
            <a:ext uri="{FF2B5EF4-FFF2-40B4-BE49-F238E27FC236}">
              <a16:creationId xmlns:a16="http://schemas.microsoft.com/office/drawing/2014/main" id="{6595F509-21BA-48EE-8C81-7332BAEE253E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3202" name="Freeform 10695">
          <a:extLst>
            <a:ext uri="{FF2B5EF4-FFF2-40B4-BE49-F238E27FC236}">
              <a16:creationId xmlns:a16="http://schemas.microsoft.com/office/drawing/2014/main" id="{548B00B4-EFF0-4075-A71A-3C70C678B28A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3203" name="0/0">
          <a:extLst>
            <a:ext uri="{FF2B5EF4-FFF2-40B4-BE49-F238E27FC236}">
              <a16:creationId xmlns:a16="http://schemas.microsoft.com/office/drawing/2014/main" id="{CDB11683-DB45-4BC8-9AE2-5F9507259F61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3204" name="Freeform 10695">
          <a:extLst>
            <a:ext uri="{FF2B5EF4-FFF2-40B4-BE49-F238E27FC236}">
              <a16:creationId xmlns:a16="http://schemas.microsoft.com/office/drawing/2014/main" id="{65665773-0708-426C-A552-D595BEA26912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3205" name="0/0">
          <a:extLst>
            <a:ext uri="{FF2B5EF4-FFF2-40B4-BE49-F238E27FC236}">
              <a16:creationId xmlns:a16="http://schemas.microsoft.com/office/drawing/2014/main" id="{F8733B3B-E22C-4857-8E19-711D45FA5EDB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3206" name="Freeform 10695">
          <a:extLst>
            <a:ext uri="{FF2B5EF4-FFF2-40B4-BE49-F238E27FC236}">
              <a16:creationId xmlns:a16="http://schemas.microsoft.com/office/drawing/2014/main" id="{B16F02EC-317D-432E-9D56-207013414331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3207" name="0/0">
          <a:extLst>
            <a:ext uri="{FF2B5EF4-FFF2-40B4-BE49-F238E27FC236}">
              <a16:creationId xmlns:a16="http://schemas.microsoft.com/office/drawing/2014/main" id="{5E26EFA6-8B48-44D6-910C-456C81B705E4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3208" name="Freeform 10695">
          <a:extLst>
            <a:ext uri="{FF2B5EF4-FFF2-40B4-BE49-F238E27FC236}">
              <a16:creationId xmlns:a16="http://schemas.microsoft.com/office/drawing/2014/main" id="{E0B835A2-B5EC-4049-B89A-3972908FA4B0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3209" name="0/0">
          <a:extLst>
            <a:ext uri="{FF2B5EF4-FFF2-40B4-BE49-F238E27FC236}">
              <a16:creationId xmlns:a16="http://schemas.microsoft.com/office/drawing/2014/main" id="{EC770EFA-8AFF-49A0-9A21-C0A9029882E1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3210" name="Freeform 10695">
          <a:extLst>
            <a:ext uri="{FF2B5EF4-FFF2-40B4-BE49-F238E27FC236}">
              <a16:creationId xmlns:a16="http://schemas.microsoft.com/office/drawing/2014/main" id="{12C836F8-4718-4F37-8C4D-55DFC7D88069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3211" name="0/0">
          <a:extLst>
            <a:ext uri="{FF2B5EF4-FFF2-40B4-BE49-F238E27FC236}">
              <a16:creationId xmlns:a16="http://schemas.microsoft.com/office/drawing/2014/main" id="{FABEA558-8A0A-41C3-88AF-E2EBC6CB0AD0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3212" name="Freeform 10695">
          <a:extLst>
            <a:ext uri="{FF2B5EF4-FFF2-40B4-BE49-F238E27FC236}">
              <a16:creationId xmlns:a16="http://schemas.microsoft.com/office/drawing/2014/main" id="{17140EFF-C9AF-4EFD-9466-FA5FAD2AB317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3213" name="0/0">
          <a:extLst>
            <a:ext uri="{FF2B5EF4-FFF2-40B4-BE49-F238E27FC236}">
              <a16:creationId xmlns:a16="http://schemas.microsoft.com/office/drawing/2014/main" id="{BE4EEED2-7A07-4B43-BD38-428420AC9AB7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3214" name="Freeform 10695">
          <a:extLst>
            <a:ext uri="{FF2B5EF4-FFF2-40B4-BE49-F238E27FC236}">
              <a16:creationId xmlns:a16="http://schemas.microsoft.com/office/drawing/2014/main" id="{2F6D6647-7257-4FA2-B032-96269E62570A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3215" name="0/0">
          <a:extLst>
            <a:ext uri="{FF2B5EF4-FFF2-40B4-BE49-F238E27FC236}">
              <a16:creationId xmlns:a16="http://schemas.microsoft.com/office/drawing/2014/main" id="{FE66FF90-5D26-4949-ADA7-80E41ACF122D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3216" name="Freeform 10695">
          <a:extLst>
            <a:ext uri="{FF2B5EF4-FFF2-40B4-BE49-F238E27FC236}">
              <a16:creationId xmlns:a16="http://schemas.microsoft.com/office/drawing/2014/main" id="{EB9A5F73-7EF9-4812-8ACF-6144CC9066FF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3217" name="0/0">
          <a:extLst>
            <a:ext uri="{FF2B5EF4-FFF2-40B4-BE49-F238E27FC236}">
              <a16:creationId xmlns:a16="http://schemas.microsoft.com/office/drawing/2014/main" id="{92EF5FC0-6746-4EBF-B3E1-6CEC7F26C358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3218" name="Freeform 10695">
          <a:extLst>
            <a:ext uri="{FF2B5EF4-FFF2-40B4-BE49-F238E27FC236}">
              <a16:creationId xmlns:a16="http://schemas.microsoft.com/office/drawing/2014/main" id="{70C68BE7-E0BA-4703-BAB7-2B7E27468967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3219" name="0/0">
          <a:extLst>
            <a:ext uri="{FF2B5EF4-FFF2-40B4-BE49-F238E27FC236}">
              <a16:creationId xmlns:a16="http://schemas.microsoft.com/office/drawing/2014/main" id="{182B0AAE-EF06-4FC6-BA32-60D1DCD6D211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3220" name="Freeform 10695">
          <a:extLst>
            <a:ext uri="{FF2B5EF4-FFF2-40B4-BE49-F238E27FC236}">
              <a16:creationId xmlns:a16="http://schemas.microsoft.com/office/drawing/2014/main" id="{C6B045D1-DD2A-4C86-A0AF-B237C02437B0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3221" name="0/0">
          <a:extLst>
            <a:ext uri="{FF2B5EF4-FFF2-40B4-BE49-F238E27FC236}">
              <a16:creationId xmlns:a16="http://schemas.microsoft.com/office/drawing/2014/main" id="{E4496BCB-28CB-4524-9A5B-D6F888A14F2B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3222" name="Freeform 10695">
          <a:extLst>
            <a:ext uri="{FF2B5EF4-FFF2-40B4-BE49-F238E27FC236}">
              <a16:creationId xmlns:a16="http://schemas.microsoft.com/office/drawing/2014/main" id="{C12ABABF-E15A-4E33-8AC0-51829E88B587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3223" name="0/0">
          <a:extLst>
            <a:ext uri="{FF2B5EF4-FFF2-40B4-BE49-F238E27FC236}">
              <a16:creationId xmlns:a16="http://schemas.microsoft.com/office/drawing/2014/main" id="{F134CEC7-4FAE-408F-A425-852F7605D548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3224" name="Freeform 10695">
          <a:extLst>
            <a:ext uri="{FF2B5EF4-FFF2-40B4-BE49-F238E27FC236}">
              <a16:creationId xmlns:a16="http://schemas.microsoft.com/office/drawing/2014/main" id="{9840CB29-D636-4723-BB13-A028F8841414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3225" name="0/0">
          <a:extLst>
            <a:ext uri="{FF2B5EF4-FFF2-40B4-BE49-F238E27FC236}">
              <a16:creationId xmlns:a16="http://schemas.microsoft.com/office/drawing/2014/main" id="{ACE0E354-8674-48DE-8A51-4976F4DACEA3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3226" name="Freeform 10695">
          <a:extLst>
            <a:ext uri="{FF2B5EF4-FFF2-40B4-BE49-F238E27FC236}">
              <a16:creationId xmlns:a16="http://schemas.microsoft.com/office/drawing/2014/main" id="{85642034-C0D2-4376-A54B-0889CDD75134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3227" name="0/0">
          <a:extLst>
            <a:ext uri="{FF2B5EF4-FFF2-40B4-BE49-F238E27FC236}">
              <a16:creationId xmlns:a16="http://schemas.microsoft.com/office/drawing/2014/main" id="{873A5DF3-0B3B-4A32-AC16-9C42C9D24A80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3228" name="Freeform 10695">
          <a:extLst>
            <a:ext uri="{FF2B5EF4-FFF2-40B4-BE49-F238E27FC236}">
              <a16:creationId xmlns:a16="http://schemas.microsoft.com/office/drawing/2014/main" id="{D0D49A77-A2E2-4599-B43B-C38F3FF43F94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3229" name="0/0">
          <a:extLst>
            <a:ext uri="{FF2B5EF4-FFF2-40B4-BE49-F238E27FC236}">
              <a16:creationId xmlns:a16="http://schemas.microsoft.com/office/drawing/2014/main" id="{806C0BB4-D029-422B-B764-17C48EFC11D3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3230" name="Freeform 10695">
          <a:extLst>
            <a:ext uri="{FF2B5EF4-FFF2-40B4-BE49-F238E27FC236}">
              <a16:creationId xmlns:a16="http://schemas.microsoft.com/office/drawing/2014/main" id="{5EAE0225-8386-40A8-9CB2-E91067447CE9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231" name="0/0">
          <a:extLst>
            <a:ext uri="{FF2B5EF4-FFF2-40B4-BE49-F238E27FC236}">
              <a16:creationId xmlns:a16="http://schemas.microsoft.com/office/drawing/2014/main" id="{97881894-16A8-4A81-A74A-AC60FC5BB0A3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232" name="Freeform 10695">
          <a:extLst>
            <a:ext uri="{FF2B5EF4-FFF2-40B4-BE49-F238E27FC236}">
              <a16:creationId xmlns:a16="http://schemas.microsoft.com/office/drawing/2014/main" id="{21FAC64A-4D7C-47CA-BE97-BD49E89401BC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233" name="0/0">
          <a:extLst>
            <a:ext uri="{FF2B5EF4-FFF2-40B4-BE49-F238E27FC236}">
              <a16:creationId xmlns:a16="http://schemas.microsoft.com/office/drawing/2014/main" id="{3A19B345-B57B-4CBC-B606-8DF54D4DAF17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234" name="Freeform 10695">
          <a:extLst>
            <a:ext uri="{FF2B5EF4-FFF2-40B4-BE49-F238E27FC236}">
              <a16:creationId xmlns:a16="http://schemas.microsoft.com/office/drawing/2014/main" id="{DC196E6F-84B8-480E-94E1-A1E774150D00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235" name="0/0">
          <a:extLst>
            <a:ext uri="{FF2B5EF4-FFF2-40B4-BE49-F238E27FC236}">
              <a16:creationId xmlns:a16="http://schemas.microsoft.com/office/drawing/2014/main" id="{CFACC7A8-3E4D-42B2-A94F-C5F8FD7357DC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236" name="Freeform 10695">
          <a:extLst>
            <a:ext uri="{FF2B5EF4-FFF2-40B4-BE49-F238E27FC236}">
              <a16:creationId xmlns:a16="http://schemas.microsoft.com/office/drawing/2014/main" id="{AFA1D378-61C1-4786-A920-D26F94A94A2C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237" name="0/0">
          <a:extLst>
            <a:ext uri="{FF2B5EF4-FFF2-40B4-BE49-F238E27FC236}">
              <a16:creationId xmlns:a16="http://schemas.microsoft.com/office/drawing/2014/main" id="{268E0D0C-2AB9-41DF-8825-57C13DB4F030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238" name="Freeform 10695">
          <a:extLst>
            <a:ext uri="{FF2B5EF4-FFF2-40B4-BE49-F238E27FC236}">
              <a16:creationId xmlns:a16="http://schemas.microsoft.com/office/drawing/2014/main" id="{1E1E589A-E7CE-489F-A321-AA320A32DA31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239" name="0/0">
          <a:extLst>
            <a:ext uri="{FF2B5EF4-FFF2-40B4-BE49-F238E27FC236}">
              <a16:creationId xmlns:a16="http://schemas.microsoft.com/office/drawing/2014/main" id="{A1322545-2513-4DD0-875D-3E0DE4BC8B31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240" name="Freeform 10695">
          <a:extLst>
            <a:ext uri="{FF2B5EF4-FFF2-40B4-BE49-F238E27FC236}">
              <a16:creationId xmlns:a16="http://schemas.microsoft.com/office/drawing/2014/main" id="{2B11A901-975E-46B8-8ACF-635C70C69DFF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241" name="0/0">
          <a:extLst>
            <a:ext uri="{FF2B5EF4-FFF2-40B4-BE49-F238E27FC236}">
              <a16:creationId xmlns:a16="http://schemas.microsoft.com/office/drawing/2014/main" id="{313DB074-809C-4959-A86C-437CBB32007E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242" name="Freeform 10695">
          <a:extLst>
            <a:ext uri="{FF2B5EF4-FFF2-40B4-BE49-F238E27FC236}">
              <a16:creationId xmlns:a16="http://schemas.microsoft.com/office/drawing/2014/main" id="{40CA086D-655E-4A8B-9ECA-A1C128AECD30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243" name="0/0">
          <a:extLst>
            <a:ext uri="{FF2B5EF4-FFF2-40B4-BE49-F238E27FC236}">
              <a16:creationId xmlns:a16="http://schemas.microsoft.com/office/drawing/2014/main" id="{7AABFAE0-3817-4C6F-9CAD-6C594D6A7202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244" name="Freeform 10695">
          <a:extLst>
            <a:ext uri="{FF2B5EF4-FFF2-40B4-BE49-F238E27FC236}">
              <a16:creationId xmlns:a16="http://schemas.microsoft.com/office/drawing/2014/main" id="{DB53ECCC-4C90-4BBE-AEBB-9C9E19FF6C25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245" name="0/0">
          <a:extLst>
            <a:ext uri="{FF2B5EF4-FFF2-40B4-BE49-F238E27FC236}">
              <a16:creationId xmlns:a16="http://schemas.microsoft.com/office/drawing/2014/main" id="{E5E6DB79-2F90-4CCE-A740-854D4AD00C41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246" name="Freeform 10695">
          <a:extLst>
            <a:ext uri="{FF2B5EF4-FFF2-40B4-BE49-F238E27FC236}">
              <a16:creationId xmlns:a16="http://schemas.microsoft.com/office/drawing/2014/main" id="{5CAFA4F9-CCF5-4FE0-AB6E-42FA45D53C0F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247" name="0/0">
          <a:extLst>
            <a:ext uri="{FF2B5EF4-FFF2-40B4-BE49-F238E27FC236}">
              <a16:creationId xmlns:a16="http://schemas.microsoft.com/office/drawing/2014/main" id="{8F7B098C-8849-4B50-9687-4E92AD5A1454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248" name="Freeform 10695">
          <a:extLst>
            <a:ext uri="{FF2B5EF4-FFF2-40B4-BE49-F238E27FC236}">
              <a16:creationId xmlns:a16="http://schemas.microsoft.com/office/drawing/2014/main" id="{C038CCC9-5191-4262-A06F-C83DCB1F9677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249" name="0/0">
          <a:extLst>
            <a:ext uri="{FF2B5EF4-FFF2-40B4-BE49-F238E27FC236}">
              <a16:creationId xmlns:a16="http://schemas.microsoft.com/office/drawing/2014/main" id="{3B3773FA-2299-423A-B661-294FB43B3D68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250" name="Freeform 10695">
          <a:extLst>
            <a:ext uri="{FF2B5EF4-FFF2-40B4-BE49-F238E27FC236}">
              <a16:creationId xmlns:a16="http://schemas.microsoft.com/office/drawing/2014/main" id="{2E59883B-CCA2-498E-BA60-C54D6652455C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51" name="0/0">
          <a:extLst>
            <a:ext uri="{FF2B5EF4-FFF2-40B4-BE49-F238E27FC236}">
              <a16:creationId xmlns:a16="http://schemas.microsoft.com/office/drawing/2014/main" id="{070113BF-3E25-466A-92E6-34F1EE1940D6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52" name="Freeform 10695">
          <a:extLst>
            <a:ext uri="{FF2B5EF4-FFF2-40B4-BE49-F238E27FC236}">
              <a16:creationId xmlns:a16="http://schemas.microsoft.com/office/drawing/2014/main" id="{2D82DC15-0B16-413A-B3FB-355F464FE491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53" name="0/0">
          <a:extLst>
            <a:ext uri="{FF2B5EF4-FFF2-40B4-BE49-F238E27FC236}">
              <a16:creationId xmlns:a16="http://schemas.microsoft.com/office/drawing/2014/main" id="{6FC5594F-700C-4E7E-9821-C538D574ADD1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54" name="Freeform 10695">
          <a:extLst>
            <a:ext uri="{FF2B5EF4-FFF2-40B4-BE49-F238E27FC236}">
              <a16:creationId xmlns:a16="http://schemas.microsoft.com/office/drawing/2014/main" id="{3AC2B54E-B986-4178-B75A-8F2264753F01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55" name="0/0">
          <a:extLst>
            <a:ext uri="{FF2B5EF4-FFF2-40B4-BE49-F238E27FC236}">
              <a16:creationId xmlns:a16="http://schemas.microsoft.com/office/drawing/2014/main" id="{EDDAEDC0-9317-483A-AB51-625B3E5B5C82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6" name="Freeform 10695">
          <a:extLst>
            <a:ext uri="{FF2B5EF4-FFF2-40B4-BE49-F238E27FC236}">
              <a16:creationId xmlns:a16="http://schemas.microsoft.com/office/drawing/2014/main" id="{F8F339F3-95ED-44FA-8650-557410DF9547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57" name="0/0">
          <a:extLst>
            <a:ext uri="{FF2B5EF4-FFF2-40B4-BE49-F238E27FC236}">
              <a16:creationId xmlns:a16="http://schemas.microsoft.com/office/drawing/2014/main" id="{62F09E3A-D2C6-458B-9942-A702A285D6BF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58" name="Freeform 10695">
          <a:extLst>
            <a:ext uri="{FF2B5EF4-FFF2-40B4-BE49-F238E27FC236}">
              <a16:creationId xmlns:a16="http://schemas.microsoft.com/office/drawing/2014/main" id="{5E51D215-A835-4AF2-9644-EE8F42187F2E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59" name="0/0">
          <a:extLst>
            <a:ext uri="{FF2B5EF4-FFF2-40B4-BE49-F238E27FC236}">
              <a16:creationId xmlns:a16="http://schemas.microsoft.com/office/drawing/2014/main" id="{7C02A2D3-1779-4E83-BD89-B7E264F8D301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60" name="0/0">
          <a:extLst>
            <a:ext uri="{FF2B5EF4-FFF2-40B4-BE49-F238E27FC236}">
              <a16:creationId xmlns:a16="http://schemas.microsoft.com/office/drawing/2014/main" id="{A81BBD76-4FAA-4C7D-A5C0-F3E46ED3EDDF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261" name="Freeform 10695">
          <a:extLst>
            <a:ext uri="{FF2B5EF4-FFF2-40B4-BE49-F238E27FC236}">
              <a16:creationId xmlns:a16="http://schemas.microsoft.com/office/drawing/2014/main" id="{EA71D60D-8408-4C10-B5E0-862D3B960BB4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262" name="0/0">
          <a:extLst>
            <a:ext uri="{FF2B5EF4-FFF2-40B4-BE49-F238E27FC236}">
              <a16:creationId xmlns:a16="http://schemas.microsoft.com/office/drawing/2014/main" id="{EAA1479A-D934-4D7A-A2A6-84FF6BBA9CC0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263" name="Freeform 10695">
          <a:extLst>
            <a:ext uri="{FF2B5EF4-FFF2-40B4-BE49-F238E27FC236}">
              <a16:creationId xmlns:a16="http://schemas.microsoft.com/office/drawing/2014/main" id="{3290440A-2F35-4C35-8B53-7BACA828B196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264" name="0/0">
          <a:extLst>
            <a:ext uri="{FF2B5EF4-FFF2-40B4-BE49-F238E27FC236}">
              <a16:creationId xmlns:a16="http://schemas.microsoft.com/office/drawing/2014/main" id="{C9FCB297-F38A-46D3-8DB0-3FF35CE0EB31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265" name="Freeform 10695">
          <a:extLst>
            <a:ext uri="{FF2B5EF4-FFF2-40B4-BE49-F238E27FC236}">
              <a16:creationId xmlns:a16="http://schemas.microsoft.com/office/drawing/2014/main" id="{7132AE6F-FE0C-44E3-A0D6-6832936781A3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266" name="0/0">
          <a:extLst>
            <a:ext uri="{FF2B5EF4-FFF2-40B4-BE49-F238E27FC236}">
              <a16:creationId xmlns:a16="http://schemas.microsoft.com/office/drawing/2014/main" id="{543B06BF-C24C-4A0E-A4B6-44E889C72F05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267" name="Freeform 10695">
          <a:extLst>
            <a:ext uri="{FF2B5EF4-FFF2-40B4-BE49-F238E27FC236}">
              <a16:creationId xmlns:a16="http://schemas.microsoft.com/office/drawing/2014/main" id="{7535900F-BD37-4A37-819E-2B15077CA442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268" name="0/0">
          <a:extLst>
            <a:ext uri="{FF2B5EF4-FFF2-40B4-BE49-F238E27FC236}">
              <a16:creationId xmlns:a16="http://schemas.microsoft.com/office/drawing/2014/main" id="{A45B14A3-FB19-45F8-85B9-E0202569AE8F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269" name="Freeform 10695">
          <a:extLst>
            <a:ext uri="{FF2B5EF4-FFF2-40B4-BE49-F238E27FC236}">
              <a16:creationId xmlns:a16="http://schemas.microsoft.com/office/drawing/2014/main" id="{9979943F-256C-4218-B3D8-4892EEA15A02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270" name="0/0">
          <a:extLst>
            <a:ext uri="{FF2B5EF4-FFF2-40B4-BE49-F238E27FC236}">
              <a16:creationId xmlns:a16="http://schemas.microsoft.com/office/drawing/2014/main" id="{1C699657-4B1D-4537-9820-DC33E130AA78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271" name="Freeform 10695">
          <a:extLst>
            <a:ext uri="{FF2B5EF4-FFF2-40B4-BE49-F238E27FC236}">
              <a16:creationId xmlns:a16="http://schemas.microsoft.com/office/drawing/2014/main" id="{9D6FD836-ED27-406B-85DE-EEFBDB9E2598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272" name="0/0">
          <a:extLst>
            <a:ext uri="{FF2B5EF4-FFF2-40B4-BE49-F238E27FC236}">
              <a16:creationId xmlns:a16="http://schemas.microsoft.com/office/drawing/2014/main" id="{DD422DF5-7E3B-4584-9403-DCE5B99F1723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273" name="Freeform 10695">
          <a:extLst>
            <a:ext uri="{FF2B5EF4-FFF2-40B4-BE49-F238E27FC236}">
              <a16:creationId xmlns:a16="http://schemas.microsoft.com/office/drawing/2014/main" id="{485939C8-8D64-4B69-8905-CAB3543B0239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274" name="0/0">
          <a:extLst>
            <a:ext uri="{FF2B5EF4-FFF2-40B4-BE49-F238E27FC236}">
              <a16:creationId xmlns:a16="http://schemas.microsoft.com/office/drawing/2014/main" id="{62A0CF31-6FA6-4517-BFFD-ACC766213BCD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275" name="Freeform 10695">
          <a:extLst>
            <a:ext uri="{FF2B5EF4-FFF2-40B4-BE49-F238E27FC236}">
              <a16:creationId xmlns:a16="http://schemas.microsoft.com/office/drawing/2014/main" id="{6984D21E-D77D-4E13-94AB-C0F430F6A824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276" name="0/0">
          <a:extLst>
            <a:ext uri="{FF2B5EF4-FFF2-40B4-BE49-F238E27FC236}">
              <a16:creationId xmlns:a16="http://schemas.microsoft.com/office/drawing/2014/main" id="{FFA0DD7E-07B9-410C-AF2A-A3D50433F375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277" name="Freeform 10695">
          <a:extLst>
            <a:ext uri="{FF2B5EF4-FFF2-40B4-BE49-F238E27FC236}">
              <a16:creationId xmlns:a16="http://schemas.microsoft.com/office/drawing/2014/main" id="{E6927D59-1458-4DFF-A547-04CC8CC9C295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278" name="0/0">
          <a:extLst>
            <a:ext uri="{FF2B5EF4-FFF2-40B4-BE49-F238E27FC236}">
              <a16:creationId xmlns:a16="http://schemas.microsoft.com/office/drawing/2014/main" id="{71E9567E-F557-418E-95E8-53CB85098209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279" name="Freeform 10695">
          <a:extLst>
            <a:ext uri="{FF2B5EF4-FFF2-40B4-BE49-F238E27FC236}">
              <a16:creationId xmlns:a16="http://schemas.microsoft.com/office/drawing/2014/main" id="{0969E9E7-7F25-40C7-9A81-27FAAFB5DABE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280" name="0/0">
          <a:extLst>
            <a:ext uri="{FF2B5EF4-FFF2-40B4-BE49-F238E27FC236}">
              <a16:creationId xmlns:a16="http://schemas.microsoft.com/office/drawing/2014/main" id="{AEAE124A-1F6F-496C-80D8-AA2E2345E953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281" name="0/0">
          <a:extLst>
            <a:ext uri="{FF2B5EF4-FFF2-40B4-BE49-F238E27FC236}">
              <a16:creationId xmlns:a16="http://schemas.microsoft.com/office/drawing/2014/main" id="{8616CC27-47CE-4471-BBC5-A3D898A19C29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282" name="Freeform 10695">
          <a:extLst>
            <a:ext uri="{FF2B5EF4-FFF2-40B4-BE49-F238E27FC236}">
              <a16:creationId xmlns:a16="http://schemas.microsoft.com/office/drawing/2014/main" id="{3236D37D-A63B-4801-903C-37EDC6F28131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283" name="0/0">
          <a:extLst>
            <a:ext uri="{FF2B5EF4-FFF2-40B4-BE49-F238E27FC236}">
              <a16:creationId xmlns:a16="http://schemas.microsoft.com/office/drawing/2014/main" id="{8772C841-9BD9-4DDD-8DDF-1147492A926E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284" name="Freeform 10695">
          <a:extLst>
            <a:ext uri="{FF2B5EF4-FFF2-40B4-BE49-F238E27FC236}">
              <a16:creationId xmlns:a16="http://schemas.microsoft.com/office/drawing/2014/main" id="{C0E13ABF-29DE-46B8-AEBB-1ACEC08B560A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285" name="0/0">
          <a:extLst>
            <a:ext uri="{FF2B5EF4-FFF2-40B4-BE49-F238E27FC236}">
              <a16:creationId xmlns:a16="http://schemas.microsoft.com/office/drawing/2014/main" id="{1F6F644E-0D7C-461C-A360-186F5208138D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286" name="Freeform 10695">
          <a:extLst>
            <a:ext uri="{FF2B5EF4-FFF2-40B4-BE49-F238E27FC236}">
              <a16:creationId xmlns:a16="http://schemas.microsoft.com/office/drawing/2014/main" id="{6E9F8E0C-7C7E-41B9-97FA-7138C9F1DDEF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287" name="0/0">
          <a:extLst>
            <a:ext uri="{FF2B5EF4-FFF2-40B4-BE49-F238E27FC236}">
              <a16:creationId xmlns:a16="http://schemas.microsoft.com/office/drawing/2014/main" id="{C8BC1088-435D-43FA-A851-A70E905FC738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288" name="Freeform 10695">
          <a:extLst>
            <a:ext uri="{FF2B5EF4-FFF2-40B4-BE49-F238E27FC236}">
              <a16:creationId xmlns:a16="http://schemas.microsoft.com/office/drawing/2014/main" id="{A16F1146-B5D8-4B79-9782-B6398621EA79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289" name="0/0">
          <a:extLst>
            <a:ext uri="{FF2B5EF4-FFF2-40B4-BE49-F238E27FC236}">
              <a16:creationId xmlns:a16="http://schemas.microsoft.com/office/drawing/2014/main" id="{F731179C-B8D8-4D75-93BD-12A30768D42A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290" name="Freeform 10695">
          <a:extLst>
            <a:ext uri="{FF2B5EF4-FFF2-40B4-BE49-F238E27FC236}">
              <a16:creationId xmlns:a16="http://schemas.microsoft.com/office/drawing/2014/main" id="{328F8292-92F8-4421-891B-08BBAF17ABC2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291" name="0/0">
          <a:extLst>
            <a:ext uri="{FF2B5EF4-FFF2-40B4-BE49-F238E27FC236}">
              <a16:creationId xmlns:a16="http://schemas.microsoft.com/office/drawing/2014/main" id="{FDDA0E2C-0B1A-4745-BA38-B5B018E45DC0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292" name="Freeform 10695">
          <a:extLst>
            <a:ext uri="{FF2B5EF4-FFF2-40B4-BE49-F238E27FC236}">
              <a16:creationId xmlns:a16="http://schemas.microsoft.com/office/drawing/2014/main" id="{E051EE49-3B9B-41BC-9F34-A4798FC834D9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293" name="0/0">
          <a:extLst>
            <a:ext uri="{FF2B5EF4-FFF2-40B4-BE49-F238E27FC236}">
              <a16:creationId xmlns:a16="http://schemas.microsoft.com/office/drawing/2014/main" id="{BBDF8F2E-053E-4866-B389-C3BB9D1DAF11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294" name="Freeform 10695">
          <a:extLst>
            <a:ext uri="{FF2B5EF4-FFF2-40B4-BE49-F238E27FC236}">
              <a16:creationId xmlns:a16="http://schemas.microsoft.com/office/drawing/2014/main" id="{0D065A2C-F851-4363-9A38-DBD124F4D47D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295" name="0/0">
          <a:extLst>
            <a:ext uri="{FF2B5EF4-FFF2-40B4-BE49-F238E27FC236}">
              <a16:creationId xmlns:a16="http://schemas.microsoft.com/office/drawing/2014/main" id="{4FFD2146-914B-447C-80E6-FEB8C6718A49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296" name="Freeform 10695">
          <a:extLst>
            <a:ext uri="{FF2B5EF4-FFF2-40B4-BE49-F238E27FC236}">
              <a16:creationId xmlns:a16="http://schemas.microsoft.com/office/drawing/2014/main" id="{B946AAA9-08CA-4332-A9F9-981AE9B4F707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297" name="0/0">
          <a:extLst>
            <a:ext uri="{FF2B5EF4-FFF2-40B4-BE49-F238E27FC236}">
              <a16:creationId xmlns:a16="http://schemas.microsoft.com/office/drawing/2014/main" id="{AD3546B6-1A15-436E-BB5D-554FE1A64C05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298" name="Freeform 10695">
          <a:extLst>
            <a:ext uri="{FF2B5EF4-FFF2-40B4-BE49-F238E27FC236}">
              <a16:creationId xmlns:a16="http://schemas.microsoft.com/office/drawing/2014/main" id="{E4B2CCA6-2012-4F71-9434-11E605A36A3C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299" name="0/0">
          <a:extLst>
            <a:ext uri="{FF2B5EF4-FFF2-40B4-BE49-F238E27FC236}">
              <a16:creationId xmlns:a16="http://schemas.microsoft.com/office/drawing/2014/main" id="{7C6001A6-A833-4712-A77C-E0762421B076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300" name="Freeform 10695">
          <a:extLst>
            <a:ext uri="{FF2B5EF4-FFF2-40B4-BE49-F238E27FC236}">
              <a16:creationId xmlns:a16="http://schemas.microsoft.com/office/drawing/2014/main" id="{88F722D9-2FF2-46CB-913A-791DF0823385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301" name="0/0">
          <a:extLst>
            <a:ext uri="{FF2B5EF4-FFF2-40B4-BE49-F238E27FC236}">
              <a16:creationId xmlns:a16="http://schemas.microsoft.com/office/drawing/2014/main" id="{60CCC850-165C-4F63-BD06-AE9C30312FE4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302" name="0/0">
          <a:extLst>
            <a:ext uri="{FF2B5EF4-FFF2-40B4-BE49-F238E27FC236}">
              <a16:creationId xmlns:a16="http://schemas.microsoft.com/office/drawing/2014/main" id="{F8BDF067-CA2E-462E-8581-F0B7BADC92CE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303" name="Freeform 10695">
          <a:extLst>
            <a:ext uri="{FF2B5EF4-FFF2-40B4-BE49-F238E27FC236}">
              <a16:creationId xmlns:a16="http://schemas.microsoft.com/office/drawing/2014/main" id="{09DEEE89-82F9-4BFF-890E-7BC76536BF54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304" name="0/0">
          <a:extLst>
            <a:ext uri="{FF2B5EF4-FFF2-40B4-BE49-F238E27FC236}">
              <a16:creationId xmlns:a16="http://schemas.microsoft.com/office/drawing/2014/main" id="{0540E3DF-23D8-4F37-A435-BEBFAA412CD0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305" name="Freeform 10695">
          <a:extLst>
            <a:ext uri="{FF2B5EF4-FFF2-40B4-BE49-F238E27FC236}">
              <a16:creationId xmlns:a16="http://schemas.microsoft.com/office/drawing/2014/main" id="{C1F24307-CEA9-4401-972A-4FC0AD7DBE44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306" name="0/0">
          <a:extLst>
            <a:ext uri="{FF2B5EF4-FFF2-40B4-BE49-F238E27FC236}">
              <a16:creationId xmlns:a16="http://schemas.microsoft.com/office/drawing/2014/main" id="{EB857144-45FA-4BAB-BEF9-158716DE2F80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307" name="Freeform 10695">
          <a:extLst>
            <a:ext uri="{FF2B5EF4-FFF2-40B4-BE49-F238E27FC236}">
              <a16:creationId xmlns:a16="http://schemas.microsoft.com/office/drawing/2014/main" id="{9F5CFB07-0F46-4EC5-985A-50A1F58C161C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308" name="0/0">
          <a:extLst>
            <a:ext uri="{FF2B5EF4-FFF2-40B4-BE49-F238E27FC236}">
              <a16:creationId xmlns:a16="http://schemas.microsoft.com/office/drawing/2014/main" id="{E1E64334-BF6D-4F9E-87AB-151BCB8F9ADF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309" name="Freeform 10695">
          <a:extLst>
            <a:ext uri="{FF2B5EF4-FFF2-40B4-BE49-F238E27FC236}">
              <a16:creationId xmlns:a16="http://schemas.microsoft.com/office/drawing/2014/main" id="{962FA6F7-C004-49A6-B3BE-0BAD509A3B36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310" name="0/0">
          <a:extLst>
            <a:ext uri="{FF2B5EF4-FFF2-40B4-BE49-F238E27FC236}">
              <a16:creationId xmlns:a16="http://schemas.microsoft.com/office/drawing/2014/main" id="{43B50884-C6C9-4BDA-A9B6-7E6F77B4DF1D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311" name="Freeform 10695">
          <a:extLst>
            <a:ext uri="{FF2B5EF4-FFF2-40B4-BE49-F238E27FC236}">
              <a16:creationId xmlns:a16="http://schemas.microsoft.com/office/drawing/2014/main" id="{5E35F200-8DBC-4864-A5B7-DB1E4C991C99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312" name="0/0">
          <a:extLst>
            <a:ext uri="{FF2B5EF4-FFF2-40B4-BE49-F238E27FC236}">
              <a16:creationId xmlns:a16="http://schemas.microsoft.com/office/drawing/2014/main" id="{64692E7C-F80A-41A4-A71A-F6EC6D879F28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313" name="Freeform 10695">
          <a:extLst>
            <a:ext uri="{FF2B5EF4-FFF2-40B4-BE49-F238E27FC236}">
              <a16:creationId xmlns:a16="http://schemas.microsoft.com/office/drawing/2014/main" id="{C26C492E-27F1-450C-92F5-5E7F6F7D7E63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314" name="0/0">
          <a:extLst>
            <a:ext uri="{FF2B5EF4-FFF2-40B4-BE49-F238E27FC236}">
              <a16:creationId xmlns:a16="http://schemas.microsoft.com/office/drawing/2014/main" id="{1C4706C6-34BB-4F81-85A3-85ED8C1C2CAB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315" name="Freeform 10695">
          <a:extLst>
            <a:ext uri="{FF2B5EF4-FFF2-40B4-BE49-F238E27FC236}">
              <a16:creationId xmlns:a16="http://schemas.microsoft.com/office/drawing/2014/main" id="{EB34C2B1-F2D2-4C9B-B7D0-39FC02C224F7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316" name="0/0">
          <a:extLst>
            <a:ext uri="{FF2B5EF4-FFF2-40B4-BE49-F238E27FC236}">
              <a16:creationId xmlns:a16="http://schemas.microsoft.com/office/drawing/2014/main" id="{5670186A-597F-487B-A599-40EB1D3E98D6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317" name="Freeform 10695">
          <a:extLst>
            <a:ext uri="{FF2B5EF4-FFF2-40B4-BE49-F238E27FC236}">
              <a16:creationId xmlns:a16="http://schemas.microsoft.com/office/drawing/2014/main" id="{7D3842DC-9399-4AB3-ACFB-6657BB24FA62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318" name="0/0">
          <a:extLst>
            <a:ext uri="{FF2B5EF4-FFF2-40B4-BE49-F238E27FC236}">
              <a16:creationId xmlns:a16="http://schemas.microsoft.com/office/drawing/2014/main" id="{7AAFCE6D-5B69-4655-860A-A9026BE7CE95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319" name="Freeform 10695">
          <a:extLst>
            <a:ext uri="{FF2B5EF4-FFF2-40B4-BE49-F238E27FC236}">
              <a16:creationId xmlns:a16="http://schemas.microsoft.com/office/drawing/2014/main" id="{DE043F65-9841-4EE2-B7EF-DF2AB598A73C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320" name="0/0">
          <a:extLst>
            <a:ext uri="{FF2B5EF4-FFF2-40B4-BE49-F238E27FC236}">
              <a16:creationId xmlns:a16="http://schemas.microsoft.com/office/drawing/2014/main" id="{FB501F26-A652-45A3-A53D-50452ACD28CF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321" name="Freeform 10695">
          <a:extLst>
            <a:ext uri="{FF2B5EF4-FFF2-40B4-BE49-F238E27FC236}">
              <a16:creationId xmlns:a16="http://schemas.microsoft.com/office/drawing/2014/main" id="{25F78576-B7E1-4638-B314-A18DA5B06420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322" name="0/0">
          <a:extLst>
            <a:ext uri="{FF2B5EF4-FFF2-40B4-BE49-F238E27FC236}">
              <a16:creationId xmlns:a16="http://schemas.microsoft.com/office/drawing/2014/main" id="{5D882327-174E-4409-B1DF-DED5699CAEB8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323" name="0/0">
          <a:extLst>
            <a:ext uri="{FF2B5EF4-FFF2-40B4-BE49-F238E27FC236}">
              <a16:creationId xmlns:a16="http://schemas.microsoft.com/office/drawing/2014/main" id="{6FA7F792-8B14-4301-A92C-10BF45E04AE8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324" name="Freeform 10695">
          <a:extLst>
            <a:ext uri="{FF2B5EF4-FFF2-40B4-BE49-F238E27FC236}">
              <a16:creationId xmlns:a16="http://schemas.microsoft.com/office/drawing/2014/main" id="{3B132824-1244-418F-A094-082B23E7E4EB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325" name="0/0">
          <a:extLst>
            <a:ext uri="{FF2B5EF4-FFF2-40B4-BE49-F238E27FC236}">
              <a16:creationId xmlns:a16="http://schemas.microsoft.com/office/drawing/2014/main" id="{56B35B11-2A87-4E8E-B696-6D9BDFF0456F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326" name="Freeform 10695">
          <a:extLst>
            <a:ext uri="{FF2B5EF4-FFF2-40B4-BE49-F238E27FC236}">
              <a16:creationId xmlns:a16="http://schemas.microsoft.com/office/drawing/2014/main" id="{41391BE9-53DE-4CAB-9897-9C73DAA84568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327" name="0/0">
          <a:extLst>
            <a:ext uri="{FF2B5EF4-FFF2-40B4-BE49-F238E27FC236}">
              <a16:creationId xmlns:a16="http://schemas.microsoft.com/office/drawing/2014/main" id="{F4155CCE-9B7D-45BA-9881-C9D12B73C9F0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328" name="Freeform 10695">
          <a:extLst>
            <a:ext uri="{FF2B5EF4-FFF2-40B4-BE49-F238E27FC236}">
              <a16:creationId xmlns:a16="http://schemas.microsoft.com/office/drawing/2014/main" id="{053ADCBB-3C2C-432B-9768-92A4F55E8433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329" name="0/0">
          <a:extLst>
            <a:ext uri="{FF2B5EF4-FFF2-40B4-BE49-F238E27FC236}">
              <a16:creationId xmlns:a16="http://schemas.microsoft.com/office/drawing/2014/main" id="{7DD8FEE8-ED4F-4E4E-977F-F3B471E05DC1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330" name="Freeform 10695">
          <a:extLst>
            <a:ext uri="{FF2B5EF4-FFF2-40B4-BE49-F238E27FC236}">
              <a16:creationId xmlns:a16="http://schemas.microsoft.com/office/drawing/2014/main" id="{AD31AED9-302E-45BB-B49A-37F5836BFDD6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3331" name="0/0">
          <a:extLst>
            <a:ext uri="{FF2B5EF4-FFF2-40B4-BE49-F238E27FC236}">
              <a16:creationId xmlns:a16="http://schemas.microsoft.com/office/drawing/2014/main" id="{DD693841-B693-4471-9722-945848FB99F4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3332" name="Freeform 10695">
          <a:extLst>
            <a:ext uri="{FF2B5EF4-FFF2-40B4-BE49-F238E27FC236}">
              <a16:creationId xmlns:a16="http://schemas.microsoft.com/office/drawing/2014/main" id="{51E0C3E8-523D-43D5-8E7A-56DCDD3F41A4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3333" name="0/0">
          <a:extLst>
            <a:ext uri="{FF2B5EF4-FFF2-40B4-BE49-F238E27FC236}">
              <a16:creationId xmlns:a16="http://schemas.microsoft.com/office/drawing/2014/main" id="{0CBA9B52-C78E-47A3-9820-67A59A4FFA07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3334" name="Freeform 10695">
          <a:extLst>
            <a:ext uri="{FF2B5EF4-FFF2-40B4-BE49-F238E27FC236}">
              <a16:creationId xmlns:a16="http://schemas.microsoft.com/office/drawing/2014/main" id="{7AE95840-D6F5-45F6-AB9D-65FFD9DDC1AE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3335" name="0/0">
          <a:extLst>
            <a:ext uri="{FF2B5EF4-FFF2-40B4-BE49-F238E27FC236}">
              <a16:creationId xmlns:a16="http://schemas.microsoft.com/office/drawing/2014/main" id="{1E44AD5A-3B13-443C-BB56-7074A662BD25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3336" name="Freeform 10695">
          <a:extLst>
            <a:ext uri="{FF2B5EF4-FFF2-40B4-BE49-F238E27FC236}">
              <a16:creationId xmlns:a16="http://schemas.microsoft.com/office/drawing/2014/main" id="{0F63015F-4F87-4E24-8BF1-FDFFD755AAF6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3337" name="0/0">
          <a:extLst>
            <a:ext uri="{FF2B5EF4-FFF2-40B4-BE49-F238E27FC236}">
              <a16:creationId xmlns:a16="http://schemas.microsoft.com/office/drawing/2014/main" id="{6FA2E9D6-A620-4C2D-B20E-4508E35E0094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3338" name="Freeform 10695">
          <a:extLst>
            <a:ext uri="{FF2B5EF4-FFF2-40B4-BE49-F238E27FC236}">
              <a16:creationId xmlns:a16="http://schemas.microsoft.com/office/drawing/2014/main" id="{54639838-79A9-49C2-A72C-133ECFD2D8EB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3339" name="0/0">
          <a:extLst>
            <a:ext uri="{FF2B5EF4-FFF2-40B4-BE49-F238E27FC236}">
              <a16:creationId xmlns:a16="http://schemas.microsoft.com/office/drawing/2014/main" id="{E21EE818-2798-4F4C-88AA-7CBC05C282B1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3340" name="Freeform 10695">
          <a:extLst>
            <a:ext uri="{FF2B5EF4-FFF2-40B4-BE49-F238E27FC236}">
              <a16:creationId xmlns:a16="http://schemas.microsoft.com/office/drawing/2014/main" id="{4188BB94-A2E3-40E2-A530-ABA98CC05DB5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3341" name="0/0">
          <a:extLst>
            <a:ext uri="{FF2B5EF4-FFF2-40B4-BE49-F238E27FC236}">
              <a16:creationId xmlns:a16="http://schemas.microsoft.com/office/drawing/2014/main" id="{CEC4987D-ACB1-4DF7-AD88-EE4A68459B8E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3342" name="Freeform 10695">
          <a:extLst>
            <a:ext uri="{FF2B5EF4-FFF2-40B4-BE49-F238E27FC236}">
              <a16:creationId xmlns:a16="http://schemas.microsoft.com/office/drawing/2014/main" id="{CAEC5DCB-2C64-4991-9A0D-BCC9BE5A9B05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3343" name="0/0">
          <a:extLst>
            <a:ext uri="{FF2B5EF4-FFF2-40B4-BE49-F238E27FC236}">
              <a16:creationId xmlns:a16="http://schemas.microsoft.com/office/drawing/2014/main" id="{67275C00-050C-4DEF-9A9E-7FD54FE6E20F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3344" name="0/0">
          <a:extLst>
            <a:ext uri="{FF2B5EF4-FFF2-40B4-BE49-F238E27FC236}">
              <a16:creationId xmlns:a16="http://schemas.microsoft.com/office/drawing/2014/main" id="{0584F89B-61EB-4209-A358-8D9DF52BB149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3345" name="Freeform 10695">
          <a:extLst>
            <a:ext uri="{FF2B5EF4-FFF2-40B4-BE49-F238E27FC236}">
              <a16:creationId xmlns:a16="http://schemas.microsoft.com/office/drawing/2014/main" id="{C826D58B-6A5C-4CAA-B0FC-7845F4220089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3346" name="0/0">
          <a:extLst>
            <a:ext uri="{FF2B5EF4-FFF2-40B4-BE49-F238E27FC236}">
              <a16:creationId xmlns:a16="http://schemas.microsoft.com/office/drawing/2014/main" id="{736B6F4E-6730-4EBC-8F82-BFA7355DC798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3347" name="Freeform 10695">
          <a:extLst>
            <a:ext uri="{FF2B5EF4-FFF2-40B4-BE49-F238E27FC236}">
              <a16:creationId xmlns:a16="http://schemas.microsoft.com/office/drawing/2014/main" id="{B236D5B2-0DF2-4FBA-9E53-219B175CA080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3348" name="0/0">
          <a:extLst>
            <a:ext uri="{FF2B5EF4-FFF2-40B4-BE49-F238E27FC236}">
              <a16:creationId xmlns:a16="http://schemas.microsoft.com/office/drawing/2014/main" id="{44339826-5D2F-4E3E-8E1B-8E58547FA03A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3349" name="Freeform 10695">
          <a:extLst>
            <a:ext uri="{FF2B5EF4-FFF2-40B4-BE49-F238E27FC236}">
              <a16:creationId xmlns:a16="http://schemas.microsoft.com/office/drawing/2014/main" id="{EFD840D0-1F7B-42E9-892F-9C7A051BAA6C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3350" name="0/0">
          <a:extLst>
            <a:ext uri="{FF2B5EF4-FFF2-40B4-BE49-F238E27FC236}">
              <a16:creationId xmlns:a16="http://schemas.microsoft.com/office/drawing/2014/main" id="{319FA2D6-04DC-4B77-9986-7EAF1E6E3E50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3351" name="Freeform 10695">
          <a:extLst>
            <a:ext uri="{FF2B5EF4-FFF2-40B4-BE49-F238E27FC236}">
              <a16:creationId xmlns:a16="http://schemas.microsoft.com/office/drawing/2014/main" id="{2A03BEFF-EC0D-4F1E-9D1C-2755CA9B4A1B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3352" name="0/0">
          <a:extLst>
            <a:ext uri="{FF2B5EF4-FFF2-40B4-BE49-F238E27FC236}">
              <a16:creationId xmlns:a16="http://schemas.microsoft.com/office/drawing/2014/main" id="{2A5EC88C-ACBF-4E86-9BB0-4FF25761E2CA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3353" name="Freeform 10695">
          <a:extLst>
            <a:ext uri="{FF2B5EF4-FFF2-40B4-BE49-F238E27FC236}">
              <a16:creationId xmlns:a16="http://schemas.microsoft.com/office/drawing/2014/main" id="{7F4D0E84-D685-463C-A2BD-E6DAFD81731D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3354" name="0/0">
          <a:extLst>
            <a:ext uri="{FF2B5EF4-FFF2-40B4-BE49-F238E27FC236}">
              <a16:creationId xmlns:a16="http://schemas.microsoft.com/office/drawing/2014/main" id="{C3E9A574-4527-4289-B94F-F8AEF96B3341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3355" name="Freeform 10695">
          <a:extLst>
            <a:ext uri="{FF2B5EF4-FFF2-40B4-BE49-F238E27FC236}">
              <a16:creationId xmlns:a16="http://schemas.microsoft.com/office/drawing/2014/main" id="{D4B7E808-4A01-430F-A96A-456E7263815A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3356" name="0/0">
          <a:extLst>
            <a:ext uri="{FF2B5EF4-FFF2-40B4-BE49-F238E27FC236}">
              <a16:creationId xmlns:a16="http://schemas.microsoft.com/office/drawing/2014/main" id="{8781CC02-ECBC-41FF-AC07-265AD0B1517A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3357" name="Freeform 10695">
          <a:extLst>
            <a:ext uri="{FF2B5EF4-FFF2-40B4-BE49-F238E27FC236}">
              <a16:creationId xmlns:a16="http://schemas.microsoft.com/office/drawing/2014/main" id="{39BA4532-AD24-4C32-8531-181482301388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3358" name="0/0">
          <a:extLst>
            <a:ext uri="{FF2B5EF4-FFF2-40B4-BE49-F238E27FC236}">
              <a16:creationId xmlns:a16="http://schemas.microsoft.com/office/drawing/2014/main" id="{618C1398-484B-40E4-AA89-332899179139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3359" name="Freeform 10695">
          <a:extLst>
            <a:ext uri="{FF2B5EF4-FFF2-40B4-BE49-F238E27FC236}">
              <a16:creationId xmlns:a16="http://schemas.microsoft.com/office/drawing/2014/main" id="{7EEC5B94-EBE0-4365-8DEE-756810596176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3360" name="0/0">
          <a:extLst>
            <a:ext uri="{FF2B5EF4-FFF2-40B4-BE49-F238E27FC236}">
              <a16:creationId xmlns:a16="http://schemas.microsoft.com/office/drawing/2014/main" id="{A680EAF6-6048-41CD-92C1-94367516CAAB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3361" name="Freeform 10695">
          <a:extLst>
            <a:ext uri="{FF2B5EF4-FFF2-40B4-BE49-F238E27FC236}">
              <a16:creationId xmlns:a16="http://schemas.microsoft.com/office/drawing/2014/main" id="{5DF60E4A-177F-479D-B22D-1E7819AEBB84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3362" name="0/0">
          <a:extLst>
            <a:ext uri="{FF2B5EF4-FFF2-40B4-BE49-F238E27FC236}">
              <a16:creationId xmlns:a16="http://schemas.microsoft.com/office/drawing/2014/main" id="{06ADBCAD-9312-4FDE-BD84-53540DA739F9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3363" name="Freeform 10695">
          <a:extLst>
            <a:ext uri="{FF2B5EF4-FFF2-40B4-BE49-F238E27FC236}">
              <a16:creationId xmlns:a16="http://schemas.microsoft.com/office/drawing/2014/main" id="{6B7C21FB-CB88-4C5B-9D7C-7FA62D3FBA2F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3364" name="0/0">
          <a:extLst>
            <a:ext uri="{FF2B5EF4-FFF2-40B4-BE49-F238E27FC236}">
              <a16:creationId xmlns:a16="http://schemas.microsoft.com/office/drawing/2014/main" id="{3B9DBDB1-0732-44F2-B8DF-59E303AE0DCF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3365" name="Freeform 10695">
          <a:extLst>
            <a:ext uri="{FF2B5EF4-FFF2-40B4-BE49-F238E27FC236}">
              <a16:creationId xmlns:a16="http://schemas.microsoft.com/office/drawing/2014/main" id="{374403C2-6BB1-4A43-ACF2-B8C95211B7D5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3366" name="0/0">
          <a:extLst>
            <a:ext uri="{FF2B5EF4-FFF2-40B4-BE49-F238E27FC236}">
              <a16:creationId xmlns:a16="http://schemas.microsoft.com/office/drawing/2014/main" id="{7D314799-B04E-4B5F-9D3B-9677E8C9B7D9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3367" name="Freeform 10695">
          <a:extLst>
            <a:ext uri="{FF2B5EF4-FFF2-40B4-BE49-F238E27FC236}">
              <a16:creationId xmlns:a16="http://schemas.microsoft.com/office/drawing/2014/main" id="{072321FA-5865-474F-9C1C-D023F4DCBBAF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3368" name="0/0">
          <a:extLst>
            <a:ext uri="{FF2B5EF4-FFF2-40B4-BE49-F238E27FC236}">
              <a16:creationId xmlns:a16="http://schemas.microsoft.com/office/drawing/2014/main" id="{65FD2FF9-5942-4987-AE92-138C0B6B7A7A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3369" name="Freeform 10695">
          <a:extLst>
            <a:ext uri="{FF2B5EF4-FFF2-40B4-BE49-F238E27FC236}">
              <a16:creationId xmlns:a16="http://schemas.microsoft.com/office/drawing/2014/main" id="{5FD382CA-D54F-45DC-AFAD-08339D5BA5C6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3370" name="0/0">
          <a:extLst>
            <a:ext uri="{FF2B5EF4-FFF2-40B4-BE49-F238E27FC236}">
              <a16:creationId xmlns:a16="http://schemas.microsoft.com/office/drawing/2014/main" id="{EF183306-AAB2-435E-B105-CA0768CDB364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3371" name="Freeform 10695">
          <a:extLst>
            <a:ext uri="{FF2B5EF4-FFF2-40B4-BE49-F238E27FC236}">
              <a16:creationId xmlns:a16="http://schemas.microsoft.com/office/drawing/2014/main" id="{10878ACB-5B1D-4426-A4DD-968BB2CC962A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3372" name="0/0">
          <a:extLst>
            <a:ext uri="{FF2B5EF4-FFF2-40B4-BE49-F238E27FC236}">
              <a16:creationId xmlns:a16="http://schemas.microsoft.com/office/drawing/2014/main" id="{4D974045-DCFF-443B-9F96-0CA4DD7BC7B9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3373" name="Freeform 10695">
          <a:extLst>
            <a:ext uri="{FF2B5EF4-FFF2-40B4-BE49-F238E27FC236}">
              <a16:creationId xmlns:a16="http://schemas.microsoft.com/office/drawing/2014/main" id="{B3EE9B2B-82F8-4032-AA8D-CB9E2896BF5A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3374" name="0/0">
          <a:extLst>
            <a:ext uri="{FF2B5EF4-FFF2-40B4-BE49-F238E27FC236}">
              <a16:creationId xmlns:a16="http://schemas.microsoft.com/office/drawing/2014/main" id="{3E6F2E59-28D5-40E3-93A2-F07B19456C8B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3375" name="Freeform 10695">
          <a:extLst>
            <a:ext uri="{FF2B5EF4-FFF2-40B4-BE49-F238E27FC236}">
              <a16:creationId xmlns:a16="http://schemas.microsoft.com/office/drawing/2014/main" id="{0423240C-912C-4AA1-B8C9-59AA4CB4A0AC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3376" name="0/0">
          <a:extLst>
            <a:ext uri="{FF2B5EF4-FFF2-40B4-BE49-F238E27FC236}">
              <a16:creationId xmlns:a16="http://schemas.microsoft.com/office/drawing/2014/main" id="{E1C50BED-7107-46EF-BA61-9BE9E9251602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3377" name="Freeform 10695">
          <a:extLst>
            <a:ext uri="{FF2B5EF4-FFF2-40B4-BE49-F238E27FC236}">
              <a16:creationId xmlns:a16="http://schemas.microsoft.com/office/drawing/2014/main" id="{31E5C4C0-8E1C-48C4-A023-601CE14196C5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3378" name="0/0">
          <a:extLst>
            <a:ext uri="{FF2B5EF4-FFF2-40B4-BE49-F238E27FC236}">
              <a16:creationId xmlns:a16="http://schemas.microsoft.com/office/drawing/2014/main" id="{21283753-684D-4DCA-BCF1-E5A4F460D54E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3379" name="Freeform 10695">
          <a:extLst>
            <a:ext uri="{FF2B5EF4-FFF2-40B4-BE49-F238E27FC236}">
              <a16:creationId xmlns:a16="http://schemas.microsoft.com/office/drawing/2014/main" id="{8D87EE1E-A47B-4B29-A67F-A2518C637F03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3380" name="0/0">
          <a:extLst>
            <a:ext uri="{FF2B5EF4-FFF2-40B4-BE49-F238E27FC236}">
              <a16:creationId xmlns:a16="http://schemas.microsoft.com/office/drawing/2014/main" id="{EB929202-8791-465B-AA4D-6051A8109D95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3381" name="Freeform 10695">
          <a:extLst>
            <a:ext uri="{FF2B5EF4-FFF2-40B4-BE49-F238E27FC236}">
              <a16:creationId xmlns:a16="http://schemas.microsoft.com/office/drawing/2014/main" id="{0A83D553-10BD-43BB-8B04-9F39D10C67DB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3382" name="0/0">
          <a:extLst>
            <a:ext uri="{FF2B5EF4-FFF2-40B4-BE49-F238E27FC236}">
              <a16:creationId xmlns:a16="http://schemas.microsoft.com/office/drawing/2014/main" id="{78EDC1CE-2BA0-4737-B263-39BCCD86ADE7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3383" name="Freeform 10695">
          <a:extLst>
            <a:ext uri="{FF2B5EF4-FFF2-40B4-BE49-F238E27FC236}">
              <a16:creationId xmlns:a16="http://schemas.microsoft.com/office/drawing/2014/main" id="{1B8B48E7-5143-4906-BEB1-56A4E0421760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3384" name="0/0">
          <a:extLst>
            <a:ext uri="{FF2B5EF4-FFF2-40B4-BE49-F238E27FC236}">
              <a16:creationId xmlns:a16="http://schemas.microsoft.com/office/drawing/2014/main" id="{796B07E1-9E04-4657-81CA-00BD123DCD3E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3385" name="Freeform 10695">
          <a:extLst>
            <a:ext uri="{FF2B5EF4-FFF2-40B4-BE49-F238E27FC236}">
              <a16:creationId xmlns:a16="http://schemas.microsoft.com/office/drawing/2014/main" id="{053DB1CE-5F75-402F-A762-74A9E19D9731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3386" name="0/0">
          <a:extLst>
            <a:ext uri="{FF2B5EF4-FFF2-40B4-BE49-F238E27FC236}">
              <a16:creationId xmlns:a16="http://schemas.microsoft.com/office/drawing/2014/main" id="{BC8A8126-C9F2-4579-90A1-E80D429F1C8A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3387" name="Freeform 10695">
          <a:extLst>
            <a:ext uri="{FF2B5EF4-FFF2-40B4-BE49-F238E27FC236}">
              <a16:creationId xmlns:a16="http://schemas.microsoft.com/office/drawing/2014/main" id="{564741E5-C5F2-4AE4-BC06-6EED71900F32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3388" name="0/0">
          <a:extLst>
            <a:ext uri="{FF2B5EF4-FFF2-40B4-BE49-F238E27FC236}">
              <a16:creationId xmlns:a16="http://schemas.microsoft.com/office/drawing/2014/main" id="{D76AA1F6-925F-4CA4-9517-3B7D2677C6E0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3389" name="Freeform 10695">
          <a:extLst>
            <a:ext uri="{FF2B5EF4-FFF2-40B4-BE49-F238E27FC236}">
              <a16:creationId xmlns:a16="http://schemas.microsoft.com/office/drawing/2014/main" id="{6EFB5D82-232D-490F-B54A-D6AE268B9AF3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3390" name="0/0">
          <a:extLst>
            <a:ext uri="{FF2B5EF4-FFF2-40B4-BE49-F238E27FC236}">
              <a16:creationId xmlns:a16="http://schemas.microsoft.com/office/drawing/2014/main" id="{1A37ACEA-D1DE-4CB6-A043-A80D6D660BEF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3391" name="Freeform 10695">
          <a:extLst>
            <a:ext uri="{FF2B5EF4-FFF2-40B4-BE49-F238E27FC236}">
              <a16:creationId xmlns:a16="http://schemas.microsoft.com/office/drawing/2014/main" id="{2F87C1BC-A0C1-4E94-A808-D74C99C4158F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3392" name="0/0">
          <a:extLst>
            <a:ext uri="{FF2B5EF4-FFF2-40B4-BE49-F238E27FC236}">
              <a16:creationId xmlns:a16="http://schemas.microsoft.com/office/drawing/2014/main" id="{3E4E632B-EBFF-443C-BBA9-AFDC98A8D9B8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3393" name="Freeform 10695">
          <a:extLst>
            <a:ext uri="{FF2B5EF4-FFF2-40B4-BE49-F238E27FC236}">
              <a16:creationId xmlns:a16="http://schemas.microsoft.com/office/drawing/2014/main" id="{64BA5EB6-8AAF-4FC2-91A2-AC3F8B4581A7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3394" name="0/0">
          <a:extLst>
            <a:ext uri="{FF2B5EF4-FFF2-40B4-BE49-F238E27FC236}">
              <a16:creationId xmlns:a16="http://schemas.microsoft.com/office/drawing/2014/main" id="{7D3A2EDB-3FD3-422F-86FD-E095125CEB7F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3395" name="Freeform 10695">
          <a:extLst>
            <a:ext uri="{FF2B5EF4-FFF2-40B4-BE49-F238E27FC236}">
              <a16:creationId xmlns:a16="http://schemas.microsoft.com/office/drawing/2014/main" id="{8EEBDA16-BBC2-4A23-B862-1868CDE892E2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3396" name="0/0">
          <a:extLst>
            <a:ext uri="{FF2B5EF4-FFF2-40B4-BE49-F238E27FC236}">
              <a16:creationId xmlns:a16="http://schemas.microsoft.com/office/drawing/2014/main" id="{75DC3D44-DA53-4840-8232-B13045BC7E30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3397" name="Freeform 10695">
          <a:extLst>
            <a:ext uri="{FF2B5EF4-FFF2-40B4-BE49-F238E27FC236}">
              <a16:creationId xmlns:a16="http://schemas.microsoft.com/office/drawing/2014/main" id="{FF98E5A3-BAC2-4BD4-809A-8FE293AF4BD2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3398" name="0/0">
          <a:extLst>
            <a:ext uri="{FF2B5EF4-FFF2-40B4-BE49-F238E27FC236}">
              <a16:creationId xmlns:a16="http://schemas.microsoft.com/office/drawing/2014/main" id="{37D7D815-68DB-40E8-AAE1-66D50A23A62F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3399" name="Freeform 10695">
          <a:extLst>
            <a:ext uri="{FF2B5EF4-FFF2-40B4-BE49-F238E27FC236}">
              <a16:creationId xmlns:a16="http://schemas.microsoft.com/office/drawing/2014/main" id="{F68F420C-B494-4310-BEC8-ED85AE24CD41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3400" name="0/0">
          <a:extLst>
            <a:ext uri="{FF2B5EF4-FFF2-40B4-BE49-F238E27FC236}">
              <a16:creationId xmlns:a16="http://schemas.microsoft.com/office/drawing/2014/main" id="{EADFB05B-486A-4858-9A11-33D894C81282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3401" name="Freeform 10695">
          <a:extLst>
            <a:ext uri="{FF2B5EF4-FFF2-40B4-BE49-F238E27FC236}">
              <a16:creationId xmlns:a16="http://schemas.microsoft.com/office/drawing/2014/main" id="{BE0389E3-1B44-43AF-9627-D7AA0E781D70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3402" name="0/0">
          <a:extLst>
            <a:ext uri="{FF2B5EF4-FFF2-40B4-BE49-F238E27FC236}">
              <a16:creationId xmlns:a16="http://schemas.microsoft.com/office/drawing/2014/main" id="{C8A0F746-F511-4230-996E-164786F8785A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3403" name="Freeform 10695">
          <a:extLst>
            <a:ext uri="{FF2B5EF4-FFF2-40B4-BE49-F238E27FC236}">
              <a16:creationId xmlns:a16="http://schemas.microsoft.com/office/drawing/2014/main" id="{C6F8DBE2-D263-4905-A4C3-39F15E5D4060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3404" name="0/0">
          <a:extLst>
            <a:ext uri="{FF2B5EF4-FFF2-40B4-BE49-F238E27FC236}">
              <a16:creationId xmlns:a16="http://schemas.microsoft.com/office/drawing/2014/main" id="{9858AA05-FFDC-4DF6-B1DF-C2226C236805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3405" name="Freeform 10695">
          <a:extLst>
            <a:ext uri="{FF2B5EF4-FFF2-40B4-BE49-F238E27FC236}">
              <a16:creationId xmlns:a16="http://schemas.microsoft.com/office/drawing/2014/main" id="{802B7227-AF36-450D-8496-AF260F7F49CA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3406" name="0/0">
          <a:extLst>
            <a:ext uri="{FF2B5EF4-FFF2-40B4-BE49-F238E27FC236}">
              <a16:creationId xmlns:a16="http://schemas.microsoft.com/office/drawing/2014/main" id="{0A2F0BD7-471A-4C68-AD4C-803247BE8124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3407" name="Freeform 10695">
          <a:extLst>
            <a:ext uri="{FF2B5EF4-FFF2-40B4-BE49-F238E27FC236}">
              <a16:creationId xmlns:a16="http://schemas.microsoft.com/office/drawing/2014/main" id="{03833C91-82D3-4EDB-9DFB-9EB8E770DEFF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3408" name="0/0">
          <a:extLst>
            <a:ext uri="{FF2B5EF4-FFF2-40B4-BE49-F238E27FC236}">
              <a16:creationId xmlns:a16="http://schemas.microsoft.com/office/drawing/2014/main" id="{D07A8152-B908-4DD3-A72C-580C2978ABB3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3409" name="0/0">
          <a:extLst>
            <a:ext uri="{FF2B5EF4-FFF2-40B4-BE49-F238E27FC236}">
              <a16:creationId xmlns:a16="http://schemas.microsoft.com/office/drawing/2014/main" id="{A37684C2-A96C-44EC-840C-D9BE1DDE3F64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3410" name="Freeform 10695">
          <a:extLst>
            <a:ext uri="{FF2B5EF4-FFF2-40B4-BE49-F238E27FC236}">
              <a16:creationId xmlns:a16="http://schemas.microsoft.com/office/drawing/2014/main" id="{03C13041-113E-4D9B-AE3F-C34A4302177E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3411" name="0/0">
          <a:extLst>
            <a:ext uri="{FF2B5EF4-FFF2-40B4-BE49-F238E27FC236}">
              <a16:creationId xmlns:a16="http://schemas.microsoft.com/office/drawing/2014/main" id="{A31BFB15-9E8F-469E-862C-D64AD16E4F97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3412" name="Freeform 10695">
          <a:extLst>
            <a:ext uri="{FF2B5EF4-FFF2-40B4-BE49-F238E27FC236}">
              <a16:creationId xmlns:a16="http://schemas.microsoft.com/office/drawing/2014/main" id="{F7505266-ADB0-4927-87D8-008DEE517878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3413" name="0/0">
          <a:extLst>
            <a:ext uri="{FF2B5EF4-FFF2-40B4-BE49-F238E27FC236}">
              <a16:creationId xmlns:a16="http://schemas.microsoft.com/office/drawing/2014/main" id="{B0175047-17A7-4C0F-990A-B3CF62593D69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3414" name="Freeform 10695">
          <a:extLst>
            <a:ext uri="{FF2B5EF4-FFF2-40B4-BE49-F238E27FC236}">
              <a16:creationId xmlns:a16="http://schemas.microsoft.com/office/drawing/2014/main" id="{715DC58B-5FC8-4A77-B1DD-DFBB7F472E3D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3415" name="0/0">
          <a:extLst>
            <a:ext uri="{FF2B5EF4-FFF2-40B4-BE49-F238E27FC236}">
              <a16:creationId xmlns:a16="http://schemas.microsoft.com/office/drawing/2014/main" id="{599815BD-0DC0-4F9F-ADCD-AA01F9392656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3416" name="Freeform 10695">
          <a:extLst>
            <a:ext uri="{FF2B5EF4-FFF2-40B4-BE49-F238E27FC236}">
              <a16:creationId xmlns:a16="http://schemas.microsoft.com/office/drawing/2014/main" id="{3E789810-CC8F-413A-AF44-9431A156E01B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3417" name="0/0">
          <a:extLst>
            <a:ext uri="{FF2B5EF4-FFF2-40B4-BE49-F238E27FC236}">
              <a16:creationId xmlns:a16="http://schemas.microsoft.com/office/drawing/2014/main" id="{2CC1D1E1-F748-4907-8C1C-2D0E57E93FDD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3418" name="Freeform 10695">
          <a:extLst>
            <a:ext uri="{FF2B5EF4-FFF2-40B4-BE49-F238E27FC236}">
              <a16:creationId xmlns:a16="http://schemas.microsoft.com/office/drawing/2014/main" id="{F2DEEB3D-AF5D-45E8-8EC4-E7F7F8A177FE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3419" name="0/0">
          <a:extLst>
            <a:ext uri="{FF2B5EF4-FFF2-40B4-BE49-F238E27FC236}">
              <a16:creationId xmlns:a16="http://schemas.microsoft.com/office/drawing/2014/main" id="{7C988118-36B9-47EC-91CD-627842CFCD4D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3420" name="Freeform 10695">
          <a:extLst>
            <a:ext uri="{FF2B5EF4-FFF2-40B4-BE49-F238E27FC236}">
              <a16:creationId xmlns:a16="http://schemas.microsoft.com/office/drawing/2014/main" id="{9AAA3985-EDC3-4082-BA0B-DAFDEF517E14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3421" name="0/0">
          <a:extLst>
            <a:ext uri="{FF2B5EF4-FFF2-40B4-BE49-F238E27FC236}">
              <a16:creationId xmlns:a16="http://schemas.microsoft.com/office/drawing/2014/main" id="{6A252028-B64D-4CB2-B673-055C78EE8F48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3422" name="Freeform 10695">
          <a:extLst>
            <a:ext uri="{FF2B5EF4-FFF2-40B4-BE49-F238E27FC236}">
              <a16:creationId xmlns:a16="http://schemas.microsoft.com/office/drawing/2014/main" id="{0AD5BC08-E9A0-4EEF-92C5-CCCB4129DFE3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3423" name="0/0">
          <a:extLst>
            <a:ext uri="{FF2B5EF4-FFF2-40B4-BE49-F238E27FC236}">
              <a16:creationId xmlns:a16="http://schemas.microsoft.com/office/drawing/2014/main" id="{34BAA9CA-83BE-484B-8F78-F3DEA39588F1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3424" name="Freeform 10695">
          <a:extLst>
            <a:ext uri="{FF2B5EF4-FFF2-40B4-BE49-F238E27FC236}">
              <a16:creationId xmlns:a16="http://schemas.microsoft.com/office/drawing/2014/main" id="{23EA2E83-59E6-44C8-9D8F-0D68C63211AC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3425" name="0/0">
          <a:extLst>
            <a:ext uri="{FF2B5EF4-FFF2-40B4-BE49-F238E27FC236}">
              <a16:creationId xmlns:a16="http://schemas.microsoft.com/office/drawing/2014/main" id="{6E0D161E-C8AB-45D3-872A-A146D7CD1819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3426" name="Freeform 10695">
          <a:extLst>
            <a:ext uri="{FF2B5EF4-FFF2-40B4-BE49-F238E27FC236}">
              <a16:creationId xmlns:a16="http://schemas.microsoft.com/office/drawing/2014/main" id="{783D4CB4-5DF2-4FDC-B71D-0980304B81F3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3427" name="0/0">
          <a:extLst>
            <a:ext uri="{FF2B5EF4-FFF2-40B4-BE49-F238E27FC236}">
              <a16:creationId xmlns:a16="http://schemas.microsoft.com/office/drawing/2014/main" id="{1E120A4B-A4DD-47CE-8472-9F9779738817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3428" name="Freeform 10695">
          <a:extLst>
            <a:ext uri="{FF2B5EF4-FFF2-40B4-BE49-F238E27FC236}">
              <a16:creationId xmlns:a16="http://schemas.microsoft.com/office/drawing/2014/main" id="{5944577C-2D3B-47DA-AD2B-7131FEC01684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3429" name="0/0">
          <a:extLst>
            <a:ext uri="{FF2B5EF4-FFF2-40B4-BE49-F238E27FC236}">
              <a16:creationId xmlns:a16="http://schemas.microsoft.com/office/drawing/2014/main" id="{67AEFA8C-CD2E-4923-93B6-D70303B94A99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3430" name="Freeform 10695">
          <a:extLst>
            <a:ext uri="{FF2B5EF4-FFF2-40B4-BE49-F238E27FC236}">
              <a16:creationId xmlns:a16="http://schemas.microsoft.com/office/drawing/2014/main" id="{FF1D5FE4-9C73-403A-9FDF-9C83A8A8636A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3431" name="0/0">
          <a:extLst>
            <a:ext uri="{FF2B5EF4-FFF2-40B4-BE49-F238E27FC236}">
              <a16:creationId xmlns:a16="http://schemas.microsoft.com/office/drawing/2014/main" id="{E10ED6FD-8339-4A72-99DB-443C1E608BA3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3432" name="Freeform 10695">
          <a:extLst>
            <a:ext uri="{FF2B5EF4-FFF2-40B4-BE49-F238E27FC236}">
              <a16:creationId xmlns:a16="http://schemas.microsoft.com/office/drawing/2014/main" id="{A15F9A5B-898F-4CB6-83B5-5AB241CFDC28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3433" name="0/0">
          <a:extLst>
            <a:ext uri="{FF2B5EF4-FFF2-40B4-BE49-F238E27FC236}">
              <a16:creationId xmlns:a16="http://schemas.microsoft.com/office/drawing/2014/main" id="{8334FF09-C013-4952-A04E-26557EB68B5C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3434" name="Freeform 10695">
          <a:extLst>
            <a:ext uri="{FF2B5EF4-FFF2-40B4-BE49-F238E27FC236}">
              <a16:creationId xmlns:a16="http://schemas.microsoft.com/office/drawing/2014/main" id="{43217670-694D-45D8-AAB4-16FAF453CCFF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3435" name="0/0">
          <a:extLst>
            <a:ext uri="{FF2B5EF4-FFF2-40B4-BE49-F238E27FC236}">
              <a16:creationId xmlns:a16="http://schemas.microsoft.com/office/drawing/2014/main" id="{94E728C8-8307-4041-9726-3E46039084B5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3436" name="Freeform 10695">
          <a:extLst>
            <a:ext uri="{FF2B5EF4-FFF2-40B4-BE49-F238E27FC236}">
              <a16:creationId xmlns:a16="http://schemas.microsoft.com/office/drawing/2014/main" id="{EC60BE26-7A08-4028-B3D5-4FB46FB7990B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3437" name="0/0">
          <a:extLst>
            <a:ext uri="{FF2B5EF4-FFF2-40B4-BE49-F238E27FC236}">
              <a16:creationId xmlns:a16="http://schemas.microsoft.com/office/drawing/2014/main" id="{E2B87E8B-F191-460A-A233-2558B2531490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3438" name="Freeform 10695">
          <a:extLst>
            <a:ext uri="{FF2B5EF4-FFF2-40B4-BE49-F238E27FC236}">
              <a16:creationId xmlns:a16="http://schemas.microsoft.com/office/drawing/2014/main" id="{5DB1CCA6-D53F-407A-BE2F-A9EC10650015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3439" name="0/0">
          <a:extLst>
            <a:ext uri="{FF2B5EF4-FFF2-40B4-BE49-F238E27FC236}">
              <a16:creationId xmlns:a16="http://schemas.microsoft.com/office/drawing/2014/main" id="{D05D6C90-0783-48FC-AFEA-74DE25BE12E4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3440" name="Freeform 10695">
          <a:extLst>
            <a:ext uri="{FF2B5EF4-FFF2-40B4-BE49-F238E27FC236}">
              <a16:creationId xmlns:a16="http://schemas.microsoft.com/office/drawing/2014/main" id="{A0127889-24F2-480E-8084-981A1B226583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3441" name="0/0">
          <a:extLst>
            <a:ext uri="{FF2B5EF4-FFF2-40B4-BE49-F238E27FC236}">
              <a16:creationId xmlns:a16="http://schemas.microsoft.com/office/drawing/2014/main" id="{76A74823-4C44-466A-A9EB-ABB592805223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3442" name="Freeform 10695">
          <a:extLst>
            <a:ext uri="{FF2B5EF4-FFF2-40B4-BE49-F238E27FC236}">
              <a16:creationId xmlns:a16="http://schemas.microsoft.com/office/drawing/2014/main" id="{454CE7C3-359B-46EF-8005-AAF15DF624D6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3443" name="0/0">
          <a:extLst>
            <a:ext uri="{FF2B5EF4-FFF2-40B4-BE49-F238E27FC236}">
              <a16:creationId xmlns:a16="http://schemas.microsoft.com/office/drawing/2014/main" id="{4FB792FC-0273-4E28-A3CD-B8295C21A805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3444" name="Freeform 10695">
          <a:extLst>
            <a:ext uri="{FF2B5EF4-FFF2-40B4-BE49-F238E27FC236}">
              <a16:creationId xmlns:a16="http://schemas.microsoft.com/office/drawing/2014/main" id="{ACE891ED-4DF1-4216-AFBF-6ADD32F94F3C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3445" name="0/0">
          <a:extLst>
            <a:ext uri="{FF2B5EF4-FFF2-40B4-BE49-F238E27FC236}">
              <a16:creationId xmlns:a16="http://schemas.microsoft.com/office/drawing/2014/main" id="{DBD35AB8-3995-4B50-871B-517F146273D1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3446" name="Freeform 10695">
          <a:extLst>
            <a:ext uri="{FF2B5EF4-FFF2-40B4-BE49-F238E27FC236}">
              <a16:creationId xmlns:a16="http://schemas.microsoft.com/office/drawing/2014/main" id="{2944489D-3481-4F71-941D-EE6BA8AD3316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3447" name="0/0">
          <a:extLst>
            <a:ext uri="{FF2B5EF4-FFF2-40B4-BE49-F238E27FC236}">
              <a16:creationId xmlns:a16="http://schemas.microsoft.com/office/drawing/2014/main" id="{30398BDD-323A-4DDB-95BC-4E3E8449BA3B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3448" name="Freeform 10695">
          <a:extLst>
            <a:ext uri="{FF2B5EF4-FFF2-40B4-BE49-F238E27FC236}">
              <a16:creationId xmlns:a16="http://schemas.microsoft.com/office/drawing/2014/main" id="{E98A3912-C2AA-4E62-B0F6-1DBBE2B01D34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3449" name="0/0">
          <a:extLst>
            <a:ext uri="{FF2B5EF4-FFF2-40B4-BE49-F238E27FC236}">
              <a16:creationId xmlns:a16="http://schemas.microsoft.com/office/drawing/2014/main" id="{C0C1F8FA-A738-409A-AACC-E1AABE61EF72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3450" name="0/0">
          <a:extLst>
            <a:ext uri="{FF2B5EF4-FFF2-40B4-BE49-F238E27FC236}">
              <a16:creationId xmlns:a16="http://schemas.microsoft.com/office/drawing/2014/main" id="{18CCC62E-A896-42BF-956F-4AB9D8C19415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3451" name="0/0">
          <a:extLst>
            <a:ext uri="{FF2B5EF4-FFF2-40B4-BE49-F238E27FC236}">
              <a16:creationId xmlns:a16="http://schemas.microsoft.com/office/drawing/2014/main" id="{2BF96A6B-E878-48D3-9134-ABB56F1C60B3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3452" name="Freeform 10695">
          <a:extLst>
            <a:ext uri="{FF2B5EF4-FFF2-40B4-BE49-F238E27FC236}">
              <a16:creationId xmlns:a16="http://schemas.microsoft.com/office/drawing/2014/main" id="{2B34EFE9-CD11-429D-8A8F-366DE37C3AB6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3453" name="0/0">
          <a:extLst>
            <a:ext uri="{FF2B5EF4-FFF2-40B4-BE49-F238E27FC236}">
              <a16:creationId xmlns:a16="http://schemas.microsoft.com/office/drawing/2014/main" id="{6C6A4DB0-08C7-4E25-A602-A03F757048EA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3454" name="Freeform 10695">
          <a:extLst>
            <a:ext uri="{FF2B5EF4-FFF2-40B4-BE49-F238E27FC236}">
              <a16:creationId xmlns:a16="http://schemas.microsoft.com/office/drawing/2014/main" id="{66F88BCD-21A3-4C74-BE60-E07E5A7AE5E4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3455" name="0/0">
          <a:extLst>
            <a:ext uri="{FF2B5EF4-FFF2-40B4-BE49-F238E27FC236}">
              <a16:creationId xmlns:a16="http://schemas.microsoft.com/office/drawing/2014/main" id="{5AF556F8-CF7C-4D22-B96D-525E31CF99D7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3456" name="Freeform 10695">
          <a:extLst>
            <a:ext uri="{FF2B5EF4-FFF2-40B4-BE49-F238E27FC236}">
              <a16:creationId xmlns:a16="http://schemas.microsoft.com/office/drawing/2014/main" id="{FB84D650-4253-4E1B-B03A-1C292D914E95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3457" name="0/0">
          <a:extLst>
            <a:ext uri="{FF2B5EF4-FFF2-40B4-BE49-F238E27FC236}">
              <a16:creationId xmlns:a16="http://schemas.microsoft.com/office/drawing/2014/main" id="{D17FED6B-316F-4290-BCA4-242D63F7DC4B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3458" name="Freeform 10695">
          <a:extLst>
            <a:ext uri="{FF2B5EF4-FFF2-40B4-BE49-F238E27FC236}">
              <a16:creationId xmlns:a16="http://schemas.microsoft.com/office/drawing/2014/main" id="{F74656DA-2F02-425E-A99E-C00B3DC9EFB5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3459" name="0/0">
          <a:extLst>
            <a:ext uri="{FF2B5EF4-FFF2-40B4-BE49-F238E27FC236}">
              <a16:creationId xmlns:a16="http://schemas.microsoft.com/office/drawing/2014/main" id="{5A16FFDC-5731-43C5-94D3-7BA933F33230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3460" name="Freeform 10695">
          <a:extLst>
            <a:ext uri="{FF2B5EF4-FFF2-40B4-BE49-F238E27FC236}">
              <a16:creationId xmlns:a16="http://schemas.microsoft.com/office/drawing/2014/main" id="{3A0BA782-3D6E-4094-8251-FD209E596737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3461" name="0/0">
          <a:extLst>
            <a:ext uri="{FF2B5EF4-FFF2-40B4-BE49-F238E27FC236}">
              <a16:creationId xmlns:a16="http://schemas.microsoft.com/office/drawing/2014/main" id="{DD6CD5B6-40D2-4F64-AE5D-FFDB6577CF9F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3462" name="Freeform 10695">
          <a:extLst>
            <a:ext uri="{FF2B5EF4-FFF2-40B4-BE49-F238E27FC236}">
              <a16:creationId xmlns:a16="http://schemas.microsoft.com/office/drawing/2014/main" id="{BB00007D-89E1-4BF8-A1B5-C3999B6377F1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3463" name="0/0">
          <a:extLst>
            <a:ext uri="{FF2B5EF4-FFF2-40B4-BE49-F238E27FC236}">
              <a16:creationId xmlns:a16="http://schemas.microsoft.com/office/drawing/2014/main" id="{A4DF47AE-A665-4D21-ABFD-D652C2A0D000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3464" name="Freeform 10695">
          <a:extLst>
            <a:ext uri="{FF2B5EF4-FFF2-40B4-BE49-F238E27FC236}">
              <a16:creationId xmlns:a16="http://schemas.microsoft.com/office/drawing/2014/main" id="{1AFE4B5D-C41C-4DA6-93DF-A9C790313CA2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3465" name="0/0">
          <a:extLst>
            <a:ext uri="{FF2B5EF4-FFF2-40B4-BE49-F238E27FC236}">
              <a16:creationId xmlns:a16="http://schemas.microsoft.com/office/drawing/2014/main" id="{C00A4F49-DA35-4D42-9D5A-D3B93D47B950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3466" name="Freeform 10695">
          <a:extLst>
            <a:ext uri="{FF2B5EF4-FFF2-40B4-BE49-F238E27FC236}">
              <a16:creationId xmlns:a16="http://schemas.microsoft.com/office/drawing/2014/main" id="{BC0A2ACB-2202-4148-A804-8521BF9E2518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3467" name="0/0">
          <a:extLst>
            <a:ext uri="{FF2B5EF4-FFF2-40B4-BE49-F238E27FC236}">
              <a16:creationId xmlns:a16="http://schemas.microsoft.com/office/drawing/2014/main" id="{08FDF610-6C2B-4C44-B522-52685F42DF4A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3468" name="Freeform 10695">
          <a:extLst>
            <a:ext uri="{FF2B5EF4-FFF2-40B4-BE49-F238E27FC236}">
              <a16:creationId xmlns:a16="http://schemas.microsoft.com/office/drawing/2014/main" id="{A6AD98E6-F1E9-4D3C-AD9F-230E4D05FE03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3469" name="0/0">
          <a:extLst>
            <a:ext uri="{FF2B5EF4-FFF2-40B4-BE49-F238E27FC236}">
              <a16:creationId xmlns:a16="http://schemas.microsoft.com/office/drawing/2014/main" id="{0FC64295-37DB-40DE-9307-00EFB24BBFED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3470" name="Freeform 10695">
          <a:extLst>
            <a:ext uri="{FF2B5EF4-FFF2-40B4-BE49-F238E27FC236}">
              <a16:creationId xmlns:a16="http://schemas.microsoft.com/office/drawing/2014/main" id="{024E6092-65A2-47A7-808A-84BDB76725BE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3471" name="0/0">
          <a:extLst>
            <a:ext uri="{FF2B5EF4-FFF2-40B4-BE49-F238E27FC236}">
              <a16:creationId xmlns:a16="http://schemas.microsoft.com/office/drawing/2014/main" id="{CDA4D6A1-D670-423F-A77D-AE384549C9B3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3472" name="Freeform 10695">
          <a:extLst>
            <a:ext uri="{FF2B5EF4-FFF2-40B4-BE49-F238E27FC236}">
              <a16:creationId xmlns:a16="http://schemas.microsoft.com/office/drawing/2014/main" id="{43987590-BCEB-4DA9-9C29-E8EE05775931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3473" name="0/0">
          <a:extLst>
            <a:ext uri="{FF2B5EF4-FFF2-40B4-BE49-F238E27FC236}">
              <a16:creationId xmlns:a16="http://schemas.microsoft.com/office/drawing/2014/main" id="{24CD4BAF-2941-4F81-95FF-AD05CB8F5C36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3474" name="Freeform 10695">
          <a:extLst>
            <a:ext uri="{FF2B5EF4-FFF2-40B4-BE49-F238E27FC236}">
              <a16:creationId xmlns:a16="http://schemas.microsoft.com/office/drawing/2014/main" id="{95C29782-BD44-414B-8DE4-DC3052BD01F2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3475" name="0/0">
          <a:extLst>
            <a:ext uri="{FF2B5EF4-FFF2-40B4-BE49-F238E27FC236}">
              <a16:creationId xmlns:a16="http://schemas.microsoft.com/office/drawing/2014/main" id="{78349A3E-F118-46DF-8980-33409B1BFBAF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3476" name="Freeform 10695">
          <a:extLst>
            <a:ext uri="{FF2B5EF4-FFF2-40B4-BE49-F238E27FC236}">
              <a16:creationId xmlns:a16="http://schemas.microsoft.com/office/drawing/2014/main" id="{63295690-0CC1-49F1-B638-2B80C87C7C50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3477" name="0/0">
          <a:extLst>
            <a:ext uri="{FF2B5EF4-FFF2-40B4-BE49-F238E27FC236}">
              <a16:creationId xmlns:a16="http://schemas.microsoft.com/office/drawing/2014/main" id="{B97E8EEF-7FAB-42E9-9221-78B8DE22A177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3478" name="Freeform 10695">
          <a:extLst>
            <a:ext uri="{FF2B5EF4-FFF2-40B4-BE49-F238E27FC236}">
              <a16:creationId xmlns:a16="http://schemas.microsoft.com/office/drawing/2014/main" id="{E3F5F558-CC47-419A-8B18-73278923BFCF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3479" name="0/0">
          <a:extLst>
            <a:ext uri="{FF2B5EF4-FFF2-40B4-BE49-F238E27FC236}">
              <a16:creationId xmlns:a16="http://schemas.microsoft.com/office/drawing/2014/main" id="{3EFF603C-6426-4A37-93A0-A7DA5CA62F0E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3480" name="Freeform 10695">
          <a:extLst>
            <a:ext uri="{FF2B5EF4-FFF2-40B4-BE49-F238E27FC236}">
              <a16:creationId xmlns:a16="http://schemas.microsoft.com/office/drawing/2014/main" id="{CC25B935-7581-4A5E-9BC4-3F9B334AE20E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3481" name="0/0">
          <a:extLst>
            <a:ext uri="{FF2B5EF4-FFF2-40B4-BE49-F238E27FC236}">
              <a16:creationId xmlns:a16="http://schemas.microsoft.com/office/drawing/2014/main" id="{0378478C-91C1-4B19-B638-D9B7980E20FA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3482" name="Freeform 10695">
          <a:extLst>
            <a:ext uri="{FF2B5EF4-FFF2-40B4-BE49-F238E27FC236}">
              <a16:creationId xmlns:a16="http://schemas.microsoft.com/office/drawing/2014/main" id="{F1E2176F-2DCF-4ECF-910D-5FD93F952788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3483" name="0/0">
          <a:extLst>
            <a:ext uri="{FF2B5EF4-FFF2-40B4-BE49-F238E27FC236}">
              <a16:creationId xmlns:a16="http://schemas.microsoft.com/office/drawing/2014/main" id="{5865BCEC-092A-4519-949D-9D900D730989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3484" name="Freeform 10695">
          <a:extLst>
            <a:ext uri="{FF2B5EF4-FFF2-40B4-BE49-F238E27FC236}">
              <a16:creationId xmlns:a16="http://schemas.microsoft.com/office/drawing/2014/main" id="{44520A24-C0CA-4707-884B-5D7B98533721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3485" name="0/0">
          <a:extLst>
            <a:ext uri="{FF2B5EF4-FFF2-40B4-BE49-F238E27FC236}">
              <a16:creationId xmlns:a16="http://schemas.microsoft.com/office/drawing/2014/main" id="{775536C8-7B16-4DB4-A3CD-071DE40ADB35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3486" name="Freeform 10695">
          <a:extLst>
            <a:ext uri="{FF2B5EF4-FFF2-40B4-BE49-F238E27FC236}">
              <a16:creationId xmlns:a16="http://schemas.microsoft.com/office/drawing/2014/main" id="{FDA61ED2-6CF6-43C0-8FAC-5865015E5586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3487" name="0/0">
          <a:extLst>
            <a:ext uri="{FF2B5EF4-FFF2-40B4-BE49-F238E27FC236}">
              <a16:creationId xmlns:a16="http://schemas.microsoft.com/office/drawing/2014/main" id="{4CD3EDA1-A3EA-4F0B-9755-A604B7235A9B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3488" name="Freeform 10695">
          <a:extLst>
            <a:ext uri="{FF2B5EF4-FFF2-40B4-BE49-F238E27FC236}">
              <a16:creationId xmlns:a16="http://schemas.microsoft.com/office/drawing/2014/main" id="{E4FFFBD7-6038-46DD-A6EF-7643B5F19CC4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3489" name="0/0">
          <a:extLst>
            <a:ext uri="{FF2B5EF4-FFF2-40B4-BE49-F238E27FC236}">
              <a16:creationId xmlns:a16="http://schemas.microsoft.com/office/drawing/2014/main" id="{EDEF16DA-FA5F-4C7A-AD7A-7A27AAC1E693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3490" name="Freeform 10695">
          <a:extLst>
            <a:ext uri="{FF2B5EF4-FFF2-40B4-BE49-F238E27FC236}">
              <a16:creationId xmlns:a16="http://schemas.microsoft.com/office/drawing/2014/main" id="{8CEF03ED-FC3E-4EA4-A9F9-9EB0F3872E05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3491" name="0/0">
          <a:extLst>
            <a:ext uri="{FF2B5EF4-FFF2-40B4-BE49-F238E27FC236}">
              <a16:creationId xmlns:a16="http://schemas.microsoft.com/office/drawing/2014/main" id="{C150C7B2-BD2C-4B53-BDA1-C46CCDF38984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3492" name="Freeform 10695">
          <a:extLst>
            <a:ext uri="{FF2B5EF4-FFF2-40B4-BE49-F238E27FC236}">
              <a16:creationId xmlns:a16="http://schemas.microsoft.com/office/drawing/2014/main" id="{0682F634-8C11-4FE6-84DC-AD52BB1B5AA3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3493" name="0/0">
          <a:extLst>
            <a:ext uri="{FF2B5EF4-FFF2-40B4-BE49-F238E27FC236}">
              <a16:creationId xmlns:a16="http://schemas.microsoft.com/office/drawing/2014/main" id="{3B3AAFE9-F859-43D1-83A8-BB84AF4E6E8F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3494" name="0/0">
          <a:extLst>
            <a:ext uri="{FF2B5EF4-FFF2-40B4-BE49-F238E27FC236}">
              <a16:creationId xmlns:a16="http://schemas.microsoft.com/office/drawing/2014/main" id="{D8EC8244-108E-4A3D-B491-2829F01D44B1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3495" name="Freeform 10695">
          <a:extLst>
            <a:ext uri="{FF2B5EF4-FFF2-40B4-BE49-F238E27FC236}">
              <a16:creationId xmlns:a16="http://schemas.microsoft.com/office/drawing/2014/main" id="{7B92ECC7-E8D4-4C6E-9DAC-58F5CE6362EC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3496" name="0/0">
          <a:extLst>
            <a:ext uri="{FF2B5EF4-FFF2-40B4-BE49-F238E27FC236}">
              <a16:creationId xmlns:a16="http://schemas.microsoft.com/office/drawing/2014/main" id="{FEFA3177-39DB-4C9A-886D-9B9BDB43FD27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3497" name="Freeform 10695">
          <a:extLst>
            <a:ext uri="{FF2B5EF4-FFF2-40B4-BE49-F238E27FC236}">
              <a16:creationId xmlns:a16="http://schemas.microsoft.com/office/drawing/2014/main" id="{0A5CE7BD-7708-4DDA-9743-E5C2728D21D8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3498" name="AutoShape 10732">
          <a:extLst>
            <a:ext uri="{FF2B5EF4-FFF2-40B4-BE49-F238E27FC236}">
              <a16:creationId xmlns:a16="http://schemas.microsoft.com/office/drawing/2014/main" id="{406AD539-BB79-4EC8-8304-451A56E11842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3499" name="AutoShape 10734">
          <a:extLst>
            <a:ext uri="{FF2B5EF4-FFF2-40B4-BE49-F238E27FC236}">
              <a16:creationId xmlns:a16="http://schemas.microsoft.com/office/drawing/2014/main" id="{5F0AB9D5-9F0F-4EA9-A238-2452E44F43AB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3500" name="Rectangle 11590" descr="Light horizontal">
          <a:extLst>
            <a:ext uri="{FF2B5EF4-FFF2-40B4-BE49-F238E27FC236}">
              <a16:creationId xmlns:a16="http://schemas.microsoft.com/office/drawing/2014/main" id="{B4333C1D-2C4A-447A-A24B-2B939683C8C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3501" name="Lightning Bolt 3500">
          <a:extLst>
            <a:ext uri="{FF2B5EF4-FFF2-40B4-BE49-F238E27FC236}">
              <a16:creationId xmlns:a16="http://schemas.microsoft.com/office/drawing/2014/main" id="{B7F3A510-9EEE-4123-AD3B-94ABB88FF3E8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3502" name="Line 10711">
          <a:extLst>
            <a:ext uri="{FF2B5EF4-FFF2-40B4-BE49-F238E27FC236}">
              <a16:creationId xmlns:a16="http://schemas.microsoft.com/office/drawing/2014/main" id="{768EC2AA-CBE2-46EC-BEF4-97796D8B024F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3503" name="Line 10711">
          <a:extLst>
            <a:ext uri="{FF2B5EF4-FFF2-40B4-BE49-F238E27FC236}">
              <a16:creationId xmlns:a16="http://schemas.microsoft.com/office/drawing/2014/main" id="{1335CF3C-4309-47B8-8F17-31F654940B1C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3504" name="Line 10711">
          <a:extLst>
            <a:ext uri="{FF2B5EF4-FFF2-40B4-BE49-F238E27FC236}">
              <a16:creationId xmlns:a16="http://schemas.microsoft.com/office/drawing/2014/main" id="{01C6A168-EBAA-4359-885C-9087089DC5D8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3505" name="Line 10711">
          <a:extLst>
            <a:ext uri="{FF2B5EF4-FFF2-40B4-BE49-F238E27FC236}">
              <a16:creationId xmlns:a16="http://schemas.microsoft.com/office/drawing/2014/main" id="{DD8BD832-CD90-4B12-B688-7A116A86F06E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3506" name="Line 10711">
          <a:extLst>
            <a:ext uri="{FF2B5EF4-FFF2-40B4-BE49-F238E27FC236}">
              <a16:creationId xmlns:a16="http://schemas.microsoft.com/office/drawing/2014/main" id="{B89AB652-046C-4136-BE14-B8587C726E1A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3507" name="Line 10711">
          <a:extLst>
            <a:ext uri="{FF2B5EF4-FFF2-40B4-BE49-F238E27FC236}">
              <a16:creationId xmlns:a16="http://schemas.microsoft.com/office/drawing/2014/main" id="{963E8DC2-B4FF-409B-B47E-9EA2E48407E1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3508" name="Line 10711">
          <a:extLst>
            <a:ext uri="{FF2B5EF4-FFF2-40B4-BE49-F238E27FC236}">
              <a16:creationId xmlns:a16="http://schemas.microsoft.com/office/drawing/2014/main" id="{A5921AE2-1E62-4909-B109-66C34B1BB5AC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3509" name="Freeform 10695">
          <a:extLst>
            <a:ext uri="{FF2B5EF4-FFF2-40B4-BE49-F238E27FC236}">
              <a16:creationId xmlns:a16="http://schemas.microsoft.com/office/drawing/2014/main" id="{6F4D2ED6-F1A7-45FE-94ED-6AC15B49BC97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3510" name="Freeform 10695">
          <a:extLst>
            <a:ext uri="{FF2B5EF4-FFF2-40B4-BE49-F238E27FC236}">
              <a16:creationId xmlns:a16="http://schemas.microsoft.com/office/drawing/2014/main" id="{E473645E-27F1-4B37-AA7E-35BD78D054E0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3511" name="Freeform 10695">
          <a:extLst>
            <a:ext uri="{FF2B5EF4-FFF2-40B4-BE49-F238E27FC236}">
              <a16:creationId xmlns:a16="http://schemas.microsoft.com/office/drawing/2014/main" id="{E8081B47-D611-4AB8-A7DB-524C377AC804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3512" name="Freeform 10695">
          <a:extLst>
            <a:ext uri="{FF2B5EF4-FFF2-40B4-BE49-F238E27FC236}">
              <a16:creationId xmlns:a16="http://schemas.microsoft.com/office/drawing/2014/main" id="{962AC30B-9B41-4DAF-9B07-6F5952709191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3513" name="Freeform 10695">
          <a:extLst>
            <a:ext uri="{FF2B5EF4-FFF2-40B4-BE49-F238E27FC236}">
              <a16:creationId xmlns:a16="http://schemas.microsoft.com/office/drawing/2014/main" id="{470483D9-CE80-45A6-8E05-4651622AA025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3514" name="0/0">
          <a:extLst>
            <a:ext uri="{FF2B5EF4-FFF2-40B4-BE49-F238E27FC236}">
              <a16:creationId xmlns:a16="http://schemas.microsoft.com/office/drawing/2014/main" id="{CCEECAFC-5FF5-42BB-9557-BBC8B78D493F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3515" name="Freeform 10695">
          <a:extLst>
            <a:ext uri="{FF2B5EF4-FFF2-40B4-BE49-F238E27FC236}">
              <a16:creationId xmlns:a16="http://schemas.microsoft.com/office/drawing/2014/main" id="{1E44B88A-1A28-4874-AECC-4C650E4B58E4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3516" name="0/0">
          <a:extLst>
            <a:ext uri="{FF2B5EF4-FFF2-40B4-BE49-F238E27FC236}">
              <a16:creationId xmlns:a16="http://schemas.microsoft.com/office/drawing/2014/main" id="{5E778A46-D65E-489E-9BF0-73D5460D2774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3517" name="Freeform 10695">
          <a:extLst>
            <a:ext uri="{FF2B5EF4-FFF2-40B4-BE49-F238E27FC236}">
              <a16:creationId xmlns:a16="http://schemas.microsoft.com/office/drawing/2014/main" id="{7A6705EC-453B-4FA8-99A3-3D2702A0FB8B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3518" name="0/0">
          <a:extLst>
            <a:ext uri="{FF2B5EF4-FFF2-40B4-BE49-F238E27FC236}">
              <a16:creationId xmlns:a16="http://schemas.microsoft.com/office/drawing/2014/main" id="{2EC0A77F-534F-4101-A4E3-04DA4D1F82D4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3519" name="Freeform 10695">
          <a:extLst>
            <a:ext uri="{FF2B5EF4-FFF2-40B4-BE49-F238E27FC236}">
              <a16:creationId xmlns:a16="http://schemas.microsoft.com/office/drawing/2014/main" id="{BFFC2E6A-3CF2-4393-92A8-2CC177D74F55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3520" name="0/0">
          <a:extLst>
            <a:ext uri="{FF2B5EF4-FFF2-40B4-BE49-F238E27FC236}">
              <a16:creationId xmlns:a16="http://schemas.microsoft.com/office/drawing/2014/main" id="{7095BBCF-90D1-4D8D-8A10-69F0D306A611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3521" name="Freeform 10695">
          <a:extLst>
            <a:ext uri="{FF2B5EF4-FFF2-40B4-BE49-F238E27FC236}">
              <a16:creationId xmlns:a16="http://schemas.microsoft.com/office/drawing/2014/main" id="{CE92AD60-A5F3-4313-A000-699A1456F775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3522" name="0/0">
          <a:extLst>
            <a:ext uri="{FF2B5EF4-FFF2-40B4-BE49-F238E27FC236}">
              <a16:creationId xmlns:a16="http://schemas.microsoft.com/office/drawing/2014/main" id="{01161BD0-3C14-4AE4-96B0-911E3A0EBE47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3523" name="Freeform 10695">
          <a:extLst>
            <a:ext uri="{FF2B5EF4-FFF2-40B4-BE49-F238E27FC236}">
              <a16:creationId xmlns:a16="http://schemas.microsoft.com/office/drawing/2014/main" id="{D8F45866-7849-4475-AB89-D23AD2A9F317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3524" name="0/0">
          <a:extLst>
            <a:ext uri="{FF2B5EF4-FFF2-40B4-BE49-F238E27FC236}">
              <a16:creationId xmlns:a16="http://schemas.microsoft.com/office/drawing/2014/main" id="{E9A77675-CE2D-4309-8F69-11056BD6C7E2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3525" name="Freeform 10695">
          <a:extLst>
            <a:ext uri="{FF2B5EF4-FFF2-40B4-BE49-F238E27FC236}">
              <a16:creationId xmlns:a16="http://schemas.microsoft.com/office/drawing/2014/main" id="{34F3615C-3DA3-4E91-9379-B9F7F600C58C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3526" name="0/0">
          <a:extLst>
            <a:ext uri="{FF2B5EF4-FFF2-40B4-BE49-F238E27FC236}">
              <a16:creationId xmlns:a16="http://schemas.microsoft.com/office/drawing/2014/main" id="{1FAA7BD3-5A02-46C7-AB76-5DDC8B8758FC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3527" name="Freeform 10695">
          <a:extLst>
            <a:ext uri="{FF2B5EF4-FFF2-40B4-BE49-F238E27FC236}">
              <a16:creationId xmlns:a16="http://schemas.microsoft.com/office/drawing/2014/main" id="{C6D8C93B-8FB2-43B0-9E1C-29B3036DCC65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3528" name="0/0">
          <a:extLst>
            <a:ext uri="{FF2B5EF4-FFF2-40B4-BE49-F238E27FC236}">
              <a16:creationId xmlns:a16="http://schemas.microsoft.com/office/drawing/2014/main" id="{2827AD22-74E4-4585-BFC2-8C36B1FAA6BE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3529" name="Freeform 10695">
          <a:extLst>
            <a:ext uri="{FF2B5EF4-FFF2-40B4-BE49-F238E27FC236}">
              <a16:creationId xmlns:a16="http://schemas.microsoft.com/office/drawing/2014/main" id="{1ECF3EF2-8961-4B5C-91A6-1F58F1D3FEE3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3530" name="0/0">
          <a:extLst>
            <a:ext uri="{FF2B5EF4-FFF2-40B4-BE49-F238E27FC236}">
              <a16:creationId xmlns:a16="http://schemas.microsoft.com/office/drawing/2014/main" id="{A7F8A0C0-ACA8-4389-BC96-28F589325575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3531" name="Freeform 10695">
          <a:extLst>
            <a:ext uri="{FF2B5EF4-FFF2-40B4-BE49-F238E27FC236}">
              <a16:creationId xmlns:a16="http://schemas.microsoft.com/office/drawing/2014/main" id="{A54CC037-FA53-4D49-8EB0-251B8C47985E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3532" name="0/0">
          <a:extLst>
            <a:ext uri="{FF2B5EF4-FFF2-40B4-BE49-F238E27FC236}">
              <a16:creationId xmlns:a16="http://schemas.microsoft.com/office/drawing/2014/main" id="{6242B2EC-C998-4516-A65E-B87CC74BBB2D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3533" name="0/0">
          <a:extLst>
            <a:ext uri="{FF2B5EF4-FFF2-40B4-BE49-F238E27FC236}">
              <a16:creationId xmlns:a16="http://schemas.microsoft.com/office/drawing/2014/main" id="{ED341734-9ACE-40A7-A7CE-C91F12E1174A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3534" name="Freeform 10695">
          <a:extLst>
            <a:ext uri="{FF2B5EF4-FFF2-40B4-BE49-F238E27FC236}">
              <a16:creationId xmlns:a16="http://schemas.microsoft.com/office/drawing/2014/main" id="{79700B64-7C68-4B69-801B-CDEBF5DCFB05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3535" name="Graphic 797">
          <a:extLst>
            <a:ext uri="{FF2B5EF4-FFF2-40B4-BE49-F238E27FC236}">
              <a16:creationId xmlns:a16="http://schemas.microsoft.com/office/drawing/2014/main" id="{93D36D3A-3EC9-4DFE-8C1E-3AA2B2163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3536" name="Line 10711">
          <a:extLst>
            <a:ext uri="{FF2B5EF4-FFF2-40B4-BE49-F238E27FC236}">
              <a16:creationId xmlns:a16="http://schemas.microsoft.com/office/drawing/2014/main" id="{6F5DED30-39B2-42C8-AE79-1803CC46E6EF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3537" name="Line 10711">
          <a:extLst>
            <a:ext uri="{FF2B5EF4-FFF2-40B4-BE49-F238E27FC236}">
              <a16:creationId xmlns:a16="http://schemas.microsoft.com/office/drawing/2014/main" id="{90C98D5D-1E96-462B-868B-82BEA12CE7B6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3538" name="AutoShape 10734">
          <a:extLst>
            <a:ext uri="{FF2B5EF4-FFF2-40B4-BE49-F238E27FC236}">
              <a16:creationId xmlns:a16="http://schemas.microsoft.com/office/drawing/2014/main" id="{0181A901-A0E2-4733-B790-271AB63091F9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3539" name="Lightning Bolt 3538">
          <a:extLst>
            <a:ext uri="{FF2B5EF4-FFF2-40B4-BE49-F238E27FC236}">
              <a16:creationId xmlns:a16="http://schemas.microsoft.com/office/drawing/2014/main" id="{60C1673C-1664-4697-99CC-563E196081E9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3540" name="Lightning Bolt 3539">
          <a:extLst>
            <a:ext uri="{FF2B5EF4-FFF2-40B4-BE49-F238E27FC236}">
              <a16:creationId xmlns:a16="http://schemas.microsoft.com/office/drawing/2014/main" id="{D692AC78-D9AB-4801-B0A8-BB10C3E8AF4E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3541" name="Line 10711">
          <a:extLst>
            <a:ext uri="{FF2B5EF4-FFF2-40B4-BE49-F238E27FC236}">
              <a16:creationId xmlns:a16="http://schemas.microsoft.com/office/drawing/2014/main" id="{33669F63-FBCF-48D6-867D-77A7070885EC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3542" name="Lightning Bolt 3541">
          <a:extLst>
            <a:ext uri="{FF2B5EF4-FFF2-40B4-BE49-F238E27FC236}">
              <a16:creationId xmlns:a16="http://schemas.microsoft.com/office/drawing/2014/main" id="{5798F821-8E4C-4EA3-B085-4B3A3E5F8DD3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3543" name="Lightning Bolt 3542">
          <a:extLst>
            <a:ext uri="{FF2B5EF4-FFF2-40B4-BE49-F238E27FC236}">
              <a16:creationId xmlns:a16="http://schemas.microsoft.com/office/drawing/2014/main" id="{AEC7707C-5834-4A80-BAF5-619CD033889E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3544" name="Lightning Bolt 3543">
          <a:extLst>
            <a:ext uri="{FF2B5EF4-FFF2-40B4-BE49-F238E27FC236}">
              <a16:creationId xmlns:a16="http://schemas.microsoft.com/office/drawing/2014/main" id="{1D71837B-3D4F-481E-A142-CDF8A6773EAE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3545" name="Freeform 10695">
          <a:extLst>
            <a:ext uri="{FF2B5EF4-FFF2-40B4-BE49-F238E27FC236}">
              <a16:creationId xmlns:a16="http://schemas.microsoft.com/office/drawing/2014/main" id="{6493A728-6AA5-4017-9970-7601869AC6C2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3546" name="AutoShape 10734">
          <a:extLst>
            <a:ext uri="{FF2B5EF4-FFF2-40B4-BE49-F238E27FC236}">
              <a16:creationId xmlns:a16="http://schemas.microsoft.com/office/drawing/2014/main" id="{F117744E-0EA1-453D-AF92-809DB234C7C0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3547" name="Freeform 10695">
          <a:extLst>
            <a:ext uri="{FF2B5EF4-FFF2-40B4-BE49-F238E27FC236}">
              <a16:creationId xmlns:a16="http://schemas.microsoft.com/office/drawing/2014/main" id="{CDA7A16D-3D1E-4FA1-B134-052475588827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3548" name="Lightning Bolt 3547">
          <a:extLst>
            <a:ext uri="{FF2B5EF4-FFF2-40B4-BE49-F238E27FC236}">
              <a16:creationId xmlns:a16="http://schemas.microsoft.com/office/drawing/2014/main" id="{6A049E9C-0EAB-4218-914B-25643022C75F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3549" name="AutoShape 10734">
          <a:extLst>
            <a:ext uri="{FF2B5EF4-FFF2-40B4-BE49-F238E27FC236}">
              <a16:creationId xmlns:a16="http://schemas.microsoft.com/office/drawing/2014/main" id="{495C6AB0-1749-461E-9613-3815F0C11740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3550" name="Arrow: U-Turn 3549">
          <a:extLst>
            <a:ext uri="{FF2B5EF4-FFF2-40B4-BE49-F238E27FC236}">
              <a16:creationId xmlns:a16="http://schemas.microsoft.com/office/drawing/2014/main" id="{B98B729A-5C02-4C9F-BFA9-E56732065102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3551" name="Arrow: U-Turn 3550">
          <a:extLst>
            <a:ext uri="{FF2B5EF4-FFF2-40B4-BE49-F238E27FC236}">
              <a16:creationId xmlns:a16="http://schemas.microsoft.com/office/drawing/2014/main" id="{B328A842-85A2-497E-81B6-701A7DB8930A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3552" name="Arrow: U-Turn 3551">
          <a:extLst>
            <a:ext uri="{FF2B5EF4-FFF2-40B4-BE49-F238E27FC236}">
              <a16:creationId xmlns:a16="http://schemas.microsoft.com/office/drawing/2014/main" id="{2B5B1627-9DFB-4D1F-9C7F-39BDE31F0E73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3553" name="Arrow: U-Turn 3552">
          <a:extLst>
            <a:ext uri="{FF2B5EF4-FFF2-40B4-BE49-F238E27FC236}">
              <a16:creationId xmlns:a16="http://schemas.microsoft.com/office/drawing/2014/main" id="{7C87BEC2-C2C8-44E5-99CA-59F1FBB56501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3554" name="Line 10711">
          <a:extLst>
            <a:ext uri="{FF2B5EF4-FFF2-40B4-BE49-F238E27FC236}">
              <a16:creationId xmlns:a16="http://schemas.microsoft.com/office/drawing/2014/main" id="{93D0685A-9882-4104-A254-C9F338999E8C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3555" name="AutoShape 10734">
          <a:extLst>
            <a:ext uri="{FF2B5EF4-FFF2-40B4-BE49-F238E27FC236}">
              <a16:creationId xmlns:a16="http://schemas.microsoft.com/office/drawing/2014/main" id="{9CD14607-3061-434C-A5D5-424229657031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3556" name="Lightning Bolt 3555">
          <a:extLst>
            <a:ext uri="{FF2B5EF4-FFF2-40B4-BE49-F238E27FC236}">
              <a16:creationId xmlns:a16="http://schemas.microsoft.com/office/drawing/2014/main" id="{A4488514-8AA7-481D-80AA-E6F572A11F7E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3557" name="Lightning Bolt 3556">
          <a:extLst>
            <a:ext uri="{FF2B5EF4-FFF2-40B4-BE49-F238E27FC236}">
              <a16:creationId xmlns:a16="http://schemas.microsoft.com/office/drawing/2014/main" id="{2061B763-F203-4A10-B263-8058E348A8CA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3558" name="Lightning Bolt 3557">
          <a:extLst>
            <a:ext uri="{FF2B5EF4-FFF2-40B4-BE49-F238E27FC236}">
              <a16:creationId xmlns:a16="http://schemas.microsoft.com/office/drawing/2014/main" id="{C83B8502-ABF9-4467-96E4-61EC668F836C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3559" name="Lightning Bolt 3558">
          <a:extLst>
            <a:ext uri="{FF2B5EF4-FFF2-40B4-BE49-F238E27FC236}">
              <a16:creationId xmlns:a16="http://schemas.microsoft.com/office/drawing/2014/main" id="{3FBB5612-B0A0-47AB-BB88-A477E62EBC16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3560" name="Freeform 10695">
          <a:extLst>
            <a:ext uri="{FF2B5EF4-FFF2-40B4-BE49-F238E27FC236}">
              <a16:creationId xmlns:a16="http://schemas.microsoft.com/office/drawing/2014/main" id="{5B39B919-BA30-4D29-AC9C-736D2043E27D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3561" name="Freeform 10695">
          <a:extLst>
            <a:ext uri="{FF2B5EF4-FFF2-40B4-BE49-F238E27FC236}">
              <a16:creationId xmlns:a16="http://schemas.microsoft.com/office/drawing/2014/main" id="{1D4D1A7B-B622-4C40-9983-B53C4AE38A83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3562" name="Freeform 10695">
          <a:extLst>
            <a:ext uri="{FF2B5EF4-FFF2-40B4-BE49-F238E27FC236}">
              <a16:creationId xmlns:a16="http://schemas.microsoft.com/office/drawing/2014/main" id="{76F917B9-72B0-44B1-8D9C-1D62F4EF0FBA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3563" name="Freeform 10695">
          <a:extLst>
            <a:ext uri="{FF2B5EF4-FFF2-40B4-BE49-F238E27FC236}">
              <a16:creationId xmlns:a16="http://schemas.microsoft.com/office/drawing/2014/main" id="{A9B55458-9927-4E28-8B22-3F375237FF6E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3564" name="Freeform 10695">
          <a:extLst>
            <a:ext uri="{FF2B5EF4-FFF2-40B4-BE49-F238E27FC236}">
              <a16:creationId xmlns:a16="http://schemas.microsoft.com/office/drawing/2014/main" id="{DD2BF504-92B0-49B2-901F-D4BA5DE24618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3565" name="Freeform 10695">
          <a:extLst>
            <a:ext uri="{FF2B5EF4-FFF2-40B4-BE49-F238E27FC236}">
              <a16:creationId xmlns:a16="http://schemas.microsoft.com/office/drawing/2014/main" id="{B2558FE0-3511-4F02-99DF-B2ED82A4B596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3566" name="Freeform 10695">
          <a:extLst>
            <a:ext uri="{FF2B5EF4-FFF2-40B4-BE49-F238E27FC236}">
              <a16:creationId xmlns:a16="http://schemas.microsoft.com/office/drawing/2014/main" id="{D1D8C0FF-F16B-4F16-BFAF-731AC948791E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3567" name="Freeform 10695">
          <a:extLst>
            <a:ext uri="{FF2B5EF4-FFF2-40B4-BE49-F238E27FC236}">
              <a16:creationId xmlns:a16="http://schemas.microsoft.com/office/drawing/2014/main" id="{0AD60A1E-8AA5-4177-9F74-C84666B9B804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3568" name="Freeform 10695">
          <a:extLst>
            <a:ext uri="{FF2B5EF4-FFF2-40B4-BE49-F238E27FC236}">
              <a16:creationId xmlns:a16="http://schemas.microsoft.com/office/drawing/2014/main" id="{F4826A70-23EE-4FD7-AFA1-B6F801B8B299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3569" name="Freeform 10695">
          <a:extLst>
            <a:ext uri="{FF2B5EF4-FFF2-40B4-BE49-F238E27FC236}">
              <a16:creationId xmlns:a16="http://schemas.microsoft.com/office/drawing/2014/main" id="{879AEA64-3414-4785-9B71-B1506BCCB177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3570" name="Freeform 10695">
          <a:extLst>
            <a:ext uri="{FF2B5EF4-FFF2-40B4-BE49-F238E27FC236}">
              <a16:creationId xmlns:a16="http://schemas.microsoft.com/office/drawing/2014/main" id="{714C660F-9565-49DE-9B0F-DDD5D926ABC1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3571" name="Freeform 10695">
          <a:extLst>
            <a:ext uri="{FF2B5EF4-FFF2-40B4-BE49-F238E27FC236}">
              <a16:creationId xmlns:a16="http://schemas.microsoft.com/office/drawing/2014/main" id="{471BCF02-235C-48AB-9CD6-4A3631257617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3572" name="Freeform 10695">
          <a:extLst>
            <a:ext uri="{FF2B5EF4-FFF2-40B4-BE49-F238E27FC236}">
              <a16:creationId xmlns:a16="http://schemas.microsoft.com/office/drawing/2014/main" id="{3080C197-015D-4310-A59F-AEC675B2C92E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3573" name="Freeform 10695">
          <a:extLst>
            <a:ext uri="{FF2B5EF4-FFF2-40B4-BE49-F238E27FC236}">
              <a16:creationId xmlns:a16="http://schemas.microsoft.com/office/drawing/2014/main" id="{CE63D7B0-BDF8-4684-A810-06D02BACFFE0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3574" name="Freeform 10695">
          <a:extLst>
            <a:ext uri="{FF2B5EF4-FFF2-40B4-BE49-F238E27FC236}">
              <a16:creationId xmlns:a16="http://schemas.microsoft.com/office/drawing/2014/main" id="{61DFEEAD-C2C9-45C7-A4C0-B7975C1125B0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3575" name="Freeform 10695">
          <a:extLst>
            <a:ext uri="{FF2B5EF4-FFF2-40B4-BE49-F238E27FC236}">
              <a16:creationId xmlns:a16="http://schemas.microsoft.com/office/drawing/2014/main" id="{12DA4E1A-1CC8-4ACB-9C81-99C04448A952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3576" name="Rectangle 11590" descr="Light horizontal">
          <a:extLst>
            <a:ext uri="{FF2B5EF4-FFF2-40B4-BE49-F238E27FC236}">
              <a16:creationId xmlns:a16="http://schemas.microsoft.com/office/drawing/2014/main" id="{960C5752-5302-4520-A602-C690AF59735F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3577" name="Lightning Bolt 3576">
          <a:extLst>
            <a:ext uri="{FF2B5EF4-FFF2-40B4-BE49-F238E27FC236}">
              <a16:creationId xmlns:a16="http://schemas.microsoft.com/office/drawing/2014/main" id="{7C35B51D-E2D8-4A5F-8C44-B6C7CD384D55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3578" name="Line 10711">
          <a:extLst>
            <a:ext uri="{FF2B5EF4-FFF2-40B4-BE49-F238E27FC236}">
              <a16:creationId xmlns:a16="http://schemas.microsoft.com/office/drawing/2014/main" id="{00CEE82A-73E0-4C6B-9B8A-9024E57B3564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3579" name="0/0">
          <a:extLst>
            <a:ext uri="{FF2B5EF4-FFF2-40B4-BE49-F238E27FC236}">
              <a16:creationId xmlns:a16="http://schemas.microsoft.com/office/drawing/2014/main" id="{11F67F0D-E782-48A3-AAC9-91C8980B44C9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3580" name="Freeform 10695">
          <a:extLst>
            <a:ext uri="{FF2B5EF4-FFF2-40B4-BE49-F238E27FC236}">
              <a16:creationId xmlns:a16="http://schemas.microsoft.com/office/drawing/2014/main" id="{D7FDE0D0-2BD0-42EA-9C19-F476041E8C9C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3581" name="0/0">
          <a:extLst>
            <a:ext uri="{FF2B5EF4-FFF2-40B4-BE49-F238E27FC236}">
              <a16:creationId xmlns:a16="http://schemas.microsoft.com/office/drawing/2014/main" id="{A466F6FA-C7D8-4BC5-A7F7-730DA8D69534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3582" name="Freeform 10695">
          <a:extLst>
            <a:ext uri="{FF2B5EF4-FFF2-40B4-BE49-F238E27FC236}">
              <a16:creationId xmlns:a16="http://schemas.microsoft.com/office/drawing/2014/main" id="{974A458C-CD4E-48C8-AF7A-540E274F4C1C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3583" name="0/0">
          <a:extLst>
            <a:ext uri="{FF2B5EF4-FFF2-40B4-BE49-F238E27FC236}">
              <a16:creationId xmlns:a16="http://schemas.microsoft.com/office/drawing/2014/main" id="{E064EE0C-AFCB-4732-B63D-B1EDE0293D65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3584" name="Freeform 10695">
          <a:extLst>
            <a:ext uri="{FF2B5EF4-FFF2-40B4-BE49-F238E27FC236}">
              <a16:creationId xmlns:a16="http://schemas.microsoft.com/office/drawing/2014/main" id="{950E638B-AF02-4718-AF7D-15CF7AC41D4A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3585" name="0/0">
          <a:extLst>
            <a:ext uri="{FF2B5EF4-FFF2-40B4-BE49-F238E27FC236}">
              <a16:creationId xmlns:a16="http://schemas.microsoft.com/office/drawing/2014/main" id="{8A5E863D-6AE9-452C-8B31-33ACD8A1254A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3586" name="0/0">
          <a:extLst>
            <a:ext uri="{FF2B5EF4-FFF2-40B4-BE49-F238E27FC236}">
              <a16:creationId xmlns:a16="http://schemas.microsoft.com/office/drawing/2014/main" id="{70F44F1A-C4E3-44DC-90AB-D40DE9BEE082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3587" name="Freeform 10695">
          <a:extLst>
            <a:ext uri="{FF2B5EF4-FFF2-40B4-BE49-F238E27FC236}">
              <a16:creationId xmlns:a16="http://schemas.microsoft.com/office/drawing/2014/main" id="{0AE052A6-9C1C-490A-8BD3-CA995DD26F51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3588" name="Freeform 10695">
          <a:extLst>
            <a:ext uri="{FF2B5EF4-FFF2-40B4-BE49-F238E27FC236}">
              <a16:creationId xmlns:a16="http://schemas.microsoft.com/office/drawing/2014/main" id="{1D1D79CD-FE52-4BE4-99B5-CE296F21B511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3589" name="AutoShape 10734">
          <a:extLst>
            <a:ext uri="{FF2B5EF4-FFF2-40B4-BE49-F238E27FC236}">
              <a16:creationId xmlns:a16="http://schemas.microsoft.com/office/drawing/2014/main" id="{3CDDB485-0DC9-4ABB-B72E-B43DD853F765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3590" name="AutoShape 10732">
          <a:extLst>
            <a:ext uri="{FF2B5EF4-FFF2-40B4-BE49-F238E27FC236}">
              <a16:creationId xmlns:a16="http://schemas.microsoft.com/office/drawing/2014/main" id="{3FF87F30-FE03-41D7-86A6-06FC1D5946AD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3591" name="Lightning Bolt 3590">
          <a:extLst>
            <a:ext uri="{FF2B5EF4-FFF2-40B4-BE49-F238E27FC236}">
              <a16:creationId xmlns:a16="http://schemas.microsoft.com/office/drawing/2014/main" id="{33C0E0F4-0102-487C-B3E1-CB48A82DE28A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3592" name="Lightning Bolt 3591">
          <a:extLst>
            <a:ext uri="{FF2B5EF4-FFF2-40B4-BE49-F238E27FC236}">
              <a16:creationId xmlns:a16="http://schemas.microsoft.com/office/drawing/2014/main" id="{AEECEC78-8BA3-422F-82A2-4CE912139FA5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3593" name="Lightning Bolt 3592">
          <a:extLst>
            <a:ext uri="{FF2B5EF4-FFF2-40B4-BE49-F238E27FC236}">
              <a16:creationId xmlns:a16="http://schemas.microsoft.com/office/drawing/2014/main" id="{40DBE404-6106-4D40-A2B7-D043A7B9B3C6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3594" name="AutoShape 10734">
          <a:extLst>
            <a:ext uri="{FF2B5EF4-FFF2-40B4-BE49-F238E27FC236}">
              <a16:creationId xmlns:a16="http://schemas.microsoft.com/office/drawing/2014/main" id="{9D85C673-28A6-423D-8D5F-A9ECE0344DA5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3595" name="Rectangle 11590" descr="Light horizontal">
          <a:extLst>
            <a:ext uri="{FF2B5EF4-FFF2-40B4-BE49-F238E27FC236}">
              <a16:creationId xmlns:a16="http://schemas.microsoft.com/office/drawing/2014/main" id="{EAA71727-C6DD-4120-922E-007D5822E845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3596" name="Lightning Bolt 3595">
          <a:extLst>
            <a:ext uri="{FF2B5EF4-FFF2-40B4-BE49-F238E27FC236}">
              <a16:creationId xmlns:a16="http://schemas.microsoft.com/office/drawing/2014/main" id="{1836D09F-FFDC-486A-9F15-BBB6F7F694AC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3597" name="Lightning Bolt 3596">
          <a:extLst>
            <a:ext uri="{FF2B5EF4-FFF2-40B4-BE49-F238E27FC236}">
              <a16:creationId xmlns:a16="http://schemas.microsoft.com/office/drawing/2014/main" id="{D6CAD12B-E55D-48D3-9B29-DCC042D807D1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3598" name="Lightning Bolt 3597">
          <a:extLst>
            <a:ext uri="{FF2B5EF4-FFF2-40B4-BE49-F238E27FC236}">
              <a16:creationId xmlns:a16="http://schemas.microsoft.com/office/drawing/2014/main" id="{8BC33B6E-3C4C-4915-9CC8-27A81C4342AA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3599" name="AutoShape 10734">
          <a:extLst>
            <a:ext uri="{FF2B5EF4-FFF2-40B4-BE49-F238E27FC236}">
              <a16:creationId xmlns:a16="http://schemas.microsoft.com/office/drawing/2014/main" id="{8D4E82A0-A913-4AE3-9965-DF1CAF418ACC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3600" name="Rectangle 11590" descr="Light horizontal">
          <a:extLst>
            <a:ext uri="{FF2B5EF4-FFF2-40B4-BE49-F238E27FC236}">
              <a16:creationId xmlns:a16="http://schemas.microsoft.com/office/drawing/2014/main" id="{5CAE1F26-802C-45AE-B4B6-33FC0AACFA16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3601" name="Lightning Bolt 3600">
          <a:extLst>
            <a:ext uri="{FF2B5EF4-FFF2-40B4-BE49-F238E27FC236}">
              <a16:creationId xmlns:a16="http://schemas.microsoft.com/office/drawing/2014/main" id="{2C6C16B9-F0AF-4C28-9C75-3EB697EC058D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3602" name="Lightning Bolt 3601">
          <a:extLst>
            <a:ext uri="{FF2B5EF4-FFF2-40B4-BE49-F238E27FC236}">
              <a16:creationId xmlns:a16="http://schemas.microsoft.com/office/drawing/2014/main" id="{093342FD-9E53-43F9-9C28-45B6584BF81E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3603" name="Lightning Bolt 3602">
          <a:extLst>
            <a:ext uri="{FF2B5EF4-FFF2-40B4-BE49-F238E27FC236}">
              <a16:creationId xmlns:a16="http://schemas.microsoft.com/office/drawing/2014/main" id="{7856360D-D6AB-4690-BE58-1D1541DB4E31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3604" name="Line 10711">
          <a:extLst>
            <a:ext uri="{FF2B5EF4-FFF2-40B4-BE49-F238E27FC236}">
              <a16:creationId xmlns:a16="http://schemas.microsoft.com/office/drawing/2014/main" id="{7D9BE743-37A6-49A8-BCE5-57C08B2DC20C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3605" name="Minus 382">
          <a:extLst>
            <a:ext uri="{FF2B5EF4-FFF2-40B4-BE49-F238E27FC236}">
              <a16:creationId xmlns:a16="http://schemas.microsoft.com/office/drawing/2014/main" id="{69B5B0E1-D159-426B-92FA-584196936AF3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3606" name="Minus 382">
          <a:extLst>
            <a:ext uri="{FF2B5EF4-FFF2-40B4-BE49-F238E27FC236}">
              <a16:creationId xmlns:a16="http://schemas.microsoft.com/office/drawing/2014/main" id="{C29FEE35-04E0-48D7-97B1-F9315122E9AE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3607" name="Minus 382">
          <a:extLst>
            <a:ext uri="{FF2B5EF4-FFF2-40B4-BE49-F238E27FC236}">
              <a16:creationId xmlns:a16="http://schemas.microsoft.com/office/drawing/2014/main" id="{ED51E246-07F9-45B2-B557-03701F8CD5F3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3608" name="Minus 382">
          <a:extLst>
            <a:ext uri="{FF2B5EF4-FFF2-40B4-BE49-F238E27FC236}">
              <a16:creationId xmlns:a16="http://schemas.microsoft.com/office/drawing/2014/main" id="{3971A34E-6CE4-44A1-BB6C-AB9594FA0156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3609" name="Minus 382">
          <a:extLst>
            <a:ext uri="{FF2B5EF4-FFF2-40B4-BE49-F238E27FC236}">
              <a16:creationId xmlns:a16="http://schemas.microsoft.com/office/drawing/2014/main" id="{E6B252A5-65A3-4259-9886-CE7DD32DDCEC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3610" name="Minus 382">
          <a:extLst>
            <a:ext uri="{FF2B5EF4-FFF2-40B4-BE49-F238E27FC236}">
              <a16:creationId xmlns:a16="http://schemas.microsoft.com/office/drawing/2014/main" id="{7B72F88D-623C-474F-8DBB-3898CF65F368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3611" name="Minus 382">
          <a:extLst>
            <a:ext uri="{FF2B5EF4-FFF2-40B4-BE49-F238E27FC236}">
              <a16:creationId xmlns:a16="http://schemas.microsoft.com/office/drawing/2014/main" id="{EFC79E8A-54F7-4BFB-A62F-DA931F10FFD7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3612" name="Minus 382">
          <a:extLst>
            <a:ext uri="{FF2B5EF4-FFF2-40B4-BE49-F238E27FC236}">
              <a16:creationId xmlns:a16="http://schemas.microsoft.com/office/drawing/2014/main" id="{D1FCAE67-9FA4-4E3C-8FF3-403C512B4098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3613" name="Minus 382">
          <a:extLst>
            <a:ext uri="{FF2B5EF4-FFF2-40B4-BE49-F238E27FC236}">
              <a16:creationId xmlns:a16="http://schemas.microsoft.com/office/drawing/2014/main" id="{917B0353-0C76-45C9-9A5B-2888EECC9D4B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3614" name="Minus 382">
          <a:extLst>
            <a:ext uri="{FF2B5EF4-FFF2-40B4-BE49-F238E27FC236}">
              <a16:creationId xmlns:a16="http://schemas.microsoft.com/office/drawing/2014/main" id="{7C4A3CDB-F3DA-49E3-A069-ECE1B7515594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3615" name="Minus 382">
          <a:extLst>
            <a:ext uri="{FF2B5EF4-FFF2-40B4-BE49-F238E27FC236}">
              <a16:creationId xmlns:a16="http://schemas.microsoft.com/office/drawing/2014/main" id="{728109AE-4D49-4063-9C8D-E5FE247389D5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3616" name="Minus 382">
          <a:extLst>
            <a:ext uri="{FF2B5EF4-FFF2-40B4-BE49-F238E27FC236}">
              <a16:creationId xmlns:a16="http://schemas.microsoft.com/office/drawing/2014/main" id="{97C89B90-EF80-4346-B8AB-03FF46054467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3617" name="Minus 382">
          <a:extLst>
            <a:ext uri="{FF2B5EF4-FFF2-40B4-BE49-F238E27FC236}">
              <a16:creationId xmlns:a16="http://schemas.microsoft.com/office/drawing/2014/main" id="{F5D04C9D-DDE2-46DD-93FD-A351BE1C4932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3618" name="Minus 382">
          <a:extLst>
            <a:ext uri="{FF2B5EF4-FFF2-40B4-BE49-F238E27FC236}">
              <a16:creationId xmlns:a16="http://schemas.microsoft.com/office/drawing/2014/main" id="{5DF53C89-E45B-4943-817E-F8C493634259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3619" name="Minus 382">
          <a:extLst>
            <a:ext uri="{FF2B5EF4-FFF2-40B4-BE49-F238E27FC236}">
              <a16:creationId xmlns:a16="http://schemas.microsoft.com/office/drawing/2014/main" id="{2E345CC3-2AE0-4BCC-BCA6-07219642EB6B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3620" name="Minus 382">
          <a:extLst>
            <a:ext uri="{FF2B5EF4-FFF2-40B4-BE49-F238E27FC236}">
              <a16:creationId xmlns:a16="http://schemas.microsoft.com/office/drawing/2014/main" id="{54F8508F-7AF7-45D2-936B-5B17FEE697E0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3621" name="Minus 382">
          <a:extLst>
            <a:ext uri="{FF2B5EF4-FFF2-40B4-BE49-F238E27FC236}">
              <a16:creationId xmlns:a16="http://schemas.microsoft.com/office/drawing/2014/main" id="{1B730ABB-754F-4808-A166-A13D9C8661AE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3622" name="Minus 382">
          <a:extLst>
            <a:ext uri="{FF2B5EF4-FFF2-40B4-BE49-F238E27FC236}">
              <a16:creationId xmlns:a16="http://schemas.microsoft.com/office/drawing/2014/main" id="{4F280466-BE14-44FF-9A15-D91CF30079C2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3623" name="Minus 382">
          <a:extLst>
            <a:ext uri="{FF2B5EF4-FFF2-40B4-BE49-F238E27FC236}">
              <a16:creationId xmlns:a16="http://schemas.microsoft.com/office/drawing/2014/main" id="{948AAA35-387F-4DC1-BDF0-06A1E63BADB9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3624" name="Minus 382">
          <a:extLst>
            <a:ext uri="{FF2B5EF4-FFF2-40B4-BE49-F238E27FC236}">
              <a16:creationId xmlns:a16="http://schemas.microsoft.com/office/drawing/2014/main" id="{E5504218-626A-4D6A-B32A-9321DAB5E1B8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3625" name="Minus 382">
          <a:extLst>
            <a:ext uri="{FF2B5EF4-FFF2-40B4-BE49-F238E27FC236}">
              <a16:creationId xmlns:a16="http://schemas.microsoft.com/office/drawing/2014/main" id="{B2CA47CF-6882-4C5C-94F0-B9AD1758A141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3626" name="Minus 382">
          <a:extLst>
            <a:ext uri="{FF2B5EF4-FFF2-40B4-BE49-F238E27FC236}">
              <a16:creationId xmlns:a16="http://schemas.microsoft.com/office/drawing/2014/main" id="{5F9A6E62-2F97-4392-A9D7-D376919C0B62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3627" name="Minus 382">
          <a:extLst>
            <a:ext uri="{FF2B5EF4-FFF2-40B4-BE49-F238E27FC236}">
              <a16:creationId xmlns:a16="http://schemas.microsoft.com/office/drawing/2014/main" id="{AC95B9F5-95F3-462D-A036-1F699828F638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3628" name="Minus 382">
          <a:extLst>
            <a:ext uri="{FF2B5EF4-FFF2-40B4-BE49-F238E27FC236}">
              <a16:creationId xmlns:a16="http://schemas.microsoft.com/office/drawing/2014/main" id="{8D474A5B-82A2-4E82-910F-061546AA9E59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3629" name="Minus 382">
          <a:extLst>
            <a:ext uri="{FF2B5EF4-FFF2-40B4-BE49-F238E27FC236}">
              <a16:creationId xmlns:a16="http://schemas.microsoft.com/office/drawing/2014/main" id="{FDD75819-A504-4B5F-BCCE-A1AC9DBE7FF4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3630" name="Minus 382">
          <a:extLst>
            <a:ext uri="{FF2B5EF4-FFF2-40B4-BE49-F238E27FC236}">
              <a16:creationId xmlns:a16="http://schemas.microsoft.com/office/drawing/2014/main" id="{2E8C104C-28B8-46EC-B87B-2C00BDF93484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3631" name="Minus 382">
          <a:extLst>
            <a:ext uri="{FF2B5EF4-FFF2-40B4-BE49-F238E27FC236}">
              <a16:creationId xmlns:a16="http://schemas.microsoft.com/office/drawing/2014/main" id="{1B8842C8-D200-483F-88ED-0689CB4D3C22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3632" name="Minus 382">
          <a:extLst>
            <a:ext uri="{FF2B5EF4-FFF2-40B4-BE49-F238E27FC236}">
              <a16:creationId xmlns:a16="http://schemas.microsoft.com/office/drawing/2014/main" id="{C666F791-EC22-4CAB-BF6A-DE1937280085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3633" name="Minus 382">
          <a:extLst>
            <a:ext uri="{FF2B5EF4-FFF2-40B4-BE49-F238E27FC236}">
              <a16:creationId xmlns:a16="http://schemas.microsoft.com/office/drawing/2014/main" id="{3BE12741-7770-4C03-97A3-F70F48F97E4B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3634" name="Minus 382">
          <a:extLst>
            <a:ext uri="{FF2B5EF4-FFF2-40B4-BE49-F238E27FC236}">
              <a16:creationId xmlns:a16="http://schemas.microsoft.com/office/drawing/2014/main" id="{6AB41E25-9042-4B2D-9027-320090F23029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3635" name="Minus 382">
          <a:extLst>
            <a:ext uri="{FF2B5EF4-FFF2-40B4-BE49-F238E27FC236}">
              <a16:creationId xmlns:a16="http://schemas.microsoft.com/office/drawing/2014/main" id="{9A0988D7-E7DA-4CFC-9CCF-A2AE740FF3F8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3636" name="Minus 382">
          <a:extLst>
            <a:ext uri="{FF2B5EF4-FFF2-40B4-BE49-F238E27FC236}">
              <a16:creationId xmlns:a16="http://schemas.microsoft.com/office/drawing/2014/main" id="{CCF70B44-76E1-4324-87A8-EDB278440897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3637" name="Minus 382">
          <a:extLst>
            <a:ext uri="{FF2B5EF4-FFF2-40B4-BE49-F238E27FC236}">
              <a16:creationId xmlns:a16="http://schemas.microsoft.com/office/drawing/2014/main" id="{4A21FD14-8A1B-4B01-B15B-6A74D27BB01D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3638" name="Minus 382">
          <a:extLst>
            <a:ext uri="{FF2B5EF4-FFF2-40B4-BE49-F238E27FC236}">
              <a16:creationId xmlns:a16="http://schemas.microsoft.com/office/drawing/2014/main" id="{3F9AE270-C17D-461C-8782-22A09AD6C5CB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3639" name="Minus 382">
          <a:extLst>
            <a:ext uri="{FF2B5EF4-FFF2-40B4-BE49-F238E27FC236}">
              <a16:creationId xmlns:a16="http://schemas.microsoft.com/office/drawing/2014/main" id="{277EAAF1-A6B9-4CEF-B33D-6A1859280DEE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3640" name="Minus 382">
          <a:extLst>
            <a:ext uri="{FF2B5EF4-FFF2-40B4-BE49-F238E27FC236}">
              <a16:creationId xmlns:a16="http://schemas.microsoft.com/office/drawing/2014/main" id="{EE7DBAE5-3537-49FF-8A64-EFBA924596D2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3641" name="Minus 382">
          <a:extLst>
            <a:ext uri="{FF2B5EF4-FFF2-40B4-BE49-F238E27FC236}">
              <a16:creationId xmlns:a16="http://schemas.microsoft.com/office/drawing/2014/main" id="{3D7165AC-766F-4054-B3BB-2179A3B54932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3642" name="Minus 382">
          <a:extLst>
            <a:ext uri="{FF2B5EF4-FFF2-40B4-BE49-F238E27FC236}">
              <a16:creationId xmlns:a16="http://schemas.microsoft.com/office/drawing/2014/main" id="{E1FD9209-38A5-4B29-A228-A078E75D0CF2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3643" name="Minus 382">
          <a:extLst>
            <a:ext uri="{FF2B5EF4-FFF2-40B4-BE49-F238E27FC236}">
              <a16:creationId xmlns:a16="http://schemas.microsoft.com/office/drawing/2014/main" id="{721EEA12-F1EC-4A0B-BFF8-8696D456FEFE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3644" name="Minus 382">
          <a:extLst>
            <a:ext uri="{FF2B5EF4-FFF2-40B4-BE49-F238E27FC236}">
              <a16:creationId xmlns:a16="http://schemas.microsoft.com/office/drawing/2014/main" id="{F282591C-0EFA-4511-B75E-5F0E445BBAFE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3645" name="Minus 382">
          <a:extLst>
            <a:ext uri="{FF2B5EF4-FFF2-40B4-BE49-F238E27FC236}">
              <a16:creationId xmlns:a16="http://schemas.microsoft.com/office/drawing/2014/main" id="{4E990C20-B1ED-49A8-BF7F-03253B1D1DF4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3646" name="Minus 382">
          <a:extLst>
            <a:ext uri="{FF2B5EF4-FFF2-40B4-BE49-F238E27FC236}">
              <a16:creationId xmlns:a16="http://schemas.microsoft.com/office/drawing/2014/main" id="{94736802-6795-4AE7-BECD-36644D67D3AB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3647" name="Minus 382">
          <a:extLst>
            <a:ext uri="{FF2B5EF4-FFF2-40B4-BE49-F238E27FC236}">
              <a16:creationId xmlns:a16="http://schemas.microsoft.com/office/drawing/2014/main" id="{1BD880F7-1A29-490E-802F-245AF0006C9E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3648" name="Minus 382">
          <a:extLst>
            <a:ext uri="{FF2B5EF4-FFF2-40B4-BE49-F238E27FC236}">
              <a16:creationId xmlns:a16="http://schemas.microsoft.com/office/drawing/2014/main" id="{428E7D4C-7A97-4B40-9567-583CE2E7703E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3649" name="Minus 382">
          <a:extLst>
            <a:ext uri="{FF2B5EF4-FFF2-40B4-BE49-F238E27FC236}">
              <a16:creationId xmlns:a16="http://schemas.microsoft.com/office/drawing/2014/main" id="{F2F2573D-430F-43C1-AF3A-D1B97E0BBE55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3650" name="Minus 382">
          <a:extLst>
            <a:ext uri="{FF2B5EF4-FFF2-40B4-BE49-F238E27FC236}">
              <a16:creationId xmlns:a16="http://schemas.microsoft.com/office/drawing/2014/main" id="{09FB6F3F-C2EB-475B-A67E-483D5827CA3A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3651" name="Minus 382">
          <a:extLst>
            <a:ext uri="{FF2B5EF4-FFF2-40B4-BE49-F238E27FC236}">
              <a16:creationId xmlns:a16="http://schemas.microsoft.com/office/drawing/2014/main" id="{1D83002B-A925-487F-B787-E4F0EC312A3F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3652" name="Minus 382">
          <a:extLst>
            <a:ext uri="{FF2B5EF4-FFF2-40B4-BE49-F238E27FC236}">
              <a16:creationId xmlns:a16="http://schemas.microsoft.com/office/drawing/2014/main" id="{3FCEC44B-4B35-41F4-8C5B-7B8D82ACE87B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3653" name="Minus 382">
          <a:extLst>
            <a:ext uri="{FF2B5EF4-FFF2-40B4-BE49-F238E27FC236}">
              <a16:creationId xmlns:a16="http://schemas.microsoft.com/office/drawing/2014/main" id="{4640BEA6-DC32-4583-813C-DF2F97DF0F1A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3654" name="Minus 382">
          <a:extLst>
            <a:ext uri="{FF2B5EF4-FFF2-40B4-BE49-F238E27FC236}">
              <a16:creationId xmlns:a16="http://schemas.microsoft.com/office/drawing/2014/main" id="{EB8AC974-4268-4974-A042-6C58921B188B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3655" name="Minus 382">
          <a:extLst>
            <a:ext uri="{FF2B5EF4-FFF2-40B4-BE49-F238E27FC236}">
              <a16:creationId xmlns:a16="http://schemas.microsoft.com/office/drawing/2014/main" id="{D8FDB6FB-80D6-4F9D-8D1B-3956924C37BD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3656" name="Minus 382">
          <a:extLst>
            <a:ext uri="{FF2B5EF4-FFF2-40B4-BE49-F238E27FC236}">
              <a16:creationId xmlns:a16="http://schemas.microsoft.com/office/drawing/2014/main" id="{7E9A7DA7-B83E-4851-83C8-80938DB43487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3657" name="Minus 382">
          <a:extLst>
            <a:ext uri="{FF2B5EF4-FFF2-40B4-BE49-F238E27FC236}">
              <a16:creationId xmlns:a16="http://schemas.microsoft.com/office/drawing/2014/main" id="{79A43AFA-D0AE-416A-B932-D0328F907DB1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3658" name="Minus 382">
          <a:extLst>
            <a:ext uri="{FF2B5EF4-FFF2-40B4-BE49-F238E27FC236}">
              <a16:creationId xmlns:a16="http://schemas.microsoft.com/office/drawing/2014/main" id="{C056D5A5-D6E9-4092-B8B7-321CDA0DF3B6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3659" name="Minus 382">
          <a:extLst>
            <a:ext uri="{FF2B5EF4-FFF2-40B4-BE49-F238E27FC236}">
              <a16:creationId xmlns:a16="http://schemas.microsoft.com/office/drawing/2014/main" id="{AF2B4BB8-255D-4A10-9E89-910EBD193E38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3660" name="Minus 382">
          <a:extLst>
            <a:ext uri="{FF2B5EF4-FFF2-40B4-BE49-F238E27FC236}">
              <a16:creationId xmlns:a16="http://schemas.microsoft.com/office/drawing/2014/main" id="{0ADBE426-A64C-4B03-A6C3-41686B3BAC84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3661" name="Minus 382">
          <a:extLst>
            <a:ext uri="{FF2B5EF4-FFF2-40B4-BE49-F238E27FC236}">
              <a16:creationId xmlns:a16="http://schemas.microsoft.com/office/drawing/2014/main" id="{EFDE5301-AD17-4F8B-945F-0ED51319D5D6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3662" name="Minus 382">
          <a:extLst>
            <a:ext uri="{FF2B5EF4-FFF2-40B4-BE49-F238E27FC236}">
              <a16:creationId xmlns:a16="http://schemas.microsoft.com/office/drawing/2014/main" id="{D8E141A1-5102-4E38-A58D-FAB957CA3CEB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3663" name="Minus 382">
          <a:extLst>
            <a:ext uri="{FF2B5EF4-FFF2-40B4-BE49-F238E27FC236}">
              <a16:creationId xmlns:a16="http://schemas.microsoft.com/office/drawing/2014/main" id="{28A2BB5B-A927-4F4C-9C19-89FCC7E55593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3664" name="Minus 382">
          <a:extLst>
            <a:ext uri="{FF2B5EF4-FFF2-40B4-BE49-F238E27FC236}">
              <a16:creationId xmlns:a16="http://schemas.microsoft.com/office/drawing/2014/main" id="{FC23FEA0-E86F-4271-AC5E-2791096D5D92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3665" name="Minus 382">
          <a:extLst>
            <a:ext uri="{FF2B5EF4-FFF2-40B4-BE49-F238E27FC236}">
              <a16:creationId xmlns:a16="http://schemas.microsoft.com/office/drawing/2014/main" id="{4CFEF26B-0541-4468-9CB8-F63DADC6F34A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3666" name="Minus 382">
          <a:extLst>
            <a:ext uri="{FF2B5EF4-FFF2-40B4-BE49-F238E27FC236}">
              <a16:creationId xmlns:a16="http://schemas.microsoft.com/office/drawing/2014/main" id="{67453B25-A232-4E71-B94F-D8CC4FE50300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3667" name="Minus 382">
          <a:extLst>
            <a:ext uri="{FF2B5EF4-FFF2-40B4-BE49-F238E27FC236}">
              <a16:creationId xmlns:a16="http://schemas.microsoft.com/office/drawing/2014/main" id="{13902587-D756-42AA-B3D7-9752917DDDA0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3668" name="Minus 382">
          <a:extLst>
            <a:ext uri="{FF2B5EF4-FFF2-40B4-BE49-F238E27FC236}">
              <a16:creationId xmlns:a16="http://schemas.microsoft.com/office/drawing/2014/main" id="{27868628-A1D5-459B-912E-4E7D2E81A524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3669" name="Minus 382">
          <a:extLst>
            <a:ext uri="{FF2B5EF4-FFF2-40B4-BE49-F238E27FC236}">
              <a16:creationId xmlns:a16="http://schemas.microsoft.com/office/drawing/2014/main" id="{02EB1967-8413-46D3-A619-8215C3198B7E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3670" name="Minus 382">
          <a:extLst>
            <a:ext uri="{FF2B5EF4-FFF2-40B4-BE49-F238E27FC236}">
              <a16:creationId xmlns:a16="http://schemas.microsoft.com/office/drawing/2014/main" id="{546DBB58-75EC-4FAC-A6E6-CCAAE2FF5EDE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3671" name="Minus 382">
          <a:extLst>
            <a:ext uri="{FF2B5EF4-FFF2-40B4-BE49-F238E27FC236}">
              <a16:creationId xmlns:a16="http://schemas.microsoft.com/office/drawing/2014/main" id="{A7A180BB-FBF2-49E1-94A1-E3E9484CA5D5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3672" name="Minus 382">
          <a:extLst>
            <a:ext uri="{FF2B5EF4-FFF2-40B4-BE49-F238E27FC236}">
              <a16:creationId xmlns:a16="http://schemas.microsoft.com/office/drawing/2014/main" id="{6CA6D4B0-2588-4692-ABB1-214EF26FB97B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3673" name="Minus 382">
          <a:extLst>
            <a:ext uri="{FF2B5EF4-FFF2-40B4-BE49-F238E27FC236}">
              <a16:creationId xmlns:a16="http://schemas.microsoft.com/office/drawing/2014/main" id="{D837F5C2-9AB7-429B-8881-3EA8E15A4130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3674" name="Minus 382">
          <a:extLst>
            <a:ext uri="{FF2B5EF4-FFF2-40B4-BE49-F238E27FC236}">
              <a16:creationId xmlns:a16="http://schemas.microsoft.com/office/drawing/2014/main" id="{5C0F29C1-9ED9-43D5-BC48-7476D40D1215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3675" name="Minus 382">
          <a:extLst>
            <a:ext uri="{FF2B5EF4-FFF2-40B4-BE49-F238E27FC236}">
              <a16:creationId xmlns:a16="http://schemas.microsoft.com/office/drawing/2014/main" id="{9082E636-3D48-4FBC-8708-088C7A58D0A4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3676" name="Minus 382">
          <a:extLst>
            <a:ext uri="{FF2B5EF4-FFF2-40B4-BE49-F238E27FC236}">
              <a16:creationId xmlns:a16="http://schemas.microsoft.com/office/drawing/2014/main" id="{0A30107B-347E-443F-9C22-2612CB33D0F8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3677" name="Minus 382">
          <a:extLst>
            <a:ext uri="{FF2B5EF4-FFF2-40B4-BE49-F238E27FC236}">
              <a16:creationId xmlns:a16="http://schemas.microsoft.com/office/drawing/2014/main" id="{E6B251D8-E85F-4D1F-8E1E-7C1BE9B4B5D1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3678" name="Minus 382">
          <a:extLst>
            <a:ext uri="{FF2B5EF4-FFF2-40B4-BE49-F238E27FC236}">
              <a16:creationId xmlns:a16="http://schemas.microsoft.com/office/drawing/2014/main" id="{D7E5DBD3-3396-4D01-A357-03DEE5EA00C1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3679" name="Minus 382">
          <a:extLst>
            <a:ext uri="{FF2B5EF4-FFF2-40B4-BE49-F238E27FC236}">
              <a16:creationId xmlns:a16="http://schemas.microsoft.com/office/drawing/2014/main" id="{4A8781B5-B02B-4242-B023-5B77E43BF934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3680" name="Minus 382">
          <a:extLst>
            <a:ext uri="{FF2B5EF4-FFF2-40B4-BE49-F238E27FC236}">
              <a16:creationId xmlns:a16="http://schemas.microsoft.com/office/drawing/2014/main" id="{70B55EE9-6880-40D8-BCCE-7F4C02133A6F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3681" name="Minus 382">
          <a:extLst>
            <a:ext uri="{FF2B5EF4-FFF2-40B4-BE49-F238E27FC236}">
              <a16:creationId xmlns:a16="http://schemas.microsoft.com/office/drawing/2014/main" id="{B6E3A84E-1155-4FE2-9F31-44BDC779ADED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3682" name="Minus 382">
          <a:extLst>
            <a:ext uri="{FF2B5EF4-FFF2-40B4-BE49-F238E27FC236}">
              <a16:creationId xmlns:a16="http://schemas.microsoft.com/office/drawing/2014/main" id="{96124CFC-489A-4C8B-B75B-DE7FDC2B2761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3683" name="Minus 382">
          <a:extLst>
            <a:ext uri="{FF2B5EF4-FFF2-40B4-BE49-F238E27FC236}">
              <a16:creationId xmlns:a16="http://schemas.microsoft.com/office/drawing/2014/main" id="{796CB129-FB00-4654-A7C8-E4C31BE82E2C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3684" name="Minus 382">
          <a:extLst>
            <a:ext uri="{FF2B5EF4-FFF2-40B4-BE49-F238E27FC236}">
              <a16:creationId xmlns:a16="http://schemas.microsoft.com/office/drawing/2014/main" id="{88BF88F9-FC32-4C76-BB4A-4C092E81E056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3685" name="Minus 382">
          <a:extLst>
            <a:ext uri="{FF2B5EF4-FFF2-40B4-BE49-F238E27FC236}">
              <a16:creationId xmlns:a16="http://schemas.microsoft.com/office/drawing/2014/main" id="{F0A5E306-FD00-450E-A9B2-CDE08D0B44FF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3686" name="Minus 382">
          <a:extLst>
            <a:ext uri="{FF2B5EF4-FFF2-40B4-BE49-F238E27FC236}">
              <a16:creationId xmlns:a16="http://schemas.microsoft.com/office/drawing/2014/main" id="{9F27778F-4505-49E0-A7C6-C6A99563298D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3687" name="Minus 382">
          <a:extLst>
            <a:ext uri="{FF2B5EF4-FFF2-40B4-BE49-F238E27FC236}">
              <a16:creationId xmlns:a16="http://schemas.microsoft.com/office/drawing/2014/main" id="{94028662-77EE-4258-87CF-7553DB97ACBE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3688" name="Minus 382">
          <a:extLst>
            <a:ext uri="{FF2B5EF4-FFF2-40B4-BE49-F238E27FC236}">
              <a16:creationId xmlns:a16="http://schemas.microsoft.com/office/drawing/2014/main" id="{87FEE1BA-0921-46B4-8EAD-185B6EE874A1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3689" name="Minus 382">
          <a:extLst>
            <a:ext uri="{FF2B5EF4-FFF2-40B4-BE49-F238E27FC236}">
              <a16:creationId xmlns:a16="http://schemas.microsoft.com/office/drawing/2014/main" id="{6B9A5AF3-30CB-4143-913D-1AC4717734CE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3690" name="Minus 382">
          <a:extLst>
            <a:ext uri="{FF2B5EF4-FFF2-40B4-BE49-F238E27FC236}">
              <a16:creationId xmlns:a16="http://schemas.microsoft.com/office/drawing/2014/main" id="{7B9BCF60-07A3-42A8-80B1-78DDC61D9124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3691" name="Minus 382">
          <a:extLst>
            <a:ext uri="{FF2B5EF4-FFF2-40B4-BE49-F238E27FC236}">
              <a16:creationId xmlns:a16="http://schemas.microsoft.com/office/drawing/2014/main" id="{294C7EF0-A911-441A-9042-7A7757C866FB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3692" name="Minus 382">
          <a:extLst>
            <a:ext uri="{FF2B5EF4-FFF2-40B4-BE49-F238E27FC236}">
              <a16:creationId xmlns:a16="http://schemas.microsoft.com/office/drawing/2014/main" id="{9E38BDF6-BDC6-4864-B39C-3545286284B4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3693" name="Minus 382">
          <a:extLst>
            <a:ext uri="{FF2B5EF4-FFF2-40B4-BE49-F238E27FC236}">
              <a16:creationId xmlns:a16="http://schemas.microsoft.com/office/drawing/2014/main" id="{994917E9-A8CC-489D-A7DE-90DDA3364510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3694" name="Minus 382">
          <a:extLst>
            <a:ext uri="{FF2B5EF4-FFF2-40B4-BE49-F238E27FC236}">
              <a16:creationId xmlns:a16="http://schemas.microsoft.com/office/drawing/2014/main" id="{DECD569F-A516-4823-8693-608E4D1F3C5E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3695" name="Minus 382">
          <a:extLst>
            <a:ext uri="{FF2B5EF4-FFF2-40B4-BE49-F238E27FC236}">
              <a16:creationId xmlns:a16="http://schemas.microsoft.com/office/drawing/2014/main" id="{007453D2-480D-426E-80A5-28A42AD19858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3696" name="Minus 382">
          <a:extLst>
            <a:ext uri="{FF2B5EF4-FFF2-40B4-BE49-F238E27FC236}">
              <a16:creationId xmlns:a16="http://schemas.microsoft.com/office/drawing/2014/main" id="{FF31AC18-B65F-4FA8-B314-D34189E52A11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3697" name="Minus 382">
          <a:extLst>
            <a:ext uri="{FF2B5EF4-FFF2-40B4-BE49-F238E27FC236}">
              <a16:creationId xmlns:a16="http://schemas.microsoft.com/office/drawing/2014/main" id="{4EA69E74-3E2C-43F5-8BC5-44241443CD52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3698" name="Minus 382">
          <a:extLst>
            <a:ext uri="{FF2B5EF4-FFF2-40B4-BE49-F238E27FC236}">
              <a16:creationId xmlns:a16="http://schemas.microsoft.com/office/drawing/2014/main" id="{03100176-659D-43EA-A47C-366A053D4ACF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3699" name="Minus 382">
          <a:extLst>
            <a:ext uri="{FF2B5EF4-FFF2-40B4-BE49-F238E27FC236}">
              <a16:creationId xmlns:a16="http://schemas.microsoft.com/office/drawing/2014/main" id="{38EEA5F4-DF89-490D-94BC-BC790F60BE0E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3700" name="Minus 382">
          <a:extLst>
            <a:ext uri="{FF2B5EF4-FFF2-40B4-BE49-F238E27FC236}">
              <a16:creationId xmlns:a16="http://schemas.microsoft.com/office/drawing/2014/main" id="{F8B0522D-31D1-4434-BD9F-FE35C27790AB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3701" name="Minus 382">
          <a:extLst>
            <a:ext uri="{FF2B5EF4-FFF2-40B4-BE49-F238E27FC236}">
              <a16:creationId xmlns:a16="http://schemas.microsoft.com/office/drawing/2014/main" id="{33C74E5C-1691-4E00-A7FE-B5190FB40A93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3702" name="Minus 382">
          <a:extLst>
            <a:ext uri="{FF2B5EF4-FFF2-40B4-BE49-F238E27FC236}">
              <a16:creationId xmlns:a16="http://schemas.microsoft.com/office/drawing/2014/main" id="{ADF018C8-C8AC-4F7E-977E-0B3641ED2CD2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3703" name="Minus 382">
          <a:extLst>
            <a:ext uri="{FF2B5EF4-FFF2-40B4-BE49-F238E27FC236}">
              <a16:creationId xmlns:a16="http://schemas.microsoft.com/office/drawing/2014/main" id="{F8F0A5B5-734C-4748-ACF6-40B574A12353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3704" name="Minus 382">
          <a:extLst>
            <a:ext uri="{FF2B5EF4-FFF2-40B4-BE49-F238E27FC236}">
              <a16:creationId xmlns:a16="http://schemas.microsoft.com/office/drawing/2014/main" id="{4A01EA5A-FB86-429E-97E5-3231040BD3E0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3705" name="Minus 382">
          <a:extLst>
            <a:ext uri="{FF2B5EF4-FFF2-40B4-BE49-F238E27FC236}">
              <a16:creationId xmlns:a16="http://schemas.microsoft.com/office/drawing/2014/main" id="{4B04E404-19CE-4439-B59E-26E8AC1E17E1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3706" name="Minus 382">
          <a:extLst>
            <a:ext uri="{FF2B5EF4-FFF2-40B4-BE49-F238E27FC236}">
              <a16:creationId xmlns:a16="http://schemas.microsoft.com/office/drawing/2014/main" id="{BC57BA5C-36E0-41D0-B3CB-C93198442541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3707" name="Minus 382">
          <a:extLst>
            <a:ext uri="{FF2B5EF4-FFF2-40B4-BE49-F238E27FC236}">
              <a16:creationId xmlns:a16="http://schemas.microsoft.com/office/drawing/2014/main" id="{FA771AEE-C376-4DB7-B64A-9BFBE6F30532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3708" name="Minus 382">
          <a:extLst>
            <a:ext uri="{FF2B5EF4-FFF2-40B4-BE49-F238E27FC236}">
              <a16:creationId xmlns:a16="http://schemas.microsoft.com/office/drawing/2014/main" id="{6D4C34DF-8A64-4125-B9F4-B9B241CD9EAF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3709" name="Minus 382">
          <a:extLst>
            <a:ext uri="{FF2B5EF4-FFF2-40B4-BE49-F238E27FC236}">
              <a16:creationId xmlns:a16="http://schemas.microsoft.com/office/drawing/2014/main" id="{99AB2E34-C457-42ED-8C52-52993B9748A1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3710" name="Minus 382">
          <a:extLst>
            <a:ext uri="{FF2B5EF4-FFF2-40B4-BE49-F238E27FC236}">
              <a16:creationId xmlns:a16="http://schemas.microsoft.com/office/drawing/2014/main" id="{22E92576-D770-4A3E-8835-62DC393470A6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3711" name="Minus 382">
          <a:extLst>
            <a:ext uri="{FF2B5EF4-FFF2-40B4-BE49-F238E27FC236}">
              <a16:creationId xmlns:a16="http://schemas.microsoft.com/office/drawing/2014/main" id="{F0C6636C-0854-4527-A1F2-87DFA1FC1CF1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3712" name="Minus 382">
          <a:extLst>
            <a:ext uri="{FF2B5EF4-FFF2-40B4-BE49-F238E27FC236}">
              <a16:creationId xmlns:a16="http://schemas.microsoft.com/office/drawing/2014/main" id="{4FD06734-567F-4E86-952A-234E31B7F2C5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3713" name="Minus 382">
          <a:extLst>
            <a:ext uri="{FF2B5EF4-FFF2-40B4-BE49-F238E27FC236}">
              <a16:creationId xmlns:a16="http://schemas.microsoft.com/office/drawing/2014/main" id="{91F073BE-3074-4D9B-8A4D-4246EB65D9EA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3714" name="Minus 382">
          <a:extLst>
            <a:ext uri="{FF2B5EF4-FFF2-40B4-BE49-F238E27FC236}">
              <a16:creationId xmlns:a16="http://schemas.microsoft.com/office/drawing/2014/main" id="{B60A8EAF-7C05-4467-93D3-1F9979648300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3715" name="Minus 382">
          <a:extLst>
            <a:ext uri="{FF2B5EF4-FFF2-40B4-BE49-F238E27FC236}">
              <a16:creationId xmlns:a16="http://schemas.microsoft.com/office/drawing/2014/main" id="{514768C3-0AF2-4CF4-BA7D-6F002998D1AB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3716" name="Minus 382">
          <a:extLst>
            <a:ext uri="{FF2B5EF4-FFF2-40B4-BE49-F238E27FC236}">
              <a16:creationId xmlns:a16="http://schemas.microsoft.com/office/drawing/2014/main" id="{BE1B1080-21E0-436F-A146-F0427F31E7B7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3717" name="Minus 382">
          <a:extLst>
            <a:ext uri="{FF2B5EF4-FFF2-40B4-BE49-F238E27FC236}">
              <a16:creationId xmlns:a16="http://schemas.microsoft.com/office/drawing/2014/main" id="{7190EAF5-DACF-414A-A40D-831EB5BC9B56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3718" name="Minus 382">
          <a:extLst>
            <a:ext uri="{FF2B5EF4-FFF2-40B4-BE49-F238E27FC236}">
              <a16:creationId xmlns:a16="http://schemas.microsoft.com/office/drawing/2014/main" id="{2565C5BF-DB74-4781-8C40-D763FAAE6000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3719" name="Minus 382">
          <a:extLst>
            <a:ext uri="{FF2B5EF4-FFF2-40B4-BE49-F238E27FC236}">
              <a16:creationId xmlns:a16="http://schemas.microsoft.com/office/drawing/2014/main" id="{F41166FC-E3C4-421C-9D76-20CA23B76420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3720" name="Minus 382">
          <a:extLst>
            <a:ext uri="{FF2B5EF4-FFF2-40B4-BE49-F238E27FC236}">
              <a16:creationId xmlns:a16="http://schemas.microsoft.com/office/drawing/2014/main" id="{D6B4AD9B-6B52-4D73-947D-FD057C204F1A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3721" name="Minus 382">
          <a:extLst>
            <a:ext uri="{FF2B5EF4-FFF2-40B4-BE49-F238E27FC236}">
              <a16:creationId xmlns:a16="http://schemas.microsoft.com/office/drawing/2014/main" id="{0118A35F-1D1E-4A69-83FD-318ED033302C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3722" name="Minus 382">
          <a:extLst>
            <a:ext uri="{FF2B5EF4-FFF2-40B4-BE49-F238E27FC236}">
              <a16:creationId xmlns:a16="http://schemas.microsoft.com/office/drawing/2014/main" id="{498EE6FD-4F9D-4080-9245-2ACEED911097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3723" name="Minus 382">
          <a:extLst>
            <a:ext uri="{FF2B5EF4-FFF2-40B4-BE49-F238E27FC236}">
              <a16:creationId xmlns:a16="http://schemas.microsoft.com/office/drawing/2014/main" id="{BA7F6D27-0B8E-4CD1-B9D4-FDAC6272445C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3724" name="Minus 382">
          <a:extLst>
            <a:ext uri="{FF2B5EF4-FFF2-40B4-BE49-F238E27FC236}">
              <a16:creationId xmlns:a16="http://schemas.microsoft.com/office/drawing/2014/main" id="{16DF087E-9E2A-40DE-B5C3-A1926C4820D2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3725" name="Minus 382">
          <a:extLst>
            <a:ext uri="{FF2B5EF4-FFF2-40B4-BE49-F238E27FC236}">
              <a16:creationId xmlns:a16="http://schemas.microsoft.com/office/drawing/2014/main" id="{E08B7319-6E54-4A32-A5A4-2B85D2FA4BE6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3726" name="Minus 382">
          <a:extLst>
            <a:ext uri="{FF2B5EF4-FFF2-40B4-BE49-F238E27FC236}">
              <a16:creationId xmlns:a16="http://schemas.microsoft.com/office/drawing/2014/main" id="{8FFF4ADB-E3EB-49DA-8289-2E60F0D873EF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3727" name="Minus 382">
          <a:extLst>
            <a:ext uri="{FF2B5EF4-FFF2-40B4-BE49-F238E27FC236}">
              <a16:creationId xmlns:a16="http://schemas.microsoft.com/office/drawing/2014/main" id="{E4E6F3B0-6FB0-4709-BA24-D41808284825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3728" name="Minus 382">
          <a:extLst>
            <a:ext uri="{FF2B5EF4-FFF2-40B4-BE49-F238E27FC236}">
              <a16:creationId xmlns:a16="http://schemas.microsoft.com/office/drawing/2014/main" id="{D2E1C7AA-871E-4F07-B97F-8061EE398232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3729" name="Minus 382">
          <a:extLst>
            <a:ext uri="{FF2B5EF4-FFF2-40B4-BE49-F238E27FC236}">
              <a16:creationId xmlns:a16="http://schemas.microsoft.com/office/drawing/2014/main" id="{DF8CFB66-6531-4652-9B2F-EAE7DF5C984D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3730" name="Minus 382">
          <a:extLst>
            <a:ext uri="{FF2B5EF4-FFF2-40B4-BE49-F238E27FC236}">
              <a16:creationId xmlns:a16="http://schemas.microsoft.com/office/drawing/2014/main" id="{A1868762-ED62-4E60-B28B-E38EB8037306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3731" name="Minus 382">
          <a:extLst>
            <a:ext uri="{FF2B5EF4-FFF2-40B4-BE49-F238E27FC236}">
              <a16:creationId xmlns:a16="http://schemas.microsoft.com/office/drawing/2014/main" id="{B1782681-9502-4D2F-B9CA-6FCB45AE4FCF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3732" name="Minus 382">
          <a:extLst>
            <a:ext uri="{FF2B5EF4-FFF2-40B4-BE49-F238E27FC236}">
              <a16:creationId xmlns:a16="http://schemas.microsoft.com/office/drawing/2014/main" id="{193FAD11-3101-4BDD-82BC-6B534538E20C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3733" name="Minus 382">
          <a:extLst>
            <a:ext uri="{FF2B5EF4-FFF2-40B4-BE49-F238E27FC236}">
              <a16:creationId xmlns:a16="http://schemas.microsoft.com/office/drawing/2014/main" id="{E6774D94-D5D3-424E-894A-4395F55DE5CF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3734" name="Minus 382">
          <a:extLst>
            <a:ext uri="{FF2B5EF4-FFF2-40B4-BE49-F238E27FC236}">
              <a16:creationId xmlns:a16="http://schemas.microsoft.com/office/drawing/2014/main" id="{C07CF806-70EB-4018-85BC-69BF602A3749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3735" name="Minus 382">
          <a:extLst>
            <a:ext uri="{FF2B5EF4-FFF2-40B4-BE49-F238E27FC236}">
              <a16:creationId xmlns:a16="http://schemas.microsoft.com/office/drawing/2014/main" id="{A88D1A9F-816C-451A-8788-3ED5B29CC28B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3736" name="Minus 382">
          <a:extLst>
            <a:ext uri="{FF2B5EF4-FFF2-40B4-BE49-F238E27FC236}">
              <a16:creationId xmlns:a16="http://schemas.microsoft.com/office/drawing/2014/main" id="{D22A4B96-05B1-470F-8D24-234C8A6EED5F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3737" name="Minus 382">
          <a:extLst>
            <a:ext uri="{FF2B5EF4-FFF2-40B4-BE49-F238E27FC236}">
              <a16:creationId xmlns:a16="http://schemas.microsoft.com/office/drawing/2014/main" id="{D2C6ECB7-97FB-4604-B250-64B4D8502304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3738" name="Minus 382">
          <a:extLst>
            <a:ext uri="{FF2B5EF4-FFF2-40B4-BE49-F238E27FC236}">
              <a16:creationId xmlns:a16="http://schemas.microsoft.com/office/drawing/2014/main" id="{FA3720AE-6B9E-455F-BE80-4FF06608332D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3739" name="Minus 382">
          <a:extLst>
            <a:ext uri="{FF2B5EF4-FFF2-40B4-BE49-F238E27FC236}">
              <a16:creationId xmlns:a16="http://schemas.microsoft.com/office/drawing/2014/main" id="{0BA01A38-53F7-4854-9243-D308F603AE4E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3740" name="Minus 382">
          <a:extLst>
            <a:ext uri="{FF2B5EF4-FFF2-40B4-BE49-F238E27FC236}">
              <a16:creationId xmlns:a16="http://schemas.microsoft.com/office/drawing/2014/main" id="{68EAE887-4A76-42DB-B40F-F90107AC1FAD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3741" name="Minus 382">
          <a:extLst>
            <a:ext uri="{FF2B5EF4-FFF2-40B4-BE49-F238E27FC236}">
              <a16:creationId xmlns:a16="http://schemas.microsoft.com/office/drawing/2014/main" id="{DAD6D292-2A43-4CAD-B80E-3A654161D8EA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3742" name="Minus 382">
          <a:extLst>
            <a:ext uri="{FF2B5EF4-FFF2-40B4-BE49-F238E27FC236}">
              <a16:creationId xmlns:a16="http://schemas.microsoft.com/office/drawing/2014/main" id="{25D78D4B-681B-4DEC-A4FD-F5A6FDD3FAF7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3743" name="Minus 382">
          <a:extLst>
            <a:ext uri="{FF2B5EF4-FFF2-40B4-BE49-F238E27FC236}">
              <a16:creationId xmlns:a16="http://schemas.microsoft.com/office/drawing/2014/main" id="{EDB237A4-390E-436B-997D-1EDD99CDB000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3744" name="Minus 382">
          <a:extLst>
            <a:ext uri="{FF2B5EF4-FFF2-40B4-BE49-F238E27FC236}">
              <a16:creationId xmlns:a16="http://schemas.microsoft.com/office/drawing/2014/main" id="{C5EE19A6-C6D9-49E4-8CD3-E642BC8348B3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3745" name="Minus 382">
          <a:extLst>
            <a:ext uri="{FF2B5EF4-FFF2-40B4-BE49-F238E27FC236}">
              <a16:creationId xmlns:a16="http://schemas.microsoft.com/office/drawing/2014/main" id="{6142A3CB-6A4B-4372-A9E0-901A448F27C4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3746" name="Minus 382">
          <a:extLst>
            <a:ext uri="{FF2B5EF4-FFF2-40B4-BE49-F238E27FC236}">
              <a16:creationId xmlns:a16="http://schemas.microsoft.com/office/drawing/2014/main" id="{F3205413-36BD-45C2-94F0-9B3803B11F23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3747" name="Minus 382">
          <a:extLst>
            <a:ext uri="{FF2B5EF4-FFF2-40B4-BE49-F238E27FC236}">
              <a16:creationId xmlns:a16="http://schemas.microsoft.com/office/drawing/2014/main" id="{1A2C976F-E435-4641-A5BA-9688C23E1CD3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3748" name="Minus 382">
          <a:extLst>
            <a:ext uri="{FF2B5EF4-FFF2-40B4-BE49-F238E27FC236}">
              <a16:creationId xmlns:a16="http://schemas.microsoft.com/office/drawing/2014/main" id="{412E96F7-C291-4037-A047-96E47A85B424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3749" name="Minus 382">
          <a:extLst>
            <a:ext uri="{FF2B5EF4-FFF2-40B4-BE49-F238E27FC236}">
              <a16:creationId xmlns:a16="http://schemas.microsoft.com/office/drawing/2014/main" id="{AE1C793E-7E0B-425A-B586-8E2824BEDCAD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3750" name="Minus 382">
          <a:extLst>
            <a:ext uri="{FF2B5EF4-FFF2-40B4-BE49-F238E27FC236}">
              <a16:creationId xmlns:a16="http://schemas.microsoft.com/office/drawing/2014/main" id="{E9BE72E8-07F7-45F5-815C-454F514348E5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3751" name="Minus 382">
          <a:extLst>
            <a:ext uri="{FF2B5EF4-FFF2-40B4-BE49-F238E27FC236}">
              <a16:creationId xmlns:a16="http://schemas.microsoft.com/office/drawing/2014/main" id="{36E602EE-25E9-41DD-ACFB-EBF9E37402AC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3752" name="Minus 382">
          <a:extLst>
            <a:ext uri="{FF2B5EF4-FFF2-40B4-BE49-F238E27FC236}">
              <a16:creationId xmlns:a16="http://schemas.microsoft.com/office/drawing/2014/main" id="{8ED0E2E5-61AE-4AF5-841C-46C0F0581705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3753" name="Minus 382">
          <a:extLst>
            <a:ext uri="{FF2B5EF4-FFF2-40B4-BE49-F238E27FC236}">
              <a16:creationId xmlns:a16="http://schemas.microsoft.com/office/drawing/2014/main" id="{6D1E0D9B-971F-4086-8E12-75ACB0FEC235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3754" name="Minus 382">
          <a:extLst>
            <a:ext uri="{FF2B5EF4-FFF2-40B4-BE49-F238E27FC236}">
              <a16:creationId xmlns:a16="http://schemas.microsoft.com/office/drawing/2014/main" id="{9E370CF5-DF2F-4120-B0F3-F9899E284911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3755" name="Minus 382">
          <a:extLst>
            <a:ext uri="{FF2B5EF4-FFF2-40B4-BE49-F238E27FC236}">
              <a16:creationId xmlns:a16="http://schemas.microsoft.com/office/drawing/2014/main" id="{FAA7692B-C676-4E33-B819-AB1DF35D3BA6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3756" name="Minus 382">
          <a:extLst>
            <a:ext uri="{FF2B5EF4-FFF2-40B4-BE49-F238E27FC236}">
              <a16:creationId xmlns:a16="http://schemas.microsoft.com/office/drawing/2014/main" id="{8F0A78B1-5B09-4A9B-A4C0-F999D0245FC1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3757" name="Minus 382">
          <a:extLst>
            <a:ext uri="{FF2B5EF4-FFF2-40B4-BE49-F238E27FC236}">
              <a16:creationId xmlns:a16="http://schemas.microsoft.com/office/drawing/2014/main" id="{832F6AE7-DC8D-483D-A1DA-2B6460C78491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3758" name="Minus 382">
          <a:extLst>
            <a:ext uri="{FF2B5EF4-FFF2-40B4-BE49-F238E27FC236}">
              <a16:creationId xmlns:a16="http://schemas.microsoft.com/office/drawing/2014/main" id="{3F1C1457-EEA5-4140-9CD9-BD1663A6BE67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3759" name="Minus 382">
          <a:extLst>
            <a:ext uri="{FF2B5EF4-FFF2-40B4-BE49-F238E27FC236}">
              <a16:creationId xmlns:a16="http://schemas.microsoft.com/office/drawing/2014/main" id="{F40EB43D-7E08-42CD-BF1B-9CE85E8DE40B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3760" name="Minus 382">
          <a:extLst>
            <a:ext uri="{FF2B5EF4-FFF2-40B4-BE49-F238E27FC236}">
              <a16:creationId xmlns:a16="http://schemas.microsoft.com/office/drawing/2014/main" id="{7DAC90A7-D8B9-4B86-84A6-3E04DA64EE3C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3761" name="Minus 382">
          <a:extLst>
            <a:ext uri="{FF2B5EF4-FFF2-40B4-BE49-F238E27FC236}">
              <a16:creationId xmlns:a16="http://schemas.microsoft.com/office/drawing/2014/main" id="{BBECA680-628F-48C2-B616-827E123C0E49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3762" name="Minus 382">
          <a:extLst>
            <a:ext uri="{FF2B5EF4-FFF2-40B4-BE49-F238E27FC236}">
              <a16:creationId xmlns:a16="http://schemas.microsoft.com/office/drawing/2014/main" id="{EC18342D-223A-4EDB-8E12-28F93D8FEB48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3763" name="Minus 382">
          <a:extLst>
            <a:ext uri="{FF2B5EF4-FFF2-40B4-BE49-F238E27FC236}">
              <a16:creationId xmlns:a16="http://schemas.microsoft.com/office/drawing/2014/main" id="{1D181ECF-9406-4E5A-B950-C2F42DCBDF94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3764" name="Minus 382">
          <a:extLst>
            <a:ext uri="{FF2B5EF4-FFF2-40B4-BE49-F238E27FC236}">
              <a16:creationId xmlns:a16="http://schemas.microsoft.com/office/drawing/2014/main" id="{34994DB3-5414-47DC-B2DD-97241C577094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3765" name="Minus 382">
          <a:extLst>
            <a:ext uri="{FF2B5EF4-FFF2-40B4-BE49-F238E27FC236}">
              <a16:creationId xmlns:a16="http://schemas.microsoft.com/office/drawing/2014/main" id="{45A85628-4C60-41B0-9967-545D607A3BA1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3766" name="Minus 382">
          <a:extLst>
            <a:ext uri="{FF2B5EF4-FFF2-40B4-BE49-F238E27FC236}">
              <a16:creationId xmlns:a16="http://schemas.microsoft.com/office/drawing/2014/main" id="{23A75CBA-7E7F-4DC0-ACAD-223A4D70D480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3767" name="Minus 382">
          <a:extLst>
            <a:ext uri="{FF2B5EF4-FFF2-40B4-BE49-F238E27FC236}">
              <a16:creationId xmlns:a16="http://schemas.microsoft.com/office/drawing/2014/main" id="{EC2567B5-76CE-4FB9-A74B-C7C32A426C97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3768" name="Minus 382">
          <a:extLst>
            <a:ext uri="{FF2B5EF4-FFF2-40B4-BE49-F238E27FC236}">
              <a16:creationId xmlns:a16="http://schemas.microsoft.com/office/drawing/2014/main" id="{9A6FAE0B-0333-4690-A0CC-CC69DB539D17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3769" name="Minus 382">
          <a:extLst>
            <a:ext uri="{FF2B5EF4-FFF2-40B4-BE49-F238E27FC236}">
              <a16:creationId xmlns:a16="http://schemas.microsoft.com/office/drawing/2014/main" id="{ED7DD4B1-DDF4-406D-B47C-E44D9DCD99B2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3770" name="Minus 382">
          <a:extLst>
            <a:ext uri="{FF2B5EF4-FFF2-40B4-BE49-F238E27FC236}">
              <a16:creationId xmlns:a16="http://schemas.microsoft.com/office/drawing/2014/main" id="{012FCD01-3C88-450D-B7EA-0FBEBD1A55F9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3771" name="Minus 382">
          <a:extLst>
            <a:ext uri="{FF2B5EF4-FFF2-40B4-BE49-F238E27FC236}">
              <a16:creationId xmlns:a16="http://schemas.microsoft.com/office/drawing/2014/main" id="{1240A9C0-559C-4BE0-904A-25D90F2334AD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3772" name="Minus 382">
          <a:extLst>
            <a:ext uri="{FF2B5EF4-FFF2-40B4-BE49-F238E27FC236}">
              <a16:creationId xmlns:a16="http://schemas.microsoft.com/office/drawing/2014/main" id="{7ACB5A79-1EE5-4A8E-BC8B-E11277DBCD8C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3773" name="Minus 382">
          <a:extLst>
            <a:ext uri="{FF2B5EF4-FFF2-40B4-BE49-F238E27FC236}">
              <a16:creationId xmlns:a16="http://schemas.microsoft.com/office/drawing/2014/main" id="{33AACE29-DF2D-451E-9892-E99D07295CFA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3774" name="Minus 382">
          <a:extLst>
            <a:ext uri="{FF2B5EF4-FFF2-40B4-BE49-F238E27FC236}">
              <a16:creationId xmlns:a16="http://schemas.microsoft.com/office/drawing/2014/main" id="{DC9D1384-BC63-4AE0-AFEA-3D95E21EE3F7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3775" name="Minus 382">
          <a:extLst>
            <a:ext uri="{FF2B5EF4-FFF2-40B4-BE49-F238E27FC236}">
              <a16:creationId xmlns:a16="http://schemas.microsoft.com/office/drawing/2014/main" id="{F5C9770F-4AFD-4F8C-924E-58403EA1B25F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3776" name="Minus 382">
          <a:extLst>
            <a:ext uri="{FF2B5EF4-FFF2-40B4-BE49-F238E27FC236}">
              <a16:creationId xmlns:a16="http://schemas.microsoft.com/office/drawing/2014/main" id="{3336E4D9-8A43-449B-B0E3-235AD7D87CF5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3777" name="Minus 382">
          <a:extLst>
            <a:ext uri="{FF2B5EF4-FFF2-40B4-BE49-F238E27FC236}">
              <a16:creationId xmlns:a16="http://schemas.microsoft.com/office/drawing/2014/main" id="{DEE979E3-04E6-4A84-9ABA-E4D820EA4BB5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3778" name="Minus 382">
          <a:extLst>
            <a:ext uri="{FF2B5EF4-FFF2-40B4-BE49-F238E27FC236}">
              <a16:creationId xmlns:a16="http://schemas.microsoft.com/office/drawing/2014/main" id="{8B7BA1CA-6BA0-4C1C-BDFE-7580A9EF4ADC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3779" name="Minus 382">
          <a:extLst>
            <a:ext uri="{FF2B5EF4-FFF2-40B4-BE49-F238E27FC236}">
              <a16:creationId xmlns:a16="http://schemas.microsoft.com/office/drawing/2014/main" id="{85418F25-9279-4E0A-9C47-9F23373BC21A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3780" name="Minus 382">
          <a:extLst>
            <a:ext uri="{FF2B5EF4-FFF2-40B4-BE49-F238E27FC236}">
              <a16:creationId xmlns:a16="http://schemas.microsoft.com/office/drawing/2014/main" id="{31BF0CAE-D845-4AAD-9DC3-AD81E9D4E6FF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3781" name="Minus 382">
          <a:extLst>
            <a:ext uri="{FF2B5EF4-FFF2-40B4-BE49-F238E27FC236}">
              <a16:creationId xmlns:a16="http://schemas.microsoft.com/office/drawing/2014/main" id="{357324F7-8C07-45C6-88AD-939CA4490F1D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3782" name="Minus 382">
          <a:extLst>
            <a:ext uri="{FF2B5EF4-FFF2-40B4-BE49-F238E27FC236}">
              <a16:creationId xmlns:a16="http://schemas.microsoft.com/office/drawing/2014/main" id="{297529EF-F7CA-4A1B-A5D5-DB236249BB84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3783" name="Minus 382">
          <a:extLst>
            <a:ext uri="{FF2B5EF4-FFF2-40B4-BE49-F238E27FC236}">
              <a16:creationId xmlns:a16="http://schemas.microsoft.com/office/drawing/2014/main" id="{C08F90B7-0086-42FF-8A65-A2869F5351B9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3784" name="Minus 382">
          <a:extLst>
            <a:ext uri="{FF2B5EF4-FFF2-40B4-BE49-F238E27FC236}">
              <a16:creationId xmlns:a16="http://schemas.microsoft.com/office/drawing/2014/main" id="{2E72A4DD-CB01-4B2A-B7FD-0EC173BDA25E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3785" name="Minus 382">
          <a:extLst>
            <a:ext uri="{FF2B5EF4-FFF2-40B4-BE49-F238E27FC236}">
              <a16:creationId xmlns:a16="http://schemas.microsoft.com/office/drawing/2014/main" id="{3441B49D-0CF7-41B6-901D-9BC407F186C4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3786" name="Minus 382">
          <a:extLst>
            <a:ext uri="{FF2B5EF4-FFF2-40B4-BE49-F238E27FC236}">
              <a16:creationId xmlns:a16="http://schemas.microsoft.com/office/drawing/2014/main" id="{E8C257FB-DE36-4884-A242-5B40FB891B32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3787" name="Minus 382">
          <a:extLst>
            <a:ext uri="{FF2B5EF4-FFF2-40B4-BE49-F238E27FC236}">
              <a16:creationId xmlns:a16="http://schemas.microsoft.com/office/drawing/2014/main" id="{C905F923-0272-44D5-BF97-70AAFB77CC01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3788" name="Minus 382">
          <a:extLst>
            <a:ext uri="{FF2B5EF4-FFF2-40B4-BE49-F238E27FC236}">
              <a16:creationId xmlns:a16="http://schemas.microsoft.com/office/drawing/2014/main" id="{AE58FA43-AB96-4460-8A97-4FD2A7E171CA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3789" name="Minus 382">
          <a:extLst>
            <a:ext uri="{FF2B5EF4-FFF2-40B4-BE49-F238E27FC236}">
              <a16:creationId xmlns:a16="http://schemas.microsoft.com/office/drawing/2014/main" id="{620B45ED-49F0-4D3B-8454-FE63A11312CC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3790" name="Minus 382">
          <a:extLst>
            <a:ext uri="{FF2B5EF4-FFF2-40B4-BE49-F238E27FC236}">
              <a16:creationId xmlns:a16="http://schemas.microsoft.com/office/drawing/2014/main" id="{F9821DCC-F087-4752-9A58-40B45A9C4BE6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3791" name="Minus 382">
          <a:extLst>
            <a:ext uri="{FF2B5EF4-FFF2-40B4-BE49-F238E27FC236}">
              <a16:creationId xmlns:a16="http://schemas.microsoft.com/office/drawing/2014/main" id="{F5CDE873-7513-4731-AC90-61E00D592FC2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3792" name="Minus 382">
          <a:extLst>
            <a:ext uri="{FF2B5EF4-FFF2-40B4-BE49-F238E27FC236}">
              <a16:creationId xmlns:a16="http://schemas.microsoft.com/office/drawing/2014/main" id="{DC4CF5DE-9B74-4837-8931-39CD32877816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3793" name="Minus 382">
          <a:extLst>
            <a:ext uri="{FF2B5EF4-FFF2-40B4-BE49-F238E27FC236}">
              <a16:creationId xmlns:a16="http://schemas.microsoft.com/office/drawing/2014/main" id="{A578A5E4-66C0-4D56-BFB5-D533E4D5EE96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3794" name="Minus 382">
          <a:extLst>
            <a:ext uri="{FF2B5EF4-FFF2-40B4-BE49-F238E27FC236}">
              <a16:creationId xmlns:a16="http://schemas.microsoft.com/office/drawing/2014/main" id="{D8AF473F-895B-4227-962C-DA1300B11DF4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3795" name="Minus 382">
          <a:extLst>
            <a:ext uri="{FF2B5EF4-FFF2-40B4-BE49-F238E27FC236}">
              <a16:creationId xmlns:a16="http://schemas.microsoft.com/office/drawing/2014/main" id="{C335949F-FB70-4093-AE85-13EC17CA8E96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3796" name="Minus 382">
          <a:extLst>
            <a:ext uri="{FF2B5EF4-FFF2-40B4-BE49-F238E27FC236}">
              <a16:creationId xmlns:a16="http://schemas.microsoft.com/office/drawing/2014/main" id="{286F4E29-1045-4A04-81B9-FABC68F67D9D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3797" name="Minus 382">
          <a:extLst>
            <a:ext uri="{FF2B5EF4-FFF2-40B4-BE49-F238E27FC236}">
              <a16:creationId xmlns:a16="http://schemas.microsoft.com/office/drawing/2014/main" id="{5FA49F88-E6EE-4958-912B-06DFBD45CF88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3798" name="Minus 382">
          <a:extLst>
            <a:ext uri="{FF2B5EF4-FFF2-40B4-BE49-F238E27FC236}">
              <a16:creationId xmlns:a16="http://schemas.microsoft.com/office/drawing/2014/main" id="{455A0E15-354B-40B7-90C3-A222DC5504C1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3799" name="Minus 382">
          <a:extLst>
            <a:ext uri="{FF2B5EF4-FFF2-40B4-BE49-F238E27FC236}">
              <a16:creationId xmlns:a16="http://schemas.microsoft.com/office/drawing/2014/main" id="{C1F57D9E-E8FF-4CB6-BF79-CAD696274743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3800" name="Minus 382">
          <a:extLst>
            <a:ext uri="{FF2B5EF4-FFF2-40B4-BE49-F238E27FC236}">
              <a16:creationId xmlns:a16="http://schemas.microsoft.com/office/drawing/2014/main" id="{3E8FAC11-16D1-40CB-AE2A-29F003F558CD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3801" name="Minus 382">
          <a:extLst>
            <a:ext uri="{FF2B5EF4-FFF2-40B4-BE49-F238E27FC236}">
              <a16:creationId xmlns:a16="http://schemas.microsoft.com/office/drawing/2014/main" id="{FA367D25-2E41-4C89-9F1C-C8713D8019F9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3802" name="Minus 382">
          <a:extLst>
            <a:ext uri="{FF2B5EF4-FFF2-40B4-BE49-F238E27FC236}">
              <a16:creationId xmlns:a16="http://schemas.microsoft.com/office/drawing/2014/main" id="{49DC91F3-1DB4-408F-A2A0-026F2724F304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3803" name="Minus 382">
          <a:extLst>
            <a:ext uri="{FF2B5EF4-FFF2-40B4-BE49-F238E27FC236}">
              <a16:creationId xmlns:a16="http://schemas.microsoft.com/office/drawing/2014/main" id="{E3EA69BA-213E-4262-8DCA-3A57C1661A5B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3804" name="Minus 382">
          <a:extLst>
            <a:ext uri="{FF2B5EF4-FFF2-40B4-BE49-F238E27FC236}">
              <a16:creationId xmlns:a16="http://schemas.microsoft.com/office/drawing/2014/main" id="{EE25BC03-1F13-4FC9-A1E7-40B8D029CB42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3805" name="Minus 382">
          <a:extLst>
            <a:ext uri="{FF2B5EF4-FFF2-40B4-BE49-F238E27FC236}">
              <a16:creationId xmlns:a16="http://schemas.microsoft.com/office/drawing/2014/main" id="{2510E847-4321-46C0-85CD-41C6690D3275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3806" name="Minus 382">
          <a:extLst>
            <a:ext uri="{FF2B5EF4-FFF2-40B4-BE49-F238E27FC236}">
              <a16:creationId xmlns:a16="http://schemas.microsoft.com/office/drawing/2014/main" id="{4A724CA5-387B-4422-B822-E978C45F5371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3807" name="Minus 382">
          <a:extLst>
            <a:ext uri="{FF2B5EF4-FFF2-40B4-BE49-F238E27FC236}">
              <a16:creationId xmlns:a16="http://schemas.microsoft.com/office/drawing/2014/main" id="{6FF33E71-3228-42EA-A381-D99EB268B814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3808" name="Minus 382">
          <a:extLst>
            <a:ext uri="{FF2B5EF4-FFF2-40B4-BE49-F238E27FC236}">
              <a16:creationId xmlns:a16="http://schemas.microsoft.com/office/drawing/2014/main" id="{4B492B34-855A-4CAD-BC6B-5DB5762DBF90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3809" name="Minus 382">
          <a:extLst>
            <a:ext uri="{FF2B5EF4-FFF2-40B4-BE49-F238E27FC236}">
              <a16:creationId xmlns:a16="http://schemas.microsoft.com/office/drawing/2014/main" id="{7C73073B-4F8C-4358-A353-2F1E7AA90D11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3810" name="Minus 382">
          <a:extLst>
            <a:ext uri="{FF2B5EF4-FFF2-40B4-BE49-F238E27FC236}">
              <a16:creationId xmlns:a16="http://schemas.microsoft.com/office/drawing/2014/main" id="{87E61F6E-BD0B-4FE0-A35A-13A4625EEF49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3811" name="Minus 382">
          <a:extLst>
            <a:ext uri="{FF2B5EF4-FFF2-40B4-BE49-F238E27FC236}">
              <a16:creationId xmlns:a16="http://schemas.microsoft.com/office/drawing/2014/main" id="{40EBB77A-72F9-4ECC-97B2-7DF67BC0E5BE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3812" name="Minus 382">
          <a:extLst>
            <a:ext uri="{FF2B5EF4-FFF2-40B4-BE49-F238E27FC236}">
              <a16:creationId xmlns:a16="http://schemas.microsoft.com/office/drawing/2014/main" id="{B1E90DB7-4BCD-406F-9116-8615D5A98112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3813" name="Minus 382">
          <a:extLst>
            <a:ext uri="{FF2B5EF4-FFF2-40B4-BE49-F238E27FC236}">
              <a16:creationId xmlns:a16="http://schemas.microsoft.com/office/drawing/2014/main" id="{71BEF1D5-004B-4DB5-8F15-9B34AF6DD11F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3814" name="Minus 382">
          <a:extLst>
            <a:ext uri="{FF2B5EF4-FFF2-40B4-BE49-F238E27FC236}">
              <a16:creationId xmlns:a16="http://schemas.microsoft.com/office/drawing/2014/main" id="{5BCDB31E-B61E-41A7-BB8C-396697A02E4C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3815" name="Minus 382">
          <a:extLst>
            <a:ext uri="{FF2B5EF4-FFF2-40B4-BE49-F238E27FC236}">
              <a16:creationId xmlns:a16="http://schemas.microsoft.com/office/drawing/2014/main" id="{0172CF5B-6B45-4123-9376-3D2ECAA756A7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3816" name="Minus 382">
          <a:extLst>
            <a:ext uri="{FF2B5EF4-FFF2-40B4-BE49-F238E27FC236}">
              <a16:creationId xmlns:a16="http://schemas.microsoft.com/office/drawing/2014/main" id="{9A6042BB-E56B-4AA2-9AEF-FB53EA8092FD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3817" name="Minus 382">
          <a:extLst>
            <a:ext uri="{FF2B5EF4-FFF2-40B4-BE49-F238E27FC236}">
              <a16:creationId xmlns:a16="http://schemas.microsoft.com/office/drawing/2014/main" id="{967DFCDE-919C-4086-8020-2DA27381AD1D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3818" name="Minus 382">
          <a:extLst>
            <a:ext uri="{FF2B5EF4-FFF2-40B4-BE49-F238E27FC236}">
              <a16:creationId xmlns:a16="http://schemas.microsoft.com/office/drawing/2014/main" id="{3F9DE29D-872F-47E5-BAB6-F82DF986CDAB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3819" name="Minus 382">
          <a:extLst>
            <a:ext uri="{FF2B5EF4-FFF2-40B4-BE49-F238E27FC236}">
              <a16:creationId xmlns:a16="http://schemas.microsoft.com/office/drawing/2014/main" id="{ED537383-F040-4086-9BFB-3F48B454F4F0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3820" name="Minus 382">
          <a:extLst>
            <a:ext uri="{FF2B5EF4-FFF2-40B4-BE49-F238E27FC236}">
              <a16:creationId xmlns:a16="http://schemas.microsoft.com/office/drawing/2014/main" id="{00A1FA86-EC3A-463B-A04D-84BC164ABACC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3821" name="Minus 382">
          <a:extLst>
            <a:ext uri="{FF2B5EF4-FFF2-40B4-BE49-F238E27FC236}">
              <a16:creationId xmlns:a16="http://schemas.microsoft.com/office/drawing/2014/main" id="{6B6F54F3-7A92-4FB8-8E0F-F4B3066F8DA9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3822" name="Minus 382">
          <a:extLst>
            <a:ext uri="{FF2B5EF4-FFF2-40B4-BE49-F238E27FC236}">
              <a16:creationId xmlns:a16="http://schemas.microsoft.com/office/drawing/2014/main" id="{D17954DC-1725-451E-B3D5-C9117BB16535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3823" name="Minus 382">
          <a:extLst>
            <a:ext uri="{FF2B5EF4-FFF2-40B4-BE49-F238E27FC236}">
              <a16:creationId xmlns:a16="http://schemas.microsoft.com/office/drawing/2014/main" id="{5EB33E19-45CE-420C-B88C-3DC65FDFE6AC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3824" name="Minus 382">
          <a:extLst>
            <a:ext uri="{FF2B5EF4-FFF2-40B4-BE49-F238E27FC236}">
              <a16:creationId xmlns:a16="http://schemas.microsoft.com/office/drawing/2014/main" id="{5C60E7EF-FAB9-431A-BC19-F6F1520FB060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3825" name="Minus 382">
          <a:extLst>
            <a:ext uri="{FF2B5EF4-FFF2-40B4-BE49-F238E27FC236}">
              <a16:creationId xmlns:a16="http://schemas.microsoft.com/office/drawing/2014/main" id="{89ECF857-35DE-4A0A-959F-2412D7400132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3826" name="Minus 382">
          <a:extLst>
            <a:ext uri="{FF2B5EF4-FFF2-40B4-BE49-F238E27FC236}">
              <a16:creationId xmlns:a16="http://schemas.microsoft.com/office/drawing/2014/main" id="{CBA666E2-F4AD-4925-9DE2-04F79D6924F7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3827" name="Minus 382">
          <a:extLst>
            <a:ext uri="{FF2B5EF4-FFF2-40B4-BE49-F238E27FC236}">
              <a16:creationId xmlns:a16="http://schemas.microsoft.com/office/drawing/2014/main" id="{CD2C8B77-F9F4-4C2C-B492-EA7848A93107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3828" name="Minus 382">
          <a:extLst>
            <a:ext uri="{FF2B5EF4-FFF2-40B4-BE49-F238E27FC236}">
              <a16:creationId xmlns:a16="http://schemas.microsoft.com/office/drawing/2014/main" id="{E63372CC-BE6B-490E-9577-DE47A0A5BEC9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3829" name="Minus 382">
          <a:extLst>
            <a:ext uri="{FF2B5EF4-FFF2-40B4-BE49-F238E27FC236}">
              <a16:creationId xmlns:a16="http://schemas.microsoft.com/office/drawing/2014/main" id="{C872D339-FC33-4761-BE1E-BFAD402AE2CD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3830" name="Minus 382">
          <a:extLst>
            <a:ext uri="{FF2B5EF4-FFF2-40B4-BE49-F238E27FC236}">
              <a16:creationId xmlns:a16="http://schemas.microsoft.com/office/drawing/2014/main" id="{3CA5FA21-C458-4FE0-8CA3-CC13B61B08BA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3831" name="Minus 382">
          <a:extLst>
            <a:ext uri="{FF2B5EF4-FFF2-40B4-BE49-F238E27FC236}">
              <a16:creationId xmlns:a16="http://schemas.microsoft.com/office/drawing/2014/main" id="{0BEA603E-8AC8-4C62-B1AA-C59E177A76CA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3832" name="Minus 382">
          <a:extLst>
            <a:ext uri="{FF2B5EF4-FFF2-40B4-BE49-F238E27FC236}">
              <a16:creationId xmlns:a16="http://schemas.microsoft.com/office/drawing/2014/main" id="{3A10244A-DCB1-493E-A13A-B125C98AE038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3833" name="Minus 382">
          <a:extLst>
            <a:ext uri="{FF2B5EF4-FFF2-40B4-BE49-F238E27FC236}">
              <a16:creationId xmlns:a16="http://schemas.microsoft.com/office/drawing/2014/main" id="{035115E2-9B9E-41DF-B35C-BB06EA39E08E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3834" name="Minus 382">
          <a:extLst>
            <a:ext uri="{FF2B5EF4-FFF2-40B4-BE49-F238E27FC236}">
              <a16:creationId xmlns:a16="http://schemas.microsoft.com/office/drawing/2014/main" id="{2FF8F9E9-4F82-4D6B-AF86-BA493AC048C7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3835" name="Minus 382">
          <a:extLst>
            <a:ext uri="{FF2B5EF4-FFF2-40B4-BE49-F238E27FC236}">
              <a16:creationId xmlns:a16="http://schemas.microsoft.com/office/drawing/2014/main" id="{23EDACFA-6A1D-4579-A91F-E7465A8878BC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3836" name="Minus 382">
          <a:extLst>
            <a:ext uri="{FF2B5EF4-FFF2-40B4-BE49-F238E27FC236}">
              <a16:creationId xmlns:a16="http://schemas.microsoft.com/office/drawing/2014/main" id="{560D3DB2-1314-41A1-B906-78A48D3CAE5D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3837" name="Minus 382">
          <a:extLst>
            <a:ext uri="{FF2B5EF4-FFF2-40B4-BE49-F238E27FC236}">
              <a16:creationId xmlns:a16="http://schemas.microsoft.com/office/drawing/2014/main" id="{6E60A8E6-53B9-4B93-A018-4BF3A7AE21D3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3838" name="Minus 382">
          <a:extLst>
            <a:ext uri="{FF2B5EF4-FFF2-40B4-BE49-F238E27FC236}">
              <a16:creationId xmlns:a16="http://schemas.microsoft.com/office/drawing/2014/main" id="{EB5B599A-6DE9-409D-91C7-C560C2459ACB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3839" name="Minus 382">
          <a:extLst>
            <a:ext uri="{FF2B5EF4-FFF2-40B4-BE49-F238E27FC236}">
              <a16:creationId xmlns:a16="http://schemas.microsoft.com/office/drawing/2014/main" id="{D2EDE11A-2675-4CCB-95E8-27DA1F88E134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3840" name="Minus 382">
          <a:extLst>
            <a:ext uri="{FF2B5EF4-FFF2-40B4-BE49-F238E27FC236}">
              <a16:creationId xmlns:a16="http://schemas.microsoft.com/office/drawing/2014/main" id="{72C0E364-4834-42C7-BDF4-86246C2ADDDC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3841" name="Minus 382">
          <a:extLst>
            <a:ext uri="{FF2B5EF4-FFF2-40B4-BE49-F238E27FC236}">
              <a16:creationId xmlns:a16="http://schemas.microsoft.com/office/drawing/2014/main" id="{92ED40FA-5ECF-43B5-8E29-0CA10DAE6580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3842" name="Minus 382">
          <a:extLst>
            <a:ext uri="{FF2B5EF4-FFF2-40B4-BE49-F238E27FC236}">
              <a16:creationId xmlns:a16="http://schemas.microsoft.com/office/drawing/2014/main" id="{818D7A6B-E565-4089-B627-0F499F7B5133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3843" name="Minus 382">
          <a:extLst>
            <a:ext uri="{FF2B5EF4-FFF2-40B4-BE49-F238E27FC236}">
              <a16:creationId xmlns:a16="http://schemas.microsoft.com/office/drawing/2014/main" id="{14062F50-372E-42FF-A145-4406ADF7EB95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3844" name="Minus 382">
          <a:extLst>
            <a:ext uri="{FF2B5EF4-FFF2-40B4-BE49-F238E27FC236}">
              <a16:creationId xmlns:a16="http://schemas.microsoft.com/office/drawing/2014/main" id="{844FF44C-D0EE-4BC4-B1E1-BBF8A352CC9D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3845" name="Minus 382">
          <a:extLst>
            <a:ext uri="{FF2B5EF4-FFF2-40B4-BE49-F238E27FC236}">
              <a16:creationId xmlns:a16="http://schemas.microsoft.com/office/drawing/2014/main" id="{C35F4203-6A32-4051-B89B-E8015D8584B0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3846" name="Minus 382">
          <a:extLst>
            <a:ext uri="{FF2B5EF4-FFF2-40B4-BE49-F238E27FC236}">
              <a16:creationId xmlns:a16="http://schemas.microsoft.com/office/drawing/2014/main" id="{ECFCA3BE-91DE-4239-B12E-E4FB3A82A7D4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3847" name="Minus 382">
          <a:extLst>
            <a:ext uri="{FF2B5EF4-FFF2-40B4-BE49-F238E27FC236}">
              <a16:creationId xmlns:a16="http://schemas.microsoft.com/office/drawing/2014/main" id="{5AD6E96E-B2C2-4B36-A5C5-DD1F98017115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3848" name="Minus 382">
          <a:extLst>
            <a:ext uri="{FF2B5EF4-FFF2-40B4-BE49-F238E27FC236}">
              <a16:creationId xmlns:a16="http://schemas.microsoft.com/office/drawing/2014/main" id="{C308B42A-682F-407E-84C8-57324E949208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3849" name="Minus 382">
          <a:extLst>
            <a:ext uri="{FF2B5EF4-FFF2-40B4-BE49-F238E27FC236}">
              <a16:creationId xmlns:a16="http://schemas.microsoft.com/office/drawing/2014/main" id="{5B8D9784-D1F3-47AC-BABE-952E63709FED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3850" name="Minus 382">
          <a:extLst>
            <a:ext uri="{FF2B5EF4-FFF2-40B4-BE49-F238E27FC236}">
              <a16:creationId xmlns:a16="http://schemas.microsoft.com/office/drawing/2014/main" id="{5959FA7E-B418-4200-97EC-5AB5A09981CB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3851" name="Minus 382">
          <a:extLst>
            <a:ext uri="{FF2B5EF4-FFF2-40B4-BE49-F238E27FC236}">
              <a16:creationId xmlns:a16="http://schemas.microsoft.com/office/drawing/2014/main" id="{B290C514-798B-4BFB-B068-14E5FA40EACE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3852" name="Minus 382">
          <a:extLst>
            <a:ext uri="{FF2B5EF4-FFF2-40B4-BE49-F238E27FC236}">
              <a16:creationId xmlns:a16="http://schemas.microsoft.com/office/drawing/2014/main" id="{EDE6C916-42C2-4AEF-9D98-15FB2CE9B2AB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3853" name="Minus 382">
          <a:extLst>
            <a:ext uri="{FF2B5EF4-FFF2-40B4-BE49-F238E27FC236}">
              <a16:creationId xmlns:a16="http://schemas.microsoft.com/office/drawing/2014/main" id="{6FE833C6-DD8E-471B-B488-7B59DE986BF6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3854" name="Minus 382">
          <a:extLst>
            <a:ext uri="{FF2B5EF4-FFF2-40B4-BE49-F238E27FC236}">
              <a16:creationId xmlns:a16="http://schemas.microsoft.com/office/drawing/2014/main" id="{6A3060FB-930A-4EB2-91AC-53CDAE97C555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3855" name="Minus 382">
          <a:extLst>
            <a:ext uri="{FF2B5EF4-FFF2-40B4-BE49-F238E27FC236}">
              <a16:creationId xmlns:a16="http://schemas.microsoft.com/office/drawing/2014/main" id="{07799794-6BF5-4E28-84D5-5BBAAC500557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3856" name="Minus 382">
          <a:extLst>
            <a:ext uri="{FF2B5EF4-FFF2-40B4-BE49-F238E27FC236}">
              <a16:creationId xmlns:a16="http://schemas.microsoft.com/office/drawing/2014/main" id="{1143B1F7-3E69-4BFF-8881-17E680D47C25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3857" name="Minus 382">
          <a:extLst>
            <a:ext uri="{FF2B5EF4-FFF2-40B4-BE49-F238E27FC236}">
              <a16:creationId xmlns:a16="http://schemas.microsoft.com/office/drawing/2014/main" id="{C6ECFAD9-55D2-44C3-A777-4C2F30769308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3858" name="Minus 382">
          <a:extLst>
            <a:ext uri="{FF2B5EF4-FFF2-40B4-BE49-F238E27FC236}">
              <a16:creationId xmlns:a16="http://schemas.microsoft.com/office/drawing/2014/main" id="{7D4D44DA-9B64-467D-8F3E-A0A1C98DF5E3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3859" name="Minus 382">
          <a:extLst>
            <a:ext uri="{FF2B5EF4-FFF2-40B4-BE49-F238E27FC236}">
              <a16:creationId xmlns:a16="http://schemas.microsoft.com/office/drawing/2014/main" id="{0D1A7AB4-9A84-470E-83B4-FD69B55546D5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3860" name="Minus 382">
          <a:extLst>
            <a:ext uri="{FF2B5EF4-FFF2-40B4-BE49-F238E27FC236}">
              <a16:creationId xmlns:a16="http://schemas.microsoft.com/office/drawing/2014/main" id="{3AAE0CD1-E3E7-440E-9F22-956E817B7953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3861" name="Minus 382">
          <a:extLst>
            <a:ext uri="{FF2B5EF4-FFF2-40B4-BE49-F238E27FC236}">
              <a16:creationId xmlns:a16="http://schemas.microsoft.com/office/drawing/2014/main" id="{28F902FB-D9C1-45BB-A8C5-233D538EFD42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3862" name="Minus 382">
          <a:extLst>
            <a:ext uri="{FF2B5EF4-FFF2-40B4-BE49-F238E27FC236}">
              <a16:creationId xmlns:a16="http://schemas.microsoft.com/office/drawing/2014/main" id="{5D007F8E-0D5F-4890-8F02-E613DEDD2795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3863" name="Minus 382">
          <a:extLst>
            <a:ext uri="{FF2B5EF4-FFF2-40B4-BE49-F238E27FC236}">
              <a16:creationId xmlns:a16="http://schemas.microsoft.com/office/drawing/2014/main" id="{844AA74A-4E42-485B-989B-A83A906AB19C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3864" name="Minus 382">
          <a:extLst>
            <a:ext uri="{FF2B5EF4-FFF2-40B4-BE49-F238E27FC236}">
              <a16:creationId xmlns:a16="http://schemas.microsoft.com/office/drawing/2014/main" id="{4369FD8B-28C0-49A7-AC75-7749C7C699CD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3865" name="Minus 382">
          <a:extLst>
            <a:ext uri="{FF2B5EF4-FFF2-40B4-BE49-F238E27FC236}">
              <a16:creationId xmlns:a16="http://schemas.microsoft.com/office/drawing/2014/main" id="{B2B260DF-B254-4ED1-84D1-12F094E06ED9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3866" name="Minus 382">
          <a:extLst>
            <a:ext uri="{FF2B5EF4-FFF2-40B4-BE49-F238E27FC236}">
              <a16:creationId xmlns:a16="http://schemas.microsoft.com/office/drawing/2014/main" id="{52A97A69-D3BF-4BB6-8791-911297CA7ADC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3867" name="Minus 382">
          <a:extLst>
            <a:ext uri="{FF2B5EF4-FFF2-40B4-BE49-F238E27FC236}">
              <a16:creationId xmlns:a16="http://schemas.microsoft.com/office/drawing/2014/main" id="{7053C89F-AD7E-41D8-A076-BF45233782CD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3868" name="Minus 382">
          <a:extLst>
            <a:ext uri="{FF2B5EF4-FFF2-40B4-BE49-F238E27FC236}">
              <a16:creationId xmlns:a16="http://schemas.microsoft.com/office/drawing/2014/main" id="{9D008E78-9BC7-4D67-8D95-71F172988B5D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3869" name="Minus 382">
          <a:extLst>
            <a:ext uri="{FF2B5EF4-FFF2-40B4-BE49-F238E27FC236}">
              <a16:creationId xmlns:a16="http://schemas.microsoft.com/office/drawing/2014/main" id="{7FAE170C-F416-41C3-8616-B62E4F7C134E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3870" name="Minus 382">
          <a:extLst>
            <a:ext uri="{FF2B5EF4-FFF2-40B4-BE49-F238E27FC236}">
              <a16:creationId xmlns:a16="http://schemas.microsoft.com/office/drawing/2014/main" id="{64E4A79C-3A21-4DE8-AC6A-5A6BF5C99C62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3871" name="Minus 382">
          <a:extLst>
            <a:ext uri="{FF2B5EF4-FFF2-40B4-BE49-F238E27FC236}">
              <a16:creationId xmlns:a16="http://schemas.microsoft.com/office/drawing/2014/main" id="{4AF7E2FD-46BC-4259-8E1D-A40F13149AE1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3872" name="Minus 382">
          <a:extLst>
            <a:ext uri="{FF2B5EF4-FFF2-40B4-BE49-F238E27FC236}">
              <a16:creationId xmlns:a16="http://schemas.microsoft.com/office/drawing/2014/main" id="{9AAC5418-AB1F-40EE-985C-A64981139D28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3873" name="Minus 382">
          <a:extLst>
            <a:ext uri="{FF2B5EF4-FFF2-40B4-BE49-F238E27FC236}">
              <a16:creationId xmlns:a16="http://schemas.microsoft.com/office/drawing/2014/main" id="{347E2581-925F-4B1B-808D-0053437C1875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3874" name="Minus 382">
          <a:extLst>
            <a:ext uri="{FF2B5EF4-FFF2-40B4-BE49-F238E27FC236}">
              <a16:creationId xmlns:a16="http://schemas.microsoft.com/office/drawing/2014/main" id="{F2582AEA-E9B2-48E6-BCA9-1988599309BA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3875" name="Minus 382">
          <a:extLst>
            <a:ext uri="{FF2B5EF4-FFF2-40B4-BE49-F238E27FC236}">
              <a16:creationId xmlns:a16="http://schemas.microsoft.com/office/drawing/2014/main" id="{3BE2E9AE-1974-449A-A701-DAAA5E9BB29B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3876" name="Minus 382">
          <a:extLst>
            <a:ext uri="{FF2B5EF4-FFF2-40B4-BE49-F238E27FC236}">
              <a16:creationId xmlns:a16="http://schemas.microsoft.com/office/drawing/2014/main" id="{D5E75782-3842-4CEC-9B6B-5B39E9C7E161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3877" name="Minus 382">
          <a:extLst>
            <a:ext uri="{FF2B5EF4-FFF2-40B4-BE49-F238E27FC236}">
              <a16:creationId xmlns:a16="http://schemas.microsoft.com/office/drawing/2014/main" id="{26576906-504C-4DCE-99DB-633BDBC11C62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3878" name="Minus 382">
          <a:extLst>
            <a:ext uri="{FF2B5EF4-FFF2-40B4-BE49-F238E27FC236}">
              <a16:creationId xmlns:a16="http://schemas.microsoft.com/office/drawing/2014/main" id="{42E2B77B-026B-47E7-A4D7-EAF099C1267C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3879" name="Minus 382">
          <a:extLst>
            <a:ext uri="{FF2B5EF4-FFF2-40B4-BE49-F238E27FC236}">
              <a16:creationId xmlns:a16="http://schemas.microsoft.com/office/drawing/2014/main" id="{388381DB-A0BE-48CE-91F5-08C47F5A6000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3880" name="Minus 382">
          <a:extLst>
            <a:ext uri="{FF2B5EF4-FFF2-40B4-BE49-F238E27FC236}">
              <a16:creationId xmlns:a16="http://schemas.microsoft.com/office/drawing/2014/main" id="{3A820CF7-8D16-4D08-AABD-F89F29442AB7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3881" name="Minus 382">
          <a:extLst>
            <a:ext uri="{FF2B5EF4-FFF2-40B4-BE49-F238E27FC236}">
              <a16:creationId xmlns:a16="http://schemas.microsoft.com/office/drawing/2014/main" id="{7E7A72FF-AA93-4BDB-A951-A80D793DD38F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3882" name="Minus 382">
          <a:extLst>
            <a:ext uri="{FF2B5EF4-FFF2-40B4-BE49-F238E27FC236}">
              <a16:creationId xmlns:a16="http://schemas.microsoft.com/office/drawing/2014/main" id="{A79A11E7-5B07-478A-A17D-6610D27BB0ED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3883" name="Minus 382">
          <a:extLst>
            <a:ext uri="{FF2B5EF4-FFF2-40B4-BE49-F238E27FC236}">
              <a16:creationId xmlns:a16="http://schemas.microsoft.com/office/drawing/2014/main" id="{A5D72D97-5001-4BDC-B11B-03CB7A351949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3884" name="Minus 382">
          <a:extLst>
            <a:ext uri="{FF2B5EF4-FFF2-40B4-BE49-F238E27FC236}">
              <a16:creationId xmlns:a16="http://schemas.microsoft.com/office/drawing/2014/main" id="{CEB98E38-0728-4428-B371-5696DD8054C3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3885" name="Minus 382">
          <a:extLst>
            <a:ext uri="{FF2B5EF4-FFF2-40B4-BE49-F238E27FC236}">
              <a16:creationId xmlns:a16="http://schemas.microsoft.com/office/drawing/2014/main" id="{54495E1F-933C-4979-8BAB-1B7FA8D01CF7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3886" name="Minus 382">
          <a:extLst>
            <a:ext uri="{FF2B5EF4-FFF2-40B4-BE49-F238E27FC236}">
              <a16:creationId xmlns:a16="http://schemas.microsoft.com/office/drawing/2014/main" id="{8552E2BF-B9D8-4AA5-AFB4-256564E378DE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3887" name="Minus 382">
          <a:extLst>
            <a:ext uri="{FF2B5EF4-FFF2-40B4-BE49-F238E27FC236}">
              <a16:creationId xmlns:a16="http://schemas.microsoft.com/office/drawing/2014/main" id="{46AE4DC5-7BB7-430B-9CF9-20E66DE6DDA3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3888" name="Minus 382">
          <a:extLst>
            <a:ext uri="{FF2B5EF4-FFF2-40B4-BE49-F238E27FC236}">
              <a16:creationId xmlns:a16="http://schemas.microsoft.com/office/drawing/2014/main" id="{D74057CB-A16E-4382-A672-6A2599F42656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3889" name="Minus 382">
          <a:extLst>
            <a:ext uri="{FF2B5EF4-FFF2-40B4-BE49-F238E27FC236}">
              <a16:creationId xmlns:a16="http://schemas.microsoft.com/office/drawing/2014/main" id="{21BE6946-E04F-42C2-8FED-33990EAB3D92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3890" name="Minus 382">
          <a:extLst>
            <a:ext uri="{FF2B5EF4-FFF2-40B4-BE49-F238E27FC236}">
              <a16:creationId xmlns:a16="http://schemas.microsoft.com/office/drawing/2014/main" id="{EF857A31-6FF0-4873-B65A-D99B25AED2DC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3891" name="Minus 382">
          <a:extLst>
            <a:ext uri="{FF2B5EF4-FFF2-40B4-BE49-F238E27FC236}">
              <a16:creationId xmlns:a16="http://schemas.microsoft.com/office/drawing/2014/main" id="{212D0A8F-3A20-47A9-989E-A9D2550FE0DF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3892" name="Minus 382">
          <a:extLst>
            <a:ext uri="{FF2B5EF4-FFF2-40B4-BE49-F238E27FC236}">
              <a16:creationId xmlns:a16="http://schemas.microsoft.com/office/drawing/2014/main" id="{418E0A69-DFC7-4127-9F29-5BBCFC2EF4D8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3893" name="Minus 382">
          <a:extLst>
            <a:ext uri="{FF2B5EF4-FFF2-40B4-BE49-F238E27FC236}">
              <a16:creationId xmlns:a16="http://schemas.microsoft.com/office/drawing/2014/main" id="{D6F495DA-79EE-4841-9CF5-A510533549A0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3894" name="Minus 382">
          <a:extLst>
            <a:ext uri="{FF2B5EF4-FFF2-40B4-BE49-F238E27FC236}">
              <a16:creationId xmlns:a16="http://schemas.microsoft.com/office/drawing/2014/main" id="{40976892-DD47-4186-8713-788DBA0E504E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3895" name="Minus 382">
          <a:extLst>
            <a:ext uri="{FF2B5EF4-FFF2-40B4-BE49-F238E27FC236}">
              <a16:creationId xmlns:a16="http://schemas.microsoft.com/office/drawing/2014/main" id="{8F6F850A-A941-434C-A1A6-DD3387748926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3896" name="Minus 382">
          <a:extLst>
            <a:ext uri="{FF2B5EF4-FFF2-40B4-BE49-F238E27FC236}">
              <a16:creationId xmlns:a16="http://schemas.microsoft.com/office/drawing/2014/main" id="{92382CC2-38F6-4093-8B44-B941D331A882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3897" name="Minus 382">
          <a:extLst>
            <a:ext uri="{FF2B5EF4-FFF2-40B4-BE49-F238E27FC236}">
              <a16:creationId xmlns:a16="http://schemas.microsoft.com/office/drawing/2014/main" id="{58C2F2B9-4472-4256-BC44-AEE1A63E42DB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3898" name="Minus 382">
          <a:extLst>
            <a:ext uri="{FF2B5EF4-FFF2-40B4-BE49-F238E27FC236}">
              <a16:creationId xmlns:a16="http://schemas.microsoft.com/office/drawing/2014/main" id="{279D6B5F-40FD-4932-9D24-7128C6D0570A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3899" name="Minus 382">
          <a:extLst>
            <a:ext uri="{FF2B5EF4-FFF2-40B4-BE49-F238E27FC236}">
              <a16:creationId xmlns:a16="http://schemas.microsoft.com/office/drawing/2014/main" id="{30FC2C88-A1BA-4B9C-AC20-321C1CDB184B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3900" name="Minus 382">
          <a:extLst>
            <a:ext uri="{FF2B5EF4-FFF2-40B4-BE49-F238E27FC236}">
              <a16:creationId xmlns:a16="http://schemas.microsoft.com/office/drawing/2014/main" id="{D67AB742-793A-4DAC-BBD5-6AD7BDA18C84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3901" name="Minus 382">
          <a:extLst>
            <a:ext uri="{FF2B5EF4-FFF2-40B4-BE49-F238E27FC236}">
              <a16:creationId xmlns:a16="http://schemas.microsoft.com/office/drawing/2014/main" id="{FA2B003C-DE68-4CB6-90FA-D9DF3EB24C93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3902" name="Minus 382">
          <a:extLst>
            <a:ext uri="{FF2B5EF4-FFF2-40B4-BE49-F238E27FC236}">
              <a16:creationId xmlns:a16="http://schemas.microsoft.com/office/drawing/2014/main" id="{AA2F105E-7B11-4F5B-AD8D-019508252FF3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3903" name="Minus 382">
          <a:extLst>
            <a:ext uri="{FF2B5EF4-FFF2-40B4-BE49-F238E27FC236}">
              <a16:creationId xmlns:a16="http://schemas.microsoft.com/office/drawing/2014/main" id="{B6536337-51D7-4BFE-A8BE-C7C9BF58AA80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3904" name="Minus 382">
          <a:extLst>
            <a:ext uri="{FF2B5EF4-FFF2-40B4-BE49-F238E27FC236}">
              <a16:creationId xmlns:a16="http://schemas.microsoft.com/office/drawing/2014/main" id="{5DAC5307-F60E-4A95-8759-B8A3E338761E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3905" name="Minus 382">
          <a:extLst>
            <a:ext uri="{FF2B5EF4-FFF2-40B4-BE49-F238E27FC236}">
              <a16:creationId xmlns:a16="http://schemas.microsoft.com/office/drawing/2014/main" id="{CEB18052-2325-427F-B08A-EC50D89357EF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3906" name="Minus 382">
          <a:extLst>
            <a:ext uri="{FF2B5EF4-FFF2-40B4-BE49-F238E27FC236}">
              <a16:creationId xmlns:a16="http://schemas.microsoft.com/office/drawing/2014/main" id="{21AD771D-F85D-41C4-90A3-4983654AA04E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3907" name="0/0">
          <a:extLst>
            <a:ext uri="{FF2B5EF4-FFF2-40B4-BE49-F238E27FC236}">
              <a16:creationId xmlns:a16="http://schemas.microsoft.com/office/drawing/2014/main" id="{BBD94A26-AC6F-4CBD-8F97-B2D0EDC500E8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3908" name="Minus 382">
          <a:extLst>
            <a:ext uri="{FF2B5EF4-FFF2-40B4-BE49-F238E27FC236}">
              <a16:creationId xmlns:a16="http://schemas.microsoft.com/office/drawing/2014/main" id="{E94B6BCF-2863-4043-9760-C05065A13D54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3909" name="Freeform 10695">
          <a:extLst>
            <a:ext uri="{FF2B5EF4-FFF2-40B4-BE49-F238E27FC236}">
              <a16:creationId xmlns:a16="http://schemas.microsoft.com/office/drawing/2014/main" id="{58215BD5-4C47-4819-B385-5CA31FCCDF7E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1"/>
      <sheetName val="Resumo_de_Custos1"/>
      <sheetName val="Recebimento_Cash-in1"/>
      <sheetName val="Planilha_de_Preço_de_Venda1"/>
      <sheetName val="Auxiliar_de_Pré-Cálculo"/>
      <sheetName val="Resumo_de_Custos"/>
      <sheetName val="Recebimento_Cash-in"/>
      <sheetName val="Planilha_de_Preço_de_Ve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대비표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strain"/>
      <sheetName val="HYD VAR"/>
      <sheetName val="bs"/>
      <sheetName val="PRODUCTION DATA"/>
      <sheetName val="CO FORMS"/>
      <sheetName val="INV COST"/>
      <sheetName val="dot production"/>
      <sheetName val="interest"/>
      <sheetName val="MATERIAL AC"/>
      <sheetName val="FOR VARIANCE CALC."/>
      <sheetName val="TB"/>
      <sheetName val="SCRAP"/>
      <sheetName val="VARIANCE SUMMARY"/>
      <sheetName val="BDisc Q4"/>
      <sheetName val="SILCHAR-400"/>
      <sheetName val="SILCHAR-132"/>
      <sheetName val="drev"/>
      <sheetName val="crev"/>
      <sheetName val="attach-3 (qr)"/>
      <sheetName val="BP-Other strs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>
        <row r="6">
          <cell r="A6" t="str">
            <v>Type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S1BOQ"/>
      <sheetName val="Labour"/>
      <sheetName val="Material"/>
      <sheetName val="Plant &amp;  Machinery"/>
      <sheetName val="Cable data"/>
      <sheetName val="EP 13-14"/>
      <sheetName val="IE 13-14"/>
      <sheetName val="SS 13-14"/>
      <sheetName val="TL 13-14"/>
      <sheetName val="PRICE BID"/>
      <sheetName val="Schedule No.1"/>
      <sheetName val="CFL-KIM"/>
      <sheetName val="bs BP 04 SA"/>
      <sheetName val="Sch-3"/>
      <sheetName val="Format - 4"/>
      <sheetName val="S1BOQ &amp; Workplan"/>
      <sheetName val="DREV"/>
      <sheetName val="CREV"/>
      <sheetName val="SUMMARY"/>
      <sheetName val="CASH-FLOW"/>
      <sheetName val="unp-ncw "/>
      <sheetName val="contribution"/>
      <sheetName val="ratio"/>
      <sheetName val="p &amp; l "/>
      <sheetName val="inWords"/>
      <sheetName val="gen"/>
      <sheetName val="Structure Bills Qty"/>
      <sheetName val="Intake"/>
      <sheetName val="data"/>
      <sheetName val="col-reinft1"/>
      <sheetName val="TBAL9697 -group wise  sdpl"/>
      <sheetName val="Contract Night Staff"/>
      <sheetName val="Contract Day Staff"/>
      <sheetName val="Day Shift"/>
      <sheetName val="Night Shift"/>
      <sheetName val="Main Assump."/>
      <sheetName val="N-Amritsar 135"/>
      <sheetName val="CASH CONTRACTS"/>
      <sheetName val="COP Final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ductor 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287</v>
          </cell>
          <cell r="O2">
            <v>8</v>
          </cell>
          <cell r="Q2">
            <v>202</v>
          </cell>
          <cell r="S2">
            <v>71.261437999999984</v>
          </cell>
          <cell r="T2">
            <v>65.016085000000004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3"/>
  <sheetViews>
    <sheetView tabSelected="1" topLeftCell="B1" workbookViewId="0">
      <selection activeCell="J14" sqref="J14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1033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1128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1019</v>
      </c>
      <c r="K3" s="173" t="s">
        <v>392</v>
      </c>
    </row>
    <row r="4" spans="1:11">
      <c r="A4" s="173"/>
      <c r="B4" s="801" t="s">
        <v>1132</v>
      </c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  <row r="13" spans="1:11">
      <c r="K13" s="173" t="s">
        <v>1133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D29" zoomScale="70" zoomScaleNormal="70" workbookViewId="0">
      <selection activeCell="I34" sqref="I34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542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" customHeight="1" thickTop="1" thickBot="1">
      <c r="A2" s="543"/>
      <c r="B2" s="40" t="s">
        <v>204</v>
      </c>
      <c r="C2" s="545" t="s">
        <v>409</v>
      </c>
      <c r="D2" s="546"/>
      <c r="E2" s="547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" customHeight="1" thickTop="1" thickBot="1">
      <c r="A3" s="543"/>
      <c r="B3" s="40" t="s">
        <v>206</v>
      </c>
      <c r="C3" s="545" t="s">
        <v>207</v>
      </c>
      <c r="D3" s="546"/>
      <c r="E3" s="547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3" thickTop="1" thickBot="1">
      <c r="A4" s="544"/>
      <c r="B4" s="40" t="s">
        <v>191</v>
      </c>
      <c r="C4" s="548" t="s">
        <v>412</v>
      </c>
      <c r="D4" s="549"/>
      <c r="E4" s="550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554" t="s">
        <v>164</v>
      </c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6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551" t="s">
        <v>177</v>
      </c>
      <c r="B14" s="552"/>
      <c r="C14" s="552"/>
      <c r="D14" s="552"/>
      <c r="E14" s="552"/>
      <c r="F14" s="552"/>
      <c r="G14" s="552"/>
      <c r="H14" s="552"/>
      <c r="I14" s="552"/>
      <c r="J14" s="552"/>
      <c r="K14" s="552"/>
      <c r="L14" s="552"/>
      <c r="M14" s="552"/>
      <c r="N14" s="553"/>
      <c r="O14" s="34"/>
      <c r="P14" s="34"/>
    </row>
    <row r="15" spans="1:16" ht="47.4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26" t="s">
        <v>73</v>
      </c>
      <c r="N15" s="527"/>
      <c r="O15" s="34"/>
      <c r="P15" s="34"/>
    </row>
    <row r="16" spans="1:16" ht="66.599999999999994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32"/>
      <c r="N16" s="533"/>
      <c r="O16" s="33"/>
    </row>
    <row r="17" spans="1:16" ht="39.6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34"/>
      <c r="N17" s="535"/>
    </row>
    <row r="18" spans="1:16" ht="16.5" thickTop="1" thickBot="1">
      <c r="P18" s="35"/>
    </row>
    <row r="19" spans="1:16" s="36" customFormat="1" ht="22.35" customHeight="1" thickTop="1" thickBot="1">
      <c r="A19" s="522" t="s">
        <v>210</v>
      </c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4"/>
    </row>
    <row r="20" spans="1:16" s="36" customFormat="1" ht="39.75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35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35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285</v>
      </c>
      <c r="F23" s="85">
        <v>0</v>
      </c>
      <c r="G23" s="85">
        <v>11</v>
      </c>
      <c r="H23" s="87">
        <v>2</v>
      </c>
      <c r="I23" s="87">
        <v>2</v>
      </c>
      <c r="J23" s="85">
        <v>302</v>
      </c>
      <c r="K23" s="86">
        <v>287</v>
      </c>
      <c r="L23" s="85">
        <f t="shared" si="0"/>
        <v>15</v>
      </c>
      <c r="M23" s="85">
        <v>8</v>
      </c>
      <c r="N23" s="85">
        <v>8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70</v>
      </c>
      <c r="F24" s="85">
        <v>0</v>
      </c>
      <c r="G24" s="85">
        <v>23</v>
      </c>
      <c r="H24" s="87">
        <v>0</v>
      </c>
      <c r="I24" s="87">
        <v>0</v>
      </c>
      <c r="J24" s="85">
        <v>115</v>
      </c>
      <c r="K24" s="86">
        <f>59.3+4.823+4.937+0.323+0.465</f>
        <v>69.847999999999985</v>
      </c>
      <c r="L24" s="86">
        <f t="shared" ref="L24" si="1">+C24-K24</f>
        <v>45.286000000000016</v>
      </c>
      <c r="M24" s="85">
        <v>6</v>
      </c>
      <c r="N24" s="85">
        <v>3</v>
      </c>
      <c r="O24" s="496"/>
    </row>
    <row r="25" spans="1:16" ht="15.75" thickTop="1">
      <c r="A25" s="37"/>
      <c r="N25" s="536"/>
      <c r="O25" s="536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368</v>
      </c>
      <c r="C27" s="165" t="s">
        <v>369</v>
      </c>
      <c r="D27" s="562" t="s">
        <v>370</v>
      </c>
      <c r="E27" s="563"/>
      <c r="F27" s="557" t="s">
        <v>378</v>
      </c>
      <c r="G27" s="557"/>
      <c r="H27" s="537" t="s">
        <v>355</v>
      </c>
      <c r="I27" s="538"/>
    </row>
    <row r="28" spans="1:16" ht="42.6" customHeight="1">
      <c r="A28" s="184"/>
      <c r="B28" s="185" t="s">
        <v>416</v>
      </c>
      <c r="C28" s="180" t="s">
        <v>1107</v>
      </c>
      <c r="D28" s="558" t="s">
        <v>436</v>
      </c>
      <c r="E28" s="559"/>
      <c r="F28" s="566"/>
      <c r="G28" s="567"/>
      <c r="H28" s="181"/>
      <c r="I28" s="182"/>
    </row>
    <row r="29" spans="1:16" ht="42.6" customHeight="1">
      <c r="A29" s="184"/>
      <c r="B29" s="185" t="s">
        <v>416</v>
      </c>
      <c r="C29" s="180" t="s">
        <v>1111</v>
      </c>
      <c r="D29" s="528" t="s">
        <v>433</v>
      </c>
      <c r="E29" s="529"/>
      <c r="F29" s="530" t="s">
        <v>420</v>
      </c>
      <c r="G29" s="531"/>
      <c r="H29" s="181"/>
      <c r="I29" s="182"/>
    </row>
    <row r="30" spans="1:16" ht="42.6" customHeight="1">
      <c r="A30" s="184"/>
      <c r="B30" s="185" t="s">
        <v>416</v>
      </c>
      <c r="C30" s="180" t="s">
        <v>1050</v>
      </c>
      <c r="D30" s="528" t="s">
        <v>689</v>
      </c>
      <c r="E30" s="529"/>
      <c r="F30" s="530"/>
      <c r="G30" s="531"/>
      <c r="H30" s="181"/>
      <c r="I30" s="182"/>
    </row>
    <row r="31" spans="1:16" ht="42.6" customHeight="1">
      <c r="A31" s="184"/>
      <c r="B31" s="185" t="s">
        <v>416</v>
      </c>
      <c r="C31" s="180" t="s">
        <v>423</v>
      </c>
      <c r="D31" s="528" t="s">
        <v>873</v>
      </c>
      <c r="E31" s="529"/>
      <c r="F31" s="530"/>
      <c r="G31" s="531"/>
      <c r="H31" s="181"/>
      <c r="I31" s="182"/>
    </row>
    <row r="32" spans="1:16" ht="42.6" customHeight="1">
      <c r="A32" s="184"/>
      <c r="B32" s="185" t="s">
        <v>416</v>
      </c>
      <c r="C32" s="180" t="s">
        <v>425</v>
      </c>
      <c r="D32" s="528" t="s">
        <v>290</v>
      </c>
      <c r="E32" s="529"/>
      <c r="F32" s="530"/>
      <c r="G32" s="531"/>
      <c r="H32" s="181"/>
      <c r="I32" s="182"/>
    </row>
    <row r="33" spans="1:9" ht="42.6" customHeight="1">
      <c r="A33" s="184"/>
      <c r="B33" s="185" t="s">
        <v>416</v>
      </c>
      <c r="C33" s="180" t="s">
        <v>428</v>
      </c>
      <c r="D33" s="528" t="s">
        <v>434</v>
      </c>
      <c r="E33" s="529"/>
      <c r="F33" s="530"/>
      <c r="G33" s="531"/>
      <c r="H33" s="181"/>
      <c r="I33" s="182"/>
    </row>
    <row r="34" spans="1:9" ht="42.6" customHeight="1">
      <c r="A34" s="184"/>
      <c r="B34" s="185" t="s">
        <v>416</v>
      </c>
      <c r="C34" s="180" t="s">
        <v>1040</v>
      </c>
      <c r="D34" s="528" t="s">
        <v>143</v>
      </c>
      <c r="E34" s="529"/>
      <c r="F34" s="530"/>
      <c r="G34" s="531"/>
      <c r="H34" s="181"/>
      <c r="I34" s="182"/>
    </row>
    <row r="35" spans="1:9" ht="42.6" customHeight="1">
      <c r="A35" s="184"/>
      <c r="B35" s="185" t="s">
        <v>416</v>
      </c>
      <c r="C35" s="180" t="s">
        <v>430</v>
      </c>
      <c r="D35" s="528" t="s">
        <v>694</v>
      </c>
      <c r="E35" s="529"/>
      <c r="F35" s="530"/>
      <c r="G35" s="531"/>
      <c r="H35" s="181"/>
      <c r="I35" s="182"/>
    </row>
    <row r="36" spans="1:9" ht="42.6" customHeight="1">
      <c r="A36" s="184"/>
      <c r="B36" s="185" t="s">
        <v>416</v>
      </c>
      <c r="C36" s="180"/>
      <c r="D36" s="528"/>
      <c r="E36" s="529"/>
      <c r="F36" s="530"/>
      <c r="G36" s="531"/>
      <c r="H36" s="181"/>
      <c r="I36" s="182"/>
    </row>
    <row r="37" spans="1:9" ht="42.6" customHeight="1">
      <c r="A37" s="184"/>
      <c r="B37" s="185" t="s">
        <v>416</v>
      </c>
      <c r="C37" s="180"/>
      <c r="D37" s="528"/>
      <c r="E37" s="529"/>
      <c r="F37" s="530"/>
      <c r="G37" s="531"/>
      <c r="H37" s="564"/>
      <c r="I37" s="565"/>
    </row>
    <row r="38" spans="1:9" ht="42.6" customHeight="1">
      <c r="A38" s="184"/>
      <c r="B38" s="185" t="s">
        <v>416</v>
      </c>
      <c r="C38" s="180"/>
      <c r="D38" s="528"/>
      <c r="E38" s="529"/>
      <c r="F38" s="530"/>
      <c r="G38" s="531"/>
      <c r="H38" s="181"/>
      <c r="I38" s="182"/>
    </row>
    <row r="39" spans="1:9" ht="42.6" customHeight="1">
      <c r="A39" s="184"/>
      <c r="B39" s="185" t="s">
        <v>416</v>
      </c>
      <c r="C39" s="180"/>
      <c r="D39" s="528"/>
      <c r="E39" s="529"/>
      <c r="F39" s="530"/>
      <c r="G39" s="531"/>
      <c r="H39" s="181"/>
      <c r="I39" s="182"/>
    </row>
    <row r="40" spans="1:9" ht="42.6" customHeight="1">
      <c r="A40" s="184"/>
      <c r="B40" s="185" t="s">
        <v>416</v>
      </c>
      <c r="C40" s="180"/>
      <c r="D40" s="528"/>
      <c r="E40" s="529"/>
      <c r="F40" s="530"/>
      <c r="G40" s="531"/>
      <c r="H40" s="181"/>
      <c r="I40" s="182"/>
    </row>
    <row r="41" spans="1:9" ht="42.6" customHeight="1">
      <c r="A41" s="184"/>
      <c r="B41" s="185" t="s">
        <v>416</v>
      </c>
      <c r="C41" s="180"/>
      <c r="D41" s="528"/>
      <c r="E41" s="529"/>
      <c r="F41" s="530"/>
      <c r="G41" s="531"/>
      <c r="H41" s="181"/>
      <c r="I41" s="182"/>
    </row>
    <row r="42" spans="1:9" ht="42.6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35" customHeight="1">
      <c r="A46" s="159" t="s">
        <v>366</v>
      </c>
    </row>
    <row r="47" spans="1:9" s="157" customFormat="1" ht="9" customHeight="1">
      <c r="A47" s="158"/>
      <c r="B47" s="541"/>
      <c r="C47" s="541"/>
      <c r="D47" s="541"/>
      <c r="E47" s="541"/>
      <c r="F47" s="541"/>
      <c r="G47" s="541"/>
    </row>
    <row r="48" spans="1:9" s="157" customFormat="1" ht="9" customHeight="1">
      <c r="A48" s="158"/>
      <c r="B48" s="541"/>
      <c r="C48" s="541"/>
      <c r="D48" s="541"/>
      <c r="E48" s="541"/>
      <c r="F48" s="541"/>
      <c r="G48" s="541"/>
    </row>
    <row r="49" spans="1:15" s="157" customFormat="1" ht="10.35" customHeight="1">
      <c r="A49" s="158"/>
      <c r="B49" s="541"/>
      <c r="C49" s="541"/>
      <c r="D49" s="541"/>
      <c r="E49" s="541"/>
      <c r="F49" s="541"/>
      <c r="G49" s="541"/>
    </row>
    <row r="50" spans="1:15" s="157" customFormat="1" ht="24.6" customHeight="1">
      <c r="A50" s="158" t="s">
        <v>367</v>
      </c>
      <c r="B50" s="541" t="s">
        <v>374</v>
      </c>
      <c r="C50" s="541"/>
      <c r="D50" s="541"/>
      <c r="E50" s="541"/>
      <c r="F50" s="541"/>
      <c r="G50" s="541"/>
      <c r="H50" s="541"/>
      <c r="I50" s="541"/>
      <c r="J50" s="541"/>
      <c r="K50" s="156"/>
      <c r="L50" s="156"/>
      <c r="M50" s="525"/>
      <c r="N50" s="525"/>
      <c r="O50" s="525"/>
    </row>
    <row r="51" spans="1:15" s="157" customFormat="1" ht="24.6" customHeight="1">
      <c r="A51" s="158" t="s">
        <v>367</v>
      </c>
      <c r="B51" s="541" t="s">
        <v>375</v>
      </c>
      <c r="C51" s="541"/>
      <c r="D51" s="541"/>
      <c r="E51" s="541"/>
      <c r="F51" s="541"/>
      <c r="G51" s="541"/>
      <c r="H51" s="541"/>
      <c r="I51" s="541"/>
      <c r="J51" s="541"/>
      <c r="K51" s="156"/>
      <c r="L51" s="156"/>
      <c r="M51" s="163"/>
      <c r="N51" s="163"/>
      <c r="O51" s="163"/>
    </row>
    <row r="52" spans="1:15" s="157" customFormat="1" ht="24.6" customHeight="1">
      <c r="A52" s="158" t="s">
        <v>367</v>
      </c>
      <c r="B52" s="541" t="s">
        <v>381</v>
      </c>
      <c r="C52" s="541"/>
      <c r="D52" s="541"/>
      <c r="E52" s="541"/>
      <c r="F52" s="541"/>
      <c r="G52" s="541"/>
      <c r="H52" s="541"/>
      <c r="I52" s="541"/>
      <c r="J52" s="541"/>
      <c r="K52" s="156"/>
      <c r="L52" s="156"/>
      <c r="M52" s="163"/>
      <c r="N52" s="163"/>
      <c r="O52" s="163"/>
    </row>
    <row r="53" spans="1:15" s="58" customFormat="1" ht="17.4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75">
      <c r="A55" s="12"/>
      <c r="B55" s="520" t="s">
        <v>251</v>
      </c>
      <c r="C55" s="521"/>
      <c r="D55"/>
      <c r="E55"/>
      <c r="F55"/>
      <c r="G55"/>
      <c r="H55"/>
      <c r="I55"/>
      <c r="J55"/>
    </row>
    <row r="56" spans="1:15" ht="25.5">
      <c r="A56" s="59" t="s">
        <v>222</v>
      </c>
      <c r="B56" s="539" t="s">
        <v>252</v>
      </c>
      <c r="C56" s="540"/>
      <c r="D56" s="59" t="s">
        <v>253</v>
      </c>
      <c r="E56" s="59" t="s">
        <v>254</v>
      </c>
      <c r="F56" s="59" t="s">
        <v>1034</v>
      </c>
      <c r="G56" s="150" t="s">
        <v>267</v>
      </c>
      <c r="H56" s="59" t="s">
        <v>255</v>
      </c>
      <c r="I56" s="59" t="s">
        <v>256</v>
      </c>
      <c r="J56" s="560" t="s">
        <v>73</v>
      </c>
      <c r="K56" s="561"/>
    </row>
    <row r="57" spans="1:15" ht="36" customHeight="1">
      <c r="A57" s="130">
        <v>1</v>
      </c>
      <c r="B57" s="512" t="s">
        <v>257</v>
      </c>
      <c r="C57" s="513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14"/>
      <c r="K57" s="515"/>
    </row>
    <row r="58" spans="1:15" ht="36" customHeight="1">
      <c r="A58" s="130">
        <v>2</v>
      </c>
      <c r="B58" s="512" t="s">
        <v>259</v>
      </c>
      <c r="C58" s="513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14"/>
      <c r="K58" s="515"/>
      <c r="L58" s="141"/>
    </row>
    <row r="59" spans="1:15" ht="36" customHeight="1">
      <c r="A59" s="130">
        <v>3</v>
      </c>
      <c r="B59" s="512" t="s">
        <v>260</v>
      </c>
      <c r="C59" s="513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16"/>
      <c r="K59" s="517"/>
    </row>
    <row r="60" spans="1:15" ht="36" customHeight="1">
      <c r="A60" s="130">
        <v>4</v>
      </c>
      <c r="B60" s="512" t="s">
        <v>262</v>
      </c>
      <c r="C60" s="513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14"/>
      <c r="K60" s="515"/>
    </row>
    <row r="61" spans="1:15" ht="36" customHeight="1">
      <c r="A61" s="130">
        <v>5</v>
      </c>
      <c r="B61" s="512" t="s">
        <v>263</v>
      </c>
      <c r="C61" s="513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14"/>
      <c r="K61" s="515"/>
      <c r="M61" s="38"/>
    </row>
    <row r="62" spans="1:15" ht="37.35" customHeight="1">
      <c r="A62" s="130">
        <v>6</v>
      </c>
      <c r="B62" s="512" t="s">
        <v>264</v>
      </c>
      <c r="C62" s="513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16"/>
      <c r="K62" s="517"/>
    </row>
    <row r="63" spans="1:15" ht="37.35" customHeight="1">
      <c r="A63" s="130">
        <f>A62+1</f>
        <v>7</v>
      </c>
      <c r="B63" s="512" t="s">
        <v>265</v>
      </c>
      <c r="C63" s="513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16"/>
      <c r="K63" s="517"/>
    </row>
    <row r="64" spans="1:15" ht="37.35" customHeight="1">
      <c r="A64" s="130">
        <f t="shared" ref="A64:A76" si="4">A63+1</f>
        <v>8</v>
      </c>
      <c r="B64" s="512" t="s">
        <v>358</v>
      </c>
      <c r="C64" s="513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14"/>
      <c r="K64" s="515"/>
    </row>
    <row r="65" spans="1:13" ht="35.450000000000003" customHeight="1">
      <c r="A65" s="130">
        <f t="shared" si="4"/>
        <v>9</v>
      </c>
      <c r="B65" s="512" t="s">
        <v>339</v>
      </c>
      <c r="C65" s="513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16"/>
      <c r="K65" s="517"/>
      <c r="L65" s="132"/>
      <c r="M65" s="133"/>
    </row>
    <row r="66" spans="1:13" ht="37.35" customHeight="1">
      <c r="A66" s="130">
        <f t="shared" si="4"/>
        <v>10</v>
      </c>
      <c r="B66" s="512" t="s">
        <v>340</v>
      </c>
      <c r="C66" s="513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14"/>
      <c r="K66" s="515"/>
      <c r="L66" s="132"/>
      <c r="M66" s="133"/>
    </row>
    <row r="67" spans="1:13" ht="36.6" customHeight="1">
      <c r="A67" s="130">
        <f t="shared" si="4"/>
        <v>11</v>
      </c>
      <c r="B67" s="512" t="s">
        <v>343</v>
      </c>
      <c r="C67" s="513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16"/>
      <c r="K67" s="517"/>
      <c r="L67" s="132"/>
      <c r="M67" s="133"/>
    </row>
    <row r="68" spans="1:13" ht="35.450000000000003" customHeight="1">
      <c r="A68" s="130">
        <f t="shared" si="4"/>
        <v>12</v>
      </c>
      <c r="B68" s="512" t="s">
        <v>341</v>
      </c>
      <c r="C68" s="513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16"/>
      <c r="K68" s="517"/>
      <c r="L68" s="132"/>
      <c r="M68" s="133"/>
    </row>
    <row r="69" spans="1:13" ht="28.35" customHeight="1">
      <c r="A69" s="130">
        <f t="shared" si="4"/>
        <v>13</v>
      </c>
      <c r="B69" s="512" t="s">
        <v>348</v>
      </c>
      <c r="C69" s="513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16"/>
      <c r="K69" s="517"/>
      <c r="L69" s="132"/>
      <c r="M69" s="133"/>
    </row>
    <row r="70" spans="1:13" ht="28.35" customHeight="1">
      <c r="A70" s="130">
        <f t="shared" si="4"/>
        <v>14</v>
      </c>
      <c r="B70" s="512" t="s">
        <v>337</v>
      </c>
      <c r="C70" s="513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14" t="s">
        <v>383</v>
      </c>
      <c r="K70" s="515"/>
      <c r="L70" s="132"/>
      <c r="M70" s="133"/>
    </row>
    <row r="71" spans="1:13" ht="37.35" customHeight="1">
      <c r="A71" s="130">
        <f t="shared" si="4"/>
        <v>15</v>
      </c>
      <c r="B71" s="512" t="s">
        <v>342</v>
      </c>
      <c r="C71" s="513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16"/>
      <c r="K71" s="517"/>
      <c r="L71" s="132"/>
      <c r="M71" s="133"/>
    </row>
    <row r="72" spans="1:13" ht="28.35" customHeight="1">
      <c r="A72" s="130">
        <f t="shared" si="4"/>
        <v>16</v>
      </c>
      <c r="B72" s="512" t="s">
        <v>344</v>
      </c>
      <c r="C72" s="513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18"/>
      <c r="K72" s="519"/>
      <c r="L72" s="132"/>
      <c r="M72" s="133"/>
    </row>
    <row r="73" spans="1:13" ht="28.35" customHeight="1">
      <c r="A73" s="130">
        <f t="shared" si="4"/>
        <v>17</v>
      </c>
      <c r="B73" s="512" t="s">
        <v>336</v>
      </c>
      <c r="C73" s="513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18"/>
      <c r="K73" s="519"/>
    </row>
    <row r="74" spans="1:13" ht="28.35" customHeight="1">
      <c r="A74" s="130">
        <f t="shared" si="4"/>
        <v>18</v>
      </c>
      <c r="B74" s="512" t="s">
        <v>345</v>
      </c>
      <c r="C74" s="513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18"/>
      <c r="K74" s="519"/>
    </row>
    <row r="75" spans="1:13" ht="28.35" customHeight="1">
      <c r="A75" s="130">
        <f t="shared" si="4"/>
        <v>19</v>
      </c>
      <c r="B75" s="512" t="s">
        <v>346</v>
      </c>
      <c r="C75" s="513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18"/>
      <c r="K75" s="519"/>
    </row>
    <row r="76" spans="1:13" ht="28.35" customHeight="1">
      <c r="A76" s="130">
        <f t="shared" si="4"/>
        <v>20</v>
      </c>
      <c r="B76" s="512" t="s">
        <v>347</v>
      </c>
      <c r="C76" s="513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18"/>
      <c r="K76" s="519"/>
    </row>
  </sheetData>
  <mergeCells count="93"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  <mergeCell ref="D38:E38"/>
    <mergeCell ref="D41:E41"/>
    <mergeCell ref="F41:G41"/>
    <mergeCell ref="D39:E39"/>
    <mergeCell ref="D40:E40"/>
    <mergeCell ref="F38:G38"/>
    <mergeCell ref="F39:G39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A1:A4"/>
    <mergeCell ref="C2:E2"/>
    <mergeCell ref="C3:E3"/>
    <mergeCell ref="C4:E4"/>
    <mergeCell ref="A14:N14"/>
    <mergeCell ref="A8:L8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</mergeCells>
  <phoneticPr fontId="83" type="noConversion"/>
  <conditionalFormatting sqref="C10:K11 D44:D46">
    <cfRule type="cellIs" dxfId="713" priority="6" stopIfTrue="1" operator="greaterThan">
      <formula>600</formula>
    </cfRule>
  </conditionalFormatting>
  <conditionalFormatting sqref="D13">
    <cfRule type="cellIs" dxfId="712" priority="7" stopIfTrue="1" operator="greaterThan">
      <formula>600</formula>
    </cfRule>
  </conditionalFormatting>
  <conditionalFormatting sqref="D18">
    <cfRule type="cellIs" dxfId="711" priority="3" stopIfTrue="1" operator="greaterThan">
      <formula>600</formula>
    </cfRule>
  </conditionalFormatting>
  <conditionalFormatting sqref="D25:D26 D54:D55 D77:D186">
    <cfRule type="cellIs" dxfId="710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79" workbookViewId="0">
      <selection activeCell="I291" sqref="I291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78" t="s">
        <v>71</v>
      </c>
      <c r="H1" s="579"/>
      <c r="I1" s="579"/>
      <c r="J1" s="580"/>
      <c r="K1" s="30" t="s">
        <v>386</v>
      </c>
      <c r="L1" s="30" t="s">
        <v>192</v>
      </c>
      <c r="M1" s="30" t="s">
        <v>193</v>
      </c>
      <c r="N1" s="578" t="s">
        <v>194</v>
      </c>
      <c r="O1" s="579"/>
      <c r="P1" s="580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439</v>
      </c>
      <c r="C2" s="10" t="s">
        <v>195</v>
      </c>
      <c r="D2" s="10"/>
      <c r="E2" s="202">
        <v>45536</v>
      </c>
      <c r="F2" s="23">
        <v>43.775756000000008</v>
      </c>
      <c r="G2" s="568" t="s">
        <v>196</v>
      </c>
      <c r="H2" s="568"/>
      <c r="I2" s="568"/>
      <c r="J2" s="568"/>
      <c r="K2" s="202">
        <v>45551</v>
      </c>
      <c r="L2" s="203" t="s">
        <v>662</v>
      </c>
      <c r="M2" s="10"/>
      <c r="N2" s="577"/>
      <c r="O2" s="577"/>
      <c r="P2" s="577"/>
    </row>
    <row r="3" spans="1:47" ht="18.75">
      <c r="A3" s="10">
        <v>2</v>
      </c>
      <c r="B3" s="190" t="s">
        <v>440</v>
      </c>
      <c r="C3" s="10" t="s">
        <v>195</v>
      </c>
      <c r="D3" s="10"/>
      <c r="E3" s="202">
        <v>45551</v>
      </c>
      <c r="F3" s="23">
        <v>43.775756000000008</v>
      </c>
      <c r="G3" s="568" t="s">
        <v>196</v>
      </c>
      <c r="H3" s="568"/>
      <c r="I3" s="568"/>
      <c r="J3" s="568"/>
      <c r="K3" s="202">
        <v>45564</v>
      </c>
      <c r="L3" s="203" t="s">
        <v>662</v>
      </c>
      <c r="M3" s="10"/>
      <c r="N3" s="577"/>
      <c r="O3" s="577"/>
      <c r="P3" s="577"/>
    </row>
    <row r="4" spans="1:47" ht="15.75">
      <c r="A4" s="10">
        <v>3</v>
      </c>
      <c r="B4" s="27" t="s">
        <v>441</v>
      </c>
      <c r="C4" s="10" t="s">
        <v>195</v>
      </c>
      <c r="D4" s="10"/>
      <c r="E4" s="202">
        <v>45551</v>
      </c>
      <c r="F4" s="23">
        <v>43.775756000000008</v>
      </c>
      <c r="G4" s="568" t="s">
        <v>196</v>
      </c>
      <c r="H4" s="568"/>
      <c r="I4" s="568"/>
      <c r="J4" s="568"/>
      <c r="K4" s="202">
        <v>45566</v>
      </c>
      <c r="L4" s="203" t="s">
        <v>663</v>
      </c>
      <c r="M4" s="10"/>
      <c r="N4" s="577"/>
      <c r="O4" s="577"/>
      <c r="P4" s="577"/>
    </row>
    <row r="5" spans="1:47" ht="15.75">
      <c r="A5" s="10">
        <v>4</v>
      </c>
      <c r="B5" s="27" t="s">
        <v>442</v>
      </c>
      <c r="C5" s="10" t="s">
        <v>195</v>
      </c>
      <c r="D5" s="10"/>
      <c r="E5" s="202">
        <v>45566</v>
      </c>
      <c r="F5" s="23">
        <v>43.775756000000008</v>
      </c>
      <c r="G5" s="568" t="s">
        <v>196</v>
      </c>
      <c r="H5" s="568"/>
      <c r="I5" s="568"/>
      <c r="J5" s="568"/>
      <c r="K5" s="202">
        <v>45572</v>
      </c>
      <c r="L5" s="203" t="s">
        <v>662</v>
      </c>
      <c r="M5" s="10"/>
      <c r="N5" s="577"/>
      <c r="O5" s="577"/>
      <c r="P5" s="577"/>
    </row>
    <row r="6" spans="1:47" ht="15.75">
      <c r="A6" s="10">
        <v>5</v>
      </c>
      <c r="B6" s="27" t="s">
        <v>443</v>
      </c>
      <c r="C6" s="10" t="s">
        <v>195</v>
      </c>
      <c r="D6" s="10"/>
      <c r="E6" s="202">
        <v>45568</v>
      </c>
      <c r="F6" s="23">
        <v>43.775756000000008</v>
      </c>
      <c r="G6" s="568" t="s">
        <v>196</v>
      </c>
      <c r="H6" s="568"/>
      <c r="I6" s="568"/>
      <c r="J6" s="568"/>
      <c r="K6" s="202">
        <v>45580</v>
      </c>
      <c r="L6" s="203" t="s">
        <v>663</v>
      </c>
      <c r="M6" s="10"/>
      <c r="N6" s="577"/>
      <c r="O6" s="577"/>
      <c r="P6" s="577"/>
    </row>
    <row r="7" spans="1:47" ht="15.75">
      <c r="A7" s="10">
        <v>6</v>
      </c>
      <c r="B7" s="27" t="s">
        <v>444</v>
      </c>
      <c r="C7" s="10" t="s">
        <v>195</v>
      </c>
      <c r="D7" s="10"/>
      <c r="E7" s="202">
        <v>45573</v>
      </c>
      <c r="F7" s="23">
        <v>43.775756000000008</v>
      </c>
      <c r="G7" s="568" t="s">
        <v>196</v>
      </c>
      <c r="H7" s="568"/>
      <c r="I7" s="568"/>
      <c r="J7" s="568"/>
      <c r="K7" s="202">
        <v>45578</v>
      </c>
      <c r="L7" s="203" t="s">
        <v>662</v>
      </c>
      <c r="M7" s="10"/>
      <c r="N7" s="577"/>
      <c r="O7" s="577"/>
      <c r="P7" s="577"/>
    </row>
    <row r="8" spans="1:47" ht="15.75">
      <c r="A8" s="10">
        <v>7</v>
      </c>
      <c r="B8" s="27" t="s">
        <v>445</v>
      </c>
      <c r="C8" s="10" t="s">
        <v>224</v>
      </c>
      <c r="D8" s="10"/>
      <c r="E8" s="202">
        <v>45579</v>
      </c>
      <c r="F8" s="23">
        <v>46.049156000000004</v>
      </c>
      <c r="G8" s="568" t="s">
        <v>196</v>
      </c>
      <c r="H8" s="568"/>
      <c r="I8" s="568"/>
      <c r="J8" s="568"/>
      <c r="K8" s="202">
        <v>45584</v>
      </c>
      <c r="L8" s="203" t="s">
        <v>662</v>
      </c>
      <c r="M8" s="10"/>
      <c r="N8" s="577"/>
      <c r="O8" s="577"/>
      <c r="P8" s="577"/>
    </row>
    <row r="9" spans="1:47" ht="15.75">
      <c r="A9" s="10">
        <v>8</v>
      </c>
      <c r="B9" s="27" t="s">
        <v>446</v>
      </c>
      <c r="C9" s="10" t="s">
        <v>224</v>
      </c>
      <c r="D9" s="10"/>
      <c r="E9" s="202">
        <v>45580</v>
      </c>
      <c r="F9" s="23">
        <v>46.049156000000004</v>
      </c>
      <c r="G9" s="568" t="s">
        <v>196</v>
      </c>
      <c r="H9" s="568"/>
      <c r="I9" s="568"/>
      <c r="J9" s="568"/>
      <c r="K9" s="202">
        <v>45589</v>
      </c>
      <c r="L9" s="203" t="s">
        <v>663</v>
      </c>
      <c r="M9" s="10"/>
      <c r="N9" s="577"/>
      <c r="O9" s="577"/>
      <c r="P9" s="577"/>
    </row>
    <row r="10" spans="1:47" ht="15.75">
      <c r="A10" s="10">
        <v>9</v>
      </c>
      <c r="B10" s="27" t="s">
        <v>447</v>
      </c>
      <c r="C10" s="10" t="s">
        <v>224</v>
      </c>
      <c r="D10" s="10"/>
      <c r="E10" s="202">
        <v>45585</v>
      </c>
      <c r="F10" s="23">
        <v>46.049156000000004</v>
      </c>
      <c r="G10" s="568" t="s">
        <v>196</v>
      </c>
      <c r="H10" s="568"/>
      <c r="I10" s="568"/>
      <c r="J10" s="568"/>
      <c r="K10" s="202">
        <v>45589</v>
      </c>
      <c r="L10" s="203" t="s">
        <v>662</v>
      </c>
      <c r="M10" s="10"/>
      <c r="N10" s="577"/>
      <c r="O10" s="577"/>
      <c r="P10" s="577"/>
    </row>
    <row r="11" spans="1:47" ht="15.75">
      <c r="A11" s="10">
        <v>10</v>
      </c>
      <c r="B11" s="27" t="s">
        <v>448</v>
      </c>
      <c r="C11" s="10" t="s">
        <v>225</v>
      </c>
      <c r="D11" s="10"/>
      <c r="E11" s="202">
        <v>45589</v>
      </c>
      <c r="F11" s="23">
        <v>42.374236000000003</v>
      </c>
      <c r="G11" s="568" t="s">
        <v>196</v>
      </c>
      <c r="H11" s="568"/>
      <c r="I11" s="568"/>
      <c r="J11" s="568"/>
      <c r="K11" s="202">
        <v>45594</v>
      </c>
      <c r="L11" s="203" t="s">
        <v>662</v>
      </c>
      <c r="M11" s="10"/>
      <c r="N11" s="577"/>
      <c r="O11" s="577"/>
      <c r="P11" s="577"/>
    </row>
    <row r="12" spans="1:47" ht="15.75">
      <c r="A12" s="10">
        <v>11</v>
      </c>
      <c r="B12" s="27" t="s">
        <v>449</v>
      </c>
      <c r="C12" s="10" t="s">
        <v>224</v>
      </c>
      <c r="D12" s="10"/>
      <c r="E12" s="202">
        <v>45589</v>
      </c>
      <c r="F12" s="23">
        <v>46.049156000000004</v>
      </c>
      <c r="G12" s="568" t="s">
        <v>196</v>
      </c>
      <c r="H12" s="568"/>
      <c r="I12" s="568"/>
      <c r="J12" s="568"/>
      <c r="K12" s="202">
        <v>45596</v>
      </c>
      <c r="L12" s="203" t="s">
        <v>663</v>
      </c>
      <c r="M12" s="10"/>
      <c r="N12" s="577"/>
      <c r="O12" s="577"/>
      <c r="P12" s="577"/>
    </row>
    <row r="13" spans="1:47" ht="15.75">
      <c r="A13" s="10">
        <v>12</v>
      </c>
      <c r="B13" s="27" t="s">
        <v>450</v>
      </c>
      <c r="C13" s="10" t="s">
        <v>225</v>
      </c>
      <c r="D13" s="10"/>
      <c r="E13" s="202">
        <v>45597</v>
      </c>
      <c r="F13" s="23">
        <v>42.374236000000003</v>
      </c>
      <c r="G13" s="568" t="s">
        <v>196</v>
      </c>
      <c r="H13" s="568"/>
      <c r="I13" s="568"/>
      <c r="J13" s="568"/>
      <c r="K13" s="202">
        <v>45600</v>
      </c>
      <c r="L13" s="203" t="s">
        <v>662</v>
      </c>
      <c r="M13" s="10"/>
      <c r="N13" s="577"/>
      <c r="O13" s="577"/>
      <c r="P13" s="577"/>
    </row>
    <row r="14" spans="1:47" ht="15.75">
      <c r="A14" s="10">
        <v>13</v>
      </c>
      <c r="B14" s="27" t="s">
        <v>451</v>
      </c>
      <c r="C14" s="10" t="s">
        <v>224</v>
      </c>
      <c r="D14" s="10"/>
      <c r="E14" s="202">
        <v>45601</v>
      </c>
      <c r="F14" s="23">
        <v>46.049156000000004</v>
      </c>
      <c r="G14" s="568" t="s">
        <v>196</v>
      </c>
      <c r="H14" s="568"/>
      <c r="I14" s="568"/>
      <c r="J14" s="568"/>
      <c r="K14" s="202">
        <v>45606</v>
      </c>
      <c r="L14" s="203" t="s">
        <v>662</v>
      </c>
      <c r="M14" s="10"/>
      <c r="N14" s="577"/>
      <c r="O14" s="577"/>
      <c r="P14" s="577"/>
    </row>
    <row r="15" spans="1:47" ht="15.75">
      <c r="A15" s="10">
        <v>14</v>
      </c>
      <c r="B15" s="27" t="s">
        <v>452</v>
      </c>
      <c r="C15" s="10" t="s">
        <v>224</v>
      </c>
      <c r="D15" s="10"/>
      <c r="E15" s="202">
        <v>45597</v>
      </c>
      <c r="F15" s="23">
        <v>46.049156000000004</v>
      </c>
      <c r="G15" s="568" t="s">
        <v>196</v>
      </c>
      <c r="H15" s="568"/>
      <c r="I15" s="568"/>
      <c r="J15" s="568"/>
      <c r="K15" s="202" t="s">
        <v>661</v>
      </c>
      <c r="L15" s="203" t="s">
        <v>663</v>
      </c>
      <c r="M15" s="10"/>
      <c r="N15" s="577"/>
      <c r="O15" s="577"/>
      <c r="P15" s="577"/>
    </row>
    <row r="16" spans="1:47" ht="15.75">
      <c r="A16" s="10">
        <v>15</v>
      </c>
      <c r="B16" s="27" t="s">
        <v>453</v>
      </c>
      <c r="C16" s="10" t="s">
        <v>224</v>
      </c>
      <c r="D16" s="10"/>
      <c r="E16" s="202">
        <v>45606</v>
      </c>
      <c r="F16" s="23">
        <v>46.049156000000004</v>
      </c>
      <c r="G16" s="568" t="s">
        <v>196</v>
      </c>
      <c r="H16" s="568"/>
      <c r="I16" s="568"/>
      <c r="J16" s="568"/>
      <c r="K16" s="202">
        <v>45613</v>
      </c>
      <c r="L16" s="203" t="s">
        <v>662</v>
      </c>
      <c r="M16" s="10"/>
      <c r="N16" s="577"/>
      <c r="O16" s="577"/>
      <c r="P16" s="577"/>
    </row>
    <row r="17" spans="1:16" ht="15.75">
      <c r="A17" s="10">
        <v>16</v>
      </c>
      <c r="B17" s="27" t="s">
        <v>454</v>
      </c>
      <c r="C17" s="10" t="s">
        <v>224</v>
      </c>
      <c r="D17" s="10"/>
      <c r="E17" s="202">
        <v>45613</v>
      </c>
      <c r="F17" s="23">
        <v>46.049156000000004</v>
      </c>
      <c r="G17" s="568" t="s">
        <v>196</v>
      </c>
      <c r="H17" s="568"/>
      <c r="I17" s="568"/>
      <c r="J17" s="568"/>
      <c r="K17" s="202">
        <v>45618</v>
      </c>
      <c r="L17" s="203" t="s">
        <v>662</v>
      </c>
      <c r="M17" s="10"/>
      <c r="N17" s="577"/>
      <c r="O17" s="577"/>
      <c r="P17" s="577"/>
    </row>
    <row r="18" spans="1:16" ht="15.75">
      <c r="A18" s="10">
        <v>17</v>
      </c>
      <c r="B18" s="27" t="s">
        <v>455</v>
      </c>
      <c r="C18" s="10" t="s">
        <v>224</v>
      </c>
      <c r="D18" s="10"/>
      <c r="E18" s="202">
        <v>45606</v>
      </c>
      <c r="F18" s="23">
        <v>46.049156000000004</v>
      </c>
      <c r="G18" s="568" t="s">
        <v>196</v>
      </c>
      <c r="H18" s="568"/>
      <c r="I18" s="568"/>
      <c r="J18" s="568"/>
      <c r="K18" s="202">
        <v>45620</v>
      </c>
      <c r="L18" s="203" t="s">
        <v>664</v>
      </c>
      <c r="M18" s="10"/>
      <c r="N18" s="577"/>
      <c r="O18" s="577"/>
      <c r="P18" s="577"/>
    </row>
    <row r="19" spans="1:16" ht="15.75">
      <c r="A19" s="10">
        <v>18</v>
      </c>
      <c r="B19" s="27" t="s">
        <v>456</v>
      </c>
      <c r="C19" s="10" t="s">
        <v>224</v>
      </c>
      <c r="D19" s="10"/>
      <c r="E19" s="202">
        <v>45606</v>
      </c>
      <c r="F19" s="23">
        <v>46.049156000000004</v>
      </c>
      <c r="G19" s="568" t="s">
        <v>196</v>
      </c>
      <c r="H19" s="568"/>
      <c r="I19" s="568"/>
      <c r="J19" s="568"/>
      <c r="K19" s="202">
        <v>45622</v>
      </c>
      <c r="L19" s="203" t="s">
        <v>419</v>
      </c>
      <c r="M19" s="10"/>
      <c r="N19" s="577"/>
      <c r="O19" s="577"/>
      <c r="P19" s="577"/>
    </row>
    <row r="20" spans="1:16" ht="15.75">
      <c r="A20" s="10">
        <v>19</v>
      </c>
      <c r="B20" s="27" t="s">
        <v>457</v>
      </c>
      <c r="C20" s="10" t="s">
        <v>224</v>
      </c>
      <c r="D20" s="10"/>
      <c r="E20" s="202">
        <v>45610</v>
      </c>
      <c r="F20" s="23">
        <v>46.049156000000004</v>
      </c>
      <c r="G20" s="568" t="s">
        <v>196</v>
      </c>
      <c r="H20" s="568"/>
      <c r="I20" s="568"/>
      <c r="J20" s="568"/>
      <c r="K20" s="202">
        <v>45621</v>
      </c>
      <c r="L20" s="203" t="s">
        <v>665</v>
      </c>
      <c r="M20" s="10"/>
      <c r="N20" s="577"/>
      <c r="O20" s="577"/>
      <c r="P20" s="577"/>
    </row>
    <row r="21" spans="1:16" ht="15.75">
      <c r="A21" s="10">
        <v>20</v>
      </c>
      <c r="B21" s="27" t="s">
        <v>458</v>
      </c>
      <c r="C21" s="10" t="s">
        <v>224</v>
      </c>
      <c r="D21" s="10"/>
      <c r="E21" s="202">
        <v>45606</v>
      </c>
      <c r="F21" s="23">
        <v>46.049156000000004</v>
      </c>
      <c r="G21" s="568" t="s">
        <v>196</v>
      </c>
      <c r="H21" s="568"/>
      <c r="I21" s="568"/>
      <c r="J21" s="568"/>
      <c r="K21" s="202">
        <v>45621</v>
      </c>
      <c r="L21" s="203" t="s">
        <v>663</v>
      </c>
      <c r="M21" s="10"/>
      <c r="N21" s="577"/>
      <c r="O21" s="577"/>
      <c r="P21" s="577"/>
    </row>
    <row r="22" spans="1:16" ht="15.75">
      <c r="A22" s="10">
        <v>21</v>
      </c>
      <c r="B22" s="27" t="s">
        <v>459</v>
      </c>
      <c r="C22" s="10" t="s">
        <v>224</v>
      </c>
      <c r="D22" s="10"/>
      <c r="E22" s="202">
        <v>45618</v>
      </c>
      <c r="F22" s="23">
        <v>46.049156000000004</v>
      </c>
      <c r="G22" s="568" t="s">
        <v>196</v>
      </c>
      <c r="H22" s="568"/>
      <c r="I22" s="568"/>
      <c r="J22" s="568"/>
      <c r="K22" s="202">
        <v>45624</v>
      </c>
      <c r="L22" s="203" t="s">
        <v>662</v>
      </c>
      <c r="M22" s="10"/>
      <c r="N22" s="575"/>
      <c r="O22" s="575"/>
      <c r="P22" s="575"/>
    </row>
    <row r="23" spans="1:16" ht="15.7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68" t="s">
        <v>196</v>
      </c>
      <c r="H23" s="568"/>
      <c r="I23" s="568"/>
      <c r="J23" s="568"/>
      <c r="K23" s="202">
        <v>45625</v>
      </c>
      <c r="L23" s="203" t="s">
        <v>666</v>
      </c>
      <c r="M23" s="10"/>
      <c r="N23" s="581"/>
      <c r="O23" s="581"/>
      <c r="P23" s="581"/>
    </row>
    <row r="24" spans="1:16" ht="15.75">
      <c r="A24" s="10">
        <v>23</v>
      </c>
      <c r="B24" s="27" t="s">
        <v>460</v>
      </c>
      <c r="C24" s="10" t="s">
        <v>224</v>
      </c>
      <c r="D24" s="10"/>
      <c r="E24" s="202">
        <v>45622</v>
      </c>
      <c r="F24" s="23">
        <v>46.049156000000004</v>
      </c>
      <c r="G24" s="568" t="s">
        <v>196</v>
      </c>
      <c r="H24" s="568"/>
      <c r="I24" s="568"/>
      <c r="J24" s="568"/>
      <c r="K24" s="202">
        <v>45629</v>
      </c>
      <c r="L24" s="203" t="s">
        <v>664</v>
      </c>
      <c r="M24" s="10"/>
      <c r="N24" s="577"/>
      <c r="O24" s="577"/>
      <c r="P24" s="577"/>
    </row>
    <row r="25" spans="1:16" ht="15.75">
      <c r="A25" s="10">
        <v>24</v>
      </c>
      <c r="B25" s="27" t="s">
        <v>461</v>
      </c>
      <c r="C25" s="10" t="s">
        <v>195</v>
      </c>
      <c r="D25" s="10"/>
      <c r="E25" s="202">
        <v>45624</v>
      </c>
      <c r="F25" s="23">
        <v>43.775756000000008</v>
      </c>
      <c r="G25" s="568" t="s">
        <v>196</v>
      </c>
      <c r="H25" s="568"/>
      <c r="I25" s="568"/>
      <c r="J25" s="568"/>
      <c r="K25" s="202">
        <v>45631</v>
      </c>
      <c r="L25" s="203" t="s">
        <v>419</v>
      </c>
      <c r="M25" s="10"/>
      <c r="N25" s="577"/>
      <c r="O25" s="577"/>
      <c r="P25" s="577"/>
    </row>
    <row r="26" spans="1:16" ht="15.75">
      <c r="A26" s="10">
        <v>25</v>
      </c>
      <c r="B26" s="27" t="s">
        <v>462</v>
      </c>
      <c r="C26" s="10" t="s">
        <v>195</v>
      </c>
      <c r="D26" s="10"/>
      <c r="E26" s="202">
        <v>45625</v>
      </c>
      <c r="F26" s="23">
        <v>43.775756000000008</v>
      </c>
      <c r="G26" s="568" t="s">
        <v>196</v>
      </c>
      <c r="H26" s="568"/>
      <c r="I26" s="568"/>
      <c r="J26" s="568"/>
      <c r="K26" s="202">
        <v>45631</v>
      </c>
      <c r="L26" s="203" t="s">
        <v>662</v>
      </c>
      <c r="M26" s="10"/>
      <c r="N26" s="575"/>
      <c r="O26" s="575"/>
      <c r="P26" s="575"/>
    </row>
    <row r="27" spans="1:16" ht="15.75">
      <c r="A27" s="10">
        <v>26</v>
      </c>
      <c r="B27" s="27" t="s">
        <v>463</v>
      </c>
      <c r="C27" s="10" t="s">
        <v>224</v>
      </c>
      <c r="D27" s="10"/>
      <c r="E27" s="202">
        <v>45624</v>
      </c>
      <c r="F27" s="23">
        <v>46.049156000000004</v>
      </c>
      <c r="G27" s="568" t="s">
        <v>196</v>
      </c>
      <c r="H27" s="568"/>
      <c r="I27" s="568"/>
      <c r="J27" s="568"/>
      <c r="K27" s="202">
        <v>45631</v>
      </c>
      <c r="L27" s="203" t="s">
        <v>665</v>
      </c>
      <c r="M27" s="10"/>
      <c r="N27" s="575"/>
      <c r="O27" s="575"/>
      <c r="P27" s="575"/>
    </row>
    <row r="28" spans="1:16" ht="15.75">
      <c r="A28" s="10">
        <v>27</v>
      </c>
      <c r="B28" s="27" t="s">
        <v>464</v>
      </c>
      <c r="C28" s="10" t="s">
        <v>195</v>
      </c>
      <c r="D28" s="10"/>
      <c r="E28" s="202">
        <v>45625</v>
      </c>
      <c r="F28" s="23">
        <v>43.775756000000008</v>
      </c>
      <c r="G28" s="568" t="s">
        <v>196</v>
      </c>
      <c r="H28" s="568"/>
      <c r="I28" s="568"/>
      <c r="J28" s="568"/>
      <c r="K28" s="202">
        <v>45632</v>
      </c>
      <c r="L28" s="203" t="s">
        <v>663</v>
      </c>
      <c r="M28" s="10"/>
      <c r="N28" s="575"/>
      <c r="O28" s="575"/>
      <c r="P28" s="575"/>
    </row>
    <row r="29" spans="1:16" ht="15.75">
      <c r="A29" s="10">
        <v>28</v>
      </c>
      <c r="B29" s="27" t="s">
        <v>465</v>
      </c>
      <c r="C29" s="10" t="s">
        <v>195</v>
      </c>
      <c r="D29" s="10"/>
      <c r="E29" s="202">
        <v>45627</v>
      </c>
      <c r="F29" s="23">
        <v>43.775756000000008</v>
      </c>
      <c r="G29" s="568" t="s">
        <v>196</v>
      </c>
      <c r="H29" s="568"/>
      <c r="I29" s="568"/>
      <c r="J29" s="568"/>
      <c r="K29" s="202">
        <v>45635</v>
      </c>
      <c r="L29" s="203" t="s">
        <v>664</v>
      </c>
      <c r="M29" s="10"/>
      <c r="N29" s="575"/>
      <c r="O29" s="575"/>
      <c r="P29" s="575"/>
    </row>
    <row r="30" spans="1:16" ht="15.7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68" t="s">
        <v>196</v>
      </c>
      <c r="H30" s="568"/>
      <c r="I30" s="568"/>
      <c r="J30" s="568"/>
      <c r="K30" s="202">
        <v>45636</v>
      </c>
      <c r="L30" s="203" t="s">
        <v>666</v>
      </c>
      <c r="M30" s="10"/>
      <c r="N30" s="575"/>
      <c r="O30" s="575"/>
      <c r="P30" s="575"/>
    </row>
    <row r="31" spans="1:16" ht="15.75">
      <c r="A31" s="10">
        <v>30</v>
      </c>
      <c r="B31" s="27" t="s">
        <v>466</v>
      </c>
      <c r="C31" s="10" t="s">
        <v>195</v>
      </c>
      <c r="D31" s="10"/>
      <c r="E31" s="202">
        <v>45632</v>
      </c>
      <c r="F31" s="23">
        <v>43.775756000000008</v>
      </c>
      <c r="G31" s="568" t="s">
        <v>196</v>
      </c>
      <c r="H31" s="568"/>
      <c r="I31" s="568"/>
      <c r="J31" s="568"/>
      <c r="K31" s="202">
        <v>45638</v>
      </c>
      <c r="L31" s="203" t="s">
        <v>662</v>
      </c>
      <c r="M31" s="10"/>
      <c r="N31" s="575"/>
      <c r="O31" s="575"/>
      <c r="P31" s="575"/>
    </row>
    <row r="32" spans="1:16" ht="15.75">
      <c r="A32" s="10">
        <v>31</v>
      </c>
      <c r="B32" s="27" t="s">
        <v>467</v>
      </c>
      <c r="C32" s="10" t="s">
        <v>195</v>
      </c>
      <c r="D32" s="10"/>
      <c r="E32" s="202">
        <v>45632</v>
      </c>
      <c r="F32" s="23">
        <v>43.775756000000008</v>
      </c>
      <c r="G32" s="568" t="s">
        <v>196</v>
      </c>
      <c r="H32" s="568"/>
      <c r="I32" s="568"/>
      <c r="J32" s="568"/>
      <c r="K32" s="202">
        <v>45638</v>
      </c>
      <c r="L32" s="203" t="s">
        <v>665</v>
      </c>
      <c r="M32" s="10"/>
      <c r="N32" s="575"/>
      <c r="O32" s="575"/>
      <c r="P32" s="575"/>
    </row>
    <row r="33" spans="1:16" ht="15.75">
      <c r="A33" s="10">
        <v>32</v>
      </c>
      <c r="B33" s="27" t="s">
        <v>468</v>
      </c>
      <c r="C33" s="10" t="s">
        <v>195</v>
      </c>
      <c r="D33" s="10"/>
      <c r="E33" s="202">
        <v>45632</v>
      </c>
      <c r="F33" s="23">
        <v>43.775756000000008</v>
      </c>
      <c r="G33" s="568" t="s">
        <v>196</v>
      </c>
      <c r="H33" s="568"/>
      <c r="I33" s="568"/>
      <c r="J33" s="568"/>
      <c r="K33" s="202">
        <v>45639</v>
      </c>
      <c r="L33" s="203" t="s">
        <v>419</v>
      </c>
      <c r="M33" s="10"/>
      <c r="N33" s="575"/>
      <c r="O33" s="575"/>
      <c r="P33" s="575"/>
    </row>
    <row r="34" spans="1:16" ht="15.75">
      <c r="A34" s="10">
        <v>33</v>
      </c>
      <c r="B34" s="27" t="s">
        <v>469</v>
      </c>
      <c r="C34" s="10" t="s">
        <v>224</v>
      </c>
      <c r="D34" s="10"/>
      <c r="E34" s="202">
        <v>45636</v>
      </c>
      <c r="F34" s="23">
        <v>46.049156000000004</v>
      </c>
      <c r="G34" s="568" t="s">
        <v>196</v>
      </c>
      <c r="H34" s="568"/>
      <c r="I34" s="568"/>
      <c r="J34" s="568"/>
      <c r="K34" s="202">
        <v>45642</v>
      </c>
      <c r="L34" s="203" t="s">
        <v>664</v>
      </c>
      <c r="M34" s="10"/>
      <c r="N34" s="575"/>
      <c r="O34" s="575"/>
      <c r="P34" s="575"/>
    </row>
    <row r="35" spans="1:16" ht="15.75">
      <c r="A35" s="10">
        <v>34</v>
      </c>
      <c r="B35" s="27" t="s">
        <v>470</v>
      </c>
      <c r="C35" s="10" t="s">
        <v>225</v>
      </c>
      <c r="D35" s="10"/>
      <c r="E35" s="202">
        <v>45638</v>
      </c>
      <c r="F35" s="23">
        <v>42.374236000000003</v>
      </c>
      <c r="G35" s="568" t="s">
        <v>196</v>
      </c>
      <c r="H35" s="568"/>
      <c r="I35" s="568"/>
      <c r="J35" s="568"/>
      <c r="K35" s="202">
        <v>45642</v>
      </c>
      <c r="L35" s="203" t="s">
        <v>665</v>
      </c>
      <c r="M35" s="10"/>
      <c r="N35" s="575"/>
      <c r="O35" s="575"/>
      <c r="P35" s="575"/>
    </row>
    <row r="36" spans="1:16" ht="15.75">
      <c r="A36" s="10">
        <v>35</v>
      </c>
      <c r="B36" s="27" t="s">
        <v>471</v>
      </c>
      <c r="C36" s="10" t="s">
        <v>195</v>
      </c>
      <c r="D36" s="10"/>
      <c r="E36" s="202">
        <v>45638</v>
      </c>
      <c r="F36" s="23">
        <v>43.775756000000008</v>
      </c>
      <c r="G36" s="568" t="s">
        <v>196</v>
      </c>
      <c r="H36" s="568"/>
      <c r="I36" s="568"/>
      <c r="J36" s="568"/>
      <c r="K36" s="202">
        <v>45643</v>
      </c>
      <c r="L36" s="203" t="s">
        <v>662</v>
      </c>
      <c r="M36" s="10"/>
      <c r="N36" s="575"/>
      <c r="O36" s="575"/>
      <c r="P36" s="575"/>
    </row>
    <row r="37" spans="1:16" ht="15.7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68" t="s">
        <v>196</v>
      </c>
      <c r="H37" s="568"/>
      <c r="I37" s="568"/>
      <c r="J37" s="568"/>
      <c r="K37" s="202">
        <v>45645</v>
      </c>
      <c r="L37" s="203" t="s">
        <v>663</v>
      </c>
      <c r="M37" s="10"/>
      <c r="N37" s="575"/>
      <c r="O37" s="575"/>
      <c r="P37" s="575"/>
    </row>
    <row r="38" spans="1:16" ht="15.7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68" t="s">
        <v>196</v>
      </c>
      <c r="H38" s="568"/>
      <c r="I38" s="568"/>
      <c r="J38" s="568"/>
      <c r="K38" s="202">
        <v>45646</v>
      </c>
      <c r="L38" s="203" t="s">
        <v>666</v>
      </c>
      <c r="M38" s="10"/>
      <c r="N38" s="575"/>
      <c r="O38" s="575"/>
      <c r="P38" s="575"/>
    </row>
    <row r="39" spans="1:16" ht="15.75">
      <c r="A39" s="10">
        <v>38</v>
      </c>
      <c r="B39" s="27" t="s">
        <v>472</v>
      </c>
      <c r="C39" s="10" t="s">
        <v>195</v>
      </c>
      <c r="D39" s="10"/>
      <c r="E39" s="202">
        <v>45639</v>
      </c>
      <c r="F39" s="23">
        <v>43.775756000000008</v>
      </c>
      <c r="G39" s="568" t="s">
        <v>196</v>
      </c>
      <c r="H39" s="568"/>
      <c r="I39" s="568"/>
      <c r="J39" s="568"/>
      <c r="K39" s="202">
        <v>45647</v>
      </c>
      <c r="L39" s="203" t="s">
        <v>419</v>
      </c>
      <c r="M39" s="10"/>
      <c r="N39" s="575"/>
      <c r="O39" s="575"/>
      <c r="P39" s="575"/>
    </row>
    <row r="40" spans="1:16" ht="15.75">
      <c r="A40" s="10">
        <v>39</v>
      </c>
      <c r="B40" s="27" t="s">
        <v>473</v>
      </c>
      <c r="C40" s="10" t="s">
        <v>195</v>
      </c>
      <c r="D40" s="10"/>
      <c r="E40" s="202">
        <v>45643</v>
      </c>
      <c r="F40" s="23">
        <v>43.775756000000008</v>
      </c>
      <c r="G40" s="568" t="s">
        <v>196</v>
      </c>
      <c r="H40" s="568"/>
      <c r="I40" s="568"/>
      <c r="J40" s="568"/>
      <c r="K40" s="202">
        <v>45648</v>
      </c>
      <c r="L40" s="203" t="s">
        <v>665</v>
      </c>
      <c r="M40" s="10"/>
      <c r="N40" s="575"/>
      <c r="O40" s="575"/>
      <c r="P40" s="575"/>
    </row>
    <row r="41" spans="1:16" ht="18.75">
      <c r="A41" s="10">
        <v>40</v>
      </c>
      <c r="B41" s="27" t="s">
        <v>474</v>
      </c>
      <c r="C41" s="10" t="s">
        <v>195</v>
      </c>
      <c r="D41" s="10"/>
      <c r="E41" s="202">
        <v>45644</v>
      </c>
      <c r="F41" s="23">
        <v>43.775756000000008</v>
      </c>
      <c r="G41" s="568" t="s">
        <v>196</v>
      </c>
      <c r="H41" s="568"/>
      <c r="I41" s="568"/>
      <c r="J41" s="568"/>
      <c r="K41" s="202">
        <v>45649</v>
      </c>
      <c r="L41" s="204" t="s">
        <v>662</v>
      </c>
      <c r="M41" s="10"/>
      <c r="N41" s="576"/>
      <c r="O41" s="576"/>
      <c r="P41" s="576"/>
    </row>
    <row r="42" spans="1:16" ht="28.5">
      <c r="A42" s="10">
        <v>41</v>
      </c>
      <c r="B42" s="27" t="s">
        <v>475</v>
      </c>
      <c r="C42" s="10" t="s">
        <v>224</v>
      </c>
      <c r="D42" s="10"/>
      <c r="E42" s="202">
        <v>45644</v>
      </c>
      <c r="F42" s="23">
        <v>46.049156000000004</v>
      </c>
      <c r="G42" s="568" t="s">
        <v>196</v>
      </c>
      <c r="H42" s="568"/>
      <c r="I42" s="568"/>
      <c r="J42" s="568"/>
      <c r="K42" s="202">
        <v>45649</v>
      </c>
      <c r="L42" s="203" t="s">
        <v>664</v>
      </c>
      <c r="M42" s="10"/>
      <c r="N42" s="574"/>
      <c r="O42" s="574"/>
      <c r="P42" s="574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68" t="s">
        <v>196</v>
      </c>
      <c r="H43" s="568"/>
      <c r="I43" s="568"/>
      <c r="J43" s="568"/>
      <c r="K43" s="202">
        <v>45653</v>
      </c>
      <c r="L43" s="203" t="s">
        <v>666</v>
      </c>
      <c r="M43" s="10"/>
      <c r="N43" s="574"/>
      <c r="O43" s="574"/>
      <c r="P43" s="574"/>
    </row>
    <row r="44" spans="1:16" ht="28.5">
      <c r="A44" s="10">
        <v>43</v>
      </c>
      <c r="B44" s="27" t="s">
        <v>476</v>
      </c>
      <c r="C44" s="10" t="s">
        <v>225</v>
      </c>
      <c r="D44" s="10"/>
      <c r="E44" s="202">
        <v>45648</v>
      </c>
      <c r="F44" s="23">
        <v>42.374236000000003</v>
      </c>
      <c r="G44" s="568" t="s">
        <v>196</v>
      </c>
      <c r="H44" s="568"/>
      <c r="I44" s="568"/>
      <c r="J44" s="568"/>
      <c r="K44" s="202">
        <v>45653</v>
      </c>
      <c r="L44" s="203" t="s">
        <v>419</v>
      </c>
      <c r="M44" s="10"/>
      <c r="N44" s="574"/>
      <c r="O44" s="574"/>
      <c r="P44" s="574"/>
    </row>
    <row r="45" spans="1:16" ht="21">
      <c r="A45" s="10">
        <v>44</v>
      </c>
      <c r="B45" s="27" t="s">
        <v>477</v>
      </c>
      <c r="C45" s="10" t="s">
        <v>224</v>
      </c>
      <c r="D45" s="10"/>
      <c r="E45" s="202">
        <v>45650</v>
      </c>
      <c r="F45" s="23">
        <v>46.049156000000004</v>
      </c>
      <c r="G45" s="568" t="s">
        <v>196</v>
      </c>
      <c r="H45" s="568"/>
      <c r="I45" s="568"/>
      <c r="J45" s="568"/>
      <c r="K45" s="202">
        <v>45653</v>
      </c>
      <c r="L45" s="203" t="s">
        <v>665</v>
      </c>
      <c r="M45" s="10"/>
      <c r="N45" s="573"/>
      <c r="O45" s="573"/>
      <c r="P45" s="573"/>
    </row>
    <row r="46" spans="1:16" ht="21">
      <c r="A46" s="10">
        <v>45</v>
      </c>
      <c r="B46" s="27" t="s">
        <v>478</v>
      </c>
      <c r="C46" s="10" t="s">
        <v>195</v>
      </c>
      <c r="D46" s="10"/>
      <c r="E46" s="202">
        <v>45650</v>
      </c>
      <c r="F46" s="23">
        <v>43.775756000000008</v>
      </c>
      <c r="G46" s="568" t="s">
        <v>196</v>
      </c>
      <c r="H46" s="568"/>
      <c r="I46" s="568"/>
      <c r="J46" s="568"/>
      <c r="K46" s="202">
        <v>45656</v>
      </c>
      <c r="L46" s="203" t="s">
        <v>664</v>
      </c>
      <c r="M46" s="10"/>
      <c r="N46" s="573"/>
      <c r="O46" s="573"/>
      <c r="P46" s="573"/>
    </row>
    <row r="47" spans="1:16" ht="21">
      <c r="A47" s="10">
        <v>46</v>
      </c>
      <c r="B47" s="27" t="s">
        <v>479</v>
      </c>
      <c r="C47" s="10" t="s">
        <v>224</v>
      </c>
      <c r="D47" s="10"/>
      <c r="E47" s="202">
        <v>45646</v>
      </c>
      <c r="F47" s="23">
        <v>46.049156000000004</v>
      </c>
      <c r="G47" s="568" t="s">
        <v>196</v>
      </c>
      <c r="H47" s="568"/>
      <c r="I47" s="568"/>
      <c r="J47" s="568"/>
      <c r="K47" s="202">
        <v>45657</v>
      </c>
      <c r="L47" s="203" t="s">
        <v>663</v>
      </c>
      <c r="M47" s="10"/>
      <c r="N47" s="573"/>
      <c r="O47" s="573"/>
      <c r="P47" s="573"/>
    </row>
    <row r="48" spans="1:16" ht="21">
      <c r="A48" s="10">
        <v>47</v>
      </c>
      <c r="B48" s="27" t="s">
        <v>480</v>
      </c>
      <c r="C48" s="10" t="s">
        <v>225</v>
      </c>
      <c r="D48" s="10"/>
      <c r="E48" s="202">
        <v>45650</v>
      </c>
      <c r="F48" s="23">
        <v>42.374236000000003</v>
      </c>
      <c r="G48" s="568" t="s">
        <v>196</v>
      </c>
      <c r="H48" s="568"/>
      <c r="I48" s="568"/>
      <c r="J48" s="568"/>
      <c r="K48" s="202">
        <v>45657</v>
      </c>
      <c r="L48" s="203" t="s">
        <v>662</v>
      </c>
      <c r="M48" s="10"/>
      <c r="N48" s="573"/>
      <c r="O48" s="573"/>
      <c r="P48" s="573"/>
    </row>
    <row r="49" spans="1:16" ht="21">
      <c r="A49" s="10">
        <v>48</v>
      </c>
      <c r="B49" s="27" t="s">
        <v>481</v>
      </c>
      <c r="C49" s="10" t="s">
        <v>224</v>
      </c>
      <c r="D49" s="10"/>
      <c r="E49" s="202">
        <v>45650</v>
      </c>
      <c r="F49" s="23">
        <v>46.049156000000004</v>
      </c>
      <c r="G49" s="568" t="s">
        <v>196</v>
      </c>
      <c r="H49" s="568"/>
      <c r="I49" s="568"/>
      <c r="J49" s="568"/>
      <c r="K49" s="202">
        <v>45660</v>
      </c>
      <c r="L49" s="203" t="s">
        <v>667</v>
      </c>
      <c r="M49" s="10"/>
      <c r="N49" s="573"/>
      <c r="O49" s="573"/>
      <c r="P49" s="573"/>
    </row>
    <row r="50" spans="1:16" ht="26.25">
      <c r="A50" s="10">
        <v>49</v>
      </c>
      <c r="B50" s="27" t="s">
        <v>482</v>
      </c>
      <c r="C50" s="10" t="s">
        <v>224</v>
      </c>
      <c r="D50" s="10"/>
      <c r="E50" s="202">
        <v>45654</v>
      </c>
      <c r="F50" s="23">
        <v>46.049156000000004</v>
      </c>
      <c r="G50" s="568" t="s">
        <v>196</v>
      </c>
      <c r="H50" s="568"/>
      <c r="I50" s="568"/>
      <c r="J50" s="568"/>
      <c r="K50" s="202">
        <v>45660</v>
      </c>
      <c r="L50" s="203" t="s">
        <v>665</v>
      </c>
      <c r="M50" s="10"/>
      <c r="N50" s="571"/>
      <c r="O50" s="571"/>
      <c r="P50" s="571"/>
    </row>
    <row r="51" spans="1:16" ht="26.25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68" t="s">
        <v>196</v>
      </c>
      <c r="H51" s="568"/>
      <c r="I51" s="568"/>
      <c r="J51" s="568"/>
      <c r="K51" s="202">
        <v>45661</v>
      </c>
      <c r="L51" s="203" t="s">
        <v>666</v>
      </c>
      <c r="M51" s="10"/>
      <c r="N51" s="571"/>
      <c r="O51" s="571"/>
      <c r="P51" s="571"/>
    </row>
    <row r="52" spans="1:16" ht="26.25">
      <c r="A52" s="10">
        <v>51</v>
      </c>
      <c r="B52" s="27" t="s">
        <v>483</v>
      </c>
      <c r="C52" s="10" t="s">
        <v>224</v>
      </c>
      <c r="D52" s="10"/>
      <c r="E52" s="202">
        <v>45657</v>
      </c>
      <c r="F52" s="23">
        <v>46.049156000000004</v>
      </c>
      <c r="G52" s="568" t="s">
        <v>196</v>
      </c>
      <c r="H52" s="568"/>
      <c r="I52" s="568"/>
      <c r="J52" s="568"/>
      <c r="K52" s="202">
        <v>45664</v>
      </c>
      <c r="L52" s="203" t="s">
        <v>664</v>
      </c>
      <c r="M52" s="10"/>
      <c r="N52" s="571"/>
      <c r="O52" s="571"/>
      <c r="P52" s="571"/>
    </row>
    <row r="53" spans="1:16" ht="26.25">
      <c r="A53" s="10">
        <v>52</v>
      </c>
      <c r="B53" s="27" t="s">
        <v>484</v>
      </c>
      <c r="C53" s="10" t="s">
        <v>195</v>
      </c>
      <c r="D53" s="10"/>
      <c r="E53" s="202">
        <v>45654</v>
      </c>
      <c r="F53" s="23">
        <v>43.775756000000008</v>
      </c>
      <c r="G53" s="568" t="s">
        <v>196</v>
      </c>
      <c r="H53" s="568"/>
      <c r="I53" s="568"/>
      <c r="J53" s="568"/>
      <c r="K53" s="202">
        <v>45665</v>
      </c>
      <c r="L53" s="203" t="s">
        <v>419</v>
      </c>
      <c r="M53" s="10"/>
      <c r="N53" s="571"/>
      <c r="O53" s="571"/>
      <c r="P53" s="571"/>
    </row>
    <row r="54" spans="1:16" ht="26.25">
      <c r="A54" s="10">
        <v>53</v>
      </c>
      <c r="B54" s="27" t="s">
        <v>485</v>
      </c>
      <c r="C54" s="10" t="s">
        <v>224</v>
      </c>
      <c r="D54" s="10"/>
      <c r="E54" s="202">
        <v>45658</v>
      </c>
      <c r="F54" s="23">
        <v>46.049156000000004</v>
      </c>
      <c r="G54" s="568" t="s">
        <v>196</v>
      </c>
      <c r="H54" s="568"/>
      <c r="I54" s="568"/>
      <c r="J54" s="568"/>
      <c r="K54" s="202">
        <v>45667</v>
      </c>
      <c r="L54" s="203" t="s">
        <v>662</v>
      </c>
      <c r="M54" s="10"/>
      <c r="N54" s="571"/>
      <c r="O54" s="571"/>
      <c r="P54" s="571"/>
    </row>
    <row r="55" spans="1:16" ht="26.25">
      <c r="A55" s="10">
        <v>54</v>
      </c>
      <c r="B55" s="193" t="s">
        <v>486</v>
      </c>
      <c r="C55" s="10" t="s">
        <v>225</v>
      </c>
      <c r="D55" s="10"/>
      <c r="E55" s="202">
        <v>45661</v>
      </c>
      <c r="F55" s="23">
        <v>42.374236000000003</v>
      </c>
      <c r="G55" s="568" t="s">
        <v>196</v>
      </c>
      <c r="H55" s="568"/>
      <c r="I55" s="568"/>
      <c r="J55" s="568"/>
      <c r="K55" s="202">
        <v>45668</v>
      </c>
      <c r="L55" s="203" t="s">
        <v>667</v>
      </c>
      <c r="M55" s="10"/>
      <c r="N55" s="571"/>
      <c r="O55" s="571"/>
      <c r="P55" s="571"/>
    </row>
    <row r="56" spans="1:16" ht="26.25">
      <c r="A56" s="10">
        <v>55</v>
      </c>
      <c r="B56" s="193" t="s">
        <v>487</v>
      </c>
      <c r="C56" s="10" t="s">
        <v>224</v>
      </c>
      <c r="D56" s="10"/>
      <c r="E56" s="202">
        <v>45660</v>
      </c>
      <c r="F56" s="23">
        <v>46.049156000000004</v>
      </c>
      <c r="G56" s="568" t="s">
        <v>196</v>
      </c>
      <c r="H56" s="568"/>
      <c r="I56" s="568"/>
      <c r="J56" s="568"/>
      <c r="K56" s="202">
        <v>45668</v>
      </c>
      <c r="L56" s="203" t="s">
        <v>665</v>
      </c>
      <c r="M56" s="10"/>
      <c r="N56" s="571"/>
      <c r="O56" s="571"/>
      <c r="P56" s="571"/>
    </row>
    <row r="57" spans="1:16" ht="26.25">
      <c r="A57" s="10">
        <v>56</v>
      </c>
      <c r="B57" s="193" t="s">
        <v>488</v>
      </c>
      <c r="C57" s="10" t="s">
        <v>224</v>
      </c>
      <c r="D57" s="10"/>
      <c r="E57" s="202">
        <v>45665</v>
      </c>
      <c r="F57" s="23">
        <v>46.049156000000004</v>
      </c>
      <c r="G57" s="568" t="s">
        <v>196</v>
      </c>
      <c r="H57" s="568"/>
      <c r="I57" s="568"/>
      <c r="J57" s="568"/>
      <c r="K57" s="202">
        <v>45671</v>
      </c>
      <c r="L57" s="203" t="s">
        <v>664</v>
      </c>
      <c r="M57" s="10"/>
      <c r="N57" s="571"/>
      <c r="O57" s="571"/>
      <c r="P57" s="571"/>
    </row>
    <row r="58" spans="1:16" ht="26.25">
      <c r="A58" s="10">
        <v>57</v>
      </c>
      <c r="B58" s="193" t="s">
        <v>489</v>
      </c>
      <c r="C58" s="10" t="s">
        <v>224</v>
      </c>
      <c r="D58" s="10"/>
      <c r="E58" s="202">
        <v>45664</v>
      </c>
      <c r="F58" s="23">
        <v>46.049156000000004</v>
      </c>
      <c r="G58" s="568" t="s">
        <v>196</v>
      </c>
      <c r="H58" s="568"/>
      <c r="I58" s="568"/>
      <c r="J58" s="568"/>
      <c r="K58" s="202">
        <v>45672</v>
      </c>
      <c r="L58" s="203" t="s">
        <v>666</v>
      </c>
      <c r="M58" s="10"/>
      <c r="N58" s="571"/>
      <c r="O58" s="571"/>
      <c r="P58" s="571"/>
    </row>
    <row r="59" spans="1:16" ht="26.25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68" t="s">
        <v>196</v>
      </c>
      <c r="H59" s="568"/>
      <c r="I59" s="568"/>
      <c r="J59" s="568"/>
      <c r="K59" s="202">
        <v>45674</v>
      </c>
      <c r="L59" s="203" t="s">
        <v>663</v>
      </c>
      <c r="M59" s="10"/>
      <c r="N59" s="571"/>
      <c r="O59" s="571"/>
      <c r="P59" s="571"/>
    </row>
    <row r="60" spans="1:16" ht="26.25">
      <c r="A60" s="10">
        <v>59</v>
      </c>
      <c r="B60" s="193" t="s">
        <v>490</v>
      </c>
      <c r="C60" s="10" t="s">
        <v>224</v>
      </c>
      <c r="D60" s="10"/>
      <c r="E60" s="202">
        <v>45666</v>
      </c>
      <c r="F60" s="23">
        <v>46.049156000000004</v>
      </c>
      <c r="G60" s="568" t="s">
        <v>196</v>
      </c>
      <c r="H60" s="568"/>
      <c r="I60" s="568"/>
      <c r="J60" s="568"/>
      <c r="K60" s="202">
        <v>45674</v>
      </c>
      <c r="L60" s="203" t="s">
        <v>419</v>
      </c>
      <c r="M60" s="10"/>
      <c r="N60" s="571"/>
      <c r="O60" s="571"/>
      <c r="P60" s="571"/>
    </row>
    <row r="61" spans="1:16" ht="26.25">
      <c r="A61" s="10">
        <v>60</v>
      </c>
      <c r="B61" s="193" t="s">
        <v>491</v>
      </c>
      <c r="C61" s="10" t="s">
        <v>195</v>
      </c>
      <c r="D61" s="10"/>
      <c r="E61" s="202">
        <v>45667</v>
      </c>
      <c r="F61" s="23">
        <v>43.775756000000008</v>
      </c>
      <c r="G61" s="568" t="s">
        <v>196</v>
      </c>
      <c r="H61" s="568"/>
      <c r="I61" s="568"/>
      <c r="J61" s="568"/>
      <c r="K61" s="202">
        <v>45674</v>
      </c>
      <c r="L61" s="203" t="s">
        <v>662</v>
      </c>
      <c r="M61" s="10"/>
      <c r="N61" s="571"/>
      <c r="O61" s="571"/>
      <c r="P61" s="571"/>
    </row>
    <row r="62" spans="1:16" ht="26.25">
      <c r="A62" s="10">
        <v>61</v>
      </c>
      <c r="B62" s="193" t="s">
        <v>492</v>
      </c>
      <c r="C62" s="10" t="s">
        <v>195</v>
      </c>
      <c r="D62" s="10"/>
      <c r="E62" s="202">
        <v>45668</v>
      </c>
      <c r="F62" s="23">
        <v>43.775756000000008</v>
      </c>
      <c r="G62" s="568" t="s">
        <v>196</v>
      </c>
      <c r="H62" s="568"/>
      <c r="I62" s="568"/>
      <c r="J62" s="568"/>
      <c r="K62" s="202">
        <v>45676</v>
      </c>
      <c r="L62" s="203" t="s">
        <v>667</v>
      </c>
      <c r="M62" s="10"/>
      <c r="N62" s="571"/>
      <c r="O62" s="571"/>
      <c r="P62" s="571"/>
    </row>
    <row r="63" spans="1:16" ht="26.25">
      <c r="A63" s="10">
        <v>62</v>
      </c>
      <c r="B63" s="193" t="s">
        <v>493</v>
      </c>
      <c r="C63" s="10" t="s">
        <v>224</v>
      </c>
      <c r="D63" s="10"/>
      <c r="E63" s="202">
        <v>45669</v>
      </c>
      <c r="F63" s="23">
        <v>46.049156000000004</v>
      </c>
      <c r="G63" s="568" t="s">
        <v>196</v>
      </c>
      <c r="H63" s="568"/>
      <c r="I63" s="568"/>
      <c r="J63" s="568"/>
      <c r="K63" s="202">
        <v>45678</v>
      </c>
      <c r="L63" s="203" t="s">
        <v>665</v>
      </c>
      <c r="M63" s="10"/>
      <c r="N63" s="571"/>
      <c r="O63" s="571"/>
      <c r="P63" s="571"/>
    </row>
    <row r="64" spans="1:16" ht="26.25">
      <c r="A64" s="10">
        <v>63</v>
      </c>
      <c r="B64" s="193" t="s">
        <v>494</v>
      </c>
      <c r="C64" s="10" t="s">
        <v>195</v>
      </c>
      <c r="D64" s="10"/>
      <c r="E64" s="202">
        <v>45672</v>
      </c>
      <c r="F64" s="23">
        <v>43.775756000000008</v>
      </c>
      <c r="G64" s="568" t="s">
        <v>196</v>
      </c>
      <c r="H64" s="568"/>
      <c r="I64" s="568"/>
      <c r="J64" s="568"/>
      <c r="K64" s="202">
        <v>45679</v>
      </c>
      <c r="L64" s="203" t="s">
        <v>664</v>
      </c>
      <c r="M64" s="10"/>
      <c r="N64" s="571"/>
      <c r="O64" s="571"/>
      <c r="P64" s="571"/>
    </row>
    <row r="65" spans="1:47" ht="15.75">
      <c r="A65" s="10">
        <v>64</v>
      </c>
      <c r="B65" s="193" t="s">
        <v>495</v>
      </c>
      <c r="C65" s="10" t="s">
        <v>195</v>
      </c>
      <c r="D65" s="10"/>
      <c r="E65" s="202">
        <v>45674</v>
      </c>
      <c r="F65" s="23">
        <v>43.775756000000008</v>
      </c>
      <c r="G65" s="568" t="s">
        <v>196</v>
      </c>
      <c r="H65" s="568"/>
      <c r="I65" s="568"/>
      <c r="J65" s="568"/>
      <c r="K65" s="202">
        <v>45680</v>
      </c>
      <c r="L65" s="203" t="s">
        <v>662</v>
      </c>
      <c r="M65" s="10"/>
      <c r="N65" s="572"/>
      <c r="O65" s="572"/>
      <c r="P65" s="572"/>
    </row>
    <row r="66" spans="1:47" ht="15.75">
      <c r="A66" s="10">
        <v>65</v>
      </c>
      <c r="B66" s="193" t="s">
        <v>496</v>
      </c>
      <c r="C66" s="10" t="s">
        <v>195</v>
      </c>
      <c r="D66" s="10"/>
      <c r="E66" s="202">
        <v>45672</v>
      </c>
      <c r="F66" s="23">
        <v>43.775756000000008</v>
      </c>
      <c r="G66" s="568" t="s">
        <v>196</v>
      </c>
      <c r="H66" s="568"/>
      <c r="I66" s="568"/>
      <c r="J66" s="568"/>
      <c r="K66" s="202">
        <v>45681</v>
      </c>
      <c r="L66" s="203" t="s">
        <v>666</v>
      </c>
      <c r="M66" s="10"/>
      <c r="N66" s="572"/>
      <c r="O66" s="572"/>
      <c r="P66" s="572"/>
    </row>
    <row r="67" spans="1:47" ht="26.25">
      <c r="A67" s="10">
        <v>66</v>
      </c>
      <c r="B67" s="193" t="s">
        <v>497</v>
      </c>
      <c r="C67" s="10" t="s">
        <v>224</v>
      </c>
      <c r="D67" s="10"/>
      <c r="E67" s="202">
        <v>45677</v>
      </c>
      <c r="F67" s="23">
        <v>46.049156000000004</v>
      </c>
      <c r="G67" s="568" t="s">
        <v>196</v>
      </c>
      <c r="H67" s="568"/>
      <c r="I67" s="568"/>
      <c r="J67" s="568"/>
      <c r="K67" s="202">
        <v>45682</v>
      </c>
      <c r="L67" s="203" t="s">
        <v>667</v>
      </c>
      <c r="M67" s="10"/>
      <c r="N67" s="571"/>
      <c r="O67" s="571"/>
      <c r="P67" s="571"/>
    </row>
    <row r="68" spans="1:47" ht="26.25">
      <c r="A68" s="10">
        <v>67</v>
      </c>
      <c r="B68" s="193" t="s">
        <v>498</v>
      </c>
      <c r="C68" s="10" t="s">
        <v>224</v>
      </c>
      <c r="D68" s="10"/>
      <c r="E68" s="202">
        <v>45678</v>
      </c>
      <c r="F68" s="23">
        <v>46.049156000000004</v>
      </c>
      <c r="G68" s="568" t="s">
        <v>196</v>
      </c>
      <c r="H68" s="568"/>
      <c r="I68" s="568"/>
      <c r="J68" s="568"/>
      <c r="K68" s="202">
        <v>45682</v>
      </c>
      <c r="L68" s="203" t="s">
        <v>665</v>
      </c>
      <c r="M68" s="10"/>
      <c r="N68" s="571"/>
      <c r="O68" s="571"/>
      <c r="P68" s="571"/>
    </row>
    <row r="69" spans="1:47" ht="26.25">
      <c r="A69" s="10">
        <v>68</v>
      </c>
      <c r="B69" s="193" t="s">
        <v>499</v>
      </c>
      <c r="C69" s="10" t="s">
        <v>224</v>
      </c>
      <c r="D69" s="10"/>
      <c r="E69" s="202">
        <v>45673</v>
      </c>
      <c r="F69" s="23">
        <v>46.049156000000004</v>
      </c>
      <c r="G69" s="568" t="s">
        <v>196</v>
      </c>
      <c r="H69" s="568"/>
      <c r="I69" s="568"/>
      <c r="J69" s="568"/>
      <c r="K69" s="202">
        <v>45684</v>
      </c>
      <c r="L69" s="203" t="s">
        <v>419</v>
      </c>
      <c r="M69" s="10"/>
      <c r="N69" s="571"/>
      <c r="O69" s="571"/>
      <c r="P69" s="571"/>
    </row>
    <row r="70" spans="1:47" ht="26.25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68" t="s">
        <v>196</v>
      </c>
      <c r="H70" s="568"/>
      <c r="I70" s="568"/>
      <c r="J70" s="568"/>
      <c r="K70" s="202">
        <v>45685</v>
      </c>
      <c r="L70" s="203" t="s">
        <v>663</v>
      </c>
      <c r="M70" s="10"/>
      <c r="N70" s="571"/>
      <c r="O70" s="571"/>
      <c r="P70" s="571"/>
    </row>
    <row r="71" spans="1:47" ht="26.25">
      <c r="A71" s="10">
        <v>70</v>
      </c>
      <c r="B71" s="193" t="s">
        <v>500</v>
      </c>
      <c r="C71" s="10" t="s">
        <v>224</v>
      </c>
      <c r="D71" s="10"/>
      <c r="E71" s="202">
        <v>45681</v>
      </c>
      <c r="F71" s="23">
        <v>46.049156000000004</v>
      </c>
      <c r="G71" s="568" t="s">
        <v>196</v>
      </c>
      <c r="H71" s="568"/>
      <c r="I71" s="568"/>
      <c r="J71" s="568"/>
      <c r="K71" s="202">
        <v>45686</v>
      </c>
      <c r="L71" s="203" t="s">
        <v>662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501</v>
      </c>
      <c r="C72" s="10" t="s">
        <v>195</v>
      </c>
      <c r="D72" s="10"/>
      <c r="E72" s="202">
        <v>45678</v>
      </c>
      <c r="F72" s="23">
        <v>43.775756000000008</v>
      </c>
      <c r="G72" s="568" t="s">
        <v>196</v>
      </c>
      <c r="H72" s="568"/>
      <c r="I72" s="568"/>
      <c r="J72" s="568"/>
      <c r="K72" s="202">
        <v>45687</v>
      </c>
      <c r="L72" s="203" t="s">
        <v>664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68" t="s">
        <v>196</v>
      </c>
      <c r="H73" s="568"/>
      <c r="I73" s="568"/>
      <c r="J73" s="568"/>
      <c r="K73" s="202">
        <v>45687</v>
      </c>
      <c r="L73" s="203" t="s">
        <v>666</v>
      </c>
      <c r="M73" s="10"/>
      <c r="N73" s="571"/>
      <c r="O73" s="571"/>
      <c r="P73" s="571"/>
    </row>
    <row r="74" spans="1:47" ht="26.25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68" t="s">
        <v>196</v>
      </c>
      <c r="H74" s="568"/>
      <c r="I74" s="568"/>
      <c r="J74" s="568"/>
      <c r="K74" s="202">
        <v>45688</v>
      </c>
      <c r="L74" s="203" t="s">
        <v>668</v>
      </c>
      <c r="M74" s="10"/>
      <c r="N74" s="571"/>
      <c r="O74" s="571"/>
      <c r="P74" s="571"/>
    </row>
    <row r="75" spans="1:47" ht="28.5" customHeight="1">
      <c r="A75" s="10">
        <v>74</v>
      </c>
      <c r="B75" s="193" t="s">
        <v>502</v>
      </c>
      <c r="C75" s="10" t="s">
        <v>224</v>
      </c>
      <c r="D75" s="10"/>
      <c r="E75" s="202">
        <v>45682</v>
      </c>
      <c r="F75" s="23">
        <v>46.049156000000004</v>
      </c>
      <c r="G75" s="568" t="s">
        <v>196</v>
      </c>
      <c r="H75" s="568"/>
      <c r="I75" s="568"/>
      <c r="J75" s="568"/>
      <c r="K75" s="202">
        <v>45689</v>
      </c>
      <c r="L75" s="203" t="s">
        <v>665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503</v>
      </c>
      <c r="C76" s="10" t="s">
        <v>195</v>
      </c>
      <c r="D76" s="10"/>
      <c r="E76" s="202">
        <v>45682</v>
      </c>
      <c r="F76" s="23">
        <v>43.775756000000008</v>
      </c>
      <c r="G76" s="568" t="s">
        <v>196</v>
      </c>
      <c r="H76" s="568"/>
      <c r="I76" s="568"/>
      <c r="J76" s="568"/>
      <c r="K76" s="202">
        <v>45690</v>
      </c>
      <c r="L76" s="203" t="s">
        <v>667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504</v>
      </c>
      <c r="C77" s="10" t="s">
        <v>224</v>
      </c>
      <c r="D77" s="10"/>
      <c r="E77" s="202">
        <v>45687</v>
      </c>
      <c r="F77" s="23">
        <v>46.049156000000004</v>
      </c>
      <c r="G77" s="568" t="s">
        <v>196</v>
      </c>
      <c r="H77" s="568"/>
      <c r="I77" s="568"/>
      <c r="J77" s="568"/>
      <c r="K77" s="202">
        <v>45693</v>
      </c>
      <c r="L77" s="203" t="s">
        <v>662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505</v>
      </c>
      <c r="C78" s="10" t="s">
        <v>506</v>
      </c>
      <c r="D78" s="10"/>
      <c r="E78" s="202">
        <v>45685</v>
      </c>
      <c r="F78" s="23">
        <v>64.481662</v>
      </c>
      <c r="G78" s="568" t="s">
        <v>196</v>
      </c>
      <c r="H78" s="568"/>
      <c r="I78" s="568"/>
      <c r="J78" s="568"/>
      <c r="K78" s="202">
        <v>45694</v>
      </c>
      <c r="L78" s="203" t="s">
        <v>419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507</v>
      </c>
      <c r="C79" s="10" t="s">
        <v>195</v>
      </c>
      <c r="D79" s="10"/>
      <c r="E79" s="202">
        <v>45690</v>
      </c>
      <c r="F79" s="23">
        <v>43.775756000000008</v>
      </c>
      <c r="G79" s="568" t="s">
        <v>196</v>
      </c>
      <c r="H79" s="568"/>
      <c r="I79" s="568"/>
      <c r="J79" s="568"/>
      <c r="K79" s="202">
        <v>45695</v>
      </c>
      <c r="L79" s="203" t="s">
        <v>666</v>
      </c>
      <c r="M79" s="10"/>
      <c r="N79" s="569"/>
      <c r="O79" s="570"/>
      <c r="P79" s="570"/>
    </row>
    <row r="80" spans="1:47" ht="28.5" customHeight="1">
      <c r="A80" s="10">
        <v>79</v>
      </c>
      <c r="B80" s="193" t="s">
        <v>508</v>
      </c>
      <c r="C80" s="10" t="s">
        <v>224</v>
      </c>
      <c r="D80" s="10"/>
      <c r="E80" s="202">
        <v>45690</v>
      </c>
      <c r="F80" s="23">
        <v>46.049156000000004</v>
      </c>
      <c r="G80" s="568" t="s">
        <v>196</v>
      </c>
      <c r="H80" s="568"/>
      <c r="I80" s="568"/>
      <c r="J80" s="568"/>
      <c r="K80" s="202">
        <v>45696</v>
      </c>
      <c r="L80" s="203" t="s">
        <v>665</v>
      </c>
      <c r="M80" s="10"/>
      <c r="N80" s="569"/>
      <c r="O80" s="570"/>
      <c r="P80" s="570"/>
    </row>
    <row r="81" spans="1:41" ht="26.25" customHeight="1">
      <c r="A81" s="10">
        <v>80</v>
      </c>
      <c r="B81" s="193" t="s">
        <v>509</v>
      </c>
      <c r="C81" s="10" t="s">
        <v>224</v>
      </c>
      <c r="D81" s="10"/>
      <c r="E81" s="202">
        <v>45686</v>
      </c>
      <c r="F81" s="23">
        <v>46.049156000000004</v>
      </c>
      <c r="G81" s="568" t="s">
        <v>196</v>
      </c>
      <c r="H81" s="568"/>
      <c r="I81" s="568"/>
      <c r="J81" s="568"/>
      <c r="K81" s="202">
        <v>45697</v>
      </c>
      <c r="L81" s="203" t="s">
        <v>664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510</v>
      </c>
      <c r="C82" s="10" t="s">
        <v>195</v>
      </c>
      <c r="D82" s="10"/>
      <c r="E82" s="202">
        <v>45691</v>
      </c>
      <c r="F82" s="23">
        <v>43.775756000000008</v>
      </c>
      <c r="G82" s="568" t="s">
        <v>196</v>
      </c>
      <c r="H82" s="568"/>
      <c r="I82" s="568"/>
      <c r="J82" s="568"/>
      <c r="K82" s="202">
        <v>45698</v>
      </c>
      <c r="L82" s="203" t="s">
        <v>667</v>
      </c>
      <c r="M82" s="10"/>
      <c r="N82" s="195"/>
      <c r="O82" s="195"/>
      <c r="P82" s="195"/>
    </row>
    <row r="83" spans="1:41" ht="26.25">
      <c r="A83" s="10">
        <v>82</v>
      </c>
      <c r="B83" s="193" t="s">
        <v>282</v>
      </c>
      <c r="C83" s="10" t="s">
        <v>511</v>
      </c>
      <c r="D83" s="10"/>
      <c r="E83" s="202">
        <v>45686</v>
      </c>
      <c r="F83" s="23">
        <v>73.425832</v>
      </c>
      <c r="G83" s="568" t="s">
        <v>196</v>
      </c>
      <c r="H83" s="568"/>
      <c r="I83" s="568"/>
      <c r="J83" s="568"/>
      <c r="K83" s="202">
        <v>45699</v>
      </c>
      <c r="L83" s="203" t="s">
        <v>663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68" t="s">
        <v>196</v>
      </c>
      <c r="H84" s="568"/>
      <c r="I84" s="568"/>
      <c r="J84" s="568"/>
      <c r="K84" s="202">
        <v>45700</v>
      </c>
      <c r="L84" s="203" t="s">
        <v>668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512</v>
      </c>
      <c r="C85" s="10" t="s">
        <v>506</v>
      </c>
      <c r="D85" s="10"/>
      <c r="E85" s="202">
        <v>45694</v>
      </c>
      <c r="F85" s="23">
        <v>64.481662</v>
      </c>
      <c r="G85" s="568" t="s">
        <v>196</v>
      </c>
      <c r="H85" s="568"/>
      <c r="I85" s="568"/>
      <c r="J85" s="568"/>
      <c r="K85" s="202">
        <v>45701</v>
      </c>
      <c r="L85" s="203" t="s">
        <v>662</v>
      </c>
      <c r="M85" s="10"/>
      <c r="N85" s="569"/>
      <c r="O85" s="570"/>
      <c r="P85" s="570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513</v>
      </c>
      <c r="C86" s="10" t="s">
        <v>195</v>
      </c>
      <c r="D86" s="10"/>
      <c r="E86" s="202">
        <v>45695</v>
      </c>
      <c r="F86" s="23">
        <v>43.775756000000008</v>
      </c>
      <c r="G86" s="568" t="s">
        <v>196</v>
      </c>
      <c r="H86" s="568"/>
      <c r="I86" s="568"/>
      <c r="J86" s="568"/>
      <c r="K86" s="202">
        <v>45701</v>
      </c>
      <c r="L86" s="203" t="s">
        <v>419</v>
      </c>
      <c r="M86" s="10"/>
      <c r="N86" s="569"/>
      <c r="O86" s="570"/>
      <c r="P86" s="570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68" t="s">
        <v>196</v>
      </c>
      <c r="H87" s="568"/>
      <c r="I87" s="568"/>
      <c r="J87" s="568"/>
      <c r="K87" s="202">
        <v>45703</v>
      </c>
      <c r="L87" s="203" t="s">
        <v>666</v>
      </c>
      <c r="M87" s="10"/>
      <c r="N87" s="569"/>
      <c r="O87" s="570"/>
      <c r="P87" s="570"/>
    </row>
    <row r="88" spans="1:41" ht="28.5" customHeight="1">
      <c r="A88" s="10">
        <v>87</v>
      </c>
      <c r="B88" s="193" t="s">
        <v>514</v>
      </c>
      <c r="C88" s="10" t="s">
        <v>224</v>
      </c>
      <c r="D88" s="10"/>
      <c r="E88" s="202">
        <v>45697</v>
      </c>
      <c r="F88" s="23">
        <v>46.049156000000004</v>
      </c>
      <c r="G88" s="568" t="s">
        <v>196</v>
      </c>
      <c r="H88" s="568"/>
      <c r="I88" s="568"/>
      <c r="J88" s="568"/>
      <c r="K88" s="202">
        <v>45703</v>
      </c>
      <c r="L88" s="203" t="s">
        <v>665</v>
      </c>
      <c r="M88" s="10"/>
      <c r="N88" s="569"/>
      <c r="O88" s="570"/>
      <c r="P88" s="570"/>
    </row>
    <row r="89" spans="1:41" ht="15.75">
      <c r="A89" s="10">
        <v>88</v>
      </c>
      <c r="B89" s="193" t="s">
        <v>515</v>
      </c>
      <c r="C89" s="10" t="s">
        <v>195</v>
      </c>
      <c r="D89" s="10"/>
      <c r="E89" s="202">
        <v>45698</v>
      </c>
      <c r="F89" s="23">
        <v>43.775756000000008</v>
      </c>
      <c r="G89" s="568" t="s">
        <v>196</v>
      </c>
      <c r="H89" s="568"/>
      <c r="I89" s="568"/>
      <c r="J89" s="568"/>
      <c r="K89" s="202">
        <v>45706</v>
      </c>
      <c r="L89" s="203" t="s">
        <v>664</v>
      </c>
      <c r="M89" s="10"/>
      <c r="N89" s="197"/>
      <c r="O89" s="198"/>
      <c r="P89" s="198"/>
    </row>
    <row r="90" spans="1:41" ht="15.75">
      <c r="A90" s="10">
        <v>89</v>
      </c>
      <c r="B90" s="193" t="s">
        <v>516</v>
      </c>
      <c r="C90" s="10" t="s">
        <v>195</v>
      </c>
      <c r="D90" s="10"/>
      <c r="E90" s="202">
        <v>45700</v>
      </c>
      <c r="F90" s="23">
        <v>43.775756000000008</v>
      </c>
      <c r="G90" s="568" t="s">
        <v>196</v>
      </c>
      <c r="H90" s="568"/>
      <c r="I90" s="568"/>
      <c r="J90" s="568"/>
      <c r="K90" s="202">
        <v>45707</v>
      </c>
      <c r="L90" s="203" t="s">
        <v>419</v>
      </c>
      <c r="M90" s="10"/>
      <c r="N90" s="197"/>
      <c r="O90" s="198"/>
      <c r="P90" s="198"/>
    </row>
    <row r="91" spans="1:41" ht="15.75">
      <c r="A91" s="10">
        <v>90</v>
      </c>
      <c r="B91" s="193" t="s">
        <v>517</v>
      </c>
      <c r="C91" s="10" t="s">
        <v>224</v>
      </c>
      <c r="D91" s="10"/>
      <c r="E91" s="202">
        <v>45699</v>
      </c>
      <c r="F91" s="23">
        <v>46.049156000000004</v>
      </c>
      <c r="G91" s="568" t="s">
        <v>196</v>
      </c>
      <c r="H91" s="568"/>
      <c r="I91" s="568"/>
      <c r="J91" s="568"/>
      <c r="K91" s="202">
        <v>45708</v>
      </c>
      <c r="L91" s="203" t="s">
        <v>667</v>
      </c>
      <c r="M91" s="10"/>
      <c r="N91" s="197"/>
      <c r="O91" s="198"/>
      <c r="P91" s="198"/>
    </row>
    <row r="92" spans="1:41" ht="15.75">
      <c r="A92" s="10">
        <v>91</v>
      </c>
      <c r="B92" s="193" t="s">
        <v>518</v>
      </c>
      <c r="C92" s="10" t="s">
        <v>224</v>
      </c>
      <c r="D92" s="10"/>
      <c r="E92" s="202">
        <v>45700</v>
      </c>
      <c r="F92" s="23">
        <v>46.049156000000004</v>
      </c>
      <c r="G92" s="568" t="s">
        <v>196</v>
      </c>
      <c r="H92" s="568"/>
      <c r="I92" s="568"/>
      <c r="J92" s="568"/>
      <c r="K92" s="202">
        <v>45708</v>
      </c>
      <c r="L92" s="203" t="s">
        <v>663</v>
      </c>
      <c r="M92" s="10"/>
      <c r="N92" s="197"/>
      <c r="O92" s="198"/>
      <c r="P92" s="198"/>
    </row>
    <row r="93" spans="1:41" ht="15.7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68" t="s">
        <v>196</v>
      </c>
      <c r="H93" s="568"/>
      <c r="I93" s="568"/>
      <c r="J93" s="568"/>
      <c r="K93" s="202">
        <v>45708</v>
      </c>
      <c r="L93" s="203" t="s">
        <v>662</v>
      </c>
      <c r="M93" s="10"/>
      <c r="N93" s="197"/>
      <c r="O93" s="198"/>
      <c r="P93" s="198"/>
    </row>
    <row r="94" spans="1:41" ht="15.75">
      <c r="A94" s="10">
        <v>93</v>
      </c>
      <c r="B94" s="193" t="s">
        <v>519</v>
      </c>
      <c r="C94" s="10" t="s">
        <v>195</v>
      </c>
      <c r="D94" s="10"/>
      <c r="E94" s="202">
        <v>45704</v>
      </c>
      <c r="F94" s="23">
        <v>43.775756000000008</v>
      </c>
      <c r="G94" s="568" t="s">
        <v>196</v>
      </c>
      <c r="H94" s="568"/>
      <c r="I94" s="568"/>
      <c r="J94" s="568"/>
      <c r="K94" s="202">
        <v>45709</v>
      </c>
      <c r="L94" s="203" t="s">
        <v>665</v>
      </c>
      <c r="M94" s="10"/>
      <c r="N94" s="197"/>
      <c r="O94" s="198"/>
      <c r="P94" s="198"/>
    </row>
    <row r="95" spans="1:41" ht="15.7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68" t="s">
        <v>196</v>
      </c>
      <c r="H95" s="568"/>
      <c r="I95" s="568"/>
      <c r="J95" s="568"/>
      <c r="K95" s="202">
        <v>45709</v>
      </c>
      <c r="L95" s="203" t="s">
        <v>666</v>
      </c>
      <c r="M95" s="10"/>
      <c r="N95" s="197"/>
      <c r="O95" s="198"/>
      <c r="P95" s="198"/>
    </row>
    <row r="96" spans="1:41" ht="15.7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68" t="s">
        <v>196</v>
      </c>
      <c r="H96" s="568"/>
      <c r="I96" s="568"/>
      <c r="J96" s="568"/>
      <c r="K96" s="202">
        <v>45710</v>
      </c>
      <c r="L96" s="203" t="s">
        <v>668</v>
      </c>
      <c r="M96" s="10"/>
      <c r="N96" s="197"/>
      <c r="O96" s="198"/>
      <c r="P96" s="198"/>
    </row>
    <row r="97" spans="1:16" ht="15.75">
      <c r="A97" s="10">
        <v>96</v>
      </c>
      <c r="B97" s="193" t="s">
        <v>520</v>
      </c>
      <c r="C97" s="10" t="s">
        <v>225</v>
      </c>
      <c r="D97" s="10"/>
      <c r="E97" s="202">
        <v>45708</v>
      </c>
      <c r="F97" s="23">
        <v>42.374236000000003</v>
      </c>
      <c r="G97" s="568" t="s">
        <v>196</v>
      </c>
      <c r="H97" s="568"/>
      <c r="I97" s="568"/>
      <c r="J97" s="568"/>
      <c r="K97" s="202">
        <v>45713</v>
      </c>
      <c r="L97" s="203" t="s">
        <v>419</v>
      </c>
      <c r="M97" s="10"/>
      <c r="N97" s="197"/>
      <c r="O97" s="198"/>
      <c r="P97" s="198"/>
    </row>
    <row r="98" spans="1:16" ht="15.7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68" t="s">
        <v>196</v>
      </c>
      <c r="H98" s="568"/>
      <c r="I98" s="568"/>
      <c r="J98" s="568"/>
      <c r="K98" s="202">
        <v>45713</v>
      </c>
      <c r="L98" s="203" t="s">
        <v>662</v>
      </c>
      <c r="M98" s="10"/>
      <c r="N98" s="197"/>
      <c r="O98" s="198"/>
      <c r="P98" s="198"/>
    </row>
    <row r="99" spans="1:16" ht="15.75">
      <c r="A99" s="10">
        <v>98</v>
      </c>
      <c r="B99" s="193" t="s">
        <v>521</v>
      </c>
      <c r="C99" s="10" t="s">
        <v>195</v>
      </c>
      <c r="D99" s="10"/>
      <c r="E99" s="202">
        <v>45707</v>
      </c>
      <c r="F99" s="23">
        <v>43.775756000000008</v>
      </c>
      <c r="G99" s="568" t="s">
        <v>196</v>
      </c>
      <c r="H99" s="568"/>
      <c r="I99" s="568"/>
      <c r="J99" s="568"/>
      <c r="K99" s="202">
        <v>45713</v>
      </c>
      <c r="L99" s="203" t="s">
        <v>664</v>
      </c>
      <c r="M99" s="10"/>
      <c r="N99" s="197"/>
      <c r="O99" s="198"/>
      <c r="P99" s="198"/>
    </row>
    <row r="100" spans="1:16" ht="15.75">
      <c r="A100" s="10">
        <v>99</v>
      </c>
      <c r="B100" s="193" t="s">
        <v>522</v>
      </c>
      <c r="C100" s="10" t="s">
        <v>195</v>
      </c>
      <c r="D100" s="10"/>
      <c r="E100" s="202">
        <v>45709</v>
      </c>
      <c r="F100" s="23">
        <v>43.775756000000008</v>
      </c>
      <c r="G100" s="568" t="s">
        <v>196</v>
      </c>
      <c r="H100" s="568"/>
      <c r="I100" s="568"/>
      <c r="J100" s="568"/>
      <c r="K100" s="202">
        <v>45715</v>
      </c>
      <c r="L100" s="203" t="s">
        <v>663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68" t="s">
        <v>196</v>
      </c>
      <c r="H101" s="568"/>
      <c r="I101" s="568"/>
      <c r="J101" s="568"/>
      <c r="K101" s="202">
        <v>45715</v>
      </c>
      <c r="L101" s="203" t="s">
        <v>666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523</v>
      </c>
      <c r="C102" s="10" t="s">
        <v>506</v>
      </c>
      <c r="D102" s="10"/>
      <c r="E102" s="202">
        <v>45707</v>
      </c>
      <c r="F102" s="23">
        <v>64.481662</v>
      </c>
      <c r="G102" s="568" t="s">
        <v>196</v>
      </c>
      <c r="H102" s="568"/>
      <c r="I102" s="568"/>
      <c r="J102" s="568"/>
      <c r="K102" s="202">
        <v>45716</v>
      </c>
      <c r="L102" s="203" t="s">
        <v>667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524</v>
      </c>
      <c r="C103" s="10" t="s">
        <v>506</v>
      </c>
      <c r="D103" s="10"/>
      <c r="E103" s="202">
        <v>45710</v>
      </c>
      <c r="F103" s="23">
        <v>64.481662</v>
      </c>
      <c r="G103" s="568" t="s">
        <v>196</v>
      </c>
      <c r="H103" s="568"/>
      <c r="I103" s="568"/>
      <c r="J103" s="568"/>
      <c r="K103" s="202">
        <v>45716</v>
      </c>
      <c r="L103" s="203" t="s">
        <v>665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68" t="s">
        <v>196</v>
      </c>
      <c r="H104" s="568"/>
      <c r="I104" s="568"/>
      <c r="J104" s="568"/>
      <c r="K104" s="202">
        <v>45718</v>
      </c>
      <c r="L104" s="203" t="s">
        <v>662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68" t="s">
        <v>196</v>
      </c>
      <c r="H105" s="568"/>
      <c r="I105" s="568"/>
      <c r="J105" s="568"/>
      <c r="K105" s="202">
        <v>45719</v>
      </c>
      <c r="L105" s="203" t="s">
        <v>666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525</v>
      </c>
      <c r="C106" s="10" t="s">
        <v>224</v>
      </c>
      <c r="D106" s="10"/>
      <c r="E106" s="202">
        <v>45717</v>
      </c>
      <c r="F106" s="23">
        <v>46.049156000000004</v>
      </c>
      <c r="G106" s="568" t="s">
        <v>196</v>
      </c>
      <c r="H106" s="568"/>
      <c r="I106" s="568"/>
      <c r="J106" s="568"/>
      <c r="K106" s="202">
        <v>45721</v>
      </c>
      <c r="L106" s="203" t="s">
        <v>419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68" t="s">
        <v>196</v>
      </c>
      <c r="H107" s="568"/>
      <c r="I107" s="568"/>
      <c r="J107" s="568"/>
      <c r="K107" s="202">
        <v>45723</v>
      </c>
      <c r="L107" s="203" t="s">
        <v>662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526</v>
      </c>
      <c r="C108" s="10" t="s">
        <v>506</v>
      </c>
      <c r="D108" s="10"/>
      <c r="E108" s="202">
        <v>45715</v>
      </c>
      <c r="F108" s="23">
        <v>64.481662</v>
      </c>
      <c r="G108" s="568" t="s">
        <v>196</v>
      </c>
      <c r="H108" s="568"/>
      <c r="I108" s="568"/>
      <c r="J108" s="568"/>
      <c r="K108" s="202">
        <v>45724</v>
      </c>
      <c r="L108" s="203" t="s">
        <v>664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527</v>
      </c>
      <c r="C109" s="10" t="s">
        <v>195</v>
      </c>
      <c r="D109" s="10"/>
      <c r="E109" s="202">
        <v>45717</v>
      </c>
      <c r="F109" s="23">
        <v>43.775756000000008</v>
      </c>
      <c r="G109" s="568" t="s">
        <v>196</v>
      </c>
      <c r="H109" s="568"/>
      <c r="I109" s="568"/>
      <c r="J109" s="568"/>
      <c r="K109" s="202">
        <v>45724</v>
      </c>
      <c r="L109" s="203" t="s">
        <v>665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68" t="s">
        <v>196</v>
      </c>
      <c r="H110" s="568"/>
      <c r="I110" s="568"/>
      <c r="J110" s="568"/>
      <c r="K110" s="202">
        <v>45724</v>
      </c>
      <c r="L110" s="203" t="s">
        <v>663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528</v>
      </c>
      <c r="C111" s="10" t="s">
        <v>224</v>
      </c>
      <c r="D111" s="10"/>
      <c r="E111" s="202">
        <v>45717</v>
      </c>
      <c r="F111" s="23">
        <v>46.049156000000004</v>
      </c>
      <c r="G111" s="568" t="s">
        <v>196</v>
      </c>
      <c r="H111" s="568"/>
      <c r="I111" s="568"/>
      <c r="J111" s="568"/>
      <c r="K111" s="202">
        <v>45725</v>
      </c>
      <c r="L111" s="203" t="s">
        <v>667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68" t="s">
        <v>196</v>
      </c>
      <c r="H112" s="568"/>
      <c r="I112" s="568"/>
      <c r="J112" s="568"/>
      <c r="K112" s="202">
        <v>45727</v>
      </c>
      <c r="L112" s="203" t="s">
        <v>668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68" t="s">
        <v>196</v>
      </c>
      <c r="H113" s="568"/>
      <c r="I113" s="568"/>
      <c r="J113" s="568"/>
      <c r="K113" s="202">
        <v>45727</v>
      </c>
      <c r="L113" s="203" t="s">
        <v>662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529</v>
      </c>
      <c r="C114" s="10" t="s">
        <v>225</v>
      </c>
      <c r="D114" s="10"/>
      <c r="E114" s="202">
        <v>45724</v>
      </c>
      <c r="F114" s="23">
        <v>42.374236000000003</v>
      </c>
      <c r="G114" s="568" t="s">
        <v>196</v>
      </c>
      <c r="H114" s="568"/>
      <c r="I114" s="568"/>
      <c r="J114" s="568"/>
      <c r="K114" s="202">
        <v>45728</v>
      </c>
      <c r="L114" s="203" t="s">
        <v>665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530</v>
      </c>
      <c r="C115" s="10" t="s">
        <v>506</v>
      </c>
      <c r="D115" s="10"/>
      <c r="E115" s="202">
        <v>45717</v>
      </c>
      <c r="F115" s="23">
        <v>64.481662</v>
      </c>
      <c r="G115" s="568" t="s">
        <v>196</v>
      </c>
      <c r="H115" s="568"/>
      <c r="I115" s="568"/>
      <c r="J115" s="568"/>
      <c r="K115" s="202">
        <v>45729</v>
      </c>
      <c r="L115" s="203" t="s">
        <v>419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531</v>
      </c>
      <c r="C116" s="10" t="s">
        <v>195</v>
      </c>
      <c r="D116" s="10"/>
      <c r="E116" s="202">
        <v>45726</v>
      </c>
      <c r="F116" s="23">
        <v>43.775756000000008</v>
      </c>
      <c r="G116" s="568" t="s">
        <v>196</v>
      </c>
      <c r="H116" s="568"/>
      <c r="I116" s="568"/>
      <c r="J116" s="568"/>
      <c r="K116" s="202">
        <v>45732</v>
      </c>
      <c r="L116" s="203" t="s">
        <v>667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68" t="s">
        <v>196</v>
      </c>
      <c r="H117" s="568"/>
      <c r="I117" s="568"/>
      <c r="J117" s="568"/>
      <c r="K117" s="202">
        <v>45734</v>
      </c>
      <c r="L117" s="203" t="s">
        <v>663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68" t="s">
        <v>196</v>
      </c>
      <c r="H118" s="568"/>
      <c r="I118" s="568"/>
      <c r="J118" s="568"/>
      <c r="K118" s="202">
        <v>45734</v>
      </c>
      <c r="L118" s="203" t="s">
        <v>662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532</v>
      </c>
      <c r="C119" s="10" t="s">
        <v>224</v>
      </c>
      <c r="D119" s="10"/>
      <c r="E119" s="202">
        <v>45725</v>
      </c>
      <c r="F119" s="23">
        <v>46.049156000000004</v>
      </c>
      <c r="G119" s="568" t="s">
        <v>196</v>
      </c>
      <c r="H119" s="568"/>
      <c r="I119" s="568"/>
      <c r="J119" s="568"/>
      <c r="K119" s="202">
        <v>45735</v>
      </c>
      <c r="L119" s="203" t="s">
        <v>664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533</v>
      </c>
      <c r="C120" s="10" t="s">
        <v>227</v>
      </c>
      <c r="D120" s="10"/>
      <c r="E120" s="202">
        <v>45729</v>
      </c>
      <c r="F120" s="23">
        <v>55.338726999999999</v>
      </c>
      <c r="G120" s="568" t="s">
        <v>196</v>
      </c>
      <c r="H120" s="568"/>
      <c r="I120" s="568"/>
      <c r="J120" s="568"/>
      <c r="K120" s="202">
        <v>45737</v>
      </c>
      <c r="L120" s="203" t="s">
        <v>665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534</v>
      </c>
      <c r="C121" s="10" t="s">
        <v>224</v>
      </c>
      <c r="D121" s="10"/>
      <c r="E121" s="202">
        <v>45732</v>
      </c>
      <c r="F121" s="23">
        <v>46.049156000000004</v>
      </c>
      <c r="G121" s="568" t="s">
        <v>196</v>
      </c>
      <c r="H121" s="568"/>
      <c r="I121" s="568"/>
      <c r="J121" s="568"/>
      <c r="K121" s="202">
        <v>45737</v>
      </c>
      <c r="L121" s="203" t="s">
        <v>419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535</v>
      </c>
      <c r="C122" s="10" t="s">
        <v>225</v>
      </c>
      <c r="D122" s="10"/>
      <c r="E122" s="202">
        <v>45732</v>
      </c>
      <c r="F122" s="23">
        <v>42.374236000000003</v>
      </c>
      <c r="G122" s="568" t="s">
        <v>196</v>
      </c>
      <c r="H122" s="568"/>
      <c r="I122" s="568"/>
      <c r="J122" s="568"/>
      <c r="K122" s="202">
        <v>45739</v>
      </c>
      <c r="L122" s="203" t="s">
        <v>667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68" t="s">
        <v>196</v>
      </c>
      <c r="H123" s="568"/>
      <c r="I123" s="568"/>
      <c r="J123" s="568"/>
      <c r="K123" s="202">
        <v>45739</v>
      </c>
      <c r="L123" s="203" t="s">
        <v>662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536</v>
      </c>
      <c r="C124" s="10" t="s">
        <v>225</v>
      </c>
      <c r="D124" s="10"/>
      <c r="E124" s="202">
        <v>45738</v>
      </c>
      <c r="F124" s="23">
        <v>42.374236000000003</v>
      </c>
      <c r="G124" s="568" t="s">
        <v>196</v>
      </c>
      <c r="H124" s="568"/>
      <c r="I124" s="568"/>
      <c r="J124" s="568"/>
      <c r="K124" s="202">
        <v>45742</v>
      </c>
      <c r="L124" s="203" t="s">
        <v>665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537</v>
      </c>
      <c r="C125" s="10" t="s">
        <v>225</v>
      </c>
      <c r="D125" s="10"/>
      <c r="E125" s="202">
        <v>45736</v>
      </c>
      <c r="F125" s="23">
        <v>42.374236000000003</v>
      </c>
      <c r="G125" s="568" t="s">
        <v>196</v>
      </c>
      <c r="H125" s="568"/>
      <c r="I125" s="568"/>
      <c r="J125" s="568"/>
      <c r="K125" s="202">
        <v>45743</v>
      </c>
      <c r="L125" s="203" t="s">
        <v>664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538</v>
      </c>
      <c r="C126" s="10" t="s">
        <v>506</v>
      </c>
      <c r="D126" s="10"/>
      <c r="E126" s="202">
        <v>45738</v>
      </c>
      <c r="F126" s="23">
        <v>64.481662</v>
      </c>
      <c r="G126" s="568" t="s">
        <v>196</v>
      </c>
      <c r="H126" s="568"/>
      <c r="I126" s="568"/>
      <c r="J126" s="568"/>
      <c r="K126" s="202">
        <v>45745</v>
      </c>
      <c r="L126" s="203" t="s">
        <v>419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68" t="s">
        <v>196</v>
      </c>
      <c r="H127" s="568"/>
      <c r="I127" s="568"/>
      <c r="J127" s="568"/>
      <c r="K127" s="202">
        <v>45746</v>
      </c>
      <c r="L127" s="203" t="s">
        <v>663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539</v>
      </c>
      <c r="C128" s="10" t="s">
        <v>225</v>
      </c>
      <c r="D128" s="10"/>
      <c r="E128" s="202">
        <v>45740</v>
      </c>
      <c r="F128" s="23">
        <v>42.374236000000003</v>
      </c>
      <c r="G128" s="568" t="s">
        <v>196</v>
      </c>
      <c r="H128" s="568"/>
      <c r="I128" s="568"/>
      <c r="J128" s="568"/>
      <c r="K128" s="202">
        <v>45746</v>
      </c>
      <c r="L128" s="203" t="s">
        <v>667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268</v>
      </c>
      <c r="C129" s="10" t="s">
        <v>506</v>
      </c>
      <c r="D129" s="10"/>
      <c r="E129" s="202">
        <v>45740</v>
      </c>
      <c r="F129" s="23">
        <v>64.481662</v>
      </c>
      <c r="G129" s="568" t="s">
        <v>196</v>
      </c>
      <c r="H129" s="568"/>
      <c r="I129" s="568"/>
      <c r="J129" s="568"/>
      <c r="K129" s="202">
        <v>45747</v>
      </c>
      <c r="L129" s="203" t="s">
        <v>662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540</v>
      </c>
      <c r="C130" s="10" t="s">
        <v>224</v>
      </c>
      <c r="D130" s="10"/>
      <c r="E130" s="202">
        <v>45737</v>
      </c>
      <c r="F130" s="23">
        <v>46.049156000000004</v>
      </c>
      <c r="G130" s="568" t="s">
        <v>196</v>
      </c>
      <c r="H130" s="568"/>
      <c r="I130" s="568"/>
      <c r="J130" s="568"/>
      <c r="K130" s="202">
        <v>45747</v>
      </c>
      <c r="L130" s="203" t="s">
        <v>669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68" t="s">
        <v>196</v>
      </c>
      <c r="H131" s="568"/>
      <c r="I131" s="568"/>
      <c r="J131" s="568"/>
      <c r="K131" s="202">
        <v>45747</v>
      </c>
      <c r="L131" s="203" t="s">
        <v>666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541</v>
      </c>
      <c r="C132" s="10" t="s">
        <v>224</v>
      </c>
      <c r="D132" s="10"/>
      <c r="E132" s="202">
        <v>45740</v>
      </c>
      <c r="F132" s="23">
        <v>46.049156000000004</v>
      </c>
      <c r="G132" s="568" t="s">
        <v>196</v>
      </c>
      <c r="H132" s="568"/>
      <c r="I132" s="568"/>
      <c r="J132" s="568"/>
      <c r="K132" s="202">
        <v>45747</v>
      </c>
      <c r="L132" s="203" t="s">
        <v>670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542</v>
      </c>
      <c r="C133" s="10" t="s">
        <v>226</v>
      </c>
      <c r="D133" s="10"/>
      <c r="E133" s="202">
        <v>45740</v>
      </c>
      <c r="F133" s="23">
        <v>53.323913999999995</v>
      </c>
      <c r="G133" s="568" t="s">
        <v>196</v>
      </c>
      <c r="H133" s="568"/>
      <c r="I133" s="568"/>
      <c r="J133" s="568"/>
      <c r="K133" s="202">
        <v>45747</v>
      </c>
      <c r="L133" s="203" t="s">
        <v>665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543</v>
      </c>
      <c r="C134" s="10" t="s">
        <v>195</v>
      </c>
      <c r="D134" s="10"/>
      <c r="E134" s="202">
        <v>45744</v>
      </c>
      <c r="F134" s="23">
        <v>43.775756000000008</v>
      </c>
      <c r="G134" s="568" t="s">
        <v>196</v>
      </c>
      <c r="H134" s="568"/>
      <c r="I134" s="568"/>
      <c r="J134" s="568"/>
      <c r="K134" s="202">
        <v>45752</v>
      </c>
      <c r="L134" s="203" t="s">
        <v>419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544</v>
      </c>
      <c r="C135" s="10" t="s">
        <v>224</v>
      </c>
      <c r="D135" s="10"/>
      <c r="E135" s="202">
        <v>45744</v>
      </c>
      <c r="F135" s="23">
        <v>46.049156000000004</v>
      </c>
      <c r="G135" s="568" t="s">
        <v>196</v>
      </c>
      <c r="H135" s="568"/>
      <c r="I135" s="568"/>
      <c r="J135" s="568"/>
      <c r="K135" s="202">
        <v>45754</v>
      </c>
      <c r="L135" s="203" t="s">
        <v>665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545</v>
      </c>
      <c r="C136" s="10" t="s">
        <v>225</v>
      </c>
      <c r="D136" s="10"/>
      <c r="E136" s="202">
        <v>45747</v>
      </c>
      <c r="F136" s="23">
        <v>42.374236000000003</v>
      </c>
      <c r="G136" s="568" t="s">
        <v>196</v>
      </c>
      <c r="H136" s="568"/>
      <c r="I136" s="568"/>
      <c r="J136" s="568"/>
      <c r="K136" s="202">
        <v>45755</v>
      </c>
      <c r="L136" s="203" t="s">
        <v>671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68" t="s">
        <v>196</v>
      </c>
      <c r="H137" s="568"/>
      <c r="I137" s="568"/>
      <c r="J137" s="568"/>
      <c r="K137" s="202">
        <v>45757</v>
      </c>
      <c r="L137" s="203" t="s">
        <v>662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546</v>
      </c>
      <c r="C138" s="10" t="s">
        <v>224</v>
      </c>
      <c r="D138" s="10"/>
      <c r="E138" s="202">
        <v>45747</v>
      </c>
      <c r="F138" s="23">
        <v>46.049156000000004</v>
      </c>
      <c r="G138" s="568" t="s">
        <v>196</v>
      </c>
      <c r="H138" s="568"/>
      <c r="I138" s="568"/>
      <c r="J138" s="568"/>
      <c r="K138" s="202">
        <v>45758</v>
      </c>
      <c r="L138" s="203" t="s">
        <v>672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547</v>
      </c>
      <c r="C139" s="10" t="s">
        <v>224</v>
      </c>
      <c r="D139" s="10"/>
      <c r="E139" s="202">
        <v>45748</v>
      </c>
      <c r="F139" s="23">
        <v>46.049156000000004</v>
      </c>
      <c r="G139" s="568" t="s">
        <v>196</v>
      </c>
      <c r="H139" s="568"/>
      <c r="I139" s="568"/>
      <c r="J139" s="568"/>
      <c r="K139" s="202">
        <v>45758</v>
      </c>
      <c r="L139" s="203" t="s">
        <v>669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548</v>
      </c>
      <c r="C140" s="10" t="s">
        <v>549</v>
      </c>
      <c r="D140" s="10"/>
      <c r="E140" s="202">
        <v>45748</v>
      </c>
      <c r="F140" s="23">
        <v>75.858397999999994</v>
      </c>
      <c r="G140" s="568" t="s">
        <v>196</v>
      </c>
      <c r="H140" s="568"/>
      <c r="I140" s="568"/>
      <c r="J140" s="568"/>
      <c r="K140" s="202">
        <v>45758</v>
      </c>
      <c r="L140" s="203" t="s">
        <v>673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321</v>
      </c>
      <c r="C141" s="10" t="s">
        <v>550</v>
      </c>
      <c r="D141" s="10"/>
      <c r="E141" s="202">
        <v>45748</v>
      </c>
      <c r="F141" s="23">
        <v>87.011570000000006</v>
      </c>
      <c r="G141" s="568" t="s">
        <v>196</v>
      </c>
      <c r="H141" s="568"/>
      <c r="I141" s="568"/>
      <c r="J141" s="568"/>
      <c r="K141" s="202">
        <v>45758</v>
      </c>
      <c r="L141" s="203" t="s">
        <v>667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551</v>
      </c>
      <c r="C142" s="10" t="s">
        <v>224</v>
      </c>
      <c r="D142" s="10"/>
      <c r="E142" s="202">
        <v>45748</v>
      </c>
      <c r="F142" s="23">
        <v>46.049156000000004</v>
      </c>
      <c r="G142" s="568" t="s">
        <v>196</v>
      </c>
      <c r="H142" s="568"/>
      <c r="I142" s="568"/>
      <c r="J142" s="568"/>
      <c r="K142" s="202">
        <v>45759</v>
      </c>
      <c r="L142" s="203" t="s">
        <v>670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552</v>
      </c>
      <c r="C143" s="10" t="s">
        <v>224</v>
      </c>
      <c r="D143" s="10"/>
      <c r="E143" s="202">
        <v>45748</v>
      </c>
      <c r="F143" s="23">
        <v>46.049156000000004</v>
      </c>
      <c r="G143" s="568" t="s">
        <v>196</v>
      </c>
      <c r="H143" s="568"/>
      <c r="I143" s="568"/>
      <c r="J143" s="568"/>
      <c r="K143" s="202">
        <v>45759</v>
      </c>
      <c r="L143" s="203" t="s">
        <v>663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553</v>
      </c>
      <c r="C144" s="10" t="s">
        <v>225</v>
      </c>
      <c r="D144" s="10"/>
      <c r="E144" s="202">
        <v>45755</v>
      </c>
      <c r="F144" s="23">
        <v>42.374236000000003</v>
      </c>
      <c r="G144" s="568" t="s">
        <v>196</v>
      </c>
      <c r="H144" s="568"/>
      <c r="I144" s="568"/>
      <c r="J144" s="568"/>
      <c r="K144" s="202">
        <v>45760</v>
      </c>
      <c r="L144" s="203" t="s">
        <v>665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350</v>
      </c>
      <c r="C145" s="10" t="s">
        <v>506</v>
      </c>
      <c r="D145" s="10"/>
      <c r="E145" s="202">
        <v>45749</v>
      </c>
      <c r="F145" s="23">
        <v>64.481662</v>
      </c>
      <c r="G145" s="568" t="s">
        <v>196</v>
      </c>
      <c r="H145" s="568"/>
      <c r="I145" s="568"/>
      <c r="J145" s="568"/>
      <c r="K145" s="202">
        <v>45761</v>
      </c>
      <c r="L145" s="203" t="s">
        <v>666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554</v>
      </c>
      <c r="C146" s="10" t="s">
        <v>224</v>
      </c>
      <c r="D146" s="10"/>
      <c r="E146" s="202">
        <v>45756</v>
      </c>
      <c r="F146" s="23">
        <v>46.049156000000004</v>
      </c>
      <c r="G146" s="568" t="s">
        <v>196</v>
      </c>
      <c r="H146" s="568"/>
      <c r="I146" s="568"/>
      <c r="J146" s="568"/>
      <c r="K146" s="202">
        <v>45762</v>
      </c>
      <c r="L146" s="203" t="s">
        <v>671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555</v>
      </c>
      <c r="C147" s="10" t="s">
        <v>224</v>
      </c>
      <c r="D147" s="10"/>
      <c r="E147" s="202">
        <v>45752</v>
      </c>
      <c r="F147" s="23">
        <v>46.049156000000004</v>
      </c>
      <c r="G147" s="568" t="s">
        <v>196</v>
      </c>
      <c r="H147" s="568"/>
      <c r="I147" s="568"/>
      <c r="J147" s="568"/>
      <c r="K147" s="202">
        <v>45763</v>
      </c>
      <c r="L147" s="203" t="s">
        <v>674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556</v>
      </c>
      <c r="C148" s="10" t="s">
        <v>225</v>
      </c>
      <c r="D148" s="10"/>
      <c r="E148" s="202">
        <v>45759</v>
      </c>
      <c r="F148" s="23">
        <v>42.374236000000003</v>
      </c>
      <c r="G148" s="568" t="s">
        <v>196</v>
      </c>
      <c r="H148" s="568"/>
      <c r="I148" s="568"/>
      <c r="J148" s="568"/>
      <c r="K148" s="202">
        <v>45763</v>
      </c>
      <c r="L148" s="203" t="s">
        <v>673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557</v>
      </c>
      <c r="C149" s="10" t="s">
        <v>558</v>
      </c>
      <c r="D149" s="10"/>
      <c r="E149" s="202">
        <v>45753</v>
      </c>
      <c r="F149" s="23">
        <v>86.256192999999996</v>
      </c>
      <c r="G149" s="568" t="s">
        <v>196</v>
      </c>
      <c r="H149" s="568"/>
      <c r="I149" s="568"/>
      <c r="J149" s="568"/>
      <c r="K149" s="202">
        <v>45764</v>
      </c>
      <c r="L149" s="203" t="s">
        <v>419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364</v>
      </c>
      <c r="C150" s="10" t="s">
        <v>506</v>
      </c>
      <c r="D150" s="10"/>
      <c r="E150" s="202">
        <v>45759</v>
      </c>
      <c r="F150" s="23">
        <v>64.481662</v>
      </c>
      <c r="G150" s="568" t="s">
        <v>196</v>
      </c>
      <c r="H150" s="568"/>
      <c r="I150" s="568"/>
      <c r="J150" s="568"/>
      <c r="K150" s="202">
        <v>45766</v>
      </c>
      <c r="L150" s="203" t="s">
        <v>670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559</v>
      </c>
      <c r="C151" s="10" t="s">
        <v>226</v>
      </c>
      <c r="D151" s="10"/>
      <c r="E151" s="202">
        <v>45761</v>
      </c>
      <c r="F151" s="23">
        <v>53.323913999999995</v>
      </c>
      <c r="G151" s="568" t="s">
        <v>196</v>
      </c>
      <c r="H151" s="568"/>
      <c r="I151" s="568"/>
      <c r="J151" s="568"/>
      <c r="K151" s="202">
        <v>45768</v>
      </c>
      <c r="L151" s="203" t="s">
        <v>675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560</v>
      </c>
      <c r="C152" s="10" t="s">
        <v>225</v>
      </c>
      <c r="D152" s="10"/>
      <c r="E152" s="202">
        <v>45759</v>
      </c>
      <c r="F152" s="23">
        <v>42.374236000000003</v>
      </c>
      <c r="G152" s="568" t="s">
        <v>196</v>
      </c>
      <c r="H152" s="568"/>
      <c r="I152" s="568"/>
      <c r="J152" s="568"/>
      <c r="K152" s="202">
        <v>45768</v>
      </c>
      <c r="L152" s="203" t="s">
        <v>667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362</v>
      </c>
      <c r="C153" s="10" t="s">
        <v>550</v>
      </c>
      <c r="D153" s="10"/>
      <c r="E153" s="202">
        <v>45759</v>
      </c>
      <c r="F153" s="23">
        <v>87.011570000000006</v>
      </c>
      <c r="G153" s="568" t="s">
        <v>196</v>
      </c>
      <c r="H153" s="568"/>
      <c r="I153" s="568"/>
      <c r="J153" s="568"/>
      <c r="K153" s="202">
        <v>45769</v>
      </c>
      <c r="L153" s="203" t="s">
        <v>662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561</v>
      </c>
      <c r="C154" s="10" t="s">
        <v>225</v>
      </c>
      <c r="D154" s="10"/>
      <c r="E154" s="202">
        <v>45759</v>
      </c>
      <c r="F154" s="23">
        <v>42.374236000000003</v>
      </c>
      <c r="G154" s="568" t="s">
        <v>196</v>
      </c>
      <c r="H154" s="568"/>
      <c r="I154" s="568"/>
      <c r="J154" s="568"/>
      <c r="K154" s="202">
        <v>45769</v>
      </c>
      <c r="L154" s="203" t="s">
        <v>669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562</v>
      </c>
      <c r="C155" s="10" t="s">
        <v>224</v>
      </c>
      <c r="D155" s="10"/>
      <c r="E155" s="202">
        <v>45759</v>
      </c>
      <c r="F155" s="23">
        <v>46.049156000000004</v>
      </c>
      <c r="G155" s="568" t="s">
        <v>196</v>
      </c>
      <c r="H155" s="568"/>
      <c r="I155" s="568"/>
      <c r="J155" s="568"/>
      <c r="K155" s="202">
        <v>45769</v>
      </c>
      <c r="L155" s="203" t="s">
        <v>666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563</v>
      </c>
      <c r="C156" s="10" t="s">
        <v>226</v>
      </c>
      <c r="D156" s="10"/>
      <c r="E156" s="202">
        <v>45763</v>
      </c>
      <c r="F156" s="23">
        <v>53.323913999999995</v>
      </c>
      <c r="G156" s="568" t="s">
        <v>196</v>
      </c>
      <c r="H156" s="568"/>
      <c r="I156" s="568"/>
      <c r="J156" s="568"/>
      <c r="K156" s="202">
        <v>45769</v>
      </c>
      <c r="L156" s="203" t="s">
        <v>671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564</v>
      </c>
      <c r="C157" s="10" t="s">
        <v>195</v>
      </c>
      <c r="D157" s="10"/>
      <c r="E157" s="202">
        <v>45762</v>
      </c>
      <c r="F157" s="23">
        <v>43.775756000000008</v>
      </c>
      <c r="G157" s="568" t="s">
        <v>196</v>
      </c>
      <c r="H157" s="568"/>
      <c r="I157" s="568"/>
      <c r="J157" s="568"/>
      <c r="K157" s="202">
        <v>45770</v>
      </c>
      <c r="L157" s="203" t="s">
        <v>668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565</v>
      </c>
      <c r="C158" s="10" t="s">
        <v>225</v>
      </c>
      <c r="D158" s="10"/>
      <c r="E158" s="202">
        <v>45764</v>
      </c>
      <c r="F158" s="23">
        <v>42.374236000000003</v>
      </c>
      <c r="G158" s="568" t="s">
        <v>196</v>
      </c>
      <c r="H158" s="568"/>
      <c r="I158" s="568"/>
      <c r="J158" s="568"/>
      <c r="K158" s="202">
        <v>45772</v>
      </c>
      <c r="L158" s="203" t="s">
        <v>674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566</v>
      </c>
      <c r="C159" s="10" t="s">
        <v>227</v>
      </c>
      <c r="D159" s="10"/>
      <c r="E159" s="202">
        <v>45759</v>
      </c>
      <c r="F159" s="23">
        <v>55.338726999999999</v>
      </c>
      <c r="G159" s="568" t="s">
        <v>196</v>
      </c>
      <c r="H159" s="568"/>
      <c r="I159" s="568"/>
      <c r="J159" s="568"/>
      <c r="K159" s="202">
        <v>45773</v>
      </c>
      <c r="L159" s="203" t="s">
        <v>672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567</v>
      </c>
      <c r="C160" s="10" t="s">
        <v>225</v>
      </c>
      <c r="D160" s="10"/>
      <c r="E160" s="202">
        <v>45770</v>
      </c>
      <c r="F160" s="23">
        <v>42.374236000000003</v>
      </c>
      <c r="G160" s="568" t="s">
        <v>196</v>
      </c>
      <c r="H160" s="568"/>
      <c r="I160" s="568"/>
      <c r="J160" s="568"/>
      <c r="K160" s="202">
        <v>45773</v>
      </c>
      <c r="L160" s="203" t="s">
        <v>671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568</v>
      </c>
      <c r="C161" s="10" t="s">
        <v>225</v>
      </c>
      <c r="D161" s="10"/>
      <c r="E161" s="202">
        <v>45767</v>
      </c>
      <c r="F161" s="23">
        <v>42.374236000000003</v>
      </c>
      <c r="G161" s="568" t="s">
        <v>196</v>
      </c>
      <c r="H161" s="568"/>
      <c r="I161" s="568"/>
      <c r="J161" s="568"/>
      <c r="K161" s="202">
        <v>45773</v>
      </c>
      <c r="L161" s="203" t="s">
        <v>670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569</v>
      </c>
      <c r="C162" s="10" t="s">
        <v>224</v>
      </c>
      <c r="D162" s="10"/>
      <c r="E162" s="202">
        <v>45770</v>
      </c>
      <c r="F162" s="23">
        <v>46.049156000000004</v>
      </c>
      <c r="G162" s="568" t="s">
        <v>196</v>
      </c>
      <c r="H162" s="568"/>
      <c r="I162" s="568"/>
      <c r="J162" s="568"/>
      <c r="K162" s="202">
        <v>45775</v>
      </c>
      <c r="L162" s="203" t="s">
        <v>666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68" t="s">
        <v>196</v>
      </c>
      <c r="H163" s="568"/>
      <c r="I163" s="568"/>
      <c r="J163" s="568"/>
      <c r="K163" s="202">
        <v>45775</v>
      </c>
      <c r="L163" s="203" t="s">
        <v>662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570</v>
      </c>
      <c r="C164" s="10" t="s">
        <v>363</v>
      </c>
      <c r="D164" s="10"/>
      <c r="E164" s="202">
        <v>45764</v>
      </c>
      <c r="F164" s="23">
        <v>78.677549999999997</v>
      </c>
      <c r="G164" s="568" t="s">
        <v>196</v>
      </c>
      <c r="H164" s="568"/>
      <c r="I164" s="568"/>
      <c r="J164" s="568"/>
      <c r="K164" s="202">
        <v>45775</v>
      </c>
      <c r="L164" s="203" t="s">
        <v>673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571</v>
      </c>
      <c r="C165" s="10" t="s">
        <v>225</v>
      </c>
      <c r="D165" s="10"/>
      <c r="E165" s="202">
        <v>45769</v>
      </c>
      <c r="F165" s="23">
        <v>42.374236000000003</v>
      </c>
      <c r="G165" s="568" t="s">
        <v>196</v>
      </c>
      <c r="H165" s="568"/>
      <c r="I165" s="568"/>
      <c r="J165" s="568"/>
      <c r="K165" s="202">
        <v>45775</v>
      </c>
      <c r="L165" s="203" t="s">
        <v>667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572</v>
      </c>
      <c r="C166" s="10" t="s">
        <v>225</v>
      </c>
      <c r="D166" s="10"/>
      <c r="E166" s="202">
        <v>45773</v>
      </c>
      <c r="F166" s="23">
        <v>42.374236000000003</v>
      </c>
      <c r="G166" s="568" t="s">
        <v>196</v>
      </c>
      <c r="H166" s="568"/>
      <c r="I166" s="568"/>
      <c r="J166" s="568"/>
      <c r="K166" s="202">
        <v>45776</v>
      </c>
      <c r="L166" s="203" t="s">
        <v>674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573</v>
      </c>
      <c r="C167" s="10" t="s">
        <v>225</v>
      </c>
      <c r="D167" s="10"/>
      <c r="E167" s="202">
        <v>45770</v>
      </c>
      <c r="F167" s="23">
        <v>42.374236000000003</v>
      </c>
      <c r="G167" s="568" t="s">
        <v>196</v>
      </c>
      <c r="H167" s="568"/>
      <c r="I167" s="568"/>
      <c r="J167" s="568"/>
      <c r="K167" s="202">
        <v>45809</v>
      </c>
      <c r="L167" s="203" t="s">
        <v>669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574</v>
      </c>
      <c r="C168" s="10" t="s">
        <v>380</v>
      </c>
      <c r="D168" s="10"/>
      <c r="E168" s="202">
        <v>45769</v>
      </c>
      <c r="F168" s="23">
        <v>97.228551999999993</v>
      </c>
      <c r="G168" s="568" t="s">
        <v>196</v>
      </c>
      <c r="H168" s="568"/>
      <c r="I168" s="568"/>
      <c r="J168" s="568"/>
      <c r="K168" s="202">
        <v>45777</v>
      </c>
      <c r="L168" s="203" t="s">
        <v>665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575</v>
      </c>
      <c r="C169" s="10" t="s">
        <v>225</v>
      </c>
      <c r="D169" s="10"/>
      <c r="E169" s="202">
        <v>45774</v>
      </c>
      <c r="F169" s="23">
        <v>42.374236000000003</v>
      </c>
      <c r="G169" s="568" t="s">
        <v>196</v>
      </c>
      <c r="H169" s="568"/>
      <c r="I169" s="568"/>
      <c r="J169" s="568"/>
      <c r="K169" s="202">
        <v>45777</v>
      </c>
      <c r="L169" s="203" t="s">
        <v>671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68" t="s">
        <v>196</v>
      </c>
      <c r="H170" s="568"/>
      <c r="I170" s="568"/>
      <c r="J170" s="568"/>
      <c r="K170" s="202">
        <v>45780</v>
      </c>
      <c r="L170" s="203" t="s">
        <v>662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576</v>
      </c>
      <c r="C171" s="10" t="s">
        <v>224</v>
      </c>
      <c r="D171" s="10"/>
      <c r="E171" s="202">
        <v>45776</v>
      </c>
      <c r="F171" s="23">
        <v>46.049156000000004</v>
      </c>
      <c r="G171" s="568" t="s">
        <v>196</v>
      </c>
      <c r="H171" s="568"/>
      <c r="I171" s="568"/>
      <c r="J171" s="568"/>
      <c r="K171" s="202">
        <v>45781</v>
      </c>
      <c r="L171" s="203" t="s">
        <v>670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577</v>
      </c>
      <c r="C172" s="10" t="s">
        <v>225</v>
      </c>
      <c r="D172" s="10"/>
      <c r="E172" s="202">
        <v>45776</v>
      </c>
      <c r="F172" s="23">
        <v>42.374236000000003</v>
      </c>
      <c r="G172" s="568" t="s">
        <v>196</v>
      </c>
      <c r="H172" s="568"/>
      <c r="I172" s="568"/>
      <c r="J172" s="568"/>
      <c r="K172" s="202">
        <v>45782</v>
      </c>
      <c r="L172" s="203" t="s">
        <v>666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578</v>
      </c>
      <c r="C173" s="10" t="s">
        <v>224</v>
      </c>
      <c r="D173" s="10"/>
      <c r="E173" s="202">
        <v>45777</v>
      </c>
      <c r="F173" s="23">
        <v>46.049156000000004</v>
      </c>
      <c r="G173" s="568" t="s">
        <v>196</v>
      </c>
      <c r="H173" s="568"/>
      <c r="I173" s="568"/>
      <c r="J173" s="568"/>
      <c r="K173" s="202">
        <v>45783</v>
      </c>
      <c r="L173" s="203" t="s">
        <v>671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579</v>
      </c>
      <c r="C174" s="10" t="s">
        <v>195</v>
      </c>
      <c r="D174" s="10"/>
      <c r="E174" s="202">
        <v>45777</v>
      </c>
      <c r="F174" s="23">
        <v>43.775756000000008</v>
      </c>
      <c r="G174" s="568" t="s">
        <v>196</v>
      </c>
      <c r="H174" s="568"/>
      <c r="I174" s="568"/>
      <c r="J174" s="568"/>
      <c r="K174" s="202">
        <v>45783</v>
      </c>
      <c r="L174" s="203" t="s">
        <v>667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580</v>
      </c>
      <c r="C175" s="10" t="s">
        <v>225</v>
      </c>
      <c r="D175" s="10"/>
      <c r="E175" s="202">
        <v>45777</v>
      </c>
      <c r="F175" s="23">
        <v>42.374236000000003</v>
      </c>
      <c r="G175" s="568" t="s">
        <v>196</v>
      </c>
      <c r="H175" s="568"/>
      <c r="I175" s="568"/>
      <c r="J175" s="568"/>
      <c r="K175" s="202">
        <v>45783</v>
      </c>
      <c r="L175" s="203" t="s">
        <v>674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581</v>
      </c>
      <c r="C176" s="10" t="s">
        <v>224</v>
      </c>
      <c r="D176" s="10"/>
      <c r="E176" s="202">
        <v>45777</v>
      </c>
      <c r="F176" s="23">
        <v>46.049156000000004</v>
      </c>
      <c r="G176" s="568" t="s">
        <v>196</v>
      </c>
      <c r="H176" s="568"/>
      <c r="I176" s="568"/>
      <c r="J176" s="568"/>
      <c r="K176" s="202">
        <v>45784</v>
      </c>
      <c r="L176" s="203" t="s">
        <v>668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582</v>
      </c>
      <c r="C177" s="10" t="s">
        <v>225</v>
      </c>
      <c r="D177" s="10"/>
      <c r="E177" s="202">
        <v>45783</v>
      </c>
      <c r="F177" s="23">
        <v>42.374236000000003</v>
      </c>
      <c r="G177" s="568" t="s">
        <v>196</v>
      </c>
      <c r="H177" s="568"/>
      <c r="I177" s="568"/>
      <c r="J177" s="568"/>
      <c r="K177" s="202">
        <v>45786</v>
      </c>
      <c r="L177" s="203" t="s">
        <v>671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583</v>
      </c>
      <c r="C178" s="10" t="s">
        <v>225</v>
      </c>
      <c r="D178" s="10"/>
      <c r="E178" s="202">
        <v>45781</v>
      </c>
      <c r="F178" s="23">
        <v>42.374236000000003</v>
      </c>
      <c r="G178" s="568" t="s">
        <v>196</v>
      </c>
      <c r="H178" s="568"/>
      <c r="I178" s="568"/>
      <c r="J178" s="568"/>
      <c r="K178" s="202">
        <v>45787</v>
      </c>
      <c r="L178" s="203" t="s">
        <v>673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584</v>
      </c>
      <c r="C179" s="10" t="s">
        <v>225</v>
      </c>
      <c r="D179" s="10"/>
      <c r="E179" s="202">
        <v>45781</v>
      </c>
      <c r="F179" s="23">
        <v>42.374236000000003</v>
      </c>
      <c r="G179" s="568" t="s">
        <v>196</v>
      </c>
      <c r="H179" s="568"/>
      <c r="I179" s="568"/>
      <c r="J179" s="568"/>
      <c r="K179" s="202">
        <v>45788</v>
      </c>
      <c r="L179" s="203" t="s">
        <v>419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585</v>
      </c>
      <c r="C180" s="10" t="s">
        <v>225</v>
      </c>
      <c r="D180" s="10"/>
      <c r="E180" s="202">
        <v>45782</v>
      </c>
      <c r="F180" s="23">
        <v>42.374236000000003</v>
      </c>
      <c r="G180" s="568" t="s">
        <v>196</v>
      </c>
      <c r="H180" s="568"/>
      <c r="I180" s="568"/>
      <c r="J180" s="568"/>
      <c r="K180" s="202">
        <v>45788</v>
      </c>
      <c r="L180" s="203" t="s">
        <v>670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68" t="s">
        <v>196</v>
      </c>
      <c r="H181" s="568"/>
      <c r="I181" s="568"/>
      <c r="J181" s="568"/>
      <c r="K181" s="202">
        <v>45789</v>
      </c>
      <c r="L181" s="203" t="s">
        <v>674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586</v>
      </c>
      <c r="C182" s="10" t="s">
        <v>225</v>
      </c>
      <c r="D182" s="10"/>
      <c r="E182" s="202">
        <v>45784</v>
      </c>
      <c r="F182" s="23">
        <v>42.374236000000003</v>
      </c>
      <c r="G182" s="568" t="s">
        <v>196</v>
      </c>
      <c r="H182" s="568"/>
      <c r="I182" s="568"/>
      <c r="J182" s="568"/>
      <c r="K182" s="202">
        <v>45790</v>
      </c>
      <c r="L182" s="203" t="s">
        <v>667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587</v>
      </c>
      <c r="C183" s="10" t="s">
        <v>195</v>
      </c>
      <c r="D183" s="10"/>
      <c r="E183" s="202">
        <v>45784</v>
      </c>
      <c r="F183" s="23">
        <v>43.775756000000008</v>
      </c>
      <c r="G183" s="568" t="s">
        <v>196</v>
      </c>
      <c r="H183" s="568"/>
      <c r="I183" s="568"/>
      <c r="J183" s="568"/>
      <c r="K183" s="202">
        <v>45790</v>
      </c>
      <c r="L183" s="203" t="s">
        <v>666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68" t="s">
        <v>196</v>
      </c>
      <c r="H184" s="568"/>
      <c r="I184" s="568"/>
      <c r="J184" s="568"/>
      <c r="K184" s="202">
        <v>45791</v>
      </c>
      <c r="L184" s="203" t="s">
        <v>662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588</v>
      </c>
      <c r="C185" s="10" t="s">
        <v>380</v>
      </c>
      <c r="D185" s="10"/>
      <c r="E185" s="202">
        <v>45782</v>
      </c>
      <c r="F185" s="23">
        <v>97.228551999999993</v>
      </c>
      <c r="G185" s="568" t="s">
        <v>196</v>
      </c>
      <c r="H185" s="568"/>
      <c r="I185" s="568"/>
      <c r="J185" s="568"/>
      <c r="K185" s="202">
        <v>45791</v>
      </c>
      <c r="L185" s="203" t="s">
        <v>665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589</v>
      </c>
      <c r="C186" s="10" t="s">
        <v>225</v>
      </c>
      <c r="D186" s="10"/>
      <c r="E186" s="202">
        <v>45788</v>
      </c>
      <c r="F186" s="23">
        <v>42.374236000000003</v>
      </c>
      <c r="G186" s="568" t="s">
        <v>196</v>
      </c>
      <c r="H186" s="568"/>
      <c r="I186" s="568"/>
      <c r="J186" s="568"/>
      <c r="K186" s="202">
        <v>45792</v>
      </c>
      <c r="L186" s="203" t="s">
        <v>671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590</v>
      </c>
      <c r="C187" s="10" t="s">
        <v>225</v>
      </c>
      <c r="D187" s="10"/>
      <c r="E187" s="202">
        <v>45790</v>
      </c>
      <c r="F187" s="23">
        <v>42.374236000000003</v>
      </c>
      <c r="G187" s="568" t="s">
        <v>196</v>
      </c>
      <c r="H187" s="568"/>
      <c r="I187" s="568"/>
      <c r="J187" s="568"/>
      <c r="K187" s="202">
        <v>45794</v>
      </c>
      <c r="L187" s="203" t="s">
        <v>674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68" t="s">
        <v>196</v>
      </c>
      <c r="H188" s="568"/>
      <c r="I188" s="568"/>
      <c r="J188" s="568"/>
      <c r="K188" s="202">
        <v>45796</v>
      </c>
      <c r="L188" s="203" t="s">
        <v>662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591</v>
      </c>
      <c r="C189" s="10" t="s">
        <v>225</v>
      </c>
      <c r="D189" s="10"/>
      <c r="E189" s="202">
        <v>45791</v>
      </c>
      <c r="F189" s="23">
        <v>42.374236000000003</v>
      </c>
      <c r="G189" s="568" t="s">
        <v>196</v>
      </c>
      <c r="H189" s="568"/>
      <c r="I189" s="568"/>
      <c r="J189" s="568"/>
      <c r="K189" s="202">
        <v>45796</v>
      </c>
      <c r="L189" s="203" t="s">
        <v>666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592</v>
      </c>
      <c r="C190" s="10" t="s">
        <v>224</v>
      </c>
      <c r="D190" s="10"/>
      <c r="E190" s="202">
        <v>45789</v>
      </c>
      <c r="F190" s="23">
        <v>46.049156000000004</v>
      </c>
      <c r="G190" s="568" t="s">
        <v>196</v>
      </c>
      <c r="H190" s="568"/>
      <c r="I190" s="568"/>
      <c r="J190" s="568"/>
      <c r="K190" s="202">
        <v>45796</v>
      </c>
      <c r="L190" s="203" t="s">
        <v>670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593</v>
      </c>
      <c r="C191" s="10" t="s">
        <v>225</v>
      </c>
      <c r="D191" s="10"/>
      <c r="E191" s="202">
        <v>45791</v>
      </c>
      <c r="F191" s="23">
        <v>42.374236000000003</v>
      </c>
      <c r="G191" s="568" t="s">
        <v>196</v>
      </c>
      <c r="H191" s="568"/>
      <c r="I191" s="568"/>
      <c r="J191" s="568"/>
      <c r="K191" s="202">
        <v>45797</v>
      </c>
      <c r="L191" s="203" t="s">
        <v>667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594</v>
      </c>
      <c r="C192" s="10" t="s">
        <v>224</v>
      </c>
      <c r="D192" s="10"/>
      <c r="E192" s="202">
        <v>45789</v>
      </c>
      <c r="F192" s="23">
        <v>46.049156000000004</v>
      </c>
      <c r="G192" s="568" t="s">
        <v>196</v>
      </c>
      <c r="H192" s="568"/>
      <c r="I192" s="568"/>
      <c r="J192" s="568"/>
      <c r="K192" s="202">
        <v>45798</v>
      </c>
      <c r="L192" s="203" t="s">
        <v>419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595</v>
      </c>
      <c r="C193" s="10" t="s">
        <v>224</v>
      </c>
      <c r="D193" s="10"/>
      <c r="E193" s="202">
        <v>45793</v>
      </c>
      <c r="F193" s="23">
        <v>46.049156000000004</v>
      </c>
      <c r="G193" s="568" t="s">
        <v>196</v>
      </c>
      <c r="H193" s="568"/>
      <c r="I193" s="568"/>
      <c r="J193" s="568"/>
      <c r="K193" s="202">
        <v>45798</v>
      </c>
      <c r="L193" s="203" t="s">
        <v>674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596</v>
      </c>
      <c r="C194" s="10" t="s">
        <v>225</v>
      </c>
      <c r="D194" s="10"/>
      <c r="E194" s="202">
        <v>45792</v>
      </c>
      <c r="F194" s="23">
        <v>42.374236000000003</v>
      </c>
      <c r="G194" s="568" t="s">
        <v>196</v>
      </c>
      <c r="H194" s="568"/>
      <c r="I194" s="568"/>
      <c r="J194" s="568"/>
      <c r="K194" s="202">
        <v>45799</v>
      </c>
      <c r="L194" s="203" t="s">
        <v>665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597</v>
      </c>
      <c r="C195" s="10" t="s">
        <v>225</v>
      </c>
      <c r="D195" s="10"/>
      <c r="E195" s="202">
        <v>45788</v>
      </c>
      <c r="F195" s="23">
        <v>42.374236000000003</v>
      </c>
      <c r="G195" s="568" t="s">
        <v>196</v>
      </c>
      <c r="H195" s="568"/>
      <c r="I195" s="568"/>
      <c r="J195" s="568"/>
      <c r="K195" s="202">
        <v>45799</v>
      </c>
      <c r="L195" s="203" t="s">
        <v>673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598</v>
      </c>
      <c r="C196" s="10" t="s">
        <v>226</v>
      </c>
      <c r="D196" s="10"/>
      <c r="E196" s="202">
        <v>45789</v>
      </c>
      <c r="F196" s="23">
        <v>53.323913999999995</v>
      </c>
      <c r="G196" s="568" t="s">
        <v>196</v>
      </c>
      <c r="H196" s="568"/>
      <c r="I196" s="568"/>
      <c r="J196" s="568"/>
      <c r="K196" s="202">
        <v>45799</v>
      </c>
      <c r="L196" s="203" t="s">
        <v>676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599</v>
      </c>
      <c r="C197" s="10" t="s">
        <v>225</v>
      </c>
      <c r="D197" s="10"/>
      <c r="E197" s="202">
        <v>45797</v>
      </c>
      <c r="F197" s="23">
        <v>42.374236000000003</v>
      </c>
      <c r="G197" s="568" t="s">
        <v>196</v>
      </c>
      <c r="H197" s="568"/>
      <c r="I197" s="568"/>
      <c r="J197" s="568"/>
      <c r="K197" s="202">
        <v>45801</v>
      </c>
      <c r="L197" s="203" t="s">
        <v>666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600</v>
      </c>
      <c r="C198" s="10" t="s">
        <v>225</v>
      </c>
      <c r="D198" s="10"/>
      <c r="E198" s="202">
        <v>45797</v>
      </c>
      <c r="F198" s="23">
        <v>42.374236000000003</v>
      </c>
      <c r="G198" s="568" t="s">
        <v>196</v>
      </c>
      <c r="H198" s="568"/>
      <c r="I198" s="568"/>
      <c r="J198" s="568"/>
      <c r="K198" s="202">
        <v>45801</v>
      </c>
      <c r="L198" s="203" t="s">
        <v>670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68" t="s">
        <v>196</v>
      </c>
      <c r="H199" s="568"/>
      <c r="I199" s="568"/>
      <c r="J199" s="568"/>
      <c r="K199" s="202">
        <v>45801</v>
      </c>
      <c r="L199" s="203" t="s">
        <v>662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601</v>
      </c>
      <c r="C200" s="10" t="s">
        <v>602</v>
      </c>
      <c r="D200" s="10"/>
      <c r="E200" s="202">
        <v>45793</v>
      </c>
      <c r="F200" s="23">
        <v>78.073216000000002</v>
      </c>
      <c r="G200" s="568" t="s">
        <v>196</v>
      </c>
      <c r="H200" s="568"/>
      <c r="I200" s="568"/>
      <c r="J200" s="568"/>
      <c r="K200" s="202">
        <v>45802</v>
      </c>
      <c r="L200" s="203" t="s">
        <v>671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603</v>
      </c>
      <c r="C201" s="10" t="s">
        <v>225</v>
      </c>
      <c r="D201" s="10"/>
      <c r="E201" s="202">
        <v>45787</v>
      </c>
      <c r="F201" s="23">
        <v>42.374236000000003</v>
      </c>
      <c r="G201" s="568" t="s">
        <v>196</v>
      </c>
      <c r="H201" s="568"/>
      <c r="I201" s="568"/>
      <c r="J201" s="568"/>
      <c r="K201" s="202">
        <v>45804</v>
      </c>
      <c r="L201" s="203" t="s">
        <v>668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604</v>
      </c>
      <c r="C202" s="10" t="s">
        <v>225</v>
      </c>
      <c r="D202" s="10"/>
      <c r="E202" s="202">
        <v>45799</v>
      </c>
      <c r="F202" s="23">
        <v>42.374236000000003</v>
      </c>
      <c r="G202" s="568" t="s">
        <v>196</v>
      </c>
      <c r="H202" s="568"/>
      <c r="I202" s="568"/>
      <c r="J202" s="568"/>
      <c r="K202" s="202">
        <v>45804</v>
      </c>
      <c r="L202" s="203" t="s">
        <v>674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605</v>
      </c>
      <c r="C203" s="10" t="s">
        <v>225</v>
      </c>
      <c r="D203" s="10"/>
      <c r="E203" s="202">
        <v>45800</v>
      </c>
      <c r="F203" s="23">
        <v>42.374236000000003</v>
      </c>
      <c r="G203" s="568" t="s">
        <v>196</v>
      </c>
      <c r="H203" s="568"/>
      <c r="I203" s="568"/>
      <c r="J203" s="568"/>
      <c r="K203" s="202">
        <v>45805</v>
      </c>
      <c r="L203" s="203" t="s">
        <v>665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606</v>
      </c>
      <c r="C204" s="10" t="s">
        <v>225</v>
      </c>
      <c r="D204" s="10"/>
      <c r="E204" s="202">
        <v>45800</v>
      </c>
      <c r="F204" s="23">
        <v>42.374236000000003</v>
      </c>
      <c r="G204" s="568" t="s">
        <v>196</v>
      </c>
      <c r="H204" s="568"/>
      <c r="I204" s="568"/>
      <c r="J204" s="568"/>
      <c r="K204" s="202">
        <v>45807</v>
      </c>
      <c r="L204" s="203" t="s">
        <v>419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607</v>
      </c>
      <c r="C205" s="10" t="s">
        <v>225</v>
      </c>
      <c r="D205" s="10"/>
      <c r="E205" s="202">
        <v>45800</v>
      </c>
      <c r="F205" s="23">
        <v>42.374236000000003</v>
      </c>
      <c r="G205" s="568" t="s">
        <v>196</v>
      </c>
      <c r="H205" s="568"/>
      <c r="I205" s="568"/>
      <c r="J205" s="568"/>
      <c r="K205" s="202">
        <v>45807</v>
      </c>
      <c r="L205" s="203" t="s">
        <v>662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608</v>
      </c>
      <c r="C206" s="10" t="s">
        <v>225</v>
      </c>
      <c r="D206" s="10"/>
      <c r="E206" s="202">
        <v>45803</v>
      </c>
      <c r="F206" s="23">
        <v>42.374236000000003</v>
      </c>
      <c r="G206" s="568" t="s">
        <v>196</v>
      </c>
      <c r="H206" s="568"/>
      <c r="I206" s="568"/>
      <c r="J206" s="568"/>
      <c r="K206" s="202">
        <v>45808</v>
      </c>
      <c r="L206" s="203" t="s">
        <v>671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609</v>
      </c>
      <c r="C207" s="10" t="s">
        <v>225</v>
      </c>
      <c r="D207" s="10"/>
      <c r="E207" s="202">
        <v>45802</v>
      </c>
      <c r="F207" s="23">
        <v>42.374236000000003</v>
      </c>
      <c r="G207" s="568" t="s">
        <v>196</v>
      </c>
      <c r="H207" s="568"/>
      <c r="I207" s="568"/>
      <c r="J207" s="568"/>
      <c r="K207" s="202">
        <v>45808</v>
      </c>
      <c r="L207" s="203" t="s">
        <v>666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610</v>
      </c>
      <c r="C208" s="10" t="s">
        <v>224</v>
      </c>
      <c r="D208" s="10"/>
      <c r="E208" s="202">
        <v>45805</v>
      </c>
      <c r="F208" s="23">
        <v>46.049156000000004</v>
      </c>
      <c r="G208" s="568" t="s">
        <v>196</v>
      </c>
      <c r="H208" s="568"/>
      <c r="I208" s="568"/>
      <c r="J208" s="568"/>
      <c r="K208" s="202">
        <v>45810</v>
      </c>
      <c r="L208" s="203" t="s">
        <v>670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611</v>
      </c>
      <c r="C209" s="10" t="s">
        <v>227</v>
      </c>
      <c r="D209" s="10"/>
      <c r="E209" s="202">
        <v>45805</v>
      </c>
      <c r="F209" s="23">
        <v>55.338726999999999</v>
      </c>
      <c r="G209" s="568" t="s">
        <v>196</v>
      </c>
      <c r="H209" s="568"/>
      <c r="I209" s="568"/>
      <c r="J209" s="568"/>
      <c r="K209" s="202">
        <v>45811</v>
      </c>
      <c r="L209" s="203" t="s">
        <v>665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612</v>
      </c>
      <c r="C210" s="10" t="s">
        <v>225</v>
      </c>
      <c r="D210" s="10"/>
      <c r="E210" s="202">
        <v>45802</v>
      </c>
      <c r="F210" s="23">
        <v>42.374236000000003</v>
      </c>
      <c r="G210" s="568" t="s">
        <v>196</v>
      </c>
      <c r="H210" s="568"/>
      <c r="I210" s="568"/>
      <c r="J210" s="568"/>
      <c r="K210" s="202">
        <v>45812</v>
      </c>
      <c r="L210" s="203" t="s">
        <v>419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613</v>
      </c>
      <c r="C211" s="10" t="s">
        <v>225</v>
      </c>
      <c r="D211" s="10"/>
      <c r="E211" s="202">
        <v>45807</v>
      </c>
      <c r="F211" s="23">
        <v>42.374236000000003</v>
      </c>
      <c r="G211" s="568" t="s">
        <v>196</v>
      </c>
      <c r="H211" s="568"/>
      <c r="I211" s="568"/>
      <c r="J211" s="568"/>
      <c r="K211" s="202">
        <v>45812</v>
      </c>
      <c r="L211" s="203" t="s">
        <v>662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614</v>
      </c>
      <c r="C212" s="10" t="s">
        <v>380</v>
      </c>
      <c r="D212" s="10"/>
      <c r="E212" s="202">
        <v>45804</v>
      </c>
      <c r="F212" s="23">
        <v>97.228551999999993</v>
      </c>
      <c r="G212" s="568" t="s">
        <v>196</v>
      </c>
      <c r="H212" s="568"/>
      <c r="I212" s="568"/>
      <c r="J212" s="568"/>
      <c r="K212" s="202">
        <v>45815</v>
      </c>
      <c r="L212" s="203" t="s">
        <v>674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615</v>
      </c>
      <c r="C213" s="10" t="s">
        <v>195</v>
      </c>
      <c r="D213" s="10"/>
      <c r="E213" s="202">
        <v>45812</v>
      </c>
      <c r="F213" s="23">
        <v>43.775756000000008</v>
      </c>
      <c r="G213" s="568" t="s">
        <v>196</v>
      </c>
      <c r="H213" s="568"/>
      <c r="I213" s="568"/>
      <c r="J213" s="568"/>
      <c r="K213" s="202">
        <v>45817</v>
      </c>
      <c r="L213" s="203" t="s">
        <v>665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68" t="s">
        <v>196</v>
      </c>
      <c r="H214" s="568"/>
      <c r="I214" s="568"/>
      <c r="J214" s="568"/>
      <c r="K214" s="202">
        <v>45818</v>
      </c>
      <c r="L214" s="203" t="s">
        <v>666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616</v>
      </c>
      <c r="C215" s="10" t="s">
        <v>225</v>
      </c>
      <c r="D215" s="10"/>
      <c r="E215" s="202">
        <v>45812</v>
      </c>
      <c r="F215" s="23">
        <v>42.374236000000003</v>
      </c>
      <c r="G215" s="568" t="s">
        <v>196</v>
      </c>
      <c r="H215" s="568"/>
      <c r="I215" s="568"/>
      <c r="J215" s="568"/>
      <c r="K215" s="202">
        <v>45819</v>
      </c>
      <c r="L215" s="203" t="s">
        <v>419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617</v>
      </c>
      <c r="C216" s="10" t="s">
        <v>195</v>
      </c>
      <c r="D216" s="10"/>
      <c r="E216" s="202">
        <v>45816</v>
      </c>
      <c r="F216" s="23">
        <v>43.775756000000008</v>
      </c>
      <c r="G216" s="568" t="s">
        <v>196</v>
      </c>
      <c r="H216" s="568"/>
      <c r="I216" s="568"/>
      <c r="J216" s="568"/>
      <c r="K216" s="202">
        <v>45821</v>
      </c>
      <c r="L216" s="203" t="s">
        <v>674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618</v>
      </c>
      <c r="C217" s="10" t="s">
        <v>225</v>
      </c>
      <c r="D217" s="10"/>
      <c r="E217" s="202">
        <v>45810</v>
      </c>
      <c r="F217" s="23">
        <v>42.374236000000003</v>
      </c>
      <c r="G217" s="568" t="s">
        <v>196</v>
      </c>
      <c r="H217" s="568"/>
      <c r="I217" s="568"/>
      <c r="J217" s="568"/>
      <c r="K217" s="202">
        <v>45822</v>
      </c>
      <c r="L217" s="203" t="s">
        <v>677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619</v>
      </c>
      <c r="C218" s="10" t="s">
        <v>195</v>
      </c>
      <c r="D218" s="10"/>
      <c r="E218" s="202">
        <v>45820</v>
      </c>
      <c r="F218" s="23">
        <v>43.775756000000008</v>
      </c>
      <c r="G218" s="568" t="s">
        <v>196</v>
      </c>
      <c r="H218" s="568"/>
      <c r="I218" s="568"/>
      <c r="J218" s="568"/>
      <c r="K218" s="202">
        <v>45826</v>
      </c>
      <c r="L218" s="203" t="s">
        <v>666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620</v>
      </c>
      <c r="C219" s="10" t="s">
        <v>224</v>
      </c>
      <c r="D219" s="10"/>
      <c r="E219" s="202">
        <v>45818</v>
      </c>
      <c r="F219" s="23">
        <v>46.049156000000004</v>
      </c>
      <c r="G219" s="568" t="s">
        <v>196</v>
      </c>
      <c r="H219" s="568"/>
      <c r="I219" s="568"/>
      <c r="J219" s="568"/>
      <c r="K219" s="202">
        <v>45826</v>
      </c>
      <c r="L219" s="203" t="s">
        <v>676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621</v>
      </c>
      <c r="C220" s="10" t="s">
        <v>622</v>
      </c>
      <c r="D220" s="10"/>
      <c r="E220" s="202">
        <v>45820</v>
      </c>
      <c r="F220" s="23">
        <v>67.112016999999994</v>
      </c>
      <c r="G220" s="568" t="s">
        <v>196</v>
      </c>
      <c r="H220" s="568"/>
      <c r="I220" s="568"/>
      <c r="J220" s="568"/>
      <c r="K220" s="202">
        <v>45828</v>
      </c>
      <c r="L220" s="203" t="s">
        <v>665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623</v>
      </c>
      <c r="C221" s="10" t="s">
        <v>624</v>
      </c>
      <c r="D221" s="10"/>
      <c r="E221" s="202">
        <v>45802</v>
      </c>
      <c r="F221" s="23">
        <v>143.46209800000003</v>
      </c>
      <c r="G221" s="568" t="s">
        <v>196</v>
      </c>
      <c r="H221" s="568"/>
      <c r="I221" s="568"/>
      <c r="J221" s="568"/>
      <c r="K221" s="202">
        <v>45829</v>
      </c>
      <c r="L221" s="203" t="s">
        <v>667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625</v>
      </c>
      <c r="C222" s="10" t="s">
        <v>511</v>
      </c>
      <c r="D222" s="10"/>
      <c r="E222" s="202">
        <v>45820</v>
      </c>
      <c r="F222" s="23">
        <v>73.425832</v>
      </c>
      <c r="G222" s="568" t="s">
        <v>196</v>
      </c>
      <c r="H222" s="568"/>
      <c r="I222" s="568"/>
      <c r="J222" s="568"/>
      <c r="K222" s="202">
        <v>45831</v>
      </c>
      <c r="L222" s="203" t="s">
        <v>419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626</v>
      </c>
      <c r="C223" s="10" t="s">
        <v>224</v>
      </c>
      <c r="D223" s="10"/>
      <c r="E223" s="202">
        <v>45829</v>
      </c>
      <c r="F223" s="23">
        <v>46.049156000000004</v>
      </c>
      <c r="G223" s="568" t="s">
        <v>196</v>
      </c>
      <c r="H223" s="568"/>
      <c r="I223" s="568"/>
      <c r="J223" s="568"/>
      <c r="K223" s="202">
        <v>45834</v>
      </c>
      <c r="L223" s="203" t="s">
        <v>665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68" t="s">
        <v>196</v>
      </c>
      <c r="H224" s="568"/>
      <c r="I224" s="568"/>
      <c r="J224" s="568"/>
      <c r="K224" s="202">
        <v>45835</v>
      </c>
      <c r="L224" s="203" t="s">
        <v>669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627</v>
      </c>
      <c r="C225" s="10" t="s">
        <v>224</v>
      </c>
      <c r="D225" s="10"/>
      <c r="E225" s="202">
        <v>45828</v>
      </c>
      <c r="F225" s="23">
        <v>46.049156000000004</v>
      </c>
      <c r="G225" s="568" t="s">
        <v>196</v>
      </c>
      <c r="H225" s="568"/>
      <c r="I225" s="568"/>
      <c r="J225" s="568"/>
      <c r="K225" s="202">
        <v>45837</v>
      </c>
      <c r="L225" s="203" t="s">
        <v>676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371</v>
      </c>
      <c r="C226" s="10" t="s">
        <v>628</v>
      </c>
      <c r="D226" s="10"/>
      <c r="E226" s="202">
        <v>45823</v>
      </c>
      <c r="F226" s="23">
        <v>104.866553</v>
      </c>
      <c r="G226" s="568" t="s">
        <v>196</v>
      </c>
      <c r="H226" s="568"/>
      <c r="I226" s="568"/>
      <c r="J226" s="568"/>
      <c r="K226" s="202">
        <v>45837</v>
      </c>
      <c r="L226" s="203" t="s">
        <v>674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629</v>
      </c>
      <c r="C227" s="10" t="s">
        <v>225</v>
      </c>
      <c r="D227" s="10"/>
      <c r="E227" s="202">
        <v>45832</v>
      </c>
      <c r="F227" s="23">
        <v>42.374236000000003</v>
      </c>
      <c r="G227" s="568" t="s">
        <v>196</v>
      </c>
      <c r="H227" s="568"/>
      <c r="I227" s="568"/>
      <c r="J227" s="568"/>
      <c r="K227" s="202">
        <v>45838</v>
      </c>
      <c r="L227" s="203" t="s">
        <v>419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630</v>
      </c>
      <c r="C228" s="10" t="s">
        <v>225</v>
      </c>
      <c r="D228" s="10"/>
      <c r="E228" s="202">
        <v>45835</v>
      </c>
      <c r="F228" s="23">
        <v>42.374236000000003</v>
      </c>
      <c r="G228" s="568" t="s">
        <v>196</v>
      </c>
      <c r="H228" s="568"/>
      <c r="I228" s="568"/>
      <c r="J228" s="568"/>
      <c r="K228" s="202">
        <v>45838</v>
      </c>
      <c r="L228" s="203" t="s">
        <v>665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320</v>
      </c>
      <c r="C229" s="10" t="s">
        <v>631</v>
      </c>
      <c r="D229" s="10"/>
      <c r="E229" s="202">
        <v>45812</v>
      </c>
      <c r="F229" s="23">
        <v>161.35518400000001</v>
      </c>
      <c r="G229" s="568" t="s">
        <v>196</v>
      </c>
      <c r="H229" s="568"/>
      <c r="I229" s="568"/>
      <c r="J229" s="568"/>
      <c r="K229" s="202">
        <v>45838</v>
      </c>
      <c r="L229" s="203" t="s">
        <v>670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632</v>
      </c>
      <c r="C230" s="10" t="s">
        <v>633</v>
      </c>
      <c r="D230" s="10"/>
      <c r="E230" s="202">
        <v>45809</v>
      </c>
      <c r="F230" s="23">
        <v>188.37786399999996</v>
      </c>
      <c r="G230" s="568" t="s">
        <v>196</v>
      </c>
      <c r="H230" s="568"/>
      <c r="I230" s="568"/>
      <c r="J230" s="568"/>
      <c r="K230" s="202">
        <v>45838</v>
      </c>
      <c r="L230" s="203" t="s">
        <v>671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634</v>
      </c>
      <c r="C231" s="10" t="s">
        <v>224</v>
      </c>
      <c r="D231" s="10"/>
      <c r="E231" s="202">
        <v>45832</v>
      </c>
      <c r="F231" s="23">
        <v>46.049156000000004</v>
      </c>
      <c r="G231" s="568" t="s">
        <v>196</v>
      </c>
      <c r="H231" s="568"/>
      <c r="I231" s="568"/>
      <c r="J231" s="568"/>
      <c r="K231" s="202">
        <v>45843</v>
      </c>
      <c r="L231" s="203" t="s">
        <v>667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635</v>
      </c>
      <c r="C232" s="10" t="s">
        <v>224</v>
      </c>
      <c r="D232" s="10"/>
      <c r="E232" s="202">
        <v>45839</v>
      </c>
      <c r="F232" s="23">
        <v>46.049156000000004</v>
      </c>
      <c r="G232" s="568" t="s">
        <v>196</v>
      </c>
      <c r="H232" s="568"/>
      <c r="I232" s="568"/>
      <c r="J232" s="568"/>
      <c r="K232" s="202">
        <v>45845</v>
      </c>
      <c r="L232" s="203" t="s">
        <v>665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636</v>
      </c>
      <c r="C233" s="10" t="s">
        <v>227</v>
      </c>
      <c r="D233" s="10"/>
      <c r="E233" s="202">
        <v>45839</v>
      </c>
      <c r="F233" s="23">
        <v>55.338726999999999</v>
      </c>
      <c r="G233" s="568" t="s">
        <v>196</v>
      </c>
      <c r="H233" s="568"/>
      <c r="I233" s="568"/>
      <c r="J233" s="568"/>
      <c r="K233" s="202">
        <v>45850</v>
      </c>
      <c r="L233" s="203" t="s">
        <v>419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365</v>
      </c>
      <c r="C234" s="10" t="s">
        <v>637</v>
      </c>
      <c r="D234" s="10"/>
      <c r="E234" s="202">
        <v>45843</v>
      </c>
      <c r="F234" s="23">
        <v>101.69198999999999</v>
      </c>
      <c r="G234" s="568" t="s">
        <v>196</v>
      </c>
      <c r="H234" s="568"/>
      <c r="I234" s="568"/>
      <c r="J234" s="568"/>
      <c r="K234" s="202">
        <v>45856</v>
      </c>
      <c r="L234" s="205" t="s">
        <v>670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359</v>
      </c>
      <c r="C235" s="10" t="s">
        <v>558</v>
      </c>
      <c r="D235" s="10"/>
      <c r="E235" s="202">
        <v>45836</v>
      </c>
      <c r="F235" s="23">
        <v>86.256192999999996</v>
      </c>
      <c r="G235" s="568" t="s">
        <v>196</v>
      </c>
      <c r="H235" s="568"/>
      <c r="I235" s="568"/>
      <c r="J235" s="568"/>
      <c r="K235" s="202">
        <v>45860</v>
      </c>
      <c r="L235" s="205" t="s">
        <v>678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638</v>
      </c>
      <c r="C236" s="10" t="s">
        <v>380</v>
      </c>
      <c r="D236" s="10"/>
      <c r="E236" s="202">
        <v>45846</v>
      </c>
      <c r="F236" s="23">
        <v>97.228551999999993</v>
      </c>
      <c r="G236" s="568" t="s">
        <v>196</v>
      </c>
      <c r="H236" s="568"/>
      <c r="I236" s="568"/>
      <c r="J236" s="568"/>
      <c r="K236" s="202">
        <v>45869</v>
      </c>
      <c r="L236" s="203" t="s">
        <v>419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270</v>
      </c>
      <c r="C237" s="10" t="s">
        <v>624</v>
      </c>
      <c r="D237" s="10"/>
      <c r="E237" s="202">
        <v>45858</v>
      </c>
      <c r="F237" s="23">
        <v>143.46209800000003</v>
      </c>
      <c r="G237" s="568" t="s">
        <v>196</v>
      </c>
      <c r="H237" s="568"/>
      <c r="I237" s="568"/>
      <c r="J237" s="568"/>
      <c r="K237" s="202">
        <v>45877</v>
      </c>
      <c r="L237" s="205" t="s">
        <v>670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639</v>
      </c>
      <c r="C238" s="10" t="s">
        <v>633</v>
      </c>
      <c r="D238" s="10"/>
      <c r="E238" s="202">
        <v>45847</v>
      </c>
      <c r="F238" s="23">
        <v>188.37786399999996</v>
      </c>
      <c r="G238" s="568" t="s">
        <v>196</v>
      </c>
      <c r="H238" s="568"/>
      <c r="I238" s="568"/>
      <c r="J238" s="568"/>
      <c r="K238" s="202">
        <v>45880</v>
      </c>
      <c r="L238" s="203" t="s">
        <v>671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640</v>
      </c>
      <c r="C239" s="10" t="s">
        <v>224</v>
      </c>
      <c r="D239" s="10"/>
      <c r="E239" s="202">
        <v>45865</v>
      </c>
      <c r="F239" s="23">
        <v>46.049156000000004</v>
      </c>
      <c r="G239" s="568" t="s">
        <v>196</v>
      </c>
      <c r="H239" s="568"/>
      <c r="I239" s="568"/>
      <c r="J239" s="568"/>
      <c r="K239" s="202">
        <v>45886</v>
      </c>
      <c r="L239" s="203" t="s">
        <v>679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68" t="s">
        <v>196</v>
      </c>
      <c r="H240" s="568"/>
      <c r="I240" s="568"/>
      <c r="J240" s="568"/>
      <c r="K240" s="202">
        <v>45895</v>
      </c>
      <c r="L240" s="203" t="s">
        <v>680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641</v>
      </c>
      <c r="C241" s="10" t="s">
        <v>631</v>
      </c>
      <c r="D241" s="10"/>
      <c r="E241" s="202">
        <v>45864</v>
      </c>
      <c r="F241" s="23">
        <v>161.35518400000001</v>
      </c>
      <c r="G241" s="568" t="s">
        <v>196</v>
      </c>
      <c r="H241" s="568"/>
      <c r="I241" s="568"/>
      <c r="J241" s="568"/>
      <c r="K241" s="202">
        <v>45896</v>
      </c>
      <c r="L241" s="203" t="s">
        <v>681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642</v>
      </c>
      <c r="C242" s="10" t="s">
        <v>380</v>
      </c>
      <c r="D242" s="10"/>
      <c r="E242" s="202">
        <v>45871</v>
      </c>
      <c r="F242" s="23">
        <v>97.228551999999993</v>
      </c>
      <c r="G242" s="568" t="s">
        <v>196</v>
      </c>
      <c r="H242" s="568"/>
      <c r="I242" s="568"/>
      <c r="J242" s="568"/>
      <c r="K242" s="202">
        <v>45899</v>
      </c>
      <c r="L242" s="203" t="s">
        <v>682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643</v>
      </c>
      <c r="C243" s="10" t="s">
        <v>549</v>
      </c>
      <c r="D243" s="10"/>
      <c r="E243" s="202">
        <v>45873</v>
      </c>
      <c r="F243" s="23">
        <v>75.858397999999994</v>
      </c>
      <c r="G243" s="568" t="s">
        <v>196</v>
      </c>
      <c r="H243" s="568"/>
      <c r="I243" s="568"/>
      <c r="J243" s="568"/>
      <c r="K243" s="202">
        <v>45899</v>
      </c>
      <c r="L243" s="203" t="s">
        <v>683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602</v>
      </c>
      <c r="D244" s="10"/>
      <c r="E244" s="202">
        <v>45878</v>
      </c>
      <c r="F244" s="23">
        <v>78.073216000000002</v>
      </c>
      <c r="G244" s="568" t="s">
        <v>196</v>
      </c>
      <c r="H244" s="568"/>
      <c r="I244" s="568"/>
      <c r="J244" s="568"/>
      <c r="K244" s="202">
        <v>45899</v>
      </c>
      <c r="L244" s="206" t="s">
        <v>684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644</v>
      </c>
      <c r="C245" s="10" t="s">
        <v>645</v>
      </c>
      <c r="D245" s="10"/>
      <c r="E245" s="202">
        <v>45881</v>
      </c>
      <c r="F245" s="23">
        <v>97.653418000000016</v>
      </c>
      <c r="G245" s="568" t="s">
        <v>196</v>
      </c>
      <c r="H245" s="568"/>
      <c r="I245" s="568"/>
      <c r="J245" s="568"/>
      <c r="K245" s="202">
        <v>45902</v>
      </c>
      <c r="L245" s="203" t="s">
        <v>671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68" t="s">
        <v>196</v>
      </c>
      <c r="H246" s="568"/>
      <c r="I246" s="568"/>
      <c r="J246" s="568"/>
      <c r="K246" s="202">
        <v>45904</v>
      </c>
      <c r="L246" s="203" t="s">
        <v>679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271</v>
      </c>
      <c r="C247" s="10" t="s">
        <v>646</v>
      </c>
      <c r="D247" s="10"/>
      <c r="E247" s="202">
        <v>45879</v>
      </c>
      <c r="F247" s="23">
        <v>118.43025200000001</v>
      </c>
      <c r="G247" s="568" t="s">
        <v>196</v>
      </c>
      <c r="H247" s="568"/>
      <c r="I247" s="568"/>
      <c r="J247" s="568"/>
      <c r="K247" s="202">
        <v>45906</v>
      </c>
      <c r="L247" s="205" t="s">
        <v>670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647</v>
      </c>
      <c r="C248" s="10" t="s">
        <v>648</v>
      </c>
      <c r="D248" s="10"/>
      <c r="E248" s="202">
        <v>45885</v>
      </c>
      <c r="F248" s="23">
        <v>110.625505</v>
      </c>
      <c r="G248" s="568" t="s">
        <v>196</v>
      </c>
      <c r="H248" s="568"/>
      <c r="I248" s="568"/>
      <c r="J248" s="568"/>
      <c r="K248" s="202">
        <v>45914</v>
      </c>
      <c r="L248" s="203" t="s">
        <v>425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649</v>
      </c>
      <c r="C249" s="10" t="s">
        <v>645</v>
      </c>
      <c r="D249" s="10"/>
      <c r="E249" s="202">
        <v>45893</v>
      </c>
      <c r="F249" s="23">
        <v>97.653418000000016</v>
      </c>
      <c r="G249" s="568" t="s">
        <v>196</v>
      </c>
      <c r="H249" s="568"/>
      <c r="I249" s="568"/>
      <c r="J249" s="568"/>
      <c r="K249" s="202">
        <v>45914</v>
      </c>
      <c r="L249" s="203" t="s">
        <v>685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650</v>
      </c>
      <c r="C250" s="10" t="s">
        <v>651</v>
      </c>
      <c r="D250" s="10"/>
      <c r="E250" s="202">
        <v>45903</v>
      </c>
      <c r="F250" s="23">
        <v>89.717756999999978</v>
      </c>
      <c r="G250" s="568" t="s">
        <v>196</v>
      </c>
      <c r="H250" s="568"/>
      <c r="I250" s="568"/>
      <c r="J250" s="568"/>
      <c r="K250" s="202">
        <v>45921</v>
      </c>
      <c r="L250" s="206" t="s">
        <v>684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652</v>
      </c>
      <c r="C251" s="10" t="s">
        <v>511</v>
      </c>
      <c r="D251" s="10"/>
      <c r="E251" s="202">
        <v>45900</v>
      </c>
      <c r="F251" s="23">
        <v>73.425832</v>
      </c>
      <c r="G251" s="568" t="s">
        <v>196</v>
      </c>
      <c r="H251" s="568"/>
      <c r="I251" s="568"/>
      <c r="J251" s="568"/>
      <c r="K251" s="202">
        <v>45922</v>
      </c>
      <c r="L251" s="203" t="s">
        <v>682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361</v>
      </c>
      <c r="C252" s="10" t="s">
        <v>653</v>
      </c>
      <c r="D252" s="10"/>
      <c r="E252" s="202">
        <v>45905</v>
      </c>
      <c r="F252" s="23">
        <v>90.125158999999982</v>
      </c>
      <c r="G252" s="568" t="s">
        <v>196</v>
      </c>
      <c r="H252" s="568"/>
      <c r="I252" s="568"/>
      <c r="J252" s="568"/>
      <c r="K252" s="202">
        <v>45922</v>
      </c>
      <c r="L252" s="203" t="s">
        <v>679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372</v>
      </c>
      <c r="C253" s="10" t="s">
        <v>653</v>
      </c>
      <c r="D253" s="10"/>
      <c r="E253" s="202">
        <v>45907</v>
      </c>
      <c r="F253" s="23">
        <v>90.125158999999982</v>
      </c>
      <c r="G253" s="568" t="s">
        <v>196</v>
      </c>
      <c r="H253" s="568"/>
      <c r="I253" s="568"/>
      <c r="J253" s="568"/>
      <c r="K253" s="202">
        <v>45922</v>
      </c>
      <c r="L253" s="205" t="s">
        <v>670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654</v>
      </c>
      <c r="C254" s="10" t="s">
        <v>631</v>
      </c>
      <c r="D254" s="10"/>
      <c r="E254" s="202">
        <v>45875</v>
      </c>
      <c r="F254" s="23">
        <v>161.35518400000001</v>
      </c>
      <c r="G254" s="568" t="s">
        <v>196</v>
      </c>
      <c r="H254" s="568"/>
      <c r="I254" s="568"/>
      <c r="J254" s="568"/>
      <c r="K254" s="202">
        <v>45922</v>
      </c>
      <c r="L254" s="203" t="s">
        <v>419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655</v>
      </c>
      <c r="C255" s="10" t="s">
        <v>225</v>
      </c>
      <c r="D255" s="10"/>
      <c r="E255" s="202">
        <v>45887</v>
      </c>
      <c r="F255" s="23">
        <v>42.374236000000003</v>
      </c>
      <c r="G255" s="568" t="s">
        <v>196</v>
      </c>
      <c r="H255" s="568"/>
      <c r="I255" s="568"/>
      <c r="J255" s="568"/>
      <c r="K255" s="202">
        <v>45924</v>
      </c>
      <c r="L255" s="203" t="s">
        <v>686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68" t="s">
        <v>196</v>
      </c>
      <c r="H256" s="568"/>
      <c r="I256" s="568"/>
      <c r="J256" s="568"/>
      <c r="K256" s="202">
        <v>45923</v>
      </c>
      <c r="L256" s="203" t="s">
        <v>687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656</v>
      </c>
      <c r="C257" s="10" t="s">
        <v>225</v>
      </c>
      <c r="D257" s="10"/>
      <c r="E257" s="202">
        <v>45915</v>
      </c>
      <c r="F257" s="23">
        <v>42.374236000000003</v>
      </c>
      <c r="G257" s="568" t="s">
        <v>196</v>
      </c>
      <c r="H257" s="568"/>
      <c r="I257" s="568"/>
      <c r="J257" s="568"/>
      <c r="K257" s="202">
        <v>45924</v>
      </c>
      <c r="L257" s="203" t="s">
        <v>425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657</v>
      </c>
      <c r="C258" s="10" t="s">
        <v>550</v>
      </c>
      <c r="D258" s="10"/>
      <c r="E258" s="202">
        <v>45900</v>
      </c>
      <c r="F258" s="23">
        <v>87.011570000000006</v>
      </c>
      <c r="G258" s="568" t="s">
        <v>196</v>
      </c>
      <c r="H258" s="568"/>
      <c r="I258" s="568"/>
      <c r="J258" s="568"/>
      <c r="K258" s="202">
        <v>45924</v>
      </c>
      <c r="L258" s="203" t="s">
        <v>683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658</v>
      </c>
      <c r="C259" s="10" t="s">
        <v>363</v>
      </c>
      <c r="D259" s="10"/>
      <c r="E259" s="202">
        <v>45915</v>
      </c>
      <c r="F259" s="23">
        <v>78.677549999999997</v>
      </c>
      <c r="G259" s="568" t="s">
        <v>196</v>
      </c>
      <c r="H259" s="568"/>
      <c r="I259" s="568"/>
      <c r="J259" s="568"/>
      <c r="K259" s="202">
        <v>45925</v>
      </c>
      <c r="L259" s="203" t="s">
        <v>685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659</v>
      </c>
      <c r="C260" s="10" t="s">
        <v>549</v>
      </c>
      <c r="D260" s="10"/>
      <c r="E260" s="202">
        <v>45911</v>
      </c>
      <c r="F260" s="23">
        <v>75.858397999999994</v>
      </c>
      <c r="G260" s="568" t="s">
        <v>196</v>
      </c>
      <c r="H260" s="568"/>
      <c r="I260" s="568"/>
      <c r="J260" s="568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660</v>
      </c>
      <c r="C261" s="10" t="s">
        <v>631</v>
      </c>
      <c r="D261" s="10"/>
      <c r="E261" s="202">
        <v>45897</v>
      </c>
      <c r="F261" s="23">
        <v>161.35518400000001</v>
      </c>
      <c r="G261" s="568" t="s">
        <v>196</v>
      </c>
      <c r="H261" s="568"/>
      <c r="I261" s="568"/>
      <c r="J261" s="568"/>
      <c r="K261" s="202">
        <v>45929</v>
      </c>
      <c r="L261" s="203" t="s">
        <v>681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431</v>
      </c>
      <c r="C262" s="10" t="s">
        <v>225</v>
      </c>
      <c r="D262" s="10"/>
      <c r="E262" s="191">
        <v>45924</v>
      </c>
      <c r="F262" s="23">
        <v>42.374236000000003</v>
      </c>
      <c r="G262" s="568" t="s">
        <v>196</v>
      </c>
      <c r="H262" s="568"/>
      <c r="I262" s="568"/>
      <c r="J262" s="568"/>
      <c r="K262" s="202">
        <v>45937</v>
      </c>
      <c r="L262" s="203" t="s">
        <v>681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376</v>
      </c>
      <c r="C263" s="10" t="s">
        <v>622</v>
      </c>
      <c r="D263" s="10"/>
      <c r="E263" s="191">
        <v>45925</v>
      </c>
      <c r="F263" s="23">
        <v>67.112016999999994</v>
      </c>
      <c r="G263" s="568" t="s">
        <v>196</v>
      </c>
      <c r="H263" s="568"/>
      <c r="I263" s="568"/>
      <c r="J263" s="568"/>
      <c r="K263" s="202">
        <v>45937</v>
      </c>
      <c r="L263" s="203" t="s">
        <v>679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276</v>
      </c>
      <c r="C264" s="10" t="s">
        <v>506</v>
      </c>
      <c r="D264" s="10"/>
      <c r="E264" s="191">
        <v>45925</v>
      </c>
      <c r="F264" s="23">
        <v>64.481662</v>
      </c>
      <c r="G264" s="568" t="s">
        <v>196</v>
      </c>
      <c r="H264" s="568"/>
      <c r="I264" s="568"/>
      <c r="J264" s="568"/>
      <c r="K264" s="202">
        <v>45938</v>
      </c>
      <c r="L264" s="203" t="s">
        <v>425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329</v>
      </c>
      <c r="C265" s="419" t="s">
        <v>602</v>
      </c>
      <c r="D265" s="10"/>
      <c r="E265" s="191">
        <v>45931</v>
      </c>
      <c r="F265" s="23">
        <v>78.073216000000002</v>
      </c>
      <c r="G265" s="568" t="s">
        <v>196</v>
      </c>
      <c r="H265" s="568"/>
      <c r="I265" s="568"/>
      <c r="J265" s="568"/>
      <c r="K265" s="202">
        <v>45942</v>
      </c>
      <c r="L265" s="326" t="s">
        <v>430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421</v>
      </c>
      <c r="C266" s="419" t="s">
        <v>637</v>
      </c>
      <c r="D266" s="10"/>
      <c r="E266" s="191">
        <v>45922</v>
      </c>
      <c r="F266" s="23">
        <v>101.69198999999999</v>
      </c>
      <c r="G266" s="568" t="s">
        <v>196</v>
      </c>
      <c r="H266" s="568"/>
      <c r="I266" s="568"/>
      <c r="J266" s="568"/>
      <c r="K266" s="202">
        <v>45942</v>
      </c>
      <c r="L266" s="203" t="s">
        <v>419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427</v>
      </c>
      <c r="C267" s="10" t="s">
        <v>226</v>
      </c>
      <c r="D267" s="10"/>
      <c r="E267" s="202">
        <v>45918</v>
      </c>
      <c r="F267" s="23">
        <v>53.323913999999995</v>
      </c>
      <c r="G267" s="568" t="s">
        <v>196</v>
      </c>
      <c r="H267" s="568"/>
      <c r="I267" s="568"/>
      <c r="J267" s="568"/>
      <c r="K267" s="202">
        <v>45943</v>
      </c>
      <c r="L267" s="10" t="s">
        <v>1020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426</v>
      </c>
      <c r="C268" s="10" t="s">
        <v>746</v>
      </c>
      <c r="D268" s="10"/>
      <c r="E268" s="202">
        <v>45925</v>
      </c>
      <c r="F268" s="23">
        <v>110.69581699999999</v>
      </c>
      <c r="G268" s="568" t="s">
        <v>196</v>
      </c>
      <c r="H268" s="568"/>
      <c r="I268" s="568"/>
      <c r="J268" s="568"/>
      <c r="K268" s="202">
        <v>45944</v>
      </c>
      <c r="L268" s="203" t="s">
        <v>749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373</v>
      </c>
      <c r="C269" s="10" t="s">
        <v>511</v>
      </c>
      <c r="D269" s="10"/>
      <c r="E269" s="202">
        <v>45926</v>
      </c>
      <c r="F269" s="23">
        <v>73.425832</v>
      </c>
      <c r="G269" s="568" t="s">
        <v>196</v>
      </c>
      <c r="H269" s="568"/>
      <c r="I269" s="568"/>
      <c r="J269" s="568"/>
      <c r="K269" s="202">
        <v>45944</v>
      </c>
      <c r="L269" s="203" t="s">
        <v>683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316</v>
      </c>
      <c r="C270" s="10" t="s">
        <v>624</v>
      </c>
      <c r="D270" s="10"/>
      <c r="E270" s="202">
        <v>45923</v>
      </c>
      <c r="F270" s="23">
        <v>143.46209800000003</v>
      </c>
      <c r="G270" s="568" t="s">
        <v>196</v>
      </c>
      <c r="H270" s="568"/>
      <c r="I270" s="568"/>
      <c r="J270" s="568"/>
      <c r="K270" s="202">
        <v>45944</v>
      </c>
      <c r="L270" s="203" t="s">
        <v>687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68" t="s">
        <v>196</v>
      </c>
      <c r="H271" s="568"/>
      <c r="I271" s="568"/>
      <c r="J271" s="568"/>
      <c r="K271" s="202">
        <v>45952</v>
      </c>
      <c r="L271" s="203" t="s">
        <v>751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424</v>
      </c>
      <c r="C272" s="10" t="s">
        <v>746</v>
      </c>
      <c r="D272" s="10"/>
      <c r="E272" s="191">
        <v>45938</v>
      </c>
      <c r="F272" s="23">
        <v>110.69581699999999</v>
      </c>
      <c r="G272" s="568" t="s">
        <v>196</v>
      </c>
      <c r="H272" s="568"/>
      <c r="I272" s="568"/>
      <c r="J272" s="568"/>
      <c r="K272" s="202">
        <v>45956</v>
      </c>
      <c r="L272" s="326" t="s">
        <v>423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418</v>
      </c>
      <c r="C273" s="10" t="s">
        <v>720</v>
      </c>
      <c r="D273" s="10"/>
      <c r="E273" s="191">
        <v>45933</v>
      </c>
      <c r="F273" s="279">
        <v>97.834000000000003</v>
      </c>
      <c r="G273" s="568" t="s">
        <v>196</v>
      </c>
      <c r="H273" s="568"/>
      <c r="I273" s="568"/>
      <c r="J273" s="568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288</v>
      </c>
      <c r="C274" s="10" t="s">
        <v>746</v>
      </c>
      <c r="D274" s="10"/>
      <c r="E274" s="191">
        <v>45923</v>
      </c>
      <c r="F274" s="23">
        <v>110.69581699999999</v>
      </c>
      <c r="G274" s="568" t="s">
        <v>196</v>
      </c>
      <c r="H274" s="568"/>
      <c r="I274" s="568"/>
      <c r="J274" s="568"/>
      <c r="K274" s="202">
        <v>45961</v>
      </c>
      <c r="L274" s="326" t="s">
        <v>423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317</v>
      </c>
      <c r="C275" s="10" t="s">
        <v>511</v>
      </c>
      <c r="D275" s="10"/>
      <c r="E275" s="202">
        <v>45945</v>
      </c>
      <c r="F275" s="23">
        <v>73.425832</v>
      </c>
      <c r="G275" s="568" t="s">
        <v>196</v>
      </c>
      <c r="H275" s="568"/>
      <c r="I275" s="568"/>
      <c r="J275" s="568"/>
      <c r="K275" s="202">
        <v>45968</v>
      </c>
      <c r="L275" s="203" t="s">
        <v>751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68" t="s">
        <v>196</v>
      </c>
      <c r="H276" s="568"/>
      <c r="I276" s="568"/>
      <c r="J276" s="568"/>
      <c r="K276" s="202">
        <v>45968</v>
      </c>
      <c r="L276" s="203" t="s">
        <v>425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549</v>
      </c>
      <c r="D277" s="10"/>
      <c r="E277" s="191">
        <v>45957</v>
      </c>
      <c r="F277" s="279">
        <v>75.858000000000004</v>
      </c>
      <c r="G277" s="568" t="s">
        <v>196</v>
      </c>
      <c r="H277" s="568"/>
      <c r="I277" s="568"/>
      <c r="J277" s="568"/>
      <c r="K277" s="202">
        <v>45971</v>
      </c>
      <c r="L277" s="326" t="s">
        <v>423</v>
      </c>
      <c r="M277" s="10"/>
      <c r="N277" s="197"/>
      <c r="O277" s="198"/>
      <c r="P277" s="198"/>
    </row>
    <row r="278" spans="1:16" ht="15.75">
      <c r="A278" s="10">
        <v>277</v>
      </c>
      <c r="B278" s="193" t="s">
        <v>432</v>
      </c>
      <c r="C278" s="10" t="s">
        <v>195</v>
      </c>
      <c r="D278" s="10"/>
      <c r="E278" s="191">
        <v>45962</v>
      </c>
      <c r="F278" s="279">
        <v>43.776000000000003</v>
      </c>
      <c r="G278" s="568" t="s">
        <v>196</v>
      </c>
      <c r="H278" s="568"/>
      <c r="I278" s="568"/>
      <c r="J278" s="568"/>
      <c r="K278" s="202">
        <v>45974</v>
      </c>
      <c r="L278" s="10" t="s">
        <v>1109</v>
      </c>
      <c r="M278" s="10"/>
      <c r="N278" s="197"/>
      <c r="O278" s="198"/>
      <c r="P278" s="198"/>
    </row>
    <row r="279" spans="1:16" ht="15.75">
      <c r="A279" s="10">
        <v>278</v>
      </c>
      <c r="B279" s="193" t="s">
        <v>299</v>
      </c>
      <c r="C279" s="10" t="s">
        <v>1110</v>
      </c>
      <c r="D279" s="10"/>
      <c r="E279" s="191">
        <v>45925</v>
      </c>
      <c r="F279" s="192">
        <v>188.37799999999999</v>
      </c>
      <c r="G279" s="568" t="s">
        <v>196</v>
      </c>
      <c r="H279" s="568"/>
      <c r="I279" s="568"/>
      <c r="J279" s="568"/>
      <c r="K279" s="202">
        <v>45975</v>
      </c>
      <c r="L279" s="326" t="s">
        <v>430</v>
      </c>
      <c r="M279" s="10"/>
      <c r="N279" s="197"/>
      <c r="O279" s="198"/>
      <c r="P279" s="198"/>
    </row>
    <row r="280" spans="1:16" ht="15.75">
      <c r="A280" s="10">
        <v>279</v>
      </c>
      <c r="B280" s="193" t="s">
        <v>429</v>
      </c>
      <c r="C280" s="10" t="s">
        <v>195</v>
      </c>
      <c r="D280" s="10"/>
      <c r="E280" s="191">
        <v>45962</v>
      </c>
      <c r="F280" s="279">
        <v>43.776000000000003</v>
      </c>
      <c r="G280" s="568" t="s">
        <v>196</v>
      </c>
      <c r="H280" s="568"/>
      <c r="I280" s="568"/>
      <c r="J280" s="568"/>
      <c r="K280" s="202">
        <v>45976</v>
      </c>
      <c r="L280" s="203" t="s">
        <v>665</v>
      </c>
      <c r="M280" s="10"/>
      <c r="N280" s="197"/>
      <c r="O280" s="198"/>
      <c r="P280" s="198"/>
    </row>
    <row r="281" spans="1:16" ht="15.75">
      <c r="A281" s="10">
        <v>280</v>
      </c>
      <c r="B281" s="272" t="s">
        <v>134</v>
      </c>
      <c r="C281" s="434" t="s">
        <v>225</v>
      </c>
      <c r="D281" s="10"/>
      <c r="E281" s="191">
        <v>45970</v>
      </c>
      <c r="F281" s="23">
        <v>42.374236000000003</v>
      </c>
      <c r="G281" s="568" t="s">
        <v>196</v>
      </c>
      <c r="H281" s="568"/>
      <c r="I281" s="568"/>
      <c r="J281" s="568"/>
      <c r="K281" s="202">
        <v>45978</v>
      </c>
      <c r="L281" s="203" t="s">
        <v>751</v>
      </c>
      <c r="M281" s="10"/>
      <c r="N281" s="197"/>
      <c r="O281" s="198"/>
      <c r="P281" s="198"/>
    </row>
    <row r="282" spans="1:16" ht="15.75">
      <c r="A282" s="10">
        <v>281</v>
      </c>
      <c r="B282" s="193" t="s">
        <v>438</v>
      </c>
      <c r="C282" s="10" t="s">
        <v>380</v>
      </c>
      <c r="D282" s="10"/>
      <c r="E282" s="191">
        <v>45976</v>
      </c>
      <c r="F282" s="23">
        <v>97.228551999999993</v>
      </c>
      <c r="G282" s="568" t="s">
        <v>196</v>
      </c>
      <c r="H282" s="568"/>
      <c r="I282" s="568"/>
      <c r="J282" s="568"/>
      <c r="K282" s="202">
        <v>45990</v>
      </c>
      <c r="L282" s="326" t="s">
        <v>430</v>
      </c>
      <c r="M282" s="10"/>
      <c r="N282" s="197"/>
      <c r="O282" s="198"/>
      <c r="P282" s="198"/>
    </row>
    <row r="283" spans="1:16" ht="15.75">
      <c r="A283" s="10">
        <v>282</v>
      </c>
      <c r="B283" s="193" t="s">
        <v>294</v>
      </c>
      <c r="C283" s="10" t="s">
        <v>715</v>
      </c>
      <c r="D283" s="10"/>
      <c r="E283" s="191">
        <v>45969</v>
      </c>
      <c r="F283" s="23">
        <v>101.93</v>
      </c>
      <c r="G283" s="568" t="s">
        <v>196</v>
      </c>
      <c r="H283" s="568"/>
      <c r="I283" s="568"/>
      <c r="J283" s="568"/>
      <c r="K283" s="202">
        <v>45990</v>
      </c>
      <c r="L283" s="203" t="s">
        <v>425</v>
      </c>
      <c r="M283" s="10"/>
      <c r="N283" s="197"/>
      <c r="O283" s="198"/>
      <c r="P283" s="198"/>
    </row>
    <row r="284" spans="1:16" ht="15.75">
      <c r="A284" s="10">
        <v>283</v>
      </c>
      <c r="B284" s="193" t="s">
        <v>435</v>
      </c>
      <c r="C284" s="10" t="s">
        <v>506</v>
      </c>
      <c r="D284" s="10"/>
      <c r="E284" s="191">
        <v>45976</v>
      </c>
      <c r="F284" s="279">
        <v>64.481999999999999</v>
      </c>
      <c r="G284" s="568" t="s">
        <v>196</v>
      </c>
      <c r="H284" s="568"/>
      <c r="I284" s="568"/>
      <c r="J284" s="568"/>
      <c r="K284" s="202">
        <v>45991</v>
      </c>
      <c r="L284" s="10" t="s">
        <v>1109</v>
      </c>
      <c r="M284" s="10"/>
      <c r="N284" s="197"/>
      <c r="O284" s="198"/>
      <c r="P284" s="198"/>
    </row>
    <row r="285" spans="1:16" ht="15.75">
      <c r="A285" s="10">
        <v>284</v>
      </c>
      <c r="B285" s="193" t="s">
        <v>688</v>
      </c>
      <c r="C285" s="10" t="s">
        <v>195</v>
      </c>
      <c r="D285" s="10"/>
      <c r="E285" s="191">
        <v>45967</v>
      </c>
      <c r="F285" s="279">
        <v>43.776000000000003</v>
      </c>
      <c r="G285" s="568" t="s">
        <v>196</v>
      </c>
      <c r="H285" s="568"/>
      <c r="I285" s="568"/>
      <c r="J285" s="568"/>
      <c r="K285" s="202">
        <v>45991</v>
      </c>
      <c r="L285" s="10" t="s">
        <v>1048</v>
      </c>
      <c r="M285" s="10"/>
      <c r="N285" s="197"/>
      <c r="O285" s="198"/>
      <c r="P285" s="198"/>
    </row>
    <row r="286" spans="1:16" ht="15.75">
      <c r="A286" s="10">
        <v>285</v>
      </c>
      <c r="B286" s="193" t="s">
        <v>327</v>
      </c>
      <c r="C286" s="10" t="s">
        <v>653</v>
      </c>
      <c r="D286" s="10"/>
      <c r="E286" s="191">
        <v>45967</v>
      </c>
      <c r="F286" s="23">
        <v>90.13</v>
      </c>
      <c r="G286" s="568" t="s">
        <v>196</v>
      </c>
      <c r="H286" s="568"/>
      <c r="I286" s="568"/>
      <c r="J286" s="568"/>
      <c r="K286" s="202">
        <v>45991</v>
      </c>
      <c r="L286" s="203" t="s">
        <v>749</v>
      </c>
      <c r="M286" s="10"/>
      <c r="N286" s="197"/>
      <c r="O286" s="198"/>
      <c r="P286" s="198"/>
    </row>
    <row r="287" spans="1:16" ht="15.75">
      <c r="A287" s="10">
        <v>286</v>
      </c>
      <c r="B287" s="193" t="s">
        <v>328</v>
      </c>
      <c r="C287" s="10" t="s">
        <v>1049</v>
      </c>
      <c r="D287" s="10"/>
      <c r="E287" s="191">
        <v>45971</v>
      </c>
      <c r="F287" s="23">
        <v>124.04</v>
      </c>
      <c r="G287" s="568" t="s">
        <v>196</v>
      </c>
      <c r="H287" s="568"/>
      <c r="I287" s="568"/>
      <c r="J287" s="568"/>
      <c r="K287" s="202">
        <v>45995</v>
      </c>
      <c r="L287" s="326" t="s">
        <v>423</v>
      </c>
      <c r="M287" s="10"/>
      <c r="N287" s="197"/>
      <c r="O287" s="198"/>
      <c r="P287" s="198"/>
    </row>
    <row r="288" spans="1:16" ht="15.75">
      <c r="A288" s="10">
        <v>287</v>
      </c>
      <c r="B288" s="193" t="s">
        <v>292</v>
      </c>
      <c r="C288" s="10" t="s">
        <v>360</v>
      </c>
      <c r="D288" s="10"/>
      <c r="E288" s="191">
        <v>45977</v>
      </c>
      <c r="F288" s="23">
        <v>113.68</v>
      </c>
      <c r="G288" s="568" t="s">
        <v>196</v>
      </c>
      <c r="H288" s="568"/>
      <c r="I288" s="568"/>
      <c r="J288" s="568"/>
      <c r="K288" s="202">
        <v>45995</v>
      </c>
      <c r="L288" s="203" t="s">
        <v>665</v>
      </c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66">
    <mergeCell ref="G288:J288"/>
    <mergeCell ref="G284:J284"/>
    <mergeCell ref="G285:J285"/>
    <mergeCell ref="G286:J286"/>
    <mergeCell ref="G276:J276"/>
    <mergeCell ref="G274:J274"/>
    <mergeCell ref="G275:J275"/>
    <mergeCell ref="G273:J273"/>
    <mergeCell ref="G281:J281"/>
    <mergeCell ref="G252:J252"/>
    <mergeCell ref="G253:J253"/>
    <mergeCell ref="G282:J282"/>
    <mergeCell ref="G283:J283"/>
    <mergeCell ref="G229:J229"/>
    <mergeCell ref="G230:J230"/>
    <mergeCell ref="G231:J231"/>
    <mergeCell ref="G254:J254"/>
    <mergeCell ref="G232:J232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71:J271"/>
    <mergeCell ref="G268:J268"/>
    <mergeCell ref="G269:J269"/>
    <mergeCell ref="G270:J270"/>
    <mergeCell ref="G265:J265"/>
    <mergeCell ref="G266:J266"/>
    <mergeCell ref="G261:J261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38:J238"/>
    <mergeCell ref="G239:J239"/>
    <mergeCell ref="G240:J240"/>
    <mergeCell ref="G262:J262"/>
    <mergeCell ref="G250:J250"/>
    <mergeCell ref="G251:J251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00:J100"/>
    <mergeCell ref="G101:J101"/>
    <mergeCell ref="G102:J102"/>
    <mergeCell ref="G7:J7"/>
    <mergeCell ref="N7:P7"/>
    <mergeCell ref="G8:J8"/>
    <mergeCell ref="N8:P8"/>
    <mergeCell ref="G9:J9"/>
    <mergeCell ref="N9:P9"/>
    <mergeCell ref="G13:J13"/>
    <mergeCell ref="N13:P13"/>
    <mergeCell ref="G14:J14"/>
    <mergeCell ref="G10:J10"/>
    <mergeCell ref="N10:P10"/>
    <mergeCell ref="G11:J11"/>
    <mergeCell ref="N11:P11"/>
    <mergeCell ref="G12:J12"/>
    <mergeCell ref="N12:P12"/>
    <mergeCell ref="G22:J22"/>
    <mergeCell ref="N22:P22"/>
    <mergeCell ref="G23:J23"/>
    <mergeCell ref="N23:P23"/>
    <mergeCell ref="G24:J24"/>
    <mergeCell ref="N24:P24"/>
    <mergeCell ref="G1:J1"/>
    <mergeCell ref="N1:P1"/>
    <mergeCell ref="G2:J2"/>
    <mergeCell ref="N2:P2"/>
    <mergeCell ref="G3:J3"/>
    <mergeCell ref="N3:P3"/>
    <mergeCell ref="G4:J4"/>
    <mergeCell ref="N4:P4"/>
    <mergeCell ref="G5:J5"/>
    <mergeCell ref="N5:P5"/>
    <mergeCell ref="G33:J33"/>
    <mergeCell ref="N33:P33"/>
    <mergeCell ref="G30:J30"/>
    <mergeCell ref="N30:P30"/>
    <mergeCell ref="G25:J25"/>
    <mergeCell ref="N25:P25"/>
    <mergeCell ref="G26:J26"/>
    <mergeCell ref="N26:P26"/>
    <mergeCell ref="G6:J6"/>
    <mergeCell ref="N6:P6"/>
    <mergeCell ref="G16:J16"/>
    <mergeCell ref="N16:P16"/>
    <mergeCell ref="G17:J17"/>
    <mergeCell ref="N17:P17"/>
    <mergeCell ref="G18:J18"/>
    <mergeCell ref="N18:P18"/>
    <mergeCell ref="N14:P14"/>
    <mergeCell ref="G15:J15"/>
    <mergeCell ref="N15:P15"/>
    <mergeCell ref="G19:J19"/>
    <mergeCell ref="N19:P19"/>
    <mergeCell ref="G20:J20"/>
    <mergeCell ref="N20:P20"/>
    <mergeCell ref="G21:J21"/>
    <mergeCell ref="N21:P21"/>
    <mergeCell ref="G28:J28"/>
    <mergeCell ref="N28:P28"/>
    <mergeCell ref="G29:J29"/>
    <mergeCell ref="N29:P29"/>
    <mergeCell ref="G40:J40"/>
    <mergeCell ref="N40:P40"/>
    <mergeCell ref="G41:J41"/>
    <mergeCell ref="N41:P41"/>
    <mergeCell ref="G42:J42"/>
    <mergeCell ref="N42:P42"/>
    <mergeCell ref="G27:J27"/>
    <mergeCell ref="N27:P27"/>
    <mergeCell ref="G37:J37"/>
    <mergeCell ref="N37:P37"/>
    <mergeCell ref="G38:J38"/>
    <mergeCell ref="N38:P38"/>
    <mergeCell ref="G39:J39"/>
    <mergeCell ref="N39:P39"/>
    <mergeCell ref="G35:J35"/>
    <mergeCell ref="N35:P35"/>
    <mergeCell ref="G36:J36"/>
    <mergeCell ref="N36:P36"/>
    <mergeCell ref="G34:J34"/>
    <mergeCell ref="N34:P34"/>
    <mergeCell ref="G31:J31"/>
    <mergeCell ref="N31:P31"/>
    <mergeCell ref="G32:J32"/>
    <mergeCell ref="N32:P32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81:J181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158:J158"/>
    <mergeCell ref="G287:J287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280:J280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</mergeCells>
  <conditionalFormatting sqref="B265:B266">
    <cfRule type="duplicateValues" dxfId="709" priority="2553" stopIfTrue="1"/>
    <cfRule type="duplicateValues" dxfId="708" priority="2554" stopIfTrue="1"/>
    <cfRule type="duplicateValues" dxfId="707" priority="2555" stopIfTrue="1"/>
    <cfRule type="expression" dxfId="706" priority="2556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5" priority="2557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4" priority="2558" stopIfTrue="1">
      <formula>AND(COUNTIF($D$26:$D$65565, B265)+COUNTIF($D$1:$D$22, B265)+COUNTIF(#REF!, B265)+COUNTIF(#REF!, B265)+COUNTIF($D$25:$D$25, B265)+COUNTIF(#REF!, B265)+COUNTIF(#REF!, B265)&gt;1,NOT(ISBLANK(B265)))</formula>
    </cfRule>
    <cfRule type="duplicateValues" dxfId="703" priority="2559" stopIfTrue="1"/>
    <cfRule type="duplicateValues" dxfId="702" priority="2560" stopIfTrue="1"/>
    <cfRule type="duplicateValues" dxfId="701" priority="2561" stopIfTrue="1"/>
    <cfRule type="expression" dxfId="700" priority="2562" stopIfTrue="1">
      <formula>AND(COUNTIF($D$10:$D$22, B265)+COUNTIF(#REF!, B265)&gt;1,NOT(ISBLANK(B265)))</formula>
    </cfRule>
    <cfRule type="expression" dxfId="699" priority="2563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98" priority="2564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97" priority="2565" stopIfTrue="1">
      <formula>AND(COUNTIF($D$26:$D$65568, B265)+COUNTIF($D$1:$D$22, B265)+COUNTIF(#REF!, B265)+COUNTIF(#REF!, B265)+COUNTIF($D$25:$D$25, B265)+COUNTIF(#REF!, B265)+COUNTIF(#REF!, B265)&gt;1,NOT(ISBLANK(B265)))</formula>
    </cfRule>
  </conditionalFormatting>
  <conditionalFormatting sqref="B271">
    <cfRule type="duplicateValues" dxfId="696" priority="14" stopIfTrue="1"/>
    <cfRule type="duplicateValues" dxfId="695" priority="15" stopIfTrue="1"/>
    <cfRule type="duplicateValues" dxfId="694" priority="16" stopIfTrue="1"/>
    <cfRule type="duplicateValues" dxfId="693" priority="17" stopIfTrue="1"/>
    <cfRule type="duplicateValues" dxfId="692" priority="18" stopIfTrue="1"/>
    <cfRule type="duplicateValues" dxfId="691" priority="19" stopIfTrue="1"/>
    <cfRule type="expression" dxfId="690" priority="20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9" priority="21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8" priority="22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87" priority="23" stopIfTrue="1">
      <formula>AND(COUNTIF($D$10:$D$22, B271)+COUNTIF(#REF!, B271)&gt;1,NOT(ISBLANK(B271)))</formula>
    </cfRule>
    <cfRule type="expression" dxfId="686" priority="24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5" priority="25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4" priority="26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conditionalFormatting sqref="B281">
    <cfRule type="duplicateValues" dxfId="683" priority="1" stopIfTrue="1"/>
    <cfRule type="duplicateValues" dxfId="682" priority="2" stopIfTrue="1"/>
    <cfRule type="duplicateValues" dxfId="681" priority="3" stopIfTrue="1"/>
    <cfRule type="duplicateValues" dxfId="680" priority="4" stopIfTrue="1"/>
    <cfRule type="duplicateValues" dxfId="679" priority="5" stopIfTrue="1"/>
    <cfRule type="duplicateValues" dxfId="678" priority="6" stopIfTrue="1"/>
    <cfRule type="expression" dxfId="677" priority="7" stopIfTrue="1">
      <formula>AND(COUNTIF($D$26:$D$65668,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6" priority="8" stopIfTrue="1">
      <formula>AND(COUNTIF($D$26:$D$65668,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5" priority="9" stopIfTrue="1">
      <formula>AND(COUNTIF($D$26:$D$65668, B281)+COUNTIF($D$1:$D$22, B281)+COUNTIF(#REF!, B281)+COUNTIF(#REF!, B281)+COUNTIF($D$25:$D$25, B281)+COUNTIF(#REF!, B281)+COUNTIF(#REF!, B281)&gt;1,NOT(ISBLANK(B281)))</formula>
    </cfRule>
    <cfRule type="expression" dxfId="674" priority="10" stopIfTrue="1">
      <formula>AND(COUNTIF($D$10:$D$22, B281)+COUNTIF(#REF!, B281)&gt;1,NOT(ISBLANK(B281)))</formula>
    </cfRule>
    <cfRule type="expression" dxfId="673" priority="11" stopIfTrue="1">
      <formula>AND(COUNTIF($D$26:$D$65671,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2" priority="12" stopIfTrue="1">
      <formula>AND(COUNTIF($D$26:$D$65671,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1" priority="13" stopIfTrue="1">
      <formula>AND(COUNTIF($D$26:$D$65671, B281)+COUNTIF($D$1:$D$22, B281)+COUNTIF(#REF!, B281)+COUNTIF(#REF!, B281)+COUNTIF($D$25:$D$25, B281)+COUNTIF(#REF!, B281)+COUNTIF(#REF!, B281)&gt;1,NOT(ISBLANK(B281)))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opLeftCell="A23" workbookViewId="0">
      <selection activeCell="P35" sqref="P35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495" bestFit="1" customWidth="1"/>
    <col min="9" max="9" width="15.140625" style="495" bestFit="1" customWidth="1"/>
    <col min="10" max="10" width="13.42578125" bestFit="1" customWidth="1"/>
    <col min="11" max="11" width="14.140625" bestFit="1" customWidth="1"/>
    <col min="12" max="12" width="15.140625" style="495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469"/>
      <c r="B1" s="470"/>
      <c r="C1" s="469"/>
      <c r="D1" s="471" t="s">
        <v>1051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1052</v>
      </c>
    </row>
    <row r="2" spans="1:20" ht="16.5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45.75" thickBot="1">
      <c r="A3" s="476" t="s">
        <v>1053</v>
      </c>
      <c r="B3" s="477" t="s">
        <v>1054</v>
      </c>
      <c r="C3" s="477" t="s">
        <v>1055</v>
      </c>
      <c r="D3" s="477" t="s">
        <v>1056</v>
      </c>
      <c r="E3" s="477" t="s">
        <v>1057</v>
      </c>
      <c r="F3" s="478" t="s">
        <v>1058</v>
      </c>
      <c r="G3" s="479" t="s">
        <v>1059</v>
      </c>
      <c r="H3" s="478" t="s">
        <v>1060</v>
      </c>
      <c r="I3" s="478" t="s">
        <v>1061</v>
      </c>
      <c r="J3" s="477" t="s">
        <v>1062</v>
      </c>
      <c r="K3" s="478" t="s">
        <v>1063</v>
      </c>
      <c r="L3" s="478" t="s">
        <v>1064</v>
      </c>
      <c r="M3" s="477" t="s">
        <v>198</v>
      </c>
      <c r="N3" s="477" t="s">
        <v>71</v>
      </c>
      <c r="O3" s="477" t="s">
        <v>192</v>
      </c>
      <c r="P3" s="477" t="s">
        <v>1065</v>
      </c>
      <c r="Q3" s="480" t="s">
        <v>73</v>
      </c>
      <c r="T3" s="481" t="s">
        <v>1066</v>
      </c>
    </row>
    <row r="4" spans="1:20">
      <c r="A4" s="10">
        <v>1</v>
      </c>
      <c r="B4" s="482" t="s">
        <v>1067</v>
      </c>
      <c r="C4" s="10" t="s">
        <v>1068</v>
      </c>
      <c r="D4" s="465" t="s">
        <v>1069</v>
      </c>
      <c r="E4" s="279">
        <v>4818.75</v>
      </c>
      <c r="F4" s="10" t="s">
        <v>1070</v>
      </c>
      <c r="G4" s="483" t="s">
        <v>1071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7" si="1">E4</f>
        <v>4818.75</v>
      </c>
      <c r="N4" s="486" t="s">
        <v>55</v>
      </c>
      <c r="O4" s="10" t="s">
        <v>1072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1067</v>
      </c>
      <c r="C5" s="10" t="s">
        <v>1073</v>
      </c>
      <c r="D5" s="465" t="s">
        <v>1068</v>
      </c>
      <c r="E5" s="279">
        <v>1234.28</v>
      </c>
      <c r="F5" s="10" t="s">
        <v>1070</v>
      </c>
      <c r="G5" s="483" t="s">
        <v>1071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1072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1067</v>
      </c>
      <c r="C6" s="10" t="s">
        <v>1074</v>
      </c>
      <c r="D6" s="465" t="s">
        <v>1075</v>
      </c>
      <c r="E6" s="279">
        <v>3957.05</v>
      </c>
      <c r="F6" s="10" t="s">
        <v>1070</v>
      </c>
      <c r="G6" s="483" t="s">
        <v>1071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1076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1067</v>
      </c>
      <c r="C7" s="10" t="s">
        <v>1069</v>
      </c>
      <c r="D7" s="465" t="s">
        <v>752</v>
      </c>
      <c r="E7" s="279">
        <v>2016.72</v>
      </c>
      <c r="F7" s="10" t="s">
        <v>1070</v>
      </c>
      <c r="G7" s="483" t="s">
        <v>1071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1072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1067</v>
      </c>
      <c r="C8" s="10" t="s">
        <v>1077</v>
      </c>
      <c r="D8" s="465" t="s">
        <v>1078</v>
      </c>
      <c r="E8" s="279">
        <v>4283.67</v>
      </c>
      <c r="F8" s="10" t="s">
        <v>1070</v>
      </c>
      <c r="G8" s="483" t="s">
        <v>1071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1076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1067</v>
      </c>
      <c r="C9" s="10" t="s">
        <v>752</v>
      </c>
      <c r="D9" s="465" t="s">
        <v>753</v>
      </c>
      <c r="E9" s="279">
        <v>223.61</v>
      </c>
      <c r="F9" s="10" t="s">
        <v>1079</v>
      </c>
      <c r="G9" s="483" t="s">
        <v>1071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1072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1067</v>
      </c>
      <c r="C10" s="10" t="s">
        <v>1078</v>
      </c>
      <c r="D10" s="465" t="s">
        <v>1080</v>
      </c>
      <c r="E10" s="279">
        <v>407.17</v>
      </c>
      <c r="F10" s="10" t="s">
        <v>1079</v>
      </c>
      <c r="G10" s="483" t="s">
        <v>1071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1076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1067</v>
      </c>
      <c r="C11" s="10" t="s">
        <v>753</v>
      </c>
      <c r="D11" s="465" t="s">
        <v>1081</v>
      </c>
      <c r="E11" s="279">
        <v>2226.2199999999998</v>
      </c>
      <c r="F11" s="10" t="s">
        <v>1070</v>
      </c>
      <c r="G11" s="483" t="s">
        <v>1071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1072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1067</v>
      </c>
      <c r="C12" s="10" t="s">
        <v>1080</v>
      </c>
      <c r="D12" s="10" t="s">
        <v>1082</v>
      </c>
      <c r="E12" s="279">
        <v>4781.5</v>
      </c>
      <c r="F12" s="10" t="s">
        <v>1070</v>
      </c>
      <c r="G12" s="483" t="s">
        <v>1071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1076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1067</v>
      </c>
      <c r="C13" s="10" t="s">
        <v>1083</v>
      </c>
      <c r="D13" s="10" t="s">
        <v>1073</v>
      </c>
      <c r="E13" s="279">
        <v>723.57</v>
      </c>
      <c r="F13" s="10" t="s">
        <v>1070</v>
      </c>
      <c r="G13" s="483" t="s">
        <v>1071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1072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1067</v>
      </c>
      <c r="C14" s="10" t="s">
        <v>1081</v>
      </c>
      <c r="D14" s="10" t="s">
        <v>1084</v>
      </c>
      <c r="E14" s="279">
        <v>283.43</v>
      </c>
      <c r="F14" s="10" t="s">
        <v>1079</v>
      </c>
      <c r="G14" s="483" t="s">
        <v>1071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1072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1067</v>
      </c>
      <c r="C15" s="10" t="s">
        <v>1082</v>
      </c>
      <c r="D15" s="10" t="s">
        <v>1074</v>
      </c>
      <c r="E15" s="279">
        <v>3193.23</v>
      </c>
      <c r="F15" s="10" t="s">
        <v>1070</v>
      </c>
      <c r="G15" s="483" t="s">
        <v>1071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1076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1067</v>
      </c>
      <c r="C16" s="10" t="s">
        <v>1085</v>
      </c>
      <c r="D16" s="10" t="s">
        <v>1083</v>
      </c>
      <c r="E16" s="279">
        <v>4415.7449999999999</v>
      </c>
      <c r="F16" s="10" t="s">
        <v>1070</v>
      </c>
      <c r="G16" s="483" t="s">
        <v>1071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1072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1067</v>
      </c>
      <c r="C17" s="10" t="s">
        <v>1086</v>
      </c>
      <c r="D17" s="10" t="s">
        <v>1087</v>
      </c>
      <c r="E17" s="279">
        <v>3611</v>
      </c>
      <c r="F17" s="10" t="s">
        <v>1070</v>
      </c>
      <c r="G17" s="483" t="s">
        <v>1071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1072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1067</v>
      </c>
      <c r="C18" s="10" t="s">
        <v>1075</v>
      </c>
      <c r="D18" s="10" t="s">
        <v>1088</v>
      </c>
      <c r="E18" s="279">
        <v>4947.3100000000004</v>
      </c>
      <c r="F18" s="10" t="s">
        <v>1070</v>
      </c>
      <c r="G18" s="483" t="s">
        <v>1071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1076</v>
      </c>
      <c r="P18" s="10"/>
      <c r="Q18" s="487" t="s">
        <v>1089</v>
      </c>
      <c r="T18" s="308">
        <f>(M18/1000)*T2</f>
        <v>0</v>
      </c>
    </row>
    <row r="19" spans="1:20">
      <c r="A19" s="10">
        <f t="shared" si="2"/>
        <v>16</v>
      </c>
      <c r="B19" s="482" t="s">
        <v>1067</v>
      </c>
      <c r="C19" s="10" t="s">
        <v>1090</v>
      </c>
      <c r="D19" s="10" t="s">
        <v>1085</v>
      </c>
      <c r="E19" s="279">
        <v>280</v>
      </c>
      <c r="F19" s="10" t="s">
        <v>1079</v>
      </c>
      <c r="G19" s="483" t="s">
        <v>1071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1072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1067</v>
      </c>
      <c r="C20" s="10" t="s">
        <v>1091</v>
      </c>
      <c r="D20" s="10" t="s">
        <v>1077</v>
      </c>
      <c r="E20" s="279">
        <v>2750.46</v>
      </c>
      <c r="F20" s="10" t="s">
        <v>1070</v>
      </c>
      <c r="G20" s="483" t="s">
        <v>1071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1076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1067</v>
      </c>
      <c r="C21" s="10" t="s">
        <v>1092</v>
      </c>
      <c r="D21" s="10" t="s">
        <v>1093</v>
      </c>
      <c r="E21" s="279">
        <v>4957.9799999999996</v>
      </c>
      <c r="F21" s="10" t="s">
        <v>1070</v>
      </c>
      <c r="G21" s="483" t="s">
        <v>1071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1094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1067</v>
      </c>
      <c r="C22" s="10" t="s">
        <v>1095</v>
      </c>
      <c r="D22" s="10" t="s">
        <v>1096</v>
      </c>
      <c r="E22" s="279">
        <v>3919.97</v>
      </c>
      <c r="F22" s="10" t="s">
        <v>1070</v>
      </c>
      <c r="G22" s="483" t="s">
        <v>1071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1072</v>
      </c>
      <c r="P22" s="10"/>
      <c r="Q22" s="10"/>
      <c r="T22" s="308">
        <f>(M22/1000)*T2</f>
        <v>3550755.86564</v>
      </c>
    </row>
    <row r="23" spans="1:20" ht="45">
      <c r="A23" s="10">
        <f t="shared" si="2"/>
        <v>20</v>
      </c>
      <c r="B23" s="482" t="s">
        <v>1067</v>
      </c>
      <c r="C23" s="10" t="s">
        <v>1097</v>
      </c>
      <c r="D23" s="10" t="s">
        <v>1098</v>
      </c>
      <c r="E23" s="279">
        <v>4460.53</v>
      </c>
      <c r="F23" s="10" t="s">
        <v>1070</v>
      </c>
      <c r="G23" s="483" t="s">
        <v>1071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1076</v>
      </c>
      <c r="P23" s="10"/>
      <c r="Q23" s="497" t="s">
        <v>1108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1067</v>
      </c>
      <c r="C24" s="10" t="s">
        <v>1093</v>
      </c>
      <c r="D24" s="10" t="s">
        <v>1099</v>
      </c>
      <c r="E24" s="279">
        <v>1606</v>
      </c>
      <c r="F24" s="10" t="s">
        <v>1070</v>
      </c>
      <c r="G24" s="483" t="s">
        <v>1071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1094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1067</v>
      </c>
      <c r="C25" s="10" t="s">
        <v>1096</v>
      </c>
      <c r="D25" s="10" t="s">
        <v>1086</v>
      </c>
      <c r="E25" s="279">
        <v>319.13</v>
      </c>
      <c r="F25" s="10" t="s">
        <v>1079</v>
      </c>
      <c r="G25" s="483" t="s">
        <v>1071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1072</v>
      </c>
      <c r="P25" s="10"/>
      <c r="Q25" s="487" t="s">
        <v>1100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1067</v>
      </c>
      <c r="C26" s="10" t="s">
        <v>1101</v>
      </c>
      <c r="D26" s="10" t="s">
        <v>1097</v>
      </c>
      <c r="E26" s="279">
        <v>4822.84</v>
      </c>
      <c r="F26" s="10" t="s">
        <v>1070</v>
      </c>
      <c r="G26" s="483" t="s">
        <v>1071</v>
      </c>
      <c r="H26" s="191">
        <v>45963</v>
      </c>
      <c r="I26" s="191">
        <v>45971</v>
      </c>
      <c r="J26" s="484">
        <f t="shared" si="0"/>
        <v>4822.84</v>
      </c>
      <c r="K26" s="191">
        <v>45986</v>
      </c>
      <c r="L26" s="191">
        <v>45991</v>
      </c>
      <c r="M26" s="485">
        <f t="shared" si="1"/>
        <v>4822.84</v>
      </c>
      <c r="N26" s="486" t="s">
        <v>55</v>
      </c>
      <c r="O26" s="10" t="s">
        <v>1076</v>
      </c>
      <c r="P26" s="10"/>
      <c r="Q26" s="10" t="s">
        <v>1102</v>
      </c>
    </row>
    <row r="27" spans="1:20">
      <c r="A27" s="10">
        <f t="shared" si="2"/>
        <v>24</v>
      </c>
      <c r="B27" s="482" t="s">
        <v>1067</v>
      </c>
      <c r="C27" s="10" t="s">
        <v>1103</v>
      </c>
      <c r="D27" s="10" t="s">
        <v>1092</v>
      </c>
      <c r="E27" s="279">
        <v>4990.45</v>
      </c>
      <c r="F27" s="10" t="s">
        <v>1070</v>
      </c>
      <c r="G27" s="483" t="s">
        <v>1071</v>
      </c>
      <c r="H27" s="191">
        <v>45967</v>
      </c>
      <c r="I27" s="191">
        <v>45974</v>
      </c>
      <c r="J27" s="484">
        <f t="shared" si="0"/>
        <v>4990.45</v>
      </c>
      <c r="K27" s="191">
        <v>45976</v>
      </c>
      <c r="L27" s="191">
        <v>45980</v>
      </c>
      <c r="M27" s="485">
        <f t="shared" si="1"/>
        <v>4990.45</v>
      </c>
      <c r="N27" s="486" t="s">
        <v>55</v>
      </c>
      <c r="O27" s="10" t="s">
        <v>1094</v>
      </c>
      <c r="P27" s="10"/>
      <c r="Q27" s="10" t="s">
        <v>1104</v>
      </c>
    </row>
    <row r="28" spans="1:20">
      <c r="A28" s="10">
        <f t="shared" si="2"/>
        <v>25</v>
      </c>
      <c r="B28" s="482" t="s">
        <v>1067</v>
      </c>
      <c r="C28" s="10" t="s">
        <v>1105</v>
      </c>
      <c r="D28" s="10" t="s">
        <v>1106</v>
      </c>
      <c r="E28" s="279">
        <v>3456.56</v>
      </c>
      <c r="F28" s="10" t="s">
        <v>1070</v>
      </c>
      <c r="G28" s="483" t="s">
        <v>1071</v>
      </c>
      <c r="H28" s="191">
        <v>45978</v>
      </c>
      <c r="I28" s="191"/>
      <c r="J28" s="484"/>
      <c r="K28" s="191"/>
      <c r="L28" s="191"/>
      <c r="M28" s="485"/>
      <c r="N28" s="486" t="s">
        <v>1112</v>
      </c>
      <c r="O28" s="10" t="s">
        <v>1072</v>
      </c>
      <c r="P28" s="488" t="s">
        <v>1119</v>
      </c>
      <c r="Q28" s="10" t="s">
        <v>1102</v>
      </c>
    </row>
    <row r="29" spans="1:20">
      <c r="A29" s="10">
        <f t="shared" si="2"/>
        <v>26</v>
      </c>
      <c r="B29" s="482" t="s">
        <v>1067</v>
      </c>
      <c r="C29" s="10" t="s">
        <v>1106</v>
      </c>
      <c r="D29" s="10" t="s">
        <v>1103</v>
      </c>
      <c r="E29" s="279">
        <v>0.32300000000000001</v>
      </c>
      <c r="F29" s="10" t="s">
        <v>1079</v>
      </c>
      <c r="G29" s="483" t="s">
        <v>1071</v>
      </c>
      <c r="H29" s="191">
        <v>45982</v>
      </c>
      <c r="I29" s="191">
        <v>45985</v>
      </c>
      <c r="J29" s="484">
        <f>E29</f>
        <v>0.32300000000000001</v>
      </c>
      <c r="K29" s="191">
        <v>45985</v>
      </c>
      <c r="L29" s="191">
        <v>45986</v>
      </c>
      <c r="M29" s="485">
        <f>J29</f>
        <v>0.32300000000000001</v>
      </c>
      <c r="N29" s="486" t="s">
        <v>55</v>
      </c>
      <c r="O29" s="10" t="s">
        <v>1094</v>
      </c>
      <c r="P29" s="10"/>
      <c r="Q29" s="10"/>
    </row>
    <row r="30" spans="1:20">
      <c r="A30" s="10">
        <f t="shared" si="2"/>
        <v>27</v>
      </c>
      <c r="B30" s="482" t="s">
        <v>1067</v>
      </c>
      <c r="C30" s="10" t="s">
        <v>1087</v>
      </c>
      <c r="D30" s="10" t="s">
        <v>1120</v>
      </c>
      <c r="E30" s="279">
        <v>0.46473999999999999</v>
      </c>
      <c r="F30" s="10" t="s">
        <v>1079</v>
      </c>
      <c r="G30" s="483" t="s">
        <v>1071</v>
      </c>
      <c r="H30" s="191">
        <v>45983</v>
      </c>
      <c r="I30" s="191">
        <v>45986</v>
      </c>
      <c r="J30" s="484">
        <f>E30</f>
        <v>0.46473999999999999</v>
      </c>
      <c r="K30" s="191">
        <v>45987</v>
      </c>
      <c r="L30" s="191">
        <v>45988</v>
      </c>
      <c r="M30" s="485">
        <f>J30</f>
        <v>0.46473999999999999</v>
      </c>
      <c r="N30" s="486" t="s">
        <v>55</v>
      </c>
      <c r="O30" s="10" t="s">
        <v>1072</v>
      </c>
      <c r="P30" s="488"/>
      <c r="Q30" s="10"/>
    </row>
    <row r="31" spans="1:20">
      <c r="A31" s="10">
        <f t="shared" si="2"/>
        <v>28</v>
      </c>
      <c r="B31" s="482" t="s">
        <v>1067</v>
      </c>
      <c r="C31" s="10" t="s">
        <v>1084</v>
      </c>
      <c r="D31" s="10" t="s">
        <v>1127</v>
      </c>
      <c r="E31" s="279">
        <v>0.82199999999999995</v>
      </c>
      <c r="F31" s="10" t="s">
        <v>1070</v>
      </c>
      <c r="G31" s="483" t="s">
        <v>1071</v>
      </c>
      <c r="H31" s="191">
        <v>45993</v>
      </c>
      <c r="I31" s="191">
        <v>45995</v>
      </c>
      <c r="J31" s="484">
        <f>E31</f>
        <v>0.82199999999999995</v>
      </c>
      <c r="K31" s="191"/>
      <c r="L31" s="191"/>
      <c r="M31" s="485"/>
      <c r="N31" s="245"/>
      <c r="O31" s="10" t="s">
        <v>1072</v>
      </c>
      <c r="P31" s="488"/>
      <c r="Q31" s="10"/>
    </row>
    <row r="32" spans="1:20">
      <c r="A32" s="10">
        <f t="shared" si="2"/>
        <v>29</v>
      </c>
      <c r="B32" s="482" t="s">
        <v>1067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1067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1067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1067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1067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1067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1067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1067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1067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1067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1067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1067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1067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1067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1067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1067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1067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1067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1067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1067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1067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1067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1067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1067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1067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1067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1067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1067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1067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1067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1067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1067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1067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1067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1067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1067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1067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1067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1067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1067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1067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1067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1067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1067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1067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1067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1067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1067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72.688784739999988</v>
      </c>
      <c r="F82" s="493"/>
      <c r="G82" s="494"/>
      <c r="H82" s="493"/>
      <c r="I82" s="493"/>
      <c r="J82" s="492">
        <f>SUM(J4:J79)/1000</f>
        <v>69.232224739999992</v>
      </c>
      <c r="K82" s="493"/>
      <c r="L82" s="493"/>
      <c r="M82" s="492">
        <f>SUM(M4:M79)/1000</f>
        <v>64.284092739999991</v>
      </c>
      <c r="N82" s="493"/>
      <c r="O82" s="493"/>
      <c r="P82" s="493"/>
      <c r="Q82" s="493"/>
    </row>
  </sheetData>
  <conditionalFormatting sqref="B83:B1048576 B1:B2">
    <cfRule type="duplicateValues" dxfId="670" priority="6"/>
  </conditionalFormatting>
  <conditionalFormatting sqref="C3:C28 C31:C80">
    <cfRule type="duplicateValues" dxfId="669" priority="11"/>
  </conditionalFormatting>
  <conditionalFormatting sqref="C29:C30">
    <cfRule type="duplicateValues" dxfId="668" priority="2"/>
  </conditionalFormatting>
  <conditionalFormatting sqref="C32">
    <cfRule type="duplicateValues" dxfId="667" priority="7"/>
  </conditionalFormatting>
  <conditionalFormatting sqref="C39">
    <cfRule type="duplicateValues" dxfId="666" priority="8"/>
  </conditionalFormatting>
  <conditionalFormatting sqref="C81:C82">
    <cfRule type="duplicateValues" dxfId="665" priority="9"/>
  </conditionalFormatting>
  <conditionalFormatting sqref="D29:D30">
    <cfRule type="duplicateValues" dxfId="664" priority="1"/>
  </conditionalFormatting>
  <conditionalFormatting sqref="D33:D63 D66:D80 D3:D28 D31">
    <cfRule type="duplicateValues" dxfId="663" priority="10"/>
  </conditionalFormatting>
  <conditionalFormatting sqref="D64">
    <cfRule type="duplicateValues" dxfId="662" priority="4"/>
  </conditionalFormatting>
  <conditionalFormatting sqref="D65">
    <cfRule type="duplicateValues" dxfId="661" priority="5"/>
  </conditionalFormatting>
  <conditionalFormatting sqref="D81:D82">
    <cfRule type="duplicateValues" dxfId="660" priority="3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67"/>
  <sheetViews>
    <sheetView topLeftCell="A601" workbookViewId="0">
      <selection activeCell="M664" sqref="M664"/>
    </sheetView>
  </sheetViews>
  <sheetFormatPr defaultRowHeight="15.75"/>
  <cols>
    <col min="2" max="2" width="15.140625" bestFit="1" customWidth="1"/>
    <col min="3" max="3" width="11.7109375" style="438" bestFit="1" customWidth="1"/>
    <col min="4" max="4" width="11" bestFit="1" customWidth="1"/>
    <col min="5" max="5" width="10.42578125" bestFit="1" customWidth="1"/>
    <col min="8" max="8" width="14.85546875" customWidth="1"/>
    <col min="10" max="10" width="20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554" t="s">
        <v>164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6"/>
      <c r="M1" s="31"/>
      <c r="N1" s="31"/>
    </row>
    <row r="2" spans="1:16" ht="52.5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7.2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98" t="s">
        <v>177</v>
      </c>
      <c r="B7" s="599"/>
      <c r="C7" s="599"/>
      <c r="D7" s="599"/>
      <c r="E7" s="599"/>
      <c r="F7" s="599"/>
      <c r="G7" s="599"/>
      <c r="H7" s="599"/>
      <c r="I7" s="599"/>
      <c r="J7" s="599"/>
      <c r="K7" s="599"/>
      <c r="L7" s="599"/>
      <c r="M7" s="599"/>
      <c r="N7" s="600"/>
    </row>
    <row r="8" spans="1:16" ht="64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601" t="s">
        <v>73</v>
      </c>
      <c r="N8" s="602"/>
    </row>
    <row r="9" spans="1:16" ht="46.5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34"/>
      <c r="N9" s="535"/>
    </row>
    <row r="10" spans="1:16" ht="31.5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34"/>
      <c r="N10" s="535"/>
    </row>
    <row r="11" spans="1:16" ht="16.5" thickTop="1"/>
    <row r="12" spans="1:16" ht="31.5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595" t="s">
        <v>71</v>
      </c>
      <c r="H12" s="595"/>
      <c r="I12" s="595"/>
      <c r="J12" s="595"/>
      <c r="K12" s="271" t="s">
        <v>191</v>
      </c>
      <c r="L12" s="271" t="s">
        <v>192</v>
      </c>
      <c r="M12" s="271" t="s">
        <v>193</v>
      </c>
      <c r="N12" s="595" t="s">
        <v>194</v>
      </c>
      <c r="O12" s="595"/>
      <c r="P12" s="595"/>
    </row>
    <row r="13" spans="1:16" ht="15">
      <c r="A13" s="235">
        <v>1</v>
      </c>
      <c r="B13" s="214" t="s">
        <v>439</v>
      </c>
      <c r="C13" s="440" t="s">
        <v>195</v>
      </c>
      <c r="D13" s="247" t="s">
        <v>697</v>
      </c>
      <c r="E13" s="250">
        <v>45406</v>
      </c>
      <c r="F13" s="260">
        <v>37.64</v>
      </c>
      <c r="G13" s="591" t="s">
        <v>55</v>
      </c>
      <c r="H13" s="592"/>
      <c r="I13" s="592"/>
      <c r="J13" s="593"/>
      <c r="K13" s="258">
        <v>45418</v>
      </c>
      <c r="L13" s="264" t="s">
        <v>721</v>
      </c>
      <c r="M13" s="270"/>
      <c r="N13" s="270"/>
      <c r="O13" s="270"/>
      <c r="P13" s="270"/>
    </row>
    <row r="14" spans="1:16" ht="15">
      <c r="A14" s="75">
        <v>2</v>
      </c>
      <c r="B14" s="215" t="s">
        <v>460</v>
      </c>
      <c r="C14" s="441" t="s">
        <v>224</v>
      </c>
      <c r="D14" s="236" t="s">
        <v>697</v>
      </c>
      <c r="E14" s="251">
        <v>45413</v>
      </c>
      <c r="F14" s="260">
        <v>41.37</v>
      </c>
      <c r="G14" s="591" t="s">
        <v>55</v>
      </c>
      <c r="H14" s="592"/>
      <c r="I14" s="592"/>
      <c r="J14" s="593"/>
      <c r="K14" s="259">
        <v>45422</v>
      </c>
      <c r="L14" s="264" t="s">
        <v>721</v>
      </c>
      <c r="M14" s="76"/>
      <c r="N14" s="76"/>
      <c r="O14" s="76"/>
      <c r="P14" s="76"/>
    </row>
    <row r="15" spans="1:16" ht="15">
      <c r="A15" s="75">
        <v>3</v>
      </c>
      <c r="B15" s="215" t="s">
        <v>465</v>
      </c>
      <c r="C15" s="441" t="s">
        <v>195</v>
      </c>
      <c r="D15" s="236" t="s">
        <v>697</v>
      </c>
      <c r="E15" s="251">
        <v>45421</v>
      </c>
      <c r="F15" s="260">
        <v>37.64</v>
      </c>
      <c r="G15" s="591" t="s">
        <v>55</v>
      </c>
      <c r="H15" s="592"/>
      <c r="I15" s="592"/>
      <c r="J15" s="593"/>
      <c r="K15" s="259">
        <v>45426</v>
      </c>
      <c r="L15" s="264" t="s">
        <v>721</v>
      </c>
      <c r="M15" s="76"/>
      <c r="N15" s="76"/>
      <c r="O15" s="76"/>
      <c r="P15" s="76"/>
    </row>
    <row r="16" spans="1:16" ht="15">
      <c r="A16" s="75">
        <v>4</v>
      </c>
      <c r="B16" s="215" t="s">
        <v>455</v>
      </c>
      <c r="C16" s="441" t="s">
        <v>224</v>
      </c>
      <c r="D16" s="236" t="s">
        <v>697</v>
      </c>
      <c r="E16" s="251">
        <v>45425</v>
      </c>
      <c r="F16" s="260">
        <v>41.37</v>
      </c>
      <c r="G16" s="591" t="s">
        <v>55</v>
      </c>
      <c r="H16" s="592"/>
      <c r="I16" s="592"/>
      <c r="J16" s="593"/>
      <c r="K16" s="259">
        <v>45430</v>
      </c>
      <c r="L16" s="264" t="s">
        <v>721</v>
      </c>
      <c r="M16" s="76"/>
      <c r="N16" s="76"/>
      <c r="O16" s="76"/>
      <c r="P16" s="76"/>
    </row>
    <row r="17" spans="1:16" ht="15">
      <c r="A17" s="75">
        <v>5</v>
      </c>
      <c r="B17" s="215" t="s">
        <v>440</v>
      </c>
      <c r="C17" s="441" t="s">
        <v>195</v>
      </c>
      <c r="D17" s="236" t="s">
        <v>697</v>
      </c>
      <c r="E17" s="251">
        <v>45428</v>
      </c>
      <c r="F17" s="260">
        <v>37.64</v>
      </c>
      <c r="G17" s="591" t="s">
        <v>55</v>
      </c>
      <c r="H17" s="592"/>
      <c r="I17" s="592"/>
      <c r="J17" s="593"/>
      <c r="K17" s="259">
        <v>45433</v>
      </c>
      <c r="L17" s="264" t="s">
        <v>721</v>
      </c>
      <c r="M17" s="76"/>
      <c r="N17" s="76"/>
      <c r="O17" s="76"/>
      <c r="P17" s="76"/>
    </row>
    <row r="18" spans="1:16" ht="15">
      <c r="A18" s="75">
        <v>6</v>
      </c>
      <c r="B18" s="215" t="s">
        <v>469</v>
      </c>
      <c r="C18" s="441" t="s">
        <v>224</v>
      </c>
      <c r="D18" s="236" t="s">
        <v>697</v>
      </c>
      <c r="E18" s="251">
        <v>45434</v>
      </c>
      <c r="F18" s="260">
        <v>41.37</v>
      </c>
      <c r="G18" s="591" t="s">
        <v>55</v>
      </c>
      <c r="H18" s="592"/>
      <c r="I18" s="592"/>
      <c r="J18" s="593"/>
      <c r="K18" s="259">
        <v>45440</v>
      </c>
      <c r="L18" s="264" t="s">
        <v>721</v>
      </c>
      <c r="M18" s="76"/>
      <c r="N18" s="76"/>
      <c r="O18" s="76"/>
      <c r="P18" s="76"/>
    </row>
    <row r="19" spans="1:16" ht="15">
      <c r="A19" s="75">
        <v>7</v>
      </c>
      <c r="B19" s="215" t="s">
        <v>441</v>
      </c>
      <c r="C19" s="441" t="s">
        <v>195</v>
      </c>
      <c r="D19" s="236" t="s">
        <v>697</v>
      </c>
      <c r="E19" s="251">
        <v>45440</v>
      </c>
      <c r="F19" s="260">
        <v>37.64</v>
      </c>
      <c r="G19" s="591" t="s">
        <v>55</v>
      </c>
      <c r="H19" s="592"/>
      <c r="I19" s="592"/>
      <c r="J19" s="593"/>
      <c r="K19" s="259">
        <v>45447</v>
      </c>
      <c r="L19" s="265" t="s">
        <v>722</v>
      </c>
      <c r="M19" s="76"/>
      <c r="N19" s="76"/>
      <c r="O19" s="76"/>
      <c r="P19" s="76"/>
    </row>
    <row r="20" spans="1:16" ht="15">
      <c r="A20" s="75">
        <v>8</v>
      </c>
      <c r="B20" s="215" t="s">
        <v>485</v>
      </c>
      <c r="C20" s="441" t="s">
        <v>224</v>
      </c>
      <c r="D20" s="236" t="s">
        <v>697</v>
      </c>
      <c r="E20" s="251">
        <v>45443</v>
      </c>
      <c r="F20" s="260">
        <v>41.37</v>
      </c>
      <c r="G20" s="591" t="s">
        <v>55</v>
      </c>
      <c r="H20" s="592"/>
      <c r="I20" s="592"/>
      <c r="J20" s="593"/>
      <c r="K20" s="259">
        <v>45446</v>
      </c>
      <c r="L20" s="264" t="s">
        <v>721</v>
      </c>
      <c r="M20" s="76"/>
      <c r="N20" s="76"/>
      <c r="O20" s="76"/>
      <c r="P20" s="76"/>
    </row>
    <row r="21" spans="1:16" ht="15">
      <c r="A21" s="75">
        <v>9</v>
      </c>
      <c r="B21" s="215" t="s">
        <v>500</v>
      </c>
      <c r="C21" s="441" t="s">
        <v>224</v>
      </c>
      <c r="D21" s="236" t="s">
        <v>697</v>
      </c>
      <c r="E21" s="251">
        <v>45443</v>
      </c>
      <c r="F21" s="260">
        <v>41.37</v>
      </c>
      <c r="G21" s="591" t="s">
        <v>55</v>
      </c>
      <c r="H21" s="592"/>
      <c r="I21" s="592"/>
      <c r="J21" s="593"/>
      <c r="K21" s="259">
        <v>45449</v>
      </c>
      <c r="L21" s="264" t="s">
        <v>721</v>
      </c>
      <c r="M21" s="76"/>
      <c r="N21" s="76"/>
      <c r="O21" s="76"/>
      <c r="P21" s="76"/>
    </row>
    <row r="22" spans="1:16" ht="15">
      <c r="A22" s="75">
        <v>10</v>
      </c>
      <c r="B22" s="215" t="s">
        <v>491</v>
      </c>
      <c r="C22" s="441" t="s">
        <v>195</v>
      </c>
      <c r="D22" s="236" t="s">
        <v>697</v>
      </c>
      <c r="E22" s="251">
        <v>45447</v>
      </c>
      <c r="F22" s="260">
        <v>37.64</v>
      </c>
      <c r="G22" s="591" t="s">
        <v>55</v>
      </c>
      <c r="H22" s="592"/>
      <c r="I22" s="592"/>
      <c r="J22" s="593"/>
      <c r="K22" s="259">
        <v>45452</v>
      </c>
      <c r="L22" s="264" t="s">
        <v>721</v>
      </c>
      <c r="M22" s="76"/>
      <c r="N22" s="76"/>
      <c r="O22" s="76"/>
      <c r="P22" s="76"/>
    </row>
    <row r="23" spans="1:16" ht="15">
      <c r="A23" s="75">
        <v>11</v>
      </c>
      <c r="B23" s="215" t="s">
        <v>443</v>
      </c>
      <c r="C23" s="441" t="s">
        <v>195</v>
      </c>
      <c r="D23" s="236" t="s">
        <v>697</v>
      </c>
      <c r="E23" s="251">
        <v>45447</v>
      </c>
      <c r="F23" s="260">
        <v>37.64</v>
      </c>
      <c r="G23" s="591" t="s">
        <v>55</v>
      </c>
      <c r="H23" s="592"/>
      <c r="I23" s="592"/>
      <c r="J23" s="593"/>
      <c r="K23" s="259">
        <v>45451</v>
      </c>
      <c r="L23" s="265" t="s">
        <v>722</v>
      </c>
      <c r="M23" s="76"/>
      <c r="N23" s="76"/>
      <c r="O23" s="76"/>
      <c r="P23" s="76"/>
    </row>
    <row r="24" spans="1:16" ht="15">
      <c r="A24" s="75">
        <v>12</v>
      </c>
      <c r="B24" s="215" t="s">
        <v>457</v>
      </c>
      <c r="C24" s="441" t="s">
        <v>224</v>
      </c>
      <c r="D24" s="238" t="s">
        <v>698</v>
      </c>
      <c r="E24" s="251">
        <v>45449</v>
      </c>
      <c r="F24" s="260">
        <v>49.03</v>
      </c>
      <c r="G24" s="591" t="s">
        <v>55</v>
      </c>
      <c r="H24" s="592"/>
      <c r="I24" s="592"/>
      <c r="J24" s="593"/>
      <c r="K24" s="259">
        <v>45455</v>
      </c>
      <c r="L24" s="265" t="s">
        <v>723</v>
      </c>
      <c r="M24" s="76"/>
      <c r="N24" s="76"/>
      <c r="O24" s="76"/>
      <c r="P24" s="76"/>
    </row>
    <row r="25" spans="1:16" ht="15">
      <c r="A25" s="75">
        <v>13</v>
      </c>
      <c r="B25" s="216" t="s">
        <v>656</v>
      </c>
      <c r="C25" s="441" t="s">
        <v>225</v>
      </c>
      <c r="D25" s="236" t="s">
        <v>697</v>
      </c>
      <c r="E25" s="251">
        <v>45450</v>
      </c>
      <c r="F25" s="260">
        <v>37.64</v>
      </c>
      <c r="G25" s="591" t="s">
        <v>55</v>
      </c>
      <c r="H25" s="592"/>
      <c r="I25" s="592"/>
      <c r="J25" s="593"/>
      <c r="K25" s="251">
        <v>45454</v>
      </c>
      <c r="L25" s="264" t="s">
        <v>721</v>
      </c>
      <c r="M25" s="76"/>
      <c r="N25" s="76"/>
      <c r="O25" s="76"/>
      <c r="P25" s="76"/>
    </row>
    <row r="26" spans="1:16" ht="15">
      <c r="A26" s="75">
        <v>14</v>
      </c>
      <c r="B26" s="216" t="s">
        <v>449</v>
      </c>
      <c r="C26" s="441" t="s">
        <v>224</v>
      </c>
      <c r="D26" s="236" t="s">
        <v>697</v>
      </c>
      <c r="E26" s="251">
        <v>45451</v>
      </c>
      <c r="F26" s="260">
        <v>41.37</v>
      </c>
      <c r="G26" s="591" t="s">
        <v>55</v>
      </c>
      <c r="H26" s="592"/>
      <c r="I26" s="592"/>
      <c r="J26" s="593"/>
      <c r="K26" s="259">
        <v>45456</v>
      </c>
      <c r="L26" s="265" t="s">
        <v>722</v>
      </c>
      <c r="M26" s="76"/>
      <c r="N26" s="76"/>
      <c r="O26" s="76"/>
      <c r="P26" s="76"/>
    </row>
    <row r="27" spans="1:16" ht="15">
      <c r="A27" s="75">
        <v>15</v>
      </c>
      <c r="B27" s="216" t="s">
        <v>504</v>
      </c>
      <c r="C27" s="441" t="s">
        <v>224</v>
      </c>
      <c r="D27" s="236" t="s">
        <v>697</v>
      </c>
      <c r="E27" s="251">
        <v>45453</v>
      </c>
      <c r="F27" s="260">
        <v>41.37</v>
      </c>
      <c r="G27" s="591" t="s">
        <v>55</v>
      </c>
      <c r="H27" s="592"/>
      <c r="I27" s="592"/>
      <c r="J27" s="593"/>
      <c r="K27" s="259">
        <v>45457</v>
      </c>
      <c r="L27" s="264" t="s">
        <v>721</v>
      </c>
      <c r="M27" s="76"/>
      <c r="N27" s="76"/>
      <c r="O27" s="76"/>
      <c r="P27" s="76"/>
    </row>
    <row r="28" spans="1:16" ht="15">
      <c r="A28" s="75">
        <v>16</v>
      </c>
      <c r="B28" s="216" t="s">
        <v>446</v>
      </c>
      <c r="C28" s="441" t="s">
        <v>224</v>
      </c>
      <c r="D28" s="236" t="s">
        <v>697</v>
      </c>
      <c r="E28" s="251">
        <v>45455</v>
      </c>
      <c r="F28" s="260">
        <v>41.37</v>
      </c>
      <c r="G28" s="591" t="s">
        <v>55</v>
      </c>
      <c r="H28" s="592"/>
      <c r="I28" s="592"/>
      <c r="J28" s="593"/>
      <c r="K28" s="259">
        <v>45462</v>
      </c>
      <c r="L28" s="265" t="s">
        <v>722</v>
      </c>
      <c r="M28" s="76"/>
      <c r="N28" s="76"/>
      <c r="O28" s="76"/>
      <c r="P28" s="76"/>
    </row>
    <row r="29" spans="1:16" ht="15">
      <c r="A29" s="75">
        <v>17</v>
      </c>
      <c r="B29" s="216" t="s">
        <v>551</v>
      </c>
      <c r="C29" s="441" t="s">
        <v>224</v>
      </c>
      <c r="D29" s="236" t="s">
        <v>697</v>
      </c>
      <c r="E29" s="251">
        <v>45456</v>
      </c>
      <c r="F29" s="260">
        <v>41.37</v>
      </c>
      <c r="G29" s="591" t="s">
        <v>55</v>
      </c>
      <c r="H29" s="592"/>
      <c r="I29" s="592"/>
      <c r="J29" s="593"/>
      <c r="K29" s="259">
        <v>45466</v>
      </c>
      <c r="L29" s="265" t="s">
        <v>724</v>
      </c>
      <c r="M29" s="76"/>
      <c r="N29" s="76"/>
      <c r="O29" s="76"/>
      <c r="P29" s="76"/>
    </row>
    <row r="30" spans="1:16" ht="15">
      <c r="A30" s="75">
        <v>18</v>
      </c>
      <c r="B30" s="216" t="s">
        <v>444</v>
      </c>
      <c r="C30" s="441" t="s">
        <v>195</v>
      </c>
      <c r="D30" s="236" t="s">
        <v>697</v>
      </c>
      <c r="E30" s="251">
        <v>45456</v>
      </c>
      <c r="F30" s="260">
        <v>37.64</v>
      </c>
      <c r="G30" s="591" t="s">
        <v>55</v>
      </c>
      <c r="H30" s="592"/>
      <c r="I30" s="592"/>
      <c r="J30" s="593"/>
      <c r="K30" s="259">
        <v>45465</v>
      </c>
      <c r="L30" s="266" t="s">
        <v>723</v>
      </c>
      <c r="M30" s="76"/>
      <c r="N30" s="76"/>
      <c r="O30" s="76"/>
      <c r="P30" s="76"/>
    </row>
    <row r="31" spans="1:16" ht="15">
      <c r="A31" s="75">
        <v>19</v>
      </c>
      <c r="B31" s="216" t="s">
        <v>589</v>
      </c>
      <c r="C31" s="441" t="s">
        <v>225</v>
      </c>
      <c r="D31" s="236" t="s">
        <v>697</v>
      </c>
      <c r="E31" s="251">
        <v>45456</v>
      </c>
      <c r="F31" s="260">
        <v>37.64</v>
      </c>
      <c r="G31" s="591" t="s">
        <v>55</v>
      </c>
      <c r="H31" s="592"/>
      <c r="I31" s="592"/>
      <c r="J31" s="593"/>
      <c r="K31" s="259">
        <v>45460</v>
      </c>
      <c r="L31" s="264" t="s">
        <v>721</v>
      </c>
      <c r="M31" s="76"/>
      <c r="N31" s="76"/>
      <c r="O31" s="76"/>
      <c r="P31" s="76"/>
    </row>
    <row r="32" spans="1:16" ht="15">
      <c r="A32" s="75">
        <v>20</v>
      </c>
      <c r="B32" s="216" t="s">
        <v>480</v>
      </c>
      <c r="C32" s="441" t="s">
        <v>225</v>
      </c>
      <c r="D32" s="236" t="s">
        <v>697</v>
      </c>
      <c r="E32" s="251">
        <v>45456</v>
      </c>
      <c r="F32" s="260">
        <v>37.64</v>
      </c>
      <c r="G32" s="591" t="s">
        <v>55</v>
      </c>
      <c r="H32" s="592"/>
      <c r="I32" s="592"/>
      <c r="J32" s="593"/>
      <c r="K32" s="259">
        <v>45463</v>
      </c>
      <c r="L32" s="264" t="s">
        <v>721</v>
      </c>
      <c r="M32" s="76"/>
      <c r="N32" s="76"/>
      <c r="O32" s="76"/>
      <c r="P32" s="76"/>
    </row>
    <row r="33" spans="1:16" ht="15">
      <c r="A33" s="75">
        <v>21</v>
      </c>
      <c r="B33" s="216" t="s">
        <v>452</v>
      </c>
      <c r="C33" s="441" t="s">
        <v>224</v>
      </c>
      <c r="D33" s="236" t="s">
        <v>697</v>
      </c>
      <c r="E33" s="251">
        <v>45463</v>
      </c>
      <c r="F33" s="260">
        <v>41.37</v>
      </c>
      <c r="G33" s="591" t="s">
        <v>55</v>
      </c>
      <c r="H33" s="592"/>
      <c r="I33" s="592"/>
      <c r="J33" s="593"/>
      <c r="K33" s="259">
        <v>45468</v>
      </c>
      <c r="L33" s="266" t="s">
        <v>722</v>
      </c>
      <c r="M33" s="76"/>
      <c r="N33" s="76"/>
      <c r="O33" s="76"/>
      <c r="P33" s="76"/>
    </row>
    <row r="34" spans="1:16" ht="15">
      <c r="A34" s="75">
        <v>22</v>
      </c>
      <c r="B34" s="216" t="s">
        <v>448</v>
      </c>
      <c r="C34" s="441" t="s">
        <v>225</v>
      </c>
      <c r="D34" s="236" t="s">
        <v>697</v>
      </c>
      <c r="E34" s="251">
        <v>45464</v>
      </c>
      <c r="F34" s="260">
        <v>37.64</v>
      </c>
      <c r="G34" s="591" t="s">
        <v>55</v>
      </c>
      <c r="H34" s="592"/>
      <c r="I34" s="592"/>
      <c r="J34" s="593"/>
      <c r="K34" s="259">
        <v>45470</v>
      </c>
      <c r="L34" s="265" t="s">
        <v>723</v>
      </c>
      <c r="M34" s="76"/>
      <c r="N34" s="76"/>
      <c r="O34" s="76"/>
      <c r="P34" s="76"/>
    </row>
    <row r="35" spans="1:16" ht="15">
      <c r="A35" s="75">
        <v>23</v>
      </c>
      <c r="B35" s="216" t="s">
        <v>592</v>
      </c>
      <c r="C35" s="441" t="s">
        <v>224</v>
      </c>
      <c r="D35" s="238" t="s">
        <v>698</v>
      </c>
      <c r="E35" s="251">
        <v>45465</v>
      </c>
      <c r="F35" s="260">
        <v>49.03</v>
      </c>
      <c r="G35" s="591" t="s">
        <v>55</v>
      </c>
      <c r="H35" s="592"/>
      <c r="I35" s="592"/>
      <c r="J35" s="593"/>
      <c r="K35" s="259">
        <v>45473</v>
      </c>
      <c r="L35" s="266" t="s">
        <v>724</v>
      </c>
      <c r="M35" s="76"/>
      <c r="N35" s="76"/>
      <c r="O35" s="76"/>
      <c r="P35" s="76"/>
    </row>
    <row r="36" spans="1:16" ht="15">
      <c r="A36" s="75">
        <v>24</v>
      </c>
      <c r="B36" s="216" t="s">
        <v>99</v>
      </c>
      <c r="C36" s="441" t="s">
        <v>224</v>
      </c>
      <c r="D36" s="238" t="s">
        <v>698</v>
      </c>
      <c r="E36" s="251">
        <v>45474</v>
      </c>
      <c r="F36" s="260">
        <v>49.03</v>
      </c>
      <c r="G36" s="591" t="s">
        <v>55</v>
      </c>
      <c r="H36" s="592"/>
      <c r="I36" s="592"/>
      <c r="J36" s="593"/>
      <c r="K36" s="259">
        <v>45484</v>
      </c>
      <c r="L36" s="266" t="s">
        <v>724</v>
      </c>
      <c r="M36" s="76"/>
      <c r="N36" s="76"/>
      <c r="O36" s="76"/>
      <c r="P36" s="76"/>
    </row>
    <row r="37" spans="1:16" ht="15">
      <c r="A37" s="75">
        <v>25</v>
      </c>
      <c r="B37" s="216" t="s">
        <v>450</v>
      </c>
      <c r="C37" s="441" t="s">
        <v>225</v>
      </c>
      <c r="D37" s="236" t="s">
        <v>697</v>
      </c>
      <c r="E37" s="251">
        <v>45481</v>
      </c>
      <c r="F37" s="260">
        <v>37.64</v>
      </c>
      <c r="G37" s="591" t="s">
        <v>55</v>
      </c>
      <c r="H37" s="592"/>
      <c r="I37" s="592"/>
      <c r="J37" s="593"/>
      <c r="K37" s="253">
        <v>45488</v>
      </c>
      <c r="L37" s="266" t="s">
        <v>725</v>
      </c>
      <c r="M37" s="76"/>
      <c r="N37" s="76"/>
      <c r="O37" s="76"/>
      <c r="P37" s="76"/>
    </row>
    <row r="38" spans="1:16" ht="15">
      <c r="A38" s="75">
        <v>26</v>
      </c>
      <c r="B38" s="216" t="s">
        <v>331</v>
      </c>
      <c r="C38" s="441" t="s">
        <v>224</v>
      </c>
      <c r="D38" s="238" t="s">
        <v>698</v>
      </c>
      <c r="E38" s="251">
        <v>45484</v>
      </c>
      <c r="F38" s="260">
        <v>49.03</v>
      </c>
      <c r="G38" s="591" t="s">
        <v>55</v>
      </c>
      <c r="H38" s="592"/>
      <c r="I38" s="592"/>
      <c r="J38" s="593"/>
      <c r="K38" s="259">
        <v>45491</v>
      </c>
      <c r="L38" s="266" t="s">
        <v>724</v>
      </c>
      <c r="M38" s="76"/>
      <c r="N38" s="76"/>
      <c r="O38" s="76"/>
      <c r="P38" s="76"/>
    </row>
    <row r="39" spans="1:16" ht="15">
      <c r="A39" s="75">
        <v>27</v>
      </c>
      <c r="B39" s="216" t="s">
        <v>575</v>
      </c>
      <c r="C39" s="441" t="s">
        <v>225</v>
      </c>
      <c r="D39" s="236" t="s">
        <v>697</v>
      </c>
      <c r="E39" s="251">
        <v>45485</v>
      </c>
      <c r="F39" s="260">
        <v>37.64</v>
      </c>
      <c r="G39" s="591" t="s">
        <v>55</v>
      </c>
      <c r="H39" s="592"/>
      <c r="I39" s="592"/>
      <c r="J39" s="593"/>
      <c r="K39" s="253">
        <v>45496</v>
      </c>
      <c r="L39" s="266" t="s">
        <v>726</v>
      </c>
      <c r="M39" s="76"/>
      <c r="N39" s="76"/>
      <c r="O39" s="76"/>
      <c r="P39" s="76"/>
    </row>
    <row r="40" spans="1:16" ht="15">
      <c r="A40" s="75">
        <v>28</v>
      </c>
      <c r="B40" s="216" t="s">
        <v>453</v>
      </c>
      <c r="C40" s="441" t="s">
        <v>224</v>
      </c>
      <c r="D40" s="236" t="s">
        <v>697</v>
      </c>
      <c r="E40" s="251">
        <v>45486</v>
      </c>
      <c r="F40" s="260">
        <v>41.37</v>
      </c>
      <c r="G40" s="591" t="s">
        <v>55</v>
      </c>
      <c r="H40" s="592"/>
      <c r="I40" s="592"/>
      <c r="J40" s="593"/>
      <c r="K40" s="259">
        <v>45493</v>
      </c>
      <c r="L40" s="266" t="s">
        <v>727</v>
      </c>
      <c r="M40" s="76"/>
      <c r="N40" s="76"/>
      <c r="O40" s="76"/>
      <c r="P40" s="76"/>
    </row>
    <row r="41" spans="1:16" ht="15">
      <c r="A41" s="75">
        <v>29</v>
      </c>
      <c r="B41" s="216" t="s">
        <v>458</v>
      </c>
      <c r="C41" s="441" t="s">
        <v>224</v>
      </c>
      <c r="D41" s="238" t="s">
        <v>698</v>
      </c>
      <c r="E41" s="251">
        <v>45488</v>
      </c>
      <c r="F41" s="260">
        <v>49.03</v>
      </c>
      <c r="G41" s="591" t="s">
        <v>55</v>
      </c>
      <c r="H41" s="592"/>
      <c r="I41" s="592"/>
      <c r="J41" s="593"/>
      <c r="K41" s="259">
        <v>45498</v>
      </c>
      <c r="L41" s="266" t="s">
        <v>724</v>
      </c>
      <c r="M41" s="76"/>
      <c r="N41" s="76"/>
      <c r="O41" s="76"/>
      <c r="P41" s="76"/>
    </row>
    <row r="42" spans="1:16" ht="15">
      <c r="A42" s="75">
        <v>30</v>
      </c>
      <c r="B42" s="216" t="s">
        <v>479</v>
      </c>
      <c r="C42" s="441" t="s">
        <v>224</v>
      </c>
      <c r="D42" s="238" t="s">
        <v>699</v>
      </c>
      <c r="E42" s="252">
        <v>45493</v>
      </c>
      <c r="F42" s="260">
        <v>61.059999999999995</v>
      </c>
      <c r="G42" s="591" t="s">
        <v>55</v>
      </c>
      <c r="H42" s="592"/>
      <c r="I42" s="592"/>
      <c r="J42" s="593"/>
      <c r="K42" s="253">
        <v>45504</v>
      </c>
      <c r="L42" s="266" t="s">
        <v>724</v>
      </c>
      <c r="M42" s="76"/>
      <c r="N42" s="76"/>
      <c r="O42" s="76"/>
      <c r="P42" s="76"/>
    </row>
    <row r="43" spans="1:16" ht="15">
      <c r="A43" s="75">
        <v>31</v>
      </c>
      <c r="B43" s="216" t="s">
        <v>582</v>
      </c>
      <c r="C43" s="441" t="s">
        <v>225</v>
      </c>
      <c r="D43" s="236" t="s">
        <v>697</v>
      </c>
      <c r="E43" s="252">
        <v>45493</v>
      </c>
      <c r="F43" s="260">
        <v>37.64</v>
      </c>
      <c r="G43" s="591" t="s">
        <v>55</v>
      </c>
      <c r="H43" s="592"/>
      <c r="I43" s="592"/>
      <c r="J43" s="593"/>
      <c r="K43" s="253">
        <v>45503</v>
      </c>
      <c r="L43" s="266" t="s">
        <v>725</v>
      </c>
      <c r="M43" s="76"/>
      <c r="N43" s="76"/>
      <c r="O43" s="76"/>
      <c r="P43" s="76"/>
    </row>
    <row r="44" spans="1:16" ht="15">
      <c r="A44" s="75">
        <v>32</v>
      </c>
      <c r="B44" s="216" t="s">
        <v>442</v>
      </c>
      <c r="C44" s="441" t="s">
        <v>195</v>
      </c>
      <c r="D44" s="236" t="s">
        <v>697</v>
      </c>
      <c r="E44" s="252">
        <v>45493</v>
      </c>
      <c r="F44" s="260">
        <v>37.64</v>
      </c>
      <c r="G44" s="591" t="s">
        <v>55</v>
      </c>
      <c r="H44" s="592"/>
      <c r="I44" s="592"/>
      <c r="J44" s="593"/>
      <c r="K44" s="253">
        <v>45502</v>
      </c>
      <c r="L44" s="266" t="s">
        <v>728</v>
      </c>
      <c r="M44" s="76"/>
      <c r="N44" s="76"/>
      <c r="O44" s="76"/>
      <c r="P44" s="76"/>
    </row>
    <row r="45" spans="1:16" ht="15">
      <c r="A45" s="75">
        <v>33</v>
      </c>
      <c r="B45" s="216" t="s">
        <v>451</v>
      </c>
      <c r="C45" s="441" t="s">
        <v>224</v>
      </c>
      <c r="D45" s="236" t="s">
        <v>697</v>
      </c>
      <c r="E45" s="251">
        <v>45495</v>
      </c>
      <c r="F45" s="260">
        <v>41.37</v>
      </c>
      <c r="G45" s="591" t="s">
        <v>55</v>
      </c>
      <c r="H45" s="592"/>
      <c r="I45" s="592"/>
      <c r="J45" s="593"/>
      <c r="K45" s="259">
        <v>45501</v>
      </c>
      <c r="L45" s="266" t="s">
        <v>727</v>
      </c>
      <c r="M45" s="76"/>
      <c r="N45" s="76"/>
      <c r="O45" s="76"/>
      <c r="P45" s="76"/>
    </row>
    <row r="46" spans="1:16" ht="15">
      <c r="A46" s="75">
        <v>34</v>
      </c>
      <c r="B46" s="216" t="s">
        <v>499</v>
      </c>
      <c r="C46" s="441" t="s">
        <v>224</v>
      </c>
      <c r="D46" s="236" t="s">
        <v>697</v>
      </c>
      <c r="E46" s="251">
        <v>45501</v>
      </c>
      <c r="F46" s="260">
        <v>41.37</v>
      </c>
      <c r="G46" s="591" t="s">
        <v>55</v>
      </c>
      <c r="H46" s="592"/>
      <c r="I46" s="592"/>
      <c r="J46" s="593"/>
      <c r="K46" s="253">
        <v>45508</v>
      </c>
      <c r="L46" s="266" t="s">
        <v>726</v>
      </c>
      <c r="M46" s="76"/>
      <c r="N46" s="76"/>
      <c r="O46" s="76"/>
      <c r="P46" s="76"/>
    </row>
    <row r="47" spans="1:16" ht="15">
      <c r="A47" s="75">
        <v>35</v>
      </c>
      <c r="B47" s="216" t="s">
        <v>454</v>
      </c>
      <c r="C47" s="441" t="s">
        <v>224</v>
      </c>
      <c r="D47" s="236" t="s">
        <v>697</v>
      </c>
      <c r="E47" s="251">
        <v>45501</v>
      </c>
      <c r="F47" s="260">
        <v>41.37</v>
      </c>
      <c r="G47" s="591" t="s">
        <v>55</v>
      </c>
      <c r="H47" s="592"/>
      <c r="I47" s="592"/>
      <c r="J47" s="593"/>
      <c r="K47" s="253">
        <v>45513</v>
      </c>
      <c r="L47" s="266" t="s">
        <v>727</v>
      </c>
      <c r="M47" s="76"/>
      <c r="N47" s="76"/>
      <c r="O47" s="76"/>
      <c r="P47" s="76"/>
    </row>
    <row r="48" spans="1:16" ht="15">
      <c r="A48" s="75">
        <v>36</v>
      </c>
      <c r="B48" s="216" t="s">
        <v>445</v>
      </c>
      <c r="C48" s="441" t="s">
        <v>224</v>
      </c>
      <c r="D48" s="236" t="s">
        <v>697</v>
      </c>
      <c r="E48" s="251">
        <v>45503</v>
      </c>
      <c r="F48" s="260">
        <v>41.37</v>
      </c>
      <c r="G48" s="591" t="s">
        <v>55</v>
      </c>
      <c r="H48" s="592"/>
      <c r="I48" s="592"/>
      <c r="J48" s="593"/>
      <c r="K48" s="253">
        <v>45507</v>
      </c>
      <c r="L48" s="266" t="s">
        <v>728</v>
      </c>
      <c r="M48" s="76"/>
      <c r="N48" s="76"/>
      <c r="O48" s="76"/>
      <c r="P48" s="76"/>
    </row>
    <row r="49" spans="1:16" ht="15">
      <c r="A49" s="75">
        <v>37</v>
      </c>
      <c r="B49" s="216" t="s">
        <v>464</v>
      </c>
      <c r="C49" s="441" t="s">
        <v>195</v>
      </c>
      <c r="D49" s="238" t="s">
        <v>698</v>
      </c>
      <c r="E49" s="252">
        <v>45870</v>
      </c>
      <c r="F49" s="260">
        <v>46.16</v>
      </c>
      <c r="G49" s="591" t="s">
        <v>55</v>
      </c>
      <c r="H49" s="592"/>
      <c r="I49" s="592"/>
      <c r="J49" s="593"/>
      <c r="K49" s="253">
        <v>45512</v>
      </c>
      <c r="L49" s="266" t="s">
        <v>724</v>
      </c>
      <c r="M49" s="76"/>
      <c r="N49" s="76"/>
      <c r="O49" s="76"/>
      <c r="P49" s="76"/>
    </row>
    <row r="50" spans="1:16" ht="15">
      <c r="A50" s="75">
        <v>38</v>
      </c>
      <c r="B50" s="216" t="s">
        <v>447</v>
      </c>
      <c r="C50" s="441" t="s">
        <v>224</v>
      </c>
      <c r="D50" s="236" t="s">
        <v>697</v>
      </c>
      <c r="E50" s="252">
        <v>45509</v>
      </c>
      <c r="F50" s="260">
        <v>41.37</v>
      </c>
      <c r="G50" s="591" t="s">
        <v>55</v>
      </c>
      <c r="H50" s="592"/>
      <c r="I50" s="592"/>
      <c r="J50" s="593"/>
      <c r="K50" s="253">
        <v>45514</v>
      </c>
      <c r="L50" s="266" t="s">
        <v>728</v>
      </c>
      <c r="M50" s="76"/>
      <c r="N50" s="76"/>
      <c r="O50" s="76"/>
      <c r="P50" s="76"/>
    </row>
    <row r="51" spans="1:16" ht="15">
      <c r="A51" s="75">
        <v>39</v>
      </c>
      <c r="B51" s="216" t="s">
        <v>591</v>
      </c>
      <c r="C51" s="441" t="s">
        <v>225</v>
      </c>
      <c r="D51" s="236" t="s">
        <v>697</v>
      </c>
      <c r="E51" s="252">
        <v>45512</v>
      </c>
      <c r="F51" s="260">
        <v>37.64</v>
      </c>
      <c r="G51" s="591" t="s">
        <v>55</v>
      </c>
      <c r="H51" s="592"/>
      <c r="I51" s="592"/>
      <c r="J51" s="593"/>
      <c r="K51" s="253">
        <v>45518</v>
      </c>
      <c r="L51" s="266" t="s">
        <v>724</v>
      </c>
      <c r="M51" s="76"/>
      <c r="N51" s="76"/>
      <c r="O51" s="76"/>
      <c r="P51" s="76"/>
    </row>
    <row r="52" spans="1:16" ht="15">
      <c r="A52" s="75">
        <v>40</v>
      </c>
      <c r="B52" s="217" t="s">
        <v>466</v>
      </c>
      <c r="C52" s="442" t="s">
        <v>195</v>
      </c>
      <c r="D52" s="236" t="s">
        <v>697</v>
      </c>
      <c r="E52" s="252">
        <v>45514</v>
      </c>
      <c r="F52" s="260">
        <v>37.64</v>
      </c>
      <c r="G52" s="591" t="s">
        <v>55</v>
      </c>
      <c r="H52" s="592"/>
      <c r="I52" s="592"/>
      <c r="J52" s="593"/>
      <c r="K52" s="253">
        <v>45525</v>
      </c>
      <c r="L52" s="266" t="s">
        <v>727</v>
      </c>
      <c r="M52" s="76"/>
      <c r="N52" s="76"/>
      <c r="O52" s="76"/>
      <c r="P52" s="76"/>
    </row>
    <row r="53" spans="1:16" ht="15">
      <c r="A53" s="75">
        <v>41</v>
      </c>
      <c r="B53" s="218" t="s">
        <v>596</v>
      </c>
      <c r="C53" s="442" t="s">
        <v>225</v>
      </c>
      <c r="D53" s="236" t="s">
        <v>697</v>
      </c>
      <c r="E53" s="252">
        <v>45516</v>
      </c>
      <c r="F53" s="260">
        <v>37.64</v>
      </c>
      <c r="G53" s="591" t="s">
        <v>55</v>
      </c>
      <c r="H53" s="592"/>
      <c r="I53" s="592"/>
      <c r="J53" s="593"/>
      <c r="K53" s="253">
        <v>45522</v>
      </c>
      <c r="L53" s="266" t="s">
        <v>728</v>
      </c>
      <c r="M53" s="76"/>
      <c r="N53" s="76"/>
      <c r="O53" s="76"/>
      <c r="P53" s="76"/>
    </row>
    <row r="54" spans="1:16" ht="15">
      <c r="A54" s="75">
        <v>42</v>
      </c>
      <c r="B54" s="218" t="s">
        <v>567</v>
      </c>
      <c r="C54" s="442" t="s">
        <v>225</v>
      </c>
      <c r="D54" s="236" t="s">
        <v>697</v>
      </c>
      <c r="E54" s="252">
        <v>45516</v>
      </c>
      <c r="F54" s="260">
        <v>37.64</v>
      </c>
      <c r="G54" s="591" t="s">
        <v>55</v>
      </c>
      <c r="H54" s="592"/>
      <c r="I54" s="592"/>
      <c r="J54" s="593"/>
      <c r="K54" s="253">
        <v>45528</v>
      </c>
      <c r="L54" s="266" t="s">
        <v>726</v>
      </c>
      <c r="M54" s="76"/>
      <c r="N54" s="76"/>
      <c r="O54" s="76"/>
      <c r="P54" s="76"/>
    </row>
    <row r="55" spans="1:16" ht="15">
      <c r="A55" s="75">
        <v>43</v>
      </c>
      <c r="B55" s="27" t="s">
        <v>508</v>
      </c>
      <c r="C55" s="442" t="s">
        <v>224</v>
      </c>
      <c r="D55" s="236" t="s">
        <v>697</v>
      </c>
      <c r="E55" s="252">
        <v>45520</v>
      </c>
      <c r="F55" s="260">
        <v>41.37</v>
      </c>
      <c r="G55" s="591" t="s">
        <v>55</v>
      </c>
      <c r="H55" s="592"/>
      <c r="I55" s="592"/>
      <c r="J55" s="593"/>
      <c r="K55" s="253">
        <v>45535</v>
      </c>
      <c r="L55" s="266" t="s">
        <v>729</v>
      </c>
      <c r="M55" s="76"/>
      <c r="N55" s="76"/>
      <c r="O55" s="76"/>
      <c r="P55" s="76"/>
    </row>
    <row r="56" spans="1:16" ht="15">
      <c r="A56" s="75">
        <v>44</v>
      </c>
      <c r="B56" s="216" t="s">
        <v>605</v>
      </c>
      <c r="C56" s="441" t="s">
        <v>225</v>
      </c>
      <c r="D56" s="236" t="s">
        <v>697</v>
      </c>
      <c r="E56" s="252">
        <v>45527</v>
      </c>
      <c r="F56" s="260">
        <v>37.64</v>
      </c>
      <c r="G56" s="591" t="s">
        <v>55</v>
      </c>
      <c r="H56" s="592"/>
      <c r="I56" s="592"/>
      <c r="J56" s="593"/>
      <c r="K56" s="253">
        <v>45535</v>
      </c>
      <c r="L56" s="266" t="s">
        <v>728</v>
      </c>
      <c r="M56" s="76"/>
      <c r="N56" s="76"/>
      <c r="O56" s="76"/>
      <c r="P56" s="76"/>
    </row>
    <row r="57" spans="1:16" ht="15">
      <c r="A57" s="75">
        <v>45</v>
      </c>
      <c r="B57" s="216" t="s">
        <v>489</v>
      </c>
      <c r="C57" s="442" t="s">
        <v>224</v>
      </c>
      <c r="D57" s="236" t="s">
        <v>697</v>
      </c>
      <c r="E57" s="252">
        <v>45527</v>
      </c>
      <c r="F57" s="260">
        <v>41.37</v>
      </c>
      <c r="G57" s="591" t="s">
        <v>55</v>
      </c>
      <c r="H57" s="592"/>
      <c r="I57" s="592"/>
      <c r="J57" s="593"/>
      <c r="K57" s="253">
        <v>45535</v>
      </c>
      <c r="L57" s="266" t="s">
        <v>730</v>
      </c>
      <c r="M57" s="76"/>
      <c r="N57" s="76"/>
      <c r="O57" s="76"/>
      <c r="P57" s="76"/>
    </row>
    <row r="58" spans="1:16" ht="15">
      <c r="A58" s="75">
        <v>46</v>
      </c>
      <c r="B58" s="216" t="s">
        <v>462</v>
      </c>
      <c r="C58" s="442" t="s">
        <v>195</v>
      </c>
      <c r="D58" s="236" t="s">
        <v>697</v>
      </c>
      <c r="E58" s="252">
        <v>45528</v>
      </c>
      <c r="F58" s="260">
        <v>37.64</v>
      </c>
      <c r="G58" s="591" t="s">
        <v>55</v>
      </c>
      <c r="H58" s="592"/>
      <c r="I58" s="592"/>
      <c r="J58" s="593"/>
      <c r="K58" s="253">
        <v>45534</v>
      </c>
      <c r="L58" s="266" t="s">
        <v>727</v>
      </c>
      <c r="M58" s="76"/>
      <c r="N58" s="76"/>
      <c r="O58" s="76"/>
      <c r="P58" s="76"/>
    </row>
    <row r="59" spans="1:16" ht="15">
      <c r="A59" s="75">
        <v>47</v>
      </c>
      <c r="B59" s="219" t="s">
        <v>569</v>
      </c>
      <c r="C59" s="443" t="s">
        <v>224</v>
      </c>
      <c r="D59" s="236" t="s">
        <v>697</v>
      </c>
      <c r="E59" s="252">
        <v>45528</v>
      </c>
      <c r="F59" s="260">
        <v>41.37</v>
      </c>
      <c r="G59" s="591" t="s">
        <v>55</v>
      </c>
      <c r="H59" s="592"/>
      <c r="I59" s="592"/>
      <c r="J59" s="593"/>
      <c r="K59" s="253">
        <v>45544</v>
      </c>
      <c r="L59" s="266" t="s">
        <v>731</v>
      </c>
      <c r="M59" s="76"/>
      <c r="N59" s="76"/>
      <c r="O59" s="76"/>
      <c r="P59" s="76"/>
    </row>
    <row r="60" spans="1:16">
      <c r="A60" s="75">
        <v>48</v>
      </c>
      <c r="B60" s="220" t="s">
        <v>540</v>
      </c>
      <c r="C60" s="444" t="s">
        <v>224</v>
      </c>
      <c r="D60" s="238" t="s">
        <v>699</v>
      </c>
      <c r="E60" s="252">
        <v>45528</v>
      </c>
      <c r="F60" s="260">
        <v>61.059999999999995</v>
      </c>
      <c r="G60" s="591" t="s">
        <v>55</v>
      </c>
      <c r="H60" s="592"/>
      <c r="I60" s="592"/>
      <c r="J60" s="593"/>
      <c r="K60" s="253">
        <v>45543</v>
      </c>
      <c r="L60" s="266" t="s">
        <v>732</v>
      </c>
      <c r="M60" s="76"/>
      <c r="N60" s="76"/>
      <c r="O60" s="76"/>
      <c r="P60" s="76"/>
    </row>
    <row r="61" spans="1:16" ht="15">
      <c r="A61" s="75">
        <v>49</v>
      </c>
      <c r="B61" s="27" t="s">
        <v>472</v>
      </c>
      <c r="C61" s="442" t="s">
        <v>195</v>
      </c>
      <c r="D61" s="236" t="s">
        <v>697</v>
      </c>
      <c r="E61" s="252">
        <v>45528</v>
      </c>
      <c r="F61" s="260">
        <v>37.64</v>
      </c>
      <c r="G61" s="591" t="s">
        <v>55</v>
      </c>
      <c r="H61" s="592"/>
      <c r="I61" s="592"/>
      <c r="J61" s="593"/>
      <c r="K61" s="253">
        <v>45565</v>
      </c>
      <c r="L61" s="266" t="s">
        <v>733</v>
      </c>
      <c r="M61" s="76"/>
      <c r="N61" s="76"/>
      <c r="O61" s="76"/>
      <c r="P61" s="76"/>
    </row>
    <row r="62" spans="1:16" ht="15">
      <c r="A62" s="75">
        <v>50</v>
      </c>
      <c r="B62" s="27" t="s">
        <v>456</v>
      </c>
      <c r="C62" s="442" t="s">
        <v>224</v>
      </c>
      <c r="D62" s="236" t="s">
        <v>697</v>
      </c>
      <c r="E62" s="252">
        <v>45528</v>
      </c>
      <c r="F62" s="260">
        <v>41.37</v>
      </c>
      <c r="G62" s="591" t="s">
        <v>55</v>
      </c>
      <c r="H62" s="592"/>
      <c r="I62" s="592"/>
      <c r="J62" s="593"/>
      <c r="K62" s="253">
        <v>45540</v>
      </c>
      <c r="L62" s="266" t="s">
        <v>734</v>
      </c>
      <c r="M62" s="76"/>
      <c r="N62" s="76"/>
      <c r="O62" s="76"/>
      <c r="P62" s="76"/>
    </row>
    <row r="63" spans="1:16" ht="15">
      <c r="A63" s="75">
        <v>51</v>
      </c>
      <c r="B63" s="216" t="s">
        <v>461</v>
      </c>
      <c r="C63" s="442" t="s">
        <v>195</v>
      </c>
      <c r="D63" s="236" t="s">
        <v>697</v>
      </c>
      <c r="E63" s="252">
        <v>45528</v>
      </c>
      <c r="F63" s="260">
        <v>37.64</v>
      </c>
      <c r="G63" s="591" t="s">
        <v>55</v>
      </c>
      <c r="H63" s="592"/>
      <c r="I63" s="592"/>
      <c r="J63" s="593"/>
      <c r="K63" s="253">
        <v>45557</v>
      </c>
      <c r="L63" s="266" t="s">
        <v>735</v>
      </c>
      <c r="M63" s="76"/>
      <c r="N63" s="76"/>
      <c r="O63" s="76"/>
      <c r="P63" s="76"/>
    </row>
    <row r="64" spans="1:16" ht="15">
      <c r="A64" s="75">
        <v>52</v>
      </c>
      <c r="B64" s="216" t="s">
        <v>562</v>
      </c>
      <c r="C64" s="442" t="s">
        <v>224</v>
      </c>
      <c r="D64" s="236" t="s">
        <v>697</v>
      </c>
      <c r="E64" s="252">
        <v>45528</v>
      </c>
      <c r="F64" s="260">
        <v>41.37</v>
      </c>
      <c r="G64" s="591" t="s">
        <v>55</v>
      </c>
      <c r="H64" s="592"/>
      <c r="I64" s="592"/>
      <c r="J64" s="593"/>
      <c r="K64" s="253">
        <v>45555</v>
      </c>
      <c r="L64" s="266" t="s">
        <v>731</v>
      </c>
      <c r="M64" s="76"/>
      <c r="N64" s="76"/>
      <c r="O64" s="76"/>
      <c r="P64" s="76"/>
    </row>
    <row r="65" spans="1:16" ht="15">
      <c r="A65" s="75">
        <v>53</v>
      </c>
      <c r="B65" s="216" t="s">
        <v>111</v>
      </c>
      <c r="C65" s="442" t="s">
        <v>225</v>
      </c>
      <c r="D65" s="238" t="s">
        <v>699</v>
      </c>
      <c r="E65" s="252">
        <v>45528</v>
      </c>
      <c r="F65" s="260">
        <v>58.51</v>
      </c>
      <c r="G65" s="591" t="s">
        <v>55</v>
      </c>
      <c r="H65" s="592"/>
      <c r="I65" s="592"/>
      <c r="J65" s="593"/>
      <c r="K65" s="253">
        <v>45543</v>
      </c>
      <c r="L65" s="266" t="s">
        <v>736</v>
      </c>
      <c r="M65" s="76"/>
      <c r="N65" s="76"/>
      <c r="O65" s="76"/>
      <c r="P65" s="76"/>
    </row>
    <row r="66" spans="1:16" ht="15">
      <c r="A66" s="75">
        <v>54</v>
      </c>
      <c r="B66" s="216" t="s">
        <v>617</v>
      </c>
      <c r="C66" s="442" t="s">
        <v>195</v>
      </c>
      <c r="D66" s="236" t="s">
        <v>697</v>
      </c>
      <c r="E66" s="252">
        <v>45528</v>
      </c>
      <c r="F66" s="260">
        <v>37.64</v>
      </c>
      <c r="G66" s="591" t="s">
        <v>55</v>
      </c>
      <c r="H66" s="592"/>
      <c r="I66" s="592"/>
      <c r="J66" s="593"/>
      <c r="K66" s="253">
        <v>45546</v>
      </c>
      <c r="L66" s="266" t="s">
        <v>737</v>
      </c>
      <c r="M66" s="76"/>
      <c r="N66" s="76"/>
      <c r="O66" s="76"/>
      <c r="P66" s="76"/>
    </row>
    <row r="67" spans="1:16" ht="15">
      <c r="A67" s="75">
        <v>55</v>
      </c>
      <c r="B67" s="216" t="s">
        <v>576</v>
      </c>
      <c r="C67" s="442" t="s">
        <v>224</v>
      </c>
      <c r="D67" s="238" t="s">
        <v>699</v>
      </c>
      <c r="E67" s="252">
        <v>45533</v>
      </c>
      <c r="F67" s="260">
        <v>61.059999999999995</v>
      </c>
      <c r="G67" s="591" t="s">
        <v>55</v>
      </c>
      <c r="H67" s="592"/>
      <c r="I67" s="592"/>
      <c r="J67" s="593"/>
      <c r="K67" s="253">
        <v>45543</v>
      </c>
      <c r="L67" s="266" t="s">
        <v>722</v>
      </c>
      <c r="M67" s="76"/>
      <c r="N67" s="76"/>
      <c r="O67" s="76"/>
      <c r="P67" s="76"/>
    </row>
    <row r="68" spans="1:16" ht="15">
      <c r="A68" s="75">
        <v>56</v>
      </c>
      <c r="B68" s="216" t="s">
        <v>563</v>
      </c>
      <c r="C68" s="441" t="s">
        <v>226</v>
      </c>
      <c r="D68" s="236" t="s">
        <v>697</v>
      </c>
      <c r="E68" s="252">
        <v>45534</v>
      </c>
      <c r="F68" s="260">
        <v>41.37</v>
      </c>
      <c r="G68" s="591" t="s">
        <v>55</v>
      </c>
      <c r="H68" s="592"/>
      <c r="I68" s="592"/>
      <c r="J68" s="593"/>
      <c r="K68" s="253">
        <v>45557</v>
      </c>
      <c r="L68" s="266" t="s">
        <v>726</v>
      </c>
      <c r="M68" s="76"/>
      <c r="N68" s="76"/>
      <c r="O68" s="76"/>
      <c r="P68" s="76"/>
    </row>
    <row r="69" spans="1:16" ht="15">
      <c r="A69" s="75">
        <v>57</v>
      </c>
      <c r="B69" s="216" t="s">
        <v>608</v>
      </c>
      <c r="C69" s="442" t="s">
        <v>225</v>
      </c>
      <c r="D69" s="236" t="s">
        <v>697</v>
      </c>
      <c r="E69" s="252">
        <v>45536</v>
      </c>
      <c r="F69" s="260">
        <v>37.64</v>
      </c>
      <c r="G69" s="591" t="s">
        <v>55</v>
      </c>
      <c r="H69" s="592"/>
      <c r="I69" s="592"/>
      <c r="J69" s="593"/>
      <c r="K69" s="253">
        <v>45544</v>
      </c>
      <c r="L69" s="266" t="s">
        <v>729</v>
      </c>
      <c r="M69" s="76"/>
      <c r="N69" s="76"/>
      <c r="O69" s="76"/>
      <c r="P69" s="76"/>
    </row>
    <row r="70" spans="1:16" ht="15">
      <c r="A70" s="75">
        <v>58</v>
      </c>
      <c r="B70" s="216" t="s">
        <v>498</v>
      </c>
      <c r="C70" s="442" t="s">
        <v>224</v>
      </c>
      <c r="D70" s="236" t="s">
        <v>697</v>
      </c>
      <c r="E70" s="252">
        <v>45536</v>
      </c>
      <c r="F70" s="260">
        <v>41.37</v>
      </c>
      <c r="G70" s="591" t="s">
        <v>55</v>
      </c>
      <c r="H70" s="592"/>
      <c r="I70" s="592"/>
      <c r="J70" s="593"/>
      <c r="K70" s="253">
        <v>45543</v>
      </c>
      <c r="L70" s="266" t="s">
        <v>727</v>
      </c>
      <c r="M70" s="76"/>
      <c r="N70" s="76"/>
      <c r="O70" s="76"/>
      <c r="P70" s="76"/>
    </row>
    <row r="71" spans="1:16" ht="15">
      <c r="A71" s="75">
        <v>59</v>
      </c>
      <c r="B71" s="216" t="s">
        <v>487</v>
      </c>
      <c r="C71" s="442" t="s">
        <v>224</v>
      </c>
      <c r="D71" s="236" t="s">
        <v>697</v>
      </c>
      <c r="E71" s="253">
        <v>45543</v>
      </c>
      <c r="F71" s="260">
        <v>41.37</v>
      </c>
      <c r="G71" s="591" t="s">
        <v>55</v>
      </c>
      <c r="H71" s="592"/>
      <c r="I71" s="592"/>
      <c r="J71" s="593"/>
      <c r="K71" s="253">
        <v>45559</v>
      </c>
      <c r="L71" s="266" t="s">
        <v>727</v>
      </c>
      <c r="M71" s="76"/>
      <c r="N71" s="76"/>
      <c r="O71" s="76"/>
      <c r="P71" s="76"/>
    </row>
    <row r="72" spans="1:16" ht="15">
      <c r="A72" s="75">
        <v>60</v>
      </c>
      <c r="B72" s="216" t="s">
        <v>603</v>
      </c>
      <c r="C72" s="442" t="s">
        <v>225</v>
      </c>
      <c r="D72" s="236" t="s">
        <v>697</v>
      </c>
      <c r="E72" s="253">
        <v>45543</v>
      </c>
      <c r="F72" s="260">
        <v>37.64</v>
      </c>
      <c r="G72" s="591" t="s">
        <v>55</v>
      </c>
      <c r="H72" s="592"/>
      <c r="I72" s="592"/>
      <c r="J72" s="593"/>
      <c r="K72" s="253">
        <v>45546</v>
      </c>
      <c r="L72" s="266" t="s">
        <v>728</v>
      </c>
      <c r="M72" s="76"/>
      <c r="N72" s="76"/>
      <c r="O72" s="76"/>
      <c r="P72" s="76"/>
    </row>
    <row r="73" spans="1:16" ht="15">
      <c r="A73" s="75">
        <v>61</v>
      </c>
      <c r="B73" s="216" t="s">
        <v>579</v>
      </c>
      <c r="C73" s="442" t="s">
        <v>195</v>
      </c>
      <c r="D73" s="236" t="s">
        <v>697</v>
      </c>
      <c r="E73" s="253">
        <v>45543</v>
      </c>
      <c r="F73" s="260">
        <v>37.64</v>
      </c>
      <c r="G73" s="591" t="s">
        <v>55</v>
      </c>
      <c r="H73" s="592"/>
      <c r="I73" s="592"/>
      <c r="J73" s="593"/>
      <c r="K73" s="253">
        <v>45557</v>
      </c>
      <c r="L73" s="266" t="s">
        <v>734</v>
      </c>
      <c r="M73" s="76"/>
      <c r="N73" s="76"/>
      <c r="O73" s="76"/>
      <c r="P73" s="76"/>
    </row>
    <row r="74" spans="1:16" ht="15">
      <c r="A74" s="75">
        <v>62</v>
      </c>
      <c r="B74" s="216" t="s">
        <v>102</v>
      </c>
      <c r="C74" s="442" t="s">
        <v>195</v>
      </c>
      <c r="D74" s="236" t="s">
        <v>697</v>
      </c>
      <c r="E74" s="253">
        <v>45544</v>
      </c>
      <c r="F74" s="260">
        <v>37.64</v>
      </c>
      <c r="G74" s="591" t="s">
        <v>55</v>
      </c>
      <c r="H74" s="592"/>
      <c r="I74" s="592"/>
      <c r="J74" s="593"/>
      <c r="K74" s="253">
        <v>45555</v>
      </c>
      <c r="L74" s="266" t="s">
        <v>722</v>
      </c>
      <c r="M74" s="76"/>
      <c r="N74" s="76"/>
      <c r="O74" s="76"/>
      <c r="P74" s="76"/>
    </row>
    <row r="75" spans="1:16" ht="15">
      <c r="A75" s="75">
        <v>63</v>
      </c>
      <c r="B75" s="216" t="s">
        <v>609</v>
      </c>
      <c r="C75" s="442" t="s">
        <v>225</v>
      </c>
      <c r="D75" s="236" t="s">
        <v>697</v>
      </c>
      <c r="E75" s="253">
        <v>45544</v>
      </c>
      <c r="F75" s="260">
        <v>37.64</v>
      </c>
      <c r="G75" s="591" t="s">
        <v>55</v>
      </c>
      <c r="H75" s="592"/>
      <c r="I75" s="592"/>
      <c r="J75" s="593"/>
      <c r="K75" s="253">
        <v>45565</v>
      </c>
      <c r="L75" s="266" t="s">
        <v>730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2" t="s">
        <v>224</v>
      </c>
      <c r="D76" s="236" t="s">
        <v>697</v>
      </c>
      <c r="E76" s="253">
        <v>45544</v>
      </c>
      <c r="F76" s="260">
        <v>41.37</v>
      </c>
      <c r="G76" s="591" t="s">
        <v>55</v>
      </c>
      <c r="H76" s="592"/>
      <c r="I76" s="592"/>
      <c r="J76" s="593"/>
      <c r="K76" s="253">
        <v>45564</v>
      </c>
      <c r="L76" s="266" t="s">
        <v>736</v>
      </c>
      <c r="M76" s="76"/>
      <c r="N76" s="76"/>
      <c r="O76" s="76"/>
      <c r="P76" s="76"/>
    </row>
    <row r="77" spans="1:16" ht="15">
      <c r="A77" s="75">
        <v>65</v>
      </c>
      <c r="B77" s="216" t="s">
        <v>615</v>
      </c>
      <c r="C77" s="442" t="s">
        <v>195</v>
      </c>
      <c r="D77" s="236" t="s">
        <v>697</v>
      </c>
      <c r="E77" s="253">
        <v>45546</v>
      </c>
      <c r="F77" s="260">
        <v>37.64</v>
      </c>
      <c r="G77" s="591" t="s">
        <v>55</v>
      </c>
      <c r="H77" s="592"/>
      <c r="I77" s="592"/>
      <c r="J77" s="593"/>
      <c r="K77" s="253">
        <v>45555</v>
      </c>
      <c r="L77" s="266" t="s">
        <v>728</v>
      </c>
      <c r="M77" s="76"/>
      <c r="N77" s="76"/>
      <c r="O77" s="76"/>
      <c r="P77" s="76"/>
    </row>
    <row r="78" spans="1:16" ht="15">
      <c r="A78" s="75">
        <v>66</v>
      </c>
      <c r="B78" s="216" t="s">
        <v>571</v>
      </c>
      <c r="C78" s="442" t="s">
        <v>225</v>
      </c>
      <c r="D78" s="236" t="s">
        <v>697</v>
      </c>
      <c r="E78" s="253">
        <v>45554</v>
      </c>
      <c r="F78" s="260">
        <v>37.64</v>
      </c>
      <c r="G78" s="591" t="s">
        <v>55</v>
      </c>
      <c r="H78" s="592"/>
      <c r="I78" s="592"/>
      <c r="J78" s="593"/>
      <c r="K78" s="253">
        <v>45559</v>
      </c>
      <c r="L78" s="266" t="s">
        <v>738</v>
      </c>
      <c r="M78" s="76"/>
      <c r="N78" s="76"/>
      <c r="O78" s="76"/>
      <c r="P78" s="76"/>
    </row>
    <row r="79" spans="1:16" ht="15">
      <c r="A79" s="75">
        <v>67</v>
      </c>
      <c r="B79" s="216" t="s">
        <v>88</v>
      </c>
      <c r="C79" s="441" t="s">
        <v>225</v>
      </c>
      <c r="D79" s="236" t="s">
        <v>697</v>
      </c>
      <c r="E79" s="254">
        <v>45554</v>
      </c>
      <c r="F79" s="260">
        <v>37.64</v>
      </c>
      <c r="G79" s="591" t="s">
        <v>55</v>
      </c>
      <c r="H79" s="592"/>
      <c r="I79" s="592"/>
      <c r="J79" s="593"/>
      <c r="K79" s="253">
        <v>45561</v>
      </c>
      <c r="L79" s="266" t="s">
        <v>732</v>
      </c>
      <c r="M79" s="76"/>
      <c r="N79" s="76"/>
      <c r="O79" s="76"/>
      <c r="P79" s="76"/>
    </row>
    <row r="80" spans="1:16" ht="15">
      <c r="A80" s="75">
        <v>68</v>
      </c>
      <c r="B80" s="216" t="s">
        <v>103</v>
      </c>
      <c r="C80" s="441" t="s">
        <v>224</v>
      </c>
      <c r="D80" s="236" t="s">
        <v>697</v>
      </c>
      <c r="E80" s="254">
        <v>45554</v>
      </c>
      <c r="F80" s="260">
        <v>41.37</v>
      </c>
      <c r="G80" s="591" t="s">
        <v>55</v>
      </c>
      <c r="H80" s="592"/>
      <c r="I80" s="592"/>
      <c r="J80" s="593"/>
      <c r="K80" s="253">
        <v>45561</v>
      </c>
      <c r="L80" s="266" t="s">
        <v>722</v>
      </c>
      <c r="M80" s="76"/>
      <c r="N80" s="76"/>
      <c r="O80" s="76"/>
      <c r="P80" s="76"/>
    </row>
    <row r="81" spans="1:16" ht="15">
      <c r="A81" s="75">
        <v>69</v>
      </c>
      <c r="B81" s="216" t="s">
        <v>599</v>
      </c>
      <c r="C81" s="441" t="s">
        <v>225</v>
      </c>
      <c r="D81" s="236" t="s">
        <v>697</v>
      </c>
      <c r="E81" s="254">
        <v>45554</v>
      </c>
      <c r="F81" s="260">
        <v>37.64</v>
      </c>
      <c r="G81" s="591" t="s">
        <v>55</v>
      </c>
      <c r="H81" s="592"/>
      <c r="I81" s="592"/>
      <c r="J81" s="593"/>
      <c r="K81" s="253">
        <v>45559</v>
      </c>
      <c r="L81" s="266" t="s">
        <v>731</v>
      </c>
      <c r="M81" s="76"/>
      <c r="N81" s="76"/>
      <c r="O81" s="76"/>
      <c r="P81" s="76"/>
    </row>
    <row r="82" spans="1:16" ht="15">
      <c r="A82" s="75">
        <v>70</v>
      </c>
      <c r="B82" s="216" t="s">
        <v>496</v>
      </c>
      <c r="C82" s="441" t="s">
        <v>195</v>
      </c>
      <c r="D82" s="236" t="s">
        <v>697</v>
      </c>
      <c r="E82" s="254">
        <v>45555</v>
      </c>
      <c r="F82" s="260">
        <v>37.64</v>
      </c>
      <c r="G82" s="591" t="s">
        <v>55</v>
      </c>
      <c r="H82" s="592"/>
      <c r="I82" s="592"/>
      <c r="J82" s="593"/>
      <c r="K82" s="253">
        <v>45561</v>
      </c>
      <c r="L82" s="266" t="s">
        <v>730</v>
      </c>
      <c r="M82" s="76"/>
      <c r="N82" s="76"/>
      <c r="O82" s="76"/>
      <c r="P82" s="76"/>
    </row>
    <row r="83" spans="1:16" ht="15">
      <c r="A83" s="75">
        <v>71</v>
      </c>
      <c r="B83" s="216" t="s">
        <v>636</v>
      </c>
      <c r="C83" s="441" t="s">
        <v>227</v>
      </c>
      <c r="D83" s="236" t="s">
        <v>697</v>
      </c>
      <c r="E83" s="254">
        <v>45557</v>
      </c>
      <c r="F83" s="260">
        <v>41.37</v>
      </c>
      <c r="G83" s="591" t="s">
        <v>55</v>
      </c>
      <c r="H83" s="592"/>
      <c r="I83" s="592"/>
      <c r="J83" s="593"/>
      <c r="K83" s="253">
        <v>45561</v>
      </c>
      <c r="L83" s="266" t="s">
        <v>728</v>
      </c>
      <c r="M83" s="76"/>
      <c r="N83" s="76"/>
      <c r="O83" s="76"/>
      <c r="P83" s="76"/>
    </row>
    <row r="84" spans="1:16" ht="15">
      <c r="A84" s="75">
        <v>72</v>
      </c>
      <c r="B84" s="216" t="s">
        <v>528</v>
      </c>
      <c r="C84" s="441" t="s">
        <v>224</v>
      </c>
      <c r="D84" s="236" t="s">
        <v>697</v>
      </c>
      <c r="E84" s="254">
        <v>45557</v>
      </c>
      <c r="F84" s="260">
        <v>41.37</v>
      </c>
      <c r="G84" s="591" t="s">
        <v>55</v>
      </c>
      <c r="H84" s="592"/>
      <c r="I84" s="592"/>
      <c r="J84" s="593"/>
      <c r="K84" s="253">
        <v>45565</v>
      </c>
      <c r="L84" s="266" t="s">
        <v>734</v>
      </c>
      <c r="M84" s="76"/>
      <c r="N84" s="76"/>
      <c r="O84" s="76"/>
      <c r="P84" s="76"/>
    </row>
    <row r="85" spans="1:16" ht="15">
      <c r="A85" s="75">
        <v>73</v>
      </c>
      <c r="B85" s="216" t="s">
        <v>597</v>
      </c>
      <c r="C85" s="441" t="s">
        <v>225</v>
      </c>
      <c r="D85" s="236" t="s">
        <v>697</v>
      </c>
      <c r="E85" s="254">
        <v>45558</v>
      </c>
      <c r="F85" s="260">
        <v>37.64</v>
      </c>
      <c r="G85" s="591" t="s">
        <v>55</v>
      </c>
      <c r="H85" s="592"/>
      <c r="I85" s="592"/>
      <c r="J85" s="593"/>
      <c r="K85" s="253">
        <v>45565</v>
      </c>
      <c r="L85" s="266" t="s">
        <v>729</v>
      </c>
      <c r="M85" s="76"/>
      <c r="N85" s="76"/>
      <c r="O85" s="76"/>
      <c r="P85" s="76"/>
    </row>
    <row r="86" spans="1:16" ht="15">
      <c r="A86" s="75">
        <v>74</v>
      </c>
      <c r="B86" s="216" t="s">
        <v>583</v>
      </c>
      <c r="C86" s="441" t="s">
        <v>225</v>
      </c>
      <c r="D86" s="236" t="s">
        <v>697</v>
      </c>
      <c r="E86" s="254">
        <v>45560</v>
      </c>
      <c r="F86" s="260">
        <v>37.64</v>
      </c>
      <c r="G86" s="591" t="s">
        <v>55</v>
      </c>
      <c r="H86" s="592"/>
      <c r="I86" s="592"/>
      <c r="J86" s="593"/>
      <c r="K86" s="253">
        <v>45565</v>
      </c>
      <c r="L86" s="266" t="s">
        <v>727</v>
      </c>
      <c r="M86" s="76"/>
      <c r="N86" s="76"/>
      <c r="O86" s="76"/>
      <c r="P86" s="76"/>
    </row>
    <row r="87" spans="1:16" ht="15">
      <c r="A87" s="75">
        <v>75</v>
      </c>
      <c r="B87" s="216" t="s">
        <v>611</v>
      </c>
      <c r="C87" s="442" t="s">
        <v>227</v>
      </c>
      <c r="D87" s="236" t="s">
        <v>697</v>
      </c>
      <c r="E87" s="254">
        <v>45561</v>
      </c>
      <c r="F87" s="260">
        <v>41.37</v>
      </c>
      <c r="G87" s="591" t="s">
        <v>55</v>
      </c>
      <c r="H87" s="592"/>
      <c r="I87" s="592"/>
      <c r="J87" s="593"/>
      <c r="K87" s="253">
        <v>45565</v>
      </c>
      <c r="L87" s="266" t="s">
        <v>728</v>
      </c>
      <c r="M87" s="76"/>
      <c r="N87" s="76"/>
      <c r="O87" s="76"/>
      <c r="P87" s="76"/>
    </row>
    <row r="88" spans="1:16" ht="15">
      <c r="A88" s="75">
        <v>76</v>
      </c>
      <c r="B88" s="216" t="s">
        <v>629</v>
      </c>
      <c r="C88" s="442" t="s">
        <v>225</v>
      </c>
      <c r="D88" s="236" t="s">
        <v>697</v>
      </c>
      <c r="E88" s="254">
        <v>45562</v>
      </c>
      <c r="F88" s="260">
        <v>37.64</v>
      </c>
      <c r="G88" s="591" t="s">
        <v>55</v>
      </c>
      <c r="H88" s="592"/>
      <c r="I88" s="592"/>
      <c r="J88" s="593"/>
      <c r="K88" s="253">
        <v>45571</v>
      </c>
      <c r="L88" s="266" t="s">
        <v>729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2" t="s">
        <v>195</v>
      </c>
      <c r="D89" s="236" t="s">
        <v>697</v>
      </c>
      <c r="E89" s="253">
        <v>45544</v>
      </c>
      <c r="F89" s="260">
        <v>37.64</v>
      </c>
      <c r="G89" s="591" t="s">
        <v>55</v>
      </c>
      <c r="H89" s="592"/>
      <c r="I89" s="592"/>
      <c r="J89" s="593"/>
      <c r="K89" s="253">
        <v>45575</v>
      </c>
      <c r="L89" s="266" t="s">
        <v>736</v>
      </c>
      <c r="M89" s="76"/>
      <c r="N89" s="76"/>
      <c r="O89" s="76"/>
      <c r="P89" s="76"/>
    </row>
    <row r="90" spans="1:16" ht="15">
      <c r="A90" s="75">
        <v>78</v>
      </c>
      <c r="B90" s="216" t="s">
        <v>87</v>
      </c>
      <c r="C90" s="441" t="s">
        <v>224</v>
      </c>
      <c r="D90" s="236" t="s">
        <v>697</v>
      </c>
      <c r="E90" s="254">
        <v>45555</v>
      </c>
      <c r="F90" s="260">
        <v>41.37</v>
      </c>
      <c r="G90" s="591" t="s">
        <v>55</v>
      </c>
      <c r="H90" s="592"/>
      <c r="I90" s="592"/>
      <c r="J90" s="593"/>
      <c r="K90" s="253">
        <v>45566</v>
      </c>
      <c r="L90" s="266" t="s">
        <v>739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1" t="s">
        <v>224</v>
      </c>
      <c r="D91" s="236" t="s">
        <v>697</v>
      </c>
      <c r="E91" s="254">
        <v>45560</v>
      </c>
      <c r="F91" s="260">
        <v>41.37</v>
      </c>
      <c r="G91" s="591" t="s">
        <v>55</v>
      </c>
      <c r="H91" s="592"/>
      <c r="I91" s="592"/>
      <c r="J91" s="593"/>
      <c r="K91" s="253">
        <v>45568</v>
      </c>
      <c r="L91" s="266" t="s">
        <v>737</v>
      </c>
      <c r="M91" s="76"/>
      <c r="N91" s="76"/>
      <c r="O91" s="76"/>
      <c r="P91" s="76"/>
    </row>
    <row r="92" spans="1:16" ht="15">
      <c r="A92" s="75">
        <v>80</v>
      </c>
      <c r="B92" s="216" t="s">
        <v>577</v>
      </c>
      <c r="C92" s="441" t="s">
        <v>225</v>
      </c>
      <c r="D92" s="236" t="s">
        <v>697</v>
      </c>
      <c r="E92" s="254">
        <v>45561</v>
      </c>
      <c r="F92" s="260">
        <v>37.64</v>
      </c>
      <c r="G92" s="591" t="s">
        <v>55</v>
      </c>
      <c r="H92" s="592"/>
      <c r="I92" s="592"/>
      <c r="J92" s="593"/>
      <c r="K92" s="253">
        <v>45571</v>
      </c>
      <c r="L92" s="266" t="s">
        <v>731</v>
      </c>
      <c r="M92" s="76"/>
      <c r="N92" s="76"/>
      <c r="O92" s="76"/>
      <c r="P92" s="76"/>
    </row>
    <row r="93" spans="1:16" ht="15">
      <c r="A93" s="75">
        <v>81</v>
      </c>
      <c r="B93" s="216" t="s">
        <v>518</v>
      </c>
      <c r="C93" s="441" t="s">
        <v>224</v>
      </c>
      <c r="D93" s="236" t="s">
        <v>697</v>
      </c>
      <c r="E93" s="254">
        <v>45561</v>
      </c>
      <c r="F93" s="260">
        <v>41.37</v>
      </c>
      <c r="G93" s="591" t="s">
        <v>55</v>
      </c>
      <c r="H93" s="592"/>
      <c r="I93" s="592"/>
      <c r="J93" s="593"/>
      <c r="K93" s="253">
        <v>45568</v>
      </c>
      <c r="L93" s="266" t="s">
        <v>740</v>
      </c>
      <c r="M93" s="76"/>
      <c r="N93" s="76"/>
      <c r="O93" s="76"/>
      <c r="P93" s="76"/>
    </row>
    <row r="94" spans="1:16" ht="15">
      <c r="A94" s="75">
        <v>82</v>
      </c>
      <c r="B94" s="216" t="s">
        <v>89</v>
      </c>
      <c r="C94" s="441" t="s">
        <v>195</v>
      </c>
      <c r="D94" s="236" t="s">
        <v>697</v>
      </c>
      <c r="E94" s="254">
        <v>45562</v>
      </c>
      <c r="F94" s="260">
        <v>37.64</v>
      </c>
      <c r="G94" s="591" t="s">
        <v>55</v>
      </c>
      <c r="H94" s="592"/>
      <c r="I94" s="592"/>
      <c r="J94" s="593"/>
      <c r="K94" s="253">
        <v>45566</v>
      </c>
      <c r="L94" s="266" t="s">
        <v>732</v>
      </c>
      <c r="M94" s="76"/>
      <c r="N94" s="76"/>
      <c r="O94" s="76"/>
      <c r="P94" s="76"/>
    </row>
    <row r="95" spans="1:16" ht="15">
      <c r="A95" s="75">
        <v>83</v>
      </c>
      <c r="B95" s="9" t="s">
        <v>564</v>
      </c>
      <c r="C95" s="442" t="s">
        <v>195</v>
      </c>
      <c r="D95" s="236" t="s">
        <v>697</v>
      </c>
      <c r="E95" s="254">
        <v>45566</v>
      </c>
      <c r="F95" s="260">
        <v>37.64</v>
      </c>
      <c r="G95" s="591" t="s">
        <v>55</v>
      </c>
      <c r="H95" s="592"/>
      <c r="I95" s="592"/>
      <c r="J95" s="593"/>
      <c r="K95" s="253">
        <v>45569</v>
      </c>
      <c r="L95" s="266" t="s">
        <v>728</v>
      </c>
      <c r="M95" s="76"/>
      <c r="N95" s="76"/>
      <c r="O95" s="76"/>
      <c r="P95" s="76"/>
    </row>
    <row r="96" spans="1:16" ht="15">
      <c r="A96" s="75">
        <v>84</v>
      </c>
      <c r="B96" s="221" t="s">
        <v>493</v>
      </c>
      <c r="C96" s="442" t="s">
        <v>224</v>
      </c>
      <c r="D96" s="236" t="s">
        <v>697</v>
      </c>
      <c r="E96" s="253">
        <v>45566</v>
      </c>
      <c r="F96" s="260">
        <v>41.37</v>
      </c>
      <c r="G96" s="591" t="s">
        <v>55</v>
      </c>
      <c r="H96" s="592"/>
      <c r="I96" s="592"/>
      <c r="J96" s="593"/>
      <c r="K96" s="253">
        <v>45572</v>
      </c>
      <c r="L96" s="266" t="s">
        <v>727</v>
      </c>
      <c r="M96" s="76"/>
      <c r="N96" s="76"/>
      <c r="O96" s="76"/>
      <c r="P96" s="76"/>
    </row>
    <row r="97" spans="1:16" ht="15">
      <c r="A97" s="75">
        <v>85</v>
      </c>
      <c r="B97" s="210" t="s">
        <v>593</v>
      </c>
      <c r="C97" s="441" t="s">
        <v>225</v>
      </c>
      <c r="D97" s="236" t="s">
        <v>697</v>
      </c>
      <c r="E97" s="253">
        <v>45566</v>
      </c>
      <c r="F97" s="260">
        <v>37.64</v>
      </c>
      <c r="G97" s="591" t="s">
        <v>55</v>
      </c>
      <c r="H97" s="592"/>
      <c r="I97" s="592"/>
      <c r="J97" s="593"/>
      <c r="K97" s="253">
        <v>45572</v>
      </c>
      <c r="L97" s="10" t="s">
        <v>734</v>
      </c>
      <c r="M97" s="76"/>
      <c r="N97" s="76"/>
      <c r="O97" s="76"/>
      <c r="P97" s="76"/>
    </row>
    <row r="98" spans="1:16" ht="15">
      <c r="A98" s="75">
        <v>86</v>
      </c>
      <c r="B98" s="210" t="s">
        <v>492</v>
      </c>
      <c r="C98" s="441" t="s">
        <v>195</v>
      </c>
      <c r="D98" s="236" t="s">
        <v>697</v>
      </c>
      <c r="E98" s="253">
        <v>45568</v>
      </c>
      <c r="F98" s="260">
        <v>37.64</v>
      </c>
      <c r="G98" s="591" t="s">
        <v>55</v>
      </c>
      <c r="H98" s="592"/>
      <c r="I98" s="592"/>
      <c r="J98" s="593"/>
      <c r="K98" s="253">
        <v>45572</v>
      </c>
      <c r="L98" s="10" t="s">
        <v>738</v>
      </c>
      <c r="M98" s="76"/>
      <c r="N98" s="76"/>
      <c r="O98" s="76"/>
      <c r="P98" s="76"/>
    </row>
    <row r="99" spans="1:16" ht="15">
      <c r="A99" s="75">
        <v>87</v>
      </c>
      <c r="B99" s="210" t="s">
        <v>581</v>
      </c>
      <c r="C99" s="442" t="s">
        <v>224</v>
      </c>
      <c r="D99" s="236" t="s">
        <v>697</v>
      </c>
      <c r="E99" s="253">
        <v>45569</v>
      </c>
      <c r="F99" s="260">
        <v>41.37</v>
      </c>
      <c r="G99" s="591" t="s">
        <v>55</v>
      </c>
      <c r="H99" s="592"/>
      <c r="I99" s="592"/>
      <c r="J99" s="593"/>
      <c r="K99" s="253">
        <v>45573</v>
      </c>
      <c r="L99" s="10" t="s">
        <v>728</v>
      </c>
      <c r="M99" s="76"/>
      <c r="N99" s="76"/>
      <c r="O99" s="76"/>
      <c r="P99" s="76"/>
    </row>
    <row r="100" spans="1:16" ht="15">
      <c r="A100" s="75">
        <v>88</v>
      </c>
      <c r="B100" s="222" t="s">
        <v>95</v>
      </c>
      <c r="C100" s="441" t="s">
        <v>224</v>
      </c>
      <c r="D100" s="236" t="s">
        <v>697</v>
      </c>
      <c r="E100" s="253">
        <v>45569</v>
      </c>
      <c r="F100" s="260">
        <v>41.37</v>
      </c>
      <c r="G100" s="591" t="s">
        <v>55</v>
      </c>
      <c r="H100" s="592"/>
      <c r="I100" s="592"/>
      <c r="J100" s="593"/>
      <c r="K100" s="253">
        <v>45575</v>
      </c>
      <c r="L100" s="266" t="s">
        <v>732</v>
      </c>
      <c r="M100" s="76"/>
      <c r="N100" s="76"/>
      <c r="O100" s="76"/>
      <c r="P100" s="76"/>
    </row>
    <row r="101" spans="1:16" ht="15">
      <c r="A101" s="75">
        <v>89</v>
      </c>
      <c r="B101" s="211" t="s">
        <v>585</v>
      </c>
      <c r="C101" s="441" t="s">
        <v>225</v>
      </c>
      <c r="D101" s="236" t="s">
        <v>697</v>
      </c>
      <c r="E101" s="253">
        <v>45569</v>
      </c>
      <c r="F101" s="260">
        <v>37.64</v>
      </c>
      <c r="G101" s="591" t="s">
        <v>55</v>
      </c>
      <c r="H101" s="592"/>
      <c r="I101" s="592"/>
      <c r="J101" s="593"/>
      <c r="K101" s="253">
        <v>45573</v>
      </c>
      <c r="L101" s="266" t="s">
        <v>722</v>
      </c>
      <c r="M101" s="76"/>
      <c r="N101" s="76"/>
      <c r="O101" s="76"/>
      <c r="P101" s="76"/>
    </row>
    <row r="102" spans="1:16" ht="15">
      <c r="A102" s="75">
        <v>90</v>
      </c>
      <c r="B102" s="216" t="s">
        <v>522</v>
      </c>
      <c r="C102" s="441" t="s">
        <v>195</v>
      </c>
      <c r="D102" s="236" t="s">
        <v>697</v>
      </c>
      <c r="E102" s="253">
        <v>45569</v>
      </c>
      <c r="F102" s="260">
        <v>37.64</v>
      </c>
      <c r="G102" s="591" t="s">
        <v>55</v>
      </c>
      <c r="H102" s="592"/>
      <c r="I102" s="592"/>
      <c r="J102" s="593"/>
      <c r="K102" s="253">
        <v>45573</v>
      </c>
      <c r="L102" s="266" t="s">
        <v>740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2" t="s">
        <v>224</v>
      </c>
      <c r="D103" s="236" t="s">
        <v>697</v>
      </c>
      <c r="E103" s="253">
        <v>45569</v>
      </c>
      <c r="F103" s="260">
        <v>41.37</v>
      </c>
      <c r="G103" s="591" t="s">
        <v>55</v>
      </c>
      <c r="H103" s="592"/>
      <c r="I103" s="592"/>
      <c r="J103" s="593"/>
      <c r="K103" s="253">
        <v>45575</v>
      </c>
      <c r="L103" s="266" t="s">
        <v>739</v>
      </c>
      <c r="M103" s="76"/>
      <c r="N103" s="76"/>
      <c r="O103" s="76"/>
      <c r="P103" s="76"/>
    </row>
    <row r="104" spans="1:16" ht="15">
      <c r="A104" s="75">
        <v>92</v>
      </c>
      <c r="B104" s="216" t="s">
        <v>86</v>
      </c>
      <c r="C104" s="441" t="s">
        <v>225</v>
      </c>
      <c r="D104" s="236" t="s">
        <v>697</v>
      </c>
      <c r="E104" s="253">
        <v>45569</v>
      </c>
      <c r="F104" s="260">
        <v>37.64</v>
      </c>
      <c r="G104" s="591" t="s">
        <v>55</v>
      </c>
      <c r="H104" s="592"/>
      <c r="I104" s="592"/>
      <c r="J104" s="593"/>
      <c r="K104" s="253">
        <v>45575</v>
      </c>
      <c r="L104" s="266" t="s">
        <v>741</v>
      </c>
      <c r="M104" s="76"/>
      <c r="N104" s="76"/>
      <c r="O104" s="76"/>
      <c r="P104" s="76"/>
    </row>
    <row r="105" spans="1:16" ht="15">
      <c r="A105" s="75">
        <v>93</v>
      </c>
      <c r="B105" s="216" t="s">
        <v>503</v>
      </c>
      <c r="C105" s="441" t="s">
        <v>195</v>
      </c>
      <c r="D105" s="236" t="s">
        <v>697</v>
      </c>
      <c r="E105" s="253">
        <v>45573</v>
      </c>
      <c r="F105" s="260">
        <v>37.64</v>
      </c>
      <c r="G105" s="591" t="s">
        <v>55</v>
      </c>
      <c r="H105" s="592"/>
      <c r="I105" s="592"/>
      <c r="J105" s="593"/>
      <c r="K105" s="253">
        <v>45575</v>
      </c>
      <c r="L105" s="266" t="s">
        <v>738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2" t="s">
        <v>224</v>
      </c>
      <c r="D106" s="236" t="s">
        <v>697</v>
      </c>
      <c r="E106" s="253">
        <v>45573</v>
      </c>
      <c r="F106" s="260">
        <v>41.37</v>
      </c>
      <c r="G106" s="591" t="s">
        <v>55</v>
      </c>
      <c r="H106" s="592"/>
      <c r="I106" s="592"/>
      <c r="J106" s="593"/>
      <c r="K106" s="253">
        <v>45578</v>
      </c>
      <c r="L106" s="266" t="s">
        <v>740</v>
      </c>
      <c r="M106" s="76"/>
      <c r="N106" s="76"/>
      <c r="O106" s="76"/>
      <c r="P106" s="76"/>
    </row>
    <row r="107" spans="1:16" ht="15">
      <c r="A107" s="75">
        <v>95</v>
      </c>
      <c r="B107" s="216" t="s">
        <v>502</v>
      </c>
      <c r="C107" s="442" t="s">
        <v>224</v>
      </c>
      <c r="D107" s="236" t="s">
        <v>697</v>
      </c>
      <c r="E107" s="253">
        <v>45575</v>
      </c>
      <c r="F107" s="260">
        <v>41.37</v>
      </c>
      <c r="G107" s="591" t="s">
        <v>55</v>
      </c>
      <c r="H107" s="592"/>
      <c r="I107" s="592"/>
      <c r="J107" s="593"/>
      <c r="K107" s="253">
        <v>45578</v>
      </c>
      <c r="L107" s="266" t="s">
        <v>727</v>
      </c>
      <c r="M107" s="76"/>
      <c r="N107" s="76"/>
      <c r="O107" s="76"/>
      <c r="P107" s="76"/>
    </row>
    <row r="108" spans="1:16" ht="15">
      <c r="A108" s="75">
        <v>96</v>
      </c>
      <c r="B108" s="216" t="s">
        <v>470</v>
      </c>
      <c r="C108" s="441" t="s">
        <v>225</v>
      </c>
      <c r="D108" s="236" t="s">
        <v>697</v>
      </c>
      <c r="E108" s="253">
        <v>45575</v>
      </c>
      <c r="F108" s="260">
        <v>37.64</v>
      </c>
      <c r="G108" s="591" t="s">
        <v>55</v>
      </c>
      <c r="H108" s="592"/>
      <c r="I108" s="592"/>
      <c r="J108" s="593"/>
      <c r="K108" s="253">
        <v>45579</v>
      </c>
      <c r="L108" s="266" t="s">
        <v>729</v>
      </c>
      <c r="M108" s="76"/>
      <c r="N108" s="76"/>
      <c r="O108" s="76"/>
      <c r="P108" s="76"/>
    </row>
    <row r="109" spans="1:16" ht="15">
      <c r="A109" s="75">
        <v>97</v>
      </c>
      <c r="B109" s="216" t="s">
        <v>535</v>
      </c>
      <c r="C109" s="441" t="s">
        <v>225</v>
      </c>
      <c r="D109" s="236" t="s">
        <v>697</v>
      </c>
      <c r="E109" s="253">
        <v>45575</v>
      </c>
      <c r="F109" s="260">
        <v>37.64</v>
      </c>
      <c r="G109" s="591" t="s">
        <v>55</v>
      </c>
      <c r="H109" s="592"/>
      <c r="I109" s="592"/>
      <c r="J109" s="593"/>
      <c r="K109" s="253">
        <v>45579</v>
      </c>
      <c r="L109" s="10" t="s">
        <v>728</v>
      </c>
      <c r="M109" s="76"/>
      <c r="N109" s="76"/>
      <c r="O109" s="76"/>
      <c r="P109" s="76"/>
    </row>
    <row r="110" spans="1:16" ht="15">
      <c r="A110" s="75">
        <v>98</v>
      </c>
      <c r="B110" s="216" t="s">
        <v>586</v>
      </c>
      <c r="C110" s="441" t="s">
        <v>225</v>
      </c>
      <c r="D110" s="236" t="s">
        <v>697</v>
      </c>
      <c r="E110" s="253">
        <v>45575</v>
      </c>
      <c r="F110" s="260">
        <v>37.64</v>
      </c>
      <c r="G110" s="591" t="s">
        <v>55</v>
      </c>
      <c r="H110" s="592"/>
      <c r="I110" s="592"/>
      <c r="J110" s="593"/>
      <c r="K110" s="253">
        <v>45579</v>
      </c>
      <c r="L110" s="266" t="s">
        <v>734</v>
      </c>
      <c r="M110" s="76"/>
      <c r="N110" s="76"/>
      <c r="O110" s="76"/>
      <c r="P110" s="76"/>
    </row>
    <row r="111" spans="1:16" ht="15">
      <c r="A111" s="75">
        <v>99</v>
      </c>
      <c r="B111" s="216" t="s">
        <v>531</v>
      </c>
      <c r="C111" s="441" t="s">
        <v>195</v>
      </c>
      <c r="D111" s="236" t="s">
        <v>697</v>
      </c>
      <c r="E111" s="253">
        <v>45575</v>
      </c>
      <c r="F111" s="260">
        <v>37.64</v>
      </c>
      <c r="G111" s="591" t="s">
        <v>55</v>
      </c>
      <c r="H111" s="592"/>
      <c r="I111" s="592"/>
      <c r="J111" s="593"/>
      <c r="K111" s="253">
        <v>45581</v>
      </c>
      <c r="L111" s="266" t="s">
        <v>738</v>
      </c>
      <c r="M111" s="76"/>
      <c r="N111" s="76"/>
      <c r="O111" s="76"/>
      <c r="P111" s="76"/>
    </row>
    <row r="112" spans="1:16" ht="15">
      <c r="A112" s="75">
        <v>100</v>
      </c>
      <c r="B112" s="216" t="s">
        <v>513</v>
      </c>
      <c r="C112" s="441" t="s">
        <v>195</v>
      </c>
      <c r="D112" s="236" t="s">
        <v>697</v>
      </c>
      <c r="E112" s="253">
        <v>45577</v>
      </c>
      <c r="F112" s="260">
        <v>37.64</v>
      </c>
      <c r="G112" s="591" t="s">
        <v>55</v>
      </c>
      <c r="H112" s="592"/>
      <c r="I112" s="592"/>
      <c r="J112" s="593"/>
      <c r="K112" s="253">
        <v>45586</v>
      </c>
      <c r="L112" s="266" t="s">
        <v>726</v>
      </c>
      <c r="M112" s="76"/>
      <c r="N112" s="76"/>
      <c r="O112" s="76"/>
      <c r="P112" s="76"/>
    </row>
    <row r="113" spans="1:16" ht="15">
      <c r="A113" s="75">
        <v>101</v>
      </c>
      <c r="B113" s="216" t="s">
        <v>507</v>
      </c>
      <c r="C113" s="441" t="s">
        <v>195</v>
      </c>
      <c r="D113" s="236" t="s">
        <v>697</v>
      </c>
      <c r="E113" s="253">
        <v>45577</v>
      </c>
      <c r="F113" s="260">
        <v>37.64</v>
      </c>
      <c r="G113" s="591" t="s">
        <v>55</v>
      </c>
      <c r="H113" s="592"/>
      <c r="I113" s="592"/>
      <c r="J113" s="593"/>
      <c r="K113" s="253">
        <v>45581</v>
      </c>
      <c r="L113" s="266" t="s">
        <v>731</v>
      </c>
      <c r="M113" s="76"/>
      <c r="N113" s="76"/>
      <c r="O113" s="76"/>
      <c r="P113" s="76"/>
    </row>
    <row r="114" spans="1:16" ht="15">
      <c r="A114" s="75">
        <v>102</v>
      </c>
      <c r="B114" s="216" t="s">
        <v>94</v>
      </c>
      <c r="C114" s="441" t="s">
        <v>225</v>
      </c>
      <c r="D114" s="236" t="s">
        <v>697</v>
      </c>
      <c r="E114" s="253">
        <v>45577</v>
      </c>
      <c r="F114" s="260">
        <v>37.64</v>
      </c>
      <c r="G114" s="591" t="s">
        <v>55</v>
      </c>
      <c r="H114" s="592"/>
      <c r="I114" s="592"/>
      <c r="J114" s="593"/>
      <c r="K114" s="253">
        <v>45586</v>
      </c>
      <c r="L114" s="266" t="s">
        <v>732</v>
      </c>
      <c r="M114" s="76"/>
      <c r="N114" s="76"/>
      <c r="O114" s="76"/>
      <c r="P114" s="76"/>
    </row>
    <row r="115" spans="1:16" ht="15">
      <c r="A115" s="75">
        <v>103</v>
      </c>
      <c r="B115" s="216" t="s">
        <v>590</v>
      </c>
      <c r="C115" s="441" t="s">
        <v>225</v>
      </c>
      <c r="D115" s="238" t="s">
        <v>699</v>
      </c>
      <c r="E115" s="253">
        <v>45578</v>
      </c>
      <c r="F115" s="260">
        <v>58.51</v>
      </c>
      <c r="G115" s="591" t="s">
        <v>55</v>
      </c>
      <c r="H115" s="592"/>
      <c r="I115" s="592"/>
      <c r="J115" s="593"/>
      <c r="K115" s="253">
        <v>45587</v>
      </c>
      <c r="L115" s="266" t="s">
        <v>722</v>
      </c>
      <c r="M115" s="76"/>
      <c r="N115" s="76"/>
      <c r="O115" s="76"/>
      <c r="P115" s="76"/>
    </row>
    <row r="116" spans="1:16" ht="15">
      <c r="A116" s="75">
        <v>104</v>
      </c>
      <c r="B116" s="216" t="s">
        <v>471</v>
      </c>
      <c r="C116" s="441" t="s">
        <v>195</v>
      </c>
      <c r="D116" s="236" t="s">
        <v>697</v>
      </c>
      <c r="E116" s="253">
        <v>45578</v>
      </c>
      <c r="F116" s="260">
        <v>37.64</v>
      </c>
      <c r="G116" s="591" t="s">
        <v>55</v>
      </c>
      <c r="H116" s="592"/>
      <c r="I116" s="592"/>
      <c r="J116" s="593"/>
      <c r="K116" s="253">
        <v>45585</v>
      </c>
      <c r="L116" s="266" t="s">
        <v>727</v>
      </c>
      <c r="M116" s="76"/>
      <c r="N116" s="76"/>
      <c r="O116" s="76"/>
      <c r="P116" s="76"/>
    </row>
    <row r="117" spans="1:16" ht="15">
      <c r="A117" s="75">
        <v>105</v>
      </c>
      <c r="B117" s="216" t="s">
        <v>84</v>
      </c>
      <c r="C117" s="442" t="s">
        <v>224</v>
      </c>
      <c r="D117" s="236" t="s">
        <v>697</v>
      </c>
      <c r="E117" s="253">
        <v>45578</v>
      </c>
      <c r="F117" s="260">
        <v>41.37</v>
      </c>
      <c r="G117" s="591" t="s">
        <v>55</v>
      </c>
      <c r="H117" s="592"/>
      <c r="I117" s="592"/>
      <c r="J117" s="593"/>
      <c r="K117" s="253">
        <v>45583</v>
      </c>
      <c r="L117" s="266" t="s">
        <v>740</v>
      </c>
      <c r="M117" s="76"/>
      <c r="N117" s="76"/>
      <c r="O117" s="76"/>
      <c r="P117" s="76"/>
    </row>
    <row r="118" spans="1:16" ht="15">
      <c r="A118" s="75">
        <v>106</v>
      </c>
      <c r="B118" s="216" t="s">
        <v>74</v>
      </c>
      <c r="C118" s="441" t="s">
        <v>225</v>
      </c>
      <c r="D118" s="236" t="s">
        <v>697</v>
      </c>
      <c r="E118" s="253">
        <v>45578</v>
      </c>
      <c r="F118" s="260">
        <v>37.64</v>
      </c>
      <c r="G118" s="591" t="s">
        <v>55</v>
      </c>
      <c r="H118" s="592"/>
      <c r="I118" s="592"/>
      <c r="J118" s="593"/>
      <c r="K118" s="253">
        <v>45581</v>
      </c>
      <c r="L118" s="266" t="s">
        <v>741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2" t="s">
        <v>224</v>
      </c>
      <c r="D119" s="236" t="s">
        <v>697</v>
      </c>
      <c r="E119" s="253">
        <v>45578</v>
      </c>
      <c r="F119" s="260">
        <v>41.37</v>
      </c>
      <c r="G119" s="591" t="s">
        <v>55</v>
      </c>
      <c r="H119" s="592"/>
      <c r="I119" s="592"/>
      <c r="J119" s="593"/>
      <c r="K119" s="253">
        <v>45586</v>
      </c>
      <c r="L119" s="266" t="s">
        <v>739</v>
      </c>
      <c r="M119" s="76"/>
      <c r="N119" s="76"/>
      <c r="O119" s="76"/>
      <c r="P119" s="76"/>
    </row>
    <row r="120" spans="1:16" ht="15">
      <c r="A120" s="75">
        <v>108</v>
      </c>
      <c r="B120" s="216" t="s">
        <v>539</v>
      </c>
      <c r="C120" s="441" t="s">
        <v>225</v>
      </c>
      <c r="D120" s="236" t="s">
        <v>697</v>
      </c>
      <c r="E120" s="253">
        <v>45578</v>
      </c>
      <c r="F120" s="260">
        <v>37.64</v>
      </c>
      <c r="G120" s="591" t="s">
        <v>55</v>
      </c>
      <c r="H120" s="592"/>
      <c r="I120" s="592"/>
      <c r="J120" s="593"/>
      <c r="K120" s="253">
        <v>45583</v>
      </c>
      <c r="L120" s="266" t="s">
        <v>728</v>
      </c>
      <c r="M120" s="76"/>
      <c r="N120" s="76"/>
      <c r="O120" s="76"/>
      <c r="P120" s="76"/>
    </row>
    <row r="121" spans="1:16" ht="15">
      <c r="A121" s="75">
        <v>109</v>
      </c>
      <c r="B121" s="216" t="s">
        <v>481</v>
      </c>
      <c r="C121" s="442" t="s">
        <v>224</v>
      </c>
      <c r="D121" s="236" t="s">
        <v>697</v>
      </c>
      <c r="E121" s="253">
        <v>45581</v>
      </c>
      <c r="F121" s="260">
        <v>41.37</v>
      </c>
      <c r="G121" s="591" t="s">
        <v>55</v>
      </c>
      <c r="H121" s="592"/>
      <c r="I121" s="592"/>
      <c r="J121" s="593"/>
      <c r="K121" s="253">
        <v>45585</v>
      </c>
      <c r="L121" s="266" t="s">
        <v>738</v>
      </c>
      <c r="M121" s="76"/>
      <c r="N121" s="76"/>
      <c r="O121" s="76"/>
      <c r="P121" s="76"/>
    </row>
    <row r="122" spans="1:16" ht="15">
      <c r="A122" s="75">
        <v>110</v>
      </c>
      <c r="B122" s="216" t="s">
        <v>75</v>
      </c>
      <c r="C122" s="441" t="s">
        <v>225</v>
      </c>
      <c r="D122" s="236" t="s">
        <v>697</v>
      </c>
      <c r="E122" s="253">
        <v>45581</v>
      </c>
      <c r="F122" s="260">
        <v>37.64</v>
      </c>
      <c r="G122" s="591" t="s">
        <v>55</v>
      </c>
      <c r="H122" s="592"/>
      <c r="I122" s="592"/>
      <c r="J122" s="593"/>
      <c r="K122" s="253">
        <v>45585</v>
      </c>
      <c r="L122" s="266" t="s">
        <v>741</v>
      </c>
      <c r="M122" s="76"/>
      <c r="N122" s="76"/>
      <c r="O122" s="76"/>
      <c r="P122" s="76"/>
    </row>
    <row r="123" spans="1:16" ht="15">
      <c r="A123" s="75">
        <v>111</v>
      </c>
      <c r="B123" s="216" t="s">
        <v>463</v>
      </c>
      <c r="C123" s="442" t="s">
        <v>224</v>
      </c>
      <c r="D123" s="236" t="s">
        <v>697</v>
      </c>
      <c r="E123" s="253">
        <v>45582</v>
      </c>
      <c r="F123" s="260">
        <v>41.37</v>
      </c>
      <c r="G123" s="591" t="s">
        <v>55</v>
      </c>
      <c r="H123" s="592"/>
      <c r="I123" s="592"/>
      <c r="J123" s="593"/>
      <c r="K123" s="253">
        <v>45588</v>
      </c>
      <c r="L123" s="266" t="s">
        <v>729</v>
      </c>
      <c r="M123" s="76"/>
      <c r="N123" s="76"/>
      <c r="O123" s="76"/>
      <c r="P123" s="76"/>
    </row>
    <row r="124" spans="1:16" ht="15">
      <c r="A124" s="75">
        <v>112</v>
      </c>
      <c r="B124" s="216" t="s">
        <v>544</v>
      </c>
      <c r="C124" s="442" t="s">
        <v>224</v>
      </c>
      <c r="D124" s="236" t="s">
        <v>697</v>
      </c>
      <c r="E124" s="253">
        <v>45582</v>
      </c>
      <c r="F124" s="260">
        <v>41.37</v>
      </c>
      <c r="G124" s="591" t="s">
        <v>55</v>
      </c>
      <c r="H124" s="592"/>
      <c r="I124" s="592"/>
      <c r="J124" s="593"/>
      <c r="K124" s="253">
        <v>45591</v>
      </c>
      <c r="L124" s="266" t="s">
        <v>734</v>
      </c>
      <c r="M124" s="76"/>
      <c r="N124" s="76"/>
      <c r="O124" s="76"/>
      <c r="P124" s="76"/>
    </row>
    <row r="125" spans="1:16" ht="15">
      <c r="A125" s="75">
        <v>113</v>
      </c>
      <c r="B125" s="216" t="s">
        <v>634</v>
      </c>
      <c r="C125" s="442" t="s">
        <v>224</v>
      </c>
      <c r="D125" s="236" t="s">
        <v>697</v>
      </c>
      <c r="E125" s="253">
        <v>45582</v>
      </c>
      <c r="F125" s="260">
        <v>41.37</v>
      </c>
      <c r="G125" s="591" t="s">
        <v>55</v>
      </c>
      <c r="H125" s="592"/>
      <c r="I125" s="592"/>
      <c r="J125" s="593"/>
      <c r="K125" s="253">
        <v>45589</v>
      </c>
      <c r="L125" s="266" t="s">
        <v>730</v>
      </c>
      <c r="M125" s="76"/>
      <c r="N125" s="76"/>
      <c r="O125" s="76"/>
      <c r="P125" s="76"/>
    </row>
    <row r="126" spans="1:16" ht="15">
      <c r="A126" s="75">
        <v>114</v>
      </c>
      <c r="B126" s="216" t="s">
        <v>517</v>
      </c>
      <c r="C126" s="442" t="s">
        <v>224</v>
      </c>
      <c r="D126" s="236" t="s">
        <v>697</v>
      </c>
      <c r="E126" s="253">
        <v>45582</v>
      </c>
      <c r="F126" s="260">
        <v>41.37</v>
      </c>
      <c r="G126" s="591" t="s">
        <v>55</v>
      </c>
      <c r="H126" s="592"/>
      <c r="I126" s="592"/>
      <c r="J126" s="593"/>
      <c r="K126" s="253">
        <v>45589</v>
      </c>
      <c r="L126" s="266" t="s">
        <v>728</v>
      </c>
      <c r="M126" s="76"/>
      <c r="N126" s="76"/>
      <c r="O126" s="76"/>
      <c r="P126" s="76"/>
    </row>
    <row r="127" spans="1:16" ht="15">
      <c r="A127" s="75">
        <v>115</v>
      </c>
      <c r="B127" s="223" t="s">
        <v>78</v>
      </c>
      <c r="C127" s="442" t="s">
        <v>224</v>
      </c>
      <c r="D127" s="236" t="s">
        <v>697</v>
      </c>
      <c r="E127" s="253">
        <v>45582</v>
      </c>
      <c r="F127" s="260">
        <v>41.37</v>
      </c>
      <c r="G127" s="591" t="s">
        <v>55</v>
      </c>
      <c r="H127" s="592"/>
      <c r="I127" s="592"/>
      <c r="J127" s="593"/>
      <c r="K127" s="253">
        <v>45589</v>
      </c>
      <c r="L127" s="266" t="s">
        <v>736</v>
      </c>
      <c r="M127" s="76"/>
      <c r="N127" s="76"/>
      <c r="O127" s="76"/>
      <c r="P127" s="76"/>
    </row>
    <row r="128" spans="1:16" ht="15">
      <c r="A128" s="75">
        <v>116</v>
      </c>
      <c r="B128" s="221" t="s">
        <v>83</v>
      </c>
      <c r="C128" s="442" t="s">
        <v>224</v>
      </c>
      <c r="D128" s="236" t="s">
        <v>697</v>
      </c>
      <c r="E128" s="253">
        <v>45582</v>
      </c>
      <c r="F128" s="260">
        <v>41.37</v>
      </c>
      <c r="G128" s="591" t="s">
        <v>55</v>
      </c>
      <c r="H128" s="592"/>
      <c r="I128" s="592"/>
      <c r="J128" s="593"/>
      <c r="K128" s="253">
        <v>45588</v>
      </c>
      <c r="L128" s="266" t="s">
        <v>740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2" t="s">
        <v>224</v>
      </c>
      <c r="D129" s="236" t="s">
        <v>697</v>
      </c>
      <c r="E129" s="253">
        <v>45582</v>
      </c>
      <c r="F129" s="260">
        <v>41.37</v>
      </c>
      <c r="G129" s="591" t="s">
        <v>55</v>
      </c>
      <c r="H129" s="592"/>
      <c r="I129" s="592"/>
      <c r="J129" s="593"/>
      <c r="K129" s="253">
        <v>45589</v>
      </c>
      <c r="L129" s="266" t="s">
        <v>731</v>
      </c>
      <c r="M129" s="76"/>
      <c r="N129" s="76"/>
      <c r="O129" s="76"/>
      <c r="P129" s="76"/>
    </row>
    <row r="130" spans="1:16" ht="15">
      <c r="A130" s="75">
        <v>118</v>
      </c>
      <c r="B130" s="221" t="s">
        <v>475</v>
      </c>
      <c r="C130" s="445" t="s">
        <v>224</v>
      </c>
      <c r="D130" s="236" t="s">
        <v>697</v>
      </c>
      <c r="E130" s="253">
        <v>45584</v>
      </c>
      <c r="F130" s="260">
        <v>41.37</v>
      </c>
      <c r="G130" s="591" t="s">
        <v>55</v>
      </c>
      <c r="H130" s="592"/>
      <c r="I130" s="592"/>
      <c r="J130" s="593"/>
      <c r="K130" s="253">
        <v>45590</v>
      </c>
      <c r="L130" s="266" t="s">
        <v>742</v>
      </c>
      <c r="M130" s="76"/>
      <c r="N130" s="76"/>
      <c r="O130" s="76"/>
      <c r="P130" s="76"/>
    </row>
    <row r="131" spans="1:16" ht="15">
      <c r="A131" s="75">
        <v>119</v>
      </c>
      <c r="B131" s="223" t="s">
        <v>474</v>
      </c>
      <c r="C131" s="441" t="s">
        <v>195</v>
      </c>
      <c r="D131" s="236" t="s">
        <v>697</v>
      </c>
      <c r="E131" s="253">
        <v>45586</v>
      </c>
      <c r="F131" s="260">
        <v>37.64</v>
      </c>
      <c r="G131" s="591" t="s">
        <v>55</v>
      </c>
      <c r="H131" s="592"/>
      <c r="I131" s="592"/>
      <c r="J131" s="593"/>
      <c r="K131" s="253">
        <v>45589</v>
      </c>
      <c r="L131" s="266" t="s">
        <v>727</v>
      </c>
      <c r="M131" s="76"/>
      <c r="N131" s="76"/>
      <c r="O131" s="76"/>
      <c r="P131" s="76"/>
    </row>
    <row r="132" spans="1:16" ht="15">
      <c r="A132" s="75">
        <v>120</v>
      </c>
      <c r="B132" s="223" t="s">
        <v>560</v>
      </c>
      <c r="C132" s="441" t="s">
        <v>225</v>
      </c>
      <c r="D132" s="236" t="s">
        <v>697</v>
      </c>
      <c r="E132" s="253">
        <v>45587</v>
      </c>
      <c r="F132" s="260">
        <v>37.64</v>
      </c>
      <c r="G132" s="591" t="s">
        <v>55</v>
      </c>
      <c r="H132" s="592"/>
      <c r="I132" s="592"/>
      <c r="J132" s="593"/>
      <c r="K132" s="253">
        <v>45590</v>
      </c>
      <c r="L132" s="266" t="s">
        <v>738</v>
      </c>
      <c r="M132" s="76"/>
      <c r="N132" s="76"/>
      <c r="O132" s="76"/>
      <c r="P132" s="76"/>
    </row>
    <row r="133" spans="1:16" ht="15">
      <c r="A133" s="75">
        <v>121</v>
      </c>
      <c r="B133" s="224" t="s">
        <v>76</v>
      </c>
      <c r="C133" s="445" t="s">
        <v>224</v>
      </c>
      <c r="D133" s="236" t="s">
        <v>697</v>
      </c>
      <c r="E133" s="253">
        <v>45587</v>
      </c>
      <c r="F133" s="260">
        <v>41.37</v>
      </c>
      <c r="G133" s="591" t="s">
        <v>55</v>
      </c>
      <c r="H133" s="592"/>
      <c r="I133" s="592"/>
      <c r="J133" s="593"/>
      <c r="K133" s="253">
        <v>45591</v>
      </c>
      <c r="L133" s="266" t="s">
        <v>741</v>
      </c>
      <c r="M133" s="76"/>
      <c r="N133" s="76"/>
      <c r="O133" s="76"/>
      <c r="P133" s="76"/>
    </row>
    <row r="134" spans="1:16" ht="15">
      <c r="A134" s="75">
        <v>122</v>
      </c>
      <c r="B134" s="221" t="s">
        <v>82</v>
      </c>
      <c r="C134" s="441" t="s">
        <v>195</v>
      </c>
      <c r="D134" s="236" t="s">
        <v>697</v>
      </c>
      <c r="E134" s="253">
        <v>45589</v>
      </c>
      <c r="F134" s="260">
        <v>37.64</v>
      </c>
      <c r="G134" s="591" t="s">
        <v>55</v>
      </c>
      <c r="H134" s="592"/>
      <c r="I134" s="592"/>
      <c r="J134" s="593"/>
      <c r="K134" s="253">
        <v>45591</v>
      </c>
      <c r="L134" s="266" t="s">
        <v>740</v>
      </c>
      <c r="M134" s="76"/>
      <c r="N134" s="76"/>
      <c r="O134" s="76"/>
      <c r="P134" s="76"/>
    </row>
    <row r="135" spans="1:16" ht="15">
      <c r="A135" s="75">
        <v>123</v>
      </c>
      <c r="B135" s="221" t="s">
        <v>93</v>
      </c>
      <c r="C135" s="445" t="s">
        <v>224</v>
      </c>
      <c r="D135" s="236" t="s">
        <v>697</v>
      </c>
      <c r="E135" s="253">
        <v>45589</v>
      </c>
      <c r="F135" s="260">
        <v>41.37</v>
      </c>
      <c r="G135" s="591" t="s">
        <v>55</v>
      </c>
      <c r="H135" s="592"/>
      <c r="I135" s="592"/>
      <c r="J135" s="593"/>
      <c r="K135" s="253">
        <v>45591</v>
      </c>
      <c r="L135" s="266" t="s">
        <v>732</v>
      </c>
      <c r="M135" s="76"/>
      <c r="N135" s="76"/>
      <c r="O135" s="76"/>
      <c r="P135" s="76"/>
    </row>
    <row r="136" spans="1:16" ht="15">
      <c r="A136" s="75">
        <v>124</v>
      </c>
      <c r="B136" s="225" t="s">
        <v>467</v>
      </c>
      <c r="C136" s="441" t="s">
        <v>195</v>
      </c>
      <c r="D136" s="236" t="s">
        <v>697</v>
      </c>
      <c r="E136" s="253">
        <v>45589</v>
      </c>
      <c r="F136" s="260">
        <v>37.64</v>
      </c>
      <c r="G136" s="591" t="s">
        <v>55</v>
      </c>
      <c r="H136" s="592"/>
      <c r="I136" s="592"/>
      <c r="J136" s="593"/>
      <c r="K136" s="253">
        <v>45592</v>
      </c>
      <c r="L136" s="266" t="s">
        <v>729</v>
      </c>
      <c r="M136" s="76"/>
      <c r="N136" s="76"/>
      <c r="O136" s="76"/>
      <c r="P136" s="76"/>
    </row>
    <row r="137" spans="1:16" ht="15">
      <c r="A137" s="75">
        <v>125</v>
      </c>
      <c r="B137" s="225" t="s">
        <v>527</v>
      </c>
      <c r="C137" s="441" t="s">
        <v>195</v>
      </c>
      <c r="D137" s="236" t="s">
        <v>697</v>
      </c>
      <c r="E137" s="253">
        <v>45589</v>
      </c>
      <c r="F137" s="260">
        <v>37.64</v>
      </c>
      <c r="G137" s="591" t="s">
        <v>55</v>
      </c>
      <c r="H137" s="592"/>
      <c r="I137" s="592"/>
      <c r="J137" s="593"/>
      <c r="K137" s="253">
        <v>45592</v>
      </c>
      <c r="L137" s="266" t="s">
        <v>742</v>
      </c>
      <c r="M137" s="76"/>
      <c r="N137" s="76"/>
      <c r="O137" s="76"/>
      <c r="P137" s="76"/>
    </row>
    <row r="138" spans="1:16" ht="15">
      <c r="A138" s="75">
        <v>126</v>
      </c>
      <c r="B138" s="226" t="s">
        <v>459</v>
      </c>
      <c r="C138" s="445" t="s">
        <v>224</v>
      </c>
      <c r="D138" s="236" t="s">
        <v>697</v>
      </c>
      <c r="E138" s="253">
        <v>45589</v>
      </c>
      <c r="F138" s="260">
        <v>41.37</v>
      </c>
      <c r="G138" s="591" t="s">
        <v>55</v>
      </c>
      <c r="H138" s="592"/>
      <c r="I138" s="592"/>
      <c r="J138" s="593"/>
      <c r="K138" s="253">
        <v>45597</v>
      </c>
      <c r="L138" s="266" t="s">
        <v>727</v>
      </c>
      <c r="M138" s="76"/>
      <c r="N138" s="76"/>
      <c r="O138" s="76"/>
      <c r="P138" s="76"/>
    </row>
    <row r="139" spans="1:16" ht="15">
      <c r="A139" s="75">
        <v>127</v>
      </c>
      <c r="B139" s="227" t="s">
        <v>497</v>
      </c>
      <c r="C139" s="445" t="s">
        <v>224</v>
      </c>
      <c r="D139" s="236" t="s">
        <v>697</v>
      </c>
      <c r="E139" s="253">
        <v>45589</v>
      </c>
      <c r="F139" s="260">
        <v>41.37</v>
      </c>
      <c r="G139" s="591" t="s">
        <v>55</v>
      </c>
      <c r="H139" s="592"/>
      <c r="I139" s="592"/>
      <c r="J139" s="593"/>
      <c r="K139" s="253">
        <v>45597</v>
      </c>
      <c r="L139" s="266" t="s">
        <v>738</v>
      </c>
      <c r="M139" s="76"/>
      <c r="N139" s="76"/>
      <c r="O139" s="76"/>
      <c r="P139" s="76"/>
    </row>
    <row r="140" spans="1:16" ht="15">
      <c r="A140" s="75">
        <v>128</v>
      </c>
      <c r="B140" s="227" t="s">
        <v>510</v>
      </c>
      <c r="C140" s="441" t="s">
        <v>195</v>
      </c>
      <c r="D140" s="236" t="s">
        <v>697</v>
      </c>
      <c r="E140" s="253">
        <v>45589</v>
      </c>
      <c r="F140" s="260">
        <v>37.64</v>
      </c>
      <c r="G140" s="591" t="s">
        <v>55</v>
      </c>
      <c r="H140" s="592"/>
      <c r="I140" s="592"/>
      <c r="J140" s="593"/>
      <c r="K140" s="253">
        <v>45597</v>
      </c>
      <c r="L140" s="266" t="s">
        <v>728</v>
      </c>
      <c r="M140" s="76"/>
      <c r="N140" s="76"/>
      <c r="O140" s="76"/>
      <c r="P140" s="76"/>
    </row>
    <row r="141" spans="1:16" ht="15">
      <c r="A141" s="75">
        <v>129</v>
      </c>
      <c r="B141" s="226" t="s">
        <v>595</v>
      </c>
      <c r="C141" s="445" t="s">
        <v>224</v>
      </c>
      <c r="D141" s="238" t="s">
        <v>699</v>
      </c>
      <c r="E141" s="253">
        <v>45589</v>
      </c>
      <c r="F141" s="260">
        <v>61.059999999999995</v>
      </c>
      <c r="G141" s="591" t="s">
        <v>55</v>
      </c>
      <c r="H141" s="592"/>
      <c r="I141" s="592"/>
      <c r="J141" s="593"/>
      <c r="K141" s="253">
        <v>45597</v>
      </c>
      <c r="L141" s="266" t="s">
        <v>722</v>
      </c>
      <c r="M141" s="76"/>
      <c r="N141" s="76"/>
      <c r="O141" s="76"/>
      <c r="P141" s="76"/>
    </row>
    <row r="142" spans="1:16" ht="15">
      <c r="A142" s="75">
        <v>130</v>
      </c>
      <c r="B142" s="226" t="s">
        <v>520</v>
      </c>
      <c r="C142" s="441" t="s">
        <v>225</v>
      </c>
      <c r="D142" s="236" t="s">
        <v>697</v>
      </c>
      <c r="E142" s="253">
        <v>45589</v>
      </c>
      <c r="F142" s="260">
        <v>37.64</v>
      </c>
      <c r="G142" s="591" t="s">
        <v>55</v>
      </c>
      <c r="H142" s="592"/>
      <c r="I142" s="592"/>
      <c r="J142" s="593"/>
      <c r="K142" s="253">
        <v>45597</v>
      </c>
      <c r="L142" s="266" t="s">
        <v>726</v>
      </c>
      <c r="M142" s="76"/>
      <c r="N142" s="76"/>
      <c r="O142" s="76"/>
      <c r="P142" s="76"/>
    </row>
    <row r="143" spans="1:16" ht="15">
      <c r="A143" s="75">
        <v>131</v>
      </c>
      <c r="B143" s="226" t="s">
        <v>90</v>
      </c>
      <c r="C143" s="441" t="s">
        <v>195</v>
      </c>
      <c r="D143" s="236" t="s">
        <v>697</v>
      </c>
      <c r="E143" s="253">
        <v>45590</v>
      </c>
      <c r="F143" s="260">
        <v>37.64</v>
      </c>
      <c r="G143" s="591" t="s">
        <v>55</v>
      </c>
      <c r="H143" s="592"/>
      <c r="I143" s="592"/>
      <c r="J143" s="593"/>
      <c r="K143" s="253">
        <v>45606</v>
      </c>
      <c r="L143" s="266" t="s">
        <v>739</v>
      </c>
      <c r="M143" s="76"/>
      <c r="N143" s="76"/>
      <c r="O143" s="76"/>
      <c r="P143" s="76"/>
    </row>
    <row r="144" spans="1:16" ht="15">
      <c r="A144" s="75">
        <v>132</v>
      </c>
      <c r="B144" s="226" t="s">
        <v>77</v>
      </c>
      <c r="C144" s="441" t="s">
        <v>225</v>
      </c>
      <c r="D144" s="236" t="s">
        <v>697</v>
      </c>
      <c r="E144" s="253">
        <v>45590</v>
      </c>
      <c r="F144" s="260">
        <v>37.64</v>
      </c>
      <c r="G144" s="591" t="s">
        <v>55</v>
      </c>
      <c r="H144" s="592"/>
      <c r="I144" s="592"/>
      <c r="J144" s="593"/>
      <c r="K144" s="253">
        <v>45598</v>
      </c>
      <c r="L144" s="266" t="s">
        <v>741</v>
      </c>
      <c r="M144" s="76"/>
      <c r="N144" s="76"/>
      <c r="O144" s="76"/>
      <c r="P144" s="76"/>
    </row>
    <row r="145" spans="1:16" ht="15">
      <c r="A145" s="75">
        <v>133</v>
      </c>
      <c r="B145" s="226" t="s">
        <v>91</v>
      </c>
      <c r="C145" s="445" t="s">
        <v>224</v>
      </c>
      <c r="D145" s="236" t="s">
        <v>697</v>
      </c>
      <c r="E145" s="253">
        <v>45590</v>
      </c>
      <c r="F145" s="260">
        <v>41.37</v>
      </c>
      <c r="G145" s="591" t="s">
        <v>55</v>
      </c>
      <c r="H145" s="592"/>
      <c r="I145" s="592"/>
      <c r="J145" s="593"/>
      <c r="K145" s="253">
        <v>45598</v>
      </c>
      <c r="L145" s="266" t="s">
        <v>732</v>
      </c>
      <c r="M145" s="76"/>
      <c r="N145" s="76"/>
      <c r="O145" s="76"/>
      <c r="P145" s="76"/>
    </row>
    <row r="146" spans="1:16" ht="15">
      <c r="A146" s="75">
        <v>134</v>
      </c>
      <c r="B146" s="212" t="s">
        <v>536</v>
      </c>
      <c r="C146" s="441" t="s">
        <v>225</v>
      </c>
      <c r="D146" s="236" t="s">
        <v>697</v>
      </c>
      <c r="E146" s="253">
        <v>45599</v>
      </c>
      <c r="F146" s="260">
        <v>37.64</v>
      </c>
      <c r="G146" s="591" t="s">
        <v>55</v>
      </c>
      <c r="H146" s="592"/>
      <c r="I146" s="592"/>
      <c r="J146" s="593"/>
      <c r="K146" s="253">
        <v>45601</v>
      </c>
      <c r="L146" s="266" t="s">
        <v>734</v>
      </c>
      <c r="M146" s="76"/>
      <c r="N146" s="76"/>
      <c r="O146" s="76"/>
      <c r="P146" s="76"/>
    </row>
    <row r="147" spans="1:16">
      <c r="A147" s="75">
        <v>135</v>
      </c>
      <c r="B147" s="226" t="s">
        <v>505</v>
      </c>
      <c r="C147" s="446" t="s">
        <v>248</v>
      </c>
      <c r="D147" s="236" t="s">
        <v>697</v>
      </c>
      <c r="E147" s="253">
        <v>45599</v>
      </c>
      <c r="F147" s="260">
        <v>58.25</v>
      </c>
      <c r="G147" s="591" t="s">
        <v>55</v>
      </c>
      <c r="H147" s="592"/>
      <c r="I147" s="592"/>
      <c r="J147" s="593"/>
      <c r="K147" s="257">
        <v>45609</v>
      </c>
      <c r="L147" s="266" t="s">
        <v>730</v>
      </c>
      <c r="M147" s="76"/>
      <c r="N147" s="76"/>
      <c r="O147" s="76"/>
      <c r="P147" s="76"/>
    </row>
    <row r="148" spans="1:16" ht="15">
      <c r="A148" s="75">
        <v>136</v>
      </c>
      <c r="B148" s="226" t="s">
        <v>478</v>
      </c>
      <c r="C148" s="441" t="s">
        <v>195</v>
      </c>
      <c r="D148" s="236" t="s">
        <v>697</v>
      </c>
      <c r="E148" s="253">
        <v>45599</v>
      </c>
      <c r="F148" s="260">
        <v>37.64</v>
      </c>
      <c r="G148" s="591" t="s">
        <v>55</v>
      </c>
      <c r="H148" s="592"/>
      <c r="I148" s="592"/>
      <c r="J148" s="593"/>
      <c r="K148" s="253">
        <v>45607</v>
      </c>
      <c r="L148" s="266" t="s">
        <v>742</v>
      </c>
      <c r="M148" s="76"/>
      <c r="N148" s="76"/>
      <c r="O148" s="76"/>
      <c r="P148" s="76"/>
    </row>
    <row r="149" spans="1:16" ht="15">
      <c r="A149" s="75">
        <v>137</v>
      </c>
      <c r="B149" s="228" t="s">
        <v>516</v>
      </c>
      <c r="C149" s="441" t="s">
        <v>195</v>
      </c>
      <c r="D149" s="236" t="s">
        <v>697</v>
      </c>
      <c r="E149" s="253">
        <v>45599</v>
      </c>
      <c r="F149" s="260">
        <v>37.64</v>
      </c>
      <c r="G149" s="591" t="s">
        <v>55</v>
      </c>
      <c r="H149" s="592"/>
      <c r="I149" s="592"/>
      <c r="J149" s="593"/>
      <c r="K149" s="253">
        <v>45609</v>
      </c>
      <c r="L149" s="266" t="s">
        <v>726</v>
      </c>
      <c r="M149" s="76"/>
      <c r="N149" s="76"/>
      <c r="O149" s="76"/>
      <c r="P149" s="76"/>
    </row>
    <row r="150" spans="1:16" ht="15">
      <c r="A150" s="75">
        <v>138</v>
      </c>
      <c r="B150" s="226" t="s">
        <v>486</v>
      </c>
      <c r="C150" s="441" t="s">
        <v>225</v>
      </c>
      <c r="D150" s="236" t="s">
        <v>697</v>
      </c>
      <c r="E150" s="253">
        <v>45599</v>
      </c>
      <c r="F150" s="260">
        <v>37.64</v>
      </c>
      <c r="G150" s="591" t="s">
        <v>55</v>
      </c>
      <c r="H150" s="592"/>
      <c r="I150" s="592"/>
      <c r="J150" s="593"/>
      <c r="K150" s="253">
        <v>45605</v>
      </c>
      <c r="L150" s="266" t="s">
        <v>738</v>
      </c>
      <c r="M150" s="76"/>
      <c r="N150" s="76"/>
      <c r="O150" s="76"/>
      <c r="P150" s="76"/>
    </row>
    <row r="151" spans="1:16" ht="15">
      <c r="A151" s="75">
        <v>139</v>
      </c>
      <c r="B151" s="221" t="s">
        <v>553</v>
      </c>
      <c r="C151" s="441" t="s">
        <v>225</v>
      </c>
      <c r="D151" s="236" t="s">
        <v>697</v>
      </c>
      <c r="E151" s="253">
        <v>45599</v>
      </c>
      <c r="F151" s="260">
        <v>37.64</v>
      </c>
      <c r="G151" s="591" t="s">
        <v>55</v>
      </c>
      <c r="H151" s="592"/>
      <c r="I151" s="592"/>
      <c r="J151" s="593"/>
      <c r="K151" s="253">
        <v>45609</v>
      </c>
      <c r="L151" s="266" t="s">
        <v>734</v>
      </c>
      <c r="M151" s="76"/>
      <c r="N151" s="76"/>
      <c r="O151" s="76"/>
      <c r="P151" s="76"/>
    </row>
    <row r="152" spans="1:16" ht="15">
      <c r="A152" s="75">
        <v>140</v>
      </c>
      <c r="B152" s="221" t="s">
        <v>81</v>
      </c>
      <c r="C152" s="445" t="s">
        <v>224</v>
      </c>
      <c r="D152" s="236" t="s">
        <v>697</v>
      </c>
      <c r="E152" s="253">
        <v>45599</v>
      </c>
      <c r="F152" s="260">
        <v>41.37</v>
      </c>
      <c r="G152" s="591" t="s">
        <v>55</v>
      </c>
      <c r="H152" s="592"/>
      <c r="I152" s="592"/>
      <c r="J152" s="593"/>
      <c r="K152" s="253">
        <v>45607</v>
      </c>
      <c r="L152" s="266" t="s">
        <v>740</v>
      </c>
      <c r="M152" s="76"/>
      <c r="N152" s="76"/>
      <c r="O152" s="76"/>
      <c r="P152" s="76"/>
    </row>
    <row r="153" spans="1:16" ht="15">
      <c r="A153" s="75">
        <v>141</v>
      </c>
      <c r="B153" s="226" t="s">
        <v>79</v>
      </c>
      <c r="C153" s="445" t="s">
        <v>224</v>
      </c>
      <c r="D153" s="236" t="s">
        <v>697</v>
      </c>
      <c r="E153" s="253">
        <v>45599</v>
      </c>
      <c r="F153" s="260">
        <v>41.37</v>
      </c>
      <c r="G153" s="591" t="s">
        <v>55</v>
      </c>
      <c r="H153" s="592"/>
      <c r="I153" s="592"/>
      <c r="J153" s="593"/>
      <c r="K153" s="253">
        <v>45604</v>
      </c>
      <c r="L153" s="266" t="s">
        <v>736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697</v>
      </c>
      <c r="E154" s="253">
        <v>45599</v>
      </c>
      <c r="F154" s="260">
        <v>58.25</v>
      </c>
      <c r="G154" s="591" t="s">
        <v>55</v>
      </c>
      <c r="H154" s="592"/>
      <c r="I154" s="592"/>
      <c r="J154" s="593"/>
      <c r="K154" s="257">
        <v>45605</v>
      </c>
      <c r="L154" s="266" t="s">
        <v>741</v>
      </c>
      <c r="M154" s="76"/>
      <c r="N154" s="76"/>
      <c r="O154" s="76"/>
      <c r="P154" s="76"/>
    </row>
    <row r="155" spans="1:16" ht="15">
      <c r="A155" s="75">
        <v>143</v>
      </c>
      <c r="B155" s="221" t="s">
        <v>490</v>
      </c>
      <c r="C155" s="445" t="s">
        <v>224</v>
      </c>
      <c r="D155" s="236" t="s">
        <v>697</v>
      </c>
      <c r="E155" s="253">
        <v>45602</v>
      </c>
      <c r="F155" s="260">
        <v>41.37</v>
      </c>
      <c r="G155" s="591" t="s">
        <v>55</v>
      </c>
      <c r="H155" s="592"/>
      <c r="I155" s="592"/>
      <c r="J155" s="593"/>
      <c r="K155" s="253">
        <v>45609</v>
      </c>
      <c r="L155" s="266" t="s">
        <v>728</v>
      </c>
      <c r="M155" s="76"/>
      <c r="N155" s="76"/>
      <c r="O155" s="76"/>
      <c r="P155" s="76"/>
    </row>
    <row r="156" spans="1:16" ht="15">
      <c r="A156" s="75">
        <v>144</v>
      </c>
      <c r="B156" s="221" t="s">
        <v>495</v>
      </c>
      <c r="C156" s="441" t="s">
        <v>195</v>
      </c>
      <c r="D156" s="236" t="s">
        <v>697</v>
      </c>
      <c r="E156" s="253">
        <v>45602</v>
      </c>
      <c r="F156" s="260">
        <v>37.64</v>
      </c>
      <c r="G156" s="591" t="s">
        <v>55</v>
      </c>
      <c r="H156" s="592"/>
      <c r="I156" s="592"/>
      <c r="J156" s="593"/>
      <c r="K156" s="253">
        <v>45606</v>
      </c>
      <c r="L156" s="266" t="s">
        <v>727</v>
      </c>
      <c r="M156" s="76"/>
      <c r="N156" s="76"/>
      <c r="O156" s="76"/>
      <c r="P156" s="76"/>
    </row>
    <row r="157" spans="1:16" ht="15">
      <c r="A157" s="75">
        <v>145</v>
      </c>
      <c r="B157" s="221" t="s">
        <v>468</v>
      </c>
      <c r="C157" s="441" t="s">
        <v>195</v>
      </c>
      <c r="D157" s="236" t="s">
        <v>697</v>
      </c>
      <c r="E157" s="253">
        <v>45602</v>
      </c>
      <c r="F157" s="260">
        <v>37.64</v>
      </c>
      <c r="G157" s="591" t="s">
        <v>55</v>
      </c>
      <c r="H157" s="592"/>
      <c r="I157" s="592"/>
      <c r="J157" s="593"/>
      <c r="K157" s="253">
        <v>45607</v>
      </c>
      <c r="L157" s="266" t="s">
        <v>728</v>
      </c>
      <c r="M157" s="76"/>
      <c r="N157" s="76"/>
      <c r="O157" s="76"/>
      <c r="P157" s="76"/>
    </row>
    <row r="158" spans="1:16" ht="15">
      <c r="A158" s="75">
        <v>146</v>
      </c>
      <c r="B158" s="221" t="s">
        <v>488</v>
      </c>
      <c r="C158" s="445" t="s">
        <v>224</v>
      </c>
      <c r="D158" s="236" t="s">
        <v>697</v>
      </c>
      <c r="E158" s="253">
        <v>45602</v>
      </c>
      <c r="F158" s="260">
        <v>41.37</v>
      </c>
      <c r="G158" s="591" t="s">
        <v>55</v>
      </c>
      <c r="H158" s="592"/>
      <c r="I158" s="592"/>
      <c r="J158" s="593"/>
      <c r="K158" s="253">
        <v>45611</v>
      </c>
      <c r="L158" s="266" t="s">
        <v>742</v>
      </c>
      <c r="M158" s="76"/>
      <c r="N158" s="76"/>
      <c r="O158" s="76"/>
      <c r="P158" s="76"/>
    </row>
    <row r="159" spans="1:16" ht="15">
      <c r="A159" s="75">
        <v>147</v>
      </c>
      <c r="B159" s="9" t="s">
        <v>80</v>
      </c>
      <c r="C159" s="445" t="s">
        <v>224</v>
      </c>
      <c r="D159" s="236" t="s">
        <v>697</v>
      </c>
      <c r="E159" s="253">
        <v>45602</v>
      </c>
      <c r="F159" s="260">
        <v>41.37</v>
      </c>
      <c r="G159" s="591" t="s">
        <v>55</v>
      </c>
      <c r="H159" s="592"/>
      <c r="I159" s="592"/>
      <c r="J159" s="593"/>
      <c r="K159" s="253">
        <v>45611</v>
      </c>
      <c r="L159" s="266" t="s">
        <v>740</v>
      </c>
      <c r="M159" s="76"/>
      <c r="N159" s="76"/>
      <c r="O159" s="76"/>
      <c r="P159" s="76"/>
    </row>
    <row r="160" spans="1:16" ht="15">
      <c r="A160" s="75">
        <v>148</v>
      </c>
      <c r="B160" s="9" t="s">
        <v>321</v>
      </c>
      <c r="C160" s="445" t="s">
        <v>377</v>
      </c>
      <c r="D160" s="236" t="s">
        <v>697</v>
      </c>
      <c r="E160" s="253">
        <v>45604</v>
      </c>
      <c r="F160" s="260">
        <v>71.039999999999992</v>
      </c>
      <c r="G160" s="591" t="s">
        <v>55</v>
      </c>
      <c r="H160" s="592"/>
      <c r="I160" s="592"/>
      <c r="J160" s="593"/>
      <c r="K160" s="253">
        <v>45612</v>
      </c>
      <c r="L160" s="266" t="s">
        <v>738</v>
      </c>
      <c r="M160" s="76"/>
      <c r="N160" s="76"/>
      <c r="O160" s="76"/>
      <c r="P160" s="76"/>
    </row>
    <row r="161" spans="1:16" ht="15">
      <c r="A161" s="75">
        <v>149</v>
      </c>
      <c r="B161" s="221" t="s">
        <v>556</v>
      </c>
      <c r="C161" s="441" t="s">
        <v>225</v>
      </c>
      <c r="D161" s="236" t="s">
        <v>697</v>
      </c>
      <c r="E161" s="253">
        <v>45605</v>
      </c>
      <c r="F161" s="260">
        <v>37.64</v>
      </c>
      <c r="G161" s="591" t="s">
        <v>55</v>
      </c>
      <c r="H161" s="592"/>
      <c r="I161" s="592"/>
      <c r="J161" s="593"/>
      <c r="K161" s="253">
        <v>45614</v>
      </c>
      <c r="L161" s="266" t="s">
        <v>727</v>
      </c>
      <c r="M161" s="76"/>
      <c r="N161" s="76"/>
      <c r="O161" s="76"/>
      <c r="P161" s="76"/>
    </row>
    <row r="162" spans="1:16" ht="15">
      <c r="A162" s="75">
        <v>150</v>
      </c>
      <c r="B162" s="221" t="s">
        <v>476</v>
      </c>
      <c r="C162" s="441" t="s">
        <v>225</v>
      </c>
      <c r="D162" s="236" t="s">
        <v>697</v>
      </c>
      <c r="E162" s="253">
        <v>45606</v>
      </c>
      <c r="F162" s="260">
        <v>37.64</v>
      </c>
      <c r="G162" s="591" t="s">
        <v>55</v>
      </c>
      <c r="H162" s="592"/>
      <c r="I162" s="592"/>
      <c r="J162" s="593"/>
      <c r="K162" s="253">
        <v>45614</v>
      </c>
      <c r="L162" s="266" t="s">
        <v>728</v>
      </c>
      <c r="M162" s="76"/>
      <c r="N162" s="76"/>
      <c r="O162" s="76"/>
      <c r="P162" s="76"/>
    </row>
    <row r="163" spans="1:16">
      <c r="A163" s="75">
        <v>151</v>
      </c>
      <c r="B163" s="221" t="s">
        <v>541</v>
      </c>
      <c r="C163" s="445" t="s">
        <v>224</v>
      </c>
      <c r="D163" s="239" t="s">
        <v>700</v>
      </c>
      <c r="E163" s="253">
        <v>45608</v>
      </c>
      <c r="F163" s="260">
        <v>71.430000000000007</v>
      </c>
      <c r="G163" s="591" t="s">
        <v>55</v>
      </c>
      <c r="H163" s="592"/>
      <c r="I163" s="592"/>
      <c r="J163" s="593"/>
      <c r="K163" s="257">
        <v>45616</v>
      </c>
      <c r="L163" s="266" t="s">
        <v>741</v>
      </c>
      <c r="M163" s="76"/>
      <c r="N163" s="76"/>
      <c r="O163" s="76"/>
      <c r="P163" s="76"/>
    </row>
    <row r="164" spans="1:16" ht="15">
      <c r="A164" s="75">
        <v>152</v>
      </c>
      <c r="B164" s="221" t="s">
        <v>559</v>
      </c>
      <c r="C164" s="445" t="s">
        <v>226</v>
      </c>
      <c r="D164" s="236" t="s">
        <v>697</v>
      </c>
      <c r="E164" s="253">
        <v>45610</v>
      </c>
      <c r="F164" s="260">
        <v>41.37</v>
      </c>
      <c r="G164" s="591" t="s">
        <v>55</v>
      </c>
      <c r="H164" s="592"/>
      <c r="I164" s="592"/>
      <c r="J164" s="593"/>
      <c r="K164" s="253">
        <v>45617</v>
      </c>
      <c r="L164" s="266" t="s">
        <v>734</v>
      </c>
      <c r="M164" s="76"/>
      <c r="N164" s="76"/>
      <c r="O164" s="76"/>
      <c r="P164" s="76"/>
    </row>
    <row r="165" spans="1:16" ht="15">
      <c r="A165" s="75">
        <v>153</v>
      </c>
      <c r="B165" s="229" t="s">
        <v>473</v>
      </c>
      <c r="C165" s="441" t="s">
        <v>195</v>
      </c>
      <c r="D165" s="236" t="s">
        <v>697</v>
      </c>
      <c r="E165" s="253">
        <v>45610</v>
      </c>
      <c r="F165" s="260">
        <v>37.64</v>
      </c>
      <c r="G165" s="591" t="s">
        <v>55</v>
      </c>
      <c r="H165" s="592"/>
      <c r="I165" s="592"/>
      <c r="J165" s="593"/>
      <c r="K165" s="253">
        <v>45617</v>
      </c>
      <c r="L165" s="266" t="s">
        <v>743</v>
      </c>
      <c r="M165" s="76"/>
      <c r="N165" s="76"/>
      <c r="O165" s="76"/>
      <c r="P165" s="76"/>
    </row>
    <row r="166" spans="1:16" ht="15">
      <c r="A166" s="75">
        <v>154</v>
      </c>
      <c r="B166" s="221" t="s">
        <v>362</v>
      </c>
      <c r="C166" s="441" t="s">
        <v>322</v>
      </c>
      <c r="D166" s="236" t="s">
        <v>697</v>
      </c>
      <c r="E166" s="253">
        <v>45610</v>
      </c>
      <c r="F166" s="260">
        <v>77.81</v>
      </c>
      <c r="G166" s="591" t="s">
        <v>55</v>
      </c>
      <c r="H166" s="592"/>
      <c r="I166" s="592"/>
      <c r="J166" s="593"/>
      <c r="K166" s="253">
        <v>45617</v>
      </c>
      <c r="L166" s="266" t="s">
        <v>740</v>
      </c>
      <c r="M166" s="76"/>
      <c r="N166" s="76"/>
      <c r="O166" s="76"/>
      <c r="P166" s="76"/>
    </row>
    <row r="167" spans="1:16" ht="15">
      <c r="A167" s="75">
        <v>155</v>
      </c>
      <c r="B167" s="221" t="s">
        <v>484</v>
      </c>
      <c r="C167" s="441" t="s">
        <v>195</v>
      </c>
      <c r="D167" s="236" t="s">
        <v>697</v>
      </c>
      <c r="E167" s="253">
        <v>45614</v>
      </c>
      <c r="F167" s="260">
        <v>37.64</v>
      </c>
      <c r="G167" s="591" t="s">
        <v>55</v>
      </c>
      <c r="H167" s="592"/>
      <c r="I167" s="592"/>
      <c r="J167" s="593"/>
      <c r="K167" s="253">
        <v>45617</v>
      </c>
      <c r="L167" s="266" t="s">
        <v>728</v>
      </c>
      <c r="M167" s="76"/>
      <c r="N167" s="76"/>
      <c r="O167" s="76"/>
      <c r="P167" s="76"/>
    </row>
    <row r="168" spans="1:16" ht="15">
      <c r="A168" s="75">
        <v>156</v>
      </c>
      <c r="B168" s="221" t="s">
        <v>587</v>
      </c>
      <c r="C168" s="441" t="s">
        <v>195</v>
      </c>
      <c r="D168" s="236" t="s">
        <v>697</v>
      </c>
      <c r="E168" s="253">
        <v>45614</v>
      </c>
      <c r="F168" s="260">
        <v>37.64</v>
      </c>
      <c r="G168" s="591" t="s">
        <v>55</v>
      </c>
      <c r="H168" s="592"/>
      <c r="I168" s="592"/>
      <c r="J168" s="593"/>
      <c r="K168" s="253">
        <v>45617</v>
      </c>
      <c r="L168" s="266" t="s">
        <v>739</v>
      </c>
      <c r="M168" s="76"/>
      <c r="N168" s="76"/>
      <c r="O168" s="76"/>
      <c r="P168" s="76"/>
    </row>
    <row r="169" spans="1:16" ht="15">
      <c r="A169" s="75">
        <v>157</v>
      </c>
      <c r="B169" s="221" t="s">
        <v>130</v>
      </c>
      <c r="C169" s="441" t="s">
        <v>227</v>
      </c>
      <c r="D169" s="238" t="s">
        <v>700</v>
      </c>
      <c r="E169" s="253">
        <v>45612</v>
      </c>
      <c r="F169" s="260">
        <v>71.430000000000007</v>
      </c>
      <c r="G169" s="591" t="s">
        <v>55</v>
      </c>
      <c r="H169" s="592"/>
      <c r="I169" s="592"/>
      <c r="J169" s="593"/>
      <c r="K169" s="257">
        <v>45619</v>
      </c>
      <c r="L169" s="266" t="s">
        <v>722</v>
      </c>
      <c r="M169" s="76"/>
      <c r="N169" s="76"/>
      <c r="O169" s="76"/>
      <c r="P169" s="76"/>
    </row>
    <row r="170" spans="1:16">
      <c r="A170" s="75">
        <v>158</v>
      </c>
      <c r="B170" s="221" t="s">
        <v>512</v>
      </c>
      <c r="C170" s="446" t="s">
        <v>248</v>
      </c>
      <c r="D170" s="236" t="s">
        <v>697</v>
      </c>
      <c r="E170" s="253">
        <v>45614</v>
      </c>
      <c r="F170" s="260">
        <v>58.25</v>
      </c>
      <c r="G170" s="591" t="s">
        <v>55</v>
      </c>
      <c r="H170" s="592"/>
      <c r="I170" s="592"/>
      <c r="J170" s="593"/>
      <c r="K170" s="257">
        <v>45618</v>
      </c>
      <c r="L170" s="266" t="s">
        <v>730</v>
      </c>
      <c r="M170" s="76"/>
      <c r="N170" s="76"/>
      <c r="O170" s="76"/>
      <c r="P170" s="76"/>
    </row>
    <row r="171" spans="1:16" ht="15">
      <c r="A171" s="75">
        <v>159</v>
      </c>
      <c r="B171" s="221" t="s">
        <v>529</v>
      </c>
      <c r="C171" s="441" t="s">
        <v>225</v>
      </c>
      <c r="D171" s="236" t="s">
        <v>697</v>
      </c>
      <c r="E171" s="253">
        <v>45614</v>
      </c>
      <c r="F171" s="260">
        <v>37.64</v>
      </c>
      <c r="G171" s="591" t="s">
        <v>55</v>
      </c>
      <c r="H171" s="592"/>
      <c r="I171" s="592"/>
      <c r="J171" s="593"/>
      <c r="K171" s="257">
        <v>45618</v>
      </c>
      <c r="L171" s="266" t="s">
        <v>732</v>
      </c>
      <c r="M171" s="76"/>
      <c r="N171" s="76"/>
      <c r="O171" s="76"/>
      <c r="P171" s="76"/>
    </row>
    <row r="172" spans="1:16" ht="15">
      <c r="A172" s="75">
        <v>160</v>
      </c>
      <c r="B172" s="221" t="s">
        <v>545</v>
      </c>
      <c r="C172" s="441" t="s">
        <v>225</v>
      </c>
      <c r="D172" s="236" t="s">
        <v>697</v>
      </c>
      <c r="E172" s="253">
        <v>45614</v>
      </c>
      <c r="F172" s="260">
        <v>37.64</v>
      </c>
      <c r="G172" s="591" t="s">
        <v>55</v>
      </c>
      <c r="H172" s="592"/>
      <c r="I172" s="592"/>
      <c r="J172" s="593"/>
      <c r="K172" s="253">
        <v>45620</v>
      </c>
      <c r="L172" s="266" t="s">
        <v>726</v>
      </c>
      <c r="M172" s="76"/>
      <c r="N172" s="76"/>
      <c r="O172" s="76"/>
      <c r="P172" s="76"/>
    </row>
    <row r="173" spans="1:16">
      <c r="A173" s="75">
        <v>161</v>
      </c>
      <c r="B173" s="9" t="s">
        <v>547</v>
      </c>
      <c r="C173" s="445" t="s">
        <v>224</v>
      </c>
      <c r="D173" s="239" t="s">
        <v>700</v>
      </c>
      <c r="E173" s="253">
        <v>45616</v>
      </c>
      <c r="F173" s="260">
        <v>71.430000000000007</v>
      </c>
      <c r="G173" s="591" t="s">
        <v>55</v>
      </c>
      <c r="H173" s="592"/>
      <c r="I173" s="592"/>
      <c r="J173" s="593"/>
      <c r="K173" s="253">
        <v>45625</v>
      </c>
      <c r="L173" s="266" t="s">
        <v>736</v>
      </c>
      <c r="M173" s="76"/>
      <c r="N173" s="76"/>
      <c r="O173" s="76"/>
      <c r="P173" s="76"/>
    </row>
    <row r="174" spans="1:16" ht="15">
      <c r="A174" s="75">
        <v>162</v>
      </c>
      <c r="B174" s="216" t="s">
        <v>568</v>
      </c>
      <c r="C174" s="441" t="s">
        <v>225</v>
      </c>
      <c r="D174" s="236" t="s">
        <v>697</v>
      </c>
      <c r="E174" s="253">
        <v>45618</v>
      </c>
      <c r="F174" s="260">
        <v>37.64</v>
      </c>
      <c r="G174" s="591" t="s">
        <v>55</v>
      </c>
      <c r="H174" s="592"/>
      <c r="I174" s="592"/>
      <c r="J174" s="593"/>
      <c r="K174" s="257">
        <v>45622</v>
      </c>
      <c r="L174" s="266" t="s">
        <v>741</v>
      </c>
      <c r="M174" s="76"/>
      <c r="N174" s="76"/>
      <c r="O174" s="76"/>
      <c r="P174" s="76"/>
    </row>
    <row r="175" spans="1:16" ht="15">
      <c r="A175" s="75">
        <v>163</v>
      </c>
      <c r="B175" s="216" t="s">
        <v>282</v>
      </c>
      <c r="C175" s="445" t="s">
        <v>349</v>
      </c>
      <c r="D175" s="236" t="s">
        <v>697</v>
      </c>
      <c r="E175" s="253">
        <v>45618</v>
      </c>
      <c r="F175" s="260">
        <v>70.25</v>
      </c>
      <c r="G175" s="591" t="s">
        <v>55</v>
      </c>
      <c r="H175" s="592"/>
      <c r="I175" s="592"/>
      <c r="J175" s="593"/>
      <c r="K175" s="253">
        <v>45625</v>
      </c>
      <c r="L175" s="266" t="s">
        <v>740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697</v>
      </c>
      <c r="E176" s="253">
        <v>45618</v>
      </c>
      <c r="F176" s="260">
        <v>65.713999999999999</v>
      </c>
      <c r="G176" s="591" t="s">
        <v>55</v>
      </c>
      <c r="H176" s="592"/>
      <c r="I176" s="592"/>
      <c r="J176" s="593"/>
      <c r="K176" s="257">
        <v>45623</v>
      </c>
      <c r="L176" s="266" t="s">
        <v>731</v>
      </c>
      <c r="M176" s="76"/>
      <c r="N176" s="76"/>
      <c r="O176" s="76"/>
      <c r="P176" s="76"/>
    </row>
    <row r="177" spans="1:16" ht="15">
      <c r="A177" s="75">
        <v>165</v>
      </c>
      <c r="B177" s="216" t="s">
        <v>533</v>
      </c>
      <c r="C177" s="445" t="s">
        <v>227</v>
      </c>
      <c r="D177" s="236" t="s">
        <v>697</v>
      </c>
      <c r="E177" s="253">
        <v>45618</v>
      </c>
      <c r="F177" s="260">
        <v>41.37</v>
      </c>
      <c r="G177" s="591" t="s">
        <v>55</v>
      </c>
      <c r="H177" s="592"/>
      <c r="I177" s="592"/>
      <c r="J177" s="593"/>
      <c r="K177" s="257">
        <v>45623</v>
      </c>
      <c r="L177" s="266" t="s">
        <v>732</v>
      </c>
      <c r="M177" s="76"/>
      <c r="N177" s="76"/>
      <c r="O177" s="76"/>
      <c r="P177" s="76"/>
    </row>
    <row r="178" spans="1:16">
      <c r="A178" s="75">
        <v>166</v>
      </c>
      <c r="B178" s="216" t="s">
        <v>477</v>
      </c>
      <c r="C178" s="446" t="s">
        <v>224</v>
      </c>
      <c r="D178" s="236" t="s">
        <v>697</v>
      </c>
      <c r="E178" s="253">
        <v>45618</v>
      </c>
      <c r="F178" s="260">
        <v>41.37</v>
      </c>
      <c r="G178" s="591" t="s">
        <v>55</v>
      </c>
      <c r="H178" s="592"/>
      <c r="I178" s="592"/>
      <c r="J178" s="593"/>
      <c r="K178" s="257">
        <v>45625</v>
      </c>
      <c r="L178" s="266" t="s">
        <v>743</v>
      </c>
      <c r="M178" s="76"/>
      <c r="N178" s="76"/>
      <c r="O178" s="76"/>
      <c r="P178" s="76"/>
    </row>
    <row r="179" spans="1:16" ht="15">
      <c r="A179" s="75">
        <v>167</v>
      </c>
      <c r="B179" s="216" t="s">
        <v>542</v>
      </c>
      <c r="C179" s="445" t="s">
        <v>226</v>
      </c>
      <c r="D179" s="236" t="s">
        <v>697</v>
      </c>
      <c r="E179" s="253">
        <v>45618</v>
      </c>
      <c r="F179" s="260">
        <v>41.37</v>
      </c>
      <c r="G179" s="591" t="s">
        <v>55</v>
      </c>
      <c r="H179" s="592"/>
      <c r="I179" s="592"/>
      <c r="J179" s="593"/>
      <c r="K179" s="257">
        <v>45625</v>
      </c>
      <c r="L179" s="266" t="s">
        <v>734</v>
      </c>
      <c r="M179" s="76"/>
      <c r="N179" s="76"/>
      <c r="O179" s="76"/>
      <c r="P179" s="76"/>
    </row>
    <row r="180" spans="1:16" ht="15">
      <c r="A180" s="75">
        <v>168</v>
      </c>
      <c r="B180" s="216" t="s">
        <v>537</v>
      </c>
      <c r="C180" s="445" t="s">
        <v>225</v>
      </c>
      <c r="D180" s="236" t="s">
        <v>697</v>
      </c>
      <c r="E180" s="253">
        <v>45618</v>
      </c>
      <c r="F180" s="260">
        <v>37.64</v>
      </c>
      <c r="G180" s="591" t="s">
        <v>55</v>
      </c>
      <c r="H180" s="592"/>
      <c r="I180" s="592"/>
      <c r="J180" s="593"/>
      <c r="K180" s="257">
        <v>45622</v>
      </c>
      <c r="L180" s="266" t="s">
        <v>738</v>
      </c>
      <c r="M180" s="76"/>
      <c r="N180" s="76"/>
      <c r="O180" s="76"/>
      <c r="P180" s="76"/>
    </row>
    <row r="181" spans="1:16" ht="15">
      <c r="A181" s="75">
        <v>169</v>
      </c>
      <c r="B181" s="216" t="s">
        <v>483</v>
      </c>
      <c r="C181" s="445" t="s">
        <v>224</v>
      </c>
      <c r="D181" s="236" t="s">
        <v>697</v>
      </c>
      <c r="E181" s="253">
        <v>45618</v>
      </c>
      <c r="F181" s="260">
        <v>41.37</v>
      </c>
      <c r="G181" s="591" t="s">
        <v>55</v>
      </c>
      <c r="H181" s="592"/>
      <c r="I181" s="592"/>
      <c r="J181" s="593"/>
      <c r="K181" s="257">
        <v>45625</v>
      </c>
      <c r="L181" s="266" t="s">
        <v>738</v>
      </c>
      <c r="M181" s="76"/>
      <c r="N181" s="76"/>
      <c r="O181" s="76"/>
      <c r="P181" s="76"/>
    </row>
    <row r="182" spans="1:16" ht="15">
      <c r="A182" s="75">
        <v>170</v>
      </c>
      <c r="B182" s="216" t="s">
        <v>570</v>
      </c>
      <c r="C182" s="445" t="s">
        <v>314</v>
      </c>
      <c r="D182" s="236" t="s">
        <v>697</v>
      </c>
      <c r="E182" s="253">
        <v>45618</v>
      </c>
      <c r="F182" s="260">
        <v>58.25</v>
      </c>
      <c r="G182" s="591" t="s">
        <v>55</v>
      </c>
      <c r="H182" s="592"/>
      <c r="I182" s="592"/>
      <c r="J182" s="593"/>
      <c r="K182" s="257">
        <v>45626</v>
      </c>
      <c r="L182" s="266" t="s">
        <v>727</v>
      </c>
      <c r="M182" s="76"/>
      <c r="N182" s="76"/>
      <c r="O182" s="76"/>
      <c r="P182" s="76"/>
    </row>
    <row r="183" spans="1:16" ht="15">
      <c r="A183" s="75">
        <v>171</v>
      </c>
      <c r="B183" s="216" t="s">
        <v>523</v>
      </c>
      <c r="C183" s="445" t="s">
        <v>318</v>
      </c>
      <c r="D183" s="236" t="s">
        <v>697</v>
      </c>
      <c r="E183" s="253">
        <v>45618</v>
      </c>
      <c r="F183" s="260">
        <v>65.713999999999999</v>
      </c>
      <c r="G183" s="591" t="s">
        <v>55</v>
      </c>
      <c r="H183" s="592"/>
      <c r="I183" s="592"/>
      <c r="J183" s="593"/>
      <c r="K183" s="253">
        <v>45625</v>
      </c>
      <c r="L183" s="266" t="s">
        <v>728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700</v>
      </c>
      <c r="E184" s="253">
        <v>45616</v>
      </c>
      <c r="F184" s="260">
        <v>68.849999999999994</v>
      </c>
      <c r="G184" s="591" t="s">
        <v>55</v>
      </c>
      <c r="H184" s="592"/>
      <c r="I184" s="592"/>
      <c r="J184" s="593"/>
      <c r="K184" s="257">
        <v>45627</v>
      </c>
      <c r="L184" s="266" t="s">
        <v>722</v>
      </c>
      <c r="M184" s="76"/>
      <c r="N184" s="76"/>
      <c r="O184" s="76"/>
      <c r="P184" s="76"/>
    </row>
    <row r="185" spans="1:16" ht="15">
      <c r="A185" s="75">
        <v>173</v>
      </c>
      <c r="B185" s="216" t="s">
        <v>364</v>
      </c>
      <c r="C185" s="445" t="s">
        <v>318</v>
      </c>
      <c r="D185" s="236" t="s">
        <v>697</v>
      </c>
      <c r="E185" s="253">
        <v>45618</v>
      </c>
      <c r="F185" s="260">
        <v>65.713999999999999</v>
      </c>
      <c r="G185" s="591" t="s">
        <v>55</v>
      </c>
      <c r="H185" s="592"/>
      <c r="I185" s="592"/>
      <c r="J185" s="593"/>
      <c r="K185" s="257">
        <v>45628</v>
      </c>
      <c r="L185" s="266" t="s">
        <v>741</v>
      </c>
      <c r="M185" s="76"/>
      <c r="N185" s="76"/>
      <c r="O185" s="76"/>
      <c r="P185" s="76"/>
    </row>
    <row r="186" spans="1:16" ht="15">
      <c r="A186" s="75">
        <v>174</v>
      </c>
      <c r="B186" s="216" t="s">
        <v>519</v>
      </c>
      <c r="C186" s="445" t="s">
        <v>195</v>
      </c>
      <c r="D186" s="236" t="s">
        <v>697</v>
      </c>
      <c r="E186" s="253">
        <v>45621</v>
      </c>
      <c r="F186" s="260">
        <v>37.64</v>
      </c>
      <c r="G186" s="591" t="s">
        <v>55</v>
      </c>
      <c r="H186" s="592"/>
      <c r="I186" s="592"/>
      <c r="J186" s="593"/>
      <c r="K186" s="257">
        <v>45629</v>
      </c>
      <c r="L186" s="266" t="s">
        <v>732</v>
      </c>
      <c r="M186" s="76"/>
      <c r="N186" s="76"/>
      <c r="O186" s="76"/>
      <c r="P186" s="76"/>
    </row>
    <row r="187" spans="1:16">
      <c r="A187" s="75">
        <v>175</v>
      </c>
      <c r="B187" s="213" t="s">
        <v>658</v>
      </c>
      <c r="C187" s="448" t="s">
        <v>319</v>
      </c>
      <c r="D187" s="236" t="s">
        <v>697</v>
      </c>
      <c r="E187" s="253">
        <v>45625</v>
      </c>
      <c r="F187" s="260">
        <v>65.912000000000006</v>
      </c>
      <c r="G187" s="591" t="s">
        <v>55</v>
      </c>
      <c r="H187" s="592"/>
      <c r="I187" s="592"/>
      <c r="J187" s="593"/>
      <c r="K187" s="257">
        <v>45630</v>
      </c>
      <c r="L187" s="266" t="s">
        <v>728</v>
      </c>
      <c r="M187" s="76"/>
      <c r="N187" s="76"/>
      <c r="O187" s="76"/>
      <c r="P187" s="76"/>
    </row>
    <row r="188" spans="1:16" ht="15">
      <c r="A188" s="75">
        <v>176</v>
      </c>
      <c r="B188" s="216" t="s">
        <v>521</v>
      </c>
      <c r="C188" s="441" t="s">
        <v>195</v>
      </c>
      <c r="D188" s="236" t="s">
        <v>697</v>
      </c>
      <c r="E188" s="253">
        <v>45626</v>
      </c>
      <c r="F188" s="260">
        <v>37.64</v>
      </c>
      <c r="G188" s="591" t="s">
        <v>55</v>
      </c>
      <c r="H188" s="592"/>
      <c r="I188" s="592"/>
      <c r="J188" s="593"/>
      <c r="K188" s="257">
        <v>45630</v>
      </c>
      <c r="L188" s="266" t="s">
        <v>738</v>
      </c>
      <c r="M188" s="76"/>
      <c r="N188" s="76"/>
      <c r="O188" s="76"/>
      <c r="P188" s="76"/>
    </row>
    <row r="189" spans="1:16" ht="15">
      <c r="A189" s="75">
        <v>177</v>
      </c>
      <c r="B189" s="216" t="s">
        <v>482</v>
      </c>
      <c r="C189" s="445" t="s">
        <v>224</v>
      </c>
      <c r="D189" s="236" t="s">
        <v>697</v>
      </c>
      <c r="E189" s="253">
        <v>45626</v>
      </c>
      <c r="F189" s="260">
        <v>41.37</v>
      </c>
      <c r="G189" s="591" t="s">
        <v>55</v>
      </c>
      <c r="H189" s="592"/>
      <c r="I189" s="592"/>
      <c r="J189" s="593"/>
      <c r="K189" s="257">
        <v>45632</v>
      </c>
      <c r="L189" s="266" t="s">
        <v>743</v>
      </c>
      <c r="M189" s="76"/>
      <c r="N189" s="76"/>
      <c r="O189" s="76"/>
      <c r="P189" s="76"/>
    </row>
    <row r="190" spans="1:16" ht="15">
      <c r="A190" s="75">
        <v>178</v>
      </c>
      <c r="B190" s="216" t="s">
        <v>534</v>
      </c>
      <c r="C190" s="445" t="s">
        <v>224</v>
      </c>
      <c r="D190" s="236" t="s">
        <v>697</v>
      </c>
      <c r="E190" s="253">
        <v>45629</v>
      </c>
      <c r="F190" s="260">
        <v>41.37</v>
      </c>
      <c r="G190" s="591" t="s">
        <v>55</v>
      </c>
      <c r="H190" s="592"/>
      <c r="I190" s="592"/>
      <c r="J190" s="593"/>
      <c r="K190" s="257">
        <v>45635</v>
      </c>
      <c r="L190" s="266" t="s">
        <v>730</v>
      </c>
      <c r="M190" s="76"/>
      <c r="N190" s="76"/>
      <c r="O190" s="76"/>
      <c r="P190" s="76"/>
    </row>
    <row r="191" spans="1:16" ht="15">
      <c r="A191" s="75">
        <v>179</v>
      </c>
      <c r="B191" s="216" t="s">
        <v>515</v>
      </c>
      <c r="C191" s="441" t="s">
        <v>195</v>
      </c>
      <c r="D191" s="236" t="s">
        <v>697</v>
      </c>
      <c r="E191" s="253">
        <v>45629</v>
      </c>
      <c r="F191" s="260">
        <v>37.64</v>
      </c>
      <c r="G191" s="591" t="s">
        <v>55</v>
      </c>
      <c r="H191" s="592"/>
      <c r="I191" s="592"/>
      <c r="J191" s="593"/>
      <c r="K191" s="257">
        <v>45635</v>
      </c>
      <c r="L191" s="266" t="s">
        <v>738</v>
      </c>
      <c r="M191" s="76"/>
      <c r="N191" s="76"/>
      <c r="O191" s="76"/>
      <c r="P191" s="76"/>
    </row>
    <row r="192" spans="1:16" ht="15">
      <c r="A192" s="75">
        <v>180</v>
      </c>
      <c r="B192" s="216" t="s">
        <v>494</v>
      </c>
      <c r="C192" s="441" t="s">
        <v>195</v>
      </c>
      <c r="D192" s="236" t="s">
        <v>697</v>
      </c>
      <c r="E192" s="253">
        <v>45629</v>
      </c>
      <c r="F192" s="260">
        <v>37.64</v>
      </c>
      <c r="G192" s="591" t="s">
        <v>55</v>
      </c>
      <c r="H192" s="592"/>
      <c r="I192" s="592"/>
      <c r="J192" s="593"/>
      <c r="K192" s="257">
        <v>45635</v>
      </c>
      <c r="L192" s="266" t="s">
        <v>734</v>
      </c>
      <c r="M192" s="76"/>
      <c r="N192" s="76"/>
      <c r="O192" s="76"/>
      <c r="P192" s="76"/>
    </row>
    <row r="193" spans="1:16" ht="15">
      <c r="A193" s="75">
        <v>181</v>
      </c>
      <c r="B193" s="216" t="s">
        <v>514</v>
      </c>
      <c r="C193" s="445" t="s">
        <v>224</v>
      </c>
      <c r="D193" s="236" t="s">
        <v>697</v>
      </c>
      <c r="E193" s="253">
        <v>45629</v>
      </c>
      <c r="F193" s="260">
        <v>41.37</v>
      </c>
      <c r="G193" s="591" t="s">
        <v>55</v>
      </c>
      <c r="H193" s="592"/>
      <c r="I193" s="592"/>
      <c r="J193" s="593"/>
      <c r="K193" s="257">
        <v>45635</v>
      </c>
      <c r="L193" s="266" t="s">
        <v>732</v>
      </c>
      <c r="M193" s="76"/>
      <c r="N193" s="76"/>
      <c r="O193" s="76"/>
      <c r="P193" s="76"/>
    </row>
    <row r="194" spans="1:16" ht="15">
      <c r="A194" s="75">
        <v>182</v>
      </c>
      <c r="B194" s="216" t="s">
        <v>659</v>
      </c>
      <c r="C194" s="445" t="s">
        <v>701</v>
      </c>
      <c r="D194" s="236" t="s">
        <v>697</v>
      </c>
      <c r="E194" s="253">
        <v>45629</v>
      </c>
      <c r="F194" s="260">
        <v>65.912000000000006</v>
      </c>
      <c r="G194" s="591" t="s">
        <v>55</v>
      </c>
      <c r="H194" s="592"/>
      <c r="I194" s="592"/>
      <c r="J194" s="593"/>
      <c r="K194" s="257">
        <v>45635</v>
      </c>
      <c r="L194" s="266" t="s">
        <v>727</v>
      </c>
      <c r="M194" s="76"/>
      <c r="N194" s="76"/>
      <c r="O194" s="76"/>
      <c r="P194" s="76"/>
    </row>
    <row r="195" spans="1:16" ht="15">
      <c r="A195" s="75">
        <v>183</v>
      </c>
      <c r="B195" s="216" t="s">
        <v>625</v>
      </c>
      <c r="C195" s="445" t="s">
        <v>357</v>
      </c>
      <c r="D195" s="236" t="s">
        <v>697</v>
      </c>
      <c r="E195" s="253">
        <v>45630</v>
      </c>
      <c r="F195" s="260">
        <v>77.070000000000007</v>
      </c>
      <c r="G195" s="591" t="s">
        <v>55</v>
      </c>
      <c r="H195" s="592"/>
      <c r="I195" s="592"/>
      <c r="J195" s="593"/>
      <c r="K195" s="257">
        <v>45636</v>
      </c>
      <c r="L195" s="266" t="s">
        <v>728</v>
      </c>
      <c r="M195" s="76"/>
      <c r="N195" s="76"/>
      <c r="O195" s="76"/>
      <c r="P195" s="76"/>
    </row>
    <row r="196" spans="1:16">
      <c r="A196" s="75">
        <v>184</v>
      </c>
      <c r="B196" s="216" t="s">
        <v>613</v>
      </c>
      <c r="C196" s="445" t="s">
        <v>225</v>
      </c>
      <c r="D196" s="239" t="s">
        <v>699</v>
      </c>
      <c r="E196" s="253">
        <v>45630</v>
      </c>
      <c r="F196" s="260">
        <v>58.51</v>
      </c>
      <c r="G196" s="591" t="s">
        <v>55</v>
      </c>
      <c r="H196" s="592"/>
      <c r="I196" s="592"/>
      <c r="J196" s="593"/>
      <c r="K196" s="257">
        <v>45636</v>
      </c>
      <c r="L196" s="266" t="s">
        <v>740</v>
      </c>
      <c r="M196" s="76"/>
      <c r="N196" s="76"/>
      <c r="O196" s="76"/>
      <c r="P196" s="76"/>
    </row>
    <row r="197" spans="1:16">
      <c r="A197" s="75">
        <v>185</v>
      </c>
      <c r="B197" s="216" t="s">
        <v>600</v>
      </c>
      <c r="C197" s="445" t="s">
        <v>225</v>
      </c>
      <c r="D197" s="239" t="s">
        <v>699</v>
      </c>
      <c r="E197" s="253">
        <v>45627</v>
      </c>
      <c r="F197" s="260">
        <v>58.51</v>
      </c>
      <c r="G197" s="591" t="s">
        <v>55</v>
      </c>
      <c r="H197" s="592"/>
      <c r="I197" s="592"/>
      <c r="J197" s="593"/>
      <c r="K197" s="257">
        <v>45637</v>
      </c>
      <c r="L197" s="266" t="s">
        <v>739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699</v>
      </c>
      <c r="E198" s="253">
        <v>45628</v>
      </c>
      <c r="F198" s="260">
        <v>58.51</v>
      </c>
      <c r="G198" s="591" t="s">
        <v>55</v>
      </c>
      <c r="H198" s="592"/>
      <c r="I198" s="592"/>
      <c r="J198" s="593"/>
      <c r="K198" s="257">
        <v>45637</v>
      </c>
      <c r="L198" s="267" t="s">
        <v>722</v>
      </c>
      <c r="M198" s="76"/>
      <c r="N198" s="76"/>
      <c r="O198" s="76"/>
      <c r="P198" s="76"/>
    </row>
    <row r="199" spans="1:16" ht="15">
      <c r="A199" s="75">
        <v>187</v>
      </c>
      <c r="B199" s="216" t="s">
        <v>509</v>
      </c>
      <c r="C199" s="445" t="s">
        <v>224</v>
      </c>
      <c r="D199" s="236" t="s">
        <v>697</v>
      </c>
      <c r="E199" s="253">
        <v>45635</v>
      </c>
      <c r="F199" s="260">
        <v>41.37</v>
      </c>
      <c r="G199" s="591" t="s">
        <v>55</v>
      </c>
      <c r="H199" s="592"/>
      <c r="I199" s="592"/>
      <c r="J199" s="593"/>
      <c r="K199" s="257">
        <v>45639</v>
      </c>
      <c r="L199" s="266" t="s">
        <v>738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702</v>
      </c>
      <c r="D200" s="239" t="s">
        <v>699</v>
      </c>
      <c r="E200" s="253">
        <v>45635</v>
      </c>
      <c r="F200" s="260">
        <v>113.26</v>
      </c>
      <c r="G200" s="591" t="s">
        <v>55</v>
      </c>
      <c r="H200" s="592"/>
      <c r="I200" s="592"/>
      <c r="J200" s="593"/>
      <c r="K200" s="257">
        <v>45641</v>
      </c>
      <c r="L200" s="266" t="s">
        <v>741</v>
      </c>
      <c r="M200" s="76"/>
      <c r="N200" s="76"/>
      <c r="O200" s="76"/>
      <c r="P200" s="76"/>
    </row>
    <row r="201" spans="1:16" ht="15">
      <c r="A201" s="75">
        <v>189</v>
      </c>
      <c r="B201" s="216" t="s">
        <v>584</v>
      </c>
      <c r="C201" s="445" t="s">
        <v>225</v>
      </c>
      <c r="D201" s="236" t="s">
        <v>697</v>
      </c>
      <c r="E201" s="253">
        <v>45635</v>
      </c>
      <c r="F201" s="260">
        <v>37.64</v>
      </c>
      <c r="G201" s="591" t="s">
        <v>55</v>
      </c>
      <c r="H201" s="592"/>
      <c r="I201" s="592"/>
      <c r="J201" s="593"/>
      <c r="K201" s="257">
        <v>45642</v>
      </c>
      <c r="L201" s="266" t="s">
        <v>743</v>
      </c>
      <c r="M201" s="76"/>
      <c r="N201" s="76"/>
      <c r="O201" s="76"/>
      <c r="P201" s="76"/>
    </row>
    <row r="202" spans="1:16" ht="15">
      <c r="A202" s="75">
        <v>190</v>
      </c>
      <c r="B202" s="216" t="s">
        <v>501</v>
      </c>
      <c r="C202" s="445" t="s">
        <v>195</v>
      </c>
      <c r="D202" s="236" t="s">
        <v>697</v>
      </c>
      <c r="E202" s="253">
        <v>45635</v>
      </c>
      <c r="F202" s="260">
        <v>37.64</v>
      </c>
      <c r="G202" s="591" t="s">
        <v>55</v>
      </c>
      <c r="H202" s="592"/>
      <c r="I202" s="592"/>
      <c r="J202" s="593"/>
      <c r="K202" s="257">
        <v>45642</v>
      </c>
      <c r="L202" s="266" t="s">
        <v>734</v>
      </c>
      <c r="M202" s="76"/>
      <c r="N202" s="76"/>
      <c r="O202" s="76"/>
      <c r="P202" s="76"/>
    </row>
    <row r="203" spans="1:16" ht="15">
      <c r="A203" s="75">
        <v>191</v>
      </c>
      <c r="B203" s="216" t="s">
        <v>532</v>
      </c>
      <c r="C203" s="445" t="s">
        <v>224</v>
      </c>
      <c r="D203" s="236" t="s">
        <v>697</v>
      </c>
      <c r="E203" s="253">
        <v>45635</v>
      </c>
      <c r="F203" s="260">
        <v>41.37</v>
      </c>
      <c r="G203" s="591" t="s">
        <v>55</v>
      </c>
      <c r="H203" s="592"/>
      <c r="I203" s="592"/>
      <c r="J203" s="593"/>
      <c r="K203" s="257">
        <v>45642</v>
      </c>
      <c r="L203" s="266" t="s">
        <v>730</v>
      </c>
      <c r="M203" s="76"/>
      <c r="N203" s="76"/>
      <c r="O203" s="76"/>
      <c r="P203" s="76"/>
    </row>
    <row r="204" spans="1:16" ht="15">
      <c r="A204" s="75">
        <v>192</v>
      </c>
      <c r="B204" s="216" t="s">
        <v>557</v>
      </c>
      <c r="C204" s="445" t="s">
        <v>558</v>
      </c>
      <c r="D204" s="236" t="s">
        <v>697</v>
      </c>
      <c r="E204" s="253">
        <v>45635</v>
      </c>
      <c r="F204" s="260">
        <v>94.55</v>
      </c>
      <c r="G204" s="591" t="s">
        <v>55</v>
      </c>
      <c r="H204" s="592"/>
      <c r="I204" s="592"/>
      <c r="J204" s="593"/>
      <c r="K204" s="257">
        <v>45643</v>
      </c>
      <c r="L204" s="266" t="s">
        <v>728</v>
      </c>
      <c r="M204" s="76"/>
      <c r="N204" s="76"/>
      <c r="O204" s="76"/>
      <c r="P204" s="76"/>
    </row>
    <row r="205" spans="1:16">
      <c r="A205" s="75">
        <v>193</v>
      </c>
      <c r="B205" s="216" t="s">
        <v>655</v>
      </c>
      <c r="C205" s="445" t="s">
        <v>225</v>
      </c>
      <c r="D205" s="239" t="s">
        <v>700</v>
      </c>
      <c r="E205" s="253">
        <v>45635</v>
      </c>
      <c r="F205" s="260">
        <v>68.849999999999994</v>
      </c>
      <c r="G205" s="591" t="s">
        <v>55</v>
      </c>
      <c r="H205" s="592"/>
      <c r="I205" s="592"/>
      <c r="J205" s="593"/>
      <c r="K205" s="257">
        <v>45643</v>
      </c>
      <c r="L205" s="10" t="s">
        <v>740</v>
      </c>
      <c r="M205" s="76"/>
      <c r="N205" s="76"/>
      <c r="O205" s="76"/>
      <c r="P205" s="76"/>
    </row>
    <row r="206" spans="1:16">
      <c r="A206" s="75">
        <v>194</v>
      </c>
      <c r="B206" s="216" t="s">
        <v>561</v>
      </c>
      <c r="C206" s="445" t="s">
        <v>225</v>
      </c>
      <c r="D206" s="239" t="s">
        <v>700</v>
      </c>
      <c r="E206" s="253">
        <v>45635</v>
      </c>
      <c r="F206" s="260">
        <v>68.849999999999994</v>
      </c>
      <c r="G206" s="591" t="s">
        <v>55</v>
      </c>
      <c r="H206" s="592"/>
      <c r="I206" s="592"/>
      <c r="J206" s="593"/>
      <c r="K206" s="257">
        <v>45643</v>
      </c>
      <c r="L206" s="268" t="s">
        <v>736</v>
      </c>
      <c r="M206" s="76"/>
      <c r="N206" s="76"/>
      <c r="O206" s="76"/>
      <c r="P206" s="76"/>
    </row>
    <row r="207" spans="1:16">
      <c r="A207" s="75">
        <v>195</v>
      </c>
      <c r="B207" s="216" t="s">
        <v>436</v>
      </c>
      <c r="C207" s="445" t="s">
        <v>226</v>
      </c>
      <c r="D207" s="239" t="s">
        <v>700</v>
      </c>
      <c r="E207" s="253">
        <v>45635</v>
      </c>
      <c r="F207" s="260">
        <v>71.430000000000007</v>
      </c>
      <c r="G207" s="591" t="s">
        <v>55</v>
      </c>
      <c r="H207" s="592"/>
      <c r="I207" s="592"/>
      <c r="J207" s="593"/>
      <c r="K207" s="257">
        <v>45644</v>
      </c>
      <c r="L207" s="266" t="s">
        <v>731</v>
      </c>
      <c r="M207" s="76"/>
      <c r="N207" s="76"/>
      <c r="O207" s="76"/>
      <c r="P207" s="76"/>
    </row>
    <row r="208" spans="1:16" ht="15">
      <c r="A208" s="75">
        <v>196</v>
      </c>
      <c r="B208" s="216" t="s">
        <v>526</v>
      </c>
      <c r="C208" s="445" t="s">
        <v>318</v>
      </c>
      <c r="D208" s="236" t="s">
        <v>697</v>
      </c>
      <c r="E208" s="253">
        <v>45636</v>
      </c>
      <c r="F208" s="260">
        <v>65.713999999999999</v>
      </c>
      <c r="G208" s="591" t="s">
        <v>55</v>
      </c>
      <c r="H208" s="592"/>
      <c r="I208" s="592"/>
      <c r="J208" s="593"/>
      <c r="K208" s="253">
        <v>45646</v>
      </c>
      <c r="L208" s="266" t="s">
        <v>738</v>
      </c>
      <c r="M208" s="76"/>
      <c r="N208" s="76"/>
      <c r="O208" s="76"/>
      <c r="P208" s="76"/>
    </row>
    <row r="209" spans="1:16" ht="15">
      <c r="A209" s="75">
        <v>197</v>
      </c>
      <c r="B209" s="216" t="s">
        <v>524</v>
      </c>
      <c r="C209" s="445" t="s">
        <v>318</v>
      </c>
      <c r="D209" s="236" t="s">
        <v>697</v>
      </c>
      <c r="E209" s="253">
        <v>45636</v>
      </c>
      <c r="F209" s="260">
        <v>65.713999999999999</v>
      </c>
      <c r="G209" s="591" t="s">
        <v>55</v>
      </c>
      <c r="H209" s="592"/>
      <c r="I209" s="592"/>
      <c r="J209" s="593"/>
      <c r="K209" s="253">
        <v>45646</v>
      </c>
      <c r="L209" s="266" t="s">
        <v>732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5" t="s">
        <v>225</v>
      </c>
      <c r="D210" s="236" t="s">
        <v>697</v>
      </c>
      <c r="E210" s="253">
        <v>45641</v>
      </c>
      <c r="F210" s="260">
        <v>37.64</v>
      </c>
      <c r="G210" s="591" t="s">
        <v>55</v>
      </c>
      <c r="H210" s="592"/>
      <c r="I210" s="592"/>
      <c r="J210" s="593"/>
      <c r="K210" s="253">
        <v>45646</v>
      </c>
      <c r="L210" s="266" t="s">
        <v>741</v>
      </c>
      <c r="M210" s="76"/>
      <c r="N210" s="76"/>
      <c r="O210" s="76"/>
      <c r="P210" s="76"/>
    </row>
    <row r="211" spans="1:16" ht="15">
      <c r="A211" s="75">
        <v>199</v>
      </c>
      <c r="B211" s="216" t="s">
        <v>372</v>
      </c>
      <c r="C211" s="441" t="s">
        <v>702</v>
      </c>
      <c r="D211" s="236" t="s">
        <v>697</v>
      </c>
      <c r="E211" s="253">
        <v>45636</v>
      </c>
      <c r="F211" s="260">
        <v>77.81</v>
      </c>
      <c r="G211" s="591" t="s">
        <v>55</v>
      </c>
      <c r="H211" s="592"/>
      <c r="I211" s="592"/>
      <c r="J211" s="593"/>
      <c r="K211" s="253">
        <v>45647</v>
      </c>
      <c r="L211" s="266" t="s">
        <v>739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699</v>
      </c>
      <c r="E212" s="253">
        <v>45636</v>
      </c>
      <c r="F212" s="260">
        <v>58.51</v>
      </c>
      <c r="G212" s="591" t="s">
        <v>55</v>
      </c>
      <c r="H212" s="592"/>
      <c r="I212" s="592"/>
      <c r="J212" s="593"/>
      <c r="K212" s="253">
        <v>45648</v>
      </c>
      <c r="L212" s="267" t="s">
        <v>722</v>
      </c>
      <c r="M212" s="76"/>
      <c r="N212" s="76"/>
      <c r="O212" s="76"/>
      <c r="P212" s="76"/>
    </row>
    <row r="213" spans="1:16" ht="15">
      <c r="A213" s="75">
        <v>201</v>
      </c>
      <c r="B213" s="216" t="s">
        <v>548</v>
      </c>
      <c r="C213" s="441" t="s">
        <v>701</v>
      </c>
      <c r="D213" s="236" t="s">
        <v>697</v>
      </c>
      <c r="E213" s="253">
        <v>45636</v>
      </c>
      <c r="F213" s="260">
        <v>65.912000000000006</v>
      </c>
      <c r="G213" s="591" t="s">
        <v>55</v>
      </c>
      <c r="H213" s="592"/>
      <c r="I213" s="592"/>
      <c r="J213" s="593"/>
      <c r="K213" s="253">
        <v>45650</v>
      </c>
      <c r="L213" s="266" t="s">
        <v>728</v>
      </c>
      <c r="M213" s="76"/>
      <c r="N213" s="76"/>
      <c r="O213" s="76"/>
      <c r="P213" s="76"/>
    </row>
    <row r="214" spans="1:16" ht="15">
      <c r="A214" s="75">
        <v>202</v>
      </c>
      <c r="B214" s="216" t="s">
        <v>525</v>
      </c>
      <c r="C214" s="441" t="s">
        <v>224</v>
      </c>
      <c r="D214" s="236" t="s">
        <v>697</v>
      </c>
      <c r="E214" s="253">
        <v>45643</v>
      </c>
      <c r="F214" s="260">
        <v>41.37</v>
      </c>
      <c r="G214" s="591" t="s">
        <v>55</v>
      </c>
      <c r="H214" s="592"/>
      <c r="I214" s="592"/>
      <c r="J214" s="593"/>
      <c r="K214" s="253">
        <v>45650</v>
      </c>
      <c r="L214" s="266" t="s">
        <v>743</v>
      </c>
      <c r="M214" s="76"/>
      <c r="N214" s="76"/>
      <c r="O214" s="76"/>
      <c r="P214" s="76"/>
    </row>
    <row r="215" spans="1:16" ht="15">
      <c r="A215" s="75">
        <v>203</v>
      </c>
      <c r="B215" s="216" t="s">
        <v>604</v>
      </c>
      <c r="C215" s="441" t="s">
        <v>225</v>
      </c>
      <c r="D215" s="236" t="s">
        <v>697</v>
      </c>
      <c r="E215" s="253">
        <v>45645</v>
      </c>
      <c r="F215" s="260">
        <v>37.64</v>
      </c>
      <c r="G215" s="591" t="s">
        <v>55</v>
      </c>
      <c r="H215" s="592"/>
      <c r="I215" s="592"/>
      <c r="J215" s="593"/>
      <c r="K215" s="253">
        <v>45653</v>
      </c>
      <c r="L215" s="266" t="s">
        <v>731</v>
      </c>
      <c r="M215" s="76"/>
      <c r="N215" s="76"/>
      <c r="O215" s="76"/>
      <c r="P215" s="76"/>
    </row>
    <row r="216" spans="1:16" ht="15">
      <c r="A216" s="75">
        <v>204</v>
      </c>
      <c r="B216" s="216" t="s">
        <v>538</v>
      </c>
      <c r="C216" s="441" t="s">
        <v>248</v>
      </c>
      <c r="D216" s="236" t="s">
        <v>697</v>
      </c>
      <c r="E216" s="253">
        <v>45646</v>
      </c>
      <c r="F216" s="260">
        <v>58.25</v>
      </c>
      <c r="G216" s="591" t="s">
        <v>55</v>
      </c>
      <c r="H216" s="592"/>
      <c r="I216" s="592"/>
      <c r="J216" s="593"/>
      <c r="K216" s="253">
        <v>45653</v>
      </c>
      <c r="L216" s="266" t="s">
        <v>730</v>
      </c>
      <c r="M216" s="76"/>
      <c r="N216" s="76"/>
      <c r="O216" s="76"/>
      <c r="P216" s="76"/>
    </row>
    <row r="217" spans="1:16" ht="15">
      <c r="A217" s="75">
        <v>205</v>
      </c>
      <c r="B217" s="216" t="s">
        <v>437</v>
      </c>
      <c r="C217" s="441" t="s">
        <v>226</v>
      </c>
      <c r="D217" s="238" t="s">
        <v>700</v>
      </c>
      <c r="E217" s="253">
        <v>45616</v>
      </c>
      <c r="F217" s="260">
        <v>71.430000000000007</v>
      </c>
      <c r="G217" s="591" t="s">
        <v>55</v>
      </c>
      <c r="H217" s="592"/>
      <c r="I217" s="592"/>
      <c r="J217" s="593"/>
      <c r="K217" s="253">
        <v>45653</v>
      </c>
      <c r="L217" s="10" t="s">
        <v>740</v>
      </c>
      <c r="M217" s="76"/>
      <c r="N217" s="76"/>
      <c r="O217" s="76"/>
      <c r="P217" s="76"/>
    </row>
    <row r="218" spans="1:16" ht="15">
      <c r="A218" s="75">
        <v>206</v>
      </c>
      <c r="B218" s="216" t="s">
        <v>276</v>
      </c>
      <c r="C218" s="441" t="s">
        <v>318</v>
      </c>
      <c r="D218" s="236" t="s">
        <v>697</v>
      </c>
      <c r="E218" s="253">
        <v>45644</v>
      </c>
      <c r="F218" s="260">
        <v>65.713999999999999</v>
      </c>
      <c r="G218" s="591" t="s">
        <v>55</v>
      </c>
      <c r="H218" s="592"/>
      <c r="I218" s="592"/>
      <c r="J218" s="593"/>
      <c r="K218" s="253">
        <v>45654</v>
      </c>
      <c r="L218" s="268" t="s">
        <v>736</v>
      </c>
      <c r="M218" s="76"/>
      <c r="N218" s="76"/>
      <c r="O218" s="76"/>
      <c r="P218" s="76"/>
    </row>
    <row r="219" spans="1:16" ht="15">
      <c r="A219" s="75">
        <v>207</v>
      </c>
      <c r="B219" s="216" t="s">
        <v>543</v>
      </c>
      <c r="C219" s="441" t="s">
        <v>195</v>
      </c>
      <c r="D219" s="236" t="s">
        <v>697</v>
      </c>
      <c r="E219" s="252">
        <v>45649</v>
      </c>
      <c r="F219" s="260">
        <v>37.64</v>
      </c>
      <c r="G219" s="591" t="s">
        <v>55</v>
      </c>
      <c r="H219" s="592"/>
      <c r="I219" s="592"/>
      <c r="J219" s="593"/>
      <c r="K219" s="253">
        <v>45657</v>
      </c>
      <c r="L219" s="266" t="s">
        <v>743</v>
      </c>
      <c r="M219" s="76"/>
      <c r="N219" s="76"/>
      <c r="O219" s="76"/>
      <c r="P219" s="76"/>
    </row>
    <row r="220" spans="1:16" ht="15">
      <c r="A220" s="75">
        <v>208</v>
      </c>
      <c r="B220" s="216" t="s">
        <v>376</v>
      </c>
      <c r="C220" s="441" t="s">
        <v>351</v>
      </c>
      <c r="D220" s="238" t="s">
        <v>699</v>
      </c>
      <c r="E220" s="252">
        <v>45649</v>
      </c>
      <c r="F220" s="260">
        <v>82.51</v>
      </c>
      <c r="G220" s="591" t="s">
        <v>55</v>
      </c>
      <c r="H220" s="592"/>
      <c r="I220" s="592"/>
      <c r="J220" s="593"/>
      <c r="K220" s="253">
        <v>45657</v>
      </c>
      <c r="L220" s="266" t="s">
        <v>722</v>
      </c>
      <c r="M220" s="76"/>
      <c r="N220" s="76"/>
      <c r="O220" s="76"/>
      <c r="P220" s="76"/>
    </row>
    <row r="221" spans="1:16" ht="15">
      <c r="A221" s="75">
        <v>209</v>
      </c>
      <c r="B221" s="216" t="s">
        <v>618</v>
      </c>
      <c r="C221" s="441" t="s">
        <v>225</v>
      </c>
      <c r="D221" s="238" t="s">
        <v>699</v>
      </c>
      <c r="E221" s="253">
        <v>45620</v>
      </c>
      <c r="F221" s="260">
        <v>58.51</v>
      </c>
      <c r="G221" s="591" t="s">
        <v>55</v>
      </c>
      <c r="H221" s="592"/>
      <c r="I221" s="592"/>
      <c r="J221" s="593"/>
      <c r="K221" s="253">
        <v>45659</v>
      </c>
      <c r="L221" s="266" t="s">
        <v>744</v>
      </c>
      <c r="M221" s="76"/>
      <c r="N221" s="76"/>
      <c r="O221" s="76"/>
      <c r="P221" s="76"/>
    </row>
    <row r="222" spans="1:16" ht="15">
      <c r="A222" s="75">
        <v>210</v>
      </c>
      <c r="B222" s="216" t="s">
        <v>688</v>
      </c>
      <c r="C222" s="441" t="s">
        <v>195</v>
      </c>
      <c r="D222" s="238" t="s">
        <v>699</v>
      </c>
      <c r="E222" s="253">
        <v>45620</v>
      </c>
      <c r="F222" s="260">
        <v>58.51</v>
      </c>
      <c r="G222" s="591" t="s">
        <v>55</v>
      </c>
      <c r="H222" s="592"/>
      <c r="I222" s="592"/>
      <c r="J222" s="593"/>
      <c r="K222" s="253">
        <v>45659</v>
      </c>
      <c r="L222" s="266" t="s">
        <v>741</v>
      </c>
      <c r="M222" s="76"/>
      <c r="N222" s="76"/>
      <c r="O222" s="76"/>
      <c r="P222" s="76"/>
    </row>
    <row r="223" spans="1:16" ht="15">
      <c r="A223" s="75">
        <v>211</v>
      </c>
      <c r="B223" s="216" t="s">
        <v>601</v>
      </c>
      <c r="C223" s="441" t="s">
        <v>703</v>
      </c>
      <c r="D223" s="236" t="s">
        <v>697</v>
      </c>
      <c r="E223" s="253">
        <v>45643</v>
      </c>
      <c r="F223" s="260">
        <v>77.81</v>
      </c>
      <c r="G223" s="591" t="s">
        <v>55</v>
      </c>
      <c r="H223" s="592"/>
      <c r="I223" s="592"/>
      <c r="J223" s="593"/>
      <c r="K223" s="253">
        <v>45660</v>
      </c>
      <c r="L223" s="266" t="s">
        <v>727</v>
      </c>
      <c r="M223" s="76"/>
      <c r="N223" s="76"/>
      <c r="O223" s="76"/>
      <c r="P223" s="76"/>
    </row>
    <row r="224" spans="1:16" ht="15">
      <c r="A224" s="75">
        <v>212</v>
      </c>
      <c r="B224" s="216" t="s">
        <v>573</v>
      </c>
      <c r="C224" s="441" t="s">
        <v>225</v>
      </c>
      <c r="D224" s="238" t="s">
        <v>699</v>
      </c>
      <c r="E224" s="253">
        <v>45620</v>
      </c>
      <c r="F224" s="260">
        <v>58.51</v>
      </c>
      <c r="G224" s="591" t="s">
        <v>55</v>
      </c>
      <c r="H224" s="592"/>
      <c r="I224" s="592"/>
      <c r="J224" s="593"/>
      <c r="K224" s="253">
        <v>45660</v>
      </c>
      <c r="L224" s="266" t="s">
        <v>739</v>
      </c>
      <c r="M224" s="76"/>
      <c r="N224" s="76"/>
      <c r="O224" s="76"/>
      <c r="P224" s="76"/>
    </row>
    <row r="225" spans="1:16" ht="15">
      <c r="A225" s="75">
        <v>213</v>
      </c>
      <c r="B225" s="216" t="s">
        <v>574</v>
      </c>
      <c r="C225" s="441" t="s">
        <v>380</v>
      </c>
      <c r="D225" s="236" t="s">
        <v>697</v>
      </c>
      <c r="E225" s="253">
        <v>45616</v>
      </c>
      <c r="F225" s="260">
        <v>169.70999999999998</v>
      </c>
      <c r="G225" s="591" t="s">
        <v>55</v>
      </c>
      <c r="H225" s="592"/>
      <c r="I225" s="592"/>
      <c r="J225" s="593"/>
      <c r="K225" s="253">
        <v>45666</v>
      </c>
      <c r="L225" s="266" t="s">
        <v>734</v>
      </c>
      <c r="M225" s="76"/>
      <c r="N225" s="76"/>
      <c r="O225" s="76"/>
      <c r="P225" s="76"/>
    </row>
    <row r="226" spans="1:16" ht="15">
      <c r="A226" s="75">
        <v>214</v>
      </c>
      <c r="B226" s="216" t="s">
        <v>530</v>
      </c>
      <c r="C226" s="441" t="s">
        <v>248</v>
      </c>
      <c r="D226" s="236" t="s">
        <v>697</v>
      </c>
      <c r="E226" s="252">
        <v>45655</v>
      </c>
      <c r="F226" s="260">
        <v>58.25</v>
      </c>
      <c r="G226" s="591" t="s">
        <v>55</v>
      </c>
      <c r="H226" s="592"/>
      <c r="I226" s="592"/>
      <c r="J226" s="593"/>
      <c r="K226" s="253">
        <v>45666</v>
      </c>
      <c r="L226" s="266" t="s">
        <v>730</v>
      </c>
      <c r="M226" s="76"/>
      <c r="N226" s="76"/>
      <c r="O226" s="76"/>
      <c r="P226" s="76"/>
    </row>
    <row r="227" spans="1:16" ht="15">
      <c r="A227" s="75">
        <v>215</v>
      </c>
      <c r="B227" s="216" t="s">
        <v>435</v>
      </c>
      <c r="C227" s="441" t="s">
        <v>318</v>
      </c>
      <c r="D227" s="238" t="s">
        <v>699</v>
      </c>
      <c r="E227" s="252">
        <v>45660</v>
      </c>
      <c r="F227" s="260">
        <v>95.47</v>
      </c>
      <c r="G227" s="591" t="s">
        <v>55</v>
      </c>
      <c r="H227" s="592"/>
      <c r="I227" s="592"/>
      <c r="J227" s="593"/>
      <c r="K227" s="253">
        <v>45667</v>
      </c>
      <c r="L227" s="266" t="s">
        <v>738</v>
      </c>
      <c r="M227" s="76"/>
      <c r="N227" s="76"/>
      <c r="O227" s="76"/>
      <c r="P227" s="76"/>
    </row>
    <row r="228" spans="1:16" ht="15">
      <c r="A228" s="75">
        <v>216</v>
      </c>
      <c r="B228" s="216" t="s">
        <v>552</v>
      </c>
      <c r="C228" s="441" t="s">
        <v>224</v>
      </c>
      <c r="D228" s="238" t="s">
        <v>699</v>
      </c>
      <c r="E228" s="252">
        <v>45660</v>
      </c>
      <c r="F228" s="260">
        <v>61.059999999999995</v>
      </c>
      <c r="G228" s="591" t="s">
        <v>55</v>
      </c>
      <c r="H228" s="592"/>
      <c r="I228" s="592"/>
      <c r="J228" s="593"/>
      <c r="K228" s="253">
        <v>45668</v>
      </c>
      <c r="L228" s="266" t="s">
        <v>744</v>
      </c>
      <c r="M228" s="76"/>
      <c r="N228" s="76"/>
      <c r="O228" s="76"/>
      <c r="P228" s="76"/>
    </row>
    <row r="229" spans="1:16" ht="15">
      <c r="A229" s="75">
        <v>217</v>
      </c>
      <c r="B229" s="216" t="s">
        <v>359</v>
      </c>
      <c r="C229" s="441" t="s">
        <v>558</v>
      </c>
      <c r="D229" s="238" t="s">
        <v>699</v>
      </c>
      <c r="E229" s="252">
        <v>45660</v>
      </c>
      <c r="F229" s="260">
        <v>139.03</v>
      </c>
      <c r="G229" s="591" t="s">
        <v>55</v>
      </c>
      <c r="H229" s="592"/>
      <c r="I229" s="592"/>
      <c r="J229" s="593"/>
      <c r="K229" s="253">
        <v>45668</v>
      </c>
      <c r="L229" s="266" t="s">
        <v>740</v>
      </c>
      <c r="M229" s="76"/>
      <c r="N229" s="76"/>
      <c r="O229" s="76"/>
      <c r="P229" s="76"/>
    </row>
    <row r="230" spans="1:16">
      <c r="A230" s="75">
        <v>218</v>
      </c>
      <c r="B230" s="216" t="s">
        <v>689</v>
      </c>
      <c r="C230" s="441" t="s">
        <v>224</v>
      </c>
      <c r="D230" s="239" t="s">
        <v>700</v>
      </c>
      <c r="E230" s="252">
        <v>45660</v>
      </c>
      <c r="F230" s="260">
        <v>71.430000000000007</v>
      </c>
      <c r="G230" s="591" t="s">
        <v>55</v>
      </c>
      <c r="H230" s="592"/>
      <c r="I230" s="592"/>
      <c r="J230" s="593"/>
      <c r="K230" s="253">
        <v>45668</v>
      </c>
      <c r="L230" s="266" t="s">
        <v>741</v>
      </c>
      <c r="M230" s="76"/>
      <c r="N230" s="76"/>
      <c r="O230" s="76"/>
      <c r="P230" s="76"/>
    </row>
    <row r="231" spans="1:16" ht="15">
      <c r="A231" s="75">
        <v>219</v>
      </c>
      <c r="B231" s="216" t="s">
        <v>361</v>
      </c>
      <c r="C231" s="441" t="s">
        <v>702</v>
      </c>
      <c r="D231" s="236" t="s">
        <v>697</v>
      </c>
      <c r="E231" s="252">
        <v>45660</v>
      </c>
      <c r="F231" s="260">
        <v>77.81</v>
      </c>
      <c r="G231" s="591" t="s">
        <v>55</v>
      </c>
      <c r="H231" s="592"/>
      <c r="I231" s="592"/>
      <c r="J231" s="593"/>
      <c r="K231" s="253">
        <v>45668</v>
      </c>
      <c r="L231" s="266" t="s">
        <v>736</v>
      </c>
      <c r="M231" s="76"/>
      <c r="N231" s="76"/>
      <c r="O231" s="76"/>
      <c r="P231" s="76"/>
    </row>
    <row r="232" spans="1:16" ht="15">
      <c r="A232" s="75">
        <v>220</v>
      </c>
      <c r="B232" s="216" t="s">
        <v>371</v>
      </c>
      <c r="C232" s="441" t="s">
        <v>628</v>
      </c>
      <c r="D232" s="236" t="s">
        <v>697</v>
      </c>
      <c r="E232" s="252">
        <v>45661</v>
      </c>
      <c r="F232" s="260">
        <v>94.55</v>
      </c>
      <c r="G232" s="591" t="s">
        <v>55</v>
      </c>
      <c r="H232" s="592"/>
      <c r="I232" s="592"/>
      <c r="J232" s="593"/>
      <c r="K232" s="253">
        <v>45669</v>
      </c>
      <c r="L232" s="266" t="s">
        <v>739</v>
      </c>
      <c r="M232" s="76"/>
      <c r="N232" s="76"/>
      <c r="O232" s="76"/>
      <c r="P232" s="76"/>
    </row>
    <row r="233" spans="1:16" ht="15">
      <c r="A233" s="75">
        <v>221</v>
      </c>
      <c r="B233" s="216" t="s">
        <v>638</v>
      </c>
      <c r="C233" s="441" t="s">
        <v>380</v>
      </c>
      <c r="D233" s="236" t="s">
        <v>704</v>
      </c>
      <c r="E233" s="252">
        <v>45654</v>
      </c>
      <c r="F233" s="260">
        <v>326.61999999999995</v>
      </c>
      <c r="G233" s="591" t="s">
        <v>55</v>
      </c>
      <c r="H233" s="592"/>
      <c r="I233" s="592"/>
      <c r="J233" s="593"/>
      <c r="K233" s="253">
        <v>45669</v>
      </c>
      <c r="L233" s="266" t="s">
        <v>728</v>
      </c>
      <c r="M233" s="76"/>
      <c r="N233" s="76"/>
      <c r="O233" s="76"/>
      <c r="P233" s="76"/>
    </row>
    <row r="234" spans="1:16" ht="15">
      <c r="A234" s="75">
        <v>222</v>
      </c>
      <c r="B234" s="216" t="s">
        <v>588</v>
      </c>
      <c r="C234" s="441" t="s">
        <v>380</v>
      </c>
      <c r="D234" s="236" t="s">
        <v>697</v>
      </c>
      <c r="E234" s="253">
        <v>45652</v>
      </c>
      <c r="F234" s="260">
        <v>169.70999999999998</v>
      </c>
      <c r="G234" s="591" t="s">
        <v>55</v>
      </c>
      <c r="H234" s="592"/>
      <c r="I234" s="592"/>
      <c r="J234" s="593"/>
      <c r="K234" s="253">
        <v>45671</v>
      </c>
      <c r="L234" s="266" t="s">
        <v>732</v>
      </c>
      <c r="M234" s="76"/>
      <c r="N234" s="76"/>
      <c r="O234" s="76"/>
      <c r="P234" s="76"/>
    </row>
    <row r="235" spans="1:16" ht="15">
      <c r="A235" s="75">
        <v>223</v>
      </c>
      <c r="B235" s="216" t="s">
        <v>578</v>
      </c>
      <c r="C235" s="441" t="s">
        <v>224</v>
      </c>
      <c r="D235" s="236" t="s">
        <v>697</v>
      </c>
      <c r="E235" s="253">
        <v>45667</v>
      </c>
      <c r="F235" s="260">
        <v>41.37</v>
      </c>
      <c r="G235" s="591" t="s">
        <v>55</v>
      </c>
      <c r="H235" s="592"/>
      <c r="I235" s="592"/>
      <c r="J235" s="593"/>
      <c r="K235" s="253">
        <v>45671</v>
      </c>
      <c r="L235" s="266" t="s">
        <v>727</v>
      </c>
      <c r="M235" s="76"/>
      <c r="N235" s="76"/>
      <c r="O235" s="76"/>
      <c r="P235" s="76"/>
    </row>
    <row r="236" spans="1:16" ht="15">
      <c r="A236" s="75">
        <v>224</v>
      </c>
      <c r="B236" s="216" t="s">
        <v>373</v>
      </c>
      <c r="C236" s="441" t="s">
        <v>349</v>
      </c>
      <c r="D236" s="238" t="s">
        <v>699</v>
      </c>
      <c r="E236" s="252">
        <v>45660</v>
      </c>
      <c r="F236" s="260">
        <v>98.56</v>
      </c>
      <c r="G236" s="591" t="s">
        <v>55</v>
      </c>
      <c r="H236" s="592"/>
      <c r="I236" s="592"/>
      <c r="J236" s="593"/>
      <c r="K236" s="253">
        <v>45672</v>
      </c>
      <c r="L236" s="266" t="s">
        <v>731</v>
      </c>
      <c r="M236" s="76"/>
      <c r="N236" s="76"/>
      <c r="O236" s="76"/>
      <c r="P236" s="76"/>
    </row>
    <row r="237" spans="1:16" ht="15">
      <c r="A237" s="75">
        <v>225</v>
      </c>
      <c r="B237" s="216" t="s">
        <v>620</v>
      </c>
      <c r="C237" s="441" t="s">
        <v>224</v>
      </c>
      <c r="D237" s="238" t="s">
        <v>699</v>
      </c>
      <c r="E237" s="253">
        <v>45667</v>
      </c>
      <c r="F237" s="260">
        <v>61.059999999999995</v>
      </c>
      <c r="G237" s="591" t="s">
        <v>55</v>
      </c>
      <c r="H237" s="592"/>
      <c r="I237" s="592"/>
      <c r="J237" s="593"/>
      <c r="K237" s="253">
        <v>45675</v>
      </c>
      <c r="L237" s="266" t="s">
        <v>738</v>
      </c>
      <c r="M237" s="76"/>
      <c r="N237" s="76"/>
      <c r="O237" s="76"/>
      <c r="P237" s="76"/>
    </row>
    <row r="238" spans="1:16" ht="15">
      <c r="A238" s="75">
        <v>226</v>
      </c>
      <c r="B238" s="216" t="s">
        <v>580</v>
      </c>
      <c r="C238" s="441" t="s">
        <v>225</v>
      </c>
      <c r="D238" s="236" t="s">
        <v>697</v>
      </c>
      <c r="E238" s="253">
        <v>45669</v>
      </c>
      <c r="F238" s="260">
        <v>37.64</v>
      </c>
      <c r="G238" s="591" t="s">
        <v>55</v>
      </c>
      <c r="H238" s="592"/>
      <c r="I238" s="592"/>
      <c r="J238" s="593"/>
      <c r="K238" s="253">
        <v>45677</v>
      </c>
      <c r="L238" s="268" t="s">
        <v>736</v>
      </c>
      <c r="M238" s="76"/>
      <c r="N238" s="76"/>
      <c r="O238" s="76"/>
      <c r="P238" s="76"/>
    </row>
    <row r="239" spans="1:16" ht="15">
      <c r="A239" s="75">
        <v>227</v>
      </c>
      <c r="B239" s="216" t="s">
        <v>554</v>
      </c>
      <c r="C239" s="441" t="s">
        <v>224</v>
      </c>
      <c r="D239" s="236" t="s">
        <v>697</v>
      </c>
      <c r="E239" s="253">
        <v>45667</v>
      </c>
      <c r="F239" s="260">
        <v>41.37</v>
      </c>
      <c r="G239" s="591" t="s">
        <v>55</v>
      </c>
      <c r="H239" s="592"/>
      <c r="I239" s="592"/>
      <c r="J239" s="593"/>
      <c r="K239" s="253">
        <v>45677</v>
      </c>
      <c r="L239" s="266" t="s">
        <v>734</v>
      </c>
      <c r="M239" s="76"/>
      <c r="N239" s="76"/>
      <c r="O239" s="76"/>
      <c r="P239" s="76"/>
    </row>
    <row r="240" spans="1:16" ht="15">
      <c r="A240" s="75">
        <v>228</v>
      </c>
      <c r="B240" s="216" t="s">
        <v>317</v>
      </c>
      <c r="C240" s="441" t="s">
        <v>349</v>
      </c>
      <c r="D240" s="236" t="s">
        <v>700</v>
      </c>
      <c r="E240" s="252">
        <v>45661</v>
      </c>
      <c r="F240" s="260">
        <v>111.17</v>
      </c>
      <c r="G240" s="591" t="s">
        <v>55</v>
      </c>
      <c r="H240" s="592"/>
      <c r="I240" s="592"/>
      <c r="J240" s="593"/>
      <c r="K240" s="253">
        <v>45679</v>
      </c>
      <c r="L240" s="266" t="s">
        <v>722</v>
      </c>
      <c r="M240" s="76"/>
      <c r="N240" s="76"/>
      <c r="O240" s="76"/>
      <c r="P240" s="76"/>
    </row>
    <row r="241" spans="1:16" ht="15">
      <c r="A241" s="75">
        <v>229</v>
      </c>
      <c r="B241" s="221" t="s">
        <v>640</v>
      </c>
      <c r="C241" s="445" t="s">
        <v>224</v>
      </c>
      <c r="D241" s="238" t="s">
        <v>699</v>
      </c>
      <c r="E241" s="253">
        <v>45669</v>
      </c>
      <c r="F241" s="260">
        <v>61.059999999999995</v>
      </c>
      <c r="G241" s="591" t="s">
        <v>55</v>
      </c>
      <c r="H241" s="592"/>
      <c r="I241" s="592"/>
      <c r="J241" s="593"/>
      <c r="K241" s="253">
        <v>45680</v>
      </c>
      <c r="L241" s="266" t="s">
        <v>744</v>
      </c>
      <c r="M241" s="76"/>
      <c r="N241" s="76"/>
      <c r="O241" s="76"/>
      <c r="P241" s="76"/>
    </row>
    <row r="242" spans="1:16" ht="15">
      <c r="A242" s="75">
        <v>230</v>
      </c>
      <c r="B242" s="215" t="s">
        <v>614</v>
      </c>
      <c r="C242" s="445" t="s">
        <v>380</v>
      </c>
      <c r="D242" s="236" t="s">
        <v>705</v>
      </c>
      <c r="E242" s="253">
        <v>45669</v>
      </c>
      <c r="F242" s="260">
        <v>169.70999999999998</v>
      </c>
      <c r="G242" s="591" t="s">
        <v>55</v>
      </c>
      <c r="H242" s="592"/>
      <c r="I242" s="592"/>
      <c r="J242" s="593"/>
      <c r="K242" s="253">
        <v>45681</v>
      </c>
      <c r="L242" s="266" t="s">
        <v>741</v>
      </c>
      <c r="M242" s="76"/>
      <c r="N242" s="76"/>
      <c r="O242" s="76"/>
      <c r="P242" s="76"/>
    </row>
    <row r="243" spans="1:16" ht="15">
      <c r="A243" s="75">
        <v>231</v>
      </c>
      <c r="B243" s="216" t="s">
        <v>627</v>
      </c>
      <c r="C243" s="441" t="s">
        <v>225</v>
      </c>
      <c r="D243" s="238" t="s">
        <v>699</v>
      </c>
      <c r="E243" s="253">
        <v>45675</v>
      </c>
      <c r="F243" s="260">
        <v>58.51</v>
      </c>
      <c r="G243" s="591" t="s">
        <v>55</v>
      </c>
      <c r="H243" s="592"/>
      <c r="I243" s="592"/>
      <c r="J243" s="593"/>
      <c r="K243" s="253">
        <v>45682</v>
      </c>
      <c r="L243" s="266" t="s">
        <v>738</v>
      </c>
      <c r="M243" s="76"/>
      <c r="N243" s="76"/>
      <c r="O243" s="76"/>
      <c r="P243" s="76"/>
    </row>
    <row r="244" spans="1:16" ht="15">
      <c r="A244" s="75">
        <v>232</v>
      </c>
      <c r="B244" s="216" t="s">
        <v>421</v>
      </c>
      <c r="C244" s="441" t="s">
        <v>637</v>
      </c>
      <c r="D244" s="236" t="s">
        <v>704</v>
      </c>
      <c r="E244" s="252">
        <v>45671</v>
      </c>
      <c r="F244" s="260">
        <v>331.82</v>
      </c>
      <c r="G244" s="591" t="s">
        <v>55</v>
      </c>
      <c r="H244" s="592"/>
      <c r="I244" s="592"/>
      <c r="J244" s="593"/>
      <c r="K244" s="253">
        <v>45686</v>
      </c>
      <c r="L244" s="266" t="s">
        <v>728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697</v>
      </c>
      <c r="E245" s="253">
        <v>45678</v>
      </c>
      <c r="F245" s="260">
        <v>41.37</v>
      </c>
      <c r="G245" s="591" t="s">
        <v>55</v>
      </c>
      <c r="H245" s="592"/>
      <c r="I245" s="592"/>
      <c r="J245" s="593"/>
      <c r="K245" s="253">
        <v>45687</v>
      </c>
      <c r="L245" s="266" t="s">
        <v>739</v>
      </c>
      <c r="M245" s="76"/>
      <c r="N245" s="76"/>
      <c r="O245" s="76"/>
      <c r="P245" s="76"/>
    </row>
    <row r="246" spans="1:16">
      <c r="A246" s="75">
        <v>234</v>
      </c>
      <c r="B246" s="221" t="s">
        <v>635</v>
      </c>
      <c r="C246" s="445" t="s">
        <v>224</v>
      </c>
      <c r="D246" s="240" t="s">
        <v>697</v>
      </c>
      <c r="E246" s="253">
        <v>45682</v>
      </c>
      <c r="F246" s="260">
        <v>41.37</v>
      </c>
      <c r="G246" s="591" t="s">
        <v>55</v>
      </c>
      <c r="H246" s="592"/>
      <c r="I246" s="592"/>
      <c r="J246" s="593"/>
      <c r="K246" s="253">
        <v>45688</v>
      </c>
      <c r="L246" s="266" t="s">
        <v>744</v>
      </c>
      <c r="M246" s="76"/>
      <c r="N246" s="76"/>
      <c r="O246" s="76"/>
      <c r="P246" s="76"/>
    </row>
    <row r="247" spans="1:16" ht="15">
      <c r="A247" s="75">
        <v>235</v>
      </c>
      <c r="B247" s="216" t="s">
        <v>555</v>
      </c>
      <c r="C247" s="441" t="s">
        <v>224</v>
      </c>
      <c r="D247" s="238" t="s">
        <v>699</v>
      </c>
      <c r="E247" s="253">
        <v>45678</v>
      </c>
      <c r="F247" s="260">
        <v>61.059999999999995</v>
      </c>
      <c r="G247" s="591" t="s">
        <v>55</v>
      </c>
      <c r="H247" s="592"/>
      <c r="I247" s="592"/>
      <c r="J247" s="593"/>
      <c r="K247" s="253">
        <v>45688</v>
      </c>
      <c r="L247" s="266" t="s">
        <v>731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700</v>
      </c>
      <c r="E248" s="253">
        <v>45672</v>
      </c>
      <c r="F248" s="260">
        <v>119.63500000000001</v>
      </c>
      <c r="G248" s="591" t="s">
        <v>55</v>
      </c>
      <c r="H248" s="592"/>
      <c r="I248" s="592"/>
      <c r="J248" s="593"/>
      <c r="K248" s="253">
        <v>45688</v>
      </c>
      <c r="L248" s="266" t="s">
        <v>740</v>
      </c>
      <c r="M248" s="76"/>
      <c r="N248" s="76"/>
      <c r="O248" s="76"/>
      <c r="P248" s="76"/>
    </row>
    <row r="249" spans="1:16" ht="15">
      <c r="A249" s="75">
        <v>237</v>
      </c>
      <c r="B249" s="216" t="s">
        <v>606</v>
      </c>
      <c r="C249" s="441" t="s">
        <v>225</v>
      </c>
      <c r="D249" s="236" t="s">
        <v>697</v>
      </c>
      <c r="E249" s="253">
        <v>45680</v>
      </c>
      <c r="F249" s="260">
        <v>37.64</v>
      </c>
      <c r="G249" s="591" t="s">
        <v>55</v>
      </c>
      <c r="H249" s="592"/>
      <c r="I249" s="592"/>
      <c r="J249" s="593"/>
      <c r="K249" s="253">
        <v>45688</v>
      </c>
      <c r="L249" s="266" t="s">
        <v>727</v>
      </c>
      <c r="M249" s="76"/>
      <c r="N249" s="76"/>
      <c r="O249" s="76"/>
      <c r="P249" s="76"/>
    </row>
    <row r="250" spans="1:16" ht="15">
      <c r="A250" s="75">
        <v>238</v>
      </c>
      <c r="B250" s="216" t="s">
        <v>612</v>
      </c>
      <c r="C250" s="441" t="s">
        <v>225</v>
      </c>
      <c r="D250" s="236" t="s">
        <v>697</v>
      </c>
      <c r="E250" s="253">
        <v>45681</v>
      </c>
      <c r="F250" s="260">
        <v>37.64</v>
      </c>
      <c r="G250" s="591" t="s">
        <v>55</v>
      </c>
      <c r="H250" s="592"/>
      <c r="I250" s="592"/>
      <c r="J250" s="593"/>
      <c r="K250" s="253">
        <v>45688</v>
      </c>
      <c r="L250" s="266" t="s">
        <v>734</v>
      </c>
      <c r="M250" s="76"/>
      <c r="N250" s="76"/>
      <c r="O250" s="76"/>
      <c r="P250" s="76"/>
    </row>
    <row r="251" spans="1:16" ht="15">
      <c r="A251" s="75">
        <v>239</v>
      </c>
      <c r="B251" s="216" t="s">
        <v>598</v>
      </c>
      <c r="C251" s="441" t="s">
        <v>226</v>
      </c>
      <c r="D251" s="238" t="s">
        <v>699</v>
      </c>
      <c r="E251" s="253">
        <v>45683</v>
      </c>
      <c r="F251" s="260">
        <v>61.059999999999995</v>
      </c>
      <c r="G251" s="591" t="s">
        <v>55</v>
      </c>
      <c r="H251" s="592"/>
      <c r="I251" s="592"/>
      <c r="J251" s="593"/>
      <c r="K251" s="253">
        <v>45691</v>
      </c>
      <c r="L251" s="266" t="s">
        <v>738</v>
      </c>
      <c r="M251" s="76"/>
      <c r="N251" s="76"/>
      <c r="O251" s="76"/>
      <c r="P251" s="76"/>
    </row>
    <row r="252" spans="1:16" ht="15">
      <c r="A252" s="75">
        <v>240</v>
      </c>
      <c r="B252" s="216" t="s">
        <v>641</v>
      </c>
      <c r="C252" s="441" t="s">
        <v>631</v>
      </c>
      <c r="D252" s="236" t="s">
        <v>697</v>
      </c>
      <c r="E252" s="253">
        <v>45675</v>
      </c>
      <c r="F252" s="260">
        <v>165.36</v>
      </c>
      <c r="G252" s="591" t="s">
        <v>55</v>
      </c>
      <c r="H252" s="592"/>
      <c r="I252" s="592"/>
      <c r="J252" s="593"/>
      <c r="K252" s="253">
        <v>45692</v>
      </c>
      <c r="L252" s="266" t="s">
        <v>732</v>
      </c>
      <c r="M252" s="76"/>
      <c r="N252" s="76"/>
      <c r="O252" s="76"/>
      <c r="P252" s="76"/>
    </row>
    <row r="253" spans="1:16" ht="15">
      <c r="A253" s="75">
        <v>241</v>
      </c>
      <c r="B253" s="231" t="s">
        <v>316</v>
      </c>
      <c r="C253" s="445" t="s">
        <v>624</v>
      </c>
      <c r="D253" s="236" t="s">
        <v>697</v>
      </c>
      <c r="E253" s="253">
        <v>45680</v>
      </c>
      <c r="F253" s="260">
        <v>165.36</v>
      </c>
      <c r="G253" s="591" t="s">
        <v>55</v>
      </c>
      <c r="H253" s="592"/>
      <c r="I253" s="592"/>
      <c r="J253" s="593"/>
      <c r="K253" s="253">
        <v>45693</v>
      </c>
      <c r="L253" s="266" t="s">
        <v>722</v>
      </c>
      <c r="M253" s="76"/>
      <c r="N253" s="76"/>
      <c r="O253" s="76"/>
      <c r="P253" s="76"/>
    </row>
    <row r="254" spans="1:16" ht="15">
      <c r="A254" s="75">
        <v>242</v>
      </c>
      <c r="B254" s="231" t="s">
        <v>92</v>
      </c>
      <c r="C254" s="445" t="s">
        <v>195</v>
      </c>
      <c r="D254" s="236" t="s">
        <v>697</v>
      </c>
      <c r="E254" s="253">
        <v>45689</v>
      </c>
      <c r="F254" s="260">
        <v>37.64</v>
      </c>
      <c r="G254" s="591" t="s">
        <v>55</v>
      </c>
      <c r="H254" s="592"/>
      <c r="I254" s="592"/>
      <c r="J254" s="593"/>
      <c r="K254" s="253">
        <v>45694</v>
      </c>
      <c r="L254" s="266" t="s">
        <v>739</v>
      </c>
      <c r="M254" s="76"/>
      <c r="N254" s="76"/>
      <c r="O254" s="76"/>
      <c r="P254" s="76"/>
    </row>
    <row r="255" spans="1:16" ht="15">
      <c r="A255" s="75">
        <v>243</v>
      </c>
      <c r="B255" s="221" t="s">
        <v>621</v>
      </c>
      <c r="C255" s="445" t="s">
        <v>315</v>
      </c>
      <c r="D255" s="236" t="s">
        <v>697</v>
      </c>
      <c r="E255" s="253">
        <v>45689</v>
      </c>
      <c r="F255" s="260">
        <v>65.912000000000006</v>
      </c>
      <c r="G255" s="591" t="s">
        <v>55</v>
      </c>
      <c r="H255" s="592"/>
      <c r="I255" s="592"/>
      <c r="J255" s="593"/>
      <c r="K255" s="253">
        <v>45695</v>
      </c>
      <c r="L255" s="266" t="s">
        <v>744</v>
      </c>
      <c r="M255" s="76"/>
      <c r="N255" s="76"/>
      <c r="O255" s="76"/>
      <c r="P255" s="76"/>
    </row>
    <row r="256" spans="1:16" ht="15">
      <c r="A256" s="75">
        <v>244</v>
      </c>
      <c r="B256" s="223" t="s">
        <v>141</v>
      </c>
      <c r="C256" s="441" t="s">
        <v>224</v>
      </c>
      <c r="D256" s="238" t="s">
        <v>699</v>
      </c>
      <c r="E256" s="253">
        <v>45689</v>
      </c>
      <c r="F256" s="260">
        <v>61.059999999999995</v>
      </c>
      <c r="G256" s="591" t="s">
        <v>55</v>
      </c>
      <c r="H256" s="592"/>
      <c r="I256" s="592"/>
      <c r="J256" s="593"/>
      <c r="K256" s="253">
        <v>45695</v>
      </c>
      <c r="L256" s="266" t="s">
        <v>743</v>
      </c>
      <c r="M256" s="76"/>
      <c r="N256" s="76"/>
      <c r="O256" s="76"/>
      <c r="P256" s="76"/>
    </row>
    <row r="257" spans="1:16" ht="15">
      <c r="A257" s="75">
        <v>245</v>
      </c>
      <c r="B257" s="216" t="s">
        <v>566</v>
      </c>
      <c r="C257" s="441" t="s">
        <v>227</v>
      </c>
      <c r="D257" s="236" t="s">
        <v>697</v>
      </c>
      <c r="E257" s="253">
        <v>45689</v>
      </c>
      <c r="F257" s="260">
        <v>41.37</v>
      </c>
      <c r="G257" s="591" t="s">
        <v>55</v>
      </c>
      <c r="H257" s="592"/>
      <c r="I257" s="592"/>
      <c r="J257" s="593"/>
      <c r="K257" s="253">
        <v>45697</v>
      </c>
      <c r="L257" s="266" t="s">
        <v>734</v>
      </c>
      <c r="M257" s="76"/>
      <c r="N257" s="76"/>
      <c r="O257" s="76"/>
      <c r="P257" s="76"/>
    </row>
    <row r="258" spans="1:16" ht="15">
      <c r="A258" s="75">
        <v>246</v>
      </c>
      <c r="B258" s="223" t="s">
        <v>654</v>
      </c>
      <c r="C258" s="445" t="s">
        <v>631</v>
      </c>
      <c r="D258" s="236" t="s">
        <v>697</v>
      </c>
      <c r="E258" s="253">
        <v>45687</v>
      </c>
      <c r="F258" s="260">
        <v>165.36</v>
      </c>
      <c r="G258" s="591" t="s">
        <v>55</v>
      </c>
      <c r="H258" s="592"/>
      <c r="I258" s="592"/>
      <c r="J258" s="593"/>
      <c r="K258" s="253">
        <v>45697</v>
      </c>
      <c r="L258" s="266" t="s">
        <v>728</v>
      </c>
      <c r="M258" s="76"/>
      <c r="N258" s="76"/>
      <c r="O258" s="76"/>
      <c r="P258" s="76"/>
    </row>
    <row r="259" spans="1:16" ht="15">
      <c r="A259" s="75">
        <v>247</v>
      </c>
      <c r="B259" s="224" t="s">
        <v>572</v>
      </c>
      <c r="C259" s="445" t="s">
        <v>225</v>
      </c>
      <c r="D259" s="238" t="s">
        <v>699</v>
      </c>
      <c r="E259" s="253">
        <v>45689</v>
      </c>
      <c r="F259" s="260">
        <v>58.51</v>
      </c>
      <c r="G259" s="591" t="s">
        <v>55</v>
      </c>
      <c r="H259" s="592"/>
      <c r="I259" s="592"/>
      <c r="J259" s="593"/>
      <c r="K259" s="253">
        <v>45698</v>
      </c>
      <c r="L259" s="268" t="s">
        <v>736</v>
      </c>
      <c r="M259" s="76"/>
      <c r="N259" s="76"/>
      <c r="O259" s="76"/>
      <c r="P259" s="76"/>
    </row>
    <row r="260" spans="1:16" ht="15">
      <c r="A260" s="75">
        <v>248</v>
      </c>
      <c r="B260" s="224" t="s">
        <v>565</v>
      </c>
      <c r="C260" s="445" t="s">
        <v>225</v>
      </c>
      <c r="D260" s="238" t="s">
        <v>699</v>
      </c>
      <c r="E260" s="253">
        <v>45690</v>
      </c>
      <c r="F260" s="260">
        <v>58.51</v>
      </c>
      <c r="G260" s="591" t="s">
        <v>55</v>
      </c>
      <c r="H260" s="592"/>
      <c r="I260" s="592"/>
      <c r="J260" s="593"/>
      <c r="K260" s="253">
        <v>45703</v>
      </c>
      <c r="L260" s="266" t="s">
        <v>731</v>
      </c>
      <c r="M260" s="76"/>
      <c r="N260" s="76"/>
      <c r="O260" s="76"/>
      <c r="P260" s="76"/>
    </row>
    <row r="261" spans="1:16" ht="30">
      <c r="A261" s="75">
        <v>249</v>
      </c>
      <c r="B261" s="221" t="s">
        <v>320</v>
      </c>
      <c r="C261" s="441" t="s">
        <v>706</v>
      </c>
      <c r="D261" s="240" t="s">
        <v>697</v>
      </c>
      <c r="E261" s="253">
        <v>45690</v>
      </c>
      <c r="F261" s="260">
        <v>173.792</v>
      </c>
      <c r="G261" s="591" t="s">
        <v>55</v>
      </c>
      <c r="H261" s="592"/>
      <c r="I261" s="592"/>
      <c r="J261" s="593"/>
      <c r="K261" s="253">
        <v>45703</v>
      </c>
      <c r="L261" s="266" t="s">
        <v>740</v>
      </c>
      <c r="M261" s="76"/>
      <c r="N261" s="76"/>
      <c r="O261" s="76"/>
      <c r="P261" s="76"/>
    </row>
    <row r="262" spans="1:16" ht="15">
      <c r="A262" s="75">
        <v>250</v>
      </c>
      <c r="B262" s="221" t="s">
        <v>292</v>
      </c>
      <c r="C262" s="445" t="s">
        <v>360</v>
      </c>
      <c r="D262" s="238" t="s">
        <v>699</v>
      </c>
      <c r="E262" s="253">
        <v>45690</v>
      </c>
      <c r="F262" s="260">
        <v>253.37</v>
      </c>
      <c r="G262" s="591" t="s">
        <v>55</v>
      </c>
      <c r="H262" s="592"/>
      <c r="I262" s="592"/>
      <c r="J262" s="593"/>
      <c r="K262" s="253">
        <v>45703</v>
      </c>
      <c r="L262" s="266" t="s">
        <v>741</v>
      </c>
      <c r="M262" s="76"/>
      <c r="N262" s="76"/>
      <c r="O262" s="76"/>
      <c r="P262" s="76"/>
    </row>
    <row r="263" spans="1:16" ht="15">
      <c r="A263" s="75">
        <v>251</v>
      </c>
      <c r="B263" s="216" t="s">
        <v>616</v>
      </c>
      <c r="C263" s="441" t="s">
        <v>225</v>
      </c>
      <c r="D263" s="238" t="s">
        <v>699</v>
      </c>
      <c r="E263" s="253">
        <v>45690</v>
      </c>
      <c r="F263" s="260">
        <v>58.51</v>
      </c>
      <c r="G263" s="591" t="s">
        <v>55</v>
      </c>
      <c r="H263" s="592"/>
      <c r="I263" s="592"/>
      <c r="J263" s="593"/>
      <c r="K263" s="253">
        <v>45703</v>
      </c>
      <c r="L263" s="266" t="s">
        <v>727</v>
      </c>
      <c r="M263" s="76"/>
      <c r="N263" s="76"/>
      <c r="O263" s="76"/>
      <c r="P263" s="76"/>
    </row>
    <row r="264" spans="1:16" ht="15">
      <c r="A264" s="75">
        <v>252</v>
      </c>
      <c r="B264" s="221" t="s">
        <v>420</v>
      </c>
      <c r="C264" s="445" t="s">
        <v>707</v>
      </c>
      <c r="D264" s="238" t="s">
        <v>699</v>
      </c>
      <c r="E264" s="253">
        <v>45697</v>
      </c>
      <c r="F264" s="260">
        <v>85.98</v>
      </c>
      <c r="G264" s="591" t="s">
        <v>55</v>
      </c>
      <c r="H264" s="592"/>
      <c r="I264" s="592"/>
      <c r="J264" s="593"/>
      <c r="K264" s="253">
        <v>45705</v>
      </c>
      <c r="L264" s="266" t="s">
        <v>744</v>
      </c>
      <c r="M264" s="76"/>
      <c r="N264" s="76"/>
      <c r="O264" s="76"/>
      <c r="P264" s="76"/>
    </row>
    <row r="265" spans="1:16" ht="15">
      <c r="A265" s="75">
        <v>253</v>
      </c>
      <c r="B265" s="221" t="s">
        <v>660</v>
      </c>
      <c r="C265" s="445" t="s">
        <v>631</v>
      </c>
      <c r="D265" s="236" t="s">
        <v>697</v>
      </c>
      <c r="E265" s="253">
        <v>45694</v>
      </c>
      <c r="F265" s="260">
        <v>165.36</v>
      </c>
      <c r="G265" s="591" t="s">
        <v>55</v>
      </c>
      <c r="H265" s="592"/>
      <c r="I265" s="592"/>
      <c r="J265" s="593"/>
      <c r="K265" s="253">
        <v>45706</v>
      </c>
      <c r="L265" s="266" t="s">
        <v>732</v>
      </c>
      <c r="M265" s="76"/>
      <c r="N265" s="76"/>
      <c r="O265" s="76"/>
      <c r="P265" s="76"/>
    </row>
    <row r="266" spans="1:16" ht="15">
      <c r="A266" s="75">
        <v>254</v>
      </c>
      <c r="B266" s="221" t="s">
        <v>652</v>
      </c>
      <c r="C266" s="445" t="s">
        <v>349</v>
      </c>
      <c r="D266" s="238" t="s">
        <v>699</v>
      </c>
      <c r="E266" s="253">
        <v>45694</v>
      </c>
      <c r="F266" s="260">
        <v>98.56</v>
      </c>
      <c r="G266" s="591" t="s">
        <v>55</v>
      </c>
      <c r="H266" s="592"/>
      <c r="I266" s="592"/>
      <c r="J266" s="593"/>
      <c r="K266" s="253">
        <v>45706</v>
      </c>
      <c r="L266" s="266" t="s">
        <v>738</v>
      </c>
      <c r="M266" s="76"/>
      <c r="N266" s="76"/>
      <c r="O266" s="76"/>
      <c r="P266" s="76"/>
    </row>
    <row r="267" spans="1:16">
      <c r="A267" s="75">
        <v>255</v>
      </c>
      <c r="B267" s="221" t="s">
        <v>690</v>
      </c>
      <c r="C267" s="445" t="s">
        <v>195</v>
      </c>
      <c r="D267" s="240" t="s">
        <v>697</v>
      </c>
      <c r="E267" s="253">
        <v>45698</v>
      </c>
      <c r="F267" s="260">
        <v>37.64</v>
      </c>
      <c r="G267" s="591" t="s">
        <v>55</v>
      </c>
      <c r="H267" s="592"/>
      <c r="I267" s="592"/>
      <c r="J267" s="593"/>
      <c r="K267" s="253">
        <v>45708</v>
      </c>
      <c r="L267" s="266" t="s">
        <v>739</v>
      </c>
      <c r="M267" s="76"/>
      <c r="N267" s="76"/>
      <c r="O267" s="76"/>
      <c r="P267" s="76"/>
    </row>
    <row r="268" spans="1:16" ht="15">
      <c r="A268" s="75">
        <v>256</v>
      </c>
      <c r="B268" s="221" t="s">
        <v>623</v>
      </c>
      <c r="C268" s="441" t="s">
        <v>624</v>
      </c>
      <c r="D268" s="236" t="s">
        <v>697</v>
      </c>
      <c r="E268" s="253">
        <v>45698</v>
      </c>
      <c r="F268" s="260">
        <v>165.36</v>
      </c>
      <c r="G268" s="591" t="s">
        <v>55</v>
      </c>
      <c r="H268" s="592"/>
      <c r="I268" s="592"/>
      <c r="J268" s="593"/>
      <c r="K268" s="253">
        <v>45709</v>
      </c>
      <c r="L268" s="266" t="s">
        <v>728</v>
      </c>
      <c r="M268" s="76"/>
      <c r="N268" s="76"/>
      <c r="O268" s="76"/>
      <c r="P268" s="76"/>
    </row>
    <row r="269" spans="1:16" ht="15">
      <c r="A269" s="75">
        <v>257</v>
      </c>
      <c r="B269" s="221" t="s">
        <v>129</v>
      </c>
      <c r="C269" s="445" t="s">
        <v>224</v>
      </c>
      <c r="D269" s="238" t="s">
        <v>699</v>
      </c>
      <c r="E269" s="253">
        <v>45699</v>
      </c>
      <c r="F269" s="260">
        <v>61.059999999999995</v>
      </c>
      <c r="G269" s="591" t="s">
        <v>55</v>
      </c>
      <c r="H269" s="592"/>
      <c r="I269" s="592"/>
      <c r="J269" s="593"/>
      <c r="K269" s="253">
        <v>45709</v>
      </c>
      <c r="L269" s="268" t="s">
        <v>736</v>
      </c>
      <c r="M269" s="76"/>
      <c r="N269" s="76"/>
      <c r="O269" s="76"/>
      <c r="P269" s="76"/>
    </row>
    <row r="270" spans="1:16" ht="30">
      <c r="A270" s="75">
        <v>258</v>
      </c>
      <c r="B270" s="221" t="s">
        <v>271</v>
      </c>
      <c r="C270" s="441" t="s">
        <v>708</v>
      </c>
      <c r="D270" s="240" t="s">
        <v>697</v>
      </c>
      <c r="E270" s="253">
        <v>45694</v>
      </c>
      <c r="F270" s="260">
        <v>177.25200000000001</v>
      </c>
      <c r="G270" s="591" t="s">
        <v>55</v>
      </c>
      <c r="H270" s="592"/>
      <c r="I270" s="592"/>
      <c r="J270" s="593"/>
      <c r="K270" s="253">
        <v>45709</v>
      </c>
      <c r="L270" s="266" t="s">
        <v>722</v>
      </c>
      <c r="M270" s="76"/>
      <c r="N270" s="76"/>
      <c r="O270" s="76"/>
      <c r="P270" s="76"/>
    </row>
    <row r="271" spans="1:16" ht="45">
      <c r="A271" s="596">
        <v>259</v>
      </c>
      <c r="B271" s="221" t="s">
        <v>546</v>
      </c>
      <c r="C271" s="441" t="s">
        <v>709</v>
      </c>
      <c r="D271" s="236" t="s">
        <v>697</v>
      </c>
      <c r="E271" s="253">
        <v>45698</v>
      </c>
      <c r="F271" s="260">
        <v>20.684999999999999</v>
      </c>
      <c r="G271" s="591" t="s">
        <v>55</v>
      </c>
      <c r="H271" s="592"/>
      <c r="I271" s="592"/>
      <c r="J271" s="593"/>
      <c r="K271" s="253">
        <v>45710</v>
      </c>
      <c r="L271" s="266" t="s">
        <v>734</v>
      </c>
      <c r="M271" s="76"/>
      <c r="N271" s="76"/>
      <c r="O271" s="76"/>
      <c r="P271" s="76"/>
    </row>
    <row r="272" spans="1:16" ht="45">
      <c r="A272" s="597"/>
      <c r="B272" s="221" t="s">
        <v>546</v>
      </c>
      <c r="C272" s="441" t="s">
        <v>710</v>
      </c>
      <c r="D272" s="236" t="s">
        <v>697</v>
      </c>
      <c r="E272" s="253">
        <v>45698</v>
      </c>
      <c r="F272" s="260">
        <v>27.164999999999999</v>
      </c>
      <c r="G272" s="591" t="s">
        <v>55</v>
      </c>
      <c r="H272" s="592"/>
      <c r="I272" s="592"/>
      <c r="J272" s="593"/>
      <c r="K272" s="253">
        <v>45710</v>
      </c>
      <c r="L272" s="266" t="s">
        <v>734</v>
      </c>
      <c r="M272" s="76"/>
      <c r="N272" s="76"/>
      <c r="O272" s="76"/>
      <c r="P272" s="76"/>
    </row>
    <row r="273" spans="1:16" ht="15">
      <c r="A273" s="75">
        <v>260</v>
      </c>
      <c r="B273" s="232" t="s">
        <v>142</v>
      </c>
      <c r="C273" s="449" t="s">
        <v>225</v>
      </c>
      <c r="D273" s="241" t="s">
        <v>699</v>
      </c>
      <c r="E273" s="253">
        <v>45698</v>
      </c>
      <c r="F273" s="260">
        <v>58.51</v>
      </c>
      <c r="G273" s="591" t="s">
        <v>55</v>
      </c>
      <c r="H273" s="592"/>
      <c r="I273" s="592"/>
      <c r="J273" s="593"/>
      <c r="K273" s="253">
        <v>45711</v>
      </c>
      <c r="L273" s="268" t="s">
        <v>743</v>
      </c>
      <c r="M273" s="76"/>
      <c r="N273" s="76"/>
      <c r="O273" s="76"/>
      <c r="P273" s="76"/>
    </row>
    <row r="274" spans="1:16" ht="30">
      <c r="A274" s="75">
        <v>261</v>
      </c>
      <c r="B274" s="233" t="s">
        <v>270</v>
      </c>
      <c r="C274" s="450" t="s">
        <v>711</v>
      </c>
      <c r="D274" s="242" t="s">
        <v>697</v>
      </c>
      <c r="E274" s="255">
        <v>45704</v>
      </c>
      <c r="F274" s="261">
        <v>173.792</v>
      </c>
      <c r="G274" s="591" t="s">
        <v>55</v>
      </c>
      <c r="H274" s="592"/>
      <c r="I274" s="592"/>
      <c r="J274" s="593"/>
      <c r="K274" s="255">
        <v>45713</v>
      </c>
      <c r="L274" s="269" t="s">
        <v>740</v>
      </c>
      <c r="M274" s="76"/>
      <c r="N274" s="76"/>
      <c r="O274" s="76"/>
      <c r="P274" s="76"/>
    </row>
    <row r="275" spans="1:16" ht="15">
      <c r="A275" s="75">
        <v>262</v>
      </c>
      <c r="B275" s="221" t="s">
        <v>329</v>
      </c>
      <c r="C275" s="441" t="s">
        <v>275</v>
      </c>
      <c r="D275" s="243" t="s">
        <v>699</v>
      </c>
      <c r="E275" s="253">
        <v>45707</v>
      </c>
      <c r="F275" s="262">
        <v>100.37</v>
      </c>
      <c r="G275" s="591" t="s">
        <v>55</v>
      </c>
      <c r="H275" s="592"/>
      <c r="I275" s="592"/>
      <c r="J275" s="593"/>
      <c r="K275" s="253">
        <v>45715</v>
      </c>
      <c r="L275" s="10" t="s">
        <v>738</v>
      </c>
      <c r="M275" s="76"/>
      <c r="N275" s="76"/>
      <c r="O275" s="76"/>
      <c r="P275" s="76"/>
    </row>
    <row r="276" spans="1:16" ht="15">
      <c r="A276" s="75">
        <v>263</v>
      </c>
      <c r="B276" s="221" t="s">
        <v>649</v>
      </c>
      <c r="C276" s="445" t="s">
        <v>712</v>
      </c>
      <c r="D276" s="236" t="s">
        <v>697</v>
      </c>
      <c r="E276" s="253">
        <v>45707</v>
      </c>
      <c r="F276" s="260">
        <v>59.55</v>
      </c>
      <c r="G276" s="591" t="s">
        <v>55</v>
      </c>
      <c r="H276" s="592"/>
      <c r="I276" s="592"/>
      <c r="J276" s="593"/>
      <c r="K276" s="253">
        <v>45716</v>
      </c>
      <c r="L276" s="266" t="s">
        <v>727</v>
      </c>
      <c r="M276" s="76"/>
      <c r="N276" s="76"/>
      <c r="O276" s="76"/>
      <c r="P276" s="76"/>
    </row>
    <row r="277" spans="1:16" ht="15">
      <c r="A277" s="75">
        <v>264</v>
      </c>
      <c r="B277" s="221" t="s">
        <v>290</v>
      </c>
      <c r="C277" s="441" t="s">
        <v>624</v>
      </c>
      <c r="D277" s="243" t="s">
        <v>699</v>
      </c>
      <c r="E277" s="253">
        <v>45707</v>
      </c>
      <c r="F277" s="260">
        <v>243.46</v>
      </c>
      <c r="G277" s="591" t="s">
        <v>55</v>
      </c>
      <c r="H277" s="592"/>
      <c r="I277" s="592"/>
      <c r="J277" s="593"/>
      <c r="K277" s="253">
        <v>45716</v>
      </c>
      <c r="L277" s="266" t="s">
        <v>741</v>
      </c>
      <c r="M277" s="76"/>
      <c r="N277" s="76"/>
      <c r="O277" s="76"/>
      <c r="P277" s="76"/>
    </row>
    <row r="278" spans="1:16" ht="15">
      <c r="A278" s="75">
        <v>265</v>
      </c>
      <c r="B278" s="221" t="s">
        <v>427</v>
      </c>
      <c r="C278" s="445" t="s">
        <v>226</v>
      </c>
      <c r="D278" s="243" t="s">
        <v>699</v>
      </c>
      <c r="E278" s="253">
        <v>45708</v>
      </c>
      <c r="F278" s="260">
        <v>61.059999999999995</v>
      </c>
      <c r="G278" s="591" t="s">
        <v>55</v>
      </c>
      <c r="H278" s="592"/>
      <c r="I278" s="592"/>
      <c r="J278" s="593"/>
      <c r="K278" s="253">
        <v>45716</v>
      </c>
      <c r="L278" s="266" t="s">
        <v>731</v>
      </c>
      <c r="M278" s="76"/>
      <c r="N278" s="76"/>
      <c r="O278" s="76"/>
      <c r="P278" s="76"/>
    </row>
    <row r="279" spans="1:16">
      <c r="A279" s="75">
        <v>266</v>
      </c>
      <c r="B279" s="221" t="s">
        <v>626</v>
      </c>
      <c r="C279" s="451" t="s">
        <v>224</v>
      </c>
      <c r="D279" s="240" t="s">
        <v>697</v>
      </c>
      <c r="E279" s="253">
        <v>45714</v>
      </c>
      <c r="F279" s="260">
        <v>41.37</v>
      </c>
      <c r="G279" s="591" t="s">
        <v>55</v>
      </c>
      <c r="H279" s="592"/>
      <c r="I279" s="592"/>
      <c r="J279" s="593"/>
      <c r="K279" s="253">
        <v>45716</v>
      </c>
      <c r="L279" s="10" t="s">
        <v>728</v>
      </c>
      <c r="M279" s="76"/>
      <c r="N279" s="76"/>
      <c r="O279" s="76"/>
      <c r="P279" s="76"/>
    </row>
    <row r="280" spans="1:16">
      <c r="A280" s="75">
        <v>267</v>
      </c>
      <c r="B280" s="221" t="s">
        <v>639</v>
      </c>
      <c r="C280" s="445" t="s">
        <v>633</v>
      </c>
      <c r="D280" s="240" t="s">
        <v>697</v>
      </c>
      <c r="E280" s="253">
        <v>45714</v>
      </c>
      <c r="F280" s="262">
        <v>165.36</v>
      </c>
      <c r="G280" s="591" t="s">
        <v>55</v>
      </c>
      <c r="H280" s="592"/>
      <c r="I280" s="592"/>
      <c r="J280" s="593"/>
      <c r="K280" s="253">
        <v>45719</v>
      </c>
      <c r="L280" s="266" t="s">
        <v>744</v>
      </c>
      <c r="M280" s="76"/>
      <c r="N280" s="76"/>
      <c r="O280" s="76"/>
      <c r="P280" s="76"/>
    </row>
    <row r="281" spans="1:16">
      <c r="A281" s="75">
        <v>268</v>
      </c>
      <c r="B281" s="221" t="s">
        <v>426</v>
      </c>
      <c r="C281" s="445" t="s">
        <v>713</v>
      </c>
      <c r="D281" s="240" t="s">
        <v>697</v>
      </c>
      <c r="E281" s="253">
        <v>45714</v>
      </c>
      <c r="F281" s="262">
        <v>90.44</v>
      </c>
      <c r="G281" s="591" t="s">
        <v>55</v>
      </c>
      <c r="H281" s="592"/>
      <c r="I281" s="592"/>
      <c r="J281" s="593"/>
      <c r="K281" s="253">
        <v>45720</v>
      </c>
      <c r="L281" s="10" t="s">
        <v>739</v>
      </c>
      <c r="M281" s="76"/>
      <c r="N281" s="76"/>
      <c r="O281" s="76"/>
      <c r="P281" s="76"/>
    </row>
    <row r="282" spans="1:16">
      <c r="A282" s="75">
        <v>269</v>
      </c>
      <c r="B282" s="221" t="s">
        <v>433</v>
      </c>
      <c r="C282" s="445" t="s">
        <v>714</v>
      </c>
      <c r="D282" s="240" t="s">
        <v>697</v>
      </c>
      <c r="E282" s="253">
        <v>45717</v>
      </c>
      <c r="F282" s="262">
        <v>100.19</v>
      </c>
      <c r="G282" s="591" t="s">
        <v>55</v>
      </c>
      <c r="H282" s="592"/>
      <c r="I282" s="592"/>
      <c r="J282" s="593"/>
      <c r="K282" s="253">
        <v>45724</v>
      </c>
      <c r="L282" s="10" t="s">
        <v>728</v>
      </c>
      <c r="M282" s="76"/>
      <c r="N282" s="76"/>
      <c r="O282" s="76"/>
      <c r="P282" s="76"/>
    </row>
    <row r="283" spans="1:16" ht="15">
      <c r="A283" s="75">
        <v>270</v>
      </c>
      <c r="B283" s="221" t="s">
        <v>294</v>
      </c>
      <c r="C283" s="445" t="s">
        <v>715</v>
      </c>
      <c r="D283" s="243" t="s">
        <v>699</v>
      </c>
      <c r="E283" s="253">
        <v>45715</v>
      </c>
      <c r="F283" s="260">
        <v>141.75</v>
      </c>
      <c r="G283" s="591" t="s">
        <v>55</v>
      </c>
      <c r="H283" s="592"/>
      <c r="I283" s="592"/>
      <c r="J283" s="593"/>
      <c r="K283" s="253">
        <v>45724</v>
      </c>
      <c r="L283" s="266" t="s">
        <v>738</v>
      </c>
      <c r="M283" s="76"/>
      <c r="N283" s="76"/>
      <c r="O283" s="76"/>
      <c r="P283" s="76"/>
    </row>
    <row r="284" spans="1:16">
      <c r="A284" s="75">
        <v>271</v>
      </c>
      <c r="B284" s="221" t="s">
        <v>632</v>
      </c>
      <c r="C284" s="445" t="s">
        <v>633</v>
      </c>
      <c r="D284" s="240" t="s">
        <v>697</v>
      </c>
      <c r="E284" s="253">
        <v>45720</v>
      </c>
      <c r="F284" s="262">
        <v>165.36</v>
      </c>
      <c r="G284" s="591" t="s">
        <v>55</v>
      </c>
      <c r="H284" s="592"/>
      <c r="I284" s="592"/>
      <c r="J284" s="593"/>
      <c r="K284" s="253">
        <v>45725</v>
      </c>
      <c r="L284" s="10" t="s">
        <v>744</v>
      </c>
      <c r="M284" s="76"/>
      <c r="N284" s="76"/>
      <c r="O284" s="76"/>
      <c r="P284" s="76"/>
    </row>
    <row r="285" spans="1:16">
      <c r="A285" s="75">
        <v>272</v>
      </c>
      <c r="B285" s="221" t="s">
        <v>619</v>
      </c>
      <c r="C285" s="445" t="s">
        <v>195</v>
      </c>
      <c r="D285" s="240" t="s">
        <v>697</v>
      </c>
      <c r="E285" s="253">
        <v>45720</v>
      </c>
      <c r="F285" s="260">
        <v>37.64</v>
      </c>
      <c r="G285" s="591" t="s">
        <v>55</v>
      </c>
      <c r="H285" s="592"/>
      <c r="I285" s="592"/>
      <c r="J285" s="593"/>
      <c r="K285" s="253">
        <v>45725</v>
      </c>
      <c r="L285" s="10" t="s">
        <v>739</v>
      </c>
      <c r="M285" s="76"/>
      <c r="N285" s="76"/>
      <c r="O285" s="76"/>
      <c r="P285" s="76"/>
    </row>
    <row r="286" spans="1:16">
      <c r="A286" s="75">
        <v>273</v>
      </c>
      <c r="B286" s="232" t="s">
        <v>644</v>
      </c>
      <c r="C286" s="449" t="s">
        <v>716</v>
      </c>
      <c r="D286" s="244" t="s">
        <v>697</v>
      </c>
      <c r="E286" s="253">
        <v>45717</v>
      </c>
      <c r="F286" s="260">
        <v>68.11</v>
      </c>
      <c r="G286" s="591" t="s">
        <v>55</v>
      </c>
      <c r="H286" s="592"/>
      <c r="I286" s="592"/>
      <c r="J286" s="593"/>
      <c r="K286" s="253">
        <v>45726</v>
      </c>
      <c r="L286" s="268" t="s">
        <v>734</v>
      </c>
      <c r="M286" s="76"/>
      <c r="N286" s="76"/>
      <c r="O286" s="76"/>
      <c r="P286" s="76"/>
    </row>
    <row r="287" spans="1:16" ht="15">
      <c r="A287" s="75">
        <v>274</v>
      </c>
      <c r="B287" s="221" t="s">
        <v>607</v>
      </c>
      <c r="C287" s="441" t="s">
        <v>225</v>
      </c>
      <c r="D287" s="243" t="s">
        <v>699</v>
      </c>
      <c r="E287" s="253">
        <v>45717</v>
      </c>
      <c r="F287" s="262">
        <v>58.51</v>
      </c>
      <c r="G287" s="591" t="s">
        <v>55</v>
      </c>
      <c r="H287" s="592"/>
      <c r="I287" s="592"/>
      <c r="J287" s="593"/>
      <c r="K287" s="253">
        <v>45727</v>
      </c>
      <c r="L287" s="268" t="s">
        <v>743</v>
      </c>
      <c r="M287" s="76"/>
      <c r="N287" s="76"/>
      <c r="O287" s="76"/>
      <c r="P287" s="76"/>
    </row>
    <row r="288" spans="1:16" ht="15">
      <c r="A288" s="75">
        <v>275</v>
      </c>
      <c r="B288" s="9" t="s">
        <v>299</v>
      </c>
      <c r="C288" s="445" t="s">
        <v>633</v>
      </c>
      <c r="D288" s="243" t="s">
        <v>699</v>
      </c>
      <c r="E288" s="253">
        <v>45717</v>
      </c>
      <c r="F288" s="262">
        <v>243.46</v>
      </c>
      <c r="G288" s="591" t="s">
        <v>55</v>
      </c>
      <c r="H288" s="592"/>
      <c r="I288" s="592"/>
      <c r="J288" s="593"/>
      <c r="K288" s="253">
        <v>45736</v>
      </c>
      <c r="L288" s="10" t="s">
        <v>741</v>
      </c>
      <c r="M288" s="76"/>
      <c r="N288" s="76"/>
      <c r="O288" s="76"/>
      <c r="P288" s="76"/>
    </row>
    <row r="289" spans="1:16" ht="15">
      <c r="A289" s="75">
        <v>276</v>
      </c>
      <c r="B289" s="9" t="s">
        <v>691</v>
      </c>
      <c r="C289" s="445" t="s">
        <v>633</v>
      </c>
      <c r="D289" s="243" t="s">
        <v>699</v>
      </c>
      <c r="E289" s="253">
        <v>45717</v>
      </c>
      <c r="F289" s="262">
        <v>243.46</v>
      </c>
      <c r="G289" s="591" t="s">
        <v>55</v>
      </c>
      <c r="H289" s="592"/>
      <c r="I289" s="592"/>
      <c r="J289" s="593"/>
      <c r="K289" s="253">
        <v>45736</v>
      </c>
      <c r="L289" s="10" t="s">
        <v>740</v>
      </c>
      <c r="M289" s="76"/>
      <c r="N289" s="76"/>
      <c r="O289" s="76"/>
      <c r="P289" s="76"/>
    </row>
    <row r="290" spans="1:16" ht="15">
      <c r="A290" s="75">
        <v>277</v>
      </c>
      <c r="B290" s="9" t="s">
        <v>128</v>
      </c>
      <c r="C290" s="445" t="s">
        <v>277</v>
      </c>
      <c r="D290" s="243" t="s">
        <v>699</v>
      </c>
      <c r="E290" s="253">
        <v>45717</v>
      </c>
      <c r="F290" s="260">
        <v>82.51</v>
      </c>
      <c r="G290" s="591" t="s">
        <v>55</v>
      </c>
      <c r="H290" s="592"/>
      <c r="I290" s="592"/>
      <c r="J290" s="593"/>
      <c r="K290" s="253">
        <v>45738</v>
      </c>
      <c r="L290" s="10" t="s">
        <v>736</v>
      </c>
      <c r="M290" s="76"/>
      <c r="N290" s="76"/>
      <c r="O290" s="76"/>
      <c r="P290" s="76"/>
    </row>
    <row r="291" spans="1:16">
      <c r="A291" s="75">
        <v>278</v>
      </c>
      <c r="B291" s="9" t="s">
        <v>643</v>
      </c>
      <c r="C291" s="445" t="s">
        <v>277</v>
      </c>
      <c r="D291" s="240" t="s">
        <v>697</v>
      </c>
      <c r="E291" s="253">
        <v>45736</v>
      </c>
      <c r="F291" s="260">
        <v>58.25</v>
      </c>
      <c r="G291" s="591" t="s">
        <v>55</v>
      </c>
      <c r="H291" s="592"/>
      <c r="I291" s="592"/>
      <c r="J291" s="593"/>
      <c r="K291" s="253">
        <v>45741</v>
      </c>
      <c r="L291" s="10" t="s">
        <v>744</v>
      </c>
      <c r="M291" s="76"/>
      <c r="N291" s="76"/>
      <c r="O291" s="76"/>
      <c r="P291" s="76"/>
    </row>
    <row r="292" spans="1:16" ht="15">
      <c r="A292" s="75">
        <v>279</v>
      </c>
      <c r="B292" s="221" t="s">
        <v>431</v>
      </c>
      <c r="C292" s="445" t="s">
        <v>225</v>
      </c>
      <c r="D292" s="243" t="s">
        <v>699</v>
      </c>
      <c r="E292" s="253">
        <v>45736</v>
      </c>
      <c r="F292" s="260">
        <v>58.51</v>
      </c>
      <c r="G292" s="591" t="s">
        <v>55</v>
      </c>
      <c r="H292" s="592"/>
      <c r="I292" s="592"/>
      <c r="J292" s="593"/>
      <c r="K292" s="253">
        <v>45742</v>
      </c>
      <c r="L292" s="266" t="s">
        <v>738</v>
      </c>
      <c r="M292" s="76"/>
      <c r="N292" s="76"/>
      <c r="O292" s="76"/>
      <c r="P292" s="76"/>
    </row>
    <row r="293" spans="1:16" ht="15">
      <c r="A293" s="75">
        <v>280</v>
      </c>
      <c r="B293" s="232" t="s">
        <v>434</v>
      </c>
      <c r="C293" s="445" t="s">
        <v>195</v>
      </c>
      <c r="D293" s="243" t="s">
        <v>699</v>
      </c>
      <c r="E293" s="253">
        <v>45736</v>
      </c>
      <c r="F293" s="260">
        <v>58.51</v>
      </c>
      <c r="G293" s="591" t="s">
        <v>55</v>
      </c>
      <c r="H293" s="592"/>
      <c r="I293" s="592"/>
      <c r="J293" s="593"/>
      <c r="K293" s="253">
        <v>45742</v>
      </c>
      <c r="L293" s="266" t="s">
        <v>731</v>
      </c>
      <c r="M293" s="76"/>
      <c r="N293" s="76"/>
      <c r="O293" s="76"/>
      <c r="P293" s="76"/>
    </row>
    <row r="294" spans="1:16" ht="15">
      <c r="A294" s="75">
        <v>281</v>
      </c>
      <c r="B294" s="232" t="s">
        <v>328</v>
      </c>
      <c r="C294" s="445" t="s">
        <v>717</v>
      </c>
      <c r="D294" s="243" t="s">
        <v>699</v>
      </c>
      <c r="E294" s="253">
        <v>45736</v>
      </c>
      <c r="F294" s="260">
        <v>132.22999999999999</v>
      </c>
      <c r="G294" s="591" t="s">
        <v>55</v>
      </c>
      <c r="H294" s="592"/>
      <c r="I294" s="592"/>
      <c r="J294" s="593"/>
      <c r="K294" s="253">
        <v>45743</v>
      </c>
      <c r="L294" s="10" t="s">
        <v>741</v>
      </c>
      <c r="M294" s="76"/>
      <c r="N294" s="76"/>
      <c r="O294" s="76"/>
      <c r="P294" s="76"/>
    </row>
    <row r="295" spans="1:16" ht="15">
      <c r="A295" s="75">
        <v>282</v>
      </c>
      <c r="B295" s="9" t="s">
        <v>657</v>
      </c>
      <c r="C295" s="451" t="s">
        <v>322</v>
      </c>
      <c r="D295" s="245" t="s">
        <v>697</v>
      </c>
      <c r="E295" s="253">
        <v>45741</v>
      </c>
      <c r="F295" s="263">
        <v>77.81</v>
      </c>
      <c r="G295" s="591" t="s">
        <v>55</v>
      </c>
      <c r="H295" s="592"/>
      <c r="I295" s="592"/>
      <c r="J295" s="593"/>
      <c r="K295" s="253">
        <v>45746</v>
      </c>
      <c r="L295" s="10" t="s">
        <v>744</v>
      </c>
      <c r="M295" s="76"/>
      <c r="N295" s="76"/>
      <c r="O295" s="76"/>
      <c r="P295" s="76"/>
    </row>
    <row r="296" spans="1:16" ht="15">
      <c r="A296" s="75">
        <v>283</v>
      </c>
      <c r="B296" s="9" t="s">
        <v>143</v>
      </c>
      <c r="C296" s="445" t="s">
        <v>225</v>
      </c>
      <c r="D296" s="246" t="s">
        <v>699</v>
      </c>
      <c r="E296" s="253">
        <v>45741</v>
      </c>
      <c r="F296" s="263">
        <v>58.51</v>
      </c>
      <c r="G296" s="591" t="s">
        <v>55</v>
      </c>
      <c r="H296" s="592"/>
      <c r="I296" s="592"/>
      <c r="J296" s="593"/>
      <c r="K296" s="253">
        <v>45749</v>
      </c>
      <c r="L296" s="10" t="s">
        <v>739</v>
      </c>
      <c r="M296" s="76"/>
      <c r="N296" s="76"/>
      <c r="O296" s="76"/>
      <c r="P296" s="76"/>
    </row>
    <row r="297" spans="1:16" ht="15">
      <c r="A297" s="75">
        <v>284</v>
      </c>
      <c r="B297" s="221" t="s">
        <v>429</v>
      </c>
      <c r="C297" s="445" t="s">
        <v>195</v>
      </c>
      <c r="D297" s="246" t="s">
        <v>699</v>
      </c>
      <c r="E297" s="253">
        <v>45741</v>
      </c>
      <c r="F297" s="262">
        <v>58.51</v>
      </c>
      <c r="G297" s="591" t="s">
        <v>55</v>
      </c>
      <c r="H297" s="592"/>
      <c r="I297" s="592"/>
      <c r="J297" s="593"/>
      <c r="K297" s="253">
        <v>45749</v>
      </c>
      <c r="L297" s="10" t="s">
        <v>743</v>
      </c>
      <c r="M297" s="76"/>
      <c r="N297" s="76"/>
      <c r="O297" s="76"/>
      <c r="P297" s="76"/>
    </row>
    <row r="298" spans="1:16" ht="15">
      <c r="A298" s="75">
        <v>285</v>
      </c>
      <c r="B298" s="232" t="s">
        <v>630</v>
      </c>
      <c r="C298" s="449" t="s">
        <v>225</v>
      </c>
      <c r="D298" s="247" t="s">
        <v>697</v>
      </c>
      <c r="E298" s="256">
        <v>45747</v>
      </c>
      <c r="F298" s="260">
        <v>37.64</v>
      </c>
      <c r="G298" s="591" t="s">
        <v>55</v>
      </c>
      <c r="H298" s="592"/>
      <c r="I298" s="592"/>
      <c r="J298" s="593"/>
      <c r="K298" s="253">
        <v>45750</v>
      </c>
      <c r="L298" s="10" t="s">
        <v>744</v>
      </c>
      <c r="M298" s="76"/>
      <c r="N298" s="76"/>
      <c r="O298" s="76"/>
      <c r="P298" s="76"/>
    </row>
    <row r="299" spans="1:16" ht="15">
      <c r="A299" s="596">
        <v>286</v>
      </c>
      <c r="B299" s="216" t="s">
        <v>692</v>
      </c>
      <c r="C299" s="452" t="s">
        <v>380</v>
      </c>
      <c r="D299" s="236" t="s">
        <v>704</v>
      </c>
      <c r="E299" s="253">
        <v>45741</v>
      </c>
      <c r="F299" s="260">
        <v>163.30999999999997</v>
      </c>
      <c r="G299" s="591" t="s">
        <v>55</v>
      </c>
      <c r="H299" s="592"/>
      <c r="I299" s="592"/>
      <c r="J299" s="593"/>
      <c r="K299" s="253">
        <v>45757</v>
      </c>
      <c r="L299" s="266" t="s">
        <v>722</v>
      </c>
      <c r="M299" s="76"/>
      <c r="N299" s="76"/>
      <c r="O299" s="76"/>
      <c r="P299" s="76"/>
    </row>
    <row r="300" spans="1:16" ht="30">
      <c r="A300" s="597"/>
      <c r="B300" s="216" t="s">
        <v>693</v>
      </c>
      <c r="C300" s="452" t="s">
        <v>718</v>
      </c>
      <c r="D300" s="236" t="s">
        <v>704</v>
      </c>
      <c r="E300" s="253">
        <v>45741</v>
      </c>
      <c r="F300" s="260">
        <v>164.49499999999998</v>
      </c>
      <c r="G300" s="591" t="s">
        <v>55</v>
      </c>
      <c r="H300" s="592"/>
      <c r="I300" s="592"/>
      <c r="J300" s="593"/>
      <c r="K300" s="253">
        <v>45757</v>
      </c>
      <c r="L300" s="266" t="s">
        <v>722</v>
      </c>
      <c r="M300" s="76"/>
      <c r="N300" s="76"/>
      <c r="O300" s="76"/>
      <c r="P300" s="76"/>
    </row>
    <row r="301" spans="1:16" ht="15">
      <c r="A301" s="75">
        <v>287</v>
      </c>
      <c r="B301" s="234" t="s">
        <v>647</v>
      </c>
      <c r="C301" s="449" t="s">
        <v>719</v>
      </c>
      <c r="D301" s="247" t="s">
        <v>697</v>
      </c>
      <c r="E301" s="253">
        <v>45751</v>
      </c>
      <c r="F301" s="260">
        <v>68.11</v>
      </c>
      <c r="G301" s="591" t="s">
        <v>55</v>
      </c>
      <c r="H301" s="592"/>
      <c r="I301" s="592"/>
      <c r="J301" s="593"/>
      <c r="K301" s="253">
        <v>45757</v>
      </c>
      <c r="L301" s="10" t="s">
        <v>744</v>
      </c>
      <c r="M301" s="76"/>
      <c r="N301" s="76"/>
      <c r="O301" s="76"/>
      <c r="P301" s="76"/>
    </row>
    <row r="302" spans="1:16" ht="15">
      <c r="A302" s="75">
        <v>288</v>
      </c>
      <c r="B302" s="216" t="s">
        <v>694</v>
      </c>
      <c r="C302" s="441" t="s">
        <v>633</v>
      </c>
      <c r="D302" s="243" t="s">
        <v>699</v>
      </c>
      <c r="E302" s="253">
        <v>45751</v>
      </c>
      <c r="F302" s="262">
        <v>243.46</v>
      </c>
      <c r="G302" s="591" t="s">
        <v>55</v>
      </c>
      <c r="H302" s="592"/>
      <c r="I302" s="592"/>
      <c r="J302" s="593"/>
      <c r="K302" s="253">
        <v>45764</v>
      </c>
      <c r="L302" s="10" t="s">
        <v>740</v>
      </c>
      <c r="M302" s="76"/>
      <c r="N302" s="76"/>
      <c r="O302" s="76"/>
      <c r="P302" s="76"/>
    </row>
    <row r="303" spans="1:16" ht="15">
      <c r="A303" s="75">
        <v>289</v>
      </c>
      <c r="B303" s="216" t="s">
        <v>594</v>
      </c>
      <c r="C303" s="441" t="s">
        <v>224</v>
      </c>
      <c r="D303" s="243" t="s">
        <v>699</v>
      </c>
      <c r="E303" s="253">
        <v>45764</v>
      </c>
      <c r="F303" s="260">
        <v>61.059999999999995</v>
      </c>
      <c r="G303" s="591" t="s">
        <v>55</v>
      </c>
      <c r="H303" s="592"/>
      <c r="I303" s="592"/>
      <c r="J303" s="593"/>
      <c r="K303" s="253">
        <v>45768</v>
      </c>
      <c r="L303" s="10" t="s">
        <v>728</v>
      </c>
      <c r="M303" s="76"/>
      <c r="N303" s="76"/>
      <c r="O303" s="76"/>
      <c r="P303" s="76"/>
    </row>
    <row r="304" spans="1:16" ht="15">
      <c r="A304" s="75">
        <v>290</v>
      </c>
      <c r="B304" s="216" t="s">
        <v>365</v>
      </c>
      <c r="C304" s="441" t="s">
        <v>637</v>
      </c>
      <c r="D304" s="236" t="s">
        <v>704</v>
      </c>
      <c r="E304" s="253">
        <v>45751</v>
      </c>
      <c r="F304" s="260">
        <v>331.82</v>
      </c>
      <c r="G304" s="591" t="s">
        <v>55</v>
      </c>
      <c r="H304" s="592"/>
      <c r="I304" s="592"/>
      <c r="J304" s="593"/>
      <c r="K304" s="253">
        <v>45768</v>
      </c>
      <c r="L304" s="266" t="s">
        <v>738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1" t="s">
        <v>275</v>
      </c>
      <c r="D305" s="236" t="s">
        <v>697</v>
      </c>
      <c r="E305" s="253">
        <v>45769</v>
      </c>
      <c r="F305" s="260">
        <v>71.039999999999992</v>
      </c>
      <c r="G305" s="591" t="s">
        <v>55</v>
      </c>
      <c r="H305" s="592"/>
      <c r="I305" s="592"/>
      <c r="J305" s="593"/>
      <c r="K305" s="253">
        <v>45774</v>
      </c>
      <c r="L305" s="10" t="s">
        <v>728</v>
      </c>
      <c r="M305" s="76"/>
      <c r="N305" s="76"/>
      <c r="O305" s="76"/>
      <c r="P305" s="76"/>
    </row>
    <row r="306" spans="1:16" ht="15">
      <c r="A306" s="75">
        <v>292</v>
      </c>
      <c r="B306" s="216" t="s">
        <v>642</v>
      </c>
      <c r="C306" s="441" t="s">
        <v>380</v>
      </c>
      <c r="D306" s="236" t="s">
        <v>704</v>
      </c>
      <c r="E306" s="253">
        <v>45758</v>
      </c>
      <c r="F306" s="260">
        <v>326.61999999999995</v>
      </c>
      <c r="G306" s="591" t="s">
        <v>55</v>
      </c>
      <c r="H306" s="592"/>
      <c r="I306" s="592"/>
      <c r="J306" s="593"/>
      <c r="K306" s="253">
        <v>45775</v>
      </c>
      <c r="L306" s="266" t="s">
        <v>722</v>
      </c>
      <c r="M306" s="76"/>
      <c r="N306" s="76"/>
      <c r="O306" s="76"/>
      <c r="P306" s="76"/>
    </row>
    <row r="307" spans="1:16" ht="15">
      <c r="A307" s="75">
        <v>293</v>
      </c>
      <c r="B307" s="216" t="s">
        <v>650</v>
      </c>
      <c r="C307" s="441" t="s">
        <v>651</v>
      </c>
      <c r="D307" s="236" t="s">
        <v>697</v>
      </c>
      <c r="E307" s="253">
        <v>45769</v>
      </c>
      <c r="F307" s="260">
        <v>94.55</v>
      </c>
      <c r="G307" s="591" t="s">
        <v>55</v>
      </c>
      <c r="H307" s="592"/>
      <c r="I307" s="592"/>
      <c r="J307" s="593"/>
      <c r="K307" s="253">
        <v>45776</v>
      </c>
      <c r="L307" s="266" t="s">
        <v>732</v>
      </c>
      <c r="M307" s="76"/>
      <c r="N307" s="76"/>
      <c r="O307" s="76"/>
      <c r="P307" s="76"/>
    </row>
    <row r="308" spans="1:16" ht="15">
      <c r="A308" s="75">
        <v>294</v>
      </c>
      <c r="B308" s="216" t="s">
        <v>695</v>
      </c>
      <c r="C308" s="441" t="s">
        <v>380</v>
      </c>
      <c r="D308" s="243" t="s">
        <v>699</v>
      </c>
      <c r="E308" s="253">
        <v>45764</v>
      </c>
      <c r="F308" s="260">
        <v>249.38</v>
      </c>
      <c r="G308" s="591" t="s">
        <v>55</v>
      </c>
      <c r="H308" s="592"/>
      <c r="I308" s="592"/>
      <c r="J308" s="593"/>
      <c r="K308" s="253">
        <v>45777</v>
      </c>
      <c r="L308" s="266" t="s">
        <v>731</v>
      </c>
      <c r="M308" s="76"/>
      <c r="N308" s="76"/>
      <c r="O308" s="76"/>
      <c r="P308" s="76"/>
    </row>
    <row r="309" spans="1:16" ht="15">
      <c r="A309" s="75">
        <v>295</v>
      </c>
      <c r="B309" s="216" t="s">
        <v>432</v>
      </c>
      <c r="C309" s="453" t="s">
        <v>195</v>
      </c>
      <c r="D309" s="248" t="s">
        <v>697</v>
      </c>
      <c r="E309" s="253">
        <v>45774</v>
      </c>
      <c r="F309" s="260">
        <v>37.64</v>
      </c>
      <c r="G309" s="591" t="s">
        <v>55</v>
      </c>
      <c r="H309" s="592"/>
      <c r="I309" s="592"/>
      <c r="J309" s="593"/>
      <c r="K309" s="253">
        <v>45777</v>
      </c>
      <c r="L309" s="10" t="s">
        <v>728</v>
      </c>
      <c r="M309" s="76"/>
      <c r="N309" s="76"/>
      <c r="O309" s="76"/>
      <c r="P309" s="76"/>
    </row>
    <row r="310" spans="1:16" ht="15">
      <c r="A310" s="75">
        <v>296</v>
      </c>
      <c r="B310" s="216" t="s">
        <v>274</v>
      </c>
      <c r="C310" s="441" t="s">
        <v>380</v>
      </c>
      <c r="D310" s="236" t="s">
        <v>704</v>
      </c>
      <c r="E310" s="253">
        <v>45772</v>
      </c>
      <c r="F310" s="260">
        <v>326.61999999999995</v>
      </c>
      <c r="G310" s="591" t="s">
        <v>55</v>
      </c>
      <c r="H310" s="592"/>
      <c r="I310" s="592"/>
      <c r="J310" s="593"/>
      <c r="K310" s="257">
        <v>45788</v>
      </c>
      <c r="L310" s="266" t="s">
        <v>738</v>
      </c>
      <c r="M310" s="76"/>
      <c r="N310" s="76"/>
      <c r="O310" s="76"/>
      <c r="P310" s="76"/>
    </row>
    <row r="311" spans="1:16" ht="15">
      <c r="A311" s="75">
        <v>297</v>
      </c>
      <c r="B311" s="216" t="s">
        <v>610</v>
      </c>
      <c r="C311" s="441" t="s">
        <v>224</v>
      </c>
      <c r="D311" s="243" t="s">
        <v>699</v>
      </c>
      <c r="E311" s="257">
        <v>45782</v>
      </c>
      <c r="F311" s="260">
        <v>61.059999999999995</v>
      </c>
      <c r="G311" s="591" t="s">
        <v>55</v>
      </c>
      <c r="H311" s="592"/>
      <c r="I311" s="592"/>
      <c r="J311" s="593"/>
      <c r="K311" s="257">
        <v>45788</v>
      </c>
      <c r="L311" s="10" t="s">
        <v>728</v>
      </c>
      <c r="M311" s="76"/>
      <c r="N311" s="76"/>
      <c r="O311" s="76"/>
      <c r="P311" s="76"/>
    </row>
    <row r="312" spans="1:16" ht="15">
      <c r="A312" s="75">
        <v>298</v>
      </c>
      <c r="B312" s="216" t="s">
        <v>418</v>
      </c>
      <c r="C312" s="441" t="s">
        <v>720</v>
      </c>
      <c r="D312" s="243" t="s">
        <v>699</v>
      </c>
      <c r="E312" s="257">
        <v>45782</v>
      </c>
      <c r="F312" s="260">
        <v>118.54</v>
      </c>
      <c r="G312" s="591" t="s">
        <v>55</v>
      </c>
      <c r="H312" s="592"/>
      <c r="I312" s="592"/>
      <c r="J312" s="593"/>
      <c r="K312" s="257">
        <v>45794</v>
      </c>
      <c r="L312" s="266" t="s">
        <v>732</v>
      </c>
      <c r="M312" s="76"/>
      <c r="N312" s="76"/>
      <c r="O312" s="76"/>
      <c r="P312" s="76"/>
    </row>
    <row r="313" spans="1:16" ht="15">
      <c r="A313" s="75">
        <v>299</v>
      </c>
      <c r="B313" s="222" t="s">
        <v>696</v>
      </c>
      <c r="C313" s="440" t="s">
        <v>357</v>
      </c>
      <c r="D313" s="249" t="s">
        <v>699</v>
      </c>
      <c r="E313" s="257">
        <v>45783</v>
      </c>
      <c r="F313" s="260">
        <v>110.03</v>
      </c>
      <c r="G313" s="591" t="s">
        <v>55</v>
      </c>
      <c r="H313" s="592"/>
      <c r="I313" s="592"/>
      <c r="J313" s="593"/>
      <c r="K313" s="257">
        <v>45796</v>
      </c>
      <c r="L313" s="268" t="s">
        <v>731</v>
      </c>
      <c r="M313" s="76"/>
      <c r="N313" s="76"/>
      <c r="O313" s="76"/>
      <c r="P313" s="76"/>
    </row>
    <row r="314" spans="1:16" ht="15">
      <c r="A314" s="75">
        <v>300</v>
      </c>
      <c r="B314" s="216" t="s">
        <v>288</v>
      </c>
      <c r="C314" s="441" t="s">
        <v>714</v>
      </c>
      <c r="D314" s="236" t="s">
        <v>704</v>
      </c>
      <c r="E314" s="257">
        <v>45788</v>
      </c>
      <c r="F314" s="260">
        <v>261.19600000000003</v>
      </c>
      <c r="G314" s="591" t="s">
        <v>55</v>
      </c>
      <c r="H314" s="592"/>
      <c r="I314" s="592"/>
      <c r="J314" s="593"/>
      <c r="K314" s="257">
        <v>45800</v>
      </c>
      <c r="L314" s="10" t="s">
        <v>728</v>
      </c>
      <c r="M314" s="76"/>
      <c r="N314" s="76"/>
      <c r="O314" s="76"/>
      <c r="P314" s="76"/>
    </row>
    <row r="315" spans="1:16" ht="15">
      <c r="A315" s="75">
        <v>301</v>
      </c>
      <c r="B315" s="216" t="s">
        <v>438</v>
      </c>
      <c r="C315" s="454" t="s">
        <v>380</v>
      </c>
      <c r="D315" s="243" t="s">
        <v>699</v>
      </c>
      <c r="E315" s="257">
        <v>45791</v>
      </c>
      <c r="F315" s="260">
        <v>249.38</v>
      </c>
      <c r="G315" s="591" t="s">
        <v>55</v>
      </c>
      <c r="H315" s="592"/>
      <c r="I315" s="592"/>
      <c r="J315" s="593"/>
      <c r="K315" s="257">
        <v>45805</v>
      </c>
      <c r="L315" s="10" t="s">
        <v>740</v>
      </c>
      <c r="M315" s="76"/>
      <c r="N315" s="76"/>
      <c r="O315" s="76"/>
      <c r="P315" s="76"/>
    </row>
    <row r="316" spans="1:16" ht="15">
      <c r="A316" s="75">
        <v>302</v>
      </c>
      <c r="B316" s="216" t="s">
        <v>424</v>
      </c>
      <c r="C316" s="441" t="s">
        <v>714</v>
      </c>
      <c r="D316" s="236" t="s">
        <v>704</v>
      </c>
      <c r="E316" s="257">
        <v>45797</v>
      </c>
      <c r="F316" s="260">
        <v>261.19600000000003</v>
      </c>
      <c r="G316" s="591" t="s">
        <v>55</v>
      </c>
      <c r="H316" s="592"/>
      <c r="I316" s="592"/>
      <c r="J316" s="593"/>
      <c r="K316" s="257">
        <v>45811</v>
      </c>
      <c r="L316" s="266" t="s">
        <v>732</v>
      </c>
      <c r="M316" s="76"/>
      <c r="N316" s="76"/>
      <c r="O316" s="76"/>
      <c r="P316" s="76"/>
    </row>
    <row r="318" spans="1:16" ht="32.2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78" t="s">
        <v>71</v>
      </c>
      <c r="H318" s="579"/>
      <c r="I318" s="579"/>
      <c r="J318" s="580"/>
      <c r="K318" s="30" t="s">
        <v>191</v>
      </c>
      <c r="L318" s="30" t="s">
        <v>192</v>
      </c>
      <c r="M318" s="30" t="s">
        <v>193</v>
      </c>
      <c r="N318" s="578" t="s">
        <v>194</v>
      </c>
      <c r="O318" s="579"/>
      <c r="P318" s="580"/>
    </row>
    <row r="319" spans="1:16" ht="18.75">
      <c r="A319" s="10">
        <v>1</v>
      </c>
      <c r="B319" s="190" t="s">
        <v>439</v>
      </c>
      <c r="C319" s="446" t="s">
        <v>195</v>
      </c>
      <c r="D319" s="10"/>
      <c r="E319" s="202">
        <v>45536</v>
      </c>
      <c r="F319" s="23">
        <v>43.775756000000008</v>
      </c>
      <c r="G319" s="568" t="s">
        <v>196</v>
      </c>
      <c r="H319" s="568"/>
      <c r="I319" s="568"/>
      <c r="J319" s="568"/>
      <c r="K319" s="202">
        <v>45551</v>
      </c>
      <c r="L319" s="203" t="s">
        <v>662</v>
      </c>
      <c r="M319" s="10"/>
      <c r="N319" s="577"/>
      <c r="O319" s="577"/>
      <c r="P319" s="577"/>
    </row>
    <row r="320" spans="1:16" ht="18.75">
      <c r="A320" s="10">
        <v>2</v>
      </c>
      <c r="B320" s="190" t="s">
        <v>440</v>
      </c>
      <c r="C320" s="446" t="s">
        <v>195</v>
      </c>
      <c r="D320" s="10"/>
      <c r="E320" s="202">
        <v>45551</v>
      </c>
      <c r="F320" s="23">
        <v>43.775756000000008</v>
      </c>
      <c r="G320" s="568" t="s">
        <v>196</v>
      </c>
      <c r="H320" s="568"/>
      <c r="I320" s="568"/>
      <c r="J320" s="568"/>
      <c r="K320" s="202">
        <v>45564</v>
      </c>
      <c r="L320" s="203" t="s">
        <v>662</v>
      </c>
      <c r="M320" s="10"/>
      <c r="N320" s="577"/>
      <c r="O320" s="577"/>
      <c r="P320" s="577"/>
    </row>
    <row r="321" spans="1:16">
      <c r="A321" s="10">
        <v>3</v>
      </c>
      <c r="B321" s="27" t="s">
        <v>441</v>
      </c>
      <c r="C321" s="446" t="s">
        <v>195</v>
      </c>
      <c r="D321" s="10"/>
      <c r="E321" s="202">
        <v>45551</v>
      </c>
      <c r="F321" s="23">
        <v>43.775756000000008</v>
      </c>
      <c r="G321" s="568" t="s">
        <v>196</v>
      </c>
      <c r="H321" s="568"/>
      <c r="I321" s="568"/>
      <c r="J321" s="568"/>
      <c r="K321" s="202">
        <v>45566</v>
      </c>
      <c r="L321" s="203" t="s">
        <v>663</v>
      </c>
      <c r="M321" s="10"/>
      <c r="N321" s="577"/>
      <c r="O321" s="577"/>
      <c r="P321" s="577"/>
    </row>
    <row r="322" spans="1:16">
      <c r="A322" s="10">
        <v>4</v>
      </c>
      <c r="B322" s="27" t="s">
        <v>442</v>
      </c>
      <c r="C322" s="446" t="s">
        <v>195</v>
      </c>
      <c r="D322" s="10"/>
      <c r="E322" s="202">
        <v>45566</v>
      </c>
      <c r="F322" s="23">
        <v>43.775756000000008</v>
      </c>
      <c r="G322" s="568" t="s">
        <v>196</v>
      </c>
      <c r="H322" s="568"/>
      <c r="I322" s="568"/>
      <c r="J322" s="568"/>
      <c r="K322" s="202">
        <v>45572</v>
      </c>
      <c r="L322" s="203" t="s">
        <v>662</v>
      </c>
      <c r="M322" s="10"/>
      <c r="N322" s="577"/>
      <c r="O322" s="577"/>
      <c r="P322" s="577"/>
    </row>
    <row r="323" spans="1:16">
      <c r="A323" s="10">
        <v>5</v>
      </c>
      <c r="B323" s="27" t="s">
        <v>443</v>
      </c>
      <c r="C323" s="446" t="s">
        <v>195</v>
      </c>
      <c r="D323" s="10"/>
      <c r="E323" s="202">
        <v>45568</v>
      </c>
      <c r="F323" s="23">
        <v>43.775756000000008</v>
      </c>
      <c r="G323" s="568" t="s">
        <v>196</v>
      </c>
      <c r="H323" s="568"/>
      <c r="I323" s="568"/>
      <c r="J323" s="568"/>
      <c r="K323" s="202">
        <v>45580</v>
      </c>
      <c r="L323" s="203" t="s">
        <v>663</v>
      </c>
      <c r="M323" s="10"/>
      <c r="N323" s="577"/>
      <c r="O323" s="577"/>
      <c r="P323" s="577"/>
    </row>
    <row r="324" spans="1:16">
      <c r="A324" s="10">
        <v>6</v>
      </c>
      <c r="B324" s="27" t="s">
        <v>444</v>
      </c>
      <c r="C324" s="446" t="s">
        <v>195</v>
      </c>
      <c r="D324" s="10"/>
      <c r="E324" s="202">
        <v>45573</v>
      </c>
      <c r="F324" s="23">
        <v>43.775756000000008</v>
      </c>
      <c r="G324" s="568" t="s">
        <v>196</v>
      </c>
      <c r="H324" s="568"/>
      <c r="I324" s="568"/>
      <c r="J324" s="568"/>
      <c r="K324" s="202">
        <v>45578</v>
      </c>
      <c r="L324" s="203" t="s">
        <v>662</v>
      </c>
      <c r="M324" s="10"/>
      <c r="N324" s="577"/>
      <c r="O324" s="577"/>
      <c r="P324" s="577"/>
    </row>
    <row r="325" spans="1:16">
      <c r="A325" s="10">
        <v>7</v>
      </c>
      <c r="B325" s="27" t="s">
        <v>445</v>
      </c>
      <c r="C325" s="446" t="s">
        <v>224</v>
      </c>
      <c r="D325" s="10"/>
      <c r="E325" s="202">
        <v>45579</v>
      </c>
      <c r="F325" s="23">
        <v>46.049156000000004</v>
      </c>
      <c r="G325" s="568" t="s">
        <v>196</v>
      </c>
      <c r="H325" s="568"/>
      <c r="I325" s="568"/>
      <c r="J325" s="568"/>
      <c r="K325" s="202">
        <v>45584</v>
      </c>
      <c r="L325" s="203" t="s">
        <v>662</v>
      </c>
      <c r="M325" s="10"/>
      <c r="N325" s="577"/>
      <c r="O325" s="577"/>
      <c r="P325" s="577"/>
    </row>
    <row r="326" spans="1:16">
      <c r="A326" s="10">
        <v>8</v>
      </c>
      <c r="B326" s="27" t="s">
        <v>446</v>
      </c>
      <c r="C326" s="446" t="s">
        <v>224</v>
      </c>
      <c r="D326" s="10"/>
      <c r="E326" s="202">
        <v>45580</v>
      </c>
      <c r="F326" s="23">
        <v>46.049156000000004</v>
      </c>
      <c r="G326" s="568" t="s">
        <v>196</v>
      </c>
      <c r="H326" s="568"/>
      <c r="I326" s="568"/>
      <c r="J326" s="568"/>
      <c r="K326" s="202">
        <v>45589</v>
      </c>
      <c r="L326" s="203" t="s">
        <v>663</v>
      </c>
      <c r="M326" s="10"/>
      <c r="N326" s="577"/>
      <c r="O326" s="577"/>
      <c r="P326" s="577"/>
    </row>
    <row r="327" spans="1:16">
      <c r="A327" s="10">
        <v>9</v>
      </c>
      <c r="B327" s="27" t="s">
        <v>447</v>
      </c>
      <c r="C327" s="446" t="s">
        <v>224</v>
      </c>
      <c r="D327" s="10"/>
      <c r="E327" s="202">
        <v>45585</v>
      </c>
      <c r="F327" s="23">
        <v>46.049156000000004</v>
      </c>
      <c r="G327" s="568" t="s">
        <v>196</v>
      </c>
      <c r="H327" s="568"/>
      <c r="I327" s="568"/>
      <c r="J327" s="568"/>
      <c r="K327" s="202">
        <v>45589</v>
      </c>
      <c r="L327" s="203" t="s">
        <v>662</v>
      </c>
      <c r="M327" s="10"/>
      <c r="N327" s="577"/>
      <c r="O327" s="577"/>
      <c r="P327" s="577"/>
    </row>
    <row r="328" spans="1:16">
      <c r="A328" s="10">
        <v>10</v>
      </c>
      <c r="B328" s="27" t="s">
        <v>448</v>
      </c>
      <c r="C328" s="446" t="s">
        <v>225</v>
      </c>
      <c r="D328" s="10"/>
      <c r="E328" s="202">
        <v>45589</v>
      </c>
      <c r="F328" s="23">
        <v>42.374236000000003</v>
      </c>
      <c r="G328" s="568" t="s">
        <v>196</v>
      </c>
      <c r="H328" s="568"/>
      <c r="I328" s="568"/>
      <c r="J328" s="568"/>
      <c r="K328" s="202">
        <v>45594</v>
      </c>
      <c r="L328" s="203" t="s">
        <v>662</v>
      </c>
      <c r="M328" s="10"/>
      <c r="N328" s="577"/>
      <c r="O328" s="577"/>
      <c r="P328" s="577"/>
    </row>
    <row r="329" spans="1:16">
      <c r="A329" s="10">
        <v>11</v>
      </c>
      <c r="B329" s="27" t="s">
        <v>449</v>
      </c>
      <c r="C329" s="446" t="s">
        <v>224</v>
      </c>
      <c r="D329" s="10"/>
      <c r="E329" s="202">
        <v>45589</v>
      </c>
      <c r="F329" s="23">
        <v>46.049156000000004</v>
      </c>
      <c r="G329" s="568" t="s">
        <v>196</v>
      </c>
      <c r="H329" s="568"/>
      <c r="I329" s="568"/>
      <c r="J329" s="568"/>
      <c r="K329" s="202">
        <v>45596</v>
      </c>
      <c r="L329" s="203" t="s">
        <v>663</v>
      </c>
      <c r="M329" s="10"/>
      <c r="N329" s="577"/>
      <c r="O329" s="577"/>
      <c r="P329" s="577"/>
    </row>
    <row r="330" spans="1:16">
      <c r="A330" s="10">
        <v>12</v>
      </c>
      <c r="B330" s="27" t="s">
        <v>450</v>
      </c>
      <c r="C330" s="446" t="s">
        <v>225</v>
      </c>
      <c r="D330" s="10"/>
      <c r="E330" s="202">
        <v>45597</v>
      </c>
      <c r="F330" s="23">
        <v>42.374236000000003</v>
      </c>
      <c r="G330" s="568" t="s">
        <v>196</v>
      </c>
      <c r="H330" s="568"/>
      <c r="I330" s="568"/>
      <c r="J330" s="568"/>
      <c r="K330" s="202">
        <v>45600</v>
      </c>
      <c r="L330" s="203" t="s">
        <v>662</v>
      </c>
      <c r="M330" s="10"/>
      <c r="N330" s="577"/>
      <c r="O330" s="577"/>
      <c r="P330" s="577"/>
    </row>
    <row r="331" spans="1:16">
      <c r="A331" s="10">
        <v>13</v>
      </c>
      <c r="B331" s="27" t="s">
        <v>451</v>
      </c>
      <c r="C331" s="446" t="s">
        <v>224</v>
      </c>
      <c r="D331" s="10"/>
      <c r="E331" s="202">
        <v>45601</v>
      </c>
      <c r="F331" s="23">
        <v>46.049156000000004</v>
      </c>
      <c r="G331" s="568" t="s">
        <v>196</v>
      </c>
      <c r="H331" s="568"/>
      <c r="I331" s="568"/>
      <c r="J331" s="568"/>
      <c r="K331" s="202">
        <v>45606</v>
      </c>
      <c r="L331" s="203" t="s">
        <v>662</v>
      </c>
      <c r="M331" s="10"/>
      <c r="N331" s="577"/>
      <c r="O331" s="577"/>
      <c r="P331" s="577"/>
    </row>
    <row r="332" spans="1:16">
      <c r="A332" s="10">
        <v>14</v>
      </c>
      <c r="B332" s="27" t="s">
        <v>452</v>
      </c>
      <c r="C332" s="446" t="s">
        <v>224</v>
      </c>
      <c r="D332" s="10"/>
      <c r="E332" s="202">
        <v>45597</v>
      </c>
      <c r="F332" s="23">
        <v>46.049156000000004</v>
      </c>
      <c r="G332" s="568" t="s">
        <v>196</v>
      </c>
      <c r="H332" s="568"/>
      <c r="I332" s="568"/>
      <c r="J332" s="568"/>
      <c r="K332" s="202" t="s">
        <v>661</v>
      </c>
      <c r="L332" s="203" t="s">
        <v>663</v>
      </c>
      <c r="M332" s="10"/>
      <c r="N332" s="577"/>
      <c r="O332" s="577"/>
      <c r="P332" s="577"/>
    </row>
    <row r="333" spans="1:16">
      <c r="A333" s="10">
        <v>15</v>
      </c>
      <c r="B333" s="27" t="s">
        <v>453</v>
      </c>
      <c r="C333" s="446" t="s">
        <v>224</v>
      </c>
      <c r="D333" s="10"/>
      <c r="E333" s="202">
        <v>45606</v>
      </c>
      <c r="F333" s="23">
        <v>46.049156000000004</v>
      </c>
      <c r="G333" s="568" t="s">
        <v>196</v>
      </c>
      <c r="H333" s="568"/>
      <c r="I333" s="568"/>
      <c r="J333" s="568"/>
      <c r="K333" s="202">
        <v>45613</v>
      </c>
      <c r="L333" s="203" t="s">
        <v>662</v>
      </c>
      <c r="M333" s="10"/>
      <c r="N333" s="577"/>
      <c r="O333" s="577"/>
      <c r="P333" s="577"/>
    </row>
    <row r="334" spans="1:16">
      <c r="A334" s="10">
        <v>16</v>
      </c>
      <c r="B334" s="27" t="s">
        <v>454</v>
      </c>
      <c r="C334" s="446" t="s">
        <v>224</v>
      </c>
      <c r="D334" s="10"/>
      <c r="E334" s="202">
        <v>45613</v>
      </c>
      <c r="F334" s="23">
        <v>46.049156000000004</v>
      </c>
      <c r="G334" s="568" t="s">
        <v>196</v>
      </c>
      <c r="H334" s="568"/>
      <c r="I334" s="568"/>
      <c r="J334" s="568"/>
      <c r="K334" s="202">
        <v>45618</v>
      </c>
      <c r="L334" s="203" t="s">
        <v>662</v>
      </c>
      <c r="M334" s="10"/>
      <c r="N334" s="577"/>
      <c r="O334" s="577"/>
      <c r="P334" s="577"/>
    </row>
    <row r="335" spans="1:16">
      <c r="A335" s="10">
        <v>17</v>
      </c>
      <c r="B335" s="27" t="s">
        <v>455</v>
      </c>
      <c r="C335" s="446" t="s">
        <v>224</v>
      </c>
      <c r="D335" s="10"/>
      <c r="E335" s="202">
        <v>45606</v>
      </c>
      <c r="F335" s="23">
        <v>46.049156000000004</v>
      </c>
      <c r="G335" s="568" t="s">
        <v>196</v>
      </c>
      <c r="H335" s="568"/>
      <c r="I335" s="568"/>
      <c r="J335" s="568"/>
      <c r="K335" s="202">
        <v>45620</v>
      </c>
      <c r="L335" s="203" t="s">
        <v>664</v>
      </c>
      <c r="M335" s="10"/>
      <c r="N335" s="577"/>
      <c r="O335" s="577"/>
      <c r="P335" s="577"/>
    </row>
    <row r="336" spans="1:16">
      <c r="A336" s="10">
        <v>18</v>
      </c>
      <c r="B336" s="27" t="s">
        <v>456</v>
      </c>
      <c r="C336" s="446" t="s">
        <v>224</v>
      </c>
      <c r="D336" s="10"/>
      <c r="E336" s="202">
        <v>45606</v>
      </c>
      <c r="F336" s="23">
        <v>46.049156000000004</v>
      </c>
      <c r="G336" s="568" t="s">
        <v>196</v>
      </c>
      <c r="H336" s="568"/>
      <c r="I336" s="568"/>
      <c r="J336" s="568"/>
      <c r="K336" s="202">
        <v>45622</v>
      </c>
      <c r="L336" s="203" t="s">
        <v>419</v>
      </c>
      <c r="M336" s="10"/>
      <c r="N336" s="577"/>
      <c r="O336" s="577"/>
      <c r="P336" s="577"/>
    </row>
    <row r="337" spans="1:16">
      <c r="A337" s="10">
        <v>19</v>
      </c>
      <c r="B337" s="27" t="s">
        <v>457</v>
      </c>
      <c r="C337" s="446" t="s">
        <v>224</v>
      </c>
      <c r="D337" s="10"/>
      <c r="E337" s="202">
        <v>45610</v>
      </c>
      <c r="F337" s="23">
        <v>46.049156000000004</v>
      </c>
      <c r="G337" s="568" t="s">
        <v>196</v>
      </c>
      <c r="H337" s="568"/>
      <c r="I337" s="568"/>
      <c r="J337" s="568"/>
      <c r="K337" s="202">
        <v>45621</v>
      </c>
      <c r="L337" s="203" t="s">
        <v>665</v>
      </c>
      <c r="M337" s="10"/>
      <c r="N337" s="577"/>
      <c r="O337" s="577"/>
      <c r="P337" s="577"/>
    </row>
    <row r="338" spans="1:16">
      <c r="A338" s="10">
        <v>20</v>
      </c>
      <c r="B338" s="27" t="s">
        <v>458</v>
      </c>
      <c r="C338" s="446" t="s">
        <v>224</v>
      </c>
      <c r="D338" s="10"/>
      <c r="E338" s="202">
        <v>45606</v>
      </c>
      <c r="F338" s="23">
        <v>46.049156000000004</v>
      </c>
      <c r="G338" s="568" t="s">
        <v>196</v>
      </c>
      <c r="H338" s="568"/>
      <c r="I338" s="568"/>
      <c r="J338" s="568"/>
      <c r="K338" s="202">
        <v>45621</v>
      </c>
      <c r="L338" s="203" t="s">
        <v>663</v>
      </c>
      <c r="M338" s="10"/>
      <c r="N338" s="577"/>
      <c r="O338" s="577"/>
      <c r="P338" s="577"/>
    </row>
    <row r="339" spans="1:16">
      <c r="A339" s="10">
        <v>21</v>
      </c>
      <c r="B339" s="27" t="s">
        <v>459</v>
      </c>
      <c r="C339" s="446" t="s">
        <v>224</v>
      </c>
      <c r="D339" s="10"/>
      <c r="E339" s="202">
        <v>45618</v>
      </c>
      <c r="F339" s="23">
        <v>46.049156000000004</v>
      </c>
      <c r="G339" s="568" t="s">
        <v>196</v>
      </c>
      <c r="H339" s="568"/>
      <c r="I339" s="568"/>
      <c r="J339" s="568"/>
      <c r="K339" s="202">
        <v>45624</v>
      </c>
      <c r="L339" s="203" t="s">
        <v>662</v>
      </c>
      <c r="M339" s="10"/>
      <c r="N339" s="575"/>
      <c r="O339" s="575"/>
      <c r="P339" s="575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68" t="s">
        <v>196</v>
      </c>
      <c r="H340" s="568"/>
      <c r="I340" s="568"/>
      <c r="J340" s="568"/>
      <c r="K340" s="202">
        <v>45625</v>
      </c>
      <c r="L340" s="203" t="s">
        <v>666</v>
      </c>
      <c r="M340" s="10"/>
      <c r="N340" s="581"/>
      <c r="O340" s="581"/>
      <c r="P340" s="581"/>
    </row>
    <row r="341" spans="1:16">
      <c r="A341" s="10">
        <v>23</v>
      </c>
      <c r="B341" s="27" t="s">
        <v>460</v>
      </c>
      <c r="C341" s="446" t="s">
        <v>224</v>
      </c>
      <c r="D341" s="10"/>
      <c r="E341" s="202">
        <v>45622</v>
      </c>
      <c r="F341" s="23">
        <v>46.049156000000004</v>
      </c>
      <c r="G341" s="568" t="s">
        <v>196</v>
      </c>
      <c r="H341" s="568"/>
      <c r="I341" s="568"/>
      <c r="J341" s="568"/>
      <c r="K341" s="202">
        <v>45629</v>
      </c>
      <c r="L341" s="203" t="s">
        <v>664</v>
      </c>
      <c r="M341" s="10"/>
      <c r="N341" s="577"/>
      <c r="O341" s="577"/>
      <c r="P341" s="577"/>
    </row>
    <row r="342" spans="1:16">
      <c r="A342" s="10">
        <v>24</v>
      </c>
      <c r="B342" s="27" t="s">
        <v>461</v>
      </c>
      <c r="C342" s="446" t="s">
        <v>195</v>
      </c>
      <c r="D342" s="10"/>
      <c r="E342" s="202">
        <v>45624</v>
      </c>
      <c r="F342" s="23">
        <v>43.775756000000008</v>
      </c>
      <c r="G342" s="568" t="s">
        <v>196</v>
      </c>
      <c r="H342" s="568"/>
      <c r="I342" s="568"/>
      <c r="J342" s="568"/>
      <c r="K342" s="202">
        <v>45631</v>
      </c>
      <c r="L342" s="203" t="s">
        <v>419</v>
      </c>
      <c r="M342" s="10"/>
      <c r="N342" s="577"/>
      <c r="O342" s="577"/>
      <c r="P342" s="577"/>
    </row>
    <row r="343" spans="1:16">
      <c r="A343" s="10">
        <v>25</v>
      </c>
      <c r="B343" s="27" t="s">
        <v>462</v>
      </c>
      <c r="C343" s="446" t="s">
        <v>195</v>
      </c>
      <c r="D343" s="10"/>
      <c r="E343" s="202">
        <v>45625</v>
      </c>
      <c r="F343" s="23">
        <v>43.775756000000008</v>
      </c>
      <c r="G343" s="568" t="s">
        <v>196</v>
      </c>
      <c r="H343" s="568"/>
      <c r="I343" s="568"/>
      <c r="J343" s="568"/>
      <c r="K343" s="202">
        <v>45631</v>
      </c>
      <c r="L343" s="203" t="s">
        <v>662</v>
      </c>
      <c r="M343" s="10"/>
      <c r="N343" s="575"/>
      <c r="O343" s="575"/>
      <c r="P343" s="575"/>
    </row>
    <row r="344" spans="1:16">
      <c r="A344" s="10">
        <v>26</v>
      </c>
      <c r="B344" s="27" t="s">
        <v>463</v>
      </c>
      <c r="C344" s="446" t="s">
        <v>224</v>
      </c>
      <c r="D344" s="10"/>
      <c r="E344" s="202">
        <v>45624</v>
      </c>
      <c r="F344" s="23">
        <v>46.049156000000004</v>
      </c>
      <c r="G344" s="568" t="s">
        <v>196</v>
      </c>
      <c r="H344" s="568"/>
      <c r="I344" s="568"/>
      <c r="J344" s="568"/>
      <c r="K344" s="202">
        <v>45631</v>
      </c>
      <c r="L344" s="203" t="s">
        <v>665</v>
      </c>
      <c r="M344" s="10"/>
      <c r="N344" s="575"/>
      <c r="O344" s="575"/>
      <c r="P344" s="575"/>
    </row>
    <row r="345" spans="1:16">
      <c r="A345" s="10">
        <v>27</v>
      </c>
      <c r="B345" s="27" t="s">
        <v>464</v>
      </c>
      <c r="C345" s="446" t="s">
        <v>195</v>
      </c>
      <c r="D345" s="10"/>
      <c r="E345" s="202">
        <v>45625</v>
      </c>
      <c r="F345" s="23">
        <v>43.775756000000008</v>
      </c>
      <c r="G345" s="568" t="s">
        <v>196</v>
      </c>
      <c r="H345" s="568"/>
      <c r="I345" s="568"/>
      <c r="J345" s="568"/>
      <c r="K345" s="202">
        <v>45632</v>
      </c>
      <c r="L345" s="203" t="s">
        <v>663</v>
      </c>
      <c r="M345" s="10"/>
      <c r="N345" s="575"/>
      <c r="O345" s="575"/>
      <c r="P345" s="575"/>
    </row>
    <row r="346" spans="1:16">
      <c r="A346" s="10">
        <v>28</v>
      </c>
      <c r="B346" s="27" t="s">
        <v>465</v>
      </c>
      <c r="C346" s="446" t="s">
        <v>195</v>
      </c>
      <c r="D346" s="10"/>
      <c r="E346" s="202">
        <v>45627</v>
      </c>
      <c r="F346" s="23">
        <v>43.775756000000008</v>
      </c>
      <c r="G346" s="568" t="s">
        <v>196</v>
      </c>
      <c r="H346" s="568"/>
      <c r="I346" s="568"/>
      <c r="J346" s="568"/>
      <c r="K346" s="202">
        <v>45635</v>
      </c>
      <c r="L346" s="203" t="s">
        <v>664</v>
      </c>
      <c r="M346" s="10"/>
      <c r="N346" s="575"/>
      <c r="O346" s="575"/>
      <c r="P346" s="575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68" t="s">
        <v>196</v>
      </c>
      <c r="H347" s="568"/>
      <c r="I347" s="568"/>
      <c r="J347" s="568"/>
      <c r="K347" s="202">
        <v>45636</v>
      </c>
      <c r="L347" s="203" t="s">
        <v>666</v>
      </c>
      <c r="M347" s="10"/>
      <c r="N347" s="575"/>
      <c r="O347" s="575"/>
      <c r="P347" s="575"/>
    </row>
    <row r="348" spans="1:16">
      <c r="A348" s="10">
        <v>30</v>
      </c>
      <c r="B348" s="27" t="s">
        <v>466</v>
      </c>
      <c r="C348" s="446" t="s">
        <v>195</v>
      </c>
      <c r="D348" s="10"/>
      <c r="E348" s="202">
        <v>45632</v>
      </c>
      <c r="F348" s="23">
        <v>43.775756000000008</v>
      </c>
      <c r="G348" s="568" t="s">
        <v>196</v>
      </c>
      <c r="H348" s="568"/>
      <c r="I348" s="568"/>
      <c r="J348" s="568"/>
      <c r="K348" s="202">
        <v>45638</v>
      </c>
      <c r="L348" s="203" t="s">
        <v>662</v>
      </c>
      <c r="M348" s="10"/>
      <c r="N348" s="575"/>
      <c r="O348" s="575"/>
      <c r="P348" s="575"/>
    </row>
    <row r="349" spans="1:16">
      <c r="A349" s="10">
        <v>31</v>
      </c>
      <c r="B349" s="27" t="s">
        <v>467</v>
      </c>
      <c r="C349" s="446" t="s">
        <v>195</v>
      </c>
      <c r="D349" s="10"/>
      <c r="E349" s="202">
        <v>45632</v>
      </c>
      <c r="F349" s="23">
        <v>43.775756000000008</v>
      </c>
      <c r="G349" s="568" t="s">
        <v>196</v>
      </c>
      <c r="H349" s="568"/>
      <c r="I349" s="568"/>
      <c r="J349" s="568"/>
      <c r="K349" s="202">
        <v>45638</v>
      </c>
      <c r="L349" s="203" t="s">
        <v>665</v>
      </c>
      <c r="M349" s="10"/>
      <c r="N349" s="575"/>
      <c r="O349" s="575"/>
      <c r="P349" s="575"/>
    </row>
    <row r="350" spans="1:16">
      <c r="A350" s="10">
        <v>32</v>
      </c>
      <c r="B350" s="27" t="s">
        <v>468</v>
      </c>
      <c r="C350" s="446" t="s">
        <v>195</v>
      </c>
      <c r="D350" s="10"/>
      <c r="E350" s="202">
        <v>45632</v>
      </c>
      <c r="F350" s="23">
        <v>43.775756000000008</v>
      </c>
      <c r="G350" s="568" t="s">
        <v>196</v>
      </c>
      <c r="H350" s="568"/>
      <c r="I350" s="568"/>
      <c r="J350" s="568"/>
      <c r="K350" s="202">
        <v>45639</v>
      </c>
      <c r="L350" s="203" t="s">
        <v>419</v>
      </c>
      <c r="M350" s="10"/>
      <c r="N350" s="575"/>
      <c r="O350" s="575"/>
      <c r="P350" s="575"/>
    </row>
    <row r="351" spans="1:16">
      <c r="A351" s="10">
        <v>33</v>
      </c>
      <c r="B351" s="27" t="s">
        <v>469</v>
      </c>
      <c r="C351" s="446" t="s">
        <v>224</v>
      </c>
      <c r="D351" s="10"/>
      <c r="E351" s="202">
        <v>45636</v>
      </c>
      <c r="F351" s="23">
        <v>46.049156000000004</v>
      </c>
      <c r="G351" s="568" t="s">
        <v>196</v>
      </c>
      <c r="H351" s="568"/>
      <c r="I351" s="568"/>
      <c r="J351" s="568"/>
      <c r="K351" s="202">
        <v>45642</v>
      </c>
      <c r="L351" s="203" t="s">
        <v>664</v>
      </c>
      <c r="M351" s="10"/>
      <c r="N351" s="575"/>
      <c r="O351" s="575"/>
      <c r="P351" s="575"/>
    </row>
    <row r="352" spans="1:16">
      <c r="A352" s="10">
        <v>34</v>
      </c>
      <c r="B352" s="27" t="s">
        <v>470</v>
      </c>
      <c r="C352" s="446" t="s">
        <v>225</v>
      </c>
      <c r="D352" s="10"/>
      <c r="E352" s="202">
        <v>45638</v>
      </c>
      <c r="F352" s="23">
        <v>42.374236000000003</v>
      </c>
      <c r="G352" s="568" t="s">
        <v>196</v>
      </c>
      <c r="H352" s="568"/>
      <c r="I352" s="568"/>
      <c r="J352" s="568"/>
      <c r="K352" s="202">
        <v>45642</v>
      </c>
      <c r="L352" s="203" t="s">
        <v>665</v>
      </c>
      <c r="M352" s="10"/>
      <c r="N352" s="575"/>
      <c r="O352" s="575"/>
      <c r="P352" s="575"/>
    </row>
    <row r="353" spans="1:16">
      <c r="A353" s="10">
        <v>35</v>
      </c>
      <c r="B353" s="27" t="s">
        <v>471</v>
      </c>
      <c r="C353" s="446" t="s">
        <v>195</v>
      </c>
      <c r="D353" s="10"/>
      <c r="E353" s="202">
        <v>45638</v>
      </c>
      <c r="F353" s="23">
        <v>43.775756000000008</v>
      </c>
      <c r="G353" s="568" t="s">
        <v>196</v>
      </c>
      <c r="H353" s="568"/>
      <c r="I353" s="568"/>
      <c r="J353" s="568"/>
      <c r="K353" s="202">
        <v>45643</v>
      </c>
      <c r="L353" s="203" t="s">
        <v>662</v>
      </c>
      <c r="M353" s="10"/>
      <c r="N353" s="575"/>
      <c r="O353" s="575"/>
      <c r="P353" s="575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68" t="s">
        <v>196</v>
      </c>
      <c r="H354" s="568"/>
      <c r="I354" s="568"/>
      <c r="J354" s="568"/>
      <c r="K354" s="202">
        <v>45645</v>
      </c>
      <c r="L354" s="203" t="s">
        <v>663</v>
      </c>
      <c r="M354" s="10"/>
      <c r="N354" s="575"/>
      <c r="O354" s="575"/>
      <c r="P354" s="575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68" t="s">
        <v>196</v>
      </c>
      <c r="H355" s="568"/>
      <c r="I355" s="568"/>
      <c r="J355" s="568"/>
      <c r="K355" s="202">
        <v>45646</v>
      </c>
      <c r="L355" s="203" t="s">
        <v>666</v>
      </c>
      <c r="M355" s="10"/>
      <c r="N355" s="575"/>
      <c r="O355" s="575"/>
      <c r="P355" s="575"/>
    </row>
    <row r="356" spans="1:16">
      <c r="A356" s="10">
        <v>38</v>
      </c>
      <c r="B356" s="27" t="s">
        <v>472</v>
      </c>
      <c r="C356" s="446" t="s">
        <v>195</v>
      </c>
      <c r="D356" s="10"/>
      <c r="E356" s="202">
        <v>45639</v>
      </c>
      <c r="F356" s="23">
        <v>43.775756000000008</v>
      </c>
      <c r="G356" s="568" t="s">
        <v>196</v>
      </c>
      <c r="H356" s="568"/>
      <c r="I356" s="568"/>
      <c r="J356" s="568"/>
      <c r="K356" s="202">
        <v>45647</v>
      </c>
      <c r="L356" s="203" t="s">
        <v>419</v>
      </c>
      <c r="M356" s="10"/>
      <c r="N356" s="575"/>
      <c r="O356" s="575"/>
      <c r="P356" s="575"/>
    </row>
    <row r="357" spans="1:16">
      <c r="A357" s="10">
        <v>39</v>
      </c>
      <c r="B357" s="27" t="s">
        <v>473</v>
      </c>
      <c r="C357" s="446" t="s">
        <v>195</v>
      </c>
      <c r="D357" s="10"/>
      <c r="E357" s="202">
        <v>45643</v>
      </c>
      <c r="F357" s="23">
        <v>43.775756000000008</v>
      </c>
      <c r="G357" s="568" t="s">
        <v>196</v>
      </c>
      <c r="H357" s="568"/>
      <c r="I357" s="568"/>
      <c r="J357" s="568"/>
      <c r="K357" s="202">
        <v>45648</v>
      </c>
      <c r="L357" s="203" t="s">
        <v>665</v>
      </c>
      <c r="M357" s="10"/>
      <c r="N357" s="575"/>
      <c r="O357" s="575"/>
      <c r="P357" s="575"/>
    </row>
    <row r="358" spans="1:16" ht="18.75">
      <c r="A358" s="10">
        <v>40</v>
      </c>
      <c r="B358" s="27" t="s">
        <v>474</v>
      </c>
      <c r="C358" s="446" t="s">
        <v>195</v>
      </c>
      <c r="D358" s="10"/>
      <c r="E358" s="202">
        <v>45644</v>
      </c>
      <c r="F358" s="23">
        <v>43.775756000000008</v>
      </c>
      <c r="G358" s="568" t="s">
        <v>196</v>
      </c>
      <c r="H358" s="568"/>
      <c r="I358" s="568"/>
      <c r="J358" s="568"/>
      <c r="K358" s="202">
        <v>45649</v>
      </c>
      <c r="L358" s="204" t="s">
        <v>662</v>
      </c>
      <c r="M358" s="10"/>
      <c r="N358" s="576"/>
      <c r="O358" s="576"/>
      <c r="P358" s="576"/>
    </row>
    <row r="359" spans="1:16" ht="28.5">
      <c r="A359" s="10">
        <v>41</v>
      </c>
      <c r="B359" s="27" t="s">
        <v>475</v>
      </c>
      <c r="C359" s="446" t="s">
        <v>224</v>
      </c>
      <c r="D359" s="10"/>
      <c r="E359" s="202">
        <v>45644</v>
      </c>
      <c r="F359" s="23">
        <v>46.049156000000004</v>
      </c>
      <c r="G359" s="568" t="s">
        <v>196</v>
      </c>
      <c r="H359" s="568"/>
      <c r="I359" s="568"/>
      <c r="J359" s="568"/>
      <c r="K359" s="202">
        <v>45649</v>
      </c>
      <c r="L359" s="203" t="s">
        <v>664</v>
      </c>
      <c r="M359" s="10"/>
      <c r="N359" s="574"/>
      <c r="O359" s="574"/>
      <c r="P359" s="574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68" t="s">
        <v>196</v>
      </c>
      <c r="H360" s="568"/>
      <c r="I360" s="568"/>
      <c r="J360" s="568"/>
      <c r="K360" s="202">
        <v>45653</v>
      </c>
      <c r="L360" s="203" t="s">
        <v>666</v>
      </c>
      <c r="M360" s="10"/>
      <c r="N360" s="574"/>
      <c r="O360" s="574"/>
      <c r="P360" s="574"/>
    </row>
    <row r="361" spans="1:16" ht="28.5">
      <c r="A361" s="10">
        <v>43</v>
      </c>
      <c r="B361" s="27" t="s">
        <v>476</v>
      </c>
      <c r="C361" s="446" t="s">
        <v>225</v>
      </c>
      <c r="D361" s="10"/>
      <c r="E361" s="202">
        <v>45648</v>
      </c>
      <c r="F361" s="23">
        <v>42.374236000000003</v>
      </c>
      <c r="G361" s="568" t="s">
        <v>196</v>
      </c>
      <c r="H361" s="568"/>
      <c r="I361" s="568"/>
      <c r="J361" s="568"/>
      <c r="K361" s="202">
        <v>45653</v>
      </c>
      <c r="L361" s="203" t="s">
        <v>419</v>
      </c>
      <c r="M361" s="10"/>
      <c r="N361" s="574"/>
      <c r="O361" s="574"/>
      <c r="P361" s="574"/>
    </row>
    <row r="362" spans="1:16" ht="21">
      <c r="A362" s="10">
        <v>44</v>
      </c>
      <c r="B362" s="27" t="s">
        <v>477</v>
      </c>
      <c r="C362" s="446" t="s">
        <v>224</v>
      </c>
      <c r="D362" s="10"/>
      <c r="E362" s="202">
        <v>45650</v>
      </c>
      <c r="F362" s="23">
        <v>46.049156000000004</v>
      </c>
      <c r="G362" s="568" t="s">
        <v>196</v>
      </c>
      <c r="H362" s="568"/>
      <c r="I362" s="568"/>
      <c r="J362" s="568"/>
      <c r="K362" s="202">
        <v>45653</v>
      </c>
      <c r="L362" s="203" t="s">
        <v>665</v>
      </c>
      <c r="M362" s="10"/>
      <c r="N362" s="573"/>
      <c r="O362" s="573"/>
      <c r="P362" s="573"/>
    </row>
    <row r="363" spans="1:16" ht="21">
      <c r="A363" s="10">
        <v>45</v>
      </c>
      <c r="B363" s="27" t="s">
        <v>478</v>
      </c>
      <c r="C363" s="446" t="s">
        <v>195</v>
      </c>
      <c r="D363" s="10"/>
      <c r="E363" s="202">
        <v>45650</v>
      </c>
      <c r="F363" s="23">
        <v>43.775756000000008</v>
      </c>
      <c r="G363" s="568" t="s">
        <v>196</v>
      </c>
      <c r="H363" s="568"/>
      <c r="I363" s="568"/>
      <c r="J363" s="568"/>
      <c r="K363" s="202">
        <v>45656</v>
      </c>
      <c r="L363" s="203" t="s">
        <v>664</v>
      </c>
      <c r="M363" s="10"/>
      <c r="N363" s="573"/>
      <c r="O363" s="573"/>
      <c r="P363" s="573"/>
    </row>
    <row r="364" spans="1:16" ht="21">
      <c r="A364" s="10">
        <v>46</v>
      </c>
      <c r="B364" s="27" t="s">
        <v>479</v>
      </c>
      <c r="C364" s="446" t="s">
        <v>224</v>
      </c>
      <c r="D364" s="10"/>
      <c r="E364" s="202">
        <v>45646</v>
      </c>
      <c r="F364" s="23">
        <v>46.049156000000004</v>
      </c>
      <c r="G364" s="568" t="s">
        <v>196</v>
      </c>
      <c r="H364" s="568"/>
      <c r="I364" s="568"/>
      <c r="J364" s="568"/>
      <c r="K364" s="202">
        <v>45657</v>
      </c>
      <c r="L364" s="203" t="s">
        <v>663</v>
      </c>
      <c r="M364" s="10"/>
      <c r="N364" s="573"/>
      <c r="O364" s="573"/>
      <c r="P364" s="573"/>
    </row>
    <row r="365" spans="1:16" ht="21">
      <c r="A365" s="10">
        <v>47</v>
      </c>
      <c r="B365" s="27" t="s">
        <v>480</v>
      </c>
      <c r="C365" s="446" t="s">
        <v>225</v>
      </c>
      <c r="D365" s="10"/>
      <c r="E365" s="202">
        <v>45650</v>
      </c>
      <c r="F365" s="23">
        <v>42.374236000000003</v>
      </c>
      <c r="G365" s="568" t="s">
        <v>196</v>
      </c>
      <c r="H365" s="568"/>
      <c r="I365" s="568"/>
      <c r="J365" s="568"/>
      <c r="K365" s="202">
        <v>45657</v>
      </c>
      <c r="L365" s="203" t="s">
        <v>662</v>
      </c>
      <c r="M365" s="10"/>
      <c r="N365" s="573"/>
      <c r="O365" s="573"/>
      <c r="P365" s="573"/>
    </row>
    <row r="366" spans="1:16" ht="21">
      <c r="A366" s="10">
        <v>48</v>
      </c>
      <c r="B366" s="27" t="s">
        <v>481</v>
      </c>
      <c r="C366" s="446" t="s">
        <v>224</v>
      </c>
      <c r="D366" s="10"/>
      <c r="E366" s="202">
        <v>45650</v>
      </c>
      <c r="F366" s="23">
        <v>46.049156000000004</v>
      </c>
      <c r="G366" s="568" t="s">
        <v>196</v>
      </c>
      <c r="H366" s="568"/>
      <c r="I366" s="568"/>
      <c r="J366" s="568"/>
      <c r="K366" s="202">
        <v>45660</v>
      </c>
      <c r="L366" s="203" t="s">
        <v>667</v>
      </c>
      <c r="M366" s="10"/>
      <c r="N366" s="573"/>
      <c r="O366" s="573"/>
      <c r="P366" s="573"/>
    </row>
    <row r="367" spans="1:16" ht="26.25">
      <c r="A367" s="10">
        <v>49</v>
      </c>
      <c r="B367" s="27" t="s">
        <v>482</v>
      </c>
      <c r="C367" s="446" t="s">
        <v>224</v>
      </c>
      <c r="D367" s="10"/>
      <c r="E367" s="202">
        <v>45654</v>
      </c>
      <c r="F367" s="23">
        <v>46.049156000000004</v>
      </c>
      <c r="G367" s="568" t="s">
        <v>196</v>
      </c>
      <c r="H367" s="568"/>
      <c r="I367" s="568"/>
      <c r="J367" s="568"/>
      <c r="K367" s="202">
        <v>45660</v>
      </c>
      <c r="L367" s="203" t="s">
        <v>665</v>
      </c>
      <c r="M367" s="10"/>
      <c r="N367" s="571"/>
      <c r="O367" s="571"/>
      <c r="P367" s="571"/>
    </row>
    <row r="368" spans="1:16" ht="26.25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68" t="s">
        <v>196</v>
      </c>
      <c r="H368" s="568"/>
      <c r="I368" s="568"/>
      <c r="J368" s="568"/>
      <c r="K368" s="202">
        <v>45661</v>
      </c>
      <c r="L368" s="203" t="s">
        <v>666</v>
      </c>
      <c r="M368" s="10"/>
      <c r="N368" s="571"/>
      <c r="O368" s="571"/>
      <c r="P368" s="571"/>
    </row>
    <row r="369" spans="1:16" ht="26.25">
      <c r="A369" s="10">
        <v>51</v>
      </c>
      <c r="B369" s="27" t="s">
        <v>483</v>
      </c>
      <c r="C369" s="446" t="s">
        <v>224</v>
      </c>
      <c r="D369" s="10"/>
      <c r="E369" s="202">
        <v>45657</v>
      </c>
      <c r="F369" s="23">
        <v>46.049156000000004</v>
      </c>
      <c r="G369" s="568" t="s">
        <v>196</v>
      </c>
      <c r="H369" s="568"/>
      <c r="I369" s="568"/>
      <c r="J369" s="568"/>
      <c r="K369" s="202">
        <v>45664</v>
      </c>
      <c r="L369" s="203" t="s">
        <v>664</v>
      </c>
      <c r="M369" s="10"/>
      <c r="N369" s="571"/>
      <c r="O369" s="571"/>
      <c r="P369" s="571"/>
    </row>
    <row r="370" spans="1:16" ht="26.25">
      <c r="A370" s="10">
        <v>52</v>
      </c>
      <c r="B370" s="27" t="s">
        <v>484</v>
      </c>
      <c r="C370" s="446" t="s">
        <v>195</v>
      </c>
      <c r="D370" s="10"/>
      <c r="E370" s="202">
        <v>45654</v>
      </c>
      <c r="F370" s="23">
        <v>43.775756000000008</v>
      </c>
      <c r="G370" s="568" t="s">
        <v>196</v>
      </c>
      <c r="H370" s="568"/>
      <c r="I370" s="568"/>
      <c r="J370" s="568"/>
      <c r="K370" s="202">
        <v>45665</v>
      </c>
      <c r="L370" s="203" t="s">
        <v>419</v>
      </c>
      <c r="M370" s="10"/>
      <c r="N370" s="571"/>
      <c r="O370" s="571"/>
      <c r="P370" s="571"/>
    </row>
    <row r="371" spans="1:16" ht="26.25">
      <c r="A371" s="10">
        <v>53</v>
      </c>
      <c r="B371" s="27" t="s">
        <v>485</v>
      </c>
      <c r="C371" s="446" t="s">
        <v>224</v>
      </c>
      <c r="D371" s="10"/>
      <c r="E371" s="202">
        <v>45658</v>
      </c>
      <c r="F371" s="23">
        <v>46.049156000000004</v>
      </c>
      <c r="G371" s="568" t="s">
        <v>196</v>
      </c>
      <c r="H371" s="568"/>
      <c r="I371" s="568"/>
      <c r="J371" s="568"/>
      <c r="K371" s="202">
        <v>45667</v>
      </c>
      <c r="L371" s="203" t="s">
        <v>662</v>
      </c>
      <c r="M371" s="10"/>
      <c r="N371" s="571"/>
      <c r="O371" s="571"/>
      <c r="P371" s="571"/>
    </row>
    <row r="372" spans="1:16" ht="26.25">
      <c r="A372" s="10">
        <v>54</v>
      </c>
      <c r="B372" s="193" t="s">
        <v>486</v>
      </c>
      <c r="C372" s="446" t="s">
        <v>225</v>
      </c>
      <c r="D372" s="10"/>
      <c r="E372" s="202">
        <v>45661</v>
      </c>
      <c r="F372" s="23">
        <v>42.374236000000003</v>
      </c>
      <c r="G372" s="568" t="s">
        <v>196</v>
      </c>
      <c r="H372" s="568"/>
      <c r="I372" s="568"/>
      <c r="J372" s="568"/>
      <c r="K372" s="202">
        <v>45668</v>
      </c>
      <c r="L372" s="203" t="s">
        <v>667</v>
      </c>
      <c r="M372" s="10"/>
      <c r="N372" s="571"/>
      <c r="O372" s="571"/>
      <c r="P372" s="571"/>
    </row>
    <row r="373" spans="1:16" ht="26.25">
      <c r="A373" s="10">
        <v>55</v>
      </c>
      <c r="B373" s="193" t="s">
        <v>487</v>
      </c>
      <c r="C373" s="446" t="s">
        <v>224</v>
      </c>
      <c r="D373" s="10"/>
      <c r="E373" s="202">
        <v>45660</v>
      </c>
      <c r="F373" s="23">
        <v>46.049156000000004</v>
      </c>
      <c r="G373" s="568" t="s">
        <v>196</v>
      </c>
      <c r="H373" s="568"/>
      <c r="I373" s="568"/>
      <c r="J373" s="568"/>
      <c r="K373" s="202">
        <v>45668</v>
      </c>
      <c r="L373" s="203" t="s">
        <v>665</v>
      </c>
      <c r="M373" s="10"/>
      <c r="N373" s="571"/>
      <c r="O373" s="571"/>
      <c r="P373" s="571"/>
    </row>
    <row r="374" spans="1:16" ht="26.25">
      <c r="A374" s="10">
        <v>56</v>
      </c>
      <c r="B374" s="193" t="s">
        <v>488</v>
      </c>
      <c r="C374" s="446" t="s">
        <v>224</v>
      </c>
      <c r="D374" s="10"/>
      <c r="E374" s="202">
        <v>45665</v>
      </c>
      <c r="F374" s="23">
        <v>46.049156000000004</v>
      </c>
      <c r="G374" s="568" t="s">
        <v>196</v>
      </c>
      <c r="H374" s="568"/>
      <c r="I374" s="568"/>
      <c r="J374" s="568"/>
      <c r="K374" s="202">
        <v>45671</v>
      </c>
      <c r="L374" s="203" t="s">
        <v>664</v>
      </c>
      <c r="M374" s="10"/>
      <c r="N374" s="571"/>
      <c r="O374" s="571"/>
      <c r="P374" s="571"/>
    </row>
    <row r="375" spans="1:16" ht="26.25">
      <c r="A375" s="10">
        <v>57</v>
      </c>
      <c r="B375" s="193" t="s">
        <v>489</v>
      </c>
      <c r="C375" s="446" t="s">
        <v>224</v>
      </c>
      <c r="D375" s="10"/>
      <c r="E375" s="202">
        <v>45664</v>
      </c>
      <c r="F375" s="23">
        <v>46.049156000000004</v>
      </c>
      <c r="G375" s="568" t="s">
        <v>196</v>
      </c>
      <c r="H375" s="568"/>
      <c r="I375" s="568"/>
      <c r="J375" s="568"/>
      <c r="K375" s="202">
        <v>45672</v>
      </c>
      <c r="L375" s="203" t="s">
        <v>666</v>
      </c>
      <c r="M375" s="10"/>
      <c r="N375" s="571"/>
      <c r="O375" s="571"/>
      <c r="P375" s="571"/>
    </row>
    <row r="376" spans="1:16" ht="26.25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68" t="s">
        <v>196</v>
      </c>
      <c r="H376" s="568"/>
      <c r="I376" s="568"/>
      <c r="J376" s="568"/>
      <c r="K376" s="202">
        <v>45674</v>
      </c>
      <c r="L376" s="203" t="s">
        <v>663</v>
      </c>
      <c r="M376" s="10"/>
      <c r="N376" s="571"/>
      <c r="O376" s="571"/>
      <c r="P376" s="571"/>
    </row>
    <row r="377" spans="1:16" ht="26.25">
      <c r="A377" s="10">
        <v>59</v>
      </c>
      <c r="B377" s="193" t="s">
        <v>490</v>
      </c>
      <c r="C377" s="446" t="s">
        <v>224</v>
      </c>
      <c r="D377" s="10"/>
      <c r="E377" s="202">
        <v>45666</v>
      </c>
      <c r="F377" s="23">
        <v>46.049156000000004</v>
      </c>
      <c r="G377" s="568" t="s">
        <v>196</v>
      </c>
      <c r="H377" s="568"/>
      <c r="I377" s="568"/>
      <c r="J377" s="568"/>
      <c r="K377" s="202">
        <v>45674</v>
      </c>
      <c r="L377" s="203" t="s">
        <v>419</v>
      </c>
      <c r="M377" s="10"/>
      <c r="N377" s="571"/>
      <c r="O377" s="571"/>
      <c r="P377" s="571"/>
    </row>
    <row r="378" spans="1:16" ht="26.25">
      <c r="A378" s="10">
        <v>60</v>
      </c>
      <c r="B378" s="193" t="s">
        <v>491</v>
      </c>
      <c r="C378" s="446" t="s">
        <v>195</v>
      </c>
      <c r="D378" s="10"/>
      <c r="E378" s="202">
        <v>45667</v>
      </c>
      <c r="F378" s="23">
        <v>43.775756000000008</v>
      </c>
      <c r="G378" s="568" t="s">
        <v>196</v>
      </c>
      <c r="H378" s="568"/>
      <c r="I378" s="568"/>
      <c r="J378" s="568"/>
      <c r="K378" s="202">
        <v>45674</v>
      </c>
      <c r="L378" s="203" t="s">
        <v>662</v>
      </c>
      <c r="M378" s="10"/>
      <c r="N378" s="571"/>
      <c r="O378" s="571"/>
      <c r="P378" s="571"/>
    </row>
    <row r="379" spans="1:16" ht="26.25">
      <c r="A379" s="10">
        <v>61</v>
      </c>
      <c r="B379" s="193" t="s">
        <v>492</v>
      </c>
      <c r="C379" s="446" t="s">
        <v>195</v>
      </c>
      <c r="D379" s="10"/>
      <c r="E379" s="202">
        <v>45668</v>
      </c>
      <c r="F379" s="23">
        <v>43.775756000000008</v>
      </c>
      <c r="G379" s="568" t="s">
        <v>196</v>
      </c>
      <c r="H379" s="568"/>
      <c r="I379" s="568"/>
      <c r="J379" s="568"/>
      <c r="K379" s="202">
        <v>45676</v>
      </c>
      <c r="L379" s="203" t="s">
        <v>667</v>
      </c>
      <c r="M379" s="10"/>
      <c r="N379" s="571"/>
      <c r="O379" s="571"/>
      <c r="P379" s="571"/>
    </row>
    <row r="380" spans="1:16" ht="26.25">
      <c r="A380" s="10">
        <v>62</v>
      </c>
      <c r="B380" s="193" t="s">
        <v>493</v>
      </c>
      <c r="C380" s="446" t="s">
        <v>224</v>
      </c>
      <c r="D380" s="10"/>
      <c r="E380" s="202">
        <v>45669</v>
      </c>
      <c r="F380" s="23">
        <v>46.049156000000004</v>
      </c>
      <c r="G380" s="568" t="s">
        <v>196</v>
      </c>
      <c r="H380" s="568"/>
      <c r="I380" s="568"/>
      <c r="J380" s="568"/>
      <c r="K380" s="202">
        <v>45678</v>
      </c>
      <c r="L380" s="203" t="s">
        <v>665</v>
      </c>
      <c r="M380" s="10"/>
      <c r="N380" s="571"/>
      <c r="O380" s="571"/>
      <c r="P380" s="571"/>
    </row>
    <row r="381" spans="1:16" ht="26.25">
      <c r="A381" s="10">
        <v>63</v>
      </c>
      <c r="B381" s="193" t="s">
        <v>494</v>
      </c>
      <c r="C381" s="446" t="s">
        <v>195</v>
      </c>
      <c r="D381" s="10"/>
      <c r="E381" s="202">
        <v>45672</v>
      </c>
      <c r="F381" s="23">
        <v>43.775756000000008</v>
      </c>
      <c r="G381" s="568" t="s">
        <v>196</v>
      </c>
      <c r="H381" s="568"/>
      <c r="I381" s="568"/>
      <c r="J381" s="568"/>
      <c r="K381" s="202">
        <v>45679</v>
      </c>
      <c r="L381" s="203" t="s">
        <v>664</v>
      </c>
      <c r="M381" s="10"/>
      <c r="N381" s="571"/>
      <c r="O381" s="571"/>
      <c r="P381" s="571"/>
    </row>
    <row r="382" spans="1:16">
      <c r="A382" s="10">
        <v>64</v>
      </c>
      <c r="B382" s="193" t="s">
        <v>495</v>
      </c>
      <c r="C382" s="446" t="s">
        <v>195</v>
      </c>
      <c r="D382" s="10"/>
      <c r="E382" s="202">
        <v>45674</v>
      </c>
      <c r="F382" s="23">
        <v>43.775756000000008</v>
      </c>
      <c r="G382" s="568" t="s">
        <v>196</v>
      </c>
      <c r="H382" s="568"/>
      <c r="I382" s="568"/>
      <c r="J382" s="568"/>
      <c r="K382" s="202">
        <v>45680</v>
      </c>
      <c r="L382" s="203" t="s">
        <v>662</v>
      </c>
      <c r="M382" s="10"/>
      <c r="N382" s="572"/>
      <c r="O382" s="572"/>
      <c r="P382" s="572"/>
    </row>
    <row r="383" spans="1:16">
      <c r="A383" s="10">
        <v>65</v>
      </c>
      <c r="B383" s="193" t="s">
        <v>496</v>
      </c>
      <c r="C383" s="446" t="s">
        <v>195</v>
      </c>
      <c r="D383" s="10"/>
      <c r="E383" s="202">
        <v>45672</v>
      </c>
      <c r="F383" s="23">
        <v>43.775756000000008</v>
      </c>
      <c r="G383" s="568" t="s">
        <v>196</v>
      </c>
      <c r="H383" s="568"/>
      <c r="I383" s="568"/>
      <c r="J383" s="568"/>
      <c r="K383" s="202">
        <v>45681</v>
      </c>
      <c r="L383" s="203" t="s">
        <v>666</v>
      </c>
      <c r="M383" s="10"/>
      <c r="N383" s="572"/>
      <c r="O383" s="572"/>
      <c r="P383" s="572"/>
    </row>
    <row r="384" spans="1:16" ht="26.25">
      <c r="A384" s="10">
        <v>66</v>
      </c>
      <c r="B384" s="193" t="s">
        <v>497</v>
      </c>
      <c r="C384" s="446" t="s">
        <v>224</v>
      </c>
      <c r="D384" s="10"/>
      <c r="E384" s="202">
        <v>45677</v>
      </c>
      <c r="F384" s="23">
        <v>46.049156000000004</v>
      </c>
      <c r="G384" s="568" t="s">
        <v>196</v>
      </c>
      <c r="H384" s="568"/>
      <c r="I384" s="568"/>
      <c r="J384" s="568"/>
      <c r="K384" s="202">
        <v>45682</v>
      </c>
      <c r="L384" s="203" t="s">
        <v>667</v>
      </c>
      <c r="M384" s="10"/>
      <c r="N384" s="571"/>
      <c r="O384" s="571"/>
      <c r="P384" s="571"/>
    </row>
    <row r="385" spans="1:16" ht="26.25">
      <c r="A385" s="10">
        <v>67</v>
      </c>
      <c r="B385" s="193" t="s">
        <v>498</v>
      </c>
      <c r="C385" s="446" t="s">
        <v>224</v>
      </c>
      <c r="D385" s="10"/>
      <c r="E385" s="202">
        <v>45678</v>
      </c>
      <c r="F385" s="23">
        <v>46.049156000000004</v>
      </c>
      <c r="G385" s="568" t="s">
        <v>196</v>
      </c>
      <c r="H385" s="568"/>
      <c r="I385" s="568"/>
      <c r="J385" s="568"/>
      <c r="K385" s="202">
        <v>45682</v>
      </c>
      <c r="L385" s="203" t="s">
        <v>665</v>
      </c>
      <c r="M385" s="10"/>
      <c r="N385" s="571"/>
      <c r="O385" s="571"/>
      <c r="P385" s="571"/>
    </row>
    <row r="386" spans="1:16" ht="26.25">
      <c r="A386" s="10">
        <v>68</v>
      </c>
      <c r="B386" s="193" t="s">
        <v>499</v>
      </c>
      <c r="C386" s="446" t="s">
        <v>224</v>
      </c>
      <c r="D386" s="10"/>
      <c r="E386" s="202">
        <v>45673</v>
      </c>
      <c r="F386" s="23">
        <v>46.049156000000004</v>
      </c>
      <c r="G386" s="568" t="s">
        <v>196</v>
      </c>
      <c r="H386" s="568"/>
      <c r="I386" s="568"/>
      <c r="J386" s="568"/>
      <c r="K386" s="202">
        <v>45684</v>
      </c>
      <c r="L386" s="203" t="s">
        <v>419</v>
      </c>
      <c r="M386" s="10"/>
      <c r="N386" s="571"/>
      <c r="O386" s="571"/>
      <c r="P386" s="571"/>
    </row>
    <row r="387" spans="1:16" ht="26.25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68" t="s">
        <v>196</v>
      </c>
      <c r="H387" s="568"/>
      <c r="I387" s="568"/>
      <c r="J387" s="568"/>
      <c r="K387" s="202">
        <v>45685</v>
      </c>
      <c r="L387" s="203" t="s">
        <v>663</v>
      </c>
      <c r="M387" s="10"/>
      <c r="N387" s="571"/>
      <c r="O387" s="571"/>
      <c r="P387" s="571"/>
    </row>
    <row r="388" spans="1:16" ht="26.25">
      <c r="A388" s="10">
        <v>70</v>
      </c>
      <c r="B388" s="193" t="s">
        <v>500</v>
      </c>
      <c r="C388" s="446" t="s">
        <v>224</v>
      </c>
      <c r="D388" s="10"/>
      <c r="E388" s="202">
        <v>45681</v>
      </c>
      <c r="F388" s="23">
        <v>46.049156000000004</v>
      </c>
      <c r="G388" s="568" t="s">
        <v>196</v>
      </c>
      <c r="H388" s="568"/>
      <c r="I388" s="568"/>
      <c r="J388" s="568"/>
      <c r="K388" s="202">
        <v>45686</v>
      </c>
      <c r="L388" s="203" t="s">
        <v>662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501</v>
      </c>
      <c r="C389" s="446" t="s">
        <v>195</v>
      </c>
      <c r="D389" s="10"/>
      <c r="E389" s="202">
        <v>45678</v>
      </c>
      <c r="F389" s="23">
        <v>43.775756000000008</v>
      </c>
      <c r="G389" s="568" t="s">
        <v>196</v>
      </c>
      <c r="H389" s="568"/>
      <c r="I389" s="568"/>
      <c r="J389" s="568"/>
      <c r="K389" s="202">
        <v>45687</v>
      </c>
      <c r="L389" s="203" t="s">
        <v>664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68" t="s">
        <v>196</v>
      </c>
      <c r="H390" s="568"/>
      <c r="I390" s="568"/>
      <c r="J390" s="568"/>
      <c r="K390" s="202">
        <v>45687</v>
      </c>
      <c r="L390" s="203" t="s">
        <v>666</v>
      </c>
      <c r="M390" s="10"/>
      <c r="N390" s="571"/>
      <c r="O390" s="571"/>
      <c r="P390" s="571"/>
    </row>
    <row r="391" spans="1:16" ht="26.25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68" t="s">
        <v>196</v>
      </c>
      <c r="H391" s="568"/>
      <c r="I391" s="568"/>
      <c r="J391" s="568"/>
      <c r="K391" s="202">
        <v>45688</v>
      </c>
      <c r="L391" s="203" t="s">
        <v>668</v>
      </c>
      <c r="M391" s="10"/>
      <c r="N391" s="571"/>
      <c r="O391" s="571"/>
      <c r="P391" s="571"/>
    </row>
    <row r="392" spans="1:16" ht="26.25">
      <c r="A392" s="10">
        <v>74</v>
      </c>
      <c r="B392" s="193" t="s">
        <v>502</v>
      </c>
      <c r="C392" s="446" t="s">
        <v>224</v>
      </c>
      <c r="D392" s="10"/>
      <c r="E392" s="202">
        <v>45682</v>
      </c>
      <c r="F392" s="23">
        <v>46.049156000000004</v>
      </c>
      <c r="G392" s="568" t="s">
        <v>196</v>
      </c>
      <c r="H392" s="568"/>
      <c r="I392" s="568"/>
      <c r="J392" s="568"/>
      <c r="K392" s="202">
        <v>45689</v>
      </c>
      <c r="L392" s="203" t="s">
        <v>665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503</v>
      </c>
      <c r="C393" s="446" t="s">
        <v>195</v>
      </c>
      <c r="D393" s="10"/>
      <c r="E393" s="202">
        <v>45682</v>
      </c>
      <c r="F393" s="23">
        <v>43.775756000000008</v>
      </c>
      <c r="G393" s="568" t="s">
        <v>196</v>
      </c>
      <c r="H393" s="568"/>
      <c r="I393" s="568"/>
      <c r="J393" s="568"/>
      <c r="K393" s="202">
        <v>45690</v>
      </c>
      <c r="L393" s="203" t="s">
        <v>667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504</v>
      </c>
      <c r="C394" s="446" t="s">
        <v>224</v>
      </c>
      <c r="D394" s="10"/>
      <c r="E394" s="202">
        <v>45687</v>
      </c>
      <c r="F394" s="23">
        <v>46.049156000000004</v>
      </c>
      <c r="G394" s="568" t="s">
        <v>196</v>
      </c>
      <c r="H394" s="568"/>
      <c r="I394" s="568"/>
      <c r="J394" s="568"/>
      <c r="K394" s="202">
        <v>45693</v>
      </c>
      <c r="L394" s="203" t="s">
        <v>662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505</v>
      </c>
      <c r="C395" s="446" t="s">
        <v>506</v>
      </c>
      <c r="D395" s="10"/>
      <c r="E395" s="202">
        <v>45685</v>
      </c>
      <c r="F395" s="23">
        <v>64.481662</v>
      </c>
      <c r="G395" s="568" t="s">
        <v>196</v>
      </c>
      <c r="H395" s="568"/>
      <c r="I395" s="568"/>
      <c r="J395" s="568"/>
      <c r="K395" s="202">
        <v>45694</v>
      </c>
      <c r="L395" s="203" t="s">
        <v>419</v>
      </c>
      <c r="M395" s="10"/>
      <c r="N395" s="195"/>
      <c r="O395" s="195"/>
      <c r="P395" s="195"/>
    </row>
    <row r="396" spans="1:16">
      <c r="A396" s="10">
        <v>78</v>
      </c>
      <c r="B396" s="193" t="s">
        <v>507</v>
      </c>
      <c r="C396" s="446" t="s">
        <v>195</v>
      </c>
      <c r="D396" s="10"/>
      <c r="E396" s="202">
        <v>45690</v>
      </c>
      <c r="F396" s="23">
        <v>43.775756000000008</v>
      </c>
      <c r="G396" s="568" t="s">
        <v>196</v>
      </c>
      <c r="H396" s="568"/>
      <c r="I396" s="568"/>
      <c r="J396" s="568"/>
      <c r="K396" s="202">
        <v>45695</v>
      </c>
      <c r="L396" s="203" t="s">
        <v>666</v>
      </c>
      <c r="M396" s="10">
        <v>27</v>
      </c>
      <c r="N396" s="569"/>
      <c r="O396" s="570"/>
      <c r="P396" s="570"/>
    </row>
    <row r="397" spans="1:16">
      <c r="A397" s="10">
        <v>79</v>
      </c>
      <c r="B397" s="193" t="s">
        <v>508</v>
      </c>
      <c r="C397" s="446" t="s">
        <v>224</v>
      </c>
      <c r="D397" s="10"/>
      <c r="E397" s="202">
        <v>45690</v>
      </c>
      <c r="F397" s="23">
        <v>46.049156000000004</v>
      </c>
      <c r="G397" s="568" t="s">
        <v>196</v>
      </c>
      <c r="H397" s="568"/>
      <c r="I397" s="568"/>
      <c r="J397" s="568"/>
      <c r="K397" s="202">
        <v>45696</v>
      </c>
      <c r="L397" s="203" t="s">
        <v>665</v>
      </c>
      <c r="M397" s="10"/>
      <c r="N397" s="569"/>
      <c r="O397" s="570"/>
      <c r="P397" s="570"/>
    </row>
    <row r="398" spans="1:16" ht="26.25">
      <c r="A398" s="10">
        <v>80</v>
      </c>
      <c r="B398" s="193" t="s">
        <v>509</v>
      </c>
      <c r="C398" s="446" t="s">
        <v>224</v>
      </c>
      <c r="D398" s="10"/>
      <c r="E398" s="202">
        <v>45686</v>
      </c>
      <c r="F398" s="23">
        <v>46.049156000000004</v>
      </c>
      <c r="G398" s="568" t="s">
        <v>196</v>
      </c>
      <c r="H398" s="568"/>
      <c r="I398" s="568"/>
      <c r="J398" s="568"/>
      <c r="K398" s="202">
        <v>45697</v>
      </c>
      <c r="L398" s="203" t="s">
        <v>664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510</v>
      </c>
      <c r="C399" s="446" t="s">
        <v>195</v>
      </c>
      <c r="D399" s="10"/>
      <c r="E399" s="202">
        <v>45691</v>
      </c>
      <c r="F399" s="23">
        <v>43.775756000000008</v>
      </c>
      <c r="G399" s="568" t="s">
        <v>196</v>
      </c>
      <c r="H399" s="568"/>
      <c r="I399" s="568"/>
      <c r="J399" s="568"/>
      <c r="K399" s="202">
        <v>45698</v>
      </c>
      <c r="L399" s="203" t="s">
        <v>667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282</v>
      </c>
      <c r="C400" s="446" t="s">
        <v>511</v>
      </c>
      <c r="D400" s="10"/>
      <c r="E400" s="202">
        <v>45686</v>
      </c>
      <c r="F400" s="23">
        <v>73.425832</v>
      </c>
      <c r="G400" s="568" t="s">
        <v>196</v>
      </c>
      <c r="H400" s="568"/>
      <c r="I400" s="568"/>
      <c r="J400" s="568"/>
      <c r="K400" s="202">
        <v>45699</v>
      </c>
      <c r="L400" s="203" t="s">
        <v>663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68" t="s">
        <v>196</v>
      </c>
      <c r="H401" s="568"/>
      <c r="I401" s="568"/>
      <c r="J401" s="568"/>
      <c r="K401" s="202">
        <v>45700</v>
      </c>
      <c r="L401" s="203" t="s">
        <v>668</v>
      </c>
      <c r="M401" s="10"/>
      <c r="N401" s="195"/>
      <c r="O401" s="195"/>
      <c r="P401" s="195"/>
    </row>
    <row r="402" spans="1:16">
      <c r="A402" s="10">
        <v>84</v>
      </c>
      <c r="B402" s="193" t="s">
        <v>512</v>
      </c>
      <c r="C402" s="446" t="s">
        <v>506</v>
      </c>
      <c r="D402" s="10"/>
      <c r="E402" s="202">
        <v>45694</v>
      </c>
      <c r="F402" s="23">
        <v>64.481662</v>
      </c>
      <c r="G402" s="568" t="s">
        <v>196</v>
      </c>
      <c r="H402" s="568"/>
      <c r="I402" s="568"/>
      <c r="J402" s="568"/>
      <c r="K402" s="202">
        <v>45701</v>
      </c>
      <c r="L402" s="203" t="s">
        <v>662</v>
      </c>
      <c r="M402" s="10"/>
      <c r="N402" s="569"/>
      <c r="O402" s="570"/>
      <c r="P402" s="570"/>
    </row>
    <row r="403" spans="1:16">
      <c r="A403" s="10">
        <v>85</v>
      </c>
      <c r="B403" s="193" t="s">
        <v>513</v>
      </c>
      <c r="C403" s="446" t="s">
        <v>195</v>
      </c>
      <c r="D403" s="10"/>
      <c r="E403" s="202">
        <v>45695</v>
      </c>
      <c r="F403" s="23">
        <v>43.775756000000008</v>
      </c>
      <c r="G403" s="568" t="s">
        <v>196</v>
      </c>
      <c r="H403" s="568"/>
      <c r="I403" s="568"/>
      <c r="J403" s="568"/>
      <c r="K403" s="202">
        <v>45701</v>
      </c>
      <c r="L403" s="203" t="s">
        <v>419</v>
      </c>
      <c r="M403" s="10"/>
      <c r="N403" s="569"/>
      <c r="O403" s="570"/>
      <c r="P403" s="570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68" t="s">
        <v>196</v>
      </c>
      <c r="H404" s="568"/>
      <c r="I404" s="568"/>
      <c r="J404" s="568"/>
      <c r="K404" s="202">
        <v>45703</v>
      </c>
      <c r="L404" s="203" t="s">
        <v>666</v>
      </c>
      <c r="M404" s="10"/>
      <c r="N404" s="569"/>
      <c r="O404" s="570"/>
      <c r="P404" s="570"/>
    </row>
    <row r="405" spans="1:16">
      <c r="A405" s="10">
        <v>87</v>
      </c>
      <c r="B405" s="193" t="s">
        <v>514</v>
      </c>
      <c r="C405" s="446" t="s">
        <v>224</v>
      </c>
      <c r="D405" s="10"/>
      <c r="E405" s="202">
        <v>45697</v>
      </c>
      <c r="F405" s="23">
        <v>46.049156000000004</v>
      </c>
      <c r="G405" s="568" t="s">
        <v>196</v>
      </c>
      <c r="H405" s="568"/>
      <c r="I405" s="568"/>
      <c r="J405" s="568"/>
      <c r="K405" s="202">
        <v>45703</v>
      </c>
      <c r="L405" s="203" t="s">
        <v>665</v>
      </c>
      <c r="M405" s="10"/>
      <c r="N405" s="569"/>
      <c r="O405" s="570"/>
      <c r="P405" s="570"/>
    </row>
    <row r="406" spans="1:16">
      <c r="A406" s="10">
        <v>88</v>
      </c>
      <c r="B406" s="193" t="s">
        <v>515</v>
      </c>
      <c r="C406" s="446" t="s">
        <v>195</v>
      </c>
      <c r="D406" s="10"/>
      <c r="E406" s="202">
        <v>45698</v>
      </c>
      <c r="F406" s="23">
        <v>43.775756000000008</v>
      </c>
      <c r="G406" s="568" t="s">
        <v>196</v>
      </c>
      <c r="H406" s="568"/>
      <c r="I406" s="568"/>
      <c r="J406" s="568"/>
      <c r="K406" s="202">
        <v>45706</v>
      </c>
      <c r="L406" s="203" t="s">
        <v>664</v>
      </c>
      <c r="M406" s="10"/>
      <c r="N406" s="197"/>
      <c r="O406" s="198"/>
      <c r="P406" s="198"/>
    </row>
    <row r="407" spans="1:16">
      <c r="A407" s="10">
        <v>89</v>
      </c>
      <c r="B407" s="193" t="s">
        <v>516</v>
      </c>
      <c r="C407" s="446" t="s">
        <v>195</v>
      </c>
      <c r="D407" s="10"/>
      <c r="E407" s="202">
        <v>45700</v>
      </c>
      <c r="F407" s="23">
        <v>43.775756000000008</v>
      </c>
      <c r="G407" s="568" t="s">
        <v>196</v>
      </c>
      <c r="H407" s="568"/>
      <c r="I407" s="568"/>
      <c r="J407" s="568"/>
      <c r="K407" s="202">
        <v>45707</v>
      </c>
      <c r="L407" s="203" t="s">
        <v>419</v>
      </c>
      <c r="M407" s="10"/>
      <c r="N407" s="197"/>
      <c r="O407" s="198"/>
      <c r="P407" s="198"/>
    </row>
    <row r="408" spans="1:16">
      <c r="A408" s="10">
        <v>90</v>
      </c>
      <c r="B408" s="193" t="s">
        <v>517</v>
      </c>
      <c r="C408" s="446" t="s">
        <v>224</v>
      </c>
      <c r="D408" s="10"/>
      <c r="E408" s="202">
        <v>45699</v>
      </c>
      <c r="F408" s="23">
        <v>46.049156000000004</v>
      </c>
      <c r="G408" s="568" t="s">
        <v>196</v>
      </c>
      <c r="H408" s="568"/>
      <c r="I408" s="568"/>
      <c r="J408" s="568"/>
      <c r="K408" s="202">
        <v>45708</v>
      </c>
      <c r="L408" s="203" t="s">
        <v>667</v>
      </c>
      <c r="M408" s="10"/>
      <c r="N408" s="197"/>
      <c r="O408" s="198"/>
      <c r="P408" s="198"/>
    </row>
    <row r="409" spans="1:16">
      <c r="A409" s="10">
        <v>91</v>
      </c>
      <c r="B409" s="193" t="s">
        <v>518</v>
      </c>
      <c r="C409" s="446" t="s">
        <v>224</v>
      </c>
      <c r="D409" s="10"/>
      <c r="E409" s="202">
        <v>45700</v>
      </c>
      <c r="F409" s="23">
        <v>46.049156000000004</v>
      </c>
      <c r="G409" s="568" t="s">
        <v>196</v>
      </c>
      <c r="H409" s="568"/>
      <c r="I409" s="568"/>
      <c r="J409" s="568"/>
      <c r="K409" s="202">
        <v>45708</v>
      </c>
      <c r="L409" s="203" t="s">
        <v>663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68" t="s">
        <v>196</v>
      </c>
      <c r="H410" s="568"/>
      <c r="I410" s="568"/>
      <c r="J410" s="568"/>
      <c r="K410" s="202">
        <v>45708</v>
      </c>
      <c r="L410" s="203" t="s">
        <v>662</v>
      </c>
      <c r="M410" s="10"/>
      <c r="N410" s="197"/>
      <c r="O410" s="198"/>
      <c r="P410" s="198"/>
    </row>
    <row r="411" spans="1:16">
      <c r="A411" s="10">
        <v>93</v>
      </c>
      <c r="B411" s="193" t="s">
        <v>519</v>
      </c>
      <c r="C411" s="446" t="s">
        <v>195</v>
      </c>
      <c r="D411" s="10"/>
      <c r="E411" s="202">
        <v>45704</v>
      </c>
      <c r="F411" s="23">
        <v>43.775756000000008</v>
      </c>
      <c r="G411" s="568" t="s">
        <v>196</v>
      </c>
      <c r="H411" s="568"/>
      <c r="I411" s="568"/>
      <c r="J411" s="568"/>
      <c r="K411" s="202">
        <v>45709</v>
      </c>
      <c r="L411" s="203" t="s">
        <v>665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68" t="s">
        <v>196</v>
      </c>
      <c r="H412" s="568"/>
      <c r="I412" s="568"/>
      <c r="J412" s="568"/>
      <c r="K412" s="202">
        <v>45709</v>
      </c>
      <c r="L412" s="203" t="s">
        <v>666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68" t="s">
        <v>196</v>
      </c>
      <c r="H413" s="568"/>
      <c r="I413" s="568"/>
      <c r="J413" s="568"/>
      <c r="K413" s="202">
        <v>45710</v>
      </c>
      <c r="L413" s="203" t="s">
        <v>668</v>
      </c>
      <c r="M413" s="10"/>
      <c r="N413" s="197"/>
      <c r="O413" s="198"/>
      <c r="P413" s="198"/>
    </row>
    <row r="414" spans="1:16">
      <c r="A414" s="10">
        <v>96</v>
      </c>
      <c r="B414" s="193" t="s">
        <v>520</v>
      </c>
      <c r="C414" s="446" t="s">
        <v>225</v>
      </c>
      <c r="D414" s="10"/>
      <c r="E414" s="202">
        <v>45708</v>
      </c>
      <c r="F414" s="23">
        <v>42.374236000000003</v>
      </c>
      <c r="G414" s="568" t="s">
        <v>196</v>
      </c>
      <c r="H414" s="568"/>
      <c r="I414" s="568"/>
      <c r="J414" s="568"/>
      <c r="K414" s="202">
        <v>45713</v>
      </c>
      <c r="L414" s="203" t="s">
        <v>419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68" t="s">
        <v>196</v>
      </c>
      <c r="H415" s="568"/>
      <c r="I415" s="568"/>
      <c r="J415" s="568"/>
      <c r="K415" s="202">
        <v>45713</v>
      </c>
      <c r="L415" s="203" t="s">
        <v>662</v>
      </c>
      <c r="M415" s="10"/>
      <c r="N415" s="197"/>
      <c r="O415" s="198"/>
      <c r="P415" s="198"/>
    </row>
    <row r="416" spans="1:16">
      <c r="A416" s="10">
        <v>98</v>
      </c>
      <c r="B416" s="193" t="s">
        <v>521</v>
      </c>
      <c r="C416" s="446" t="s">
        <v>195</v>
      </c>
      <c r="D416" s="10"/>
      <c r="E416" s="202">
        <v>45707</v>
      </c>
      <c r="F416" s="23">
        <v>43.775756000000008</v>
      </c>
      <c r="G416" s="568" t="s">
        <v>196</v>
      </c>
      <c r="H416" s="568"/>
      <c r="I416" s="568"/>
      <c r="J416" s="568"/>
      <c r="K416" s="202">
        <v>45713</v>
      </c>
      <c r="L416" s="203" t="s">
        <v>664</v>
      </c>
      <c r="M416" s="10"/>
      <c r="N416" s="197"/>
      <c r="O416" s="198"/>
      <c r="P416" s="198"/>
    </row>
    <row r="417" spans="1:16">
      <c r="A417" s="10">
        <v>99</v>
      </c>
      <c r="B417" s="193" t="s">
        <v>522</v>
      </c>
      <c r="C417" s="446" t="s">
        <v>195</v>
      </c>
      <c r="D417" s="10"/>
      <c r="E417" s="202">
        <v>45709</v>
      </c>
      <c r="F417" s="23">
        <v>43.775756000000008</v>
      </c>
      <c r="G417" s="568" t="s">
        <v>196</v>
      </c>
      <c r="H417" s="568"/>
      <c r="I417" s="568"/>
      <c r="J417" s="568"/>
      <c r="K417" s="202">
        <v>45715</v>
      </c>
      <c r="L417" s="203" t="s">
        <v>663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68" t="s">
        <v>196</v>
      </c>
      <c r="H418" s="568"/>
      <c r="I418" s="568"/>
      <c r="J418" s="568"/>
      <c r="K418" s="202">
        <v>45715</v>
      </c>
      <c r="L418" s="203" t="s">
        <v>666</v>
      </c>
      <c r="M418" s="10"/>
      <c r="N418" s="197"/>
      <c r="O418" s="198"/>
      <c r="P418" s="198"/>
    </row>
    <row r="419" spans="1:16">
      <c r="A419" s="10">
        <v>101</v>
      </c>
      <c r="B419" s="193" t="s">
        <v>523</v>
      </c>
      <c r="C419" s="446" t="s">
        <v>506</v>
      </c>
      <c r="D419" s="10"/>
      <c r="E419" s="202">
        <v>45707</v>
      </c>
      <c r="F419" s="23">
        <v>64.481662</v>
      </c>
      <c r="G419" s="568" t="s">
        <v>196</v>
      </c>
      <c r="H419" s="568"/>
      <c r="I419" s="568"/>
      <c r="J419" s="568"/>
      <c r="K419" s="202">
        <v>45716</v>
      </c>
      <c r="L419" s="203" t="s">
        <v>667</v>
      </c>
      <c r="M419" s="10"/>
      <c r="N419" s="197"/>
      <c r="O419" s="198"/>
      <c r="P419" s="198"/>
    </row>
    <row r="420" spans="1:16">
      <c r="A420" s="10">
        <v>102</v>
      </c>
      <c r="B420" s="193" t="s">
        <v>524</v>
      </c>
      <c r="C420" s="446" t="s">
        <v>506</v>
      </c>
      <c r="D420" s="10"/>
      <c r="E420" s="202">
        <v>45710</v>
      </c>
      <c r="F420" s="23">
        <v>64.481662</v>
      </c>
      <c r="G420" s="568" t="s">
        <v>196</v>
      </c>
      <c r="H420" s="568"/>
      <c r="I420" s="568"/>
      <c r="J420" s="568"/>
      <c r="K420" s="202">
        <v>45716</v>
      </c>
      <c r="L420" s="203" t="s">
        <v>665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68" t="s">
        <v>196</v>
      </c>
      <c r="H421" s="568"/>
      <c r="I421" s="568"/>
      <c r="J421" s="568"/>
      <c r="K421" s="202">
        <v>45718</v>
      </c>
      <c r="L421" s="203" t="s">
        <v>662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68" t="s">
        <v>196</v>
      </c>
      <c r="H422" s="568"/>
      <c r="I422" s="568"/>
      <c r="J422" s="568"/>
      <c r="K422" s="202">
        <v>45719</v>
      </c>
      <c r="L422" s="203" t="s">
        <v>666</v>
      </c>
      <c r="M422" s="10"/>
      <c r="N422" s="197"/>
      <c r="O422" s="198"/>
      <c r="P422" s="198"/>
    </row>
    <row r="423" spans="1:16">
      <c r="A423" s="10">
        <v>105</v>
      </c>
      <c r="B423" s="193" t="s">
        <v>525</v>
      </c>
      <c r="C423" s="446" t="s">
        <v>224</v>
      </c>
      <c r="D423" s="10"/>
      <c r="E423" s="202">
        <v>45717</v>
      </c>
      <c r="F423" s="23">
        <v>46.049156000000004</v>
      </c>
      <c r="G423" s="568" t="s">
        <v>196</v>
      </c>
      <c r="H423" s="568"/>
      <c r="I423" s="568"/>
      <c r="J423" s="568"/>
      <c r="K423" s="202">
        <v>45721</v>
      </c>
      <c r="L423" s="203" t="s">
        <v>419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68" t="s">
        <v>196</v>
      </c>
      <c r="H424" s="568"/>
      <c r="I424" s="568"/>
      <c r="J424" s="568"/>
      <c r="K424" s="202">
        <v>45723</v>
      </c>
      <c r="L424" s="203" t="s">
        <v>662</v>
      </c>
      <c r="M424" s="10"/>
      <c r="N424" s="197"/>
      <c r="O424" s="198"/>
      <c r="P424" s="198"/>
    </row>
    <row r="425" spans="1:16">
      <c r="A425" s="10">
        <v>107</v>
      </c>
      <c r="B425" s="193" t="s">
        <v>526</v>
      </c>
      <c r="C425" s="446" t="s">
        <v>506</v>
      </c>
      <c r="D425" s="10"/>
      <c r="E425" s="202">
        <v>45715</v>
      </c>
      <c r="F425" s="23">
        <v>64.481662</v>
      </c>
      <c r="G425" s="568" t="s">
        <v>196</v>
      </c>
      <c r="H425" s="568"/>
      <c r="I425" s="568"/>
      <c r="J425" s="568"/>
      <c r="K425" s="202">
        <v>45724</v>
      </c>
      <c r="L425" s="203" t="s">
        <v>664</v>
      </c>
      <c r="M425" s="10"/>
      <c r="N425" s="197"/>
      <c r="O425" s="198"/>
      <c r="P425" s="198"/>
    </row>
    <row r="426" spans="1:16">
      <c r="A426" s="10">
        <v>108</v>
      </c>
      <c r="B426" s="193" t="s">
        <v>527</v>
      </c>
      <c r="C426" s="446" t="s">
        <v>195</v>
      </c>
      <c r="D426" s="10"/>
      <c r="E426" s="202">
        <v>45717</v>
      </c>
      <c r="F426" s="23">
        <v>43.775756000000008</v>
      </c>
      <c r="G426" s="568" t="s">
        <v>196</v>
      </c>
      <c r="H426" s="568"/>
      <c r="I426" s="568"/>
      <c r="J426" s="568"/>
      <c r="K426" s="202">
        <v>45724</v>
      </c>
      <c r="L426" s="203" t="s">
        <v>665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68" t="s">
        <v>196</v>
      </c>
      <c r="H427" s="568"/>
      <c r="I427" s="568"/>
      <c r="J427" s="568"/>
      <c r="K427" s="202">
        <v>45724</v>
      </c>
      <c r="L427" s="203" t="s">
        <v>663</v>
      </c>
      <c r="M427" s="10"/>
      <c r="N427" s="197"/>
      <c r="O427" s="198"/>
      <c r="P427" s="198"/>
    </row>
    <row r="428" spans="1:16">
      <c r="A428" s="10">
        <v>110</v>
      </c>
      <c r="B428" s="193" t="s">
        <v>528</v>
      </c>
      <c r="C428" s="446" t="s">
        <v>224</v>
      </c>
      <c r="D428" s="10"/>
      <c r="E428" s="202">
        <v>45717</v>
      </c>
      <c r="F428" s="23">
        <v>46.049156000000004</v>
      </c>
      <c r="G428" s="568" t="s">
        <v>196</v>
      </c>
      <c r="H428" s="568"/>
      <c r="I428" s="568"/>
      <c r="J428" s="568"/>
      <c r="K428" s="202">
        <v>45725</v>
      </c>
      <c r="L428" s="203" t="s">
        <v>667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68" t="s">
        <v>196</v>
      </c>
      <c r="H429" s="568"/>
      <c r="I429" s="568"/>
      <c r="J429" s="568"/>
      <c r="K429" s="202">
        <v>45727</v>
      </c>
      <c r="L429" s="203" t="s">
        <v>668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68" t="s">
        <v>196</v>
      </c>
      <c r="H430" s="568"/>
      <c r="I430" s="568"/>
      <c r="J430" s="568"/>
      <c r="K430" s="202">
        <v>45727</v>
      </c>
      <c r="L430" s="203" t="s">
        <v>662</v>
      </c>
      <c r="M430" s="10"/>
      <c r="N430" s="197"/>
      <c r="O430" s="198"/>
      <c r="P430" s="198"/>
    </row>
    <row r="431" spans="1:16">
      <c r="A431" s="10">
        <v>113</v>
      </c>
      <c r="B431" s="193" t="s">
        <v>529</v>
      </c>
      <c r="C431" s="446" t="s">
        <v>225</v>
      </c>
      <c r="D431" s="10"/>
      <c r="E431" s="202">
        <v>45724</v>
      </c>
      <c r="F431" s="23">
        <v>42.374236000000003</v>
      </c>
      <c r="G431" s="568" t="s">
        <v>196</v>
      </c>
      <c r="H431" s="568"/>
      <c r="I431" s="568"/>
      <c r="J431" s="568"/>
      <c r="K431" s="202">
        <v>45728</v>
      </c>
      <c r="L431" s="203" t="s">
        <v>665</v>
      </c>
      <c r="M431" s="10"/>
      <c r="N431" s="197"/>
      <c r="O431" s="198"/>
      <c r="P431" s="198"/>
    </row>
    <row r="432" spans="1:16">
      <c r="A432" s="10">
        <v>114</v>
      </c>
      <c r="B432" s="193" t="s">
        <v>530</v>
      </c>
      <c r="C432" s="446" t="s">
        <v>506</v>
      </c>
      <c r="D432" s="10"/>
      <c r="E432" s="202">
        <v>45717</v>
      </c>
      <c r="F432" s="23">
        <v>64.481662</v>
      </c>
      <c r="G432" s="568" t="s">
        <v>196</v>
      </c>
      <c r="H432" s="568"/>
      <c r="I432" s="568"/>
      <c r="J432" s="568"/>
      <c r="K432" s="202">
        <v>45729</v>
      </c>
      <c r="L432" s="203" t="s">
        <v>419</v>
      </c>
      <c r="M432" s="10"/>
      <c r="N432" s="197"/>
      <c r="O432" s="198"/>
      <c r="P432" s="198"/>
    </row>
    <row r="433" spans="1:16">
      <c r="A433" s="10">
        <v>115</v>
      </c>
      <c r="B433" s="193" t="s">
        <v>531</v>
      </c>
      <c r="C433" s="446" t="s">
        <v>195</v>
      </c>
      <c r="D433" s="10"/>
      <c r="E433" s="202">
        <v>45726</v>
      </c>
      <c r="F433" s="23">
        <v>43.775756000000008</v>
      </c>
      <c r="G433" s="568" t="s">
        <v>196</v>
      </c>
      <c r="H433" s="568"/>
      <c r="I433" s="568"/>
      <c r="J433" s="568"/>
      <c r="K433" s="202">
        <v>45732</v>
      </c>
      <c r="L433" s="203" t="s">
        <v>667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68" t="s">
        <v>196</v>
      </c>
      <c r="H434" s="568"/>
      <c r="I434" s="568"/>
      <c r="J434" s="568"/>
      <c r="K434" s="202">
        <v>45734</v>
      </c>
      <c r="L434" s="203" t="s">
        <v>663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68" t="s">
        <v>196</v>
      </c>
      <c r="H435" s="568"/>
      <c r="I435" s="568"/>
      <c r="J435" s="568"/>
      <c r="K435" s="202">
        <v>45734</v>
      </c>
      <c r="L435" s="203" t="s">
        <v>662</v>
      </c>
      <c r="M435" s="10"/>
      <c r="N435" s="197"/>
      <c r="O435" s="198"/>
      <c r="P435" s="198"/>
    </row>
    <row r="436" spans="1:16">
      <c r="A436" s="10">
        <v>118</v>
      </c>
      <c r="B436" s="193" t="s">
        <v>532</v>
      </c>
      <c r="C436" s="446" t="s">
        <v>224</v>
      </c>
      <c r="D436" s="10"/>
      <c r="E436" s="202">
        <v>45725</v>
      </c>
      <c r="F436" s="23">
        <v>46.049156000000004</v>
      </c>
      <c r="G436" s="568" t="s">
        <v>196</v>
      </c>
      <c r="H436" s="568"/>
      <c r="I436" s="568"/>
      <c r="J436" s="568"/>
      <c r="K436" s="202">
        <v>45735</v>
      </c>
      <c r="L436" s="203" t="s">
        <v>664</v>
      </c>
      <c r="M436" s="10"/>
      <c r="N436" s="197"/>
      <c r="O436" s="198"/>
      <c r="P436" s="198"/>
    </row>
    <row r="437" spans="1:16">
      <c r="A437" s="10">
        <v>119</v>
      </c>
      <c r="B437" s="193" t="s">
        <v>533</v>
      </c>
      <c r="C437" s="446" t="s">
        <v>227</v>
      </c>
      <c r="D437" s="10"/>
      <c r="E437" s="202">
        <v>45729</v>
      </c>
      <c r="F437" s="23">
        <v>55.338726999999999</v>
      </c>
      <c r="G437" s="568" t="s">
        <v>196</v>
      </c>
      <c r="H437" s="568"/>
      <c r="I437" s="568"/>
      <c r="J437" s="568"/>
      <c r="K437" s="202">
        <v>45737</v>
      </c>
      <c r="L437" s="203" t="s">
        <v>665</v>
      </c>
      <c r="M437" s="10"/>
      <c r="N437" s="197"/>
      <c r="O437" s="198"/>
      <c r="P437" s="198"/>
    </row>
    <row r="438" spans="1:16">
      <c r="A438" s="10">
        <v>120</v>
      </c>
      <c r="B438" s="193" t="s">
        <v>534</v>
      </c>
      <c r="C438" s="446" t="s">
        <v>224</v>
      </c>
      <c r="D438" s="10"/>
      <c r="E438" s="202">
        <v>45732</v>
      </c>
      <c r="F438" s="23">
        <v>46.049156000000004</v>
      </c>
      <c r="G438" s="568" t="s">
        <v>196</v>
      </c>
      <c r="H438" s="568"/>
      <c r="I438" s="568"/>
      <c r="J438" s="568"/>
      <c r="K438" s="202">
        <v>45737</v>
      </c>
      <c r="L438" s="203" t="s">
        <v>419</v>
      </c>
      <c r="M438" s="10"/>
      <c r="N438" s="197"/>
      <c r="O438" s="198"/>
      <c r="P438" s="198"/>
    </row>
    <row r="439" spans="1:16">
      <c r="A439" s="10">
        <v>121</v>
      </c>
      <c r="B439" s="193" t="s">
        <v>535</v>
      </c>
      <c r="C439" s="446" t="s">
        <v>225</v>
      </c>
      <c r="D439" s="10"/>
      <c r="E439" s="202">
        <v>45732</v>
      </c>
      <c r="F439" s="23">
        <v>42.374236000000003</v>
      </c>
      <c r="G439" s="568" t="s">
        <v>196</v>
      </c>
      <c r="H439" s="568"/>
      <c r="I439" s="568"/>
      <c r="J439" s="568"/>
      <c r="K439" s="202">
        <v>45739</v>
      </c>
      <c r="L439" s="203" t="s">
        <v>667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68" t="s">
        <v>196</v>
      </c>
      <c r="H440" s="568"/>
      <c r="I440" s="568"/>
      <c r="J440" s="568"/>
      <c r="K440" s="202">
        <v>45739</v>
      </c>
      <c r="L440" s="203" t="s">
        <v>662</v>
      </c>
      <c r="M440" s="10"/>
      <c r="N440" s="197"/>
      <c r="O440" s="198"/>
      <c r="P440" s="198"/>
    </row>
    <row r="441" spans="1:16">
      <c r="A441" s="10">
        <v>123</v>
      </c>
      <c r="B441" s="193" t="s">
        <v>536</v>
      </c>
      <c r="C441" s="446" t="s">
        <v>225</v>
      </c>
      <c r="D441" s="10"/>
      <c r="E441" s="202">
        <v>45738</v>
      </c>
      <c r="F441" s="23">
        <v>42.374236000000003</v>
      </c>
      <c r="G441" s="568" t="s">
        <v>196</v>
      </c>
      <c r="H441" s="568"/>
      <c r="I441" s="568"/>
      <c r="J441" s="568"/>
      <c r="K441" s="202">
        <v>45742</v>
      </c>
      <c r="L441" s="203" t="s">
        <v>665</v>
      </c>
      <c r="M441" s="10"/>
      <c r="N441" s="197"/>
      <c r="O441" s="198"/>
      <c r="P441" s="198"/>
    </row>
    <row r="442" spans="1:16">
      <c r="A442" s="10">
        <v>124</v>
      </c>
      <c r="B442" s="193" t="s">
        <v>537</v>
      </c>
      <c r="C442" s="446" t="s">
        <v>225</v>
      </c>
      <c r="D442" s="10"/>
      <c r="E442" s="202">
        <v>45736</v>
      </c>
      <c r="F442" s="23">
        <v>42.374236000000003</v>
      </c>
      <c r="G442" s="568" t="s">
        <v>196</v>
      </c>
      <c r="H442" s="568"/>
      <c r="I442" s="568"/>
      <c r="J442" s="568"/>
      <c r="K442" s="202">
        <v>45743</v>
      </c>
      <c r="L442" s="203" t="s">
        <v>664</v>
      </c>
      <c r="M442" s="10"/>
      <c r="N442" s="197"/>
      <c r="O442" s="198"/>
      <c r="P442" s="198"/>
    </row>
    <row r="443" spans="1:16">
      <c r="A443" s="10">
        <v>125</v>
      </c>
      <c r="B443" s="193" t="s">
        <v>538</v>
      </c>
      <c r="C443" s="446" t="s">
        <v>506</v>
      </c>
      <c r="D443" s="10"/>
      <c r="E443" s="202">
        <v>45738</v>
      </c>
      <c r="F443" s="23">
        <v>64.481662</v>
      </c>
      <c r="G443" s="568" t="s">
        <v>196</v>
      </c>
      <c r="H443" s="568"/>
      <c r="I443" s="568"/>
      <c r="J443" s="568"/>
      <c r="K443" s="202">
        <v>45745</v>
      </c>
      <c r="L443" s="203" t="s">
        <v>419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68" t="s">
        <v>196</v>
      </c>
      <c r="H444" s="568"/>
      <c r="I444" s="568"/>
      <c r="J444" s="568"/>
      <c r="K444" s="202">
        <v>45746</v>
      </c>
      <c r="L444" s="203" t="s">
        <v>663</v>
      </c>
      <c r="M444" s="10"/>
      <c r="N444" s="197"/>
      <c r="O444" s="198"/>
      <c r="P444" s="198"/>
    </row>
    <row r="445" spans="1:16">
      <c r="A445" s="10">
        <v>127</v>
      </c>
      <c r="B445" s="193" t="s">
        <v>539</v>
      </c>
      <c r="C445" s="446" t="s">
        <v>225</v>
      </c>
      <c r="D445" s="10"/>
      <c r="E445" s="202">
        <v>45740</v>
      </c>
      <c r="F445" s="23">
        <v>42.374236000000003</v>
      </c>
      <c r="G445" s="568" t="s">
        <v>196</v>
      </c>
      <c r="H445" s="568"/>
      <c r="I445" s="568"/>
      <c r="J445" s="568"/>
      <c r="K445" s="202">
        <v>45746</v>
      </c>
      <c r="L445" s="203" t="s">
        <v>667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506</v>
      </c>
      <c r="D446" s="10"/>
      <c r="E446" s="202">
        <v>45740</v>
      </c>
      <c r="F446" s="23">
        <v>64.481662</v>
      </c>
      <c r="G446" s="568" t="s">
        <v>196</v>
      </c>
      <c r="H446" s="568"/>
      <c r="I446" s="568"/>
      <c r="J446" s="568"/>
      <c r="K446" s="202">
        <v>45747</v>
      </c>
      <c r="L446" s="203" t="s">
        <v>662</v>
      </c>
      <c r="M446" s="10"/>
      <c r="N446" s="197"/>
      <c r="O446" s="198"/>
      <c r="P446" s="198"/>
    </row>
    <row r="447" spans="1:16">
      <c r="A447" s="10">
        <v>129</v>
      </c>
      <c r="B447" s="193" t="s">
        <v>540</v>
      </c>
      <c r="C447" s="446" t="s">
        <v>224</v>
      </c>
      <c r="D447" s="10"/>
      <c r="E447" s="202">
        <v>45737</v>
      </c>
      <c r="F447" s="23">
        <v>46.049156000000004</v>
      </c>
      <c r="G447" s="568" t="s">
        <v>196</v>
      </c>
      <c r="H447" s="568"/>
      <c r="I447" s="568"/>
      <c r="J447" s="568"/>
      <c r="K447" s="202">
        <v>45747</v>
      </c>
      <c r="L447" s="203" t="s">
        <v>669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68" t="s">
        <v>196</v>
      </c>
      <c r="H448" s="568"/>
      <c r="I448" s="568"/>
      <c r="J448" s="568"/>
      <c r="K448" s="202">
        <v>45747</v>
      </c>
      <c r="L448" s="203" t="s">
        <v>666</v>
      </c>
      <c r="M448" s="10"/>
      <c r="N448" s="197"/>
      <c r="O448" s="198"/>
      <c r="P448" s="198"/>
    </row>
    <row r="449" spans="1:16">
      <c r="A449" s="10">
        <v>131</v>
      </c>
      <c r="B449" s="193" t="s">
        <v>541</v>
      </c>
      <c r="C449" s="446" t="s">
        <v>224</v>
      </c>
      <c r="D449" s="10"/>
      <c r="E449" s="202">
        <v>45740</v>
      </c>
      <c r="F449" s="23">
        <v>46.049156000000004</v>
      </c>
      <c r="G449" s="568" t="s">
        <v>196</v>
      </c>
      <c r="H449" s="568"/>
      <c r="I449" s="568"/>
      <c r="J449" s="568"/>
      <c r="K449" s="202">
        <v>45747</v>
      </c>
      <c r="L449" s="203" t="s">
        <v>670</v>
      </c>
      <c r="M449" s="10"/>
      <c r="N449" s="197"/>
      <c r="O449" s="198"/>
      <c r="P449" s="198"/>
    </row>
    <row r="450" spans="1:16">
      <c r="A450" s="10">
        <v>132</v>
      </c>
      <c r="B450" s="193" t="s">
        <v>542</v>
      </c>
      <c r="C450" s="446" t="s">
        <v>226</v>
      </c>
      <c r="D450" s="10"/>
      <c r="E450" s="202">
        <v>45740</v>
      </c>
      <c r="F450" s="23">
        <v>53.323913999999995</v>
      </c>
      <c r="G450" s="568" t="s">
        <v>196</v>
      </c>
      <c r="H450" s="568"/>
      <c r="I450" s="568"/>
      <c r="J450" s="568"/>
      <c r="K450" s="202">
        <v>45747</v>
      </c>
      <c r="L450" s="203" t="s">
        <v>665</v>
      </c>
      <c r="M450" s="10"/>
      <c r="N450" s="197"/>
      <c r="O450" s="198"/>
      <c r="P450" s="198"/>
    </row>
    <row r="451" spans="1:16">
      <c r="A451" s="10">
        <v>133</v>
      </c>
      <c r="B451" s="193" t="s">
        <v>543</v>
      </c>
      <c r="C451" s="446" t="s">
        <v>195</v>
      </c>
      <c r="D451" s="10"/>
      <c r="E451" s="202">
        <v>45744</v>
      </c>
      <c r="F451" s="23">
        <v>43.775756000000008</v>
      </c>
      <c r="G451" s="568" t="s">
        <v>196</v>
      </c>
      <c r="H451" s="568"/>
      <c r="I451" s="568"/>
      <c r="J451" s="568"/>
      <c r="K451" s="202">
        <v>45752</v>
      </c>
      <c r="L451" s="203" t="s">
        <v>419</v>
      </c>
      <c r="M451" s="10"/>
      <c r="N451" s="197"/>
      <c r="O451" s="198"/>
      <c r="P451" s="198"/>
    </row>
    <row r="452" spans="1:16">
      <c r="A452" s="10">
        <v>134</v>
      </c>
      <c r="B452" s="193" t="s">
        <v>544</v>
      </c>
      <c r="C452" s="446" t="s">
        <v>224</v>
      </c>
      <c r="D452" s="10"/>
      <c r="E452" s="202">
        <v>45744</v>
      </c>
      <c r="F452" s="23">
        <v>46.049156000000004</v>
      </c>
      <c r="G452" s="568" t="s">
        <v>196</v>
      </c>
      <c r="H452" s="568"/>
      <c r="I452" s="568"/>
      <c r="J452" s="568"/>
      <c r="K452" s="202">
        <v>45754</v>
      </c>
      <c r="L452" s="203" t="s">
        <v>665</v>
      </c>
      <c r="M452" s="10"/>
      <c r="N452" s="197"/>
      <c r="O452" s="198"/>
      <c r="P452" s="198"/>
    </row>
    <row r="453" spans="1:16">
      <c r="A453" s="10">
        <v>135</v>
      </c>
      <c r="B453" s="193" t="s">
        <v>545</v>
      </c>
      <c r="C453" s="446" t="s">
        <v>225</v>
      </c>
      <c r="D453" s="10"/>
      <c r="E453" s="202">
        <v>45747</v>
      </c>
      <c r="F453" s="23">
        <v>42.374236000000003</v>
      </c>
      <c r="G453" s="568" t="s">
        <v>196</v>
      </c>
      <c r="H453" s="568"/>
      <c r="I453" s="568"/>
      <c r="J453" s="568"/>
      <c r="K453" s="202">
        <v>45755</v>
      </c>
      <c r="L453" s="203" t="s">
        <v>671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68" t="s">
        <v>196</v>
      </c>
      <c r="H454" s="568"/>
      <c r="I454" s="568"/>
      <c r="J454" s="568"/>
      <c r="K454" s="202">
        <v>45757</v>
      </c>
      <c r="L454" s="203" t="s">
        <v>662</v>
      </c>
      <c r="M454" s="10"/>
      <c r="N454" s="197"/>
      <c r="O454" s="198"/>
      <c r="P454" s="198"/>
    </row>
    <row r="455" spans="1:16">
      <c r="A455" s="10">
        <v>137</v>
      </c>
      <c r="B455" s="193" t="s">
        <v>546</v>
      </c>
      <c r="C455" s="446" t="s">
        <v>224</v>
      </c>
      <c r="D455" s="10"/>
      <c r="E455" s="202">
        <v>45747</v>
      </c>
      <c r="F455" s="23">
        <v>46.049156000000004</v>
      </c>
      <c r="G455" s="568" t="s">
        <v>196</v>
      </c>
      <c r="H455" s="568"/>
      <c r="I455" s="568"/>
      <c r="J455" s="568"/>
      <c r="K455" s="202">
        <v>45758</v>
      </c>
      <c r="L455" s="203" t="s">
        <v>672</v>
      </c>
      <c r="M455" s="10"/>
      <c r="N455" s="197"/>
      <c r="O455" s="198"/>
      <c r="P455" s="198"/>
    </row>
    <row r="456" spans="1:16">
      <c r="A456" s="10">
        <v>138</v>
      </c>
      <c r="B456" s="193" t="s">
        <v>547</v>
      </c>
      <c r="C456" s="446" t="s">
        <v>224</v>
      </c>
      <c r="D456" s="10"/>
      <c r="E456" s="202">
        <v>45748</v>
      </c>
      <c r="F456" s="23">
        <v>46.049156000000004</v>
      </c>
      <c r="G456" s="568" t="s">
        <v>196</v>
      </c>
      <c r="H456" s="568"/>
      <c r="I456" s="568"/>
      <c r="J456" s="568"/>
      <c r="K456" s="202">
        <v>45758</v>
      </c>
      <c r="L456" s="203" t="s">
        <v>669</v>
      </c>
      <c r="M456" s="10"/>
      <c r="N456" s="197"/>
      <c r="O456" s="198"/>
      <c r="P456" s="198"/>
    </row>
    <row r="457" spans="1:16">
      <c r="A457" s="10">
        <v>139</v>
      </c>
      <c r="B457" s="193" t="s">
        <v>548</v>
      </c>
      <c r="C457" s="446" t="s">
        <v>549</v>
      </c>
      <c r="D457" s="10"/>
      <c r="E457" s="202">
        <v>45748</v>
      </c>
      <c r="F457" s="23">
        <v>75.858397999999994</v>
      </c>
      <c r="G457" s="568" t="s">
        <v>196</v>
      </c>
      <c r="H457" s="568"/>
      <c r="I457" s="568"/>
      <c r="J457" s="568"/>
      <c r="K457" s="202">
        <v>45758</v>
      </c>
      <c r="L457" s="203" t="s">
        <v>673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550</v>
      </c>
      <c r="D458" s="10"/>
      <c r="E458" s="202">
        <v>45748</v>
      </c>
      <c r="F458" s="23">
        <v>87.011570000000006</v>
      </c>
      <c r="G458" s="568" t="s">
        <v>196</v>
      </c>
      <c r="H458" s="568"/>
      <c r="I458" s="568"/>
      <c r="J458" s="568"/>
      <c r="K458" s="202">
        <v>45758</v>
      </c>
      <c r="L458" s="203" t="s">
        <v>667</v>
      </c>
      <c r="M458" s="10"/>
      <c r="N458" s="197"/>
      <c r="O458" s="198"/>
      <c r="P458" s="198"/>
    </row>
    <row r="459" spans="1:16">
      <c r="A459" s="10">
        <v>141</v>
      </c>
      <c r="B459" s="193" t="s">
        <v>551</v>
      </c>
      <c r="C459" s="446" t="s">
        <v>224</v>
      </c>
      <c r="D459" s="10"/>
      <c r="E459" s="202">
        <v>45748</v>
      </c>
      <c r="F459" s="23">
        <v>46.049156000000004</v>
      </c>
      <c r="G459" s="568" t="s">
        <v>196</v>
      </c>
      <c r="H459" s="568"/>
      <c r="I459" s="568"/>
      <c r="J459" s="568"/>
      <c r="K459" s="202">
        <v>45759</v>
      </c>
      <c r="L459" s="203" t="s">
        <v>670</v>
      </c>
      <c r="M459" s="10"/>
      <c r="N459" s="197"/>
      <c r="O459" s="198"/>
      <c r="P459" s="198"/>
    </row>
    <row r="460" spans="1:16">
      <c r="A460" s="10">
        <v>142</v>
      </c>
      <c r="B460" s="193" t="s">
        <v>552</v>
      </c>
      <c r="C460" s="446" t="s">
        <v>224</v>
      </c>
      <c r="D460" s="10"/>
      <c r="E460" s="202">
        <v>45748</v>
      </c>
      <c r="F460" s="23">
        <v>46.049156000000004</v>
      </c>
      <c r="G460" s="568" t="s">
        <v>196</v>
      </c>
      <c r="H460" s="568"/>
      <c r="I460" s="568"/>
      <c r="J460" s="568"/>
      <c r="K460" s="202">
        <v>45759</v>
      </c>
      <c r="L460" s="203" t="s">
        <v>663</v>
      </c>
      <c r="M460" s="10"/>
      <c r="N460" s="197"/>
      <c r="O460" s="198"/>
      <c r="P460" s="198"/>
    </row>
    <row r="461" spans="1:16">
      <c r="A461" s="10">
        <v>143</v>
      </c>
      <c r="B461" s="193" t="s">
        <v>553</v>
      </c>
      <c r="C461" s="446" t="s">
        <v>225</v>
      </c>
      <c r="D461" s="10"/>
      <c r="E461" s="202">
        <v>45755</v>
      </c>
      <c r="F461" s="23">
        <v>42.374236000000003</v>
      </c>
      <c r="G461" s="568" t="s">
        <v>196</v>
      </c>
      <c r="H461" s="568"/>
      <c r="I461" s="568"/>
      <c r="J461" s="568"/>
      <c r="K461" s="202">
        <v>45760</v>
      </c>
      <c r="L461" s="203" t="s">
        <v>665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506</v>
      </c>
      <c r="D462" s="10"/>
      <c r="E462" s="202">
        <v>45749</v>
      </c>
      <c r="F462" s="23">
        <v>64.481662</v>
      </c>
      <c r="G462" s="568" t="s">
        <v>196</v>
      </c>
      <c r="H462" s="568"/>
      <c r="I462" s="568"/>
      <c r="J462" s="568"/>
      <c r="K462" s="202">
        <v>45761</v>
      </c>
      <c r="L462" s="203" t="s">
        <v>666</v>
      </c>
      <c r="M462" s="10"/>
      <c r="N462" s="197"/>
      <c r="O462" s="198"/>
      <c r="P462" s="198"/>
    </row>
    <row r="463" spans="1:16">
      <c r="A463" s="10">
        <v>145</v>
      </c>
      <c r="B463" s="193" t="s">
        <v>554</v>
      </c>
      <c r="C463" s="446" t="s">
        <v>224</v>
      </c>
      <c r="D463" s="10"/>
      <c r="E463" s="202">
        <v>45756</v>
      </c>
      <c r="F463" s="23">
        <v>46.049156000000004</v>
      </c>
      <c r="G463" s="568" t="s">
        <v>196</v>
      </c>
      <c r="H463" s="568"/>
      <c r="I463" s="568"/>
      <c r="J463" s="568"/>
      <c r="K463" s="202">
        <v>45762</v>
      </c>
      <c r="L463" s="203" t="s">
        <v>671</v>
      </c>
      <c r="M463" s="10"/>
      <c r="N463" s="197"/>
      <c r="O463" s="198"/>
      <c r="P463" s="198"/>
    </row>
    <row r="464" spans="1:16">
      <c r="A464" s="10">
        <v>146</v>
      </c>
      <c r="B464" s="193" t="s">
        <v>555</v>
      </c>
      <c r="C464" s="446" t="s">
        <v>224</v>
      </c>
      <c r="D464" s="10"/>
      <c r="E464" s="202">
        <v>45752</v>
      </c>
      <c r="F464" s="23">
        <v>46.049156000000004</v>
      </c>
      <c r="G464" s="568" t="s">
        <v>196</v>
      </c>
      <c r="H464" s="568"/>
      <c r="I464" s="568"/>
      <c r="J464" s="568"/>
      <c r="K464" s="202">
        <v>45763</v>
      </c>
      <c r="L464" s="203" t="s">
        <v>674</v>
      </c>
      <c r="M464" s="10"/>
      <c r="N464" s="197"/>
      <c r="O464" s="198"/>
      <c r="P464" s="198"/>
    </row>
    <row r="465" spans="1:16">
      <c r="A465" s="10">
        <v>147</v>
      </c>
      <c r="B465" s="193" t="s">
        <v>556</v>
      </c>
      <c r="C465" s="446" t="s">
        <v>225</v>
      </c>
      <c r="D465" s="10"/>
      <c r="E465" s="202">
        <v>45759</v>
      </c>
      <c r="F465" s="23">
        <v>42.374236000000003</v>
      </c>
      <c r="G465" s="568" t="s">
        <v>196</v>
      </c>
      <c r="H465" s="568"/>
      <c r="I465" s="568"/>
      <c r="J465" s="568"/>
      <c r="K465" s="202">
        <v>45763</v>
      </c>
      <c r="L465" s="203" t="s">
        <v>673</v>
      </c>
      <c r="M465" s="10"/>
      <c r="N465" s="197"/>
      <c r="O465" s="198"/>
      <c r="P465" s="198"/>
    </row>
    <row r="466" spans="1:16">
      <c r="A466" s="10">
        <v>148</v>
      </c>
      <c r="B466" s="193" t="s">
        <v>557</v>
      </c>
      <c r="C466" s="446" t="s">
        <v>558</v>
      </c>
      <c r="D466" s="10"/>
      <c r="E466" s="202">
        <v>45753</v>
      </c>
      <c r="F466" s="23">
        <v>86.256192999999996</v>
      </c>
      <c r="G466" s="568" t="s">
        <v>196</v>
      </c>
      <c r="H466" s="568"/>
      <c r="I466" s="568"/>
      <c r="J466" s="568"/>
      <c r="K466" s="202">
        <v>45764</v>
      </c>
      <c r="L466" s="203" t="s">
        <v>419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506</v>
      </c>
      <c r="D467" s="10"/>
      <c r="E467" s="202">
        <v>45759</v>
      </c>
      <c r="F467" s="23">
        <v>64.481662</v>
      </c>
      <c r="G467" s="568" t="s">
        <v>196</v>
      </c>
      <c r="H467" s="568"/>
      <c r="I467" s="568"/>
      <c r="J467" s="568"/>
      <c r="K467" s="202">
        <v>45766</v>
      </c>
      <c r="L467" s="203" t="s">
        <v>670</v>
      </c>
      <c r="M467" s="10"/>
      <c r="N467" s="197"/>
      <c r="O467" s="198"/>
      <c r="P467" s="198"/>
    </row>
    <row r="468" spans="1:16">
      <c r="A468" s="10">
        <v>150</v>
      </c>
      <c r="B468" s="193" t="s">
        <v>559</v>
      </c>
      <c r="C468" s="446" t="s">
        <v>226</v>
      </c>
      <c r="D468" s="10"/>
      <c r="E468" s="202">
        <v>45761</v>
      </c>
      <c r="F468" s="23">
        <v>53.323913999999995</v>
      </c>
      <c r="G468" s="568" t="s">
        <v>196</v>
      </c>
      <c r="H468" s="568"/>
      <c r="I468" s="568"/>
      <c r="J468" s="568"/>
      <c r="K468" s="202">
        <v>45768</v>
      </c>
      <c r="L468" s="203" t="s">
        <v>675</v>
      </c>
      <c r="M468" s="10"/>
      <c r="N468" s="197"/>
      <c r="O468" s="198"/>
      <c r="P468" s="198"/>
    </row>
    <row r="469" spans="1:16">
      <c r="A469" s="10">
        <v>151</v>
      </c>
      <c r="B469" s="193" t="s">
        <v>560</v>
      </c>
      <c r="C469" s="446" t="s">
        <v>225</v>
      </c>
      <c r="D469" s="10"/>
      <c r="E469" s="202">
        <v>45759</v>
      </c>
      <c r="F469" s="23">
        <v>42.374236000000003</v>
      </c>
      <c r="G469" s="568" t="s">
        <v>196</v>
      </c>
      <c r="H469" s="568"/>
      <c r="I469" s="568"/>
      <c r="J469" s="568"/>
      <c r="K469" s="202">
        <v>45768</v>
      </c>
      <c r="L469" s="203" t="s">
        <v>667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550</v>
      </c>
      <c r="D470" s="10"/>
      <c r="E470" s="202">
        <v>45759</v>
      </c>
      <c r="F470" s="23">
        <v>87.011570000000006</v>
      </c>
      <c r="G470" s="568" t="s">
        <v>196</v>
      </c>
      <c r="H470" s="568"/>
      <c r="I470" s="568"/>
      <c r="J470" s="568"/>
      <c r="K470" s="202">
        <v>45769</v>
      </c>
      <c r="L470" s="203" t="s">
        <v>662</v>
      </c>
      <c r="M470" s="10"/>
      <c r="N470" s="197"/>
      <c r="O470" s="198"/>
      <c r="P470" s="198"/>
    </row>
    <row r="471" spans="1:16">
      <c r="A471" s="10">
        <v>153</v>
      </c>
      <c r="B471" s="193" t="s">
        <v>561</v>
      </c>
      <c r="C471" s="446" t="s">
        <v>225</v>
      </c>
      <c r="D471" s="10"/>
      <c r="E471" s="202">
        <v>45759</v>
      </c>
      <c r="F471" s="23">
        <v>42.374236000000003</v>
      </c>
      <c r="G471" s="568" t="s">
        <v>196</v>
      </c>
      <c r="H471" s="568"/>
      <c r="I471" s="568"/>
      <c r="J471" s="568"/>
      <c r="K471" s="202">
        <v>45769</v>
      </c>
      <c r="L471" s="203" t="s">
        <v>669</v>
      </c>
      <c r="M471" s="10"/>
      <c r="N471" s="197"/>
      <c r="O471" s="198"/>
      <c r="P471" s="198"/>
    </row>
    <row r="472" spans="1:16">
      <c r="A472" s="10">
        <v>154</v>
      </c>
      <c r="B472" s="193" t="s">
        <v>562</v>
      </c>
      <c r="C472" s="446" t="s">
        <v>224</v>
      </c>
      <c r="D472" s="10"/>
      <c r="E472" s="202">
        <v>45759</v>
      </c>
      <c r="F472" s="23">
        <v>46.049156000000004</v>
      </c>
      <c r="G472" s="568" t="s">
        <v>196</v>
      </c>
      <c r="H472" s="568"/>
      <c r="I472" s="568"/>
      <c r="J472" s="568"/>
      <c r="K472" s="202">
        <v>45769</v>
      </c>
      <c r="L472" s="203" t="s">
        <v>666</v>
      </c>
      <c r="M472" s="10"/>
      <c r="N472" s="197"/>
      <c r="O472" s="198"/>
      <c r="P472" s="198"/>
    </row>
    <row r="473" spans="1:16">
      <c r="A473" s="10">
        <v>155</v>
      </c>
      <c r="B473" s="193" t="s">
        <v>563</v>
      </c>
      <c r="C473" s="446" t="s">
        <v>226</v>
      </c>
      <c r="D473" s="10"/>
      <c r="E473" s="202">
        <v>45763</v>
      </c>
      <c r="F473" s="23">
        <v>53.323913999999995</v>
      </c>
      <c r="G473" s="568" t="s">
        <v>196</v>
      </c>
      <c r="H473" s="568"/>
      <c r="I473" s="568"/>
      <c r="J473" s="568"/>
      <c r="K473" s="202">
        <v>45769</v>
      </c>
      <c r="L473" s="203" t="s">
        <v>671</v>
      </c>
      <c r="M473" s="10"/>
      <c r="N473" s="197"/>
      <c r="O473" s="198"/>
      <c r="P473" s="198"/>
    </row>
    <row r="474" spans="1:16">
      <c r="A474" s="10">
        <v>156</v>
      </c>
      <c r="B474" s="193" t="s">
        <v>564</v>
      </c>
      <c r="C474" s="446" t="s">
        <v>195</v>
      </c>
      <c r="D474" s="10"/>
      <c r="E474" s="202">
        <v>45762</v>
      </c>
      <c r="F474" s="23">
        <v>43.775756000000008</v>
      </c>
      <c r="G474" s="568" t="s">
        <v>196</v>
      </c>
      <c r="H474" s="568"/>
      <c r="I474" s="568"/>
      <c r="J474" s="568"/>
      <c r="K474" s="202">
        <v>45770</v>
      </c>
      <c r="L474" s="203" t="s">
        <v>668</v>
      </c>
      <c r="M474" s="10"/>
      <c r="N474" s="197"/>
      <c r="O474" s="198"/>
      <c r="P474" s="198"/>
    </row>
    <row r="475" spans="1:16">
      <c r="A475" s="10">
        <v>157</v>
      </c>
      <c r="B475" s="193" t="s">
        <v>565</v>
      </c>
      <c r="C475" s="446" t="s">
        <v>225</v>
      </c>
      <c r="D475" s="10"/>
      <c r="E475" s="202">
        <v>45764</v>
      </c>
      <c r="F475" s="23">
        <v>42.374236000000003</v>
      </c>
      <c r="G475" s="568" t="s">
        <v>196</v>
      </c>
      <c r="H475" s="568"/>
      <c r="I475" s="568"/>
      <c r="J475" s="568"/>
      <c r="K475" s="202">
        <v>45772</v>
      </c>
      <c r="L475" s="203" t="s">
        <v>674</v>
      </c>
      <c r="M475" s="10"/>
      <c r="N475" s="197"/>
      <c r="O475" s="198"/>
      <c r="P475" s="198"/>
    </row>
    <row r="476" spans="1:16">
      <c r="A476" s="10">
        <v>158</v>
      </c>
      <c r="B476" s="193" t="s">
        <v>566</v>
      </c>
      <c r="C476" s="446" t="s">
        <v>227</v>
      </c>
      <c r="D476" s="10"/>
      <c r="E476" s="202">
        <v>45759</v>
      </c>
      <c r="F476" s="23">
        <v>55.338726999999999</v>
      </c>
      <c r="G476" s="568" t="s">
        <v>196</v>
      </c>
      <c r="H476" s="568"/>
      <c r="I476" s="568"/>
      <c r="J476" s="568"/>
      <c r="K476" s="202">
        <v>45773</v>
      </c>
      <c r="L476" s="203" t="s">
        <v>672</v>
      </c>
      <c r="M476" s="10"/>
      <c r="N476" s="197"/>
      <c r="O476" s="198"/>
      <c r="P476" s="198"/>
    </row>
    <row r="477" spans="1:16">
      <c r="A477" s="10">
        <v>159</v>
      </c>
      <c r="B477" s="193" t="s">
        <v>567</v>
      </c>
      <c r="C477" s="446" t="s">
        <v>225</v>
      </c>
      <c r="D477" s="10"/>
      <c r="E477" s="202">
        <v>45770</v>
      </c>
      <c r="F477" s="23">
        <v>42.374236000000003</v>
      </c>
      <c r="G477" s="568" t="s">
        <v>196</v>
      </c>
      <c r="H477" s="568"/>
      <c r="I477" s="568"/>
      <c r="J477" s="568"/>
      <c r="K477" s="202">
        <v>45773</v>
      </c>
      <c r="L477" s="203" t="s">
        <v>671</v>
      </c>
      <c r="M477" s="10"/>
      <c r="N477" s="197"/>
      <c r="O477" s="198"/>
      <c r="P477" s="198"/>
    </row>
    <row r="478" spans="1:16">
      <c r="A478" s="10">
        <v>160</v>
      </c>
      <c r="B478" s="193" t="s">
        <v>568</v>
      </c>
      <c r="C478" s="446" t="s">
        <v>225</v>
      </c>
      <c r="D478" s="10"/>
      <c r="E478" s="202">
        <v>45767</v>
      </c>
      <c r="F478" s="23">
        <v>42.374236000000003</v>
      </c>
      <c r="G478" s="568" t="s">
        <v>196</v>
      </c>
      <c r="H478" s="568"/>
      <c r="I478" s="568"/>
      <c r="J478" s="568"/>
      <c r="K478" s="202">
        <v>45773</v>
      </c>
      <c r="L478" s="203" t="s">
        <v>670</v>
      </c>
      <c r="M478" s="10"/>
      <c r="N478" s="197"/>
      <c r="O478" s="198"/>
      <c r="P478" s="198"/>
    </row>
    <row r="479" spans="1:16">
      <c r="A479" s="10">
        <v>161</v>
      </c>
      <c r="B479" s="193" t="s">
        <v>569</v>
      </c>
      <c r="C479" s="446" t="s">
        <v>224</v>
      </c>
      <c r="D479" s="10"/>
      <c r="E479" s="202">
        <v>45770</v>
      </c>
      <c r="F479" s="23">
        <v>46.049156000000004</v>
      </c>
      <c r="G479" s="568" t="s">
        <v>196</v>
      </c>
      <c r="H479" s="568"/>
      <c r="I479" s="568"/>
      <c r="J479" s="568"/>
      <c r="K479" s="202">
        <v>45775</v>
      </c>
      <c r="L479" s="203" t="s">
        <v>666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68" t="s">
        <v>196</v>
      </c>
      <c r="H480" s="568"/>
      <c r="I480" s="568"/>
      <c r="J480" s="568"/>
      <c r="K480" s="202">
        <v>45775</v>
      </c>
      <c r="L480" s="203" t="s">
        <v>662</v>
      </c>
      <c r="M480" s="10"/>
      <c r="N480" s="197"/>
      <c r="O480" s="198"/>
      <c r="P480" s="198"/>
    </row>
    <row r="481" spans="1:16">
      <c r="A481" s="10">
        <v>163</v>
      </c>
      <c r="B481" s="193" t="s">
        <v>570</v>
      </c>
      <c r="C481" s="446" t="s">
        <v>363</v>
      </c>
      <c r="D481" s="10"/>
      <c r="E481" s="202">
        <v>45764</v>
      </c>
      <c r="F481" s="23">
        <v>78.677549999999997</v>
      </c>
      <c r="G481" s="568" t="s">
        <v>196</v>
      </c>
      <c r="H481" s="568"/>
      <c r="I481" s="568"/>
      <c r="J481" s="568"/>
      <c r="K481" s="202">
        <v>45775</v>
      </c>
      <c r="L481" s="203" t="s">
        <v>673</v>
      </c>
      <c r="M481" s="10"/>
      <c r="N481" s="197"/>
      <c r="O481" s="198"/>
      <c r="P481" s="198"/>
    </row>
    <row r="482" spans="1:16">
      <c r="A482" s="10">
        <v>164</v>
      </c>
      <c r="B482" s="193" t="s">
        <v>571</v>
      </c>
      <c r="C482" s="446" t="s">
        <v>225</v>
      </c>
      <c r="D482" s="10"/>
      <c r="E482" s="202">
        <v>45769</v>
      </c>
      <c r="F482" s="23">
        <v>42.374236000000003</v>
      </c>
      <c r="G482" s="568" t="s">
        <v>196</v>
      </c>
      <c r="H482" s="568"/>
      <c r="I482" s="568"/>
      <c r="J482" s="568"/>
      <c r="K482" s="202">
        <v>45775</v>
      </c>
      <c r="L482" s="203" t="s">
        <v>667</v>
      </c>
      <c r="M482" s="10"/>
      <c r="N482" s="197"/>
      <c r="O482" s="198"/>
      <c r="P482" s="198"/>
    </row>
    <row r="483" spans="1:16">
      <c r="A483" s="10">
        <v>165</v>
      </c>
      <c r="B483" s="193" t="s">
        <v>572</v>
      </c>
      <c r="C483" s="446" t="s">
        <v>225</v>
      </c>
      <c r="D483" s="10"/>
      <c r="E483" s="202">
        <v>45773</v>
      </c>
      <c r="F483" s="23">
        <v>42.374236000000003</v>
      </c>
      <c r="G483" s="568" t="s">
        <v>196</v>
      </c>
      <c r="H483" s="568"/>
      <c r="I483" s="568"/>
      <c r="J483" s="568"/>
      <c r="K483" s="202">
        <v>45776</v>
      </c>
      <c r="L483" s="203" t="s">
        <v>674</v>
      </c>
      <c r="M483" s="10"/>
      <c r="N483" s="197"/>
      <c r="O483" s="198"/>
      <c r="P483" s="198"/>
    </row>
    <row r="484" spans="1:16">
      <c r="A484" s="10">
        <v>166</v>
      </c>
      <c r="B484" s="193" t="s">
        <v>573</v>
      </c>
      <c r="C484" s="446" t="s">
        <v>225</v>
      </c>
      <c r="D484" s="10"/>
      <c r="E484" s="202">
        <v>45770</v>
      </c>
      <c r="F484" s="23">
        <v>42.374236000000003</v>
      </c>
      <c r="G484" s="568" t="s">
        <v>196</v>
      </c>
      <c r="H484" s="568"/>
      <c r="I484" s="568"/>
      <c r="J484" s="568"/>
      <c r="K484" s="202">
        <v>45809</v>
      </c>
      <c r="L484" s="203" t="s">
        <v>669</v>
      </c>
      <c r="M484" s="10"/>
      <c r="N484" s="197"/>
      <c r="O484" s="198"/>
      <c r="P484" s="198"/>
    </row>
    <row r="485" spans="1:16">
      <c r="A485" s="10">
        <v>167</v>
      </c>
      <c r="B485" s="193" t="s">
        <v>574</v>
      </c>
      <c r="C485" s="446" t="s">
        <v>380</v>
      </c>
      <c r="D485" s="10"/>
      <c r="E485" s="202">
        <v>45769</v>
      </c>
      <c r="F485" s="23">
        <v>97.228551999999993</v>
      </c>
      <c r="G485" s="568" t="s">
        <v>196</v>
      </c>
      <c r="H485" s="568"/>
      <c r="I485" s="568"/>
      <c r="J485" s="568"/>
      <c r="K485" s="202">
        <v>45777</v>
      </c>
      <c r="L485" s="203" t="s">
        <v>665</v>
      </c>
      <c r="M485" s="10"/>
      <c r="N485" s="197"/>
      <c r="O485" s="198"/>
      <c r="P485" s="198"/>
    </row>
    <row r="486" spans="1:16">
      <c r="A486" s="10">
        <v>168</v>
      </c>
      <c r="B486" s="193" t="s">
        <v>575</v>
      </c>
      <c r="C486" s="446" t="s">
        <v>225</v>
      </c>
      <c r="D486" s="10"/>
      <c r="E486" s="202">
        <v>45774</v>
      </c>
      <c r="F486" s="23">
        <v>42.374236000000003</v>
      </c>
      <c r="G486" s="568" t="s">
        <v>196</v>
      </c>
      <c r="H486" s="568"/>
      <c r="I486" s="568"/>
      <c r="J486" s="568"/>
      <c r="K486" s="202">
        <v>45777</v>
      </c>
      <c r="L486" s="203" t="s">
        <v>671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68" t="s">
        <v>196</v>
      </c>
      <c r="H487" s="568"/>
      <c r="I487" s="568"/>
      <c r="J487" s="568"/>
      <c r="K487" s="202">
        <v>45780</v>
      </c>
      <c r="L487" s="203" t="s">
        <v>662</v>
      </c>
      <c r="M487" s="10"/>
      <c r="N487" s="197"/>
      <c r="O487" s="198"/>
      <c r="P487" s="198"/>
    </row>
    <row r="488" spans="1:16">
      <c r="A488" s="10">
        <v>170</v>
      </c>
      <c r="B488" s="193" t="s">
        <v>576</v>
      </c>
      <c r="C488" s="446" t="s">
        <v>224</v>
      </c>
      <c r="D488" s="10"/>
      <c r="E488" s="202">
        <v>45776</v>
      </c>
      <c r="F488" s="23">
        <v>46.049156000000004</v>
      </c>
      <c r="G488" s="568" t="s">
        <v>196</v>
      </c>
      <c r="H488" s="568"/>
      <c r="I488" s="568"/>
      <c r="J488" s="568"/>
      <c r="K488" s="202">
        <v>45781</v>
      </c>
      <c r="L488" s="203" t="s">
        <v>670</v>
      </c>
      <c r="M488" s="10"/>
      <c r="N488" s="197"/>
      <c r="O488" s="198"/>
      <c r="P488" s="198"/>
    </row>
    <row r="489" spans="1:16">
      <c r="A489" s="10">
        <v>171</v>
      </c>
      <c r="B489" s="193" t="s">
        <v>577</v>
      </c>
      <c r="C489" s="446" t="s">
        <v>225</v>
      </c>
      <c r="D489" s="10"/>
      <c r="E489" s="202">
        <v>45776</v>
      </c>
      <c r="F489" s="23">
        <v>42.374236000000003</v>
      </c>
      <c r="G489" s="568" t="s">
        <v>196</v>
      </c>
      <c r="H489" s="568"/>
      <c r="I489" s="568"/>
      <c r="J489" s="568"/>
      <c r="K489" s="202">
        <v>45782</v>
      </c>
      <c r="L489" s="203" t="s">
        <v>666</v>
      </c>
      <c r="M489" s="10"/>
      <c r="N489" s="197"/>
      <c r="O489" s="198"/>
      <c r="P489" s="198"/>
    </row>
    <row r="490" spans="1:16">
      <c r="A490" s="10">
        <v>172</v>
      </c>
      <c r="B490" s="193" t="s">
        <v>578</v>
      </c>
      <c r="C490" s="446" t="s">
        <v>224</v>
      </c>
      <c r="D490" s="10"/>
      <c r="E490" s="202">
        <v>45777</v>
      </c>
      <c r="F490" s="23">
        <v>46.049156000000004</v>
      </c>
      <c r="G490" s="568" t="s">
        <v>196</v>
      </c>
      <c r="H490" s="568"/>
      <c r="I490" s="568"/>
      <c r="J490" s="568"/>
      <c r="K490" s="202">
        <v>45783</v>
      </c>
      <c r="L490" s="203" t="s">
        <v>671</v>
      </c>
      <c r="M490" s="10"/>
      <c r="N490" s="197"/>
      <c r="O490" s="198"/>
      <c r="P490" s="198"/>
    </row>
    <row r="491" spans="1:16">
      <c r="A491" s="10">
        <v>173</v>
      </c>
      <c r="B491" s="193" t="s">
        <v>579</v>
      </c>
      <c r="C491" s="446" t="s">
        <v>195</v>
      </c>
      <c r="D491" s="10"/>
      <c r="E491" s="202">
        <v>45777</v>
      </c>
      <c r="F491" s="23">
        <v>43.775756000000008</v>
      </c>
      <c r="G491" s="568" t="s">
        <v>196</v>
      </c>
      <c r="H491" s="568"/>
      <c r="I491" s="568"/>
      <c r="J491" s="568"/>
      <c r="K491" s="202">
        <v>45783</v>
      </c>
      <c r="L491" s="203" t="s">
        <v>667</v>
      </c>
      <c r="M491" s="10"/>
      <c r="N491" s="197"/>
      <c r="O491" s="198"/>
      <c r="P491" s="198"/>
    </row>
    <row r="492" spans="1:16">
      <c r="A492" s="10">
        <v>174</v>
      </c>
      <c r="B492" s="193" t="s">
        <v>580</v>
      </c>
      <c r="C492" s="446" t="s">
        <v>225</v>
      </c>
      <c r="D492" s="10"/>
      <c r="E492" s="202">
        <v>45777</v>
      </c>
      <c r="F492" s="23">
        <v>42.374236000000003</v>
      </c>
      <c r="G492" s="568" t="s">
        <v>196</v>
      </c>
      <c r="H492" s="568"/>
      <c r="I492" s="568"/>
      <c r="J492" s="568"/>
      <c r="K492" s="202">
        <v>45783</v>
      </c>
      <c r="L492" s="203" t="s">
        <v>674</v>
      </c>
      <c r="M492" s="10"/>
      <c r="N492" s="197"/>
      <c r="O492" s="198"/>
      <c r="P492" s="198"/>
    </row>
    <row r="493" spans="1:16">
      <c r="A493" s="10">
        <v>175</v>
      </c>
      <c r="B493" s="193" t="s">
        <v>581</v>
      </c>
      <c r="C493" s="446" t="s">
        <v>224</v>
      </c>
      <c r="D493" s="10"/>
      <c r="E493" s="202">
        <v>45777</v>
      </c>
      <c r="F493" s="23">
        <v>46.049156000000004</v>
      </c>
      <c r="G493" s="568" t="s">
        <v>196</v>
      </c>
      <c r="H493" s="568"/>
      <c r="I493" s="568"/>
      <c r="J493" s="568"/>
      <c r="K493" s="202">
        <v>45784</v>
      </c>
      <c r="L493" s="203" t="s">
        <v>668</v>
      </c>
      <c r="M493" s="10"/>
      <c r="N493" s="197"/>
      <c r="O493" s="198"/>
      <c r="P493" s="198"/>
    </row>
    <row r="494" spans="1:16">
      <c r="A494" s="10">
        <v>176</v>
      </c>
      <c r="B494" s="193" t="s">
        <v>582</v>
      </c>
      <c r="C494" s="446" t="s">
        <v>225</v>
      </c>
      <c r="D494" s="10"/>
      <c r="E494" s="202">
        <v>45783</v>
      </c>
      <c r="F494" s="23">
        <v>42.374236000000003</v>
      </c>
      <c r="G494" s="568" t="s">
        <v>196</v>
      </c>
      <c r="H494" s="568"/>
      <c r="I494" s="568"/>
      <c r="J494" s="568"/>
      <c r="K494" s="202">
        <v>45786</v>
      </c>
      <c r="L494" s="203" t="s">
        <v>671</v>
      </c>
      <c r="M494" s="10"/>
      <c r="N494" s="197"/>
      <c r="O494" s="198"/>
      <c r="P494" s="198"/>
    </row>
    <row r="495" spans="1:16">
      <c r="A495" s="10">
        <v>177</v>
      </c>
      <c r="B495" s="193" t="s">
        <v>583</v>
      </c>
      <c r="C495" s="446" t="s">
        <v>225</v>
      </c>
      <c r="D495" s="10"/>
      <c r="E495" s="202">
        <v>45781</v>
      </c>
      <c r="F495" s="23">
        <v>42.374236000000003</v>
      </c>
      <c r="G495" s="568" t="s">
        <v>196</v>
      </c>
      <c r="H495" s="568"/>
      <c r="I495" s="568"/>
      <c r="J495" s="568"/>
      <c r="K495" s="202">
        <v>45787</v>
      </c>
      <c r="L495" s="203" t="s">
        <v>673</v>
      </c>
      <c r="M495" s="10"/>
      <c r="N495" s="197"/>
      <c r="O495" s="198"/>
      <c r="P495" s="198"/>
    </row>
    <row r="496" spans="1:16">
      <c r="A496" s="10">
        <v>178</v>
      </c>
      <c r="B496" s="193" t="s">
        <v>584</v>
      </c>
      <c r="C496" s="446" t="s">
        <v>225</v>
      </c>
      <c r="D496" s="10"/>
      <c r="E496" s="202">
        <v>45781</v>
      </c>
      <c r="F496" s="23">
        <v>42.374236000000003</v>
      </c>
      <c r="G496" s="568" t="s">
        <v>196</v>
      </c>
      <c r="H496" s="568"/>
      <c r="I496" s="568"/>
      <c r="J496" s="568"/>
      <c r="K496" s="202">
        <v>45788</v>
      </c>
      <c r="L496" s="203" t="s">
        <v>419</v>
      </c>
      <c r="M496" s="10"/>
      <c r="N496" s="197"/>
      <c r="O496" s="198"/>
      <c r="P496" s="198"/>
    </row>
    <row r="497" spans="1:16">
      <c r="A497" s="10">
        <v>179</v>
      </c>
      <c r="B497" s="193" t="s">
        <v>585</v>
      </c>
      <c r="C497" s="446" t="s">
        <v>225</v>
      </c>
      <c r="D497" s="10"/>
      <c r="E497" s="202">
        <v>45782</v>
      </c>
      <c r="F497" s="23">
        <v>42.374236000000003</v>
      </c>
      <c r="G497" s="568" t="s">
        <v>196</v>
      </c>
      <c r="H497" s="568"/>
      <c r="I497" s="568"/>
      <c r="J497" s="568"/>
      <c r="K497" s="202">
        <v>45788</v>
      </c>
      <c r="L497" s="203" t="s">
        <v>670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68" t="s">
        <v>196</v>
      </c>
      <c r="H498" s="568"/>
      <c r="I498" s="568"/>
      <c r="J498" s="568"/>
      <c r="K498" s="202">
        <v>45789</v>
      </c>
      <c r="L498" s="203" t="s">
        <v>674</v>
      </c>
      <c r="M498" s="10"/>
      <c r="N498" s="197"/>
      <c r="O498" s="198"/>
      <c r="P498" s="198"/>
    </row>
    <row r="499" spans="1:16">
      <c r="A499" s="10">
        <v>181</v>
      </c>
      <c r="B499" s="193" t="s">
        <v>586</v>
      </c>
      <c r="C499" s="446" t="s">
        <v>225</v>
      </c>
      <c r="D499" s="10"/>
      <c r="E499" s="202">
        <v>45784</v>
      </c>
      <c r="F499" s="23">
        <v>42.374236000000003</v>
      </c>
      <c r="G499" s="568" t="s">
        <v>196</v>
      </c>
      <c r="H499" s="568"/>
      <c r="I499" s="568"/>
      <c r="J499" s="568"/>
      <c r="K499" s="202">
        <v>45790</v>
      </c>
      <c r="L499" s="203" t="s">
        <v>667</v>
      </c>
      <c r="M499" s="10"/>
      <c r="N499" s="197"/>
      <c r="O499" s="198"/>
      <c r="P499" s="198"/>
    </row>
    <row r="500" spans="1:16">
      <c r="A500" s="10">
        <v>182</v>
      </c>
      <c r="B500" s="193" t="s">
        <v>587</v>
      </c>
      <c r="C500" s="446" t="s">
        <v>195</v>
      </c>
      <c r="D500" s="10"/>
      <c r="E500" s="202">
        <v>45784</v>
      </c>
      <c r="F500" s="23">
        <v>43.775756000000008</v>
      </c>
      <c r="G500" s="568" t="s">
        <v>196</v>
      </c>
      <c r="H500" s="568"/>
      <c r="I500" s="568"/>
      <c r="J500" s="568"/>
      <c r="K500" s="202">
        <v>45790</v>
      </c>
      <c r="L500" s="203" t="s">
        <v>666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68" t="s">
        <v>196</v>
      </c>
      <c r="H501" s="568"/>
      <c r="I501" s="568"/>
      <c r="J501" s="568"/>
      <c r="K501" s="202">
        <v>45791</v>
      </c>
      <c r="L501" s="203" t="s">
        <v>662</v>
      </c>
      <c r="M501" s="10"/>
      <c r="N501" s="197"/>
      <c r="O501" s="198"/>
      <c r="P501" s="198"/>
    </row>
    <row r="502" spans="1:16">
      <c r="A502" s="10">
        <v>184</v>
      </c>
      <c r="B502" s="193" t="s">
        <v>588</v>
      </c>
      <c r="C502" s="446" t="s">
        <v>380</v>
      </c>
      <c r="D502" s="10"/>
      <c r="E502" s="202">
        <v>45782</v>
      </c>
      <c r="F502" s="23">
        <v>97.228551999999993</v>
      </c>
      <c r="G502" s="568" t="s">
        <v>196</v>
      </c>
      <c r="H502" s="568"/>
      <c r="I502" s="568"/>
      <c r="J502" s="568"/>
      <c r="K502" s="202">
        <v>45791</v>
      </c>
      <c r="L502" s="203" t="s">
        <v>665</v>
      </c>
      <c r="M502" s="10"/>
      <c r="N502" s="197"/>
      <c r="O502" s="198"/>
      <c r="P502" s="198"/>
    </row>
    <row r="503" spans="1:16">
      <c r="A503" s="10">
        <v>185</v>
      </c>
      <c r="B503" s="193" t="s">
        <v>589</v>
      </c>
      <c r="C503" s="446" t="s">
        <v>225</v>
      </c>
      <c r="D503" s="10"/>
      <c r="E503" s="202">
        <v>45788</v>
      </c>
      <c r="F503" s="23">
        <v>42.374236000000003</v>
      </c>
      <c r="G503" s="568" t="s">
        <v>196</v>
      </c>
      <c r="H503" s="568"/>
      <c r="I503" s="568"/>
      <c r="J503" s="568"/>
      <c r="K503" s="202">
        <v>45792</v>
      </c>
      <c r="L503" s="203" t="s">
        <v>671</v>
      </c>
      <c r="M503" s="10"/>
      <c r="N503" s="197"/>
      <c r="O503" s="198"/>
      <c r="P503" s="198"/>
    </row>
    <row r="504" spans="1:16">
      <c r="A504" s="10">
        <v>186</v>
      </c>
      <c r="B504" s="193" t="s">
        <v>590</v>
      </c>
      <c r="C504" s="446" t="s">
        <v>225</v>
      </c>
      <c r="D504" s="10"/>
      <c r="E504" s="202">
        <v>45790</v>
      </c>
      <c r="F504" s="23">
        <v>42.374236000000003</v>
      </c>
      <c r="G504" s="568" t="s">
        <v>196</v>
      </c>
      <c r="H504" s="568"/>
      <c r="I504" s="568"/>
      <c r="J504" s="568"/>
      <c r="K504" s="202">
        <v>45794</v>
      </c>
      <c r="L504" s="203" t="s">
        <v>674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68" t="s">
        <v>196</v>
      </c>
      <c r="H505" s="568"/>
      <c r="I505" s="568"/>
      <c r="J505" s="568"/>
      <c r="K505" s="202">
        <v>45796</v>
      </c>
      <c r="L505" s="203" t="s">
        <v>662</v>
      </c>
      <c r="M505" s="10"/>
      <c r="N505" s="197"/>
      <c r="O505" s="198"/>
      <c r="P505" s="198"/>
    </row>
    <row r="506" spans="1:16">
      <c r="A506" s="10">
        <v>188</v>
      </c>
      <c r="B506" s="193" t="s">
        <v>591</v>
      </c>
      <c r="C506" s="446" t="s">
        <v>225</v>
      </c>
      <c r="D506" s="10"/>
      <c r="E506" s="202">
        <v>45791</v>
      </c>
      <c r="F506" s="23">
        <v>42.374236000000003</v>
      </c>
      <c r="G506" s="568" t="s">
        <v>196</v>
      </c>
      <c r="H506" s="568"/>
      <c r="I506" s="568"/>
      <c r="J506" s="568"/>
      <c r="K506" s="202">
        <v>45796</v>
      </c>
      <c r="L506" s="203" t="s">
        <v>666</v>
      </c>
      <c r="M506" s="10"/>
      <c r="N506" s="197"/>
      <c r="O506" s="198"/>
      <c r="P506" s="198"/>
    </row>
    <row r="507" spans="1:16">
      <c r="A507" s="10">
        <v>189</v>
      </c>
      <c r="B507" s="193" t="s">
        <v>592</v>
      </c>
      <c r="C507" s="446" t="s">
        <v>224</v>
      </c>
      <c r="D507" s="10"/>
      <c r="E507" s="202">
        <v>45789</v>
      </c>
      <c r="F507" s="23">
        <v>46.049156000000004</v>
      </c>
      <c r="G507" s="568" t="s">
        <v>196</v>
      </c>
      <c r="H507" s="568"/>
      <c r="I507" s="568"/>
      <c r="J507" s="568"/>
      <c r="K507" s="202">
        <v>45796</v>
      </c>
      <c r="L507" s="203" t="s">
        <v>670</v>
      </c>
      <c r="M507" s="10"/>
      <c r="N507" s="197"/>
      <c r="O507" s="198"/>
      <c r="P507" s="198"/>
    </row>
    <row r="508" spans="1:16">
      <c r="A508" s="10">
        <v>190</v>
      </c>
      <c r="B508" s="193" t="s">
        <v>593</v>
      </c>
      <c r="C508" s="446" t="s">
        <v>225</v>
      </c>
      <c r="D508" s="10"/>
      <c r="E508" s="202">
        <v>45791</v>
      </c>
      <c r="F508" s="23">
        <v>42.374236000000003</v>
      </c>
      <c r="G508" s="568" t="s">
        <v>196</v>
      </c>
      <c r="H508" s="568"/>
      <c r="I508" s="568"/>
      <c r="J508" s="568"/>
      <c r="K508" s="202">
        <v>45797</v>
      </c>
      <c r="L508" s="203" t="s">
        <v>667</v>
      </c>
      <c r="M508" s="10"/>
      <c r="N508" s="197"/>
      <c r="O508" s="198"/>
      <c r="P508" s="198"/>
    </row>
    <row r="509" spans="1:16">
      <c r="A509" s="10">
        <v>191</v>
      </c>
      <c r="B509" s="193" t="s">
        <v>594</v>
      </c>
      <c r="C509" s="446" t="s">
        <v>224</v>
      </c>
      <c r="D509" s="10"/>
      <c r="E509" s="202">
        <v>45789</v>
      </c>
      <c r="F509" s="23">
        <v>46.049156000000004</v>
      </c>
      <c r="G509" s="568" t="s">
        <v>196</v>
      </c>
      <c r="H509" s="568"/>
      <c r="I509" s="568"/>
      <c r="J509" s="568"/>
      <c r="K509" s="202">
        <v>45798</v>
      </c>
      <c r="L509" s="203" t="s">
        <v>419</v>
      </c>
      <c r="M509" s="10"/>
      <c r="N509" s="197"/>
      <c r="O509" s="198"/>
      <c r="P509" s="198"/>
    </row>
    <row r="510" spans="1:16">
      <c r="A510" s="10">
        <v>192</v>
      </c>
      <c r="B510" s="193" t="s">
        <v>595</v>
      </c>
      <c r="C510" s="446" t="s">
        <v>224</v>
      </c>
      <c r="D510" s="10"/>
      <c r="E510" s="202">
        <v>45793</v>
      </c>
      <c r="F510" s="23">
        <v>46.049156000000004</v>
      </c>
      <c r="G510" s="568" t="s">
        <v>196</v>
      </c>
      <c r="H510" s="568"/>
      <c r="I510" s="568"/>
      <c r="J510" s="568"/>
      <c r="K510" s="202">
        <v>45798</v>
      </c>
      <c r="L510" s="203" t="s">
        <v>674</v>
      </c>
      <c r="M510" s="10"/>
      <c r="N510" s="197"/>
      <c r="O510" s="198"/>
      <c r="P510" s="198"/>
    </row>
    <row r="511" spans="1:16">
      <c r="A511" s="10">
        <v>193</v>
      </c>
      <c r="B511" s="193" t="s">
        <v>596</v>
      </c>
      <c r="C511" s="446" t="s">
        <v>225</v>
      </c>
      <c r="D511" s="10"/>
      <c r="E511" s="202">
        <v>45792</v>
      </c>
      <c r="F511" s="23">
        <v>42.374236000000003</v>
      </c>
      <c r="G511" s="568" t="s">
        <v>196</v>
      </c>
      <c r="H511" s="568"/>
      <c r="I511" s="568"/>
      <c r="J511" s="568"/>
      <c r="K511" s="202">
        <v>45799</v>
      </c>
      <c r="L511" s="203" t="s">
        <v>665</v>
      </c>
      <c r="M511" s="10"/>
      <c r="N511" s="197"/>
      <c r="O511" s="198"/>
      <c r="P511" s="198"/>
    </row>
    <row r="512" spans="1:16">
      <c r="A512" s="10">
        <v>194</v>
      </c>
      <c r="B512" s="193" t="s">
        <v>597</v>
      </c>
      <c r="C512" s="446" t="s">
        <v>225</v>
      </c>
      <c r="D512" s="10"/>
      <c r="E512" s="202">
        <v>45788</v>
      </c>
      <c r="F512" s="23">
        <v>42.374236000000003</v>
      </c>
      <c r="G512" s="568" t="s">
        <v>196</v>
      </c>
      <c r="H512" s="568"/>
      <c r="I512" s="568"/>
      <c r="J512" s="568"/>
      <c r="K512" s="202">
        <v>45799</v>
      </c>
      <c r="L512" s="203" t="s">
        <v>673</v>
      </c>
      <c r="M512" s="10"/>
      <c r="N512" s="197"/>
      <c r="O512" s="198"/>
      <c r="P512" s="198"/>
    </row>
    <row r="513" spans="1:16">
      <c r="A513" s="10">
        <v>195</v>
      </c>
      <c r="B513" s="193" t="s">
        <v>598</v>
      </c>
      <c r="C513" s="446" t="s">
        <v>226</v>
      </c>
      <c r="D513" s="10"/>
      <c r="E513" s="202">
        <v>45789</v>
      </c>
      <c r="F513" s="23">
        <v>53.323913999999995</v>
      </c>
      <c r="G513" s="568" t="s">
        <v>196</v>
      </c>
      <c r="H513" s="568"/>
      <c r="I513" s="568"/>
      <c r="J513" s="568"/>
      <c r="K513" s="202">
        <v>45799</v>
      </c>
      <c r="L513" s="203" t="s">
        <v>676</v>
      </c>
      <c r="M513" s="10"/>
      <c r="N513" s="197"/>
      <c r="O513" s="198"/>
      <c r="P513" s="198"/>
    </row>
    <row r="514" spans="1:16">
      <c r="A514" s="10">
        <v>196</v>
      </c>
      <c r="B514" s="193" t="s">
        <v>599</v>
      </c>
      <c r="C514" s="446" t="s">
        <v>225</v>
      </c>
      <c r="D514" s="10"/>
      <c r="E514" s="202">
        <v>45797</v>
      </c>
      <c r="F514" s="23">
        <v>42.374236000000003</v>
      </c>
      <c r="G514" s="568" t="s">
        <v>196</v>
      </c>
      <c r="H514" s="568"/>
      <c r="I514" s="568"/>
      <c r="J514" s="568"/>
      <c r="K514" s="202">
        <v>45801</v>
      </c>
      <c r="L514" s="203" t="s">
        <v>666</v>
      </c>
      <c r="M514" s="10"/>
      <c r="N514" s="197"/>
      <c r="O514" s="198"/>
      <c r="P514" s="198"/>
    </row>
    <row r="515" spans="1:16">
      <c r="A515" s="10">
        <v>197</v>
      </c>
      <c r="B515" s="193" t="s">
        <v>600</v>
      </c>
      <c r="C515" s="446" t="s">
        <v>225</v>
      </c>
      <c r="D515" s="10"/>
      <c r="E515" s="202">
        <v>45797</v>
      </c>
      <c r="F515" s="23">
        <v>42.374236000000003</v>
      </c>
      <c r="G515" s="568" t="s">
        <v>196</v>
      </c>
      <c r="H515" s="568"/>
      <c r="I515" s="568"/>
      <c r="J515" s="568"/>
      <c r="K515" s="202">
        <v>45801</v>
      </c>
      <c r="L515" s="203" t="s">
        <v>670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68" t="s">
        <v>196</v>
      </c>
      <c r="H516" s="568"/>
      <c r="I516" s="568"/>
      <c r="J516" s="568"/>
      <c r="K516" s="202">
        <v>45801</v>
      </c>
      <c r="L516" s="203" t="s">
        <v>662</v>
      </c>
      <c r="M516" s="10"/>
      <c r="N516" s="197"/>
      <c r="O516" s="198"/>
      <c r="P516" s="198"/>
    </row>
    <row r="517" spans="1:16">
      <c r="A517" s="10">
        <v>199</v>
      </c>
      <c r="B517" s="193" t="s">
        <v>601</v>
      </c>
      <c r="C517" s="446" t="s">
        <v>602</v>
      </c>
      <c r="D517" s="10"/>
      <c r="E517" s="202">
        <v>45793</v>
      </c>
      <c r="F517" s="23">
        <v>78.073216000000002</v>
      </c>
      <c r="G517" s="568" t="s">
        <v>196</v>
      </c>
      <c r="H517" s="568"/>
      <c r="I517" s="568"/>
      <c r="J517" s="568"/>
      <c r="K517" s="202">
        <v>45802</v>
      </c>
      <c r="L517" s="203" t="s">
        <v>671</v>
      </c>
      <c r="M517" s="10"/>
      <c r="N517" s="197"/>
      <c r="O517" s="198"/>
      <c r="P517" s="198"/>
    </row>
    <row r="518" spans="1:16">
      <c r="A518" s="10">
        <v>200</v>
      </c>
      <c r="B518" s="193" t="s">
        <v>603</v>
      </c>
      <c r="C518" s="446" t="s">
        <v>225</v>
      </c>
      <c r="D518" s="10"/>
      <c r="E518" s="202">
        <v>45787</v>
      </c>
      <c r="F518" s="23">
        <v>42.374236000000003</v>
      </c>
      <c r="G518" s="568" t="s">
        <v>196</v>
      </c>
      <c r="H518" s="568"/>
      <c r="I518" s="568"/>
      <c r="J518" s="568"/>
      <c r="K518" s="202">
        <v>45804</v>
      </c>
      <c r="L518" s="203" t="s">
        <v>668</v>
      </c>
      <c r="M518" s="10"/>
      <c r="N518" s="197"/>
      <c r="O518" s="198"/>
      <c r="P518" s="198"/>
    </row>
    <row r="519" spans="1:16">
      <c r="A519" s="10">
        <v>201</v>
      </c>
      <c r="B519" s="193" t="s">
        <v>604</v>
      </c>
      <c r="C519" s="446" t="s">
        <v>225</v>
      </c>
      <c r="D519" s="10"/>
      <c r="E519" s="202">
        <v>45799</v>
      </c>
      <c r="F519" s="23">
        <v>42.374236000000003</v>
      </c>
      <c r="G519" s="568" t="s">
        <v>196</v>
      </c>
      <c r="H519" s="568"/>
      <c r="I519" s="568"/>
      <c r="J519" s="568"/>
      <c r="K519" s="202">
        <v>45804</v>
      </c>
      <c r="L519" s="203" t="s">
        <v>674</v>
      </c>
      <c r="M519" s="10"/>
      <c r="N519" s="197"/>
      <c r="O519" s="198"/>
      <c r="P519" s="198"/>
    </row>
    <row r="520" spans="1:16">
      <c r="A520" s="10">
        <v>202</v>
      </c>
      <c r="B520" s="193" t="s">
        <v>605</v>
      </c>
      <c r="C520" s="446" t="s">
        <v>225</v>
      </c>
      <c r="D520" s="10"/>
      <c r="E520" s="202">
        <v>45800</v>
      </c>
      <c r="F520" s="23">
        <v>42.374236000000003</v>
      </c>
      <c r="G520" s="568" t="s">
        <v>196</v>
      </c>
      <c r="H520" s="568"/>
      <c r="I520" s="568"/>
      <c r="J520" s="568"/>
      <c r="K520" s="202">
        <v>45805</v>
      </c>
      <c r="L520" s="203" t="s">
        <v>665</v>
      </c>
      <c r="M520" s="10"/>
      <c r="N520" s="197"/>
      <c r="O520" s="198"/>
      <c r="P520" s="198"/>
    </row>
    <row r="521" spans="1:16">
      <c r="A521" s="10">
        <v>203</v>
      </c>
      <c r="B521" s="193" t="s">
        <v>606</v>
      </c>
      <c r="C521" s="446" t="s">
        <v>225</v>
      </c>
      <c r="D521" s="10"/>
      <c r="E521" s="202">
        <v>45800</v>
      </c>
      <c r="F521" s="23">
        <v>42.374236000000003</v>
      </c>
      <c r="G521" s="568" t="s">
        <v>196</v>
      </c>
      <c r="H521" s="568"/>
      <c r="I521" s="568"/>
      <c r="J521" s="568"/>
      <c r="K521" s="202">
        <v>45807</v>
      </c>
      <c r="L521" s="203" t="s">
        <v>419</v>
      </c>
      <c r="M521" s="10"/>
      <c r="N521" s="197"/>
      <c r="O521" s="198"/>
      <c r="P521" s="198"/>
    </row>
    <row r="522" spans="1:16">
      <c r="A522" s="10">
        <v>204</v>
      </c>
      <c r="B522" s="193" t="s">
        <v>607</v>
      </c>
      <c r="C522" s="446" t="s">
        <v>225</v>
      </c>
      <c r="D522" s="10"/>
      <c r="E522" s="202">
        <v>45800</v>
      </c>
      <c r="F522" s="23">
        <v>42.374236000000003</v>
      </c>
      <c r="G522" s="568" t="s">
        <v>196</v>
      </c>
      <c r="H522" s="568"/>
      <c r="I522" s="568"/>
      <c r="J522" s="568"/>
      <c r="K522" s="202">
        <v>45807</v>
      </c>
      <c r="L522" s="203" t="s">
        <v>662</v>
      </c>
      <c r="M522" s="10"/>
      <c r="N522" s="197"/>
      <c r="O522" s="198"/>
      <c r="P522" s="198"/>
    </row>
    <row r="523" spans="1:16">
      <c r="A523" s="10">
        <v>205</v>
      </c>
      <c r="B523" s="193" t="s">
        <v>608</v>
      </c>
      <c r="C523" s="446" t="s">
        <v>225</v>
      </c>
      <c r="D523" s="10"/>
      <c r="E523" s="202">
        <v>45803</v>
      </c>
      <c r="F523" s="23">
        <v>42.374236000000003</v>
      </c>
      <c r="G523" s="568" t="s">
        <v>196</v>
      </c>
      <c r="H523" s="568"/>
      <c r="I523" s="568"/>
      <c r="J523" s="568"/>
      <c r="K523" s="202">
        <v>45808</v>
      </c>
      <c r="L523" s="203" t="s">
        <v>671</v>
      </c>
      <c r="M523" s="10"/>
      <c r="N523" s="197"/>
      <c r="O523" s="198"/>
      <c r="P523" s="198"/>
    </row>
    <row r="524" spans="1:16">
      <c r="A524" s="10">
        <v>206</v>
      </c>
      <c r="B524" s="193" t="s">
        <v>609</v>
      </c>
      <c r="C524" s="446" t="s">
        <v>225</v>
      </c>
      <c r="D524" s="10"/>
      <c r="E524" s="202">
        <v>45802</v>
      </c>
      <c r="F524" s="23">
        <v>42.374236000000003</v>
      </c>
      <c r="G524" s="568" t="s">
        <v>196</v>
      </c>
      <c r="H524" s="568"/>
      <c r="I524" s="568"/>
      <c r="J524" s="568"/>
      <c r="K524" s="202">
        <v>45808</v>
      </c>
      <c r="L524" s="203" t="s">
        <v>666</v>
      </c>
      <c r="M524" s="10"/>
      <c r="N524" s="197"/>
      <c r="O524" s="198"/>
      <c r="P524" s="198"/>
    </row>
    <row r="525" spans="1:16">
      <c r="A525" s="10">
        <v>207</v>
      </c>
      <c r="B525" s="193" t="s">
        <v>610</v>
      </c>
      <c r="C525" s="446" t="s">
        <v>224</v>
      </c>
      <c r="D525" s="10"/>
      <c r="E525" s="202">
        <v>45805</v>
      </c>
      <c r="F525" s="23">
        <v>46.049156000000004</v>
      </c>
      <c r="G525" s="568" t="s">
        <v>196</v>
      </c>
      <c r="H525" s="568"/>
      <c r="I525" s="568"/>
      <c r="J525" s="568"/>
      <c r="K525" s="202">
        <v>45810</v>
      </c>
      <c r="L525" s="203" t="s">
        <v>670</v>
      </c>
      <c r="M525" s="10"/>
      <c r="N525" s="197"/>
      <c r="O525" s="198"/>
      <c r="P525" s="198"/>
    </row>
    <row r="526" spans="1:16">
      <c r="A526" s="10">
        <v>208</v>
      </c>
      <c r="B526" s="193" t="s">
        <v>611</v>
      </c>
      <c r="C526" s="446" t="s">
        <v>227</v>
      </c>
      <c r="D526" s="10"/>
      <c r="E526" s="202">
        <v>45805</v>
      </c>
      <c r="F526" s="23">
        <v>55.338726999999999</v>
      </c>
      <c r="G526" s="568" t="s">
        <v>196</v>
      </c>
      <c r="H526" s="568"/>
      <c r="I526" s="568"/>
      <c r="J526" s="568"/>
      <c r="K526" s="202">
        <v>45811</v>
      </c>
      <c r="L526" s="203" t="s">
        <v>665</v>
      </c>
      <c r="M526" s="10"/>
      <c r="N526" s="197"/>
      <c r="O526" s="198"/>
      <c r="P526" s="198"/>
    </row>
    <row r="527" spans="1:16">
      <c r="A527" s="10">
        <v>209</v>
      </c>
      <c r="B527" s="193" t="s">
        <v>612</v>
      </c>
      <c r="C527" s="446" t="s">
        <v>225</v>
      </c>
      <c r="D527" s="10"/>
      <c r="E527" s="202">
        <v>45802</v>
      </c>
      <c r="F527" s="23">
        <v>42.374236000000003</v>
      </c>
      <c r="G527" s="568" t="s">
        <v>196</v>
      </c>
      <c r="H527" s="568"/>
      <c r="I527" s="568"/>
      <c r="J527" s="568"/>
      <c r="K527" s="202">
        <v>45812</v>
      </c>
      <c r="L527" s="203" t="s">
        <v>419</v>
      </c>
      <c r="M527" s="10"/>
      <c r="N527" s="197"/>
      <c r="O527" s="198"/>
      <c r="P527" s="198"/>
    </row>
    <row r="528" spans="1:16">
      <c r="A528" s="10">
        <v>210</v>
      </c>
      <c r="B528" s="193" t="s">
        <v>613</v>
      </c>
      <c r="C528" s="446" t="s">
        <v>225</v>
      </c>
      <c r="D528" s="10"/>
      <c r="E528" s="202">
        <v>45807</v>
      </c>
      <c r="F528" s="23">
        <v>42.374236000000003</v>
      </c>
      <c r="G528" s="568" t="s">
        <v>196</v>
      </c>
      <c r="H528" s="568"/>
      <c r="I528" s="568"/>
      <c r="J528" s="568"/>
      <c r="K528" s="202">
        <v>45812</v>
      </c>
      <c r="L528" s="203" t="s">
        <v>662</v>
      </c>
      <c r="M528" s="10"/>
      <c r="N528" s="197"/>
      <c r="O528" s="198"/>
      <c r="P528" s="198"/>
    </row>
    <row r="529" spans="1:16">
      <c r="A529" s="10">
        <v>211</v>
      </c>
      <c r="B529" s="193" t="s">
        <v>614</v>
      </c>
      <c r="C529" s="446" t="s">
        <v>380</v>
      </c>
      <c r="D529" s="10"/>
      <c r="E529" s="202">
        <v>45804</v>
      </c>
      <c r="F529" s="23">
        <v>97.228551999999993</v>
      </c>
      <c r="G529" s="568" t="s">
        <v>196</v>
      </c>
      <c r="H529" s="568"/>
      <c r="I529" s="568"/>
      <c r="J529" s="568"/>
      <c r="K529" s="202">
        <v>45815</v>
      </c>
      <c r="L529" s="203" t="s">
        <v>674</v>
      </c>
      <c r="M529" s="10"/>
      <c r="N529" s="197"/>
      <c r="O529" s="198"/>
      <c r="P529" s="198"/>
    </row>
    <row r="530" spans="1:16">
      <c r="A530" s="10">
        <v>212</v>
      </c>
      <c r="B530" s="193" t="s">
        <v>615</v>
      </c>
      <c r="C530" s="446" t="s">
        <v>195</v>
      </c>
      <c r="D530" s="10"/>
      <c r="E530" s="202">
        <v>45812</v>
      </c>
      <c r="F530" s="23">
        <v>43.775756000000008</v>
      </c>
      <c r="G530" s="568" t="s">
        <v>196</v>
      </c>
      <c r="H530" s="568"/>
      <c r="I530" s="568"/>
      <c r="J530" s="568"/>
      <c r="K530" s="202">
        <v>45817</v>
      </c>
      <c r="L530" s="203" t="s">
        <v>665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68" t="s">
        <v>196</v>
      </c>
      <c r="H531" s="568"/>
      <c r="I531" s="568"/>
      <c r="J531" s="568"/>
      <c r="K531" s="202">
        <v>45818</v>
      </c>
      <c r="L531" s="203" t="s">
        <v>666</v>
      </c>
      <c r="M531" s="10"/>
      <c r="N531" s="197"/>
      <c r="O531" s="198"/>
      <c r="P531" s="198"/>
    </row>
    <row r="532" spans="1:16">
      <c r="A532" s="10">
        <v>214</v>
      </c>
      <c r="B532" s="193" t="s">
        <v>616</v>
      </c>
      <c r="C532" s="446" t="s">
        <v>225</v>
      </c>
      <c r="D532" s="10"/>
      <c r="E532" s="202">
        <v>45812</v>
      </c>
      <c r="F532" s="23">
        <v>42.374236000000003</v>
      </c>
      <c r="G532" s="568" t="s">
        <v>196</v>
      </c>
      <c r="H532" s="568"/>
      <c r="I532" s="568"/>
      <c r="J532" s="568"/>
      <c r="K532" s="202">
        <v>45819</v>
      </c>
      <c r="L532" s="203" t="s">
        <v>419</v>
      </c>
      <c r="M532" s="10"/>
      <c r="N532" s="197"/>
      <c r="O532" s="198"/>
      <c r="P532" s="198"/>
    </row>
    <row r="533" spans="1:16">
      <c r="A533" s="10">
        <v>215</v>
      </c>
      <c r="B533" s="193" t="s">
        <v>617</v>
      </c>
      <c r="C533" s="446" t="s">
        <v>195</v>
      </c>
      <c r="D533" s="10"/>
      <c r="E533" s="202">
        <v>45816</v>
      </c>
      <c r="F533" s="23">
        <v>43.775756000000008</v>
      </c>
      <c r="G533" s="568" t="s">
        <v>196</v>
      </c>
      <c r="H533" s="568"/>
      <c r="I533" s="568"/>
      <c r="J533" s="568"/>
      <c r="K533" s="202">
        <v>45821</v>
      </c>
      <c r="L533" s="203" t="s">
        <v>674</v>
      </c>
      <c r="M533" s="10"/>
      <c r="N533" s="197"/>
      <c r="O533" s="198"/>
      <c r="P533" s="198"/>
    </row>
    <row r="534" spans="1:16">
      <c r="A534" s="10">
        <v>216</v>
      </c>
      <c r="B534" s="193" t="s">
        <v>618</v>
      </c>
      <c r="C534" s="446" t="s">
        <v>225</v>
      </c>
      <c r="D534" s="10"/>
      <c r="E534" s="202">
        <v>45810</v>
      </c>
      <c r="F534" s="23">
        <v>42.374236000000003</v>
      </c>
      <c r="G534" s="568" t="s">
        <v>196</v>
      </c>
      <c r="H534" s="568"/>
      <c r="I534" s="568"/>
      <c r="J534" s="568"/>
      <c r="K534" s="202">
        <v>45822</v>
      </c>
      <c r="L534" s="203" t="s">
        <v>677</v>
      </c>
      <c r="M534" s="10"/>
      <c r="N534" s="197"/>
      <c r="O534" s="198"/>
      <c r="P534" s="198"/>
    </row>
    <row r="535" spans="1:16">
      <c r="A535" s="10">
        <v>217</v>
      </c>
      <c r="B535" s="193" t="s">
        <v>619</v>
      </c>
      <c r="C535" s="446" t="s">
        <v>195</v>
      </c>
      <c r="D535" s="10"/>
      <c r="E535" s="202">
        <v>45820</v>
      </c>
      <c r="F535" s="23">
        <v>43.775756000000008</v>
      </c>
      <c r="G535" s="568" t="s">
        <v>196</v>
      </c>
      <c r="H535" s="568"/>
      <c r="I535" s="568"/>
      <c r="J535" s="568"/>
      <c r="K535" s="202">
        <v>45826</v>
      </c>
      <c r="L535" s="203" t="s">
        <v>666</v>
      </c>
      <c r="M535" s="10"/>
      <c r="N535" s="197"/>
      <c r="O535" s="198"/>
      <c r="P535" s="198"/>
    </row>
    <row r="536" spans="1:16">
      <c r="A536" s="10">
        <v>218</v>
      </c>
      <c r="B536" s="193" t="s">
        <v>620</v>
      </c>
      <c r="C536" s="446" t="s">
        <v>224</v>
      </c>
      <c r="D536" s="10"/>
      <c r="E536" s="202">
        <v>45818</v>
      </c>
      <c r="F536" s="23">
        <v>46.049156000000004</v>
      </c>
      <c r="G536" s="568" t="s">
        <v>196</v>
      </c>
      <c r="H536" s="568"/>
      <c r="I536" s="568"/>
      <c r="J536" s="568"/>
      <c r="K536" s="202">
        <v>45826</v>
      </c>
      <c r="L536" s="203" t="s">
        <v>676</v>
      </c>
      <c r="M536" s="10"/>
      <c r="N536" s="197"/>
      <c r="O536" s="198"/>
      <c r="P536" s="198"/>
    </row>
    <row r="537" spans="1:16">
      <c r="A537" s="10">
        <v>219</v>
      </c>
      <c r="B537" s="193" t="s">
        <v>621</v>
      </c>
      <c r="C537" s="446" t="s">
        <v>622</v>
      </c>
      <c r="D537" s="10"/>
      <c r="E537" s="202">
        <v>45820</v>
      </c>
      <c r="F537" s="23">
        <v>67.112016999999994</v>
      </c>
      <c r="G537" s="568" t="s">
        <v>196</v>
      </c>
      <c r="H537" s="568"/>
      <c r="I537" s="568"/>
      <c r="J537" s="568"/>
      <c r="K537" s="202">
        <v>45828</v>
      </c>
      <c r="L537" s="203" t="s">
        <v>665</v>
      </c>
      <c r="M537" s="10"/>
      <c r="N537" s="197"/>
      <c r="O537" s="198"/>
      <c r="P537" s="198"/>
    </row>
    <row r="538" spans="1:16">
      <c r="A538" s="10">
        <v>220</v>
      </c>
      <c r="B538" s="193" t="s">
        <v>623</v>
      </c>
      <c r="C538" s="446" t="s">
        <v>624</v>
      </c>
      <c r="D538" s="10"/>
      <c r="E538" s="202">
        <v>45802</v>
      </c>
      <c r="F538" s="23">
        <v>143.46209800000003</v>
      </c>
      <c r="G538" s="568" t="s">
        <v>196</v>
      </c>
      <c r="H538" s="568"/>
      <c r="I538" s="568"/>
      <c r="J538" s="568"/>
      <c r="K538" s="202">
        <v>45829</v>
      </c>
      <c r="L538" s="203" t="s">
        <v>667</v>
      </c>
      <c r="M538" s="10"/>
      <c r="N538" s="197"/>
      <c r="O538" s="198"/>
      <c r="P538" s="198"/>
    </row>
    <row r="539" spans="1:16">
      <c r="A539" s="10">
        <v>221</v>
      </c>
      <c r="B539" s="193" t="s">
        <v>625</v>
      </c>
      <c r="C539" s="446" t="s">
        <v>511</v>
      </c>
      <c r="D539" s="10"/>
      <c r="E539" s="202">
        <v>45820</v>
      </c>
      <c r="F539" s="23">
        <v>73.425832</v>
      </c>
      <c r="G539" s="568" t="s">
        <v>196</v>
      </c>
      <c r="H539" s="568"/>
      <c r="I539" s="568"/>
      <c r="J539" s="568"/>
      <c r="K539" s="202">
        <v>45831</v>
      </c>
      <c r="L539" s="203" t="s">
        <v>419</v>
      </c>
      <c r="M539" s="10"/>
      <c r="N539" s="197"/>
      <c r="O539" s="198"/>
      <c r="P539" s="198"/>
    </row>
    <row r="540" spans="1:16">
      <c r="A540" s="10">
        <v>222</v>
      </c>
      <c r="B540" s="193" t="s">
        <v>626</v>
      </c>
      <c r="C540" s="446" t="s">
        <v>224</v>
      </c>
      <c r="D540" s="10"/>
      <c r="E540" s="202">
        <v>45829</v>
      </c>
      <c r="F540" s="23">
        <v>46.049156000000004</v>
      </c>
      <c r="G540" s="568" t="s">
        <v>196</v>
      </c>
      <c r="H540" s="568"/>
      <c r="I540" s="568"/>
      <c r="J540" s="568"/>
      <c r="K540" s="202">
        <v>45834</v>
      </c>
      <c r="L540" s="203" t="s">
        <v>665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68" t="s">
        <v>196</v>
      </c>
      <c r="H541" s="568"/>
      <c r="I541" s="568"/>
      <c r="J541" s="568"/>
      <c r="K541" s="202">
        <v>45835</v>
      </c>
      <c r="L541" s="203" t="s">
        <v>669</v>
      </c>
      <c r="M541" s="10"/>
      <c r="N541" s="197"/>
      <c r="O541" s="198"/>
      <c r="P541" s="198"/>
    </row>
    <row r="542" spans="1:16">
      <c r="A542" s="10">
        <v>224</v>
      </c>
      <c r="B542" s="193" t="s">
        <v>627</v>
      </c>
      <c r="C542" s="446" t="s">
        <v>224</v>
      </c>
      <c r="D542" s="10"/>
      <c r="E542" s="202">
        <v>45828</v>
      </c>
      <c r="F542" s="23">
        <v>46.049156000000004</v>
      </c>
      <c r="G542" s="568" t="s">
        <v>196</v>
      </c>
      <c r="H542" s="568"/>
      <c r="I542" s="568"/>
      <c r="J542" s="568"/>
      <c r="K542" s="202">
        <v>45837</v>
      </c>
      <c r="L542" s="203" t="s">
        <v>676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628</v>
      </c>
      <c r="D543" s="10"/>
      <c r="E543" s="202">
        <v>45823</v>
      </c>
      <c r="F543" s="23">
        <v>104.866553</v>
      </c>
      <c r="G543" s="568" t="s">
        <v>196</v>
      </c>
      <c r="H543" s="568"/>
      <c r="I543" s="568"/>
      <c r="J543" s="568"/>
      <c r="K543" s="202">
        <v>45837</v>
      </c>
      <c r="L543" s="203" t="s">
        <v>674</v>
      </c>
      <c r="M543" s="10"/>
      <c r="N543" s="197"/>
      <c r="O543" s="198"/>
      <c r="P543" s="198"/>
    </row>
    <row r="544" spans="1:16">
      <c r="A544" s="10">
        <v>226</v>
      </c>
      <c r="B544" s="193" t="s">
        <v>629</v>
      </c>
      <c r="C544" s="446" t="s">
        <v>225</v>
      </c>
      <c r="D544" s="10"/>
      <c r="E544" s="202">
        <v>45832</v>
      </c>
      <c r="F544" s="23">
        <v>42.374236000000003</v>
      </c>
      <c r="G544" s="568" t="s">
        <v>196</v>
      </c>
      <c r="H544" s="568"/>
      <c r="I544" s="568"/>
      <c r="J544" s="568"/>
      <c r="K544" s="202">
        <v>45838</v>
      </c>
      <c r="L544" s="203" t="s">
        <v>419</v>
      </c>
      <c r="M544" s="10"/>
      <c r="N544" s="197"/>
      <c r="O544" s="198"/>
      <c r="P544" s="198"/>
    </row>
    <row r="545" spans="1:16">
      <c r="A545" s="10">
        <v>227</v>
      </c>
      <c r="B545" s="193" t="s">
        <v>630</v>
      </c>
      <c r="C545" s="446" t="s">
        <v>225</v>
      </c>
      <c r="D545" s="10"/>
      <c r="E545" s="202">
        <v>45835</v>
      </c>
      <c r="F545" s="23">
        <v>42.374236000000003</v>
      </c>
      <c r="G545" s="568" t="s">
        <v>196</v>
      </c>
      <c r="H545" s="568"/>
      <c r="I545" s="568"/>
      <c r="J545" s="568"/>
      <c r="K545" s="202">
        <v>45838</v>
      </c>
      <c r="L545" s="203" t="s">
        <v>665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631</v>
      </c>
      <c r="D546" s="10"/>
      <c r="E546" s="202">
        <v>45812</v>
      </c>
      <c r="F546" s="23">
        <v>161.35518400000001</v>
      </c>
      <c r="G546" s="568" t="s">
        <v>196</v>
      </c>
      <c r="H546" s="568"/>
      <c r="I546" s="568"/>
      <c r="J546" s="568"/>
      <c r="K546" s="202">
        <v>45838</v>
      </c>
      <c r="L546" s="203" t="s">
        <v>670</v>
      </c>
      <c r="M546" s="10"/>
      <c r="N546" s="197"/>
      <c r="O546" s="198"/>
      <c r="P546" s="198"/>
    </row>
    <row r="547" spans="1:16">
      <c r="A547" s="10">
        <v>229</v>
      </c>
      <c r="B547" s="193" t="s">
        <v>632</v>
      </c>
      <c r="C547" s="446" t="s">
        <v>633</v>
      </c>
      <c r="D547" s="10"/>
      <c r="E547" s="202">
        <v>45809</v>
      </c>
      <c r="F547" s="23">
        <v>188.37786399999996</v>
      </c>
      <c r="G547" s="568" t="s">
        <v>196</v>
      </c>
      <c r="H547" s="568"/>
      <c r="I547" s="568"/>
      <c r="J547" s="568"/>
      <c r="K547" s="202">
        <v>45838</v>
      </c>
      <c r="L547" s="203" t="s">
        <v>671</v>
      </c>
      <c r="M547" s="10"/>
      <c r="N547" s="197"/>
      <c r="O547" s="198"/>
      <c r="P547" s="198"/>
    </row>
    <row r="548" spans="1:16">
      <c r="A548" s="10">
        <v>230</v>
      </c>
      <c r="B548" s="193" t="s">
        <v>634</v>
      </c>
      <c r="C548" s="446" t="s">
        <v>224</v>
      </c>
      <c r="D548" s="10"/>
      <c r="E548" s="202">
        <v>45832</v>
      </c>
      <c r="F548" s="23">
        <v>46.049156000000004</v>
      </c>
      <c r="G548" s="568" t="s">
        <v>196</v>
      </c>
      <c r="H548" s="568"/>
      <c r="I548" s="568"/>
      <c r="J548" s="568"/>
      <c r="K548" s="202">
        <v>45843</v>
      </c>
      <c r="L548" s="203" t="s">
        <v>667</v>
      </c>
      <c r="M548" s="10"/>
      <c r="N548" s="197"/>
      <c r="O548" s="198"/>
      <c r="P548" s="198"/>
    </row>
    <row r="549" spans="1:16">
      <c r="A549" s="10">
        <v>231</v>
      </c>
      <c r="B549" s="193" t="s">
        <v>635</v>
      </c>
      <c r="C549" s="446" t="s">
        <v>224</v>
      </c>
      <c r="D549" s="10"/>
      <c r="E549" s="202">
        <v>45839</v>
      </c>
      <c r="F549" s="23">
        <v>46.049156000000004</v>
      </c>
      <c r="G549" s="568" t="s">
        <v>196</v>
      </c>
      <c r="H549" s="568"/>
      <c r="I549" s="568"/>
      <c r="J549" s="568"/>
      <c r="K549" s="202">
        <v>45845</v>
      </c>
      <c r="L549" s="203" t="s">
        <v>665</v>
      </c>
      <c r="M549" s="10"/>
      <c r="N549" s="197"/>
      <c r="O549" s="198"/>
      <c r="P549" s="198"/>
    </row>
    <row r="550" spans="1:16">
      <c r="A550" s="10">
        <v>232</v>
      </c>
      <c r="B550" s="193" t="s">
        <v>636</v>
      </c>
      <c r="C550" s="446" t="s">
        <v>227</v>
      </c>
      <c r="D550" s="10"/>
      <c r="E550" s="202">
        <v>45839</v>
      </c>
      <c r="F550" s="23">
        <v>55.338726999999999</v>
      </c>
      <c r="G550" s="568" t="s">
        <v>196</v>
      </c>
      <c r="H550" s="568"/>
      <c r="I550" s="568"/>
      <c r="J550" s="568"/>
      <c r="K550" s="202">
        <v>45850</v>
      </c>
      <c r="L550" s="203" t="s">
        <v>419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637</v>
      </c>
      <c r="D551" s="10"/>
      <c r="E551" s="202">
        <v>45843</v>
      </c>
      <c r="F551" s="23">
        <v>101.69198999999999</v>
      </c>
      <c r="G551" s="568" t="s">
        <v>196</v>
      </c>
      <c r="H551" s="568"/>
      <c r="I551" s="568"/>
      <c r="J551" s="568"/>
      <c r="K551" s="202">
        <v>45856</v>
      </c>
      <c r="L551" s="205" t="s">
        <v>670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558</v>
      </c>
      <c r="D552" s="10"/>
      <c r="E552" s="202">
        <v>45836</v>
      </c>
      <c r="F552" s="23">
        <v>86.256192999999996</v>
      </c>
      <c r="G552" s="568" t="s">
        <v>196</v>
      </c>
      <c r="H552" s="568"/>
      <c r="I552" s="568"/>
      <c r="J552" s="568"/>
      <c r="K552" s="202">
        <v>45860</v>
      </c>
      <c r="L552" s="205" t="s">
        <v>678</v>
      </c>
      <c r="M552" s="10"/>
      <c r="N552" s="197"/>
      <c r="O552" s="198"/>
      <c r="P552" s="198"/>
    </row>
    <row r="553" spans="1:16">
      <c r="A553" s="10">
        <v>235</v>
      </c>
      <c r="B553" s="193" t="s">
        <v>638</v>
      </c>
      <c r="C553" s="446" t="s">
        <v>380</v>
      </c>
      <c r="D553" s="10"/>
      <c r="E553" s="202">
        <v>45846</v>
      </c>
      <c r="F553" s="23">
        <v>97.228551999999993</v>
      </c>
      <c r="G553" s="568" t="s">
        <v>196</v>
      </c>
      <c r="H553" s="568"/>
      <c r="I553" s="568"/>
      <c r="J553" s="568"/>
      <c r="K553" s="202">
        <v>45869</v>
      </c>
      <c r="L553" s="203" t="s">
        <v>419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624</v>
      </c>
      <c r="D554" s="10"/>
      <c r="E554" s="202">
        <v>45858</v>
      </c>
      <c r="F554" s="23">
        <v>143.46209800000003</v>
      </c>
      <c r="G554" s="568" t="s">
        <v>196</v>
      </c>
      <c r="H554" s="568"/>
      <c r="I554" s="568"/>
      <c r="J554" s="568"/>
      <c r="K554" s="202">
        <v>45877</v>
      </c>
      <c r="L554" s="205" t="s">
        <v>670</v>
      </c>
      <c r="M554" s="10"/>
      <c r="N554" s="197"/>
      <c r="O554" s="198"/>
      <c r="P554" s="198"/>
    </row>
    <row r="555" spans="1:16">
      <c r="A555" s="10">
        <v>237</v>
      </c>
      <c r="B555" s="193" t="s">
        <v>639</v>
      </c>
      <c r="C555" s="446" t="s">
        <v>633</v>
      </c>
      <c r="D555" s="10"/>
      <c r="E555" s="202">
        <v>45847</v>
      </c>
      <c r="F555" s="23">
        <v>188.37786399999996</v>
      </c>
      <c r="G555" s="568" t="s">
        <v>196</v>
      </c>
      <c r="H555" s="568"/>
      <c r="I555" s="568"/>
      <c r="J555" s="568"/>
      <c r="K555" s="202">
        <v>45880</v>
      </c>
      <c r="L555" s="203" t="s">
        <v>671</v>
      </c>
      <c r="M555" s="10"/>
      <c r="N555" s="197"/>
      <c r="O555" s="198"/>
      <c r="P555" s="198"/>
    </row>
    <row r="556" spans="1:16">
      <c r="A556" s="10">
        <v>238</v>
      </c>
      <c r="B556" s="193" t="s">
        <v>640</v>
      </c>
      <c r="C556" s="446" t="s">
        <v>224</v>
      </c>
      <c r="D556" s="10"/>
      <c r="E556" s="202">
        <v>45865</v>
      </c>
      <c r="F556" s="23">
        <v>46.049156000000004</v>
      </c>
      <c r="G556" s="568" t="s">
        <v>196</v>
      </c>
      <c r="H556" s="568"/>
      <c r="I556" s="568"/>
      <c r="J556" s="568"/>
      <c r="K556" s="202">
        <v>45886</v>
      </c>
      <c r="L556" s="203" t="s">
        <v>679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68" t="s">
        <v>196</v>
      </c>
      <c r="H557" s="568"/>
      <c r="I557" s="568"/>
      <c r="J557" s="568"/>
      <c r="K557" s="202">
        <v>45895</v>
      </c>
      <c r="L557" s="203" t="s">
        <v>680</v>
      </c>
      <c r="M557" s="10"/>
      <c r="N557" s="197"/>
      <c r="O557" s="198"/>
      <c r="P557" s="198"/>
    </row>
    <row r="558" spans="1:16">
      <c r="A558" s="10">
        <v>240</v>
      </c>
      <c r="B558" s="193" t="s">
        <v>641</v>
      </c>
      <c r="C558" s="446" t="s">
        <v>631</v>
      </c>
      <c r="D558" s="10"/>
      <c r="E558" s="202">
        <v>45864</v>
      </c>
      <c r="F558" s="23">
        <v>161.35518400000001</v>
      </c>
      <c r="G558" s="568" t="s">
        <v>196</v>
      </c>
      <c r="H558" s="568"/>
      <c r="I558" s="568"/>
      <c r="J558" s="568"/>
      <c r="K558" s="202">
        <v>45896</v>
      </c>
      <c r="L558" s="203" t="s">
        <v>681</v>
      </c>
      <c r="M558" s="10"/>
      <c r="N558" s="197"/>
      <c r="O558" s="198"/>
      <c r="P558" s="198"/>
    </row>
    <row r="559" spans="1:16">
      <c r="A559" s="10">
        <v>241</v>
      </c>
      <c r="B559" s="193" t="s">
        <v>642</v>
      </c>
      <c r="C559" s="446" t="s">
        <v>380</v>
      </c>
      <c r="D559" s="10"/>
      <c r="E559" s="202">
        <v>45871</v>
      </c>
      <c r="F559" s="23">
        <v>97.228551999999993</v>
      </c>
      <c r="G559" s="568" t="s">
        <v>196</v>
      </c>
      <c r="H559" s="568"/>
      <c r="I559" s="568"/>
      <c r="J559" s="568"/>
      <c r="K559" s="202">
        <v>45899</v>
      </c>
      <c r="L559" s="203" t="s">
        <v>682</v>
      </c>
      <c r="M559" s="10"/>
      <c r="N559" s="197"/>
      <c r="O559" s="198"/>
      <c r="P559" s="198"/>
    </row>
    <row r="560" spans="1:16">
      <c r="A560" s="10">
        <v>242</v>
      </c>
      <c r="B560" s="193" t="s">
        <v>643</v>
      </c>
      <c r="C560" s="446" t="s">
        <v>549</v>
      </c>
      <c r="D560" s="10"/>
      <c r="E560" s="202">
        <v>45873</v>
      </c>
      <c r="F560" s="23">
        <v>75.858397999999994</v>
      </c>
      <c r="G560" s="568" t="s">
        <v>196</v>
      </c>
      <c r="H560" s="568"/>
      <c r="I560" s="568"/>
      <c r="J560" s="568"/>
      <c r="K560" s="202">
        <v>45899</v>
      </c>
      <c r="L560" s="203" t="s">
        <v>683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602</v>
      </c>
      <c r="D561" s="10"/>
      <c r="E561" s="202">
        <v>45878</v>
      </c>
      <c r="F561" s="23">
        <v>78.073216000000002</v>
      </c>
      <c r="G561" s="568" t="s">
        <v>196</v>
      </c>
      <c r="H561" s="568"/>
      <c r="I561" s="568"/>
      <c r="J561" s="568"/>
      <c r="K561" s="202">
        <v>45899</v>
      </c>
      <c r="L561" s="206" t="s">
        <v>684</v>
      </c>
      <c r="M561" s="10"/>
      <c r="N561" s="197"/>
      <c r="O561" s="198"/>
      <c r="P561" s="198"/>
    </row>
    <row r="562" spans="1:16">
      <c r="A562" s="10">
        <v>244</v>
      </c>
      <c r="B562" s="193" t="s">
        <v>644</v>
      </c>
      <c r="C562" s="446" t="s">
        <v>645</v>
      </c>
      <c r="D562" s="10"/>
      <c r="E562" s="202">
        <v>45881</v>
      </c>
      <c r="F562" s="23">
        <v>97.653418000000016</v>
      </c>
      <c r="G562" s="568" t="s">
        <v>196</v>
      </c>
      <c r="H562" s="568"/>
      <c r="I562" s="568"/>
      <c r="J562" s="568"/>
      <c r="K562" s="202">
        <v>45902</v>
      </c>
      <c r="L562" s="203" t="s">
        <v>671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68" t="s">
        <v>196</v>
      </c>
      <c r="H563" s="568"/>
      <c r="I563" s="568"/>
      <c r="J563" s="568"/>
      <c r="K563" s="202">
        <v>45904</v>
      </c>
      <c r="L563" s="203" t="s">
        <v>679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646</v>
      </c>
      <c r="D564" s="10"/>
      <c r="E564" s="202">
        <v>45879</v>
      </c>
      <c r="F564" s="23">
        <v>118.43025200000001</v>
      </c>
      <c r="G564" s="568" t="s">
        <v>196</v>
      </c>
      <c r="H564" s="568"/>
      <c r="I564" s="568"/>
      <c r="J564" s="568"/>
      <c r="K564" s="202">
        <v>45906</v>
      </c>
      <c r="L564" s="205" t="s">
        <v>670</v>
      </c>
      <c r="M564" s="10"/>
      <c r="N564" s="197"/>
      <c r="O564" s="198"/>
      <c r="P564" s="198"/>
    </row>
    <row r="565" spans="1:16">
      <c r="A565" s="10">
        <v>247</v>
      </c>
      <c r="B565" s="193" t="s">
        <v>647</v>
      </c>
      <c r="C565" s="446" t="s">
        <v>648</v>
      </c>
      <c r="D565" s="10"/>
      <c r="E565" s="202">
        <v>45885</v>
      </c>
      <c r="F565" s="23">
        <v>110.625505</v>
      </c>
      <c r="G565" s="568" t="s">
        <v>196</v>
      </c>
      <c r="H565" s="568"/>
      <c r="I565" s="568"/>
      <c r="J565" s="568"/>
      <c r="K565" s="202">
        <v>45914</v>
      </c>
      <c r="L565" s="203" t="s">
        <v>425</v>
      </c>
      <c r="M565" s="10"/>
      <c r="N565" s="197"/>
      <c r="O565" s="198"/>
      <c r="P565" s="198"/>
    </row>
    <row r="566" spans="1:16">
      <c r="A566" s="10">
        <v>248</v>
      </c>
      <c r="B566" s="193" t="s">
        <v>649</v>
      </c>
      <c r="C566" s="446" t="s">
        <v>645</v>
      </c>
      <c r="D566" s="10"/>
      <c r="E566" s="202">
        <v>45893</v>
      </c>
      <c r="F566" s="23">
        <v>97.653418000000016</v>
      </c>
      <c r="G566" s="568" t="s">
        <v>196</v>
      </c>
      <c r="H566" s="568"/>
      <c r="I566" s="568"/>
      <c r="J566" s="568"/>
      <c r="K566" s="202">
        <v>45914</v>
      </c>
      <c r="L566" s="203" t="s">
        <v>685</v>
      </c>
      <c r="M566" s="10"/>
      <c r="N566" s="197"/>
      <c r="O566" s="198"/>
      <c r="P566" s="198"/>
    </row>
    <row r="567" spans="1:16">
      <c r="A567" s="10">
        <v>249</v>
      </c>
      <c r="B567" s="193" t="s">
        <v>650</v>
      </c>
      <c r="C567" s="446" t="s">
        <v>651</v>
      </c>
      <c r="D567" s="10"/>
      <c r="E567" s="202">
        <v>45903</v>
      </c>
      <c r="F567" s="23">
        <v>89.717756999999978</v>
      </c>
      <c r="G567" s="568" t="s">
        <v>196</v>
      </c>
      <c r="H567" s="568"/>
      <c r="I567" s="568"/>
      <c r="J567" s="568"/>
      <c r="K567" s="202">
        <v>45921</v>
      </c>
      <c r="L567" s="206" t="s">
        <v>684</v>
      </c>
      <c r="M567" s="10"/>
      <c r="N567" s="197"/>
      <c r="O567" s="198"/>
      <c r="P567" s="198"/>
    </row>
    <row r="568" spans="1:16">
      <c r="A568" s="10">
        <v>250</v>
      </c>
      <c r="B568" s="193" t="s">
        <v>652</v>
      </c>
      <c r="C568" s="446" t="s">
        <v>511</v>
      </c>
      <c r="D568" s="10"/>
      <c r="E568" s="202">
        <v>45900</v>
      </c>
      <c r="F568" s="23">
        <v>73.425832</v>
      </c>
      <c r="G568" s="568" t="s">
        <v>196</v>
      </c>
      <c r="H568" s="568"/>
      <c r="I568" s="568"/>
      <c r="J568" s="568"/>
      <c r="K568" s="202">
        <v>45922</v>
      </c>
      <c r="L568" s="203" t="s">
        <v>682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653</v>
      </c>
      <c r="D569" s="10"/>
      <c r="E569" s="202">
        <v>45905</v>
      </c>
      <c r="F569" s="23">
        <v>90.125158999999982</v>
      </c>
      <c r="G569" s="568" t="s">
        <v>196</v>
      </c>
      <c r="H569" s="568"/>
      <c r="I569" s="568"/>
      <c r="J569" s="568"/>
      <c r="K569" s="202">
        <v>45922</v>
      </c>
      <c r="L569" s="203" t="s">
        <v>679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653</v>
      </c>
      <c r="D570" s="10"/>
      <c r="E570" s="202">
        <v>45907</v>
      </c>
      <c r="F570" s="23">
        <v>90.125158999999982</v>
      </c>
      <c r="G570" s="568" t="s">
        <v>196</v>
      </c>
      <c r="H570" s="568"/>
      <c r="I570" s="568"/>
      <c r="J570" s="568"/>
      <c r="K570" s="202">
        <v>45922</v>
      </c>
      <c r="L570" s="205" t="s">
        <v>670</v>
      </c>
      <c r="M570" s="10"/>
      <c r="N570" s="197"/>
      <c r="O570" s="198"/>
      <c r="P570" s="198"/>
    </row>
    <row r="571" spans="1:16">
      <c r="A571" s="10">
        <v>253</v>
      </c>
      <c r="B571" s="193" t="s">
        <v>654</v>
      </c>
      <c r="C571" s="446" t="s">
        <v>631</v>
      </c>
      <c r="D571" s="10"/>
      <c r="E571" s="202">
        <v>45875</v>
      </c>
      <c r="F571" s="23">
        <v>161.35518400000001</v>
      </c>
      <c r="G571" s="568" t="s">
        <v>196</v>
      </c>
      <c r="H571" s="568"/>
      <c r="I571" s="568"/>
      <c r="J571" s="568"/>
      <c r="K571" s="202">
        <v>45922</v>
      </c>
      <c r="L571" s="203" t="s">
        <v>419</v>
      </c>
      <c r="M571" s="10"/>
      <c r="N571" s="197"/>
      <c r="O571" s="198"/>
      <c r="P571" s="198"/>
    </row>
    <row r="572" spans="1:16">
      <c r="A572" s="10">
        <v>254</v>
      </c>
      <c r="B572" s="193" t="s">
        <v>655</v>
      </c>
      <c r="C572" s="446" t="s">
        <v>225</v>
      </c>
      <c r="D572" s="10"/>
      <c r="E572" s="202">
        <v>45887</v>
      </c>
      <c r="F572" s="23">
        <v>42.374236000000003</v>
      </c>
      <c r="G572" s="568" t="s">
        <v>196</v>
      </c>
      <c r="H572" s="568"/>
      <c r="I572" s="568"/>
      <c r="J572" s="568"/>
      <c r="K572" s="202">
        <v>45924</v>
      </c>
      <c r="L572" s="203" t="s">
        <v>686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68" t="s">
        <v>196</v>
      </c>
      <c r="H573" s="568"/>
      <c r="I573" s="568"/>
      <c r="J573" s="568"/>
      <c r="K573" s="202">
        <v>45923</v>
      </c>
      <c r="L573" s="203" t="s">
        <v>687</v>
      </c>
      <c r="M573" s="10"/>
      <c r="N573" s="197"/>
      <c r="O573" s="198"/>
      <c r="P573" s="198"/>
    </row>
    <row r="574" spans="1:16">
      <c r="A574" s="10">
        <v>256</v>
      </c>
      <c r="B574" s="193" t="s">
        <v>656</v>
      </c>
      <c r="C574" s="446" t="s">
        <v>225</v>
      </c>
      <c r="D574" s="10"/>
      <c r="E574" s="202">
        <v>45915</v>
      </c>
      <c r="F574" s="23">
        <v>42.374236000000003</v>
      </c>
      <c r="G574" s="568" t="s">
        <v>196</v>
      </c>
      <c r="H574" s="568"/>
      <c r="I574" s="568"/>
      <c r="J574" s="568"/>
      <c r="K574" s="202">
        <v>45924</v>
      </c>
      <c r="L574" s="203" t="s">
        <v>425</v>
      </c>
      <c r="M574" s="10"/>
      <c r="N574" s="197"/>
      <c r="O574" s="198"/>
      <c r="P574" s="198"/>
    </row>
    <row r="575" spans="1:16">
      <c r="A575" s="10">
        <v>257</v>
      </c>
      <c r="B575" s="193" t="s">
        <v>657</v>
      </c>
      <c r="C575" s="446" t="s">
        <v>550</v>
      </c>
      <c r="D575" s="10"/>
      <c r="E575" s="202">
        <v>45900</v>
      </c>
      <c r="F575" s="23">
        <v>87.011570000000006</v>
      </c>
      <c r="G575" s="568" t="s">
        <v>196</v>
      </c>
      <c r="H575" s="568"/>
      <c r="I575" s="568"/>
      <c r="J575" s="568"/>
      <c r="K575" s="202">
        <v>45924</v>
      </c>
      <c r="L575" s="203" t="s">
        <v>683</v>
      </c>
      <c r="M575" s="10"/>
      <c r="N575" s="197"/>
      <c r="O575" s="198"/>
      <c r="P575" s="198"/>
    </row>
    <row r="576" spans="1:16">
      <c r="A576" s="10">
        <v>258</v>
      </c>
      <c r="B576" s="193" t="s">
        <v>658</v>
      </c>
      <c r="C576" s="446" t="s">
        <v>363</v>
      </c>
      <c r="D576" s="10"/>
      <c r="E576" s="202">
        <v>45915</v>
      </c>
      <c r="F576" s="23">
        <v>78.677549999999997</v>
      </c>
      <c r="G576" s="568" t="s">
        <v>196</v>
      </c>
      <c r="H576" s="568"/>
      <c r="I576" s="568"/>
      <c r="J576" s="568"/>
      <c r="K576" s="202">
        <v>45925</v>
      </c>
      <c r="L576" s="203" t="s">
        <v>685</v>
      </c>
      <c r="M576" s="10"/>
      <c r="N576" s="197"/>
      <c r="O576" s="198"/>
      <c r="P576" s="198"/>
    </row>
    <row r="577" spans="1:16">
      <c r="A577" s="10">
        <v>259</v>
      </c>
      <c r="B577" s="193" t="s">
        <v>659</v>
      </c>
      <c r="C577" s="446" t="s">
        <v>549</v>
      </c>
      <c r="D577" s="10"/>
      <c r="E577" s="202">
        <v>45911</v>
      </c>
      <c r="F577" s="23">
        <v>75.858397999999994</v>
      </c>
      <c r="G577" s="568" t="s">
        <v>196</v>
      </c>
      <c r="H577" s="568"/>
      <c r="I577" s="568"/>
      <c r="J577" s="568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660</v>
      </c>
      <c r="C578" s="446" t="s">
        <v>631</v>
      </c>
      <c r="D578" s="10"/>
      <c r="E578" s="202">
        <v>45897</v>
      </c>
      <c r="F578" s="23">
        <v>161.35518400000001</v>
      </c>
      <c r="G578" s="568" t="s">
        <v>196</v>
      </c>
      <c r="H578" s="568"/>
      <c r="I578" s="568"/>
      <c r="J578" s="568"/>
      <c r="K578" s="202">
        <v>45929</v>
      </c>
      <c r="L578" s="203" t="s">
        <v>745</v>
      </c>
      <c r="M578" s="10"/>
      <c r="N578" s="197"/>
      <c r="O578" s="198"/>
      <c r="P578" s="198"/>
    </row>
    <row r="579" spans="1:16">
      <c r="A579" s="10">
        <v>261</v>
      </c>
      <c r="B579" s="272" t="s">
        <v>431</v>
      </c>
      <c r="C579" s="456" t="s">
        <v>225</v>
      </c>
      <c r="D579" s="10"/>
      <c r="E579" s="202">
        <v>45924</v>
      </c>
      <c r="F579" s="23">
        <v>42.374000000000002</v>
      </c>
      <c r="G579" s="568" t="s">
        <v>196</v>
      </c>
      <c r="H579" s="568"/>
      <c r="I579" s="568"/>
      <c r="J579" s="568"/>
      <c r="K579" s="202">
        <v>45937</v>
      </c>
      <c r="L579" s="203" t="s">
        <v>745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622</v>
      </c>
      <c r="D580" s="10"/>
      <c r="E580" s="202">
        <v>45925</v>
      </c>
      <c r="F580" s="23">
        <v>67.111999999999995</v>
      </c>
      <c r="G580" s="568" t="s">
        <v>196</v>
      </c>
      <c r="H580" s="568"/>
      <c r="I580" s="568"/>
      <c r="J580" s="568"/>
      <c r="K580" s="202">
        <v>45937</v>
      </c>
      <c r="L580" s="203" t="s">
        <v>679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506</v>
      </c>
      <c r="D581" s="10"/>
      <c r="E581" s="202">
        <v>45925</v>
      </c>
      <c r="F581" s="23">
        <v>64.481662</v>
      </c>
      <c r="G581" s="568" t="s">
        <v>196</v>
      </c>
      <c r="H581" s="568"/>
      <c r="I581" s="568"/>
      <c r="J581" s="568"/>
      <c r="K581" s="202">
        <v>45938</v>
      </c>
      <c r="L581" s="203" t="s">
        <v>750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602</v>
      </c>
      <c r="D582" s="10"/>
      <c r="E582" s="191">
        <v>45931</v>
      </c>
      <c r="F582" s="23">
        <v>78.073216000000002</v>
      </c>
      <c r="G582" s="568" t="s">
        <v>196</v>
      </c>
      <c r="H582" s="568"/>
      <c r="I582" s="568"/>
      <c r="J582" s="568"/>
      <c r="K582" s="202">
        <v>45942</v>
      </c>
      <c r="L582" s="203" t="s">
        <v>430</v>
      </c>
      <c r="M582" s="10"/>
      <c r="N582" s="197"/>
      <c r="O582" s="198"/>
      <c r="P582" s="198"/>
    </row>
    <row r="583" spans="1:16">
      <c r="A583" s="10">
        <v>265</v>
      </c>
      <c r="B583" s="272" t="s">
        <v>421</v>
      </c>
      <c r="C583" s="456" t="s">
        <v>637</v>
      </c>
      <c r="D583" s="10"/>
      <c r="E583" s="191">
        <v>45922</v>
      </c>
      <c r="F583" s="23">
        <v>101.69198999999999</v>
      </c>
      <c r="G583" s="568" t="s">
        <v>196</v>
      </c>
      <c r="H583" s="568"/>
      <c r="I583" s="568"/>
      <c r="J583" s="568"/>
      <c r="K583" s="202">
        <v>45942</v>
      </c>
      <c r="L583" s="203" t="s">
        <v>419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427</v>
      </c>
      <c r="C584" s="456" t="s">
        <v>226</v>
      </c>
      <c r="D584" s="10"/>
      <c r="E584" s="202">
        <v>45918</v>
      </c>
      <c r="F584" s="23">
        <v>53.323913999999995</v>
      </c>
      <c r="G584" s="568" t="s">
        <v>196</v>
      </c>
      <c r="H584" s="568"/>
      <c r="I584" s="568"/>
      <c r="J584" s="568"/>
      <c r="K584" s="202">
        <v>45943</v>
      </c>
      <c r="L584" s="203" t="s">
        <v>747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624</v>
      </c>
      <c r="D585" s="10"/>
      <c r="E585" s="202">
        <v>45923</v>
      </c>
      <c r="F585" s="23">
        <v>143.46209800000003</v>
      </c>
      <c r="G585" s="568" t="s">
        <v>196</v>
      </c>
      <c r="H585" s="568"/>
      <c r="I585" s="568"/>
      <c r="J585" s="568"/>
      <c r="K585" s="202">
        <v>45944</v>
      </c>
      <c r="L585" s="203" t="s">
        <v>687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426</v>
      </c>
      <c r="C586" s="456" t="s">
        <v>746</v>
      </c>
      <c r="D586" s="10"/>
      <c r="E586" s="202">
        <v>45925</v>
      </c>
      <c r="F586" s="23">
        <v>110.69581699999999</v>
      </c>
      <c r="G586" s="568" t="s">
        <v>196</v>
      </c>
      <c r="H586" s="568"/>
      <c r="I586" s="568"/>
      <c r="J586" s="568"/>
      <c r="K586" s="202">
        <v>45944</v>
      </c>
      <c r="L586" s="203" t="s">
        <v>749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511</v>
      </c>
      <c r="D587" s="10"/>
      <c r="E587" s="202">
        <v>45926</v>
      </c>
      <c r="F587" s="23">
        <v>73.425832</v>
      </c>
      <c r="G587" s="568" t="s">
        <v>196</v>
      </c>
      <c r="H587" s="568"/>
      <c r="I587" s="568"/>
      <c r="J587" s="568"/>
      <c r="K587" s="202">
        <v>45944</v>
      </c>
      <c r="L587" s="203" t="s">
        <v>683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68" t="s">
        <v>196</v>
      </c>
      <c r="H588" s="568"/>
      <c r="I588" s="568"/>
      <c r="J588" s="568"/>
      <c r="K588" s="202">
        <v>45952</v>
      </c>
      <c r="L588" s="203" t="s">
        <v>751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424</v>
      </c>
      <c r="C589" s="456" t="s">
        <v>746</v>
      </c>
      <c r="D589" s="10"/>
      <c r="E589" s="202">
        <v>45937</v>
      </c>
      <c r="F589" s="23">
        <v>110.69581699999999</v>
      </c>
      <c r="G589" s="568" t="s">
        <v>196</v>
      </c>
      <c r="H589" s="568"/>
      <c r="I589" s="568"/>
      <c r="J589" s="568"/>
      <c r="K589" s="202">
        <v>45955</v>
      </c>
      <c r="L589" s="203" t="s">
        <v>423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720</v>
      </c>
      <c r="D590" s="10"/>
      <c r="E590" s="202">
        <v>45933</v>
      </c>
      <c r="F590" s="23">
        <v>97.833781999999985</v>
      </c>
      <c r="G590" s="568" t="s">
        <v>196</v>
      </c>
      <c r="H590" s="568"/>
      <c r="I590" s="568"/>
      <c r="J590" s="568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746</v>
      </c>
      <c r="D591" s="10"/>
      <c r="E591" s="202">
        <v>45923</v>
      </c>
      <c r="F591" s="23">
        <v>110.69581699999999</v>
      </c>
      <c r="G591" s="568" t="s">
        <v>196</v>
      </c>
      <c r="H591" s="568"/>
      <c r="I591" s="568"/>
      <c r="J591" s="568"/>
      <c r="K591" s="202">
        <v>45961</v>
      </c>
      <c r="L591" s="203" t="s">
        <v>422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511</v>
      </c>
      <c r="D592" s="202"/>
      <c r="E592" s="202">
        <v>45953</v>
      </c>
      <c r="F592" s="23">
        <v>73.425832</v>
      </c>
      <c r="G592" s="568" t="s">
        <v>196</v>
      </c>
      <c r="H592" s="568"/>
      <c r="I592" s="568"/>
      <c r="J592" s="568"/>
      <c r="K592" s="202">
        <v>45968</v>
      </c>
      <c r="L592" s="203" t="s">
        <v>751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68" t="s">
        <v>196</v>
      </c>
      <c r="H593" s="568"/>
      <c r="I593" s="568"/>
      <c r="J593" s="568"/>
      <c r="K593" s="202">
        <v>45968</v>
      </c>
      <c r="L593" s="203" t="s">
        <v>750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549</v>
      </c>
      <c r="D594" s="10"/>
      <c r="E594" s="202">
        <v>45956</v>
      </c>
      <c r="F594" s="23">
        <v>75.858397999999994</v>
      </c>
      <c r="G594" s="568" t="s">
        <v>196</v>
      </c>
      <c r="H594" s="568"/>
      <c r="I594" s="568"/>
      <c r="J594" s="568"/>
      <c r="K594" s="202">
        <v>45971</v>
      </c>
      <c r="L594" s="203" t="s">
        <v>423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432</v>
      </c>
      <c r="C595" s="446" t="s">
        <v>195</v>
      </c>
      <c r="D595" s="10"/>
      <c r="E595" s="202">
        <v>45961</v>
      </c>
      <c r="F595" s="23">
        <v>43.775756000000008</v>
      </c>
      <c r="G595" s="568" t="s">
        <v>196</v>
      </c>
      <c r="H595" s="568"/>
      <c r="I595" s="568"/>
      <c r="J595" s="568"/>
      <c r="K595" s="202">
        <v>45974</v>
      </c>
      <c r="L595" s="203" t="s">
        <v>1107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299</v>
      </c>
      <c r="C596" s="456" t="s">
        <v>633</v>
      </c>
      <c r="D596" s="10"/>
      <c r="E596" s="202">
        <v>45925</v>
      </c>
      <c r="F596" s="23">
        <v>188.37786399999996</v>
      </c>
      <c r="G596" s="568" t="s">
        <v>196</v>
      </c>
      <c r="H596" s="568"/>
      <c r="I596" s="568"/>
      <c r="J596" s="568"/>
      <c r="K596" s="202">
        <v>45975</v>
      </c>
      <c r="L596" s="203" t="s">
        <v>748</v>
      </c>
      <c r="M596" s="10"/>
      <c r="N596" s="197"/>
      <c r="O596" s="198"/>
      <c r="P596" s="198"/>
    </row>
    <row r="597" spans="1:16" ht="15.75" customHeight="1">
      <c r="A597" s="10">
        <v>279</v>
      </c>
      <c r="B597" s="272" t="s">
        <v>429</v>
      </c>
      <c r="C597" s="456" t="s">
        <v>195</v>
      </c>
      <c r="D597" s="10"/>
      <c r="E597" s="202">
        <v>45924</v>
      </c>
      <c r="F597" s="23">
        <v>43.775756000000008</v>
      </c>
      <c r="G597" s="568" t="s">
        <v>196</v>
      </c>
      <c r="H597" s="568"/>
      <c r="I597" s="568"/>
      <c r="J597" s="568"/>
      <c r="K597" s="202">
        <v>45976</v>
      </c>
      <c r="L597" s="203" t="s">
        <v>665</v>
      </c>
      <c r="M597" s="10"/>
      <c r="N597" s="197"/>
      <c r="O597" s="198"/>
      <c r="P597" s="198"/>
    </row>
    <row r="598" spans="1:16" ht="15.75" customHeight="1">
      <c r="A598" s="10">
        <v>280</v>
      </c>
      <c r="B598" s="193" t="s">
        <v>134</v>
      </c>
      <c r="C598" s="499" t="s">
        <v>225</v>
      </c>
      <c r="D598" s="10"/>
      <c r="E598" s="202">
        <v>45970</v>
      </c>
      <c r="F598" s="23">
        <v>43.775756000000008</v>
      </c>
      <c r="G598" s="568" t="s">
        <v>196</v>
      </c>
      <c r="H598" s="568"/>
      <c r="I598" s="568"/>
      <c r="J598" s="568"/>
      <c r="K598" s="202">
        <v>45978</v>
      </c>
      <c r="L598" s="203" t="s">
        <v>751</v>
      </c>
      <c r="M598" s="10"/>
      <c r="N598" s="197"/>
      <c r="O598" s="198"/>
      <c r="P598" s="198"/>
    </row>
    <row r="599" spans="1:16" ht="15.75" customHeight="1">
      <c r="A599" s="10">
        <v>281</v>
      </c>
      <c r="B599" s="272" t="s">
        <v>438</v>
      </c>
      <c r="C599" s="456" t="s">
        <v>380</v>
      </c>
      <c r="D599" s="10"/>
      <c r="E599" s="202">
        <v>45976</v>
      </c>
      <c r="F599" s="23">
        <v>97.228551999999993</v>
      </c>
      <c r="G599" s="568" t="s">
        <v>196</v>
      </c>
      <c r="H599" s="568"/>
      <c r="I599" s="568"/>
      <c r="J599" s="568"/>
      <c r="K599" s="202">
        <v>45990</v>
      </c>
      <c r="L599" s="203" t="s">
        <v>430</v>
      </c>
      <c r="M599" s="10"/>
      <c r="N599" s="197"/>
      <c r="O599" s="198"/>
      <c r="P599" s="198"/>
    </row>
    <row r="600" spans="1:16" ht="15.75" customHeight="1">
      <c r="A600" s="10">
        <v>282</v>
      </c>
      <c r="B600" s="193" t="s">
        <v>294</v>
      </c>
      <c r="C600" s="499" t="s">
        <v>715</v>
      </c>
      <c r="D600" s="10"/>
      <c r="E600" s="202">
        <v>45969</v>
      </c>
      <c r="F600" s="23">
        <v>101.93300000000001</v>
      </c>
      <c r="G600" s="568" t="s">
        <v>196</v>
      </c>
      <c r="H600" s="568"/>
      <c r="I600" s="568"/>
      <c r="J600" s="568"/>
      <c r="K600" s="202">
        <v>45990</v>
      </c>
      <c r="L600" s="203" t="s">
        <v>750</v>
      </c>
      <c r="M600" s="10"/>
      <c r="N600" s="197"/>
      <c r="O600" s="198"/>
      <c r="P600" s="198"/>
    </row>
    <row r="601" spans="1:16" ht="15.75" customHeight="1">
      <c r="A601" s="10">
        <v>283</v>
      </c>
      <c r="B601" s="272" t="s">
        <v>327</v>
      </c>
      <c r="C601" s="456" t="s">
        <v>653</v>
      </c>
      <c r="D601" s="202"/>
      <c r="E601" s="202">
        <v>45967</v>
      </c>
      <c r="F601" s="23">
        <v>90.125</v>
      </c>
      <c r="G601" s="568" t="s">
        <v>196</v>
      </c>
      <c r="H601" s="568"/>
      <c r="I601" s="568"/>
      <c r="J601" s="568"/>
      <c r="K601" s="202">
        <v>45991</v>
      </c>
      <c r="L601" s="203" t="s">
        <v>749</v>
      </c>
      <c r="M601" s="10"/>
      <c r="N601" s="197"/>
      <c r="O601" s="198"/>
      <c r="P601" s="198"/>
    </row>
    <row r="602" spans="1:16" ht="15.75" customHeight="1">
      <c r="A602" s="10">
        <v>284</v>
      </c>
      <c r="B602" s="193" t="s">
        <v>688</v>
      </c>
      <c r="C602" s="499" t="s">
        <v>195</v>
      </c>
      <c r="D602" s="10"/>
      <c r="E602" s="202">
        <v>45967</v>
      </c>
      <c r="F602" s="23">
        <v>43.775756000000008</v>
      </c>
      <c r="G602" s="568" t="s">
        <v>196</v>
      </c>
      <c r="H602" s="568"/>
      <c r="I602" s="568"/>
      <c r="J602" s="568"/>
      <c r="K602" s="202">
        <v>45991</v>
      </c>
      <c r="L602" s="203" t="s">
        <v>1048</v>
      </c>
      <c r="M602" s="10"/>
      <c r="N602" s="197"/>
      <c r="O602" s="198"/>
      <c r="P602" s="198"/>
    </row>
    <row r="603" spans="1:16" ht="15.75" customHeight="1">
      <c r="A603" s="10">
        <v>285</v>
      </c>
      <c r="B603" s="504" t="s">
        <v>435</v>
      </c>
      <c r="C603" s="500" t="s">
        <v>506</v>
      </c>
      <c r="D603" s="76"/>
      <c r="E603" s="380">
        <v>45976</v>
      </c>
      <c r="F603" s="75">
        <v>64.481999999999999</v>
      </c>
      <c r="G603" s="568" t="s">
        <v>196</v>
      </c>
      <c r="H603" s="568"/>
      <c r="I603" s="568"/>
      <c r="J603" s="568"/>
      <c r="K603" s="202">
        <v>45991</v>
      </c>
      <c r="L603" s="205" t="s">
        <v>1107</v>
      </c>
      <c r="M603" s="76"/>
    </row>
    <row r="604" spans="1:16" ht="15.75" customHeight="1">
      <c r="A604" s="10">
        <v>286</v>
      </c>
      <c r="B604" s="193" t="s">
        <v>328</v>
      </c>
      <c r="C604" s="499" t="s">
        <v>1049</v>
      </c>
      <c r="D604" s="10"/>
      <c r="E604" s="202">
        <v>45971</v>
      </c>
      <c r="F604" s="23">
        <v>124.03700000000001</v>
      </c>
      <c r="G604" s="568" t="s">
        <v>196</v>
      </c>
      <c r="H604" s="568"/>
      <c r="I604" s="568"/>
      <c r="J604" s="568"/>
      <c r="K604" s="202">
        <v>45995</v>
      </c>
      <c r="L604" s="203" t="s">
        <v>423</v>
      </c>
      <c r="M604" s="76"/>
    </row>
    <row r="605" spans="1:16" ht="15.75" customHeight="1">
      <c r="A605" s="10">
        <v>287</v>
      </c>
      <c r="B605" s="799" t="s">
        <v>292</v>
      </c>
      <c r="C605" s="456" t="s">
        <v>360</v>
      </c>
      <c r="D605" s="10"/>
      <c r="E605" s="202">
        <v>45977</v>
      </c>
      <c r="F605" s="23">
        <v>113.679604</v>
      </c>
      <c r="G605" s="568" t="s">
        <v>196</v>
      </c>
      <c r="H605" s="568"/>
      <c r="I605" s="568"/>
      <c r="J605" s="568"/>
      <c r="K605" s="202">
        <v>45995</v>
      </c>
      <c r="L605" s="203" t="s">
        <v>665</v>
      </c>
      <c r="M605" s="76"/>
    </row>
    <row r="606" spans="1:16">
      <c r="A606" s="10">
        <v>288</v>
      </c>
      <c r="B606" s="273" t="s">
        <v>433</v>
      </c>
      <c r="C606" s="456" t="s">
        <v>746</v>
      </c>
      <c r="D606" s="10"/>
      <c r="E606" s="202">
        <v>45978</v>
      </c>
      <c r="F606" s="23">
        <v>110.69581699999999</v>
      </c>
      <c r="G606" s="588" t="s">
        <v>220</v>
      </c>
      <c r="H606" s="589"/>
      <c r="I606" s="589"/>
      <c r="J606" s="590"/>
      <c r="K606" s="202"/>
      <c r="L606" s="203" t="s">
        <v>1116</v>
      </c>
      <c r="M606" s="76"/>
    </row>
    <row r="607" spans="1:16">
      <c r="A607" s="10">
        <v>289</v>
      </c>
      <c r="B607" s="273" t="s">
        <v>434</v>
      </c>
      <c r="C607" s="499" t="s">
        <v>195</v>
      </c>
      <c r="D607" s="10"/>
      <c r="E607" s="202">
        <v>45988</v>
      </c>
      <c r="F607" s="23">
        <v>43.775756000000008</v>
      </c>
      <c r="G607" s="588" t="s">
        <v>220</v>
      </c>
      <c r="H607" s="589"/>
      <c r="I607" s="589"/>
      <c r="J607" s="590"/>
      <c r="K607" s="202"/>
      <c r="L607" s="203" t="s">
        <v>749</v>
      </c>
      <c r="M607" s="76"/>
    </row>
    <row r="608" spans="1:16">
      <c r="A608" s="10">
        <v>290</v>
      </c>
      <c r="B608" s="273" t="s">
        <v>694</v>
      </c>
      <c r="C608" s="456" t="s">
        <v>633</v>
      </c>
      <c r="D608" s="10"/>
      <c r="E608" s="202">
        <v>45991</v>
      </c>
      <c r="F608" s="23">
        <v>188.37786399999996</v>
      </c>
      <c r="G608" s="588" t="s">
        <v>220</v>
      </c>
      <c r="H608" s="589"/>
      <c r="I608" s="589"/>
      <c r="J608" s="590"/>
      <c r="K608" s="202"/>
      <c r="L608" s="203" t="s">
        <v>748</v>
      </c>
      <c r="M608" s="76"/>
    </row>
    <row r="609" spans="1:13">
      <c r="A609" s="10">
        <v>291</v>
      </c>
      <c r="B609" s="149" t="s">
        <v>290</v>
      </c>
      <c r="C609" s="499" t="s">
        <v>624</v>
      </c>
      <c r="D609" s="10"/>
      <c r="E609" s="202">
        <v>45992</v>
      </c>
      <c r="F609" s="23">
        <v>143.46209800000003</v>
      </c>
      <c r="G609" s="588" t="s">
        <v>220</v>
      </c>
      <c r="H609" s="589"/>
      <c r="I609" s="589"/>
      <c r="J609" s="590"/>
      <c r="K609" s="76"/>
      <c r="L609" s="203" t="s">
        <v>750</v>
      </c>
      <c r="M609" s="76"/>
    </row>
    <row r="610" spans="1:13">
      <c r="A610" s="10">
        <v>292</v>
      </c>
      <c r="B610" s="506" t="s">
        <v>689</v>
      </c>
      <c r="C610" s="507" t="s">
        <v>224</v>
      </c>
      <c r="D610" s="508"/>
      <c r="E610" s="509">
        <v>45994</v>
      </c>
      <c r="F610" s="510">
        <v>46.049156000000004</v>
      </c>
      <c r="G610" s="582" t="s">
        <v>220</v>
      </c>
      <c r="H610" s="583"/>
      <c r="I610" s="583"/>
      <c r="J610" s="584"/>
      <c r="K610" s="509"/>
      <c r="L610" s="511" t="s">
        <v>1050</v>
      </c>
      <c r="M610" s="76"/>
    </row>
    <row r="611" spans="1:13">
      <c r="A611" s="10">
        <v>293</v>
      </c>
      <c r="B611" s="294" t="s">
        <v>873</v>
      </c>
      <c r="C611" s="456" t="s">
        <v>380</v>
      </c>
      <c r="D611" s="76"/>
      <c r="E611" s="202">
        <v>45996</v>
      </c>
      <c r="F611" s="23">
        <v>97.228551999999993</v>
      </c>
      <c r="G611" s="582" t="s">
        <v>220</v>
      </c>
      <c r="H611" s="583"/>
      <c r="I611" s="583"/>
      <c r="J611" s="584"/>
      <c r="K611" s="202"/>
      <c r="L611" s="203" t="s">
        <v>423</v>
      </c>
      <c r="M611" s="76"/>
    </row>
    <row r="612" spans="1:13">
      <c r="A612" s="10">
        <v>294</v>
      </c>
      <c r="B612" s="506" t="s">
        <v>436</v>
      </c>
      <c r="C612" s="507" t="s">
        <v>226</v>
      </c>
      <c r="D612" s="508"/>
      <c r="E612" s="509">
        <v>45996</v>
      </c>
      <c r="F612" s="510">
        <v>53.323913999999995</v>
      </c>
      <c r="G612" s="582" t="s">
        <v>220</v>
      </c>
      <c r="H612" s="583"/>
      <c r="I612" s="583"/>
      <c r="J612" s="584"/>
      <c r="K612" s="509"/>
      <c r="L612" s="511" t="s">
        <v>1107</v>
      </c>
      <c r="M612" s="76"/>
    </row>
    <row r="613" spans="1:13">
      <c r="A613" s="10">
        <v>295</v>
      </c>
      <c r="B613" s="76"/>
      <c r="C613" s="800"/>
      <c r="D613" s="76"/>
      <c r="E613" s="76"/>
      <c r="F613" s="76"/>
      <c r="G613" s="76"/>
      <c r="H613" s="76"/>
      <c r="I613" s="76"/>
      <c r="J613" s="76"/>
      <c r="K613" s="76"/>
      <c r="L613" s="76"/>
      <c r="M613" s="76"/>
    </row>
    <row r="614" spans="1:13">
      <c r="A614" s="12"/>
    </row>
    <row r="615" spans="1:13">
      <c r="A615" s="12"/>
    </row>
    <row r="617" spans="1:13" ht="21">
      <c r="A617" s="603" t="s">
        <v>65</v>
      </c>
      <c r="B617" s="604"/>
      <c r="C617" s="604"/>
      <c r="D617" s="604"/>
      <c r="E617" s="604"/>
      <c r="F617" s="604"/>
      <c r="G617" s="604"/>
      <c r="H617" s="604"/>
      <c r="I617" s="604"/>
      <c r="J617" s="605"/>
    </row>
    <row r="618" spans="1:13" ht="26.25" thickBot="1">
      <c r="A618" s="30" t="s">
        <v>188</v>
      </c>
      <c r="B618" s="30" t="s">
        <v>70</v>
      </c>
      <c r="C618" s="455" t="s">
        <v>198</v>
      </c>
      <c r="D618" s="606" t="s">
        <v>71</v>
      </c>
      <c r="E618" s="607"/>
      <c r="F618" s="607"/>
      <c r="G618" s="608"/>
      <c r="H618" s="30" t="s">
        <v>192</v>
      </c>
      <c r="I618" s="30" t="s">
        <v>193</v>
      </c>
      <c r="J618" s="30" t="s">
        <v>73</v>
      </c>
    </row>
    <row r="619" spans="1:13">
      <c r="A619" s="10">
        <v>1</v>
      </c>
      <c r="B619" s="274" t="s">
        <v>754</v>
      </c>
      <c r="C619" s="421">
        <v>4.8187499999999996</v>
      </c>
      <c r="D619" s="594" t="s">
        <v>196</v>
      </c>
      <c r="E619" s="594"/>
      <c r="F619" s="594"/>
      <c r="G619" s="594"/>
      <c r="H619" s="280" t="s">
        <v>773</v>
      </c>
      <c r="I619" s="10"/>
      <c r="J619" s="28"/>
    </row>
    <row r="620" spans="1:13">
      <c r="A620" s="10">
        <v>2</v>
      </c>
      <c r="B620" s="274" t="s">
        <v>755</v>
      </c>
      <c r="C620" s="421">
        <v>1.23428</v>
      </c>
      <c r="D620" s="594" t="s">
        <v>196</v>
      </c>
      <c r="E620" s="594"/>
      <c r="F620" s="594"/>
      <c r="G620" s="594"/>
      <c r="H620" s="280" t="s">
        <v>773</v>
      </c>
      <c r="I620" s="10"/>
      <c r="J620" s="28"/>
    </row>
    <row r="621" spans="1:13">
      <c r="A621" s="10">
        <v>3</v>
      </c>
      <c r="B621" s="274" t="s">
        <v>756</v>
      </c>
      <c r="C621" s="421">
        <v>3.9570500000000002</v>
      </c>
      <c r="D621" s="594" t="s">
        <v>196</v>
      </c>
      <c r="E621" s="594"/>
      <c r="F621" s="594"/>
      <c r="G621" s="594"/>
      <c r="H621" s="280" t="s">
        <v>774</v>
      </c>
      <c r="I621" s="10"/>
      <c r="J621" s="28"/>
    </row>
    <row r="622" spans="1:13">
      <c r="A622" s="10">
        <v>4</v>
      </c>
      <c r="B622" s="274" t="s">
        <v>757</v>
      </c>
      <c r="C622" s="421">
        <v>2.0167199999999998</v>
      </c>
      <c r="D622" s="594" t="s">
        <v>196</v>
      </c>
      <c r="E622" s="594"/>
      <c r="F622" s="594"/>
      <c r="G622" s="594"/>
      <c r="H622" s="280" t="s">
        <v>773</v>
      </c>
      <c r="I622" s="10"/>
      <c r="J622" s="28"/>
    </row>
    <row r="623" spans="1:13">
      <c r="A623" s="10">
        <v>5</v>
      </c>
      <c r="B623" s="275" t="s">
        <v>758</v>
      </c>
      <c r="C623" s="422">
        <v>4.2836699999999999</v>
      </c>
      <c r="D623" s="594" t="s">
        <v>196</v>
      </c>
      <c r="E623" s="594"/>
      <c r="F623" s="594"/>
      <c r="G623" s="594"/>
      <c r="H623" s="280" t="s">
        <v>774</v>
      </c>
      <c r="I623" s="10"/>
      <c r="J623" s="28"/>
    </row>
    <row r="624" spans="1:13">
      <c r="A624" s="10">
        <v>6</v>
      </c>
      <c r="B624" s="276" t="s">
        <v>759</v>
      </c>
      <c r="C624" s="423">
        <v>0.22361</v>
      </c>
      <c r="D624" s="594" t="s">
        <v>196</v>
      </c>
      <c r="E624" s="594"/>
      <c r="F624" s="594"/>
      <c r="G624" s="594"/>
      <c r="H624" s="280" t="s">
        <v>773</v>
      </c>
      <c r="I624" s="10"/>
      <c r="J624" s="28" t="s">
        <v>1043</v>
      </c>
    </row>
    <row r="625" spans="1:13">
      <c r="A625" s="10">
        <v>7</v>
      </c>
      <c r="B625" s="276" t="s">
        <v>760</v>
      </c>
      <c r="C625" s="423">
        <v>0.40717000000000003</v>
      </c>
      <c r="D625" s="594" t="s">
        <v>196</v>
      </c>
      <c r="E625" s="594"/>
      <c r="F625" s="594"/>
      <c r="G625" s="594"/>
      <c r="H625" s="280" t="s">
        <v>774</v>
      </c>
      <c r="I625" s="10"/>
      <c r="J625" s="28"/>
    </row>
    <row r="626" spans="1:13">
      <c r="A626" s="10">
        <v>8</v>
      </c>
      <c r="B626" s="274" t="s">
        <v>761</v>
      </c>
      <c r="C626" s="422">
        <v>2.2262199999999996</v>
      </c>
      <c r="D626" s="594" t="s">
        <v>196</v>
      </c>
      <c r="E626" s="594"/>
      <c r="F626" s="594"/>
      <c r="G626" s="594"/>
      <c r="H626" s="280" t="s">
        <v>773</v>
      </c>
      <c r="I626" s="10"/>
      <c r="J626" s="28"/>
    </row>
    <row r="627" spans="1:13">
      <c r="A627" s="10">
        <v>9</v>
      </c>
      <c r="B627" s="274" t="s">
        <v>762</v>
      </c>
      <c r="C627" s="422">
        <v>4.7815000000000003</v>
      </c>
      <c r="D627" s="594" t="s">
        <v>196</v>
      </c>
      <c r="E627" s="594"/>
      <c r="F627" s="594"/>
      <c r="G627" s="594"/>
      <c r="H627" s="280" t="s">
        <v>774</v>
      </c>
      <c r="I627" s="10"/>
      <c r="J627" s="28"/>
    </row>
    <row r="628" spans="1:13">
      <c r="A628" s="10">
        <v>10</v>
      </c>
      <c r="B628" s="274" t="s">
        <v>763</v>
      </c>
      <c r="C628" s="422">
        <v>0.72357000000000005</v>
      </c>
      <c r="D628" s="594" t="s">
        <v>196</v>
      </c>
      <c r="E628" s="594"/>
      <c r="F628" s="594"/>
      <c r="G628" s="594"/>
      <c r="H628" s="280" t="s">
        <v>773</v>
      </c>
      <c r="I628" s="10"/>
      <c r="J628" s="28"/>
    </row>
    <row r="629" spans="1:13">
      <c r="A629" s="10">
        <v>11</v>
      </c>
      <c r="B629" s="276" t="s">
        <v>764</v>
      </c>
      <c r="C629" s="424">
        <v>0.28343000000000002</v>
      </c>
      <c r="D629" s="594" t="s">
        <v>196</v>
      </c>
      <c r="E629" s="594"/>
      <c r="F629" s="594"/>
      <c r="G629" s="594"/>
      <c r="H629" s="280" t="s">
        <v>773</v>
      </c>
      <c r="I629" s="10"/>
      <c r="J629" s="465" t="s">
        <v>1042</v>
      </c>
    </row>
    <row r="630" spans="1:13">
      <c r="A630" s="10">
        <v>12</v>
      </c>
      <c r="B630" s="274" t="s">
        <v>765</v>
      </c>
      <c r="C630" s="422">
        <v>3.1932300000000002</v>
      </c>
      <c r="D630" s="594" t="s">
        <v>196</v>
      </c>
      <c r="E630" s="594"/>
      <c r="F630" s="594"/>
      <c r="G630" s="594"/>
      <c r="H630" s="280" t="s">
        <v>774</v>
      </c>
      <c r="I630" s="10"/>
      <c r="J630" s="28"/>
    </row>
    <row r="631" spans="1:13">
      <c r="A631" s="10">
        <v>13</v>
      </c>
      <c r="B631" s="274" t="s">
        <v>766</v>
      </c>
      <c r="C631" s="422">
        <v>4.4157450000000003</v>
      </c>
      <c r="D631" s="594" t="s">
        <v>196</v>
      </c>
      <c r="E631" s="594"/>
      <c r="F631" s="594"/>
      <c r="G631" s="594"/>
      <c r="H631" s="280" t="s">
        <v>773</v>
      </c>
      <c r="I631" s="10"/>
      <c r="J631" s="28"/>
    </row>
    <row r="632" spans="1:13">
      <c r="A632" s="10">
        <v>14</v>
      </c>
      <c r="B632" s="274" t="s">
        <v>767</v>
      </c>
      <c r="C632" s="422">
        <v>3.6110000000000002</v>
      </c>
      <c r="D632" s="594" t="s">
        <v>196</v>
      </c>
      <c r="E632" s="594"/>
      <c r="F632" s="594"/>
      <c r="G632" s="594"/>
      <c r="H632" s="280" t="s">
        <v>773</v>
      </c>
      <c r="I632" s="10"/>
      <c r="J632" s="28"/>
      <c r="M632" s="458"/>
    </row>
    <row r="633" spans="1:13">
      <c r="A633" s="10">
        <v>15</v>
      </c>
      <c r="B633" s="276" t="s">
        <v>768</v>
      </c>
      <c r="C633" s="424">
        <v>0.28000000000000003</v>
      </c>
      <c r="D633" s="594" t="s">
        <v>196</v>
      </c>
      <c r="E633" s="594"/>
      <c r="F633" s="594"/>
      <c r="G633" s="594"/>
      <c r="H633" s="280" t="s">
        <v>773</v>
      </c>
      <c r="I633" s="279"/>
      <c r="J633" s="465" t="s">
        <v>1042</v>
      </c>
      <c r="M633" s="458"/>
    </row>
    <row r="634" spans="1:13">
      <c r="A634" s="10">
        <v>16</v>
      </c>
      <c r="B634" s="274" t="s">
        <v>769</v>
      </c>
      <c r="C634" s="422">
        <v>2.75</v>
      </c>
      <c r="D634" s="594" t="s">
        <v>196</v>
      </c>
      <c r="E634" s="594"/>
      <c r="F634" s="594"/>
      <c r="G634" s="594"/>
      <c r="H634" s="280" t="s">
        <v>774</v>
      </c>
      <c r="I634" s="279"/>
      <c r="J634" s="29"/>
      <c r="M634" s="458"/>
    </row>
    <row r="635" spans="1:13">
      <c r="A635" s="11">
        <v>17</v>
      </c>
      <c r="B635" s="277" t="s">
        <v>770</v>
      </c>
      <c r="C635" s="422">
        <v>4.9580000000000002</v>
      </c>
      <c r="D635" s="594" t="s">
        <v>196</v>
      </c>
      <c r="E635" s="594"/>
      <c r="F635" s="594"/>
      <c r="G635" s="594"/>
      <c r="H635" s="281" t="s">
        <v>775</v>
      </c>
      <c r="I635" s="279"/>
      <c r="J635" s="76"/>
      <c r="M635" s="458"/>
    </row>
    <row r="636" spans="1:13">
      <c r="A636" s="11">
        <v>18</v>
      </c>
      <c r="B636" s="277" t="s">
        <v>771</v>
      </c>
      <c r="C636" s="422">
        <v>4.9470000000000001</v>
      </c>
      <c r="D636" s="585" t="s">
        <v>772</v>
      </c>
      <c r="E636" s="586"/>
      <c r="F636" s="586"/>
      <c r="G636" s="587"/>
      <c r="H636" s="280" t="s">
        <v>774</v>
      </c>
      <c r="I636" s="279"/>
      <c r="J636" s="76"/>
      <c r="M636" s="458"/>
    </row>
    <row r="637" spans="1:13" ht="15.75" customHeight="1">
      <c r="A637" s="11">
        <v>19</v>
      </c>
      <c r="B637" s="277" t="s">
        <v>1016</v>
      </c>
      <c r="C637" s="422">
        <v>3.919</v>
      </c>
      <c r="D637" s="594" t="s">
        <v>196</v>
      </c>
      <c r="E637" s="594"/>
      <c r="F637" s="594"/>
      <c r="G637" s="594"/>
      <c r="H637" s="280" t="s">
        <v>773</v>
      </c>
      <c r="I637" s="279"/>
      <c r="J637" s="76"/>
      <c r="M637" s="458"/>
    </row>
    <row r="638" spans="1:13" ht="15.75" customHeight="1">
      <c r="A638" s="11">
        <v>20</v>
      </c>
      <c r="B638" s="277" t="s">
        <v>1017</v>
      </c>
      <c r="C638" s="422">
        <v>1.6060000000000001</v>
      </c>
      <c r="D638" s="594" t="s">
        <v>196</v>
      </c>
      <c r="E638" s="594"/>
      <c r="F638" s="594"/>
      <c r="G638" s="594"/>
      <c r="H638" s="281" t="s">
        <v>775</v>
      </c>
      <c r="I638" s="279"/>
      <c r="J638" s="76"/>
      <c r="M638" s="458"/>
    </row>
    <row r="639" spans="1:13" ht="15.75" customHeight="1">
      <c r="A639" s="11">
        <v>21</v>
      </c>
      <c r="B639" s="277" t="s">
        <v>1018</v>
      </c>
      <c r="C639" s="422">
        <v>4.431</v>
      </c>
      <c r="D639" s="594" t="s">
        <v>196</v>
      </c>
      <c r="E639" s="594"/>
      <c r="F639" s="594"/>
      <c r="G639" s="594"/>
      <c r="H639" s="280" t="s">
        <v>774</v>
      </c>
      <c r="I639" s="279"/>
      <c r="J639" s="76"/>
    </row>
    <row r="640" spans="1:13">
      <c r="A640" s="11">
        <v>22</v>
      </c>
      <c r="B640" s="277" t="s">
        <v>1025</v>
      </c>
      <c r="C640" s="422">
        <v>3.4319999999999999</v>
      </c>
      <c r="D640" s="585" t="s">
        <v>1113</v>
      </c>
      <c r="E640" s="586"/>
      <c r="F640" s="586"/>
      <c r="G640" s="587"/>
      <c r="H640" s="280" t="s">
        <v>773</v>
      </c>
      <c r="I640" s="76"/>
      <c r="J640" s="505" t="s">
        <v>1123</v>
      </c>
    </row>
    <row r="641" spans="1:12" ht="30" customHeight="1">
      <c r="A641" s="11">
        <v>23</v>
      </c>
      <c r="B641" s="277" t="s">
        <v>1026</v>
      </c>
      <c r="C641" s="422">
        <v>4.8230000000000004</v>
      </c>
      <c r="D641" s="594" t="s">
        <v>196</v>
      </c>
      <c r="E641" s="594"/>
      <c r="F641" s="594"/>
      <c r="G641" s="594"/>
      <c r="H641" s="280" t="s">
        <v>774</v>
      </c>
      <c r="I641" s="76"/>
      <c r="J641" s="498" t="s">
        <v>1125</v>
      </c>
    </row>
    <row r="642" spans="1:12" ht="15.75" customHeight="1">
      <c r="A642" s="11">
        <v>24</v>
      </c>
      <c r="B642" s="277" t="s">
        <v>1035</v>
      </c>
      <c r="C642" s="464">
        <v>4.9370000000000003</v>
      </c>
      <c r="D642" s="594" t="s">
        <v>196</v>
      </c>
      <c r="E642" s="594"/>
      <c r="F642" s="594"/>
      <c r="G642" s="594"/>
      <c r="H642" s="281" t="s">
        <v>775</v>
      </c>
      <c r="I642" s="76"/>
      <c r="J642" s="76"/>
    </row>
    <row r="643" spans="1:12" ht="15.75" customHeight="1">
      <c r="A643" s="11">
        <v>25</v>
      </c>
      <c r="B643" s="466" t="s">
        <v>1041</v>
      </c>
      <c r="C643" s="467">
        <v>0.31913000000000002</v>
      </c>
      <c r="D643" s="594" t="s">
        <v>196</v>
      </c>
      <c r="E643" s="594"/>
      <c r="F643" s="594"/>
      <c r="G643" s="594"/>
      <c r="H643" s="280" t="s">
        <v>773</v>
      </c>
      <c r="I643" s="76"/>
      <c r="J643" s="465" t="s">
        <v>1042</v>
      </c>
    </row>
    <row r="644" spans="1:12">
      <c r="A644" s="11">
        <v>26</v>
      </c>
      <c r="B644" s="277" t="s">
        <v>1121</v>
      </c>
      <c r="C644" s="464">
        <v>0.32300000000000001</v>
      </c>
      <c r="D644" s="594" t="s">
        <v>196</v>
      </c>
      <c r="E644" s="594"/>
      <c r="F644" s="594"/>
      <c r="G644" s="594"/>
      <c r="H644" s="281" t="s">
        <v>775</v>
      </c>
      <c r="I644" s="76"/>
      <c r="J644" s="465" t="s">
        <v>1122</v>
      </c>
    </row>
    <row r="645" spans="1:12" ht="15.75" customHeight="1">
      <c r="A645" s="11">
        <v>27</v>
      </c>
      <c r="B645" s="277" t="s">
        <v>1124</v>
      </c>
      <c r="C645" s="464">
        <v>0.46500000000000002</v>
      </c>
      <c r="D645" s="594" t="s">
        <v>196</v>
      </c>
      <c r="E645" s="594"/>
      <c r="F645" s="594"/>
      <c r="G645" s="594"/>
      <c r="H645" s="280" t="s">
        <v>773</v>
      </c>
      <c r="I645" s="76"/>
      <c r="J645" s="76"/>
    </row>
    <row r="646" spans="1:12" ht="15.75" customHeight="1">
      <c r="A646" s="11">
        <v>28</v>
      </c>
      <c r="B646" s="274" t="s">
        <v>1131</v>
      </c>
      <c r="C646" s="422">
        <v>0.82199999999999995</v>
      </c>
      <c r="D646" s="585" t="s">
        <v>772</v>
      </c>
      <c r="E646" s="586"/>
      <c r="F646" s="586"/>
      <c r="G646" s="587"/>
      <c r="H646" s="76" t="s">
        <v>773</v>
      </c>
      <c r="I646" s="76"/>
      <c r="J646" s="76"/>
    </row>
    <row r="647" spans="1:12" ht="15">
      <c r="A647" s="11"/>
      <c r="B647" s="274"/>
      <c r="C647" s="422"/>
      <c r="D647" s="432"/>
      <c r="E647" s="433"/>
      <c r="F647" s="433"/>
      <c r="G647" s="278"/>
      <c r="H647" s="76"/>
      <c r="I647" s="76"/>
      <c r="J647" s="76"/>
    </row>
    <row r="648" spans="1:12" ht="15">
      <c r="A648" s="76"/>
      <c r="B648" s="274"/>
      <c r="C648" s="422"/>
      <c r="D648" s="612"/>
      <c r="E648" s="613"/>
      <c r="F648" s="613"/>
      <c r="G648" s="614"/>
      <c r="H648" s="76"/>
      <c r="I648" s="76"/>
      <c r="J648" s="76"/>
    </row>
    <row r="649" spans="1:12" ht="21">
      <c r="A649" s="603" t="s">
        <v>199</v>
      </c>
      <c r="B649" s="604"/>
      <c r="C649" s="604"/>
      <c r="D649" s="604"/>
      <c r="E649" s="604"/>
      <c r="F649" s="604"/>
      <c r="G649" s="604"/>
      <c r="H649" s="604"/>
      <c r="I649" s="604"/>
      <c r="J649" s="605"/>
    </row>
    <row r="650" spans="1:12" ht="32.25" thickBot="1">
      <c r="A650" s="30" t="s">
        <v>188</v>
      </c>
      <c r="B650" s="30" t="s">
        <v>70</v>
      </c>
      <c r="C650" s="455" t="s">
        <v>1023</v>
      </c>
      <c r="D650" s="606" t="s">
        <v>71</v>
      </c>
      <c r="E650" s="607"/>
      <c r="F650" s="607"/>
      <c r="G650" s="608"/>
      <c r="H650" s="30" t="s">
        <v>192</v>
      </c>
      <c r="I650" s="30" t="s">
        <v>193</v>
      </c>
      <c r="J650" s="30" t="s">
        <v>1029</v>
      </c>
    </row>
    <row r="651" spans="1:12" ht="25.5">
      <c r="A651" s="211">
        <v>1</v>
      </c>
      <c r="B651" s="226" t="s">
        <v>1022</v>
      </c>
      <c r="C651" s="459">
        <v>4415.75</v>
      </c>
      <c r="D651" s="594" t="s">
        <v>196</v>
      </c>
      <c r="E651" s="594"/>
      <c r="F651" s="594"/>
      <c r="G651" s="594"/>
      <c r="H651" s="426" t="s">
        <v>1024</v>
      </c>
      <c r="I651" s="211"/>
      <c r="J651" s="463" t="s">
        <v>1030</v>
      </c>
      <c r="K651" s="431">
        <v>45944</v>
      </c>
      <c r="L651" s="431">
        <v>45948</v>
      </c>
    </row>
    <row r="652" spans="1:12" ht="25.5" customHeight="1">
      <c r="A652" s="211">
        <v>2</v>
      </c>
      <c r="B652" s="226" t="s">
        <v>1027</v>
      </c>
      <c r="C652" s="459">
        <v>4340.9399999999996</v>
      </c>
      <c r="D652" s="594" t="s">
        <v>196</v>
      </c>
      <c r="E652" s="594"/>
      <c r="F652" s="594"/>
      <c r="G652" s="594"/>
      <c r="H652" s="426" t="s">
        <v>1024</v>
      </c>
      <c r="I652" s="211"/>
      <c r="J652" s="463" t="s">
        <v>1031</v>
      </c>
      <c r="K652" s="431">
        <v>45952</v>
      </c>
      <c r="L652" s="431">
        <v>45954</v>
      </c>
    </row>
    <row r="653" spans="1:12" ht="25.5" customHeight="1">
      <c r="A653" s="211">
        <v>3</v>
      </c>
      <c r="B653" s="226" t="s">
        <v>1028</v>
      </c>
      <c r="C653" s="459">
        <v>4675.9799999999996</v>
      </c>
      <c r="D653" s="594" t="s">
        <v>196</v>
      </c>
      <c r="E653" s="594"/>
      <c r="F653" s="594"/>
      <c r="G653" s="594"/>
      <c r="H653" s="426" t="s">
        <v>1024</v>
      </c>
      <c r="I653" s="211"/>
      <c r="J653" s="463" t="s">
        <v>1032</v>
      </c>
      <c r="K653" s="431">
        <v>45955</v>
      </c>
      <c r="L653" s="431">
        <v>45956</v>
      </c>
    </row>
    <row r="654" spans="1:12" ht="25.5">
      <c r="A654" s="211">
        <v>4</v>
      </c>
      <c r="B654" s="226" t="s">
        <v>1036</v>
      </c>
      <c r="C654" s="459">
        <v>3193.2280000000001</v>
      </c>
      <c r="D654" s="594" t="s">
        <v>196</v>
      </c>
      <c r="E654" s="594"/>
      <c r="F654" s="594"/>
      <c r="G654" s="594"/>
      <c r="H654" s="426" t="s">
        <v>1024</v>
      </c>
      <c r="I654" s="211"/>
      <c r="J654" s="463" t="s">
        <v>1037</v>
      </c>
      <c r="K654" s="431">
        <v>45958</v>
      </c>
      <c r="L654" s="431">
        <v>45961</v>
      </c>
    </row>
    <row r="655" spans="1:12" ht="25.5">
      <c r="A655" s="211">
        <v>5</v>
      </c>
      <c r="B655" s="226" t="s">
        <v>1038</v>
      </c>
      <c r="C655" s="459">
        <v>3957.049</v>
      </c>
      <c r="D655" s="594" t="s">
        <v>196</v>
      </c>
      <c r="E655" s="594"/>
      <c r="F655" s="594"/>
      <c r="G655" s="594"/>
      <c r="H655" s="426" t="s">
        <v>1024</v>
      </c>
      <c r="I655" s="211"/>
      <c r="J655" s="463" t="s">
        <v>1039</v>
      </c>
      <c r="K655" s="431">
        <v>45962</v>
      </c>
      <c r="L655" s="431">
        <v>45964</v>
      </c>
    </row>
    <row r="656" spans="1:12" ht="25.5">
      <c r="A656" s="211">
        <v>6</v>
      </c>
      <c r="B656" s="226" t="s">
        <v>1044</v>
      </c>
      <c r="C656" s="459">
        <v>4780.4960000000001</v>
      </c>
      <c r="D656" s="594" t="s">
        <v>196</v>
      </c>
      <c r="E656" s="594"/>
      <c r="F656" s="594"/>
      <c r="G656" s="594"/>
      <c r="H656" s="426" t="s">
        <v>1024</v>
      </c>
      <c r="I656" s="211"/>
      <c r="J656" s="463" t="s">
        <v>1046</v>
      </c>
      <c r="K656" s="431">
        <v>45965</v>
      </c>
      <c r="L656" s="431">
        <v>45967</v>
      </c>
    </row>
    <row r="657" spans="1:12" ht="25.5">
      <c r="A657" s="211">
        <v>7</v>
      </c>
      <c r="B657" s="226" t="s">
        <v>1045</v>
      </c>
      <c r="C657" s="459">
        <v>4690.8360000000002</v>
      </c>
      <c r="D657" s="594" t="s">
        <v>196</v>
      </c>
      <c r="E657" s="594"/>
      <c r="F657" s="594"/>
      <c r="G657" s="594"/>
      <c r="H657" s="426" t="s">
        <v>1024</v>
      </c>
      <c r="I657" s="211"/>
      <c r="J657" s="463" t="s">
        <v>1047</v>
      </c>
      <c r="K657" s="431">
        <v>45971</v>
      </c>
      <c r="L657" s="431">
        <v>45974</v>
      </c>
    </row>
    <row r="658" spans="1:12" ht="25.5">
      <c r="A658" s="211">
        <v>8</v>
      </c>
      <c r="B658" s="226" t="s">
        <v>1114</v>
      </c>
      <c r="C658" s="459">
        <v>2750.4609999999998</v>
      </c>
      <c r="D658" s="594" t="s">
        <v>196</v>
      </c>
      <c r="E658" s="594"/>
      <c r="F658" s="594"/>
      <c r="G658" s="594"/>
      <c r="H658" s="426" t="s">
        <v>1024</v>
      </c>
      <c r="I658" s="211"/>
      <c r="J658" s="463" t="s">
        <v>1115</v>
      </c>
      <c r="K658" s="431">
        <v>45977</v>
      </c>
      <c r="L658" s="431">
        <v>45979</v>
      </c>
    </row>
    <row r="659" spans="1:12" ht="25.5">
      <c r="A659" s="211">
        <v>9</v>
      </c>
      <c r="B659" s="226" t="s">
        <v>1118</v>
      </c>
      <c r="C659" s="459">
        <v>4239.1030000000001</v>
      </c>
      <c r="D659" s="594" t="s">
        <v>196</v>
      </c>
      <c r="E659" s="594"/>
      <c r="F659" s="594"/>
      <c r="G659" s="594"/>
      <c r="H659" s="426" t="s">
        <v>1024</v>
      </c>
      <c r="I659" s="211"/>
      <c r="J659" s="463" t="s">
        <v>1117</v>
      </c>
      <c r="K659" s="431">
        <v>45981</v>
      </c>
      <c r="L659" s="431">
        <v>45986</v>
      </c>
    </row>
    <row r="660" spans="1:12" ht="25.5">
      <c r="A660" s="211">
        <v>9</v>
      </c>
      <c r="B660" s="226" t="s">
        <v>1129</v>
      </c>
      <c r="C660" s="459">
        <v>4958</v>
      </c>
      <c r="D660" s="594" t="s">
        <v>196</v>
      </c>
      <c r="E660" s="594"/>
      <c r="F660" s="594"/>
      <c r="G660" s="594"/>
      <c r="H660" s="426" t="s">
        <v>1024</v>
      </c>
      <c r="I660" s="211">
        <v>14</v>
      </c>
      <c r="J660" s="463" t="s">
        <v>1130</v>
      </c>
      <c r="K660" s="431">
        <v>45991</v>
      </c>
      <c r="L660" s="431">
        <v>45995</v>
      </c>
    </row>
    <row r="661" spans="1:12">
      <c r="A661" s="211"/>
      <c r="B661" s="226"/>
      <c r="C661" s="459"/>
      <c r="D661" s="501"/>
      <c r="E661" s="502"/>
      <c r="F661" s="502"/>
      <c r="G661" s="503"/>
      <c r="H661" s="426"/>
      <c r="I661" s="211"/>
      <c r="J661" s="463"/>
      <c r="K661" s="431"/>
      <c r="L661" s="431"/>
    </row>
    <row r="662" spans="1:12">
      <c r="A662" s="211"/>
      <c r="B662" s="226"/>
      <c r="C662" s="459"/>
      <c r="D662" s="501"/>
      <c r="E662" s="502"/>
      <c r="F662" s="502"/>
      <c r="G662" s="503"/>
      <c r="H662" s="426"/>
      <c r="I662" s="211"/>
      <c r="J662" s="463"/>
      <c r="K662" s="431"/>
      <c r="L662" s="431"/>
    </row>
    <row r="663" spans="1:12">
      <c r="A663" s="211"/>
      <c r="B663" s="226"/>
      <c r="C663" s="459"/>
      <c r="D663" s="460"/>
      <c r="E663" s="461"/>
      <c r="F663" s="461"/>
      <c r="G663" s="462"/>
      <c r="H663" s="426"/>
      <c r="I663" s="211"/>
      <c r="J663" s="427"/>
      <c r="K663" s="431"/>
      <c r="L663" s="431"/>
    </row>
    <row r="664" spans="1:12">
      <c r="A664" s="211"/>
      <c r="B664" s="226"/>
      <c r="C664" s="459"/>
      <c r="D664" s="460"/>
      <c r="E664" s="461"/>
      <c r="F664" s="461"/>
      <c r="G664" s="462"/>
      <c r="H664" s="426"/>
      <c r="I664" s="211"/>
      <c r="J664" s="427"/>
      <c r="K664" s="431"/>
      <c r="L664" s="431"/>
    </row>
    <row r="665" spans="1:12">
      <c r="A665" s="211"/>
      <c r="B665" s="226"/>
      <c r="C665" s="459"/>
      <c r="D665" s="460"/>
      <c r="E665" s="461"/>
      <c r="F665" s="461"/>
      <c r="G665" s="462"/>
      <c r="H665" s="426"/>
      <c r="I665" s="211"/>
      <c r="J665" s="427"/>
      <c r="K665" s="431"/>
      <c r="L665" s="431"/>
    </row>
    <row r="666" spans="1:12" ht="15">
      <c r="A666" s="211"/>
      <c r="B666" s="226"/>
      <c r="C666" s="425"/>
      <c r="D666" s="609"/>
      <c r="E666" s="610"/>
      <c r="F666" s="610"/>
      <c r="G666" s="611"/>
      <c r="H666" s="426"/>
      <c r="I666" s="211"/>
      <c r="J666" s="427"/>
    </row>
    <row r="667" spans="1:12" ht="15">
      <c r="A667" s="211"/>
      <c r="B667" s="227"/>
      <c r="C667" s="457">
        <f>SUM(C651:C666)</f>
        <v>42001.843000000001</v>
      </c>
      <c r="D667" s="609"/>
      <c r="E667" s="610"/>
      <c r="F667" s="610"/>
      <c r="G667" s="611"/>
      <c r="H667" s="428"/>
      <c r="I667" s="429"/>
      <c r="J667" s="430"/>
    </row>
  </sheetData>
  <mergeCells count="731">
    <mergeCell ref="D667:G667"/>
    <mergeCell ref="A649:J649"/>
    <mergeCell ref="D650:G650"/>
    <mergeCell ref="D651:G651"/>
    <mergeCell ref="D652:G652"/>
    <mergeCell ref="D666:G666"/>
    <mergeCell ref="D636:G636"/>
    <mergeCell ref="D642:G642"/>
    <mergeCell ref="D643:G643"/>
    <mergeCell ref="D657:G657"/>
    <mergeCell ref="D656:G656"/>
    <mergeCell ref="D654:G654"/>
    <mergeCell ref="D655:G655"/>
    <mergeCell ref="D658:G658"/>
    <mergeCell ref="D660:G660"/>
    <mergeCell ref="D640:G640"/>
    <mergeCell ref="D648:G648"/>
    <mergeCell ref="D638:G638"/>
    <mergeCell ref="D639:G639"/>
    <mergeCell ref="D644:G644"/>
    <mergeCell ref="D645:G645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59:G659"/>
    <mergeCell ref="D641:G641"/>
    <mergeCell ref="D623:G623"/>
    <mergeCell ref="D631:G631"/>
    <mergeCell ref="D624:G624"/>
    <mergeCell ref="D625:G625"/>
    <mergeCell ref="G609:J609"/>
    <mergeCell ref="G603:J603"/>
    <mergeCell ref="G604:J604"/>
    <mergeCell ref="D634:G634"/>
    <mergeCell ref="D627:G627"/>
    <mergeCell ref="D629:G629"/>
    <mergeCell ref="D630:G630"/>
    <mergeCell ref="G590:J590"/>
    <mergeCell ref="D628:G628"/>
    <mergeCell ref="G594:J594"/>
    <mergeCell ref="D632:G632"/>
    <mergeCell ref="D626:G626"/>
    <mergeCell ref="G595:J595"/>
    <mergeCell ref="G599:J599"/>
    <mergeCell ref="G606:J606"/>
    <mergeCell ref="G605:J605"/>
    <mergeCell ref="G571:J571"/>
    <mergeCell ref="D637:G637"/>
    <mergeCell ref="G578:J578"/>
    <mergeCell ref="A617:J617"/>
    <mergeCell ref="D618:G618"/>
    <mergeCell ref="D619:G619"/>
    <mergeCell ref="D620:G620"/>
    <mergeCell ref="D633:G633"/>
    <mergeCell ref="G587:J587"/>
    <mergeCell ref="G593:J593"/>
    <mergeCell ref="G597:J597"/>
    <mergeCell ref="D635:G635"/>
    <mergeCell ref="D621:G621"/>
    <mergeCell ref="D622:G622"/>
    <mergeCell ref="G596:J596"/>
    <mergeCell ref="G600:J600"/>
    <mergeCell ref="G598:J598"/>
    <mergeCell ref="G601:J601"/>
    <mergeCell ref="G579:J579"/>
    <mergeCell ref="G580:J580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3:J313"/>
    <mergeCell ref="G314:J314"/>
    <mergeCell ref="G315:J315"/>
    <mergeCell ref="G316:J316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179:J179"/>
    <mergeCell ref="G167:J167"/>
    <mergeCell ref="G168:J168"/>
    <mergeCell ref="G169:J169"/>
    <mergeCell ref="G170:J170"/>
    <mergeCell ref="G171:J171"/>
    <mergeCell ref="G172:J172"/>
    <mergeCell ref="G311:J311"/>
    <mergeCell ref="G312:J312"/>
    <mergeCell ref="G199:J199"/>
    <mergeCell ref="G223:J223"/>
    <mergeCell ref="G220:J220"/>
    <mergeCell ref="G221:J221"/>
    <mergeCell ref="G219:J219"/>
    <mergeCell ref="G224:J224"/>
    <mergeCell ref="G225:J225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03:J103"/>
    <mergeCell ref="G47:J47"/>
    <mergeCell ref="G48:J48"/>
    <mergeCell ref="G49:J49"/>
    <mergeCell ref="G50:J50"/>
    <mergeCell ref="G51:J51"/>
    <mergeCell ref="G52:J52"/>
    <mergeCell ref="G210:J210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35:J35"/>
    <mergeCell ref="G39:J39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195:J195"/>
    <mergeCell ref="G196:J196"/>
    <mergeCell ref="G197:J197"/>
    <mergeCell ref="G198:J198"/>
    <mergeCell ref="G227:J227"/>
    <mergeCell ref="G215:J215"/>
    <mergeCell ref="G216:J216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67:J67"/>
    <mergeCell ref="G68:J68"/>
    <mergeCell ref="G69:J69"/>
    <mergeCell ref="G75:J75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D653:G653"/>
    <mergeCell ref="G607:J607"/>
    <mergeCell ref="G12:J12"/>
    <mergeCell ref="N12:P12"/>
    <mergeCell ref="G31:J31"/>
    <mergeCell ref="G32:J32"/>
    <mergeCell ref="G33:J33"/>
    <mergeCell ref="G34:J34"/>
    <mergeCell ref="G19:J19"/>
    <mergeCell ref="G20:J20"/>
    <mergeCell ref="G21:J21"/>
    <mergeCell ref="G22:J22"/>
    <mergeCell ref="G85:J85"/>
    <mergeCell ref="G86:J86"/>
    <mergeCell ref="G87:J87"/>
    <mergeCell ref="G88:J88"/>
    <mergeCell ref="G76:J76"/>
    <mergeCell ref="G77:J77"/>
    <mergeCell ref="G78:J78"/>
    <mergeCell ref="G183:J183"/>
    <mergeCell ref="G184:J184"/>
    <mergeCell ref="G36:J36"/>
    <mergeCell ref="G109:J109"/>
    <mergeCell ref="G110:J110"/>
    <mergeCell ref="G610:J610"/>
    <mergeCell ref="G611:J611"/>
    <mergeCell ref="G612:J612"/>
    <mergeCell ref="D646:G646"/>
    <mergeCell ref="G608:J608"/>
    <mergeCell ref="G602:J602"/>
    <mergeCell ref="G104:J104"/>
    <mergeCell ref="G105:J105"/>
    <mergeCell ref="G106:J106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</mergeCells>
  <phoneticPr fontId="83" type="noConversion"/>
  <conditionalFormatting sqref="B13:B51 B56:B59 B63:B94 B100:B287 B292:B294 B297:B316">
    <cfRule type="expression" dxfId="659" priority="9507" stopIfTrue="1">
      <formula>AND(COUNTIF($D$1:$D$313, B13)+COUNTIF($D$314:$D$65550, B13)&gt;1,NOT(ISBLANK(B13)))</formula>
    </cfRule>
    <cfRule type="expression" dxfId="658" priority="9508" stopIfTrue="1">
      <formula>AND(COUNTIF($D$1:$D$313, B13)+COUNTIF($D$314:$D$65550, B13)&gt;1,NOT(ISBLANK(B13)))</formula>
    </cfRule>
    <cfRule type="expression" dxfId="657" priority="9509" stopIfTrue="1">
      <formula>AND(COUNTIF($D$1:$D$313, B13)+COUNTIF($D$314:$D$65550, B13)&gt;1,NOT(ISBLANK(B13)))</formula>
    </cfRule>
    <cfRule type="expression" dxfId="656" priority="9510" stopIfTrue="1">
      <formula>AND(COUNTIF($D$1:$D$313, B13)+COUNTIF($D$314:$D$65550, B13)&gt;1,NOT(ISBLANK(B13)))</formula>
    </cfRule>
  </conditionalFormatting>
  <conditionalFormatting sqref="B13:B51 B56:B59 B63:B94 B174:B240 B243:B244 B247 B249:B252 B257 B263 B100:B126">
    <cfRule type="expression" dxfId="655" priority="9497" stopIfTrue="1">
      <formula>AND(COUNTIF($D$171:$D$65550, B13)+COUNTIF($D$1:$D$122, B13)&gt;1,NOT(ISBLANK(B13)))</formula>
    </cfRule>
  </conditionalFormatting>
  <conditionalFormatting sqref="B13:B287 B293:B294 B297:B316">
    <cfRule type="duplicateValues" dxfId="654" priority="637"/>
  </conditionalFormatting>
  <conditionalFormatting sqref="B52">
    <cfRule type="duplicateValues" dxfId="653" priority="9531"/>
    <cfRule type="expression" dxfId="652" priority="9532" stopIfTrue="1">
      <formula>AND(COUNTIF($E$1:$E$65393, B52)+COUNTIF(#REF!, B52)&gt;1,NOT(ISBLANK(B52)))</formula>
    </cfRule>
    <cfRule type="expression" dxfId="651" priority="9533" stopIfTrue="1">
      <formula>AND(COUNTIF($E$314:$E$65403,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  <cfRule type="expression" dxfId="650" priority="9534" stopIfTrue="1">
      <formula>AND(COUNTIF($E$1:$E$65403, B52)+COUNTIF(#REF!, B52)&gt;1,NOT(ISBLANK(B52)))</formula>
    </cfRule>
    <cfRule type="expression" dxfId="649" priority="9535" stopIfTrue="1">
      <formula>AND(COUNTIF($E$314:$E$65393,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</conditionalFormatting>
  <conditionalFormatting sqref="B53:B54">
    <cfRule type="duplicateValues" dxfId="648" priority="9536"/>
    <cfRule type="expression" dxfId="647" priority="9537" stopIfTrue="1">
      <formula>AND(COUNTIF($C$249:$C$65399,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46" priority="9538" stopIfTrue="1">
      <formula>AND(COUNTIF($C$1:$C$65399, B53)+COUNTIF(#REF!, B53)&gt;1,NOT(ISBLANK(B53)))</formula>
    </cfRule>
  </conditionalFormatting>
  <conditionalFormatting sqref="B54 B60">
    <cfRule type="expression" dxfId="645" priority="9539" stopIfTrue="1">
      <formula>AND(COUNTIF($C$249:$C$65399,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44" priority="9540" stopIfTrue="1">
      <formula>AND(COUNTIF($C$1:$C$65399, B54)+COUNTIF(#REF!, B54)&gt;1,NOT(ISBLANK(B54)))</formula>
    </cfRule>
    <cfRule type="expression" dxfId="643" priority="9541" stopIfTrue="1">
      <formula>AND(COUNTIF($E$1:$E$65393, B54)+COUNTIF(#REF!, B54)&gt;1,NOT(ISBLANK(B54)))</formula>
    </cfRule>
    <cfRule type="expression" dxfId="642" priority="9542" stopIfTrue="1">
      <formula>AND(COUNTIF($E$314:$E$65393,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</conditionalFormatting>
  <conditionalFormatting sqref="B55:B60">
    <cfRule type="expression" dxfId="641" priority="9547" stopIfTrue="1">
      <formula>AND(COUNTIF($C$308:$C$65418,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40" priority="9548" stopIfTrue="1">
      <formula>AND(COUNTIF($C$1:$C$65418, B55)+COUNTIF(#REF!, B55)&gt;1,NOT(ISBLANK(B55)))</formula>
    </cfRule>
  </conditionalFormatting>
  <conditionalFormatting sqref="B56:B59 B13:B51 B63:B94 B100:B132 B134:B240 B243:B244 B247 B249:B252 B257 B263">
    <cfRule type="expression" dxfId="639" priority="9549" stopIfTrue="1">
      <formula>AND(COUNTIF($D$130:$D$65550, B13)+COUNTIF($D$1:$D$128, B13)&gt;1,NOT(ISBLANK(B13)))</formula>
    </cfRule>
  </conditionalFormatting>
  <conditionalFormatting sqref="B60 B54">
    <cfRule type="duplicateValues" dxfId="638" priority="705"/>
  </conditionalFormatting>
  <conditionalFormatting sqref="B84:B87 B91:B94 B100:B126 B174:B194 B196 B198">
    <cfRule type="expression" dxfId="637" priority="9559" stopIfTrue="1">
      <formula>AND(COUNTIF($D$575:$D$65550,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36" priority="618"/>
    <cfRule type="duplicateValues" dxfId="635" priority="619"/>
  </conditionalFormatting>
  <conditionalFormatting sqref="B127:B132 B134:B145 B147:B148">
    <cfRule type="expression" dxfId="634" priority="617" stopIfTrue="1">
      <formula>AND(COUNTIF($D$130:$D$144, B127)+COUNTIF($D$123:$D$128, B127)&gt;1,NOT(ISBLANK(B127)))</formula>
    </cfRule>
  </conditionalFormatting>
  <conditionalFormatting sqref="B127:B132 B134:B157 B159:B172">
    <cfRule type="expression" dxfId="633" priority="568" stopIfTrue="1">
      <formula>AND(COUNTIF($B$8:$B$38, B127)+COUNTIF($B$41:$B$57, B127)&gt;1,NOT(ISBLANK(B127)))</formula>
    </cfRule>
    <cfRule type="expression" dxfId="632" priority="616" stopIfTrue="1">
      <formula>AND(COUNTIF($B$8:$B$38, B127)+COUNTIF($B$41:$B$57, B127)&gt;1,NOT(ISBLANK(B127)))</formula>
    </cfRule>
  </conditionalFormatting>
  <conditionalFormatting sqref="B127:B132 B134:B174">
    <cfRule type="expression" dxfId="631" priority="615" stopIfTrue="1">
      <formula>AND(COUNTIF($D$130:$D$170, B127)+COUNTIF($D$123:$D$128, B127)&gt;1,NOT(ISBLANK(B127)))</formula>
    </cfRule>
  </conditionalFormatting>
  <conditionalFormatting sqref="B127:B157 B159:B172">
    <cfRule type="expression" dxfId="630" priority="9565" stopIfTrue="1">
      <formula>AND(COUNTIF($C$502:$C$65550,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29" priority="612"/>
    <cfRule type="duplicateValues" dxfId="628" priority="613"/>
  </conditionalFormatting>
  <conditionalFormatting sqref="B129">
    <cfRule type="duplicateValues" dxfId="627" priority="611"/>
  </conditionalFormatting>
  <conditionalFormatting sqref="B129:B130">
    <cfRule type="duplicateValues" dxfId="626" priority="609"/>
    <cfRule type="duplicateValues" dxfId="625" priority="610"/>
  </conditionalFormatting>
  <conditionalFormatting sqref="B129:B132 B134:B155">
    <cfRule type="expression" dxfId="624" priority="608" stopIfTrue="1">
      <formula>AND(COUNTIF($B$36:$B$36, B129)+COUNTIF($B$10:$B$34, B129)&gt;1,NOT(ISBLANK(B129)))</formula>
    </cfRule>
  </conditionalFormatting>
  <conditionalFormatting sqref="B130">
    <cfRule type="duplicateValues" dxfId="623" priority="606"/>
    <cfRule type="duplicateValues" dxfId="622" priority="607"/>
  </conditionalFormatting>
  <conditionalFormatting sqref="B131 B134">
    <cfRule type="expression" dxfId="621" priority="605" stopIfTrue="1">
      <formula>AND(COUNTIF($B$16:$B$16, B131)+COUNTIF($B$12:$B$16, B131)&gt;1,NOT(ISBLANK(B131)))</formula>
    </cfRule>
  </conditionalFormatting>
  <conditionalFormatting sqref="B131 B134:B155">
    <cfRule type="expression" dxfId="620" priority="604" stopIfTrue="1">
      <formula>AND(COUNTIF($B$12:$B$12, B131)+COUNTIF($B$36:$B$36, B131)+COUNTIF($B$14:$B$34, B131)&gt;1,NOT(ISBLANK(B131)))</formula>
    </cfRule>
  </conditionalFormatting>
  <conditionalFormatting sqref="B131">
    <cfRule type="duplicateValues" dxfId="619" priority="602"/>
    <cfRule type="duplicateValues" dxfId="618" priority="603"/>
  </conditionalFormatting>
  <conditionalFormatting sqref="B131:B132 B134:B135 B142">
    <cfRule type="expression" dxfId="617" priority="601" stopIfTrue="1">
      <formula>AND(COUNTIF($B$24:$B$24, B131)+COUNTIF(#REF!, B131)&gt;1,NOT(ISBLANK(B131)))</formula>
    </cfRule>
  </conditionalFormatting>
  <conditionalFormatting sqref="B131:B132 B134:B135">
    <cfRule type="expression" dxfId="616" priority="600" stopIfTrue="1">
      <formula>AND(COUNTIF($D$130:$D$131, B131)+COUNTIF($D$127:$D$128, B131)&gt;1,NOT(ISBLANK(B131)))</formula>
    </cfRule>
  </conditionalFormatting>
  <conditionalFormatting sqref="B131:B132 B134:B145 B147:B148">
    <cfRule type="expression" dxfId="615" priority="599" stopIfTrue="1">
      <formula>AND(COUNTIF($D$130:$D$144, B131)+COUNTIF($D$127:$D$128, B131)&gt;1,NOT(ISBLANK(B131)))</formula>
    </cfRule>
  </conditionalFormatting>
  <conditionalFormatting sqref="B131:B132">
    <cfRule type="duplicateValues" dxfId="614" priority="598"/>
  </conditionalFormatting>
  <conditionalFormatting sqref="B132 B127:B130 B159:B172">
    <cfRule type="expression" dxfId="613" priority="596" stopIfTrue="1">
      <formula>AND(COUNTIF($B$13:$B$59, B127)+COUNTIF($B$8:$B$11, B127)&gt;1,NOT(ISBLANK(B127)))</formula>
    </cfRule>
  </conditionalFormatting>
  <conditionalFormatting sqref="B132 B134:B135">
    <cfRule type="expression" dxfId="612" priority="597" stopIfTrue="1">
      <formula>AND(COUNTIF($D$130:$D$131, B132)+COUNTIF($D$128:$D$128, B132)&gt;1,NOT(ISBLANK(B132)))</formula>
    </cfRule>
  </conditionalFormatting>
  <conditionalFormatting sqref="B132 B134:B157 B159:B172">
    <cfRule type="expression" dxfId="611" priority="567" stopIfTrue="1">
      <formula>AND(COUNTIF(#REF!, B132)+COUNTIF($B$13:$B$59, B132)&gt;1,NOT(ISBLANK(B132)))</formula>
    </cfRule>
  </conditionalFormatting>
  <conditionalFormatting sqref="B132 B142 B135">
    <cfRule type="expression" dxfId="610" priority="546" stopIfTrue="1">
      <formula>AND(COUNTIF($B$24:$B$24, B132)+COUNTIF($B$13:$B$14, B132)+COUNTIF($B$17:$B$17, B132)&gt;1,NOT(ISBLANK(B132)))</formula>
    </cfRule>
  </conditionalFormatting>
  <conditionalFormatting sqref="B132">
    <cfRule type="duplicateValues" dxfId="609" priority="594"/>
    <cfRule type="duplicateValues" dxfId="608" priority="595"/>
  </conditionalFormatting>
  <conditionalFormatting sqref="B133">
    <cfRule type="duplicateValues" dxfId="607" priority="573" stopIfTrue="1"/>
    <cfRule type="duplicateValues" dxfId="606" priority="574" stopIfTrue="1"/>
    <cfRule type="duplicateValues" dxfId="605" priority="575"/>
    <cfRule type="duplicateValues" dxfId="604" priority="576"/>
    <cfRule type="duplicateValues" dxfId="603" priority="577"/>
    <cfRule type="duplicateValues" dxfId="602" priority="578"/>
    <cfRule type="expression" dxfId="601" priority="579" stopIfTrue="1">
      <formula>AND(COUNTIF($B$24:$B$24, B133)+COUNTIF($B$13:$B$14, B133)+COUNTIF(#REF!, B133)&gt;1,NOT(ISBLANK(B133)))</formula>
    </cfRule>
    <cfRule type="expression" dxfId="600" priority="580" stopIfTrue="1">
      <formula>AND(COUNTIF($B$24:$B$24, B133)+COUNTIF($B$14:$B$14, B133)+COUNTIF(#REF!, B133)&gt;1,NOT(ISBLANK(B133)))</formula>
    </cfRule>
    <cfRule type="expression" dxfId="599" priority="581" stopIfTrue="1">
      <formula>AND(COUNTIF($B$24:$B$24, B133)+COUNTIF($B$13:$B$14, B133)+COUNTIF($B$17:$B$17, B133)&gt;1,NOT(ISBLANK(B133)))</formula>
    </cfRule>
    <cfRule type="expression" dxfId="598" priority="582" stopIfTrue="1">
      <formula>AND(COUNTIF($B$24:$B$24, B133)+COUNTIF(#REF!, B133)&gt;1,NOT(ISBLANK(B133)))</formula>
    </cfRule>
    <cfRule type="expression" dxfId="597" priority="583" stopIfTrue="1">
      <formula>AND(COUNTIF(#REF!, B133)+COUNTIF($B$13:$B$59, B133)&gt;1,NOT(ISBLANK(B133)))</formula>
    </cfRule>
    <cfRule type="expression" dxfId="596" priority="585" stopIfTrue="1">
      <formula>AND(COUNTIF($B$8:$B$38, B133)+COUNTIF($B$41:$B$57, B133)&gt;1,NOT(ISBLANK(B133)))</formula>
    </cfRule>
    <cfRule type="expression" dxfId="595" priority="586" stopIfTrue="1">
      <formula>AND(COUNTIF($B$8:$B$38, B133)+COUNTIF($B$41:$B$57, B133)&gt;1,NOT(ISBLANK(B133)))</formula>
    </cfRule>
    <cfRule type="expression" dxfId="594" priority="587" stopIfTrue="1">
      <formula>AND(COUNTIF($B$12:$B$12, B133)+COUNTIF($B$36:$B$36, B133)+COUNTIF($B$14:$B$34, B133)&gt;1,NOT(ISBLANK(B133)))</formula>
    </cfRule>
    <cfRule type="expression" dxfId="593" priority="588" stopIfTrue="1">
      <formula>AND(COUNTIF($B$36:$B$36, B133)+COUNTIF($B$10:$B$34, B133)&gt;1,NOT(ISBLANK(B133)))</formula>
    </cfRule>
    <cfRule type="duplicateValues" dxfId="592" priority="589"/>
    <cfRule type="duplicateValues" dxfId="591" priority="590"/>
    <cfRule type="duplicateValues" dxfId="590" priority="591"/>
    <cfRule type="duplicateValues" dxfId="589" priority="592"/>
    <cfRule type="duplicateValues" dxfId="588" priority="593"/>
  </conditionalFormatting>
  <conditionalFormatting sqref="B133:B157">
    <cfRule type="expression" dxfId="587" priority="584" stopIfTrue="1">
      <formula>AND(COUNTIF($B$13:$B$59, B133)+COUNTIF($B$8:$B$11, B133)&gt;1,NOT(ISBLANK(B133)))</formula>
    </cfRule>
  </conditionalFormatting>
  <conditionalFormatting sqref="B134">
    <cfRule type="duplicateValues" dxfId="586" priority="572"/>
  </conditionalFormatting>
  <conditionalFormatting sqref="B134:B135">
    <cfRule type="expression" dxfId="585" priority="569" stopIfTrue="1">
      <formula>AND(COUNTIF(#REF!, B134)+COUNTIF($B$16:$B$17, B134)&gt;1,NOT(ISBLANK(B134)))</formula>
    </cfRule>
    <cfRule type="duplicateValues" dxfId="584" priority="570"/>
    <cfRule type="duplicateValues" dxfId="583" priority="571"/>
  </conditionalFormatting>
  <conditionalFormatting sqref="B135 B132">
    <cfRule type="expression" dxfId="582" priority="566" stopIfTrue="1">
      <formula>AND(COUNTIF(#REF!, B132)+COUNTIF($B$17:$B$17, B132)+COUNTIF($B$13:$B$13, B132)&gt;1,NOT(ISBLANK(B132)))</formula>
    </cfRule>
  </conditionalFormatting>
  <conditionalFormatting sqref="B135">
    <cfRule type="expression" dxfId="581" priority="565" stopIfTrue="1">
      <formula>AND(COUNTIF(#REF!, B135)+COUNTIF($B$17:$B$17, B135)&gt;1,NOT(ISBLANK(B135)))</formula>
    </cfRule>
  </conditionalFormatting>
  <conditionalFormatting sqref="B136">
    <cfRule type="duplicateValues" dxfId="580" priority="564"/>
  </conditionalFormatting>
  <conditionalFormatting sqref="B136:B137 B142">
    <cfRule type="expression" dxfId="579" priority="563" stopIfTrue="1">
      <formula>AND(COUNTIF(#REF!, B136)+COUNTIF($B$18:$B$24, B136)&gt;1,NOT(ISBLANK(B136)))</formula>
    </cfRule>
  </conditionalFormatting>
  <conditionalFormatting sqref="B136:B137">
    <cfRule type="duplicateValues" dxfId="578" priority="560"/>
    <cfRule type="duplicateValues" dxfId="577" priority="561"/>
    <cfRule type="duplicateValues" dxfId="576" priority="562"/>
  </conditionalFormatting>
  <conditionalFormatting sqref="B136:B145 B147:B148">
    <cfRule type="duplicateValues" dxfId="575" priority="559"/>
  </conditionalFormatting>
  <conditionalFormatting sqref="B137">
    <cfRule type="duplicateValues" dxfId="574" priority="558"/>
  </conditionalFormatting>
  <conditionalFormatting sqref="B138">
    <cfRule type="duplicateValues" dxfId="573" priority="557"/>
  </conditionalFormatting>
  <conditionalFormatting sqref="B138:B140">
    <cfRule type="duplicateValues" dxfId="572" priority="555"/>
    <cfRule type="duplicateValues" dxfId="571" priority="556"/>
  </conditionalFormatting>
  <conditionalFormatting sqref="B138:B146">
    <cfRule type="expression" dxfId="570" priority="554" stopIfTrue="1">
      <formula>AND(COUNTIF($B$26:$B$26, B138)+COUNTIF($B$20:$B$23, B138)&gt;1,NOT(ISBLANK(B138)))</formula>
    </cfRule>
  </conditionalFormatting>
  <conditionalFormatting sqref="B138:B147">
    <cfRule type="expression" dxfId="569" priority="553" stopIfTrue="1">
      <formula>AND(COUNTIF($B$26:$B$27, B138)+COUNTIF($B$20:$B$23, B138)&gt;1,NOT(ISBLANK(B138)))</formula>
    </cfRule>
  </conditionalFormatting>
  <conditionalFormatting sqref="B138:B148">
    <cfRule type="expression" dxfId="568" priority="552" stopIfTrue="1">
      <formula>AND(COUNTIF($B$25:$B$28, B138)+COUNTIF($B$20:$B$23, B138)&gt;1,NOT(ISBLANK(B138)))</formula>
    </cfRule>
  </conditionalFormatting>
  <conditionalFormatting sqref="B138:B155">
    <cfRule type="expression" dxfId="567" priority="551" stopIfTrue="1">
      <formula>AND(COUNTIF($B$36:$B$36, B138)+COUNTIF($B$20:$B$34, B138)&gt;1,NOT(ISBLANK(B138)))</formula>
    </cfRule>
  </conditionalFormatting>
  <conditionalFormatting sqref="B139:B140">
    <cfRule type="duplicateValues" dxfId="566" priority="549"/>
    <cfRule type="duplicateValues" dxfId="565" priority="550"/>
  </conditionalFormatting>
  <conditionalFormatting sqref="B140:B141">
    <cfRule type="duplicateValues" dxfId="564" priority="547"/>
    <cfRule type="duplicateValues" dxfId="563" priority="548"/>
  </conditionalFormatting>
  <conditionalFormatting sqref="B142 B132">
    <cfRule type="expression" dxfId="562" priority="545" stopIfTrue="1">
      <formula>AND(COUNTIF($B$24:$B$24, B132)+COUNTIF($B$13:$B$14, B132)+COUNTIF(#REF!, B132)&gt;1,NOT(ISBLANK(B132)))</formula>
    </cfRule>
  </conditionalFormatting>
  <conditionalFormatting sqref="B142">
    <cfRule type="expression" dxfId="561" priority="544" stopIfTrue="1">
      <formula>AND(COUNTIF($B$24:$B$24, B142)+COUNTIF($B$14:$B$14, B142)+COUNTIF(#REF!, B142)&gt;1,NOT(ISBLANK(B142)))</formula>
    </cfRule>
  </conditionalFormatting>
  <conditionalFormatting sqref="B142:B144">
    <cfRule type="duplicateValues" dxfId="560" priority="543"/>
  </conditionalFormatting>
  <conditionalFormatting sqref="B142:B145 B147">
    <cfRule type="duplicateValues" dxfId="559" priority="542"/>
  </conditionalFormatting>
  <conditionalFormatting sqref="B143:B145 B147">
    <cfRule type="duplicateValues" dxfId="558" priority="539"/>
    <cfRule type="duplicateValues" dxfId="557" priority="540"/>
    <cfRule type="duplicateValues" dxfId="556" priority="541"/>
  </conditionalFormatting>
  <conditionalFormatting sqref="B145 B147">
    <cfRule type="duplicateValues" dxfId="555" priority="537"/>
    <cfRule type="duplicateValues" dxfId="554" priority="538"/>
  </conditionalFormatting>
  <conditionalFormatting sqref="B145 B147:B149">
    <cfRule type="duplicateValues" dxfId="553" priority="536"/>
  </conditionalFormatting>
  <conditionalFormatting sqref="B146 B148:B149">
    <cfRule type="duplicateValues" dxfId="552" priority="535"/>
  </conditionalFormatting>
  <conditionalFormatting sqref="B147:B148">
    <cfRule type="duplicateValues" dxfId="551" priority="529"/>
    <cfRule type="expression" dxfId="550" priority="530" stopIfTrue="1">
      <formula>AND(COUNTIF(#REF!, B147)+COUNTIF($B$18:$B$24, B147)&gt;1,NOT(ISBLANK(B147)))</formula>
    </cfRule>
    <cfRule type="expression" dxfId="549" priority="531" stopIfTrue="1">
      <formula>AND(COUNTIF($B$24:$B$24, B147)+COUNTIF($B$13:$B$14, B147)+COUNTIF(#REF!, B147)&gt;1,NOT(ISBLANK(B147)))</formula>
    </cfRule>
    <cfRule type="expression" dxfId="548" priority="532" stopIfTrue="1">
      <formula>AND(COUNTIF($B$24:$B$24, B147)+COUNTIF($B$14:$B$14, B147)+COUNTIF(#REF!, B147)&gt;1,NOT(ISBLANK(B147)))</formula>
    </cfRule>
    <cfRule type="expression" dxfId="547" priority="533" stopIfTrue="1">
      <formula>AND(COUNTIF($B$24:$B$24, B147)+COUNTIF($B$13:$B$14, B147)+COUNTIF($B$17:$B$17, B147)&gt;1,NOT(ISBLANK(B147)))</formula>
    </cfRule>
    <cfRule type="expression" dxfId="546" priority="534" stopIfTrue="1">
      <formula>AND(COUNTIF($B$24:$B$24, B147)+COUNTIF(#REF!, B147)&gt;1,NOT(ISBLANK(B147)))</formula>
    </cfRule>
  </conditionalFormatting>
  <conditionalFormatting sqref="B148:B149">
    <cfRule type="duplicateValues" dxfId="545" priority="528"/>
  </conditionalFormatting>
  <conditionalFormatting sqref="B148:B157 B159:B172 B146">
    <cfRule type="expression" dxfId="544" priority="527" stopIfTrue="1">
      <formula>AND(COUNTIF($B$29:$B$38, B146)+COUNTIF($B$41:$B$57, B146)&gt;1,NOT(ISBLANK(B146)))</formula>
    </cfRule>
  </conditionalFormatting>
  <conditionalFormatting sqref="B149:B151">
    <cfRule type="duplicateValues" dxfId="543" priority="526"/>
  </conditionalFormatting>
  <conditionalFormatting sqref="B149:B155">
    <cfRule type="expression" dxfId="542" priority="525" stopIfTrue="1">
      <formula>AND(COUNTIF($B$36:$B$36, B149)+COUNTIF($B$32:$B$38, B149)&gt;1,NOT(ISBLANK(B149)))</formula>
    </cfRule>
  </conditionalFormatting>
  <conditionalFormatting sqref="B149:B156">
    <cfRule type="expression" dxfId="541" priority="524" stopIfTrue="1">
      <formula>AND(COUNTIF($B$35:$B$37, B149)+COUNTIF($B$32:$B$38, B149)&gt;1,NOT(ISBLANK(B149)))</formula>
    </cfRule>
  </conditionalFormatting>
  <conditionalFormatting sqref="B150:B152">
    <cfRule type="duplicateValues" dxfId="540" priority="522"/>
    <cfRule type="duplicateValues" dxfId="539" priority="523"/>
  </conditionalFormatting>
  <conditionalFormatting sqref="B150:B153">
    <cfRule type="duplicateValues" dxfId="538" priority="521"/>
  </conditionalFormatting>
  <conditionalFormatting sqref="B151:B153">
    <cfRule type="duplicateValues" dxfId="537" priority="519"/>
    <cfRule type="duplicateValues" dxfId="536" priority="520"/>
  </conditionalFormatting>
  <conditionalFormatting sqref="B152:B156">
    <cfRule type="duplicateValues" dxfId="535" priority="518"/>
  </conditionalFormatting>
  <conditionalFormatting sqref="B152:B157 B159:B172">
    <cfRule type="expression" dxfId="534" priority="517" stopIfTrue="1">
      <formula>AND(COUNTIF($B$35:$B$38, B152)+COUNTIF($B$41:$B$57, B152)&gt;1,NOT(ISBLANK(B152)))</formula>
    </cfRule>
  </conditionalFormatting>
  <conditionalFormatting sqref="B153:B155">
    <cfRule type="duplicateValues" dxfId="533" priority="516"/>
  </conditionalFormatting>
  <conditionalFormatting sqref="B153:B157 B159:B160">
    <cfRule type="expression" dxfId="532" priority="515" stopIfTrue="1">
      <formula>AND(COUNTIF($B$38:$B$47, B153)+COUNTIF($B$37:$B$37, B153)&gt;1,NOT(ISBLANK(B153)))</formula>
    </cfRule>
  </conditionalFormatting>
  <conditionalFormatting sqref="B153:B157 B159:B172">
    <cfRule type="expression" dxfId="531" priority="514" stopIfTrue="1">
      <formula>AND(COUNTIF($B$38:$B$59, B153)+COUNTIF($B$37:$B$37, B153)&gt;1,NOT(ISBLANK(B153)))</formula>
    </cfRule>
  </conditionalFormatting>
  <conditionalFormatting sqref="B153:B157">
    <cfRule type="expression" dxfId="530" priority="513" stopIfTrue="1">
      <formula>AND(COUNTIF($B$38:$B$38, B153)+COUNTIF($B$37:$B$37, B153)&gt;1,NOT(ISBLANK(B153)))</formula>
    </cfRule>
  </conditionalFormatting>
  <conditionalFormatting sqref="B154:B157">
    <cfRule type="duplicateValues" dxfId="529" priority="511"/>
    <cfRule type="duplicateValues" dxfId="528" priority="512"/>
  </conditionalFormatting>
  <conditionalFormatting sqref="B159:B160">
    <cfRule type="expression" dxfId="527" priority="510" stopIfTrue="1">
      <formula>AND(COUNTIF($B$41:$B$41, B159)+COUNTIF(#REF!, B159)&gt;1,NOT(ISBLANK(B159)))</formula>
    </cfRule>
  </conditionalFormatting>
  <conditionalFormatting sqref="B159:B172 B151:B157">
    <cfRule type="expression" dxfId="526" priority="509" stopIfTrue="1">
      <formula>AND(COUNTIF($B$34:$B$38, B151)+COUNTIF($B$41:$B$57, B151)&gt;1,NOT(ISBLANK(B151)))</formula>
    </cfRule>
  </conditionalFormatting>
  <conditionalFormatting sqref="B159:B172">
    <cfRule type="expression" dxfId="525" priority="508" stopIfTrue="1">
      <formula>AND(COUNTIF($B$41:$B$59, B159)+COUNTIF(#REF!, B159)&gt;1,NOT(ISBLANK(B159)))</formula>
    </cfRule>
  </conditionalFormatting>
  <conditionalFormatting sqref="B160:B172">
    <cfRule type="expression" dxfId="524" priority="507" stopIfTrue="1">
      <formula>AND(COUNTIF($B$58:$B$59, B160)+COUNTIF(#REF!, B160)&gt;1,NOT(ISBLANK(B160)))</formula>
    </cfRule>
  </conditionalFormatting>
  <conditionalFormatting sqref="B173:B174 B171">
    <cfRule type="expression" dxfId="523" priority="506" stopIfTrue="1">
      <formula>AND(COUNTIF($B$59:$B$59, B171)+COUNTIF($B$58:$B$58, B171)&gt;1,NOT(ISBLANK(B171)))</formula>
    </cfRule>
  </conditionalFormatting>
  <conditionalFormatting sqref="B173:B174">
    <cfRule type="expression" dxfId="522" priority="504" stopIfTrue="1">
      <formula>AND(COUNTIF(#REF!, B173)+COUNTIF(#REF!, B173)&gt;1,NOT(ISBLANK(B173)))</formula>
    </cfRule>
    <cfRule type="duplicateValues" dxfId="521" priority="505"/>
  </conditionalFormatting>
  <conditionalFormatting sqref="B174:B194 B84:B87 B91:B94 B100:B126 B196 B198">
    <cfRule type="expression" dxfId="520" priority="503" stopIfTrue="1">
      <formula>AND(COUNTIF($D$171:$D$190, B84)+COUNTIF($D$80:$D$122, B84)&gt;1,NOT(ISBLANK(B84)))</formula>
    </cfRule>
  </conditionalFormatting>
  <conditionalFormatting sqref="B184:B186">
    <cfRule type="expression" dxfId="519" priority="501" stopIfTrue="1">
      <formula>AND(COUNTIF($B$59:$B$59, B184)+COUNTIF($B$58:$B$58, B184)&gt;1,NOT(ISBLANK(B184)))</formula>
    </cfRule>
    <cfRule type="expression" dxfId="518" priority="502" stopIfTrue="1">
      <formula>AND(COUNTIF($D$130:$D$170, B184)+COUNTIF($D$123:$D$128, B184)&gt;1,NOT(ISBLANK(B184)))</formula>
    </cfRule>
  </conditionalFormatting>
  <conditionalFormatting sqref="B241">
    <cfRule type="duplicateValues" dxfId="517" priority="499"/>
    <cfRule type="duplicateValues" dxfId="516" priority="500"/>
  </conditionalFormatting>
  <conditionalFormatting sqref="B241:B242 B245:B246 B248 B253:B256 B258:B262 B264:B287 B292:B294 B297:B298 B301">
    <cfRule type="expression" dxfId="515" priority="9567" stopIfTrue="1">
      <formula>AND(COUNTIF($C$8:$C$24, B241)+COUNTIF(#REF!, B241)&gt;1,NOT(ISBLANK(B241)))</formula>
    </cfRule>
    <cfRule type="expression" dxfId="514" priority="9568" stopIfTrue="1">
      <formula>AND(COUNTIF($C$149:$C$149, B241)+COUNTIF($C$172:$C$65550, B241)+COUNTIF($C$1:$C$24, B241)+COUNTIF(#REF!, B241)+COUNTIF($C$44:$C$93, B241)+COUNTIF(#REF!, B241)&gt;1,NOT(ISBLANK(B241)))</formula>
    </cfRule>
    <cfRule type="expression" dxfId="513" priority="9569" stopIfTrue="1">
      <formula>AND(COUNTIF($C$8:$C$24, B241)+COUNTIF(#REF!, B241)+COUNTIF(#REF!, B241)+COUNTIF(#REF!, B241)&gt;1,NOT(ISBLANK(B241)))</formula>
    </cfRule>
    <cfRule type="expression" dxfId="512" priority="9570" stopIfTrue="1">
      <formula>AND(COUNTIF($D$415:$D$65550,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</conditionalFormatting>
  <conditionalFormatting sqref="B241:B242 B245:B246 B248 B253:B256 B258:B262 B264:B287 B297:B316 B292:B294">
    <cfRule type="expression" dxfId="511" priority="494" stopIfTrue="1">
      <formula>AND(COUNTIF($D$237:$D$313, B241)+COUNTIF(#REF!, B241)&gt;1,NOT(ISBLANK(B241)))</formula>
    </cfRule>
  </conditionalFormatting>
  <conditionalFormatting sqref="B242">
    <cfRule type="duplicateValues" dxfId="510" priority="492"/>
    <cfRule type="duplicateValues" dxfId="509" priority="493"/>
  </conditionalFormatting>
  <conditionalFormatting sqref="B245">
    <cfRule type="duplicateValues" dxfId="508" priority="489"/>
    <cfRule type="duplicateValues" dxfId="507" priority="490"/>
    <cfRule type="duplicateValues" dxfId="506" priority="491"/>
  </conditionalFormatting>
  <conditionalFormatting sqref="B245:B246">
    <cfRule type="expression" dxfId="505" priority="483" stopIfTrue="1">
      <formula>AND(COUNTIF(#REF!, B245)+COUNTIF($C$13:$C$24, B245)&gt;1,NOT(ISBLANK(B245)))</formula>
    </cfRule>
    <cfRule type="expression" dxfId="504" priority="484" stopIfTrue="1">
      <formula>AND(COUNTIF($C$24:$C$24, B245)+COUNTIF($C$13:$C$14, B245)+COUNTIF(#REF!, B245)&gt;1,NOT(ISBLANK(B245)))</formula>
    </cfRule>
    <cfRule type="expression" dxfId="503" priority="485" stopIfTrue="1">
      <formula>AND(COUNTIF($C$24:$C$24, B245)+COUNTIF($C$13:$C$14, B245)+COUNTIF($C$17:$C$17, B245)&gt;1,NOT(ISBLANK(B245)))</formula>
    </cfRule>
    <cfRule type="expression" dxfId="502" priority="486" stopIfTrue="1">
      <formula>AND(COUNTIF($C$24:$C$24, B245)+COUNTIF(#REF!, B245)&gt;1,NOT(ISBLANK(B245)))</formula>
    </cfRule>
    <cfRule type="expression" dxfId="501" priority="487" stopIfTrue="1">
      <formula>AND(COUNTIF(#REF!, B245)+COUNTIF($C$17:$C$17, B245)+COUNTIF($C$13:$C$13, B245)&gt;1,NOT(ISBLANK(B245)))</formula>
    </cfRule>
    <cfRule type="expression" dxfId="500" priority="488" stopIfTrue="1">
      <formula>AND(COUNTIF($C$12:$C$24, B245)+COUNTIF(#REF!, B245)+COUNTIF(#REF!, B245)+COUNTIF(#REF!, B245)&gt;1,NOT(ISBLANK(B245)))</formula>
    </cfRule>
  </conditionalFormatting>
  <conditionalFormatting sqref="B246 B248">
    <cfRule type="duplicateValues" dxfId="499" priority="480"/>
    <cfRule type="duplicateValues" dxfId="498" priority="481"/>
    <cfRule type="duplicateValues" dxfId="497" priority="482"/>
  </conditionalFormatting>
  <conditionalFormatting sqref="B253:B254 B258:B262 B264:B282 B284:B287 B297:B298 B301">
    <cfRule type="duplicateValues" dxfId="496" priority="479"/>
  </conditionalFormatting>
  <conditionalFormatting sqref="B253:B254 B259:B262 B264:B282 B284:B287 B297:B298 B301">
    <cfRule type="duplicateValues" dxfId="495" priority="478"/>
  </conditionalFormatting>
  <conditionalFormatting sqref="B253:B287 B297:B302 B241:B246 B248">
    <cfRule type="expression" dxfId="494" priority="475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93" priority="477" stopIfTrue="1">
      <formula>AND(COUNTIF(#REF!, B242)+COUNTIF($C$10:$C$24, B242)&gt;1,NOT(ISBLANK(B242)))</formula>
    </cfRule>
  </conditionalFormatting>
  <conditionalFormatting sqref="B253:B287 B297:B302">
    <cfRule type="expression" dxfId="492" priority="469" stopIfTrue="1">
      <formula>AND(COUNTIF(#REF!, B253)+COUNTIF($C$13:$C$24, B253)&gt;1,NOT(ISBLANK(B253)))</formula>
    </cfRule>
    <cfRule type="expression" dxfId="491" priority="470" stopIfTrue="1">
      <formula>AND(COUNTIF($C$24:$C$24, B253)+COUNTIF($C$13:$C$14, B253)+COUNTIF(#REF!, B253)&gt;1,NOT(ISBLANK(B253)))</formula>
    </cfRule>
    <cfRule type="expression" dxfId="490" priority="471" stopIfTrue="1">
      <formula>AND(COUNTIF($C$24:$C$24, B253)+COUNTIF($C$14:$C$14, B253)+COUNTIF(#REF!, B253)&gt;1,NOT(ISBLANK(B253)))</formula>
    </cfRule>
    <cfRule type="expression" dxfId="489" priority="472" stopIfTrue="1">
      <formula>AND(COUNTIF($C$24:$C$24, B253)+COUNTIF($C$13:$C$14, B253)+COUNTIF($C$17:$C$17, B253)&gt;1,NOT(ISBLANK(B253)))</formula>
    </cfRule>
    <cfRule type="expression" dxfId="488" priority="473" stopIfTrue="1">
      <formula>AND(COUNTIF($C$24:$C$24, B253)+COUNTIF(#REF!, B253)&gt;1,NOT(ISBLANK(B253)))</formula>
    </cfRule>
    <cfRule type="expression" dxfId="487" priority="474" stopIfTrue="1">
      <formula>AND(COUNTIF($C$12:$C$12, B253)+COUNTIF(#REF!, B253)+COUNTIF($C$14:$C$24, B253)&gt;1,NOT(ISBLANK(B253)))</formula>
    </cfRule>
    <cfRule type="expression" dxfId="486" priority="476" stopIfTrue="1">
      <formula>AND(COUNTIF($C$12:$C$24, B253)+COUNTIF(#REF!, B253)+COUNTIF(#REF!, B253)+COUNTIF(#REF!, B253)&gt;1,NOT(ISBLANK(B253)))</formula>
    </cfRule>
  </conditionalFormatting>
  <conditionalFormatting sqref="B255 B242">
    <cfRule type="duplicateValues" dxfId="485" priority="467"/>
    <cfRule type="duplicateValues" dxfId="484" priority="468"/>
  </conditionalFormatting>
  <conditionalFormatting sqref="B255">
    <cfRule type="duplicateValues" dxfId="483" priority="466"/>
  </conditionalFormatting>
  <conditionalFormatting sqref="B256 B253:B254 B258:B262 B264:B282 B284:B287 B297:B298 B301">
    <cfRule type="duplicateValues" dxfId="482" priority="465"/>
  </conditionalFormatting>
  <conditionalFormatting sqref="B256 B261">
    <cfRule type="expression" dxfId="481" priority="464" stopIfTrue="1">
      <formula>AND(COUNTIF($C$16:$C$16, B256)+COUNTIF($C$12:$C$16, B256)&gt;1,NOT(ISBLANK(B256)))</formula>
    </cfRule>
  </conditionalFormatting>
  <conditionalFormatting sqref="B256">
    <cfRule type="duplicateValues" dxfId="480" priority="462"/>
    <cfRule type="duplicateValues" dxfId="479" priority="463"/>
  </conditionalFormatting>
  <conditionalFormatting sqref="B258">
    <cfRule type="duplicateValues" dxfId="478" priority="460"/>
  </conditionalFormatting>
  <conditionalFormatting sqref="B258:B287 B297:B302">
    <cfRule type="expression" dxfId="477" priority="459" stopIfTrue="1">
      <formula>AND(COUNTIF(#REF!, B258)+COUNTIF($C$17:$C$17, B258)+COUNTIF($C$13:$C$13, B258)&gt;1,NOT(ISBLANK(B258)))</formula>
    </cfRule>
  </conditionalFormatting>
  <conditionalFormatting sqref="B260">
    <cfRule type="duplicateValues" dxfId="476" priority="453"/>
    <cfRule type="duplicateValues" dxfId="475" priority="454"/>
    <cfRule type="duplicateValues" dxfId="474" priority="455"/>
    <cfRule type="duplicateValues" dxfId="473" priority="456"/>
    <cfRule type="expression" dxfId="472" priority="457" stopIfTrue="1">
      <formula>AND(COUNTIF($C$24:$C$24, B260)+COUNTIF($C$13:$C$14, B260)+COUNTIF(#REF!, B260)&gt;1,NOT(ISBLANK(B260)))</formula>
    </cfRule>
    <cfRule type="expression" dxfId="471" priority="458" stopIfTrue="1">
      <formula>AND(COUNTIF($C$24:$C$24, B260)+COUNTIF($C$14:$C$14, B260)+COUNTIF(#REF!, B260)&gt;1,NOT(ISBLANK(B260)))</formula>
    </cfRule>
  </conditionalFormatting>
  <conditionalFormatting sqref="B261">
    <cfRule type="duplicateValues" dxfId="470" priority="452"/>
  </conditionalFormatting>
  <conditionalFormatting sqref="B261:B262 B264:B282 B284:B287 B297:B298">
    <cfRule type="duplicateValues" dxfId="469" priority="451"/>
  </conditionalFormatting>
  <conditionalFormatting sqref="B261:B262 B264:B287 B297:B302">
    <cfRule type="expression" dxfId="468" priority="450" stopIfTrue="1">
      <formula>AND(COUNTIF(#REF!, B261)+COUNTIF($C$16:$C$17, B261)&gt;1,NOT(ISBLANK(B261)))</formula>
    </cfRule>
  </conditionalFormatting>
  <conditionalFormatting sqref="B264:B287 B261:B262 B297:B302">
    <cfRule type="expression" dxfId="467" priority="449" stopIfTrue="1">
      <formula>AND(COUNTIF(#REF!, B261)+COUNTIF($C$17:$C$17, B261)&gt;1,NOT(ISBLANK(B261)))</formula>
    </cfRule>
  </conditionalFormatting>
  <conditionalFormatting sqref="B283">
    <cfRule type="duplicateValues" dxfId="466" priority="444"/>
    <cfRule type="duplicateValues" dxfId="465" priority="445"/>
    <cfRule type="duplicateValues" dxfId="464" priority="446"/>
    <cfRule type="duplicateValues" dxfId="463" priority="447"/>
    <cfRule type="expression" dxfId="462" priority="448" stopIfTrue="1">
      <formula>AND(COUNTIF(#REF!, B283)+COUNTIF($C$18:$C$24, B283)&gt;1,NOT(ISBLANK(B283)))</formula>
    </cfRule>
  </conditionalFormatting>
  <conditionalFormatting sqref="B292">
    <cfRule type="expression" dxfId="461" priority="430" stopIfTrue="1">
      <formula>AND(COUNTIF(#REF!, B292)+COUNTIF($C$18:$C$24, B292)&gt;1,NOT(ISBLANK(B292)))</formula>
    </cfRule>
    <cfRule type="expression" dxfId="460" priority="431" stopIfTrue="1">
      <formula>AND(COUNTIF(#REF!, B292)+COUNTIF($C$20:$C$23, B292)&gt;1,NOT(ISBLANK(B292)))</formula>
    </cfRule>
    <cfRule type="expression" dxfId="459" priority="433" stopIfTrue="1">
      <formula>AND(COUNTIF(#REF!, B292)+COUNTIF($C$10:$C$24, B292)&gt;1,NOT(ISBLANK(B292)))</formula>
    </cfRule>
    <cfRule type="duplicateValues" dxfId="458" priority="434"/>
    <cfRule type="duplicateValues" dxfId="457" priority="435"/>
    <cfRule type="duplicateValues" dxfId="456" priority="436"/>
    <cfRule type="expression" dxfId="455" priority="437" stopIfTrue="1">
      <formula>AND(COUNTIF($C$20:$C$24, B292)+COUNTIF(#REF!, B292)+COUNTIF(#REF!, B292)+COUNTIF(#REF!, B292)&gt;1,NOT(ISBLANK(B292)))</formula>
    </cfRule>
    <cfRule type="expression" dxfId="454" priority="438" stopIfTrue="1">
      <formula>AND(COUNTIF($C$20:$C$24, B292)+COUNTIF(#REF!, B292)+COUNTIF(#REF!, B292)+COUNTIF(#REF!, B292)&gt;1,NOT(ISBLANK(B292)))</formula>
    </cfRule>
    <cfRule type="expression" dxfId="453" priority="439" stopIfTrue="1">
      <formula>AND(COUNTIF($C$18:$C$24, B292)+COUNTIF(#REF!, B292)+COUNTIF(#REF!, B292)+COUNTIF(#REF!, B292)&gt;1,NOT(ISBLANK(B292)))</formula>
    </cfRule>
    <cfRule type="expression" dxfId="452" priority="441" stopIfTrue="1">
      <formula>AND(COUNTIF($C$21:$C$24, B292)+COUNTIF(#REF!, B292)+COUNTIF(#REF!, B292)+COUNTIF(#REF!, B292)&gt;1,NOT(ISBLANK(B292)))</formula>
    </cfRule>
    <cfRule type="expression" dxfId="451" priority="442" stopIfTrue="1">
      <formula>AND(COUNTIF($C$21:$C$24, B292)+COUNTIF(#REF!, B292)+COUNTIF(#REF!, B292)+COUNTIF(#REF!, B292)&gt;1,NOT(ISBLANK(B292)))</formula>
    </cfRule>
    <cfRule type="duplicateValues" dxfId="450" priority="443"/>
  </conditionalFormatting>
  <conditionalFormatting sqref="B292:B294 B264:B287 B253:B256 B258:B262 B297:B302 B241:B242 B245:B246 B248">
    <cfRule type="expression" dxfId="449" priority="429" stopIfTrue="1">
      <formula>AND(COUNTIF($C$8:$C$24, B241)+COUNTIF(#REF!, B241)&gt;1,NOT(ISBLANK(B241)))</formula>
    </cfRule>
  </conditionalFormatting>
  <conditionalFormatting sqref="B292:B294">
    <cfRule type="expression" dxfId="448" priority="425" stopIfTrue="1">
      <formula>AND(COUNTIF(#REF!, B292)+COUNTIF($C$20:$C$24, B292)&gt;1,NOT(ISBLANK(B292)))</formula>
    </cfRule>
    <cfRule type="expression" dxfId="447" priority="426" stopIfTrue="1">
      <formula>AND(COUNTIF(#REF!, B292)+COUNTIF($C$13:$C$24, B292)&gt;1,NOT(ISBLANK(B292)))</formula>
    </cfRule>
    <cfRule type="expression" dxfId="446" priority="427" stopIfTrue="1">
      <formula>AND(COUNTIF($C$13:$C$24, B292)+COUNTIF($C$8:$C$11, B292)&gt;1,NOT(ISBLANK(B292)))</formula>
    </cfRule>
    <cfRule type="expression" dxfId="445" priority="428" stopIfTrue="1">
      <formula>AND(COUNTIF(#REF!, B292)+COUNTIF($C$20:$C$23, B292)&gt;1,NOT(ISBLANK(B292)))</formula>
    </cfRule>
    <cfRule type="expression" dxfId="444" priority="432" stopIfTrue="1">
      <formula>AND(COUNTIF($C$12:$C$12, B292)+COUNTIF(#REF!, B292)+COUNTIF($C$14:$C$24, B292)&gt;1,NOT(ISBLANK(B292)))</formula>
    </cfRule>
    <cfRule type="expression" dxfId="443" priority="440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42" priority="424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41" priority="415" stopIfTrue="1">
      <formula>AND(COUNTIF(#REF!, B293)+COUNTIF($C$20:$C$23, B293)&gt;1,NOT(ISBLANK(B293)))</formula>
    </cfRule>
    <cfRule type="expression" dxfId="440" priority="416" stopIfTrue="1">
      <formula>AND(COUNTIF($C$20:$C$24, B293)+COUNTIF(#REF!, B293)+COUNTIF(#REF!, B293)+COUNTIF(#REF!, B293)&gt;1,NOT(ISBLANK(B293)))</formula>
    </cfRule>
    <cfRule type="expression" dxfId="439" priority="417" stopIfTrue="1">
      <formula>AND(COUNTIF($C$20:$C$24, B293)+COUNTIF(#REF!, B293)+COUNTIF(#REF!, B293)+COUNTIF(#REF!, B293)&gt;1,NOT(ISBLANK(B293)))</formula>
    </cfRule>
    <cfRule type="duplicateValues" dxfId="438" priority="418"/>
    <cfRule type="duplicateValues" dxfId="437" priority="419"/>
    <cfRule type="duplicateValues" dxfId="436" priority="420"/>
    <cfRule type="duplicateValues" dxfId="435" priority="421"/>
    <cfRule type="expression" dxfId="434" priority="422" stopIfTrue="1">
      <formula>AND(COUNTIF(#REF!, B293)+COUNTIF($C$18:$C$24, B293)&gt;1,NOT(ISBLANK(B293)))</formula>
    </cfRule>
    <cfRule type="duplicateValues" dxfId="433" priority="423"/>
  </conditionalFormatting>
  <conditionalFormatting sqref="B299:B300 B302:B304 B306:B316">
    <cfRule type="expression" dxfId="432" priority="9603" stopIfTrue="1">
      <formula>AND(COUNTIF($C$25:$C$32, B299)+COUNTIF($C$34:$C$41, B299)&gt;1,NOT(ISBLANK(B299)))</formula>
    </cfRule>
    <cfRule type="expression" dxfId="431" priority="9604" stopIfTrue="1">
      <formula>AND(COUNTIF($E$505:$E$65550,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30" priority="411"/>
    <cfRule type="duplicateValues" dxfId="429" priority="412"/>
  </conditionalFormatting>
  <conditionalFormatting sqref="B301 B256 B253:B254 B258:B259 B261">
    <cfRule type="duplicateValues" dxfId="428" priority="410"/>
  </conditionalFormatting>
  <conditionalFormatting sqref="B301 B261 B259 B253:B254">
    <cfRule type="duplicateValues" dxfId="427" priority="409"/>
  </conditionalFormatting>
  <conditionalFormatting sqref="B305">
    <cfRule type="duplicateValues" dxfId="426" priority="9609" stopIfTrue="1"/>
    <cfRule type="duplicateValues" dxfId="425" priority="9610" stopIfTrue="1"/>
    <cfRule type="duplicateValues" dxfId="424" priority="9611" stopIfTrue="1"/>
    <cfRule type="expression" dxfId="423" priority="9612" stopIfTrue="1">
      <formula>AND(COUNTIF($E$524:$E$65550,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</conditionalFormatting>
  <conditionalFormatting sqref="B579:B580">
    <cfRule type="duplicateValues" dxfId="422" priority="9613" stopIfTrue="1"/>
    <cfRule type="duplicateValues" dxfId="421" priority="9614" stopIfTrue="1"/>
    <cfRule type="duplicateValues" dxfId="420" priority="9615" stopIfTrue="1"/>
    <cfRule type="expression" dxfId="419" priority="9616" stopIfTrue="1">
      <formula>AND(COUNTIF($D$26:$D$65712,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8" priority="9617" stopIfTrue="1">
      <formula>AND(COUNTIF($D$26:$D$65712,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7" priority="9618" stopIfTrue="1">
      <formula>AND(COUNTIF($D$26:$D$65712, B579)+COUNTIF($D$1:$D$22, B579)+COUNTIF(#REF!, B579)+COUNTIF(#REF!, B579)+COUNTIF($D$25:$D$25, B579)+COUNTIF(#REF!, B579)+COUNTIF(#REF!, B579)&gt;1,NOT(ISBLANK(B579)))</formula>
    </cfRule>
    <cfRule type="duplicateValues" dxfId="416" priority="9619" stopIfTrue="1"/>
    <cfRule type="duplicateValues" dxfId="415" priority="9620" stopIfTrue="1"/>
    <cfRule type="duplicateValues" dxfId="414" priority="9621" stopIfTrue="1"/>
  </conditionalFormatting>
  <conditionalFormatting sqref="B579:B581 B584:B591 B593 B596:B597 B599 B607:B608">
    <cfRule type="expression" dxfId="413" priority="7896" stopIfTrue="1">
      <formula>AND(COUNTIF($D$26:$D$65715, B579)+COUNTIF($D$1:$D$22, B579)+COUNTIF(#REF!, B579)+COUNTIF(#REF!, B579)+COUNTIF($D$25:$D$25, B579)+COUNTIF(#REF!, B579)+COUNTIF(#REF!, B579)&gt;1,NOT(ISBLANK(B579)))</formula>
    </cfRule>
    <cfRule type="expression" dxfId="412" priority="7897" stopIfTrue="1">
      <formula>AND(COUNTIF($D$26:$D$65715,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79:B581 B604 B606">
    <cfRule type="expression" dxfId="411" priority="9622" stopIfTrue="1">
      <formula>AND(COUNTIF($D$10:$D$22, B579)+COUNTIF(#REF!, B579)&gt;1,NOT(ISBLANK(B579)))</formula>
    </cfRule>
  </conditionalFormatting>
  <conditionalFormatting sqref="B581">
    <cfRule type="duplicateValues" dxfId="410" priority="9660" stopIfTrue="1"/>
    <cfRule type="duplicateValues" dxfId="409" priority="9661" stopIfTrue="1"/>
    <cfRule type="duplicateValues" dxfId="408" priority="9662" stopIfTrue="1"/>
    <cfRule type="expression" dxfId="407" priority="9663" stopIfTrue="1">
      <formula>AND(COUNTIF($D$26:$D$65712,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06" priority="9664" stopIfTrue="1">
      <formula>AND(COUNTIF($D$26:$D$65712,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05" priority="9665" stopIfTrue="1">
      <formula>AND(COUNTIF($D$26:$D$65712, B581)+COUNTIF($D$1:$D$22, B581)+COUNTIF(#REF!, B581)+COUNTIF(#REF!, B581)+COUNTIF($D$25:$D$25, B581)+COUNTIF(#REF!, B581)+COUNTIF(#REF!, B581)&gt;1,NOT(ISBLANK(B581)))</formula>
    </cfRule>
  </conditionalFormatting>
  <conditionalFormatting sqref="B582:B583">
    <cfRule type="duplicateValues" dxfId="404" priority="9666" stopIfTrue="1"/>
    <cfRule type="duplicateValues" dxfId="403" priority="9667" stopIfTrue="1"/>
    <cfRule type="duplicateValues" dxfId="402" priority="9668" stopIfTrue="1"/>
    <cfRule type="expression" dxfId="401" priority="9669" stopIfTrue="1">
      <formula>AND(COUNTIF($D$26:$D$65697,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400" priority="9670" stopIfTrue="1">
      <formula>AND(COUNTIF($D$26:$D$65697,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9" priority="9671" stopIfTrue="1">
      <formula>AND(COUNTIF($D$26:$D$65697, B582)+COUNTIF($D$1:$D$22, B582)+COUNTIF(#REF!, B582)+COUNTIF(#REF!, B582)+COUNTIF($D$25:$D$25, B582)+COUNTIF(#REF!, B582)+COUNTIF(#REF!, B582)&gt;1,NOT(ISBLANK(B582)))</formula>
    </cfRule>
    <cfRule type="duplicateValues" dxfId="398" priority="9672" stopIfTrue="1"/>
    <cfRule type="duplicateValues" dxfId="397" priority="9673" stopIfTrue="1"/>
    <cfRule type="duplicateValues" dxfId="396" priority="9674" stopIfTrue="1"/>
    <cfRule type="expression" dxfId="395" priority="9675" stopIfTrue="1">
      <formula>AND(COUNTIF($D$10:$D$22, B582)+COUNTIF(#REF!, B582)&gt;1,NOT(ISBLANK(B582)))</formula>
    </cfRule>
    <cfRule type="expression" dxfId="394" priority="9676" stopIfTrue="1">
      <formula>AND(COUNTIF($D$26:$D$65700,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3" priority="9677" stopIfTrue="1">
      <formula>AND(COUNTIF($D$26:$D$65700,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2" priority="9678" stopIfTrue="1">
      <formula>AND(COUNTIF($D$26:$D$65700, B582)+COUNTIF($D$1:$D$22, B582)+COUNTIF(#REF!, B582)+COUNTIF(#REF!, B582)+COUNTIF($D$25:$D$25, B582)+COUNTIF(#REF!, B582)+COUNTIF(#REF!, B582)&gt;1,NOT(ISBLANK(B582)))</formula>
    </cfRule>
  </conditionalFormatting>
  <conditionalFormatting sqref="B584:B591 B593 B596:B597 B599 B607:B608 B579:B581">
    <cfRule type="expression" dxfId="391" priority="7895" stopIfTrue="1">
      <formula>AND(COUNTIF($D$26:$D$65715,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4:B594 B596:B597 B599:B600 B607:B609">
    <cfRule type="expression" dxfId="390" priority="50" stopIfTrue="1">
      <formula>AND(COUNTIF($D$10:$D$22, B584)+COUNTIF(#REF!, B584)&gt;1,NOT(ISBLANK(B584)))</formula>
    </cfRule>
  </conditionalFormatting>
  <conditionalFormatting sqref="B585:B591 B593 B596:B597 B599 B607:B608">
    <cfRule type="expression" dxfId="389" priority="7927" stopIfTrue="1">
      <formula>AND(COUNTIF($D$26:$D$65712,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8" priority="7928" stopIfTrue="1">
      <formula>AND(COUNTIF($D$26:$D$65712,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7" priority="7929" stopIfTrue="1">
      <formula>AND(COUNTIF($D$26:$D$65712, B585)+COUNTIF($D$1:$D$22, B585)+COUNTIF(#REF!, B585)+COUNTIF(#REF!, B585)+COUNTIF($D$25:$D$25, B585)+COUNTIF(#REF!, B585)+COUNTIF(#REF!, B585)&gt;1,NOT(ISBLANK(B585)))</formula>
    </cfRule>
  </conditionalFormatting>
  <conditionalFormatting sqref="B592">
    <cfRule type="duplicateValues" dxfId="386" priority="9709" stopIfTrue="1"/>
    <cfRule type="duplicateValues" dxfId="385" priority="9710" stopIfTrue="1"/>
    <cfRule type="duplicateValues" dxfId="384" priority="9711" stopIfTrue="1"/>
    <cfRule type="duplicateValues" dxfId="383" priority="9712" stopIfTrue="1"/>
    <cfRule type="duplicateValues" dxfId="382" priority="9713" stopIfTrue="1"/>
    <cfRule type="duplicateValues" dxfId="381" priority="9714" stopIfTrue="1"/>
    <cfRule type="expression" dxfId="380" priority="9715" stopIfTrue="1">
      <formula>AND(COUNTIF($D$26:$D$65696,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9" priority="9716" stopIfTrue="1">
      <formula>AND(COUNTIF($D$26:$D$65696,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8" priority="9717" stopIfTrue="1">
      <formula>AND(COUNTIF($D$26:$D$65696, B592)+COUNTIF($D$1:$D$22, B592)+COUNTIF(#REF!, B592)+COUNTIF(#REF!, B592)+COUNTIF($D$25:$D$25, B592)+COUNTIF(#REF!, B592)+COUNTIF(#REF!, B592)&gt;1,NOT(ISBLANK(B592)))</formula>
    </cfRule>
    <cfRule type="expression" dxfId="377" priority="9718" stopIfTrue="1">
      <formula>AND(COUNTIF($D$26:$D$65699,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6" priority="9719" stopIfTrue="1">
      <formula>AND(COUNTIF($D$26:$D$65699,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5" priority="9720" stopIfTrue="1">
      <formula>AND(COUNTIF($D$26:$D$65699, B592)+COUNTIF($D$1:$D$22, B592)+COUNTIF(#REF!, B592)+COUNTIF(#REF!, B592)+COUNTIF($D$25:$D$25, B592)+COUNTIF(#REF!, B592)+COUNTIF(#REF!, B592)&gt;1,NOT(ISBLANK(B592)))</formula>
    </cfRule>
  </conditionalFormatting>
  <conditionalFormatting sqref="B593">
    <cfRule type="duplicateValues" dxfId="374" priority="9721" stopIfTrue="1"/>
    <cfRule type="duplicateValues" dxfId="373" priority="9722" stopIfTrue="1"/>
    <cfRule type="duplicateValues" dxfId="372" priority="9723" stopIfTrue="1"/>
    <cfRule type="duplicateValues" dxfId="371" priority="9724" stopIfTrue="1"/>
    <cfRule type="duplicateValues" dxfId="370" priority="9725" stopIfTrue="1"/>
    <cfRule type="duplicateValues" dxfId="369" priority="9726" stopIfTrue="1"/>
    <cfRule type="expression" dxfId="368" priority="9727" stopIfTrue="1">
      <formula>AND(COUNTIF($D$26:$D$65696,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7" priority="9728" stopIfTrue="1">
      <formula>AND(COUNTIF($D$26:$D$65696,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6" priority="9729" stopIfTrue="1">
      <formula>AND(COUNTIF($D$26:$D$65696, B593)+COUNTIF($D$1:$D$22, B593)+COUNTIF(#REF!, B593)+COUNTIF(#REF!, B593)+COUNTIF($D$25:$D$25, B593)+COUNTIF(#REF!, B593)+COUNTIF(#REF!, B593)&gt;1,NOT(ISBLANK(B593)))</formula>
    </cfRule>
    <cfRule type="expression" dxfId="365" priority="9730" stopIfTrue="1">
      <formula>AND(COUNTIF($D$10:$D$22, B593)+COUNTIF(#REF!, B593)&gt;1,NOT(ISBLANK(B593)))</formula>
    </cfRule>
    <cfRule type="expression" dxfId="364" priority="9731" stopIfTrue="1">
      <formula>AND(COUNTIF($D$26:$D$65699,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3" priority="9732" stopIfTrue="1">
      <formula>AND(COUNTIF($D$26:$D$65699,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2" priority="9733" stopIfTrue="1">
      <formula>AND(COUNTIF($D$26:$D$65699, B593)+COUNTIF($D$1:$D$22, B593)+COUNTIF(#REF!, B593)+COUNTIF(#REF!, B593)+COUNTIF($D$25:$D$25, B593)+COUNTIF(#REF!, B593)+COUNTIF(#REF!, B593)&gt;1,NOT(ISBLANK(B593)))</formula>
    </cfRule>
  </conditionalFormatting>
  <conditionalFormatting sqref="B599 B601 B607:B608">
    <cfRule type="expression" dxfId="361" priority="7967" stopIfTrue="1">
      <formula>AND(COUNTIF($D$26:$D$65696,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60" priority="7968" stopIfTrue="1">
      <formula>AND(COUNTIF($D$26:$D$65696,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59" priority="7969" stopIfTrue="1">
      <formula>AND(COUNTIF($D$26:$D$65696, B599)+COUNTIF($D$1:$D$22, B599)+COUNTIF(#REF!, B599)+COUNTIF(#REF!, B599)+COUNTIF($D$25:$D$25, B599)+COUNTIF(#REF!, B599)+COUNTIF(#REF!, B599)&gt;1,NOT(ISBLANK(B599)))</formula>
    </cfRule>
    <cfRule type="expression" dxfId="358" priority="7970" stopIfTrue="1">
      <formula>AND(COUNTIF($D$10:$D$22, B599)+COUNTIF(#REF!, B599)&gt;1,NOT(ISBLANK(B599)))</formula>
    </cfRule>
    <cfRule type="expression" dxfId="357" priority="7971" stopIfTrue="1">
      <formula>AND(COUNTIF($D$26:$D$65699,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56" priority="7972" stopIfTrue="1">
      <formula>AND(COUNTIF($D$26:$D$65699,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55" priority="7973" stopIfTrue="1">
      <formula>AND(COUNTIF($D$26:$D$65699, B599)+COUNTIF($D$1:$D$22, B599)+COUNTIF(#REF!, B599)+COUNTIF(#REF!, B599)+COUNTIF($D$25:$D$25, B599)+COUNTIF(#REF!, B599)+COUNTIF(#REF!, B599)&gt;1,NOT(ISBLANK(B599)))</formula>
    </cfRule>
  </conditionalFormatting>
  <conditionalFormatting sqref="B606">
    <cfRule type="duplicateValues" dxfId="354" priority="3" stopIfTrue="1"/>
    <cfRule type="duplicateValues" dxfId="353" priority="4" stopIfTrue="1"/>
    <cfRule type="duplicateValues" dxfId="352" priority="5" stopIfTrue="1"/>
    <cfRule type="duplicateValues" dxfId="351" priority="6" stopIfTrue="1"/>
    <cfRule type="duplicateValues" dxfId="350" priority="7" stopIfTrue="1"/>
    <cfRule type="duplicateValues" dxfId="349" priority="8" stopIfTrue="1"/>
    <cfRule type="expression" dxfId="348" priority="9" stopIfTrue="1">
      <formula>AND(COUNTIF($D$26:$D$65715,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47" priority="10" stopIfTrue="1">
      <formula>AND(COUNTIF($D$26:$D$65715, B606)+COUNTIF($D$1:$D$22, B606)+COUNTIF(#REF!, B606)+COUNTIF(#REF!, B606)+COUNTIF($D$25:$D$25, B606)+COUNTIF(#REF!, B606)+COUNTIF(#REF!, B606)&gt;1,NOT(ISBLANK(B606)))</formula>
    </cfRule>
    <cfRule type="expression" dxfId="346" priority="11" stopIfTrue="1">
      <formula>AND(COUNTIF($D$26:$D$65715,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45" priority="12" stopIfTrue="1">
      <formula>AND(COUNTIF($D$26:$D$65712,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44" priority="13" stopIfTrue="1">
      <formula>AND(COUNTIF($D$26:$D$65712,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43" priority="14" stopIfTrue="1">
      <formula>AND(COUNTIF($D$26:$D$65712, B606)+COUNTIF($D$1:$D$22, B606)+COUNTIF(#REF!, B606)+COUNTIF(#REF!, B606)+COUNTIF($D$25:$D$25, B606)+COUNTIF(#REF!, B606)+COUNTIF(#REF!, B606)&gt;1,NOT(ISBLANK(B606)))</formula>
    </cfRule>
    <cfRule type="duplicateValues" dxfId="342" priority="15" stopIfTrue="1"/>
    <cfRule type="duplicateValues" dxfId="341" priority="16" stopIfTrue="1"/>
    <cfRule type="duplicateValues" dxfId="340" priority="17" stopIfTrue="1"/>
    <cfRule type="duplicateValues" dxfId="339" priority="18" stopIfTrue="1"/>
    <cfRule type="duplicateValues" dxfId="338" priority="19" stopIfTrue="1"/>
    <cfRule type="duplicateValues" dxfId="337" priority="20" stopIfTrue="1"/>
    <cfRule type="expression" dxfId="336" priority="21" stopIfTrue="1">
      <formula>AND(COUNTIF($D$26:$D$65696,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5" priority="22" stopIfTrue="1">
      <formula>AND(COUNTIF($D$26:$D$65696,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4" priority="23" stopIfTrue="1">
      <formula>AND(COUNTIF($D$26:$D$65696, B606)+COUNTIF($D$1:$D$22, B606)+COUNTIF(#REF!, B606)+COUNTIF(#REF!, B606)+COUNTIF($D$25:$D$25, B606)+COUNTIF(#REF!, B606)+COUNTIF(#REF!, B606)&gt;1,NOT(ISBLANK(B606)))</formula>
    </cfRule>
    <cfRule type="expression" dxfId="333" priority="24" stopIfTrue="1">
      <formula>AND(COUNTIF($D$10:$D$22, B606)+COUNTIF(#REF!, B606)&gt;1,NOT(ISBLANK(B606)))</formula>
    </cfRule>
    <cfRule type="expression" dxfId="332" priority="25" stopIfTrue="1">
      <formula>AND(COUNTIF($D$26:$D$65699,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1" priority="26" stopIfTrue="1">
      <formula>AND(COUNTIF($D$26:$D$65699,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0" priority="27" stopIfTrue="1">
      <formula>AND(COUNTIF($D$26:$D$65699, B606)+COUNTIF($D$1:$D$22, B606)+COUNTIF(#REF!, B606)+COUNTIF(#REF!, B606)+COUNTIF($D$25:$D$25, B606)+COUNTIF(#REF!, B606)+COUNTIF(#REF!, B606)&gt;1,NOT(ISBLANK(B606)))</formula>
    </cfRule>
  </conditionalFormatting>
  <conditionalFormatting sqref="B607:B608 B581 B584:B591 B593 B596:B597 B599">
    <cfRule type="duplicateValues" dxfId="329" priority="6873" stopIfTrue="1"/>
    <cfRule type="duplicateValues" dxfId="328" priority="6874" stopIfTrue="1"/>
    <cfRule type="duplicateValues" dxfId="327" priority="6875" stopIfTrue="1"/>
  </conditionalFormatting>
  <conditionalFormatting sqref="B607:B608 B585:B591 B593 B596:B597 B599">
    <cfRule type="duplicateValues" dxfId="326" priority="6901" stopIfTrue="1"/>
    <cfRule type="duplicateValues" dxfId="325" priority="6902" stopIfTrue="1"/>
    <cfRule type="duplicateValues" dxfId="324" priority="6903" stopIfTrue="1"/>
  </conditionalFormatting>
  <conditionalFormatting sqref="B607:B608 B599 B601">
    <cfRule type="duplicateValues" dxfId="323" priority="7961" stopIfTrue="1"/>
    <cfRule type="duplicateValues" dxfId="322" priority="7962" stopIfTrue="1"/>
    <cfRule type="duplicateValues" dxfId="321" priority="7963" stopIfTrue="1"/>
    <cfRule type="duplicateValues" dxfId="320" priority="7964" stopIfTrue="1"/>
    <cfRule type="duplicateValues" dxfId="319" priority="7965" stopIfTrue="1"/>
    <cfRule type="duplicateValues" dxfId="318" priority="7966" stopIfTrue="1"/>
  </conditionalFormatting>
  <conditionalFormatting sqref="B619:B633">
    <cfRule type="duplicateValues" dxfId="317" priority="116" stopIfTrue="1"/>
    <cfRule type="duplicateValues" dxfId="316" priority="117" stopIfTrue="1"/>
  </conditionalFormatting>
  <conditionalFormatting sqref="B633:B634">
    <cfRule type="duplicateValues" dxfId="315" priority="118" stopIfTrue="1"/>
    <cfRule type="duplicateValues" dxfId="314" priority="119" stopIfTrue="1"/>
  </conditionalFormatting>
  <conditionalFormatting sqref="B651:B666">
    <cfRule type="duplicateValues" dxfId="313" priority="112" stopIfTrue="1"/>
    <cfRule type="duplicateValues" dxfId="312" priority="113" stopIfTrue="1"/>
  </conditionalFormatting>
  <conditionalFormatting sqref="B667">
    <cfRule type="duplicateValues" dxfId="311" priority="114" stopIfTrue="1"/>
    <cfRule type="duplicateValues" dxfId="310" priority="115" stopIfTrue="1"/>
  </conditionalFormatting>
  <conditionalFormatting sqref="C52 C56:C60">
    <cfRule type="expression" dxfId="309" priority="395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8" priority="396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7" priority="39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6" priority="398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305" priority="392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4" priority="393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3" priority="394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302" priority="390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01" priority="391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300" priority="388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9" priority="389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8" priority="38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7" priority="38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6" priority="383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5" priority="384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4" priority="385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3" priority="38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2" priority="387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91" priority="379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90" priority="380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9" priority="377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8" priority="378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87" priority="9854" stopIfTrue="1">
      <formula>AND(COUNTIF($G$193:$G$65412,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86" priority="9855" stopIfTrue="1">
      <formula>AND(COUNTIF($G$193:$G$65412,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85" priority="9856" stopIfTrue="1">
      <formula>AND(COUNTIF($G$170:$G$65412,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84" priority="9857" stopIfTrue="1">
      <formula>AND(COUNTIF($G$314:$G$65412,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83" priority="9858" stopIfTrue="1">
      <formula>AND(COUNTIF($G$314:$G$65412,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82" priority="9899" stopIfTrue="1">
      <formula>AND(COUNTIF($G$314:$G$65412,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81" priority="369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80" priority="370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9" priority="9773" stopIfTrue="1">
      <formula>AND(COUNTIF($E$460:$E$65550,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8" priority="9887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77" priority="9888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76" priority="9889" stopIfTrue="1">
      <formula>AND(COUNTIF($G$314:$G$65412,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5" priority="9890" stopIfTrue="1">
      <formula>AND(COUNTIF($G$314:$G$65412,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4" priority="9891" stopIfTrue="1">
      <formula>AND(COUNTIF($G$314:$G$65412,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3" priority="9892" stopIfTrue="1">
      <formula>AND(COUNTIF($G$248:$G$65412,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2" priority="9893" stopIfTrue="1">
      <formula>AND(COUNTIF($G$193:$G$65412,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1" priority="9894" stopIfTrue="1">
      <formula>AND(COUNTIF($G$193:$G$65412,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70" priority="9895" stopIfTrue="1">
      <formula>AND(COUNTIF($G$170:$G$65412,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9" priority="9896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8" priority="989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989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7:C59 C61 C63:C64">
    <cfRule type="expression" dxfId="266" priority="354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5" priority="355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64" priority="353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63" priority="345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62" priority="346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61" priority="347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60" priority="348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9" priority="349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8" priority="350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7" priority="351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6" priority="352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55" priority="9853" stopIfTrue="1">
      <formula>AND(COUNTIF($G$248:$G$65412,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54" priority="340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53" priority="341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52" priority="342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51" priority="343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50" priority="332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9" priority="333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8" priority="33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7" priority="335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46" priority="336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5" priority="337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4" priority="338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3" priority="339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42" priority="32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3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31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9" priority="9902" stopIfTrue="1">
      <formula>AND(COUNTIF($G$314:$G$65412,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8" priority="9903" stopIfTrue="1">
      <formula>AND(COUNTIF($G$314:$G$65412,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7" priority="9904" stopIfTrue="1">
      <formula>AND(COUNTIF($G$314:$G$65412,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6" priority="9905" stopIfTrue="1">
      <formula>AND(COUNTIF($G$248:$G$65412,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5" priority="9906" stopIfTrue="1">
      <formula>AND(COUNTIF($G$193:$G$65412,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4" priority="9907" stopIfTrue="1">
      <formula>AND(COUNTIF($G$193:$G$65412,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3" priority="9908" stopIfTrue="1">
      <formula>AND(COUNTIF($G$170:$G$65412,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2" priority="9909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1" priority="991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0" priority="9911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9" priority="9912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4:C66">
    <cfRule type="expression" dxfId="228" priority="314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7" priority="315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6" priority="316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5" priority="317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24" priority="307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23" priority="308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22" priority="30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21" priority="310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20" priority="311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9" priority="31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8" priority="31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17" priority="30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6" priority="30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306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14" priority="29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13" priority="29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12" priority="295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11" priority="296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10" priority="297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9" priority="29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8" priority="299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7" priority="300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6" priority="301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302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303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203" priority="27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2" priority="27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1" priority="27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0" priority="28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9" priority="28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8" priority="282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7" priority="283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6" priority="28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5" priority="28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8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8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8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8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9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91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92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87" priority="9913" stopIfTrue="1">
      <formula>AND(COUNTIF($G$314:$G$65412,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6" priority="9914" stopIfTrue="1">
      <formula>AND(COUNTIF($G$314:$G$65412,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5" priority="9915" stopIfTrue="1">
      <formula>AND(COUNTIF($G$314:$G$65412,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4" priority="9916" stopIfTrue="1">
      <formula>AND(COUNTIF($G$248:$G$65412,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3" priority="9917" stopIfTrue="1">
      <formula>AND(COUNTIF($G$193:$G$65412,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82" priority="9918" stopIfTrue="1">
      <formula>AND(COUNTIF($G$193:$G$65412,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81" priority="9919" stopIfTrue="1">
      <formula>AND(COUNTIF($G$170:$G$65412,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</conditionalFormatting>
  <conditionalFormatting sqref="C69:C78">
    <cfRule type="expression" dxfId="180" priority="26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9" priority="26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8" priority="264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7" priority="265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6" priority="26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5" priority="267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74" priority="263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73" priority="26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2" priority="26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1" priority="26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70" priority="25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56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57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7" priority="25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6" priority="25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65" priority="248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4" priority="24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3" priority="250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2" priority="251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1" priority="252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60" priority="25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9" priority="254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8" priority="245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7" priority="24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4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55" priority="23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54" priority="240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53" priority="241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52" priority="992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51" priority="9928" stopIfTrue="1">
      <formula>AND(COUNTIF($G$314:$G$65412,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50" priority="9929" stopIfTrue="1">
      <formula>AND(COUNTIF($G$314:$G$65412,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9" priority="9930" stopIfTrue="1">
      <formula>AND(COUNTIF($G$314:$G$65412,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8" priority="9931" stopIfTrue="1">
      <formula>AND(COUNTIF($G$248:$G$65412,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7" priority="9932" stopIfTrue="1">
      <formula>AND(COUNTIF($G$193:$G$65412,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6" priority="9933" stopIfTrue="1">
      <formula>AND(COUNTIF($G$193:$G$65412,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45" priority="9934" stopIfTrue="1">
      <formula>AND(COUNTIF($G$170:$G$65412,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44" priority="225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43" priority="242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2" priority="24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1" priority="24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40" priority="221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9" priority="22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8" priority="22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37" priority="229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6" priority="1005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35" priority="226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34" priority="227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33" priority="228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32" priority="994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1" priority="994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0" priority="994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9" priority="9946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8" priority="9947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7" priority="994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6" priority="994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5" priority="995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4" priority="9951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9952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995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995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995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995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995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9958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9959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996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996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996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996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9964" stopIfTrue="1">
      <formula>AND(COUNTIF($G$314:$G$65412,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0" priority="9965" stopIfTrue="1">
      <formula>AND(COUNTIF($G$314:$G$65412,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9" priority="9966" stopIfTrue="1">
      <formula>AND(COUNTIF($G$314:$G$65412,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8" priority="9967" stopIfTrue="1">
      <formula>AND(COUNTIF($G$248:$G$65412,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7" priority="9968" stopIfTrue="1">
      <formula>AND(COUNTIF($G$193:$G$65412,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6" priority="9969" stopIfTrue="1">
      <formula>AND(COUNTIF($G$193:$G$65412,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5" priority="9970" stopIfTrue="1">
      <formula>AND(COUNTIF($G$170:$G$65412,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</conditionalFormatting>
  <conditionalFormatting sqref="C130 C133 C135 C138:C139 C141:C172 C191:C192 C196 C198">
    <cfRule type="expression" dxfId="104" priority="10258" stopIfTrue="1">
      <formula>AND(COUNTIF($D$379:$D$65550,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103" priority="10259" stopIfTrue="1">
      <formula>AND(COUNTIF($D$502:$D$65550,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102" priority="10260" stopIfTrue="1">
      <formula>AND(COUNTIF($D$482:$D$65550,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101" priority="10261" stopIfTrue="1">
      <formula>AND(COUNTIF($D$444:$D$65550,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100" priority="10262" stopIfTrue="1">
      <formula>AND(COUNTIF($D$402:$D$65550,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41:C172 C191:C192 C196 C198 C130 C133 C135 C138:C139">
    <cfRule type="expression" dxfId="99" priority="10257" stopIfTrue="1">
      <formula>AND(COUNTIF($D$402:$D$65550,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</conditionalFormatting>
  <conditionalFormatting sqref="C174:C177">
    <cfRule type="expression" dxfId="98" priority="10305" stopIfTrue="1">
      <formula>AND(COUNTIF($E$648:$E$65550,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97" priority="10306" stopIfTrue="1">
      <formula>AND(COUNTIF($E$575:$E$65550,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96" priority="10307" stopIfTrue="1">
      <formula>AND(COUNTIF($E$555:$E$65550,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95" priority="10308" stopIfTrue="1">
      <formula>AND(COUNTIF($E$517:$E$65550,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94" priority="10309" stopIfTrue="1">
      <formula>AND(COUNTIF($E$475:$E$65550,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93" priority="10310" stopIfTrue="1">
      <formula>AND(COUNTIF($E$475:$E$65550,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92" priority="10311" stopIfTrue="1">
      <formula>AND(COUNTIF($E$452:$E$65550,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</conditionalFormatting>
  <conditionalFormatting sqref="C174:C187 C189:C190 C193:C196 C198:C200 C203:C205 C208:C209">
    <cfRule type="expression" dxfId="91" priority="10313" stopIfTrue="1">
      <formula>AND(COUNTIF($D$348:$D$65550,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90" priority="10314" stopIfTrue="1">
      <formula>AND(COUNTIF($D$488:$D$65550,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89" priority="10315" stopIfTrue="1">
      <formula>AND(COUNTIF($D$471:$D$65550,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88" priority="10316" stopIfTrue="1">
      <formula>AND(COUNTIF($D$451:$D$65550,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87" priority="10317" stopIfTrue="1">
      <formula>AND(COUNTIF($D$413:$D$65550,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86" priority="10348" stopIfTrue="1">
      <formula>AND(COUNTIF($D$371:$D$65550,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4:C187 C193:C196 C198:C200 C189:C190 C203:C205 C208:C209">
    <cfRule type="expression" dxfId="85" priority="10312" stopIfTrue="1">
      <formula>AND(COUNTIF($D$371:$D$65550,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</conditionalFormatting>
  <conditionalFormatting sqref="C175:C187 C189:C190 C193 C196:C199 C201:C202">
    <cfRule type="expression" dxfId="84" priority="10354" stopIfTrue="1">
      <formula>AND(COUNTIF($D$449:$D$65550,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83" priority="10355" stopIfTrue="1">
      <formula>AND(COUNTIF($D$411:$D$65550,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82" priority="10356" stopIfTrue="1">
      <formula>AND(COUNTIF($D$369:$D$65550,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81" priority="10357" stopIfTrue="1">
      <formula>AND(COUNTIF($D$369:$D$65550,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80" priority="10358" stopIfTrue="1">
      <formula>AND(COUNTIF($D$346:$D$65550,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79" priority="10359" stopIfTrue="1">
      <formula>AND(COUNTIF($D$469:$D$65550,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8" priority="10360" stopIfTrue="1">
      <formula>AND(COUNTIF($D$486:$D$65550,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</conditionalFormatting>
  <conditionalFormatting sqref="C188">
    <cfRule type="expression" dxfId="77" priority="10398" stopIfTrue="1">
      <formula>AND(COUNTIF($D$502:$D$65550,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76" priority="10399" stopIfTrue="1">
      <formula>AND(COUNTIF($D$482:$D$65550,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75" priority="10400" stopIfTrue="1">
      <formula>AND(COUNTIF($D$444:$D$65550,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74" priority="10401" stopIfTrue="1">
      <formula>AND(COUNTIF($D$402:$D$65550,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73" priority="10402" stopIfTrue="1">
      <formula>AND(COUNTIF($D$402:$D$65550,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72" priority="10403" stopIfTrue="1">
      <formula>AND(COUNTIF($D$379:$D$65550,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</conditionalFormatting>
  <conditionalFormatting sqref="C196 C198 C130 C133 C135 C138:C139 C141:C172 C191:C192 C188">
    <cfRule type="expression" dxfId="71" priority="10389" stopIfTrue="1">
      <formula>AND(COUNTIF($D$519:$D$65550,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206:C212 C215 C218 C222:C223 C225">
    <cfRule type="expression" dxfId="70" priority="10404" stopIfTrue="1">
      <formula>AND(COUNTIF($D$486:$D$65550,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69" priority="10405" stopIfTrue="1">
      <formula>AND(COUNTIF($D$469:$D$65550,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68" priority="10406" stopIfTrue="1">
      <formula>AND(COUNTIF($D$449:$D$65550,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67" priority="10407" stopIfTrue="1">
      <formula>AND(COUNTIF($D$411:$D$65550,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66" priority="10408" stopIfTrue="1">
      <formula>AND(COUNTIF($D$369:$D$65550,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65" priority="10409" stopIfTrue="1">
      <formula>AND(COUNTIF($D$369:$D$65550,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64" priority="10410" stopIfTrue="1">
      <formula>AND(COUNTIF($D$346:$D$65550,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</conditionalFormatting>
  <conditionalFormatting sqref="C241:C242 C245:C246 C248 C253:C255 C258:C262 C264:C289 C297:C298 C301">
    <cfRule type="expression" dxfId="63" priority="10470" stopIfTrue="1">
      <formula>AND(COUNTIF($E$319:$E$65550,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62" priority="10471" stopIfTrue="1">
      <formula>AND(COUNTIF($E$432:$E$65550,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61" priority="10472" stopIfTrue="1">
      <formula>AND(COUNTIF($E$415:$E$65550,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60" priority="10473" stopIfTrue="1">
      <formula>AND(COUNTIF($E$395:$E$65550,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59" priority="10474" stopIfTrue="1">
      <formula>AND(COUNTIF($E$357:$E$65550,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58" priority="10475" stopIfTrue="1">
      <formula>AND(COUNTIF($E$319:$E$65550,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57" priority="10476" stopIfTrue="1">
      <formula>AND(COUNTIF($E$319:$E$65550,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</conditionalFormatting>
  <conditionalFormatting sqref="C299:C300 C302:C304 C306:C316">
    <cfRule type="expression" dxfId="56" priority="10526" stopIfTrue="1">
      <formula>AND(COUNTIF($F$522:$F$65550,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55" priority="10527" stopIfTrue="1">
      <formula>AND(COUNTIF($F$505:$F$65550,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54" priority="10528" stopIfTrue="1">
      <formula>AND(COUNTIF($F$485:$F$65550,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53" priority="10529" stopIfTrue="1">
      <formula>AND(COUNTIF($F$447:$F$65550,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52" priority="10530" stopIfTrue="1">
      <formula>AND(COUNTIF($F$405:$F$65550,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51" priority="10531" stopIfTrue="1">
      <formula>AND(COUNTIF($F$405:$F$65550,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50" priority="10532" stopIfTrue="1">
      <formula>AND(COUNTIF($F$382:$F$65550,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</conditionalFormatting>
  <conditionalFormatting sqref="C305">
    <cfRule type="expression" dxfId="49" priority="10547" stopIfTrue="1">
      <formula>AND(COUNTIF($F$541:$F$65550,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48" priority="10548" stopIfTrue="1">
      <formula>AND(COUNTIF($F$524:$F$65550,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47" priority="10549" stopIfTrue="1">
      <formula>AND(COUNTIF($F$504:$F$65550,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46" priority="10550" stopIfTrue="1">
      <formula>AND(COUNTIF($F$466:$F$65550,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45" priority="10551" stopIfTrue="1">
      <formula>AND(COUNTIF($F$424:$F$65550,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44" priority="10552" stopIfTrue="1">
      <formula>AND(COUNTIF($F$424:$F$65550,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43" priority="10553" stopIfTrue="1">
      <formula>AND(COUNTIF($F$401:$F$65550,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</conditionalFormatting>
  <conditionalFormatting sqref="C3:K4">
    <cfRule type="cellIs" dxfId="42" priority="120" stopIfTrue="1" operator="greaterThan">
      <formula>600</formula>
    </cfRule>
  </conditionalFormatting>
  <conditionalFormatting sqref="D6">
    <cfRule type="cellIs" dxfId="41" priority="121" stopIfTrue="1" operator="greaterThan">
      <formula>600</formula>
    </cfRule>
  </conditionalFormatting>
  <conditionalFormatting sqref="B13:B51 B56:B59 B63:B83 B88:B90 B195 B197 B199:B240 B243:B244 B247 B249:B252 B257 B263">
    <cfRule type="expression" dxfId="40" priority="12405" stopIfTrue="1">
      <formula>AND(COUNTIF($D$191:$D$65550, B13)+COUNTIF($D$1:$D$79, B13)&gt;1,NOT(ISBLANK(B13)))</formula>
    </cfRule>
    <cfRule type="expression" dxfId="39" priority="12406" stopIfTrue="1">
      <formula>AND(COUNTIF($D$605:$D$65550,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</conditionalFormatting>
  <conditionalFormatting sqref="C13:C51 C56 C59 C68 C79:C86 C90:C94 C188 C191:C192 C196 C198 C210:C240 C243:C244 C247 C249:C252 C256:C257 C263">
    <cfRule type="expression" dxfId="38" priority="12429" stopIfTrue="1">
      <formula>AND(COUNTIF($E$483:$E$65550,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7" priority="12430" stopIfTrue="1">
      <formula>AND(COUNTIF($E$605:$E$65550,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6" priority="12431" stopIfTrue="1">
      <formula>AND(COUNTIF($E$525:$E$65550,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5" priority="12432" stopIfTrue="1">
      <formula>AND(COUNTIF($E$563:$E$65550,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4" priority="12433" stopIfTrue="1">
      <formula>AND(COUNTIF($E$483:$E$65550,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97:C98 C100:C102 C104:C105 C108:C116 C118 C120 C122 C131:C132 C134 C136:C137 C140 C142:C144 C146 C148:C159 C161:C172">
    <cfRule type="expression" dxfId="33" priority="12509" stopIfTrue="1">
      <formula>AND(COUNTIF($E$605:$E$65550,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32" priority="12510" stopIfTrue="1">
      <formula>AND(COUNTIF($E$563:$E$65550,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31" priority="12511" stopIfTrue="1">
      <formula>AND(COUNTIF($E$525:$E$65550,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30" priority="12512" stopIfTrue="1">
      <formula>AND(COUNTIF($E$483:$E$65550,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29" priority="12513" stopIfTrue="1">
      <formula>AND(COUNTIF($E$483:$E$65550,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28" priority="12514" stopIfTrue="1">
      <formula>AND(COUNTIF($E$460:$E$65550,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210:C240 C188 C142:C144 C146 C148:C159 C161:C172 C191:C192 C196 C198 C97:C98 C100:C102 C104:C105 C108:C116 C118 C120 C122 C131:C132 C134 C136:C137 C140 C13:C51 C56 C59 C68 C79:C86 C90:C94 C243:C244 C247 C249:C252 C256:C257 C263">
    <cfRule type="expression" dxfId="27" priority="12599" stopIfTrue="1">
      <formula>AND(COUNTIF($E$669:$E$65550, C13)+COUNTIF($E$1:$E$315, C13)+COUNTIF(#REF!, C13)+COUNTIF($E$605:$E$616,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272" zoomScale="80" zoomScaleNormal="80" workbookViewId="0">
      <selection activeCell="BC278" sqref="BC278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615" t="s">
        <v>776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7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777</v>
      </c>
      <c r="J3" s="285"/>
      <c r="K3" s="285"/>
      <c r="L3" s="287"/>
      <c r="AM3" s="618" t="s">
        <v>778</v>
      </c>
      <c r="AN3" s="618"/>
      <c r="AO3" s="619">
        <f ca="1">TODAY()</f>
        <v>45995</v>
      </c>
      <c r="AP3" s="620"/>
      <c r="AQ3" s="620"/>
      <c r="AR3" s="620"/>
      <c r="AS3" s="620"/>
      <c r="AT3" s="621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22" t="s">
        <v>779</v>
      </c>
      <c r="M7" s="623"/>
      <c r="N7" s="623"/>
      <c r="O7" s="624"/>
      <c r="R7" t="s">
        <v>199</v>
      </c>
      <c r="AA7" s="625" t="s">
        <v>780</v>
      </c>
      <c r="AB7" s="626"/>
      <c r="AC7" s="626"/>
      <c r="AD7" s="626"/>
      <c r="AE7" s="626"/>
      <c r="AF7" s="627"/>
      <c r="AG7" s="634" t="s">
        <v>781</v>
      </c>
      <c r="AH7" s="635"/>
      <c r="AI7" s="636"/>
      <c r="AJ7" s="643" t="s">
        <v>782</v>
      </c>
      <c r="AK7" s="635"/>
      <c r="AL7" s="644"/>
      <c r="AM7" s="634" t="s">
        <v>783</v>
      </c>
      <c r="AN7" s="635"/>
      <c r="AO7" s="644"/>
      <c r="AP7" s="643" t="s">
        <v>784</v>
      </c>
      <c r="AQ7" s="635"/>
      <c r="AR7" s="644"/>
      <c r="AT7" s="283"/>
    </row>
    <row r="8" spans="1:46" ht="15" customHeight="1">
      <c r="A8" s="282"/>
      <c r="E8" t="s">
        <v>785</v>
      </c>
      <c r="S8" t="s">
        <v>59</v>
      </c>
      <c r="AA8" s="628"/>
      <c r="AB8" s="629"/>
      <c r="AC8" s="629"/>
      <c r="AD8" s="629"/>
      <c r="AE8" s="629"/>
      <c r="AF8" s="630"/>
      <c r="AG8" s="637"/>
      <c r="AH8" s="638"/>
      <c r="AI8" s="639"/>
      <c r="AJ8" s="645"/>
      <c r="AK8" s="638"/>
      <c r="AL8" s="646"/>
      <c r="AM8" s="637"/>
      <c r="AN8" s="638"/>
      <c r="AO8" s="646"/>
      <c r="AP8" s="645"/>
      <c r="AQ8" s="638"/>
      <c r="AR8" s="646"/>
      <c r="AT8" s="283"/>
    </row>
    <row r="9" spans="1:46" ht="15.75" thickBot="1">
      <c r="A9" s="282"/>
      <c r="L9" s="292"/>
      <c r="M9" s="293"/>
      <c r="N9" s="293"/>
      <c r="O9" s="649"/>
      <c r="P9" s="650"/>
      <c r="AA9" s="631"/>
      <c r="AB9" s="632"/>
      <c r="AC9" s="632"/>
      <c r="AD9" s="632"/>
      <c r="AE9" s="632"/>
      <c r="AF9" s="633"/>
      <c r="AG9" s="640"/>
      <c r="AH9" s="641"/>
      <c r="AI9" s="642"/>
      <c r="AJ9" s="647"/>
      <c r="AK9" s="641"/>
      <c r="AL9" s="648"/>
      <c r="AM9" s="640"/>
      <c r="AN9" s="641"/>
      <c r="AO9" s="648"/>
      <c r="AP9" s="647"/>
      <c r="AQ9" s="641"/>
      <c r="AR9" s="648"/>
      <c r="AT9" s="283"/>
    </row>
    <row r="10" spans="1:46" ht="15" customHeight="1">
      <c r="A10" s="282"/>
      <c r="C10" t="s">
        <v>786</v>
      </c>
      <c r="U10" t="s">
        <v>787</v>
      </c>
      <c r="AA10" s="667" t="s">
        <v>62</v>
      </c>
      <c r="AB10" s="668"/>
      <c r="AC10" s="668"/>
      <c r="AD10" s="668"/>
      <c r="AE10" s="668"/>
      <c r="AF10" s="669"/>
      <c r="AG10" s="670">
        <v>302</v>
      </c>
      <c r="AH10" s="655"/>
      <c r="AI10" s="671"/>
      <c r="AJ10" s="672">
        <f>[14]Progress!J2</f>
        <v>302</v>
      </c>
      <c r="AK10" s="673"/>
      <c r="AL10" s="674"/>
      <c r="AM10" s="675">
        <f>[14]Progress!K2</f>
        <v>0</v>
      </c>
      <c r="AN10" s="676"/>
      <c r="AO10" s="677"/>
      <c r="AP10" s="654">
        <f t="shared" ref="AP10:AP16" si="0">AG10-AJ10</f>
        <v>0</v>
      </c>
      <c r="AQ10" s="655"/>
      <c r="AR10" s="656"/>
      <c r="AT10" s="283"/>
    </row>
    <row r="11" spans="1:46" ht="18" customHeight="1">
      <c r="A11" s="282"/>
      <c r="N11" t="s">
        <v>67</v>
      </c>
      <c r="S11" t="s">
        <v>786</v>
      </c>
      <c r="AA11" s="657" t="s">
        <v>63</v>
      </c>
      <c r="AB11" s="658"/>
      <c r="AC11" s="658"/>
      <c r="AD11" s="658"/>
      <c r="AE11" s="658"/>
      <c r="AF11" s="659"/>
      <c r="AG11" s="614">
        <v>302</v>
      </c>
      <c r="AH11" s="660"/>
      <c r="AI11" s="612"/>
      <c r="AJ11" s="661">
        <f>[14]Progress!L2</f>
        <v>302</v>
      </c>
      <c r="AK11" s="662"/>
      <c r="AL11" s="663"/>
      <c r="AM11" s="651"/>
      <c r="AN11" s="652"/>
      <c r="AO11" s="653"/>
      <c r="AP11" s="654">
        <f t="shared" si="0"/>
        <v>0</v>
      </c>
      <c r="AQ11" s="655"/>
      <c r="AR11" s="656"/>
      <c r="AT11" s="283"/>
    </row>
    <row r="12" spans="1:46" ht="15" customHeight="1">
      <c r="A12" s="282"/>
      <c r="C12" t="s">
        <v>788</v>
      </c>
      <c r="I12" s="664"/>
      <c r="J12" s="665"/>
      <c r="K12" s="296" t="s">
        <v>789</v>
      </c>
      <c r="L12" s="296" t="s">
        <v>790</v>
      </c>
      <c r="M12" s="666" t="s">
        <v>791</v>
      </c>
      <c r="N12" s="665"/>
      <c r="O12" s="294" t="s">
        <v>789</v>
      </c>
      <c r="P12" s="294" t="s">
        <v>790</v>
      </c>
      <c r="Q12" s="666"/>
      <c r="R12" s="664"/>
      <c r="AA12" s="657" t="s">
        <v>64</v>
      </c>
      <c r="AB12" s="658"/>
      <c r="AC12" s="658"/>
      <c r="AD12" s="658"/>
      <c r="AE12" s="658"/>
      <c r="AF12" s="659"/>
      <c r="AG12" s="614">
        <v>302</v>
      </c>
      <c r="AH12" s="660"/>
      <c r="AI12" s="612"/>
      <c r="AJ12" s="661">
        <f>[14]Progress!N2</f>
        <v>287</v>
      </c>
      <c r="AK12" s="662"/>
      <c r="AL12" s="663"/>
      <c r="AM12" s="651">
        <f>[14]Progress!O2</f>
        <v>8</v>
      </c>
      <c r="AN12" s="652"/>
      <c r="AO12" s="653"/>
      <c r="AP12" s="654">
        <f t="shared" si="0"/>
        <v>15</v>
      </c>
      <c r="AQ12" s="655"/>
      <c r="AR12" s="656"/>
      <c r="AT12" s="283"/>
    </row>
    <row r="13" spans="1:46" ht="16.5" customHeight="1">
      <c r="A13" s="282"/>
      <c r="K13" s="296" t="s">
        <v>792</v>
      </c>
      <c r="L13" s="296" t="s">
        <v>793</v>
      </c>
      <c r="O13" s="294" t="s">
        <v>792</v>
      </c>
      <c r="P13" s="294" t="s">
        <v>793</v>
      </c>
      <c r="S13" t="s">
        <v>788</v>
      </c>
      <c r="AA13" s="657" t="s">
        <v>794</v>
      </c>
      <c r="AB13" s="658"/>
      <c r="AC13" s="658"/>
      <c r="AD13" s="658"/>
      <c r="AE13" s="658"/>
      <c r="AF13" s="659"/>
      <c r="AG13" s="614">
        <v>302</v>
      </c>
      <c r="AH13" s="660"/>
      <c r="AI13" s="612"/>
      <c r="AJ13" s="661">
        <f>[14]Progress!Q2</f>
        <v>202</v>
      </c>
      <c r="AK13" s="662"/>
      <c r="AL13" s="663"/>
      <c r="AM13" s="651"/>
      <c r="AN13" s="652"/>
      <c r="AO13" s="653"/>
      <c r="AP13" s="654">
        <f t="shared" si="0"/>
        <v>100</v>
      </c>
      <c r="AQ13" s="655"/>
      <c r="AR13" s="656"/>
      <c r="AT13" s="283"/>
    </row>
    <row r="14" spans="1:46" ht="15" customHeight="1">
      <c r="A14" s="282"/>
      <c r="C14" t="s">
        <v>795</v>
      </c>
      <c r="K14" s="700"/>
      <c r="L14" s="700"/>
      <c r="O14" s="660"/>
      <c r="P14" s="660"/>
      <c r="R14" s="298"/>
      <c r="S14" s="298"/>
      <c r="T14" s="298"/>
      <c r="U14" s="298"/>
      <c r="W14" t="s">
        <v>796</v>
      </c>
      <c r="AA14" s="657" t="s">
        <v>797</v>
      </c>
      <c r="AB14" s="658"/>
      <c r="AC14" s="658"/>
      <c r="AD14" s="658"/>
      <c r="AE14" s="658"/>
      <c r="AF14" s="659"/>
      <c r="AG14" s="701">
        <f>114.985</f>
        <v>114.985</v>
      </c>
      <c r="AH14" s="702"/>
      <c r="AI14" s="703"/>
      <c r="AJ14" s="704">
        <f ca="1">[14]Progress!S2</f>
        <v>71.261437999999984</v>
      </c>
      <c r="AK14" s="705"/>
      <c r="AL14" s="706"/>
      <c r="AM14" s="651">
        <v>6</v>
      </c>
      <c r="AN14" s="652"/>
      <c r="AO14" s="653"/>
      <c r="AP14" s="681">
        <f t="shared" ca="1" si="0"/>
        <v>43.723562000000015</v>
      </c>
      <c r="AQ14" s="682"/>
      <c r="AR14" s="683"/>
      <c r="AT14" s="283"/>
    </row>
    <row r="15" spans="1:46" ht="17.25" customHeight="1" thickBot="1">
      <c r="A15" s="282"/>
      <c r="K15" s="684"/>
      <c r="L15" s="684"/>
      <c r="O15" s="2"/>
      <c r="P15" s="2"/>
      <c r="AA15" s="685" t="s">
        <v>223</v>
      </c>
      <c r="AB15" s="686"/>
      <c r="AC15" s="686"/>
      <c r="AD15" s="686"/>
      <c r="AE15" s="686"/>
      <c r="AF15" s="687"/>
      <c r="AG15" s="688">
        <v>114.985</v>
      </c>
      <c r="AH15" s="689"/>
      <c r="AI15" s="690"/>
      <c r="AJ15" s="691">
        <f>[14]Progress!T2</f>
        <v>65.016085000000004</v>
      </c>
      <c r="AK15" s="692"/>
      <c r="AL15" s="693"/>
      <c r="AM15" s="694">
        <v>5</v>
      </c>
      <c r="AN15" s="695"/>
      <c r="AO15" s="696"/>
      <c r="AP15" s="697">
        <f t="shared" si="0"/>
        <v>49.968914999999996</v>
      </c>
      <c r="AQ15" s="698"/>
      <c r="AR15" s="699"/>
      <c r="AT15" s="283"/>
    </row>
    <row r="16" spans="1:46" ht="15.75" thickBot="1">
      <c r="A16" s="282"/>
      <c r="F16" t="s">
        <v>14</v>
      </c>
      <c r="K16" s="678" t="s">
        <v>798</v>
      </c>
      <c r="L16" s="678"/>
      <c r="M16" s="678"/>
      <c r="N16" s="678"/>
      <c r="O16" s="678"/>
      <c r="P16" s="678"/>
      <c r="AA16" s="707" t="s">
        <v>1126</v>
      </c>
      <c r="AB16" s="708"/>
      <c r="AC16" s="708"/>
      <c r="AD16" s="708"/>
      <c r="AE16" s="708"/>
      <c r="AF16" s="709"/>
      <c r="AG16" s="710">
        <v>114.985</v>
      </c>
      <c r="AH16" s="711"/>
      <c r="AI16" s="712"/>
      <c r="AJ16" s="713">
        <f>37+4.958</f>
        <v>41.957999999999998</v>
      </c>
      <c r="AK16" s="714"/>
      <c r="AL16" s="715"/>
      <c r="AM16" s="716">
        <v>4</v>
      </c>
      <c r="AN16" s="717"/>
      <c r="AO16" s="718"/>
      <c r="AP16" s="719">
        <f t="shared" si="0"/>
        <v>73.027000000000001</v>
      </c>
      <c r="AQ16" s="711"/>
      <c r="AR16" s="720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799</v>
      </c>
      <c r="D22" s="302"/>
      <c r="G22" s="303" t="s">
        <v>800</v>
      </c>
      <c r="H22" s="299"/>
      <c r="I22" s="303"/>
      <c r="J22" s="303"/>
      <c r="M22" s="303"/>
      <c r="N22" s="304" t="s">
        <v>801</v>
      </c>
      <c r="O22" s="305"/>
      <c r="P22" s="305"/>
      <c r="Q22" s="305"/>
      <c r="R22" s="303" t="s">
        <v>802</v>
      </c>
      <c r="S22" s="303"/>
      <c r="T22" s="303"/>
      <c r="V22" t="s">
        <v>803</v>
      </c>
      <c r="AT22" s="283"/>
    </row>
    <row r="23" spans="1:56">
      <c r="A23" s="282"/>
      <c r="C23" s="612" t="s">
        <v>804</v>
      </c>
      <c r="D23" s="613"/>
      <c r="E23" s="613"/>
      <c r="F23" s="613"/>
      <c r="G23" s="613"/>
      <c r="H23" s="613"/>
      <c r="I23" s="613"/>
      <c r="J23" s="613"/>
      <c r="K23" s="613"/>
      <c r="L23" s="613"/>
      <c r="M23" s="613"/>
      <c r="N23" s="613"/>
      <c r="O23" s="613"/>
      <c r="P23" s="613"/>
      <c r="Q23" s="613"/>
      <c r="R23" s="613"/>
      <c r="S23" s="613"/>
      <c r="T23" s="613"/>
      <c r="U23" s="613"/>
      <c r="V23" s="613"/>
      <c r="W23" s="613"/>
      <c r="X23" s="613"/>
      <c r="Y23" s="613"/>
      <c r="Z23" s="614"/>
      <c r="AA23" s="612" t="s">
        <v>805</v>
      </c>
      <c r="AB23" s="613"/>
      <c r="AC23" s="613"/>
      <c r="AD23" s="613"/>
      <c r="AE23" s="613"/>
      <c r="AF23" s="613"/>
      <c r="AG23" s="613"/>
      <c r="AH23" s="613"/>
      <c r="AI23" s="613"/>
      <c r="AJ23" s="613"/>
      <c r="AK23" s="613"/>
      <c r="AL23" s="613"/>
      <c r="AM23" s="613"/>
      <c r="AN23" s="613"/>
      <c r="AO23" s="613"/>
      <c r="AP23" s="613"/>
      <c r="AQ23" s="613"/>
      <c r="AR23" s="614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64">
        <f>SUM(AV26:AW303)</f>
        <v>115133.98000000003</v>
      </c>
      <c r="AW24" s="664"/>
      <c r="AX24" s="308"/>
      <c r="AY24" s="679">
        <f>SUM(AY26:AZ303)</f>
        <v>301</v>
      </c>
      <c r="AZ24" s="679"/>
      <c r="BA24" s="309"/>
    </row>
    <row r="25" spans="1:56" s="7" customFormat="1">
      <c r="A25" s="310"/>
      <c r="B25" s="680" t="s">
        <v>418</v>
      </c>
      <c r="C25" s="680"/>
      <c r="F25" s="680" t="s">
        <v>616</v>
      </c>
      <c r="G25" s="680"/>
      <c r="J25" s="680" t="s">
        <v>606</v>
      </c>
      <c r="K25" s="680"/>
      <c r="N25" s="680" t="s">
        <v>612</v>
      </c>
      <c r="O25" s="680"/>
      <c r="R25" s="680" t="s">
        <v>566</v>
      </c>
      <c r="S25" s="680"/>
      <c r="V25" s="680" t="s">
        <v>58</v>
      </c>
      <c r="W25" s="680"/>
      <c r="Z25" s="680" t="s">
        <v>650</v>
      </c>
      <c r="AA25" s="680"/>
      <c r="AD25" s="723" t="s">
        <v>594</v>
      </c>
      <c r="AE25" s="723"/>
      <c r="AH25" s="724" t="s">
        <v>432</v>
      </c>
      <c r="AI25" s="724"/>
      <c r="AL25" s="724" t="s">
        <v>469</v>
      </c>
      <c r="AM25" s="724"/>
      <c r="AP25" s="724" t="s">
        <v>440</v>
      </c>
      <c r="AQ25" s="724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789</v>
      </c>
      <c r="C28" s="296" t="s">
        <v>790</v>
      </c>
      <c r="D28" s="666">
        <f>VLOOKUP(B25,[14]Progress!$B$9:$D$310,3,FALSE)</f>
        <v>369</v>
      </c>
      <c r="E28" s="665"/>
      <c r="F28" s="296" t="s">
        <v>789</v>
      </c>
      <c r="G28" s="296" t="s">
        <v>790</v>
      </c>
      <c r="H28" s="666">
        <f>VLOOKUP(F25,[14]Progress!$B$9:$D$310,3,FALSE)</f>
        <v>367</v>
      </c>
      <c r="I28" s="665"/>
      <c r="J28" s="296" t="s">
        <v>789</v>
      </c>
      <c r="K28" s="296" t="s">
        <v>790</v>
      </c>
      <c r="L28" s="666">
        <f>VLOOKUP(J25,[14]Progress!$B$9:$D$310,3,FALSE)</f>
        <v>354</v>
      </c>
      <c r="M28" s="665"/>
      <c r="N28" s="296" t="s">
        <v>789</v>
      </c>
      <c r="O28" s="296" t="s">
        <v>790</v>
      </c>
      <c r="P28" s="666">
        <f>VLOOKUP(N25,[14]Progress!$B$9:$D$310,3,FALSE)</f>
        <v>381</v>
      </c>
      <c r="Q28" s="665"/>
      <c r="R28" s="296" t="s">
        <v>789</v>
      </c>
      <c r="S28" s="296" t="s">
        <v>790</v>
      </c>
      <c r="T28" s="666">
        <f>VLOOKUP(R25,[14]Progress!$B$9:$D$310,3,FALSE)</f>
        <v>450.56299999999999</v>
      </c>
      <c r="U28" s="665"/>
      <c r="V28" s="296" t="s">
        <v>789</v>
      </c>
      <c r="W28" s="296" t="s">
        <v>790</v>
      </c>
      <c r="X28" s="721">
        <f>VLOOKUP(V25,[14]Progress!$B$9:$D$310,3,FALSE)</f>
        <v>245.982</v>
      </c>
      <c r="Y28" s="722"/>
      <c r="Z28" s="296" t="s">
        <v>789</v>
      </c>
      <c r="AA28" s="296" t="s">
        <v>790</v>
      </c>
      <c r="AB28" s="666">
        <f>VLOOKUP(Z25,[14]Progress!$B$9:$D$310,3,FALSE)</f>
        <v>420</v>
      </c>
      <c r="AC28" s="665"/>
      <c r="AD28" s="296" t="s">
        <v>789</v>
      </c>
      <c r="AE28" s="296" t="s">
        <v>790</v>
      </c>
      <c r="AF28" s="666">
        <f>VLOOKUP(AD25,[14]Progress!$B$9:$D$310,3,FALSE)</f>
        <v>412</v>
      </c>
      <c r="AG28" s="665"/>
      <c r="AH28" s="296" t="s">
        <v>789</v>
      </c>
      <c r="AI28" s="296" t="s">
        <v>790</v>
      </c>
      <c r="AJ28" s="666">
        <f>VLOOKUP(AH25,[14]Progress!$B$9:$D$310,3,FALSE)</f>
        <v>413</v>
      </c>
      <c r="AK28" s="665"/>
      <c r="AL28" s="296" t="s">
        <v>789</v>
      </c>
      <c r="AM28" s="296" t="s">
        <v>790</v>
      </c>
      <c r="AN28" s="666">
        <f>VLOOKUP(AL25,[14]Progress!$B$9:$D$310,3,FALSE)</f>
        <v>415</v>
      </c>
      <c r="AO28" s="665"/>
      <c r="AP28" s="296" t="s">
        <v>789</v>
      </c>
      <c r="AQ28" s="296" t="s">
        <v>790</v>
      </c>
      <c r="AR28" s="666">
        <f>VLOOKUP(AP25,[14]Progress!$B$9:$D$310,3,FALSE)</f>
        <v>414</v>
      </c>
      <c r="AS28" s="664"/>
      <c r="AT28" s="283"/>
      <c r="AV28" s="664">
        <f>D28+H28+L28+P28+T28+X28+AB28+AF28+AJ28+AN28+AR28</f>
        <v>4241.5450000000001</v>
      </c>
      <c r="AW28" s="664"/>
      <c r="AY28">
        <v>11</v>
      </c>
    </row>
    <row r="29" spans="1:56">
      <c r="A29" s="282"/>
      <c r="B29" s="296" t="s">
        <v>792</v>
      </c>
      <c r="C29" s="296" t="s">
        <v>793</v>
      </c>
      <c r="F29" s="296" t="s">
        <v>792</v>
      </c>
      <c r="G29" s="296" t="s">
        <v>793</v>
      </c>
      <c r="J29" s="296" t="s">
        <v>792</v>
      </c>
      <c r="K29" s="296" t="s">
        <v>793</v>
      </c>
      <c r="N29" s="296" t="s">
        <v>792</v>
      </c>
      <c r="O29" s="296" t="s">
        <v>793</v>
      </c>
      <c r="R29" s="296" t="s">
        <v>792</v>
      </c>
      <c r="S29" s="296" t="s">
        <v>793</v>
      </c>
      <c r="V29" s="296" t="s">
        <v>792</v>
      </c>
      <c r="W29" s="296" t="s">
        <v>793</v>
      </c>
      <c r="Z29" s="296" t="s">
        <v>792</v>
      </c>
      <c r="AA29" s="296" t="s">
        <v>793</v>
      </c>
      <c r="AD29" s="296" t="s">
        <v>792</v>
      </c>
      <c r="AE29" s="296" t="s">
        <v>793</v>
      </c>
      <c r="AH29" s="296" t="s">
        <v>792</v>
      </c>
      <c r="AI29" s="296" t="s">
        <v>793</v>
      </c>
      <c r="AL29" s="296" t="s">
        <v>792</v>
      </c>
      <c r="AM29" s="296" t="s">
        <v>793</v>
      </c>
      <c r="AP29" s="296" t="s">
        <v>792</v>
      </c>
      <c r="AQ29" s="296" t="s">
        <v>793</v>
      </c>
      <c r="AT29" s="283"/>
      <c r="AV29" s="664"/>
      <c r="AW29" s="664"/>
    </row>
    <row r="30" spans="1:56" ht="10.5" customHeight="1">
      <c r="A30" s="282"/>
      <c r="B30" s="700"/>
      <c r="C30" s="700"/>
      <c r="F30" s="700"/>
      <c r="G30" s="700"/>
      <c r="J30" s="700"/>
      <c r="K30" s="700"/>
      <c r="N30" s="700"/>
      <c r="O30" s="700"/>
      <c r="R30" s="700"/>
      <c r="S30" s="700"/>
      <c r="V30" s="700"/>
      <c r="W30" s="700"/>
      <c r="Z30" s="700"/>
      <c r="AA30" s="700"/>
      <c r="AD30" s="700"/>
      <c r="AE30" s="700"/>
      <c r="AH30" s="700"/>
      <c r="AI30" s="700"/>
      <c r="AL30" s="700"/>
      <c r="AM30" s="700"/>
      <c r="AP30" s="700"/>
      <c r="AQ30" s="700"/>
      <c r="AT30" s="283"/>
      <c r="AV30" s="664"/>
      <c r="AW30" s="664"/>
    </row>
    <row r="31" spans="1:56">
      <c r="A31" s="282"/>
      <c r="B31" s="684" t="str">
        <f>VLOOKUP(+B25,'[14]Twr Schedule'!$B$9:$C$611,2,FALSE)</f>
        <v>TPT+0</v>
      </c>
      <c r="C31" s="684"/>
      <c r="F31" s="684" t="str">
        <f>VLOOKUP(+F25,'[14]Twr Schedule'!$B$9:$C$611,2,FALSE)</f>
        <v>DA-3</v>
      </c>
      <c r="G31" s="684"/>
      <c r="J31" s="684" t="str">
        <f>VLOOKUP(+J25,'[14]Twr Schedule'!$B$9:$C$611,2,FALSE)</f>
        <v>DA-3</v>
      </c>
      <c r="K31" s="684"/>
      <c r="N31" s="684" t="str">
        <f>VLOOKUP(+N25,'[14]Twr Schedule'!$B$9:$C$611,2,FALSE)</f>
        <v>DA-3</v>
      </c>
      <c r="O31" s="684"/>
      <c r="R31" s="684" t="str">
        <f>VLOOKUP(+R25,'[14]Twr Schedule'!$B$9:$C$611,2,FALSE)</f>
        <v>DA+9</v>
      </c>
      <c r="S31" s="684"/>
      <c r="V31" s="684" t="str">
        <f>VLOOKUP(+V25,'[14]Twr Schedule'!$B$9:$C$611,2,FALSE)</f>
        <v>DC1+3</v>
      </c>
      <c r="W31" s="684"/>
      <c r="Z31" s="684" t="str">
        <f>VLOOKUP(+Z25,'[14]Twr Schedule'!$B$9:$C$611,2,FALSE)</f>
        <v>DD45+3</v>
      </c>
      <c r="AA31" s="684"/>
      <c r="AD31" s="684" t="str">
        <f>VLOOKUP(+AD25,'[14]Twr Schedule'!$B$9:$C$611,2,FALSE)</f>
        <v>DA+3</v>
      </c>
      <c r="AE31" s="684"/>
      <c r="AH31" s="684" t="str">
        <f>VLOOKUP(+AH25,'[14]Twr Schedule'!$B$9:$C$611,2,FALSE)</f>
        <v>DA+0</v>
      </c>
      <c r="AI31" s="684"/>
      <c r="AL31" s="684" t="str">
        <f>VLOOKUP(+AL25,'[14]Twr Schedule'!$B$9:$C$611,2,FALSE)</f>
        <v>DA+3</v>
      </c>
      <c r="AM31" s="684"/>
      <c r="AP31" s="684" t="str">
        <f>VLOOKUP(+AP25,'[14]Twr Schedule'!$B$9:$C$611,2,FALSE)</f>
        <v>DA+0</v>
      </c>
      <c r="AQ31" s="684"/>
      <c r="AT31" s="283"/>
      <c r="AV31" s="664"/>
      <c r="AW31" s="664"/>
    </row>
    <row r="32" spans="1:56">
      <c r="A32" s="282"/>
      <c r="V32" s="306"/>
      <c r="X32" t="s">
        <v>806</v>
      </c>
      <c r="AH32" s="306"/>
      <c r="AT32" s="283"/>
      <c r="AV32" s="664"/>
      <c r="AW32" s="664"/>
    </row>
    <row r="33" spans="1:51">
      <c r="A33" s="282"/>
      <c r="B33" s="612" t="s">
        <v>805</v>
      </c>
      <c r="C33" s="613"/>
      <c r="D33" s="613"/>
      <c r="E33" s="613"/>
      <c r="F33" s="613"/>
      <c r="G33" s="613"/>
      <c r="H33" s="613"/>
      <c r="I33" s="613"/>
      <c r="J33" s="613"/>
      <c r="K33" s="613"/>
      <c r="L33" s="613"/>
      <c r="M33" s="613"/>
      <c r="N33" s="613"/>
      <c r="O33" s="613"/>
      <c r="P33" s="613"/>
      <c r="Q33" s="613"/>
      <c r="R33" s="613"/>
      <c r="S33" s="613"/>
      <c r="T33" s="613"/>
      <c r="U33" s="613"/>
      <c r="V33" s="614"/>
      <c r="W33" s="725" t="s">
        <v>807</v>
      </c>
      <c r="X33" s="726"/>
      <c r="Y33" s="726"/>
      <c r="Z33" s="726"/>
      <c r="AA33" s="726"/>
      <c r="AB33" s="726"/>
      <c r="AC33" s="726"/>
      <c r="AD33" s="726"/>
      <c r="AE33" s="726"/>
      <c r="AF33" s="726"/>
      <c r="AG33" s="726"/>
      <c r="AH33" s="726"/>
      <c r="AI33" s="726"/>
      <c r="AJ33" s="726"/>
      <c r="AK33" s="726"/>
      <c r="AL33" s="726"/>
      <c r="AM33" s="726"/>
      <c r="AN33" s="726"/>
      <c r="AO33" s="726"/>
      <c r="AP33" s="726"/>
      <c r="AQ33" s="726"/>
      <c r="AR33" s="727"/>
      <c r="AT33" s="283"/>
      <c r="AV33" s="664"/>
      <c r="AW33" s="664"/>
    </row>
    <row r="34" spans="1:51">
      <c r="A34" s="282"/>
      <c r="AT34" s="283"/>
      <c r="AV34" s="664"/>
      <c r="AW34" s="664"/>
    </row>
    <row r="35" spans="1:51" s="7" customFormat="1">
      <c r="A35" s="310"/>
      <c r="B35" s="724" t="s">
        <v>455</v>
      </c>
      <c r="C35" s="680"/>
      <c r="F35" s="724" t="s">
        <v>465</v>
      </c>
      <c r="G35" s="680"/>
      <c r="J35" s="724" t="s">
        <v>460</v>
      </c>
      <c r="K35" s="680"/>
      <c r="N35" s="724" t="s">
        <v>439</v>
      </c>
      <c r="O35" s="680"/>
      <c r="R35" s="680" t="s">
        <v>625</v>
      </c>
      <c r="S35" s="680"/>
      <c r="V35" s="724" t="s">
        <v>557</v>
      </c>
      <c r="W35" s="680"/>
      <c r="Z35" s="724" t="s">
        <v>546</v>
      </c>
      <c r="AA35" s="680"/>
      <c r="AD35" s="724" t="s">
        <v>470</v>
      </c>
      <c r="AE35" s="680"/>
      <c r="AH35" s="724" t="s">
        <v>463</v>
      </c>
      <c r="AI35" s="680"/>
      <c r="AL35" s="724" t="s">
        <v>467</v>
      </c>
      <c r="AM35" s="680"/>
      <c r="AP35" s="724" t="s">
        <v>482</v>
      </c>
      <c r="AQ35" s="680"/>
      <c r="AT35" s="311"/>
      <c r="AV35" s="664"/>
      <c r="AW35" s="664"/>
    </row>
    <row r="36" spans="1:51">
      <c r="A36" s="282"/>
      <c r="AT36" s="283"/>
      <c r="AV36" s="664"/>
      <c r="AW36" s="664"/>
    </row>
    <row r="37" spans="1:51">
      <c r="A37" s="282"/>
      <c r="AT37" s="283"/>
      <c r="AV37" s="664"/>
      <c r="AW37" s="664"/>
    </row>
    <row r="38" spans="1:51">
      <c r="A38" s="282"/>
      <c r="B38" s="296" t="s">
        <v>789</v>
      </c>
      <c r="C38" s="296" t="s">
        <v>790</v>
      </c>
      <c r="D38" s="666">
        <f>VLOOKUP(B35,[14]Progress!$B$9:$D$310,3,FALSE)</f>
        <v>410</v>
      </c>
      <c r="E38" s="665"/>
      <c r="F38" s="296" t="s">
        <v>789</v>
      </c>
      <c r="G38" s="296" t="s">
        <v>790</v>
      </c>
      <c r="H38" s="666">
        <f>VLOOKUP(F35,[14]Progress!$B$9:$D$310,3,FALSE)</f>
        <v>378</v>
      </c>
      <c r="I38" s="665"/>
      <c r="J38" s="296" t="s">
        <v>789</v>
      </c>
      <c r="K38" s="296" t="s">
        <v>790</v>
      </c>
      <c r="L38" s="666">
        <f>VLOOKUP(J35,[14]Progress!$B$9:$D$310,3,FALSE)</f>
        <v>420</v>
      </c>
      <c r="M38" s="665"/>
      <c r="N38" s="296" t="s">
        <v>789</v>
      </c>
      <c r="O38" s="296" t="s">
        <v>790</v>
      </c>
      <c r="P38" s="666">
        <f>VLOOKUP(N35,[14]Progress!$B$9:$D$310,3,FALSE)</f>
        <v>401.69499999999999</v>
      </c>
      <c r="Q38" s="665"/>
      <c r="R38" s="296" t="s">
        <v>789</v>
      </c>
      <c r="S38" s="296" t="s">
        <v>790</v>
      </c>
      <c r="T38" s="721">
        <f>VLOOKUP(R35,[14]Progress!$B$9:$D$310,3,FALSE)</f>
        <v>279.99700000000001</v>
      </c>
      <c r="U38" s="722"/>
      <c r="V38" s="296" t="s">
        <v>789</v>
      </c>
      <c r="W38" s="296" t="s">
        <v>790</v>
      </c>
      <c r="X38" s="666">
        <f>VLOOKUP(V35,[14]Progress!$B$9:$D$310,3,FALSE)</f>
        <v>383.06400000000002</v>
      </c>
      <c r="Y38" s="665"/>
      <c r="Z38" s="296" t="s">
        <v>789</v>
      </c>
      <c r="AA38" s="296" t="s">
        <v>790</v>
      </c>
      <c r="AB38" s="666">
        <f>VLOOKUP(Z35,[14]Progress!$B$9:$D$310,3,FALSE)</f>
        <v>400.00400000000002</v>
      </c>
      <c r="AC38" s="665"/>
      <c r="AD38" s="296" t="s">
        <v>789</v>
      </c>
      <c r="AE38" s="296" t="s">
        <v>790</v>
      </c>
      <c r="AF38" s="666">
        <f>VLOOKUP(AD35,[14]Progress!$B$9:$D$310,3,FALSE)</f>
        <v>397.00200000000001</v>
      </c>
      <c r="AG38" s="665"/>
      <c r="AH38" s="296" t="s">
        <v>789</v>
      </c>
      <c r="AI38" s="296" t="s">
        <v>790</v>
      </c>
      <c r="AJ38" s="666">
        <f>VLOOKUP(AH35,[14]Progress!$B$9:$D$310,3,FALSE)</f>
        <v>414</v>
      </c>
      <c r="AK38" s="665"/>
      <c r="AL38" s="296" t="s">
        <v>789</v>
      </c>
      <c r="AM38" s="296" t="s">
        <v>790</v>
      </c>
      <c r="AN38" s="666">
        <f>VLOOKUP(AL35,[14]Progress!$B$9:$D$310,3,FALSE)</f>
        <v>415</v>
      </c>
      <c r="AO38" s="665"/>
      <c r="AP38" s="296" t="s">
        <v>789</v>
      </c>
      <c r="AQ38" s="296" t="s">
        <v>790</v>
      </c>
      <c r="AR38" s="666">
        <f>VLOOKUP(AP35,[14]Progress!$B$9:$D$310,3,FALSE)</f>
        <v>411</v>
      </c>
      <c r="AS38" s="664"/>
      <c r="AT38" s="283"/>
      <c r="AV38" s="664">
        <f>D38+H38+L38+P38+T38+X38+AB38+AF38+AJ38+AN38+AR38</f>
        <v>4309.7619999999997</v>
      </c>
      <c r="AW38" s="664"/>
      <c r="AY38">
        <v>11</v>
      </c>
    </row>
    <row r="39" spans="1:51">
      <c r="A39" s="282"/>
      <c r="B39" s="296" t="s">
        <v>792</v>
      </c>
      <c r="C39" s="296" t="s">
        <v>793</v>
      </c>
      <c r="F39" s="296" t="s">
        <v>792</v>
      </c>
      <c r="G39" s="296" t="s">
        <v>793</v>
      </c>
      <c r="J39" s="296" t="s">
        <v>792</v>
      </c>
      <c r="K39" s="296" t="s">
        <v>793</v>
      </c>
      <c r="N39" s="296" t="s">
        <v>792</v>
      </c>
      <c r="O39" s="296" t="s">
        <v>793</v>
      </c>
      <c r="R39" s="296" t="s">
        <v>792</v>
      </c>
      <c r="S39" s="296" t="s">
        <v>793</v>
      </c>
      <c r="V39" s="296" t="s">
        <v>792</v>
      </c>
      <c r="W39" s="296" t="s">
        <v>793</v>
      </c>
      <c r="Z39" s="296" t="s">
        <v>792</v>
      </c>
      <c r="AA39" s="296" t="s">
        <v>793</v>
      </c>
      <c r="AD39" s="296" t="s">
        <v>792</v>
      </c>
      <c r="AE39" s="296" t="s">
        <v>793</v>
      </c>
      <c r="AH39" s="296" t="s">
        <v>792</v>
      </c>
      <c r="AI39" s="296" t="s">
        <v>793</v>
      </c>
      <c r="AL39" s="296" t="s">
        <v>792</v>
      </c>
      <c r="AM39" s="296" t="s">
        <v>793</v>
      </c>
      <c r="AP39" s="296" t="s">
        <v>792</v>
      </c>
      <c r="AQ39" s="296" t="s">
        <v>793</v>
      </c>
      <c r="AT39" s="283"/>
      <c r="AV39" s="664"/>
      <c r="AW39" s="664"/>
    </row>
    <row r="40" spans="1:51" ht="10.5" customHeight="1">
      <c r="A40" s="282"/>
      <c r="B40" s="700"/>
      <c r="C40" s="700"/>
      <c r="F40" s="700"/>
      <c r="G40" s="700"/>
      <c r="J40" s="700"/>
      <c r="K40" s="700"/>
      <c r="N40" s="700"/>
      <c r="O40" s="700"/>
      <c r="R40" s="700"/>
      <c r="S40" s="700"/>
      <c r="V40" s="700"/>
      <c r="W40" s="700"/>
      <c r="Z40" s="700"/>
      <c r="AA40" s="700"/>
      <c r="AD40" s="700"/>
      <c r="AE40" s="700"/>
      <c r="AH40" s="700"/>
      <c r="AI40" s="700"/>
      <c r="AL40" s="700"/>
      <c r="AM40" s="700"/>
      <c r="AP40" s="700"/>
      <c r="AQ40" s="700"/>
      <c r="AT40" s="283"/>
      <c r="AV40" s="664"/>
      <c r="AW40" s="664"/>
    </row>
    <row r="41" spans="1:51">
      <c r="A41" s="282"/>
      <c r="B41" s="684" t="str">
        <f>VLOOKUP(+B35,'[14]Twr Schedule'!$B$9:$C$611,2,FALSE)</f>
        <v>DA+3</v>
      </c>
      <c r="C41" s="684"/>
      <c r="F41" s="684" t="str">
        <f>VLOOKUP(+F35,'[14]Twr Schedule'!$B$9:$C$611,2,FALSE)</f>
        <v>DA+0</v>
      </c>
      <c r="G41" s="684"/>
      <c r="J41" s="684" t="str">
        <f>VLOOKUP(+J35,'[14]Twr Schedule'!$B$9:$C$611,2,FALSE)</f>
        <v>DA+3</v>
      </c>
      <c r="K41" s="684"/>
      <c r="N41" s="684" t="str">
        <f>VLOOKUP(+N35,'[14]Twr Schedule'!$B$9:$C$611,2,FALSE)</f>
        <v>DA+0</v>
      </c>
      <c r="O41" s="684"/>
      <c r="R41" s="684" t="str">
        <f>VLOOKUP(+R35,'[14]Twr Schedule'!$B$9:$C$611,2,FALSE)</f>
        <v>DC2+0</v>
      </c>
      <c r="S41" s="684"/>
      <c r="V41" s="684" t="str">
        <f>VLOOKUP(+V35,'[14]Twr Schedule'!$B$9:$C$611,2,FALSE)</f>
        <v>DD45+0</v>
      </c>
      <c r="W41" s="684"/>
      <c r="Z41" s="684" t="str">
        <f>VLOOKUP(+Z35,'[14]Twr Schedule'!$B$9:$C$611,2,FALSE)</f>
        <v>DA+3</v>
      </c>
      <c r="AA41" s="684"/>
      <c r="AD41" s="684" t="str">
        <f>VLOOKUP(+AD35,'[14]Twr Schedule'!$B$9:$C$611,2,FALSE)</f>
        <v>DA-3</v>
      </c>
      <c r="AE41" s="684"/>
      <c r="AH41" s="684" t="str">
        <f>VLOOKUP(+AH35,'[14]Twr Schedule'!$B$9:$C$611,2,FALSE)</f>
        <v>DA+3</v>
      </c>
      <c r="AI41" s="684"/>
      <c r="AL41" s="684" t="str">
        <f>VLOOKUP(+AL35,'[14]Twr Schedule'!$B$9:$C$611,2,FALSE)</f>
        <v>DA+0</v>
      </c>
      <c r="AM41" s="684"/>
      <c r="AP41" s="684" t="str">
        <f>VLOOKUP(+AP35,'[14]Twr Schedule'!$B$9:$C$611,2,FALSE)</f>
        <v>DA+3</v>
      </c>
      <c r="AQ41" s="684"/>
      <c r="AT41" s="283"/>
      <c r="AV41" s="664"/>
      <c r="AW41" s="664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808</v>
      </c>
      <c r="V42" s="2"/>
      <c r="W42" s="2"/>
      <c r="Z42" s="313" t="s">
        <v>809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64"/>
      <c r="AW42" s="664"/>
    </row>
    <row r="43" spans="1:51">
      <c r="A43" s="282"/>
      <c r="S43" t="s">
        <v>810</v>
      </c>
      <c r="AT43" s="283"/>
      <c r="AV43" s="664"/>
      <c r="AW43" s="664"/>
    </row>
    <row r="44" spans="1:51">
      <c r="A44" s="725" t="s">
        <v>807</v>
      </c>
      <c r="B44" s="726"/>
      <c r="C44" s="726"/>
      <c r="D44" s="726"/>
      <c r="E44" s="726"/>
      <c r="F44" s="726"/>
      <c r="G44" s="726"/>
      <c r="H44" s="726"/>
      <c r="I44" s="726"/>
      <c r="J44" s="726"/>
      <c r="K44" s="726"/>
      <c r="L44" s="726"/>
      <c r="M44" s="726"/>
      <c r="N44" s="726"/>
      <c r="O44" s="726"/>
      <c r="P44" s="726"/>
      <c r="Q44" s="726"/>
      <c r="R44" s="726"/>
      <c r="S44" s="726"/>
      <c r="T44" s="726"/>
      <c r="U44" s="726"/>
      <c r="V44" s="727"/>
      <c r="W44" s="725" t="s">
        <v>811</v>
      </c>
      <c r="X44" s="726"/>
      <c r="Y44" s="726"/>
      <c r="Z44" s="726"/>
      <c r="AA44" s="726"/>
      <c r="AB44" s="726"/>
      <c r="AC44" s="726"/>
      <c r="AD44" s="726"/>
      <c r="AE44" s="726"/>
      <c r="AF44" s="726"/>
      <c r="AG44" s="726"/>
      <c r="AH44" s="726"/>
      <c r="AI44" s="726"/>
      <c r="AJ44" s="726"/>
      <c r="AK44" s="726"/>
      <c r="AL44" s="726"/>
      <c r="AM44" s="726"/>
      <c r="AN44" s="726"/>
      <c r="AO44" s="726"/>
      <c r="AP44" s="726"/>
      <c r="AQ44" s="726"/>
      <c r="AR44" s="727"/>
      <c r="AT44" s="283"/>
      <c r="AV44" s="664"/>
      <c r="AW44" s="664"/>
    </row>
    <row r="45" spans="1:51" s="7" customFormat="1">
      <c r="A45" s="310"/>
      <c r="B45" s="680" t="s">
        <v>543</v>
      </c>
      <c r="C45" s="680"/>
      <c r="F45" s="680" t="s">
        <v>477</v>
      </c>
      <c r="G45" s="680"/>
      <c r="J45" s="680" t="s">
        <v>473</v>
      </c>
      <c r="K45" s="680"/>
      <c r="N45" s="680" t="s">
        <v>584</v>
      </c>
      <c r="O45" s="680"/>
      <c r="R45" s="680" t="s">
        <v>525</v>
      </c>
      <c r="S45" s="680"/>
      <c r="V45" s="680" t="s">
        <v>530</v>
      </c>
      <c r="W45" s="680"/>
      <c r="Z45" s="680" t="s">
        <v>534</v>
      </c>
      <c r="AA45" s="680"/>
      <c r="AD45" s="680" t="s">
        <v>538</v>
      </c>
      <c r="AE45" s="680"/>
      <c r="AH45" s="680" t="s">
        <v>532</v>
      </c>
      <c r="AI45" s="680"/>
      <c r="AL45" s="680" t="s">
        <v>457</v>
      </c>
      <c r="AM45" s="680"/>
      <c r="AP45" s="680" t="s">
        <v>526</v>
      </c>
      <c r="AQ45" s="680"/>
      <c r="AT45" s="311"/>
      <c r="AV45" s="664"/>
      <c r="AW45" s="664"/>
    </row>
    <row r="46" spans="1:51">
      <c r="A46" s="282"/>
      <c r="AT46" s="283"/>
      <c r="AV46" s="664"/>
      <c r="AW46" s="664"/>
    </row>
    <row r="47" spans="1:51">
      <c r="A47" s="282"/>
      <c r="AT47" s="283"/>
      <c r="AV47" s="664"/>
      <c r="AW47" s="664"/>
    </row>
    <row r="48" spans="1:51">
      <c r="A48" s="282"/>
      <c r="B48" s="296" t="s">
        <v>789</v>
      </c>
      <c r="C48" s="296" t="s">
        <v>790</v>
      </c>
      <c r="D48" s="666">
        <f>VLOOKUP(B45,[14]Progress!$B$9:$D$310,3,FALSE)</f>
        <v>416</v>
      </c>
      <c r="E48" s="665"/>
      <c r="F48" s="296" t="s">
        <v>789</v>
      </c>
      <c r="G48" s="296" t="s">
        <v>790</v>
      </c>
      <c r="H48" s="728">
        <f>VLOOKUP(F45,[14]Progress!$B$9:$D$310,3,FALSE)</f>
        <v>409.23099999999999</v>
      </c>
      <c r="I48" s="729"/>
      <c r="J48" s="314" t="s">
        <v>789</v>
      </c>
      <c r="K48" s="314" t="s">
        <v>790</v>
      </c>
      <c r="L48" s="728">
        <f>VLOOKUP(J45,[14]Progress!$B$9:$D$310,3,FALSE)</f>
        <v>378.00099999999998</v>
      </c>
      <c r="M48" s="729"/>
      <c r="N48" s="314" t="s">
        <v>789</v>
      </c>
      <c r="O48" s="314" t="s">
        <v>790</v>
      </c>
      <c r="P48" s="728">
        <f>VLOOKUP(N45,[14]Progress!$B$9:$D$310,3,FALSE)</f>
        <v>391</v>
      </c>
      <c r="Q48" s="729"/>
      <c r="R48" s="314" t="s">
        <v>789</v>
      </c>
      <c r="S48" s="314" t="s">
        <v>790</v>
      </c>
      <c r="T48" s="728">
        <f>VLOOKUP(R45,[14]Progress!$B$9:$D$310,3,FALSE)</f>
        <v>401.44299999999998</v>
      </c>
      <c r="U48" s="729"/>
      <c r="V48" s="314" t="s">
        <v>789</v>
      </c>
      <c r="W48" s="314" t="s">
        <v>790</v>
      </c>
      <c r="X48" s="728">
        <f>VLOOKUP(V45,[14]Progress!$B$9:$D$310,3,FALSE)</f>
        <v>321</v>
      </c>
      <c r="Y48" s="729"/>
      <c r="Z48" s="314" t="s">
        <v>789</v>
      </c>
      <c r="AA48" s="314" t="s">
        <v>790</v>
      </c>
      <c r="AB48" s="728">
        <f>VLOOKUP(Z45,[14]Progress!$B$9:$D$310,3,FALSE)</f>
        <v>402.56900000000002</v>
      </c>
      <c r="AC48" s="729"/>
      <c r="AD48" s="314" t="s">
        <v>789</v>
      </c>
      <c r="AE48" s="314" t="s">
        <v>790</v>
      </c>
      <c r="AF48" s="728">
        <f>VLOOKUP(AD45,[14]Progress!$B$9:$D$310,3,FALSE)</f>
        <v>408</v>
      </c>
      <c r="AG48" s="729"/>
      <c r="AH48" s="314" t="s">
        <v>789</v>
      </c>
      <c r="AI48" s="314" t="s">
        <v>790</v>
      </c>
      <c r="AJ48" s="728">
        <f>VLOOKUP(AH45,[14]Progress!$B$9:$D$310,3,FALSE)</f>
        <v>419</v>
      </c>
      <c r="AK48" s="729"/>
      <c r="AL48" s="314" t="s">
        <v>789</v>
      </c>
      <c r="AM48" s="314" t="s">
        <v>790</v>
      </c>
      <c r="AN48" s="728">
        <f>VLOOKUP(AL45,[14]Progress!$B$9:$D$310,3,FALSE)</f>
        <v>407.27499999999998</v>
      </c>
      <c r="AO48" s="729"/>
      <c r="AP48" s="296" t="s">
        <v>789</v>
      </c>
      <c r="AQ48" s="296" t="s">
        <v>790</v>
      </c>
      <c r="AR48" s="666">
        <f>VLOOKUP(AP45,[14]Progress!$B$9:$D$310,3,FALSE)</f>
        <v>414</v>
      </c>
      <c r="AS48" s="664"/>
      <c r="AT48" s="283"/>
      <c r="AV48" s="664">
        <f>D48+H48+L48+P48+T48+X48+AB48+AF48+AJ48+AN48+AR48</f>
        <v>4367.5190000000002</v>
      </c>
      <c r="AW48" s="664"/>
      <c r="AY48">
        <v>11</v>
      </c>
    </row>
    <row r="49" spans="1:51">
      <c r="A49" s="282"/>
      <c r="B49" s="296" t="s">
        <v>792</v>
      </c>
      <c r="C49" s="296" t="s">
        <v>793</v>
      </c>
      <c r="F49" s="296" t="s">
        <v>792</v>
      </c>
      <c r="G49" s="296" t="s">
        <v>793</v>
      </c>
      <c r="J49" s="296" t="s">
        <v>792</v>
      </c>
      <c r="K49" s="296" t="s">
        <v>793</v>
      </c>
      <c r="N49" s="296" t="s">
        <v>792</v>
      </c>
      <c r="O49" s="296" t="s">
        <v>793</v>
      </c>
      <c r="R49" s="296" t="s">
        <v>792</v>
      </c>
      <c r="S49" s="296" t="s">
        <v>793</v>
      </c>
      <c r="V49" s="296" t="s">
        <v>792</v>
      </c>
      <c r="W49" s="296" t="s">
        <v>793</v>
      </c>
      <c r="Z49" s="296" t="s">
        <v>792</v>
      </c>
      <c r="AA49" s="296" t="s">
        <v>793</v>
      </c>
      <c r="AD49" s="296" t="s">
        <v>792</v>
      </c>
      <c r="AE49" s="296" t="s">
        <v>793</v>
      </c>
      <c r="AH49" s="296" t="s">
        <v>792</v>
      </c>
      <c r="AI49" s="296" t="s">
        <v>793</v>
      </c>
      <c r="AL49" s="296" t="s">
        <v>792</v>
      </c>
      <c r="AM49" s="296" t="s">
        <v>793</v>
      </c>
      <c r="AP49" s="296" t="s">
        <v>792</v>
      </c>
      <c r="AQ49" s="296" t="s">
        <v>793</v>
      </c>
      <c r="AT49" s="283"/>
      <c r="AV49" s="664"/>
      <c r="AW49" s="664"/>
    </row>
    <row r="50" spans="1:51" ht="10.5" customHeight="1">
      <c r="A50" s="282"/>
      <c r="B50" s="700"/>
      <c r="C50" s="700"/>
      <c r="F50" s="700"/>
      <c r="G50" s="700"/>
      <c r="J50" s="700"/>
      <c r="K50" s="700"/>
      <c r="N50" s="700"/>
      <c r="O50" s="700"/>
      <c r="R50" s="700"/>
      <c r="S50" s="700"/>
      <c r="V50" s="700"/>
      <c r="W50" s="700"/>
      <c r="Z50" s="700"/>
      <c r="AA50" s="700"/>
      <c r="AD50" s="700"/>
      <c r="AE50" s="700"/>
      <c r="AH50" s="700"/>
      <c r="AI50" s="700"/>
      <c r="AL50" s="700"/>
      <c r="AM50" s="700"/>
      <c r="AP50" s="700"/>
      <c r="AQ50" s="700"/>
      <c r="AT50" s="283"/>
      <c r="AV50" s="664"/>
      <c r="AW50" s="664"/>
    </row>
    <row r="51" spans="1:51">
      <c r="A51" s="282"/>
      <c r="B51" s="684" t="str">
        <f>VLOOKUP(+B45,'[14]Twr Schedule'!$B$9:$C$611,2,FALSE)</f>
        <v>DA+0</v>
      </c>
      <c r="C51" s="684"/>
      <c r="F51" s="684" t="str">
        <f>VLOOKUP(+F45,'[14]Twr Schedule'!$B$9:$C$611,2,FALSE)</f>
        <v>DA+3</v>
      </c>
      <c r="G51" s="684"/>
      <c r="J51" s="684" t="str">
        <f>VLOOKUP(+J45,'[14]Twr Schedule'!$B$9:$C$611,2,FALSE)</f>
        <v>DA+0</v>
      </c>
      <c r="K51" s="684"/>
      <c r="N51" s="684" t="str">
        <f>VLOOKUP(+N45,'[14]Twr Schedule'!$B$9:$C$611,2,FALSE)</f>
        <v>DA-3</v>
      </c>
      <c r="O51" s="684"/>
      <c r="R51" s="684" t="str">
        <f>VLOOKUP(+R45,'[14]Twr Schedule'!$B$9:$C$611,2,FALSE)</f>
        <v>DA+3</v>
      </c>
      <c r="S51" s="684"/>
      <c r="V51" s="684" t="str">
        <f>VLOOKUP(+V45,'[14]Twr Schedule'!$B$9:$C$611,2,FALSE)</f>
        <v>DB1+0</v>
      </c>
      <c r="W51" s="684"/>
      <c r="Z51" s="684" t="str">
        <f>VLOOKUP(+Z45,'[14]Twr Schedule'!$B$9:$C$611,2,FALSE)</f>
        <v>DA+3</v>
      </c>
      <c r="AA51" s="684"/>
      <c r="AD51" s="684" t="str">
        <f>VLOOKUP(+AD45,'[14]Twr Schedule'!$B$9:$C$611,2,FALSE)</f>
        <v>DB1+0</v>
      </c>
      <c r="AE51" s="684"/>
      <c r="AH51" s="684" t="str">
        <f>VLOOKUP(+AH45,'[14]Twr Schedule'!$B$9:$C$611,2,FALSE)</f>
        <v>DA+3</v>
      </c>
      <c r="AI51" s="684"/>
      <c r="AL51" s="684" t="str">
        <f>VLOOKUP(+AL45,'[14]Twr Schedule'!$B$9:$C$611,2,FALSE)</f>
        <v>DA+3</v>
      </c>
      <c r="AM51" s="684"/>
      <c r="AP51" s="684" t="str">
        <f>VLOOKUP(+AP45,'[14]Twr Schedule'!$B$9:$C$611,2,FALSE)</f>
        <v>DB2+0</v>
      </c>
      <c r="AQ51" s="684"/>
      <c r="AT51" s="283"/>
      <c r="AV51" s="664"/>
      <c r="AW51" s="664"/>
    </row>
    <row r="52" spans="1:51">
      <c r="A52" s="282"/>
      <c r="AT52" s="283"/>
      <c r="AV52" s="664"/>
      <c r="AW52" s="664"/>
    </row>
    <row r="53" spans="1:51">
      <c r="A53" s="282"/>
      <c r="B53" s="725" t="s">
        <v>811</v>
      </c>
      <c r="C53" s="726"/>
      <c r="D53" s="726"/>
      <c r="E53" s="726"/>
      <c r="F53" s="726"/>
      <c r="G53" s="726"/>
      <c r="H53" s="726"/>
      <c r="I53" s="726"/>
      <c r="J53" s="726"/>
      <c r="K53" s="726"/>
      <c r="L53" s="726"/>
      <c r="M53" s="726"/>
      <c r="N53" s="726"/>
      <c r="O53" s="726"/>
      <c r="P53" s="726"/>
      <c r="Q53" s="726"/>
      <c r="R53" s="726"/>
      <c r="S53" s="726"/>
      <c r="T53" s="726"/>
      <c r="U53" s="726"/>
      <c r="V53" s="727"/>
      <c r="W53" s="725" t="s">
        <v>812</v>
      </c>
      <c r="X53" s="726"/>
      <c r="Y53" s="726"/>
      <c r="Z53" s="726"/>
      <c r="AA53" s="726"/>
      <c r="AB53" s="726"/>
      <c r="AC53" s="726"/>
      <c r="AD53" s="726"/>
      <c r="AE53" s="726"/>
      <c r="AF53" s="726"/>
      <c r="AG53" s="726"/>
      <c r="AH53" s="726"/>
      <c r="AI53" s="726"/>
      <c r="AJ53" s="726"/>
      <c r="AK53" s="726"/>
      <c r="AL53" s="726"/>
      <c r="AM53" s="726"/>
      <c r="AN53" s="726"/>
      <c r="AO53" s="726"/>
      <c r="AP53" s="726"/>
      <c r="AQ53" s="726"/>
      <c r="AR53" s="727"/>
      <c r="AT53" s="283"/>
      <c r="AV53" s="664"/>
      <c r="AW53" s="664"/>
    </row>
    <row r="54" spans="1:51">
      <c r="A54" s="282"/>
      <c r="AT54" s="283"/>
      <c r="AV54" s="664"/>
      <c r="AW54" s="664"/>
    </row>
    <row r="55" spans="1:51">
      <c r="A55" s="282"/>
      <c r="B55" s="664" t="s">
        <v>521</v>
      </c>
      <c r="C55" s="664"/>
      <c r="F55" s="664" t="s">
        <v>483</v>
      </c>
      <c r="G55" s="664"/>
      <c r="J55" s="664" t="s">
        <v>537</v>
      </c>
      <c r="K55" s="664"/>
      <c r="N55" s="664" t="s">
        <v>515</v>
      </c>
      <c r="O55" s="664"/>
      <c r="R55" s="664" t="s">
        <v>509</v>
      </c>
      <c r="S55" s="664"/>
      <c r="V55" s="664" t="s">
        <v>501</v>
      </c>
      <c r="W55" s="664"/>
      <c r="Z55" s="664" t="s">
        <v>494</v>
      </c>
      <c r="AA55" s="664"/>
      <c r="AD55" s="664" t="s">
        <v>488</v>
      </c>
      <c r="AE55" s="664"/>
      <c r="AH55" s="664" t="s">
        <v>478</v>
      </c>
      <c r="AI55" s="664"/>
      <c r="AL55" s="664" t="s">
        <v>475</v>
      </c>
      <c r="AM55" s="664"/>
      <c r="AP55" s="664" t="s">
        <v>527</v>
      </c>
      <c r="AQ55" s="664"/>
      <c r="AT55" s="283"/>
      <c r="AV55" s="664"/>
      <c r="AW55" s="664"/>
    </row>
    <row r="56" spans="1:51">
      <c r="A56" s="282"/>
      <c r="AT56" s="283"/>
      <c r="AV56" s="664"/>
      <c r="AW56" s="664"/>
    </row>
    <row r="57" spans="1:51">
      <c r="A57" s="282"/>
      <c r="AT57" s="283"/>
      <c r="AV57" s="664"/>
      <c r="AW57" s="664"/>
    </row>
    <row r="58" spans="1:51">
      <c r="A58" s="282"/>
      <c r="B58" s="296" t="s">
        <v>789</v>
      </c>
      <c r="C58" s="296" t="s">
        <v>790</v>
      </c>
      <c r="D58" s="666">
        <f>VLOOKUP(B55,[14]Progress!$B$9:$D$310,3,FALSE)</f>
        <v>419</v>
      </c>
      <c r="E58" s="665"/>
      <c r="F58" s="296" t="s">
        <v>789</v>
      </c>
      <c r="G58" s="296" t="s">
        <v>790</v>
      </c>
      <c r="H58" s="728">
        <f>VLOOKUP(F55,[14]Progress!$B$9:$D$310,3,FALSE)</f>
        <v>361.09699999999998</v>
      </c>
      <c r="I58" s="729"/>
      <c r="J58" s="314" t="s">
        <v>789</v>
      </c>
      <c r="K58" s="314" t="s">
        <v>790</v>
      </c>
      <c r="L58" s="728">
        <f>VLOOKUP(J55,[14]Progress!$B$9:$D$310,3,FALSE)</f>
        <v>361</v>
      </c>
      <c r="M58" s="729"/>
      <c r="N58" s="314" t="s">
        <v>789</v>
      </c>
      <c r="O58" s="314" t="s">
        <v>790</v>
      </c>
      <c r="P58" s="728">
        <f>VLOOKUP(N55,[14]Progress!$B$9:$D$310,3,FALSE)</f>
        <v>404</v>
      </c>
      <c r="Q58" s="729"/>
      <c r="R58" s="314" t="s">
        <v>789</v>
      </c>
      <c r="S58" s="314" t="s">
        <v>790</v>
      </c>
      <c r="T58" s="728">
        <f>VLOOKUP(R55,[14]Progress!$B$9:$D$310,3,FALSE)</f>
        <v>424</v>
      </c>
      <c r="U58" s="729"/>
      <c r="V58" s="314" t="s">
        <v>789</v>
      </c>
      <c r="W58" s="314" t="s">
        <v>790</v>
      </c>
      <c r="X58" s="728">
        <f>VLOOKUP(V55,[14]Progress!$B$9:$D$310,3,FALSE)</f>
        <v>406</v>
      </c>
      <c r="Y58" s="729"/>
      <c r="Z58" s="314" t="s">
        <v>789</v>
      </c>
      <c r="AA58" s="314" t="s">
        <v>790</v>
      </c>
      <c r="AB58" s="728">
        <f>VLOOKUP(Z55,[14]Progress!$B$9:$D$310,3,FALSE)</f>
        <v>410</v>
      </c>
      <c r="AC58" s="729"/>
      <c r="AD58" s="314" t="s">
        <v>789</v>
      </c>
      <c r="AE58" s="314" t="s">
        <v>790</v>
      </c>
      <c r="AF58" s="728">
        <f>VLOOKUP(AD55,[14]Progress!$B$9:$D$310,3,FALSE)</f>
        <v>423</v>
      </c>
      <c r="AG58" s="729"/>
      <c r="AH58" s="314" t="s">
        <v>789</v>
      </c>
      <c r="AI58" s="314" t="s">
        <v>790</v>
      </c>
      <c r="AJ58" s="728">
        <f>VLOOKUP(AH55,[14]Progress!$B$9:$D$310,3,FALSE)</f>
        <v>409</v>
      </c>
      <c r="AK58" s="729"/>
      <c r="AL58" s="314" t="s">
        <v>789</v>
      </c>
      <c r="AM58" s="314" t="s">
        <v>790</v>
      </c>
      <c r="AN58" s="728">
        <f>VLOOKUP(AL55,[14]Progress!$B$9:$D$310,3,FALSE)</f>
        <v>425</v>
      </c>
      <c r="AO58" s="729"/>
      <c r="AP58" s="314" t="s">
        <v>789</v>
      </c>
      <c r="AQ58" s="314" t="s">
        <v>790</v>
      </c>
      <c r="AR58" s="728">
        <f>VLOOKUP(AP55,[14]Progress!$B$9:$D$310,3,FALSE)</f>
        <v>362.65</v>
      </c>
      <c r="AS58" s="730"/>
      <c r="AT58" s="283"/>
      <c r="AV58" s="664">
        <f>D58+H58+L58+P58+T58+X58+AB58+AF58+AJ58+AN58+AR58</f>
        <v>4404.7469999999994</v>
      </c>
      <c r="AW58" s="664"/>
      <c r="AY58">
        <v>11</v>
      </c>
    </row>
    <row r="59" spans="1:51">
      <c r="A59" s="282"/>
      <c r="B59" s="296" t="s">
        <v>792</v>
      </c>
      <c r="C59" s="296" t="s">
        <v>793</v>
      </c>
      <c r="F59" s="296" t="s">
        <v>792</v>
      </c>
      <c r="G59" s="296" t="s">
        <v>793</v>
      </c>
      <c r="J59" s="296" t="s">
        <v>792</v>
      </c>
      <c r="K59" s="296" t="s">
        <v>793</v>
      </c>
      <c r="N59" s="296" t="s">
        <v>792</v>
      </c>
      <c r="O59" s="296" t="s">
        <v>793</v>
      </c>
      <c r="R59" s="296" t="s">
        <v>792</v>
      </c>
      <c r="S59" s="296" t="s">
        <v>793</v>
      </c>
      <c r="V59" s="296" t="s">
        <v>792</v>
      </c>
      <c r="W59" s="296" t="s">
        <v>793</v>
      </c>
      <c r="Z59" s="296" t="s">
        <v>792</v>
      </c>
      <c r="AA59" s="296" t="s">
        <v>793</v>
      </c>
      <c r="AD59" s="296" t="s">
        <v>792</v>
      </c>
      <c r="AE59" s="296" t="s">
        <v>793</v>
      </c>
      <c r="AH59" s="296" t="s">
        <v>792</v>
      </c>
      <c r="AI59" s="296" t="s">
        <v>793</v>
      </c>
      <c r="AL59" s="296" t="s">
        <v>792</v>
      </c>
      <c r="AM59" s="296" t="s">
        <v>793</v>
      </c>
      <c r="AP59" s="296" t="s">
        <v>792</v>
      </c>
      <c r="AQ59" s="296" t="s">
        <v>793</v>
      </c>
      <c r="AT59" s="283"/>
      <c r="AV59" s="664"/>
      <c r="AW59" s="664"/>
    </row>
    <row r="60" spans="1:51" ht="10.5" customHeight="1">
      <c r="A60" s="282"/>
      <c r="B60" s="700"/>
      <c r="C60" s="700"/>
      <c r="F60" s="700"/>
      <c r="G60" s="700"/>
      <c r="J60" s="700"/>
      <c r="K60" s="700"/>
      <c r="N60" s="700"/>
      <c r="O60" s="700"/>
      <c r="R60" s="700"/>
      <c r="S60" s="700"/>
      <c r="V60" s="700"/>
      <c r="W60" s="700"/>
      <c r="Z60" s="700"/>
      <c r="AA60" s="700"/>
      <c r="AD60" s="700"/>
      <c r="AE60" s="700"/>
      <c r="AH60" s="700"/>
      <c r="AI60" s="700"/>
      <c r="AL60" s="700"/>
      <c r="AM60" s="700"/>
      <c r="AP60" s="700"/>
      <c r="AQ60" s="700"/>
      <c r="AT60" s="283"/>
      <c r="AV60" s="664"/>
      <c r="AW60" s="664"/>
    </row>
    <row r="61" spans="1:51">
      <c r="A61" s="282"/>
      <c r="B61" s="684" t="str">
        <f>VLOOKUP(+B55,'[14]Twr Schedule'!$B$9:$C$611,2,FALSE)</f>
        <v>DA+0</v>
      </c>
      <c r="C61" s="684"/>
      <c r="F61" s="684" t="str">
        <f>VLOOKUP(+F55,'[14]Twr Schedule'!$B$9:$C$611,2,FALSE)</f>
        <v>DA+3</v>
      </c>
      <c r="G61" s="684"/>
      <c r="J61" s="684" t="str">
        <f>VLOOKUP(+J55,'[14]Twr Schedule'!$B$9:$C$611,2,FALSE)</f>
        <v>DA-3</v>
      </c>
      <c r="K61" s="684"/>
      <c r="N61" s="684" t="str">
        <f>VLOOKUP(+N55,'[14]Twr Schedule'!$B$9:$C$611,2,FALSE)</f>
        <v>DA+0</v>
      </c>
      <c r="O61" s="684"/>
      <c r="R61" s="684" t="str">
        <f>VLOOKUP(+R55,'[14]Twr Schedule'!$B$9:$C$611,2,FALSE)</f>
        <v>DA+3</v>
      </c>
      <c r="S61" s="684"/>
      <c r="V61" s="684" t="str">
        <f>VLOOKUP(+V55,'[14]Twr Schedule'!$B$9:$C$611,2,FALSE)</f>
        <v>DA+0</v>
      </c>
      <c r="W61" s="684"/>
      <c r="Z61" s="684" t="str">
        <f>VLOOKUP(+Z55,'[14]Twr Schedule'!$B$9:$C$611,2,FALSE)</f>
        <v>DA+0</v>
      </c>
      <c r="AA61" s="684"/>
      <c r="AD61" s="684" t="str">
        <f>VLOOKUP(+AD55,'[14]Twr Schedule'!$B$9:$C$611,2,FALSE)</f>
        <v>DA+3</v>
      </c>
      <c r="AE61" s="684"/>
      <c r="AH61" s="684" t="str">
        <f>VLOOKUP(+AH55,'[14]Twr Schedule'!$B$9:$C$611,2,FALSE)</f>
        <v>DA+0</v>
      </c>
      <c r="AI61" s="684"/>
      <c r="AL61" s="684" t="str">
        <f>VLOOKUP(+AL55,'[14]Twr Schedule'!$B$9:$C$611,2,FALSE)</f>
        <v>DA+3</v>
      </c>
      <c r="AM61" s="684"/>
      <c r="AP61" s="684" t="str">
        <f>VLOOKUP(+AP55,'[14]Twr Schedule'!$B$9:$C$611,2,FALSE)</f>
        <v>DA+0</v>
      </c>
      <c r="AQ61" s="684"/>
      <c r="AT61" s="283"/>
      <c r="AV61" s="664"/>
      <c r="AW61" s="664"/>
    </row>
    <row r="62" spans="1:51">
      <c r="A62" s="282"/>
      <c r="AT62" s="283"/>
      <c r="AV62" s="664"/>
      <c r="AW62" s="664"/>
    </row>
    <row r="63" spans="1:51">
      <c r="A63" s="282"/>
      <c r="B63" s="725" t="s">
        <v>812</v>
      </c>
      <c r="C63" s="726"/>
      <c r="D63" s="726"/>
      <c r="E63" s="726"/>
      <c r="F63" s="726"/>
      <c r="G63" s="726"/>
      <c r="H63" s="726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Y63" s="726"/>
      <c r="Z63" s="727"/>
      <c r="AA63" s="612" t="s">
        <v>813</v>
      </c>
      <c r="AB63" s="613"/>
      <c r="AC63" s="613"/>
      <c r="AD63" s="613"/>
      <c r="AE63" s="613"/>
      <c r="AF63" s="613"/>
      <c r="AG63" s="613"/>
      <c r="AH63" s="613"/>
      <c r="AI63" s="613"/>
      <c r="AJ63" s="613"/>
      <c r="AK63" s="613"/>
      <c r="AL63" s="613"/>
      <c r="AM63" s="613"/>
      <c r="AN63" s="613"/>
      <c r="AO63" s="613"/>
      <c r="AP63" s="613"/>
      <c r="AQ63" s="613"/>
      <c r="AR63" s="614"/>
      <c r="AT63" s="283"/>
      <c r="AV63" s="664"/>
      <c r="AW63" s="664"/>
    </row>
    <row r="64" spans="1:51">
      <c r="A64" s="282"/>
      <c r="AT64" s="283"/>
      <c r="AV64" s="664"/>
      <c r="AW64" s="664"/>
    </row>
    <row r="65" spans="1:51">
      <c r="A65" s="282"/>
      <c r="B65" s="664" t="str">
        <f>'[14]Twr Schedule'!B97</f>
        <v>8/0</v>
      </c>
      <c r="C65" s="664"/>
      <c r="F65" s="664" t="str">
        <f>'[14]Twr Schedule'!B99</f>
        <v>8/1</v>
      </c>
      <c r="G65" s="664"/>
      <c r="J65" s="664" t="str">
        <f>'[14]Twr Schedule'!B101</f>
        <v>8/2</v>
      </c>
      <c r="K65" s="664"/>
      <c r="N65" s="664" t="str">
        <f>'[14]Twr Schedule'!B103</f>
        <v>8/3</v>
      </c>
      <c r="O65" s="664"/>
      <c r="R65" s="664" t="str">
        <f>'[14]Twr Schedule'!B105</f>
        <v>8/4</v>
      </c>
      <c r="S65" s="664"/>
      <c r="V65" s="664" t="str">
        <f>'[14]Twr Schedule'!B107</f>
        <v>8A/0</v>
      </c>
      <c r="W65" s="664"/>
      <c r="Z65" s="664" t="str">
        <f>'[14]Twr Schedule'!B109</f>
        <v>8B/0</v>
      </c>
      <c r="AA65" s="664"/>
      <c r="AD65" s="664" t="str">
        <f>'[14]Twr Schedule'!B111</f>
        <v>8B/1</v>
      </c>
      <c r="AE65" s="664"/>
      <c r="AH65" s="664" t="str">
        <f>'[14]Twr Schedule'!B113</f>
        <v>8B/2</v>
      </c>
      <c r="AI65" s="664"/>
      <c r="AL65" s="664" t="str">
        <f>'[14]Twr Schedule'!B115</f>
        <v>8B/3</v>
      </c>
      <c r="AM65" s="664"/>
      <c r="AP65" s="664" t="str">
        <f>'[14]Twr Schedule'!B117</f>
        <v>8B/4</v>
      </c>
      <c r="AQ65" s="664"/>
      <c r="AT65" s="283"/>
      <c r="AV65" s="664"/>
      <c r="AW65" s="664"/>
    </row>
    <row r="66" spans="1:51">
      <c r="A66" s="282"/>
      <c r="AT66" s="283"/>
      <c r="AV66" s="664"/>
      <c r="AW66" s="664"/>
    </row>
    <row r="67" spans="1:51">
      <c r="A67" s="282"/>
      <c r="AT67" s="283"/>
      <c r="AV67" s="664"/>
      <c r="AW67" s="664"/>
    </row>
    <row r="68" spans="1:51">
      <c r="A68" s="282"/>
      <c r="B68" s="296" t="s">
        <v>789</v>
      </c>
      <c r="C68" s="296" t="s">
        <v>790</v>
      </c>
      <c r="D68" s="666">
        <f>VLOOKUP(B65,[14]Progress!$B$9:$D$310,3,FALSE)</f>
        <v>416</v>
      </c>
      <c r="E68" s="665"/>
      <c r="F68" s="296" t="s">
        <v>789</v>
      </c>
      <c r="G68" s="296" t="s">
        <v>790</v>
      </c>
      <c r="H68" s="666">
        <f>VLOOKUP(F65,[14]Progress!$B$9:$D$310,3,FALSE)</f>
        <v>400</v>
      </c>
      <c r="I68" s="665"/>
      <c r="J68" s="296" t="s">
        <v>789</v>
      </c>
      <c r="K68" s="296" t="s">
        <v>790</v>
      </c>
      <c r="L68" s="666">
        <f>VLOOKUP(J65,[14]Progress!$B$9:$D$310,3,FALSE)</f>
        <v>367</v>
      </c>
      <c r="M68" s="665"/>
      <c r="N68" s="296" t="s">
        <v>789</v>
      </c>
      <c r="O68" s="296" t="s">
        <v>790</v>
      </c>
      <c r="P68" s="666">
        <f>VLOOKUP(N65,[14]Progress!$B$9:$D$310,3,FALSE)</f>
        <v>420</v>
      </c>
      <c r="Q68" s="665"/>
      <c r="R68" s="296" t="s">
        <v>789</v>
      </c>
      <c r="S68" s="296" t="s">
        <v>790</v>
      </c>
      <c r="T68" s="728">
        <f>VLOOKUP(R65,[14]Progress!$B$9:$D$310,3,FALSE)</f>
        <v>413.71600000000001</v>
      </c>
      <c r="U68" s="729"/>
      <c r="V68" s="314" t="s">
        <v>789</v>
      </c>
      <c r="W68" s="314" t="s">
        <v>790</v>
      </c>
      <c r="X68" s="731">
        <f>VLOOKUP(V65,[14]Progress!$B$9:$D$310,3,FALSE)</f>
        <v>223.61</v>
      </c>
      <c r="Y68" s="732"/>
      <c r="Z68" s="314" t="s">
        <v>789</v>
      </c>
      <c r="AA68" s="314" t="s">
        <v>790</v>
      </c>
      <c r="AB68" s="728">
        <f>VLOOKUP(Z65,[14]Progress!$B$9:$D$310,3,FALSE)</f>
        <v>341</v>
      </c>
      <c r="AC68" s="729"/>
      <c r="AD68" s="314" t="s">
        <v>789</v>
      </c>
      <c r="AE68" s="314" t="s">
        <v>790</v>
      </c>
      <c r="AF68" s="728">
        <f>VLOOKUP(AD65,[14]Progress!$B$9:$D$310,3,FALSE)</f>
        <v>332</v>
      </c>
      <c r="AG68" s="729"/>
      <c r="AH68" s="314" t="s">
        <v>789</v>
      </c>
      <c r="AI68" s="314" t="s">
        <v>790</v>
      </c>
      <c r="AJ68" s="728">
        <f>VLOOKUP(AH65,[14]Progress!$B$9:$D$310,3,FALSE)</f>
        <v>292.52600000000001</v>
      </c>
      <c r="AK68" s="729"/>
      <c r="AL68" s="314" t="s">
        <v>789</v>
      </c>
      <c r="AM68" s="314" t="s">
        <v>790</v>
      </c>
      <c r="AN68" s="728">
        <f>VLOOKUP(AL65,[14]Progress!$B$9:$D$310,3,FALSE)</f>
        <v>426.18599999999998</v>
      </c>
      <c r="AO68" s="729"/>
      <c r="AP68" s="296" t="s">
        <v>789</v>
      </c>
      <c r="AQ68" s="296" t="s">
        <v>790</v>
      </c>
      <c r="AR68" s="666">
        <f>VLOOKUP(AP65,[14]Progress!$B$9:$D$310,3,FALSE)</f>
        <v>373</v>
      </c>
      <c r="AS68" s="664"/>
      <c r="AT68" s="283"/>
      <c r="AV68" s="664">
        <f>D68+H68+L68+P68+T68+X68+AB68+AF68+AJ68+AN68+AR68</f>
        <v>4005.038</v>
      </c>
      <c r="AW68" s="664"/>
      <c r="AY68">
        <v>11</v>
      </c>
    </row>
    <row r="69" spans="1:51">
      <c r="A69" s="282"/>
      <c r="B69" s="296" t="s">
        <v>792</v>
      </c>
      <c r="C69" s="296" t="s">
        <v>793</v>
      </c>
      <c r="F69" s="296" t="s">
        <v>792</v>
      </c>
      <c r="G69" s="296" t="s">
        <v>793</v>
      </c>
      <c r="J69" s="296" t="s">
        <v>792</v>
      </c>
      <c r="K69" s="296" t="s">
        <v>793</v>
      </c>
      <c r="N69" s="296" t="s">
        <v>792</v>
      </c>
      <c r="O69" s="296" t="s">
        <v>793</v>
      </c>
      <c r="R69" s="296" t="s">
        <v>792</v>
      </c>
      <c r="S69" s="296" t="s">
        <v>793</v>
      </c>
      <c r="V69" s="296" t="s">
        <v>792</v>
      </c>
      <c r="W69" s="296" t="s">
        <v>793</v>
      </c>
      <c r="Z69" s="296" t="s">
        <v>792</v>
      </c>
      <c r="AA69" s="296" t="s">
        <v>793</v>
      </c>
      <c r="AD69" s="296" t="s">
        <v>792</v>
      </c>
      <c r="AE69" s="296" t="s">
        <v>793</v>
      </c>
      <c r="AH69" s="296" t="s">
        <v>792</v>
      </c>
      <c r="AI69" s="296" t="s">
        <v>793</v>
      </c>
      <c r="AL69" s="296" t="s">
        <v>792</v>
      </c>
      <c r="AM69" s="296" t="s">
        <v>793</v>
      </c>
      <c r="AP69" s="296" t="s">
        <v>792</v>
      </c>
      <c r="AQ69" s="296" t="s">
        <v>793</v>
      </c>
      <c r="AT69" s="283"/>
      <c r="AV69" s="664"/>
      <c r="AW69" s="664"/>
    </row>
    <row r="70" spans="1:51" ht="10.5" customHeight="1">
      <c r="A70" s="282"/>
      <c r="B70" s="700"/>
      <c r="C70" s="700"/>
      <c r="F70" s="700"/>
      <c r="G70" s="700"/>
      <c r="J70" s="700"/>
      <c r="K70" s="700"/>
      <c r="N70" s="700"/>
      <c r="O70" s="700"/>
      <c r="R70" s="700"/>
      <c r="S70" s="700"/>
      <c r="V70" s="700"/>
      <c r="W70" s="700"/>
      <c r="Z70" s="700"/>
      <c r="AA70" s="700"/>
      <c r="AD70" s="733"/>
      <c r="AE70" s="733"/>
      <c r="AH70" s="700"/>
      <c r="AI70" s="700"/>
      <c r="AL70" s="700"/>
      <c r="AM70" s="700"/>
      <c r="AP70" s="700"/>
      <c r="AQ70" s="700"/>
      <c r="AT70" s="283"/>
      <c r="AV70" s="664"/>
      <c r="AW70" s="664"/>
    </row>
    <row r="71" spans="1:51">
      <c r="A71" s="282"/>
      <c r="B71" s="684" t="str">
        <f>VLOOKUP(+B65,'[14]Twr Schedule'!$B$9:$C$611,2,FALSE)</f>
        <v>DB2+0</v>
      </c>
      <c r="C71" s="684"/>
      <c r="F71" s="684" t="str">
        <f>VLOOKUP(+F65,'[14]Twr Schedule'!$B$9:$C$611,2,FALSE)</f>
        <v>DA+3</v>
      </c>
      <c r="G71" s="684"/>
      <c r="J71" s="684" t="str">
        <f>VLOOKUP(+J65,'[14]Twr Schedule'!$B$9:$C$611,2,FALSE)</f>
        <v>DA+0</v>
      </c>
      <c r="K71" s="684"/>
      <c r="N71" s="684" t="str">
        <f>VLOOKUP(+N65,'[14]Twr Schedule'!$B$9:$C$611,2,FALSE)</f>
        <v>DA-3</v>
      </c>
      <c r="O71" s="684"/>
      <c r="R71" s="684" t="str">
        <f>VLOOKUP(+R65,'[14]Twr Schedule'!$B$9:$C$611,2,FALSE)</f>
        <v>DA+9</v>
      </c>
      <c r="S71" s="684"/>
      <c r="V71" s="684" t="str">
        <f>VLOOKUP(+V65,'[14]Twr Schedule'!$B$9:$C$611,2,FALSE)</f>
        <v>DD60+0</v>
      </c>
      <c r="W71" s="684"/>
      <c r="Z71" s="684" t="str">
        <f>VLOOKUP(+Z65,'[14]Twr Schedule'!$B$9:$C$611,2,FALSE)</f>
        <v>DD60+0</v>
      </c>
      <c r="AA71" s="684"/>
      <c r="AD71" s="684" t="str">
        <f>VLOOKUP(+AD65,'[14]Twr Schedule'!$B$9:$C$611,2,FALSE)</f>
        <v>DA-3</v>
      </c>
      <c r="AE71" s="684"/>
      <c r="AH71" s="684" t="str">
        <f>VLOOKUP(+AH65,'[14]Twr Schedule'!$B$9:$C$611,2,FALSE)</f>
        <v>DA-3</v>
      </c>
      <c r="AI71" s="684"/>
      <c r="AL71" s="684" t="str">
        <f>VLOOKUP(+AL65,'[14]Twr Schedule'!$B$9:$C$611,2,FALSE)</f>
        <v>DA+3</v>
      </c>
      <c r="AM71" s="684"/>
      <c r="AP71" s="684" t="str">
        <f>VLOOKUP(+AP65,'[14]Twr Schedule'!$B$9:$C$611,2,FALSE)</f>
        <v>DA+6</v>
      </c>
      <c r="AQ71" s="684"/>
      <c r="AT71" s="283"/>
      <c r="AV71" s="664"/>
      <c r="AW71" s="664"/>
    </row>
    <row r="72" spans="1:51">
      <c r="A72" s="282"/>
      <c r="W72" t="s">
        <v>814</v>
      </c>
      <c r="AT72" s="283"/>
      <c r="AV72" s="664"/>
      <c r="AW72" s="664"/>
    </row>
    <row r="73" spans="1:51">
      <c r="A73" s="612" t="s">
        <v>813</v>
      </c>
      <c r="B73" s="613"/>
      <c r="C73" s="613"/>
      <c r="D73" s="613"/>
      <c r="E73" s="613"/>
      <c r="F73" s="613"/>
      <c r="G73" s="613"/>
      <c r="H73" s="613"/>
      <c r="I73" s="613"/>
      <c r="J73" s="613"/>
      <c r="K73" s="613"/>
      <c r="L73" s="613"/>
      <c r="M73" s="613"/>
      <c r="N73" s="613"/>
      <c r="O73" s="613"/>
      <c r="P73" s="613"/>
      <c r="Q73" s="613"/>
      <c r="R73" s="613"/>
      <c r="S73" s="613"/>
      <c r="T73" s="613"/>
      <c r="U73" s="613"/>
      <c r="V73" s="614"/>
      <c r="W73" s="725" t="s">
        <v>815</v>
      </c>
      <c r="X73" s="726"/>
      <c r="Y73" s="726"/>
      <c r="Z73" s="726"/>
      <c r="AA73" s="726"/>
      <c r="AB73" s="726"/>
      <c r="AC73" s="726"/>
      <c r="AD73" s="726"/>
      <c r="AE73" s="726"/>
      <c r="AF73" s="726"/>
      <c r="AG73" s="726"/>
      <c r="AH73" s="726"/>
      <c r="AI73" s="726"/>
      <c r="AJ73" s="726"/>
      <c r="AK73" s="726"/>
      <c r="AL73" s="726"/>
      <c r="AM73" s="726"/>
      <c r="AN73" s="726"/>
      <c r="AO73" s="726"/>
      <c r="AP73" s="726"/>
      <c r="AQ73" s="726"/>
      <c r="AR73" s="727"/>
      <c r="AT73" s="283"/>
      <c r="AV73" s="664"/>
      <c r="AW73" s="664"/>
    </row>
    <row r="74" spans="1:51">
      <c r="A74" s="282"/>
      <c r="AT74" s="283"/>
      <c r="AV74" s="664"/>
      <c r="AW74" s="664"/>
    </row>
    <row r="75" spans="1:51">
      <c r="A75" s="282"/>
      <c r="B75" s="664" t="s">
        <v>542</v>
      </c>
      <c r="C75" s="664"/>
      <c r="F75" s="664" t="s">
        <v>548</v>
      </c>
      <c r="G75" s="664"/>
      <c r="J75" s="664" t="s">
        <v>570</v>
      </c>
      <c r="K75" s="664"/>
      <c r="N75" s="664" t="s">
        <v>556</v>
      </c>
      <c r="O75" s="664"/>
      <c r="R75" s="664" t="s">
        <v>649</v>
      </c>
      <c r="S75" s="664"/>
      <c r="V75" s="664" t="s">
        <v>644</v>
      </c>
      <c r="W75" s="664"/>
      <c r="Z75" s="664" t="s">
        <v>583</v>
      </c>
      <c r="AA75" s="664"/>
      <c r="AD75" s="664" t="s">
        <v>487</v>
      </c>
      <c r="AE75" s="664"/>
      <c r="AH75" s="664" t="s">
        <v>493</v>
      </c>
      <c r="AI75" s="664"/>
      <c r="AL75" s="664" t="s">
        <v>498</v>
      </c>
      <c r="AM75" s="664"/>
      <c r="AP75" s="664" t="s">
        <v>502</v>
      </c>
      <c r="AQ75" s="664"/>
      <c r="AT75" s="283"/>
      <c r="AV75" s="664"/>
      <c r="AW75" s="664"/>
    </row>
    <row r="76" spans="1:51">
      <c r="A76" s="282"/>
      <c r="AT76" s="283"/>
      <c r="AV76" s="664"/>
      <c r="AW76" s="664"/>
    </row>
    <row r="77" spans="1:51">
      <c r="A77" s="282"/>
      <c r="AT77" s="283"/>
      <c r="AV77" s="664"/>
      <c r="AW77" s="664"/>
    </row>
    <row r="78" spans="1:51">
      <c r="A78" s="282"/>
      <c r="B78" s="296" t="s">
        <v>789</v>
      </c>
      <c r="C78" s="296" t="s">
        <v>790</v>
      </c>
      <c r="D78" s="728">
        <f>VLOOKUP(B75,[14]Progress!$B$9:$D$310,3,FALSE)</f>
        <v>461.51</v>
      </c>
      <c r="E78" s="729"/>
      <c r="F78" s="314" t="s">
        <v>789</v>
      </c>
      <c r="G78" s="314" t="s">
        <v>790</v>
      </c>
      <c r="H78" s="731">
        <f>VLOOKUP(F75,[14]Progress!$B$9:$D$310,3,FALSE)</f>
        <v>283.43099999999998</v>
      </c>
      <c r="I78" s="732"/>
      <c r="J78" s="314" t="s">
        <v>789</v>
      </c>
      <c r="K78" s="314" t="s">
        <v>790</v>
      </c>
      <c r="L78" s="728">
        <f>VLOOKUP(J75,[14]Progress!$B$9:$D$310,3,FALSE)</f>
        <v>426</v>
      </c>
      <c r="M78" s="729"/>
      <c r="N78" s="314" t="s">
        <v>789</v>
      </c>
      <c r="O78" s="314" t="s">
        <v>790</v>
      </c>
      <c r="P78" s="728">
        <f>VLOOKUP(N75,[14]Progress!$B$9:$D$310,3,FALSE)</f>
        <v>396.09199999999998</v>
      </c>
      <c r="Q78" s="729"/>
      <c r="R78" s="314" t="s">
        <v>789</v>
      </c>
      <c r="S78" s="314" t="s">
        <v>790</v>
      </c>
      <c r="T78" s="731">
        <f>VLOOKUP(R75,[14]Progress!$B$9:$D$310,3,FALSE)</f>
        <v>312.87900000000002</v>
      </c>
      <c r="U78" s="732"/>
      <c r="V78" s="314" t="s">
        <v>789</v>
      </c>
      <c r="W78" s="314" t="s">
        <v>790</v>
      </c>
      <c r="X78" s="728">
        <f>VLOOKUP(V75,[14]Progress!$B$9:$D$310,3,FALSE)</f>
        <v>418.99900000000002</v>
      </c>
      <c r="Y78" s="729"/>
      <c r="Z78" s="314" t="s">
        <v>789</v>
      </c>
      <c r="AA78" s="314" t="s">
        <v>790</v>
      </c>
      <c r="AB78" s="728">
        <f>VLOOKUP(Z75,[14]Progress!$B$9:$D$310,3,FALSE)</f>
        <v>370.19900000000001</v>
      </c>
      <c r="AC78" s="729"/>
      <c r="AD78" s="314" t="s">
        <v>789</v>
      </c>
      <c r="AE78" s="314" t="s">
        <v>790</v>
      </c>
      <c r="AF78" s="728">
        <f>VLOOKUP(AD75,[14]Progress!$B$9:$D$310,3,FALSE)</f>
        <v>424.99599999999998</v>
      </c>
      <c r="AG78" s="729"/>
      <c r="AH78" s="314" t="s">
        <v>789</v>
      </c>
      <c r="AI78" s="314" t="s">
        <v>790</v>
      </c>
      <c r="AJ78" s="728">
        <f>VLOOKUP(AH75,[14]Progress!$B$9:$D$310,3,FALSE)</f>
        <v>404</v>
      </c>
      <c r="AK78" s="729"/>
      <c r="AL78" s="314" t="s">
        <v>789</v>
      </c>
      <c r="AM78" s="314" t="s">
        <v>790</v>
      </c>
      <c r="AN78" s="728">
        <f>VLOOKUP(AL75,[14]Progress!$B$9:$D$310,3,FALSE)</f>
        <v>428</v>
      </c>
      <c r="AO78" s="729"/>
      <c r="AP78" s="314" t="s">
        <v>789</v>
      </c>
      <c r="AQ78" s="314" t="s">
        <v>790</v>
      </c>
      <c r="AR78" s="728">
        <f>VLOOKUP(AP75,[14]Progress!$B$9:$D$310,3,FALSE)</f>
        <v>395</v>
      </c>
      <c r="AS78" s="730"/>
      <c r="AT78" s="283"/>
      <c r="AV78" s="664">
        <f>D78+H78+L78+P78+T78+X78+AB78+AF78+AJ78+AN78+AR78</f>
        <v>4321.1059999999998</v>
      </c>
      <c r="AW78" s="664"/>
      <c r="AY78">
        <v>11</v>
      </c>
    </row>
    <row r="79" spans="1:51">
      <c r="A79" s="282"/>
      <c r="B79" s="296" t="s">
        <v>792</v>
      </c>
      <c r="C79" s="296" t="s">
        <v>793</v>
      </c>
      <c r="F79" s="296" t="s">
        <v>792</v>
      </c>
      <c r="G79" s="296" t="s">
        <v>793</v>
      </c>
      <c r="J79" s="296" t="s">
        <v>792</v>
      </c>
      <c r="K79" s="296" t="s">
        <v>793</v>
      </c>
      <c r="N79" s="296" t="s">
        <v>792</v>
      </c>
      <c r="O79" s="296" t="s">
        <v>793</v>
      </c>
      <c r="R79" s="296" t="s">
        <v>792</v>
      </c>
      <c r="S79" s="296" t="s">
        <v>793</v>
      </c>
      <c r="V79" s="296" t="s">
        <v>792</v>
      </c>
      <c r="W79" s="296" t="s">
        <v>793</v>
      </c>
      <c r="Z79" s="296" t="s">
        <v>792</v>
      </c>
      <c r="AA79" s="296" t="s">
        <v>793</v>
      </c>
      <c r="AD79" s="296" t="s">
        <v>792</v>
      </c>
      <c r="AE79" s="296" t="s">
        <v>793</v>
      </c>
      <c r="AH79" s="296" t="s">
        <v>792</v>
      </c>
      <c r="AI79" s="296" t="s">
        <v>793</v>
      </c>
      <c r="AL79" s="296" t="s">
        <v>792</v>
      </c>
      <c r="AM79" s="296" t="s">
        <v>793</v>
      </c>
      <c r="AP79" s="296" t="s">
        <v>792</v>
      </c>
      <c r="AQ79" s="296" t="s">
        <v>793</v>
      </c>
      <c r="AT79" s="283"/>
      <c r="AV79" s="664"/>
      <c r="AW79" s="664"/>
    </row>
    <row r="80" spans="1:51" ht="10.5" customHeight="1">
      <c r="A80" s="282"/>
      <c r="B80" s="700"/>
      <c r="C80" s="700"/>
      <c r="F80" s="700"/>
      <c r="G80" s="700"/>
      <c r="J80" s="700"/>
      <c r="K80" s="700"/>
      <c r="N80" s="700"/>
      <c r="O80" s="700"/>
      <c r="R80" s="700"/>
      <c r="S80" s="700"/>
      <c r="V80" s="734"/>
      <c r="W80" s="735"/>
      <c r="Z80" s="700"/>
      <c r="AA80" s="700"/>
      <c r="AD80" s="700"/>
      <c r="AE80" s="700"/>
      <c r="AH80" s="700"/>
      <c r="AI80" s="700"/>
      <c r="AL80" s="700"/>
      <c r="AM80" s="700"/>
      <c r="AP80" s="700"/>
      <c r="AQ80" s="700"/>
      <c r="AT80" s="283"/>
      <c r="AV80" s="664"/>
      <c r="AW80" s="664"/>
    </row>
    <row r="81" spans="1:51">
      <c r="A81" s="282"/>
      <c r="B81" s="684" t="str">
        <f>VLOOKUP(+B75,'[14]Twr Schedule'!$B$9:$C$611,2,FALSE)</f>
        <v>DA+6</v>
      </c>
      <c r="C81" s="684"/>
      <c r="F81" s="684" t="str">
        <f>VLOOKUP(+F75,'[14]Twr Schedule'!$B$9:$C$611,2,FALSE)</f>
        <v>DB2+6</v>
      </c>
      <c r="G81" s="684"/>
      <c r="J81" s="684" t="str">
        <f>VLOOKUP(+J75,'[14]Twr Schedule'!$B$9:$C$611,2,FALSE)</f>
        <v>DB1+9</v>
      </c>
      <c r="K81" s="684"/>
      <c r="N81" s="684" t="str">
        <f>VLOOKUP(+N75,'[14]Twr Schedule'!$B$9:$C$611,2,FALSE)</f>
        <v>DA-3</v>
      </c>
      <c r="O81" s="684"/>
      <c r="R81" s="684" t="str">
        <f>VLOOKUP(+R75,'[14]Twr Schedule'!$B$9:$C$611,2,FALSE)</f>
        <v>DB1+18</v>
      </c>
      <c r="S81" s="684"/>
      <c r="V81" s="684" t="str">
        <f>VLOOKUP(+V75,'[14]Twr Schedule'!$B$9:$C$611,2,FALSE)</f>
        <v>DB2+18</v>
      </c>
      <c r="W81" s="684"/>
      <c r="Z81" s="684" t="str">
        <f>VLOOKUP(+Z75,'[14]Twr Schedule'!$B$9:$C$611,2,FALSE)</f>
        <v>DA-3</v>
      </c>
      <c r="AA81" s="684"/>
      <c r="AD81" s="684" t="str">
        <f>VLOOKUP(+AD75,'[14]Twr Schedule'!$B$9:$C$611,2,FALSE)</f>
        <v>DA+3</v>
      </c>
      <c r="AE81" s="684"/>
      <c r="AH81" s="684" t="str">
        <f>VLOOKUP(+AH75,'[14]Twr Schedule'!$B$9:$C$611,2,FALSE)</f>
        <v>DA+3</v>
      </c>
      <c r="AI81" s="684"/>
      <c r="AL81" s="684" t="str">
        <f>VLOOKUP(+AL75,'[14]Twr Schedule'!$B$9:$C$611,2,FALSE)</f>
        <v>DA+3</v>
      </c>
      <c r="AM81" s="684"/>
      <c r="AP81" s="684" t="str">
        <f>VLOOKUP(+AP75,'[14]Twr Schedule'!$B$9:$C$611,2,FALSE)</f>
        <v>DA+3</v>
      </c>
      <c r="AQ81" s="684"/>
      <c r="AT81" s="283"/>
      <c r="AV81" s="664"/>
      <c r="AW81" s="664"/>
    </row>
    <row r="82" spans="1:51">
      <c r="A82" s="282"/>
      <c r="G82" t="s">
        <v>816</v>
      </c>
      <c r="S82" t="s">
        <v>817</v>
      </c>
      <c r="AT82" s="283"/>
      <c r="AV82" s="664"/>
      <c r="AW82" s="664"/>
    </row>
    <row r="83" spans="1:51">
      <c r="A83" s="282"/>
      <c r="S83" t="s">
        <v>818</v>
      </c>
      <c r="AT83" s="283"/>
      <c r="AV83" s="664"/>
      <c r="AW83" s="664"/>
    </row>
    <row r="84" spans="1:51">
      <c r="A84" s="725" t="s">
        <v>815</v>
      </c>
      <c r="B84" s="726"/>
      <c r="C84" s="726"/>
      <c r="D84" s="726"/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6"/>
      <c r="P84" s="726"/>
      <c r="Q84" s="726"/>
      <c r="R84" s="726"/>
      <c r="S84" s="726"/>
      <c r="T84" s="726"/>
      <c r="U84" s="726"/>
      <c r="V84" s="727"/>
      <c r="W84" s="612" t="s">
        <v>819</v>
      </c>
      <c r="X84" s="613"/>
      <c r="Y84" s="613"/>
      <c r="Z84" s="613"/>
      <c r="AA84" s="613"/>
      <c r="AB84" s="613"/>
      <c r="AC84" s="613"/>
      <c r="AD84" s="613"/>
      <c r="AE84" s="613"/>
      <c r="AF84" s="613"/>
      <c r="AG84" s="613"/>
      <c r="AH84" s="613"/>
      <c r="AI84" s="613"/>
      <c r="AJ84" s="613"/>
      <c r="AK84" s="613"/>
      <c r="AL84" s="613"/>
      <c r="AM84" s="613"/>
      <c r="AN84" s="613"/>
      <c r="AO84" s="613"/>
      <c r="AP84" s="613"/>
      <c r="AQ84" s="613"/>
      <c r="AR84" s="614"/>
      <c r="AT84" s="283"/>
      <c r="AV84" s="664"/>
      <c r="AW84" s="664"/>
    </row>
    <row r="85" spans="1:51">
      <c r="A85" s="282"/>
      <c r="B85" s="664" t="s">
        <v>597</v>
      </c>
      <c r="C85" s="664"/>
      <c r="F85" s="664" t="s">
        <v>629</v>
      </c>
      <c r="G85" s="664"/>
      <c r="J85" s="664" t="s">
        <v>608</v>
      </c>
      <c r="K85" s="664"/>
      <c r="N85" s="664" t="s">
        <v>508</v>
      </c>
      <c r="O85" s="664"/>
      <c r="R85" s="664" t="s">
        <v>639</v>
      </c>
      <c r="S85" s="664"/>
      <c r="V85" s="664" t="s">
        <v>632</v>
      </c>
      <c r="W85" s="664"/>
      <c r="Z85" s="664" t="s">
        <v>474</v>
      </c>
      <c r="AA85" s="664"/>
      <c r="AD85" s="664" t="s">
        <v>471</v>
      </c>
      <c r="AE85" s="664"/>
      <c r="AH85" s="664" t="s">
        <v>466</v>
      </c>
      <c r="AI85" s="664"/>
      <c r="AL85" s="664" t="s">
        <v>454</v>
      </c>
      <c r="AM85" s="664"/>
      <c r="AP85" s="664" t="s">
        <v>453</v>
      </c>
      <c r="AQ85" s="664"/>
      <c r="AT85" s="283"/>
      <c r="AV85" s="664"/>
      <c r="AW85" s="664"/>
    </row>
    <row r="86" spans="1:51">
      <c r="A86" s="282"/>
      <c r="AT86" s="283"/>
      <c r="AV86" s="664"/>
      <c r="AW86" s="664"/>
    </row>
    <row r="87" spans="1:51">
      <c r="A87" s="282"/>
      <c r="AT87" s="283"/>
      <c r="AV87" s="664"/>
      <c r="AW87" s="664"/>
    </row>
    <row r="88" spans="1:51">
      <c r="A88" s="282"/>
      <c r="B88" s="296" t="s">
        <v>789</v>
      </c>
      <c r="C88" s="296" t="s">
        <v>790</v>
      </c>
      <c r="D88" s="666">
        <f>VLOOKUP(B85,[14]Progress!$B$9:$D$310,3,FALSE)</f>
        <v>318</v>
      </c>
      <c r="E88" s="665"/>
      <c r="F88" s="296" t="s">
        <v>789</v>
      </c>
      <c r="G88" s="296" t="s">
        <v>790</v>
      </c>
      <c r="H88" s="666">
        <f>VLOOKUP(F85,[14]Progress!$B$9:$D$310,3,FALSE)</f>
        <v>357</v>
      </c>
      <c r="I88" s="665"/>
      <c r="J88" s="296" t="s">
        <v>789</v>
      </c>
      <c r="K88" s="296" t="s">
        <v>790</v>
      </c>
      <c r="L88" s="666">
        <f>VLOOKUP(J85,[14]Progress!$B$9:$D$310,3,FALSE)</f>
        <v>385</v>
      </c>
      <c r="M88" s="665"/>
      <c r="N88" s="296" t="s">
        <v>789</v>
      </c>
      <c r="O88" s="296" t="s">
        <v>790</v>
      </c>
      <c r="P88" s="728">
        <f>VLOOKUP(N85,[14]Progress!$B$9:$D$310,3,FALSE)</f>
        <v>418.77600000000001</v>
      </c>
      <c r="Q88" s="729"/>
      <c r="R88" s="314" t="s">
        <v>789</v>
      </c>
      <c r="S88" s="314" t="s">
        <v>790</v>
      </c>
      <c r="T88" s="731">
        <f>VLOOKUP(R85,[14]Progress!$B$9:$D$310,3,FALSE)</f>
        <v>319.13299999999998</v>
      </c>
      <c r="U88" s="732"/>
      <c r="V88" s="314" t="s">
        <v>789</v>
      </c>
      <c r="W88" s="314" t="s">
        <v>790</v>
      </c>
      <c r="X88" s="728">
        <f>VLOOKUP(V85,[14]Progress!$B$9:$D$310,3,FALSE)</f>
        <v>436</v>
      </c>
      <c r="Y88" s="729"/>
      <c r="Z88" s="314" t="s">
        <v>789</v>
      </c>
      <c r="AA88" s="314" t="s">
        <v>790</v>
      </c>
      <c r="AB88" s="728">
        <f>VLOOKUP(Z85,[14]Progress!$B$9:$D$310,3,FALSE)</f>
        <v>395</v>
      </c>
      <c r="AC88" s="729"/>
      <c r="AD88" s="314" t="s">
        <v>789</v>
      </c>
      <c r="AE88" s="314" t="s">
        <v>790</v>
      </c>
      <c r="AF88" s="728">
        <f>VLOOKUP(AD85,[14]Progress!$B$9:$D$310,3,FALSE)</f>
        <v>306</v>
      </c>
      <c r="AG88" s="729"/>
      <c r="AH88" s="296" t="s">
        <v>789</v>
      </c>
      <c r="AI88" s="296" t="s">
        <v>790</v>
      </c>
      <c r="AJ88" s="666">
        <f>VLOOKUP(AH85,[14]Progress!$B$9:$D$310,3,FALSE)</f>
        <v>412</v>
      </c>
      <c r="AK88" s="665"/>
      <c r="AL88" s="296" t="s">
        <v>789</v>
      </c>
      <c r="AM88" s="296" t="s">
        <v>790</v>
      </c>
      <c r="AN88" s="666">
        <f>VLOOKUP(AL85,[14]Progress!$B$9:$D$310,3,FALSE)</f>
        <v>414</v>
      </c>
      <c r="AO88" s="665"/>
      <c r="AP88" s="296" t="s">
        <v>789</v>
      </c>
      <c r="AQ88" s="296" t="s">
        <v>790</v>
      </c>
      <c r="AR88" s="666">
        <f>VLOOKUP(AP85,[14]Progress!$B$9:$D$310,3,FALSE)</f>
        <v>420</v>
      </c>
      <c r="AS88" s="664"/>
      <c r="AT88" s="283"/>
      <c r="AV88" s="664">
        <f>D88+H88+L88+P88+T88+X88+AB88+AF88+AJ88+AN88+AR88</f>
        <v>4180.9089999999997</v>
      </c>
      <c r="AW88" s="664"/>
      <c r="AY88">
        <v>11</v>
      </c>
    </row>
    <row r="89" spans="1:51">
      <c r="A89" s="282"/>
      <c r="B89" s="296" t="s">
        <v>792</v>
      </c>
      <c r="C89" s="296" t="s">
        <v>793</v>
      </c>
      <c r="F89" s="296" t="s">
        <v>792</v>
      </c>
      <c r="G89" s="296" t="s">
        <v>793</v>
      </c>
      <c r="J89" s="296" t="s">
        <v>792</v>
      </c>
      <c r="K89" s="296" t="s">
        <v>793</v>
      </c>
      <c r="N89" s="296" t="s">
        <v>792</v>
      </c>
      <c r="O89" s="296" t="s">
        <v>793</v>
      </c>
      <c r="R89" s="296" t="s">
        <v>792</v>
      </c>
      <c r="S89" s="296" t="s">
        <v>793</v>
      </c>
      <c r="V89" s="296" t="s">
        <v>792</v>
      </c>
      <c r="W89" s="296" t="s">
        <v>793</v>
      </c>
      <c r="Z89" s="296" t="s">
        <v>792</v>
      </c>
      <c r="AA89" s="296" t="s">
        <v>793</v>
      </c>
      <c r="AD89" s="296" t="s">
        <v>792</v>
      </c>
      <c r="AE89" s="296" t="s">
        <v>793</v>
      </c>
      <c r="AH89" s="296" t="s">
        <v>792</v>
      </c>
      <c r="AI89" s="296" t="s">
        <v>793</v>
      </c>
      <c r="AL89" s="296" t="s">
        <v>792</v>
      </c>
      <c r="AM89" s="296" t="s">
        <v>793</v>
      </c>
      <c r="AP89" s="296" t="s">
        <v>792</v>
      </c>
      <c r="AQ89" s="296" t="s">
        <v>793</v>
      </c>
      <c r="AT89" s="283"/>
      <c r="AV89" s="664"/>
      <c r="AW89" s="664"/>
    </row>
    <row r="90" spans="1:51" ht="10.5" customHeight="1">
      <c r="A90" s="282"/>
      <c r="B90" s="700"/>
      <c r="C90" s="700"/>
      <c r="F90" s="700"/>
      <c r="G90" s="700"/>
      <c r="J90" s="700"/>
      <c r="K90" s="700"/>
      <c r="N90" s="700"/>
      <c r="O90" s="700"/>
      <c r="R90" s="700"/>
      <c r="S90" s="700"/>
      <c r="V90" s="700"/>
      <c r="W90" s="700"/>
      <c r="Z90" s="700"/>
      <c r="AA90" s="700"/>
      <c r="AD90" s="700"/>
      <c r="AE90" s="700"/>
      <c r="AH90" s="700"/>
      <c r="AI90" s="700"/>
      <c r="AL90" s="700"/>
      <c r="AM90" s="700"/>
      <c r="AP90" s="700"/>
      <c r="AQ90" s="700"/>
      <c r="AT90" s="283"/>
      <c r="AV90" s="664"/>
      <c r="AW90" s="664"/>
    </row>
    <row r="91" spans="1:51">
      <c r="A91" s="282"/>
      <c r="B91" s="684" t="str">
        <f>VLOOKUP(+B85,'[14]Twr Schedule'!$B$9:$C$611,2,FALSE)</f>
        <v>DA-3</v>
      </c>
      <c r="C91" s="684"/>
      <c r="F91" s="684" t="str">
        <f>VLOOKUP(+F85,'[14]Twr Schedule'!$B$9:$C$611,2,FALSE)</f>
        <v>DA-3</v>
      </c>
      <c r="G91" s="684"/>
      <c r="J91" s="684" t="str">
        <f>VLOOKUP(+J85,'[14]Twr Schedule'!$B$9:$C$611,2,FALSE)</f>
        <v>DA-3</v>
      </c>
      <c r="K91" s="684"/>
      <c r="N91" s="684" t="str">
        <f>VLOOKUP(+N85,'[14]Twr Schedule'!$B$9:$C$611,2,FALSE)</f>
        <v>DA+3</v>
      </c>
      <c r="O91" s="684"/>
      <c r="R91" s="736" t="str">
        <f>VLOOKUP(+R85,'[14]Twr Schedule'!$B$9:$C$611,2,FALSE)</f>
        <v>DD60+30</v>
      </c>
      <c r="S91" s="736"/>
      <c r="T91" s="315"/>
      <c r="U91" s="315"/>
      <c r="V91" s="736" t="str">
        <f>VLOOKUP(+V85,'[14]Twr Schedule'!$B$9:$C$611,2,FALSE)</f>
        <v>DD60+30</v>
      </c>
      <c r="W91" s="736"/>
      <c r="Z91" s="684" t="str">
        <f>VLOOKUP(+Z85,'[14]Twr Schedule'!$B$9:$C$611,2,FALSE)</f>
        <v>DA+0</v>
      </c>
      <c r="AA91" s="684"/>
      <c r="AD91" s="684" t="str">
        <f>VLOOKUP(+AD85,'[14]Twr Schedule'!$B$9:$C$611,2,FALSE)</f>
        <v>DA+0</v>
      </c>
      <c r="AE91" s="684"/>
      <c r="AH91" s="684" t="str">
        <f>VLOOKUP(+AH85,'[14]Twr Schedule'!$B$9:$C$611,2,FALSE)</f>
        <v>DA+0</v>
      </c>
      <c r="AI91" s="684"/>
      <c r="AL91" s="684" t="str">
        <f>VLOOKUP(+AL85,'[14]Twr Schedule'!$B$9:$C$611,2,FALSE)</f>
        <v>DA+3</v>
      </c>
      <c r="AM91" s="684"/>
      <c r="AP91" s="684" t="str">
        <f>VLOOKUP(+AP85,'[14]Twr Schedule'!$B$9:$C$611,2,FALSE)</f>
        <v>DA+3</v>
      </c>
      <c r="AQ91" s="684"/>
      <c r="AT91" s="283"/>
      <c r="AV91" s="664"/>
      <c r="AW91" s="664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820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64"/>
      <c r="AW92" s="664"/>
    </row>
    <row r="93" spans="1:51">
      <c r="A93" s="612" t="s">
        <v>819</v>
      </c>
      <c r="B93" s="613"/>
      <c r="C93" s="613"/>
      <c r="D93" s="613"/>
      <c r="E93" s="613"/>
      <c r="F93" s="613"/>
      <c r="G93" s="613"/>
      <c r="H93" s="613"/>
      <c r="I93" s="613"/>
      <c r="J93" s="613"/>
      <c r="K93" s="613"/>
      <c r="L93" s="613"/>
      <c r="M93" s="613"/>
      <c r="N93" s="613"/>
      <c r="O93" s="613"/>
      <c r="P93" s="613"/>
      <c r="Q93" s="613"/>
      <c r="R93" s="613"/>
      <c r="S93" s="613"/>
      <c r="T93" s="613"/>
      <c r="U93" s="613"/>
      <c r="V93" s="614"/>
      <c r="W93" s="612" t="s">
        <v>821</v>
      </c>
      <c r="X93" s="613"/>
      <c r="Y93" s="613"/>
      <c r="Z93" s="613"/>
      <c r="AA93" s="613"/>
      <c r="AB93" s="613"/>
      <c r="AC93" s="613"/>
      <c r="AD93" s="613"/>
      <c r="AE93" s="613"/>
      <c r="AF93" s="613"/>
      <c r="AG93" s="613"/>
      <c r="AH93" s="613"/>
      <c r="AI93" s="613"/>
      <c r="AJ93" s="613"/>
      <c r="AK93" s="613"/>
      <c r="AL93" s="613"/>
      <c r="AM93" s="613"/>
      <c r="AN93" s="613"/>
      <c r="AO93" s="613"/>
      <c r="AP93" s="613"/>
      <c r="AQ93" s="613"/>
      <c r="AR93" s="614"/>
      <c r="AT93" s="283"/>
      <c r="AV93" s="664"/>
      <c r="AW93" s="664"/>
    </row>
    <row r="94" spans="1:51">
      <c r="A94" s="282"/>
      <c r="AT94" s="283"/>
      <c r="AV94" s="664"/>
      <c r="AW94" s="664"/>
    </row>
    <row r="95" spans="1:51">
      <c r="A95" s="282"/>
      <c r="B95" s="664" t="s">
        <v>451</v>
      </c>
      <c r="C95" s="664"/>
      <c r="F95" s="664" t="s">
        <v>462</v>
      </c>
      <c r="G95" s="664"/>
      <c r="J95" s="664" t="s">
        <v>459</v>
      </c>
      <c r="K95" s="664"/>
      <c r="N95" s="664" t="s">
        <v>601</v>
      </c>
      <c r="O95" s="664"/>
      <c r="R95" s="664" t="s">
        <v>647</v>
      </c>
      <c r="S95" s="664"/>
      <c r="V95" s="664" t="s">
        <v>659</v>
      </c>
      <c r="W95" s="664"/>
      <c r="Z95" s="664" t="s">
        <v>480</v>
      </c>
      <c r="AA95" s="664"/>
      <c r="AD95" s="664" t="s">
        <v>495</v>
      </c>
      <c r="AE95" s="664"/>
      <c r="AH95" s="664" t="s">
        <v>491</v>
      </c>
      <c r="AI95" s="664"/>
      <c r="AL95" s="664" t="s">
        <v>485</v>
      </c>
      <c r="AM95" s="664"/>
      <c r="AP95" s="664" t="s">
        <v>500</v>
      </c>
      <c r="AQ95" s="664"/>
      <c r="AT95" s="283"/>
      <c r="AV95" s="664"/>
      <c r="AW95" s="664"/>
    </row>
    <row r="96" spans="1:51">
      <c r="A96" s="282"/>
      <c r="AT96" s="283"/>
      <c r="AV96" s="664"/>
      <c r="AW96" s="664"/>
    </row>
    <row r="97" spans="1:51">
      <c r="A97" s="282"/>
      <c r="AT97" s="283"/>
      <c r="AV97" s="664"/>
      <c r="AW97" s="664"/>
    </row>
    <row r="98" spans="1:51">
      <c r="A98" s="282"/>
      <c r="B98" s="296" t="s">
        <v>789</v>
      </c>
      <c r="C98" s="296" t="s">
        <v>790</v>
      </c>
      <c r="D98" s="666">
        <f>VLOOKUP(B95,[14]Progress!$B$9:$D$310,3,FALSE)</f>
        <v>410</v>
      </c>
      <c r="E98" s="665"/>
      <c r="F98" s="296" t="s">
        <v>789</v>
      </c>
      <c r="G98" s="296" t="s">
        <v>790</v>
      </c>
      <c r="H98" s="666">
        <f>VLOOKUP(F95,[14]Progress!$B$9:$D$310,3,FALSE)</f>
        <v>410</v>
      </c>
      <c r="I98" s="665"/>
      <c r="J98" s="296" t="s">
        <v>789</v>
      </c>
      <c r="K98" s="296" t="s">
        <v>790</v>
      </c>
      <c r="L98" s="666">
        <f>VLOOKUP(J95,[14]Progress!$B$9:$D$310,3,FALSE)</f>
        <v>407.995</v>
      </c>
      <c r="M98" s="665"/>
      <c r="N98" s="296" t="s">
        <v>789</v>
      </c>
      <c r="O98" s="296" t="s">
        <v>790</v>
      </c>
      <c r="P98" s="731">
        <f>VLOOKUP(N95,[14]Progress!$B$9:$D$310,3,FALSE)</f>
        <v>464.74200000000002</v>
      </c>
      <c r="Q98" s="732"/>
      <c r="R98" s="296" t="s">
        <v>789</v>
      </c>
      <c r="S98" s="296" t="s">
        <v>790</v>
      </c>
      <c r="T98" s="731">
        <f>VLOOKUP(R95,[14]Progress!$B$9:$D$310,3,FALSE)</f>
        <v>264.68700000000001</v>
      </c>
      <c r="U98" s="732"/>
      <c r="V98" s="296" t="s">
        <v>789</v>
      </c>
      <c r="W98" s="296" t="s">
        <v>790</v>
      </c>
      <c r="X98" s="666">
        <f>VLOOKUP(V95,[14]Progress!$B$9:$D$310,3,FALSE)</f>
        <v>400</v>
      </c>
      <c r="Y98" s="665"/>
      <c r="Z98" s="296" t="s">
        <v>789</v>
      </c>
      <c r="AA98" s="296" t="s">
        <v>790</v>
      </c>
      <c r="AB98" s="666">
        <f>VLOOKUP(Z95,[14]Progress!$B$9:$D$310,3,FALSE)</f>
        <v>310</v>
      </c>
      <c r="AC98" s="665"/>
      <c r="AD98" s="296" t="s">
        <v>789</v>
      </c>
      <c r="AE98" s="296" t="s">
        <v>790</v>
      </c>
      <c r="AF98" s="666">
        <f>VLOOKUP(AD95,[14]Progress!$B$9:$D$310,3,FALSE)</f>
        <v>361.49700000000001</v>
      </c>
      <c r="AG98" s="665"/>
      <c r="AH98" s="296" t="s">
        <v>789</v>
      </c>
      <c r="AI98" s="296" t="s">
        <v>790</v>
      </c>
      <c r="AJ98" s="666">
        <f>VLOOKUP(AH95,[14]Progress!$B$9:$D$310,3,FALSE)</f>
        <v>366.00200000000001</v>
      </c>
      <c r="AK98" s="665"/>
      <c r="AL98" s="296" t="s">
        <v>789</v>
      </c>
      <c r="AM98" s="296" t="s">
        <v>790</v>
      </c>
      <c r="AN98" s="666">
        <f>VLOOKUP(AL95,[14]Progress!$B$9:$D$310,3,FALSE)</f>
        <v>436.99900000000002</v>
      </c>
      <c r="AO98" s="665"/>
      <c r="AP98" s="296" t="s">
        <v>789</v>
      </c>
      <c r="AQ98" s="296" t="s">
        <v>790</v>
      </c>
      <c r="AR98" s="666">
        <f>VLOOKUP(AP95,[14]Progress!$B$9:$D$310,3,FALSE)</f>
        <v>389.99900000000002</v>
      </c>
      <c r="AS98" s="664"/>
      <c r="AT98" s="283"/>
      <c r="AV98" s="664">
        <f>D98+H98+L98+P98+T98+X98+AB98+AF98+AJ98+AN98+AR98</f>
        <v>4221.9209999999994</v>
      </c>
      <c r="AW98" s="664"/>
      <c r="AY98">
        <v>11</v>
      </c>
    </row>
    <row r="99" spans="1:51">
      <c r="A99" s="282"/>
      <c r="B99" s="296" t="s">
        <v>792</v>
      </c>
      <c r="C99" s="296" t="s">
        <v>793</v>
      </c>
      <c r="F99" s="296" t="s">
        <v>792</v>
      </c>
      <c r="G99" s="296" t="s">
        <v>793</v>
      </c>
      <c r="J99" s="296" t="s">
        <v>792</v>
      </c>
      <c r="K99" s="296" t="s">
        <v>793</v>
      </c>
      <c r="N99" s="296" t="s">
        <v>792</v>
      </c>
      <c r="O99" s="296" t="s">
        <v>793</v>
      </c>
      <c r="R99" s="296" t="s">
        <v>792</v>
      </c>
      <c r="S99" s="296" t="s">
        <v>793</v>
      </c>
      <c r="V99" s="296" t="s">
        <v>792</v>
      </c>
      <c r="W99" s="296" t="s">
        <v>793</v>
      </c>
      <c r="Z99" s="296" t="s">
        <v>792</v>
      </c>
      <c r="AA99" s="296" t="s">
        <v>793</v>
      </c>
      <c r="AD99" s="296" t="s">
        <v>792</v>
      </c>
      <c r="AE99" s="296" t="s">
        <v>793</v>
      </c>
      <c r="AH99" s="296" t="s">
        <v>792</v>
      </c>
      <c r="AI99" s="296" t="s">
        <v>793</v>
      </c>
      <c r="AL99" s="296" t="s">
        <v>792</v>
      </c>
      <c r="AM99" s="296" t="s">
        <v>793</v>
      </c>
      <c r="AP99" s="296" t="s">
        <v>792</v>
      </c>
      <c r="AQ99" s="296" t="s">
        <v>793</v>
      </c>
      <c r="AT99" s="283"/>
      <c r="AV99" s="664"/>
      <c r="AW99" s="664"/>
    </row>
    <row r="100" spans="1:51" ht="10.5" customHeight="1">
      <c r="A100" s="282"/>
      <c r="B100" s="700"/>
      <c r="C100" s="700"/>
      <c r="F100" s="700"/>
      <c r="G100" s="700"/>
      <c r="J100" s="700"/>
      <c r="K100" s="700"/>
      <c r="N100" s="700"/>
      <c r="O100" s="700"/>
      <c r="R100" s="700"/>
      <c r="S100" s="700"/>
      <c r="V100" s="700"/>
      <c r="W100" s="700"/>
      <c r="Z100" s="700"/>
      <c r="AA100" s="700"/>
      <c r="AD100" s="700"/>
      <c r="AE100" s="700"/>
      <c r="AH100" s="700"/>
      <c r="AI100" s="700"/>
      <c r="AL100" s="700"/>
      <c r="AM100" s="700"/>
      <c r="AP100" s="700"/>
      <c r="AQ100" s="700"/>
      <c r="AT100" s="283"/>
      <c r="AV100" s="664"/>
      <c r="AW100" s="664"/>
    </row>
    <row r="101" spans="1:51">
      <c r="A101" s="282"/>
      <c r="B101" s="684" t="str">
        <f>VLOOKUP(+B95,'[14]Twr Schedule'!$B$9:$C$611,2,FALSE)</f>
        <v>DA+3</v>
      </c>
      <c r="C101" s="684"/>
      <c r="F101" s="684" t="str">
        <f>VLOOKUP(+F95,'[14]Twr Schedule'!$B$9:$C$611,2,FALSE)</f>
        <v>DA+0</v>
      </c>
      <c r="G101" s="684"/>
      <c r="J101" s="684" t="str">
        <f>VLOOKUP(+J95,'[14]Twr Schedule'!$B$9:$C$611,2,FALSE)</f>
        <v>DA+3</v>
      </c>
      <c r="K101" s="684"/>
      <c r="N101" s="684" t="str">
        <f>VLOOKUP(+N95,'[14]Twr Schedule'!$B$9:$C$611,2,FALSE)</f>
        <v>DC2+3</v>
      </c>
      <c r="O101" s="684"/>
      <c r="R101" s="684" t="str">
        <f>VLOOKUP(+R95,'[14]Twr Schedule'!$B$9:$C$611,2,FALSE)</f>
        <v>DB2+25</v>
      </c>
      <c r="S101" s="684"/>
      <c r="V101" s="684" t="str">
        <f>VLOOKUP(+V95,'[14]Twr Schedule'!$B$9:$C$611,2,FALSE)</f>
        <v>DB2+6</v>
      </c>
      <c r="W101" s="684"/>
      <c r="Z101" s="684" t="str">
        <f>VLOOKUP(+Z95,'[14]Twr Schedule'!$B$9:$C$611,2,FALSE)</f>
        <v>DA-3</v>
      </c>
      <c r="AA101" s="684"/>
      <c r="AD101" s="684" t="str">
        <f>VLOOKUP(+AD95,'[14]Twr Schedule'!$B$9:$C$611,2,FALSE)</f>
        <v>DA+0</v>
      </c>
      <c r="AE101" s="684"/>
      <c r="AH101" s="684" t="str">
        <f>VLOOKUP(+AH95,'[14]Twr Schedule'!$B$9:$C$611,2,FALSE)</f>
        <v>DA+0</v>
      </c>
      <c r="AI101" s="684"/>
      <c r="AL101" s="684" t="str">
        <f>VLOOKUP(+AL95,'[14]Twr Schedule'!$B$9:$C$611,2,FALSE)</f>
        <v>DA+3</v>
      </c>
      <c r="AM101" s="684"/>
      <c r="AP101" s="684" t="str">
        <f>VLOOKUP(+AP95,'[14]Twr Schedule'!$B$9:$C$611,2,FALSE)</f>
        <v>DA+3</v>
      </c>
      <c r="AQ101" s="684"/>
      <c r="AT101" s="283"/>
      <c r="AV101" s="664"/>
      <c r="AW101" s="664"/>
    </row>
    <row r="102" spans="1:51">
      <c r="A102" s="282"/>
      <c r="R102" s="316" t="s">
        <v>822</v>
      </c>
      <c r="T102" t="s">
        <v>823</v>
      </c>
      <c r="AT102" s="283"/>
      <c r="AV102" s="664"/>
      <c r="AW102" s="664"/>
    </row>
    <row r="103" spans="1:51">
      <c r="A103" s="282"/>
      <c r="N103" t="s">
        <v>824</v>
      </c>
      <c r="AT103" s="283"/>
      <c r="AV103" s="664"/>
      <c r="AW103" s="664"/>
    </row>
    <row r="104" spans="1:51">
      <c r="A104" s="612" t="s">
        <v>821</v>
      </c>
      <c r="B104" s="613"/>
      <c r="C104" s="613"/>
      <c r="D104" s="613"/>
      <c r="E104" s="613"/>
      <c r="F104" s="613"/>
      <c r="G104" s="613"/>
      <c r="H104" s="613"/>
      <c r="I104" s="613"/>
      <c r="J104" s="613"/>
      <c r="K104" s="613"/>
      <c r="L104" s="613"/>
      <c r="M104" s="613"/>
      <c r="N104" s="613"/>
      <c r="O104" s="613"/>
      <c r="P104" s="613"/>
      <c r="Q104" s="613"/>
      <c r="R104" s="614"/>
      <c r="S104" s="737" t="s">
        <v>825</v>
      </c>
      <c r="T104" s="738"/>
      <c r="U104" s="738"/>
      <c r="V104" s="738"/>
      <c r="W104" s="738"/>
      <c r="X104" s="738"/>
      <c r="Y104" s="738"/>
      <c r="Z104" s="738"/>
      <c r="AA104" s="738"/>
      <c r="AB104" s="738"/>
      <c r="AC104" s="738"/>
      <c r="AD104" s="738"/>
      <c r="AE104" s="738"/>
      <c r="AF104" s="738"/>
      <c r="AG104" s="738"/>
      <c r="AH104" s="738"/>
      <c r="AI104" s="738"/>
      <c r="AJ104" s="738"/>
      <c r="AK104" s="738"/>
      <c r="AL104" s="738"/>
      <c r="AM104" s="738"/>
      <c r="AN104" s="738"/>
      <c r="AO104" s="738"/>
      <c r="AP104" s="738"/>
      <c r="AQ104" s="738"/>
      <c r="AR104" s="739"/>
      <c r="AT104" s="283"/>
      <c r="AV104" s="664"/>
      <c r="AW104" s="664"/>
    </row>
    <row r="105" spans="1:51">
      <c r="A105" s="282"/>
      <c r="B105" s="664" t="s">
        <v>656</v>
      </c>
      <c r="C105" s="664"/>
      <c r="F105" s="664" t="s">
        <v>504</v>
      </c>
      <c r="G105" s="664"/>
      <c r="J105" s="664" t="s">
        <v>589</v>
      </c>
      <c r="K105" s="664"/>
      <c r="N105" s="664" t="s">
        <v>643</v>
      </c>
      <c r="O105" s="664"/>
      <c r="R105" s="664" t="s">
        <v>657</v>
      </c>
      <c r="S105" s="664"/>
      <c r="V105" s="664" t="s">
        <v>472</v>
      </c>
      <c r="W105" s="664"/>
      <c r="Z105" s="664" t="s">
        <v>461</v>
      </c>
      <c r="AA105" s="664"/>
      <c r="AD105" s="664" t="s">
        <v>456</v>
      </c>
      <c r="AE105" s="664"/>
      <c r="AH105" s="664" t="s">
        <v>468</v>
      </c>
      <c r="AI105" s="664"/>
      <c r="AL105" s="664" t="s">
        <v>476</v>
      </c>
      <c r="AM105" s="664"/>
      <c r="AP105" s="664" t="s">
        <v>484</v>
      </c>
      <c r="AQ105" s="664"/>
      <c r="AT105" s="283"/>
      <c r="AV105" s="664"/>
      <c r="AW105" s="664"/>
    </row>
    <row r="106" spans="1:51">
      <c r="A106" s="282"/>
      <c r="AT106" s="283"/>
      <c r="AV106" s="664"/>
      <c r="AW106" s="664"/>
    </row>
    <row r="107" spans="1:51">
      <c r="A107" s="282"/>
      <c r="AT107" s="283"/>
      <c r="AV107" s="664"/>
      <c r="AW107" s="664"/>
    </row>
    <row r="108" spans="1:51">
      <c r="A108" s="282"/>
      <c r="B108" s="296" t="s">
        <v>789</v>
      </c>
      <c r="C108" s="296" t="s">
        <v>790</v>
      </c>
      <c r="D108" s="297">
        <f>VLOOKUP(B105,[14]Progress!$B$9:$D$310,3,FALSE)</f>
        <v>400.99900000000002</v>
      </c>
      <c r="E108" s="295"/>
      <c r="F108" s="296" t="s">
        <v>789</v>
      </c>
      <c r="G108" s="296" t="s">
        <v>790</v>
      </c>
      <c r="H108" s="666">
        <f>VLOOKUP(F105,[14]Progress!$B$9:$D$310,3,FALSE)</f>
        <v>391.99900000000002</v>
      </c>
      <c r="I108" s="665"/>
      <c r="J108" s="296" t="s">
        <v>789</v>
      </c>
      <c r="K108" s="296" t="s">
        <v>790</v>
      </c>
      <c r="L108" s="728">
        <f>VLOOKUP(J105,[14]Progress!$B$9:$D$310,3,FALSE)</f>
        <v>374.07</v>
      </c>
      <c r="M108" s="729"/>
      <c r="N108" s="296" t="s">
        <v>789</v>
      </c>
      <c r="O108" s="296" t="s">
        <v>790</v>
      </c>
      <c r="P108" s="731">
        <f>VLOOKUP(N105,[14]Progress!$B$9:$D$310,3,FALSE)</f>
        <v>323.02999999999997</v>
      </c>
      <c r="Q108" s="732"/>
      <c r="R108" s="296" t="s">
        <v>789</v>
      </c>
      <c r="S108" s="296" t="s">
        <v>790</v>
      </c>
      <c r="T108" s="666">
        <f>VLOOKUP(R105,[14]Progress!$B$9:$D$310,3,FALSE)</f>
        <v>343.13</v>
      </c>
      <c r="U108" s="665"/>
      <c r="V108" s="296" t="s">
        <v>789</v>
      </c>
      <c r="W108" s="296" t="s">
        <v>790</v>
      </c>
      <c r="X108" s="666">
        <f>VLOOKUP(V105,[14]Progress!$B$9:$D$310,3,FALSE)</f>
        <v>392</v>
      </c>
      <c r="Y108" s="665"/>
      <c r="Z108" s="296" t="s">
        <v>789</v>
      </c>
      <c r="AA108" s="296" t="s">
        <v>790</v>
      </c>
      <c r="AB108" s="666">
        <f>VLOOKUP(Z105,[14]Progress!$B$9:$D$310,3,FALSE)</f>
        <v>407</v>
      </c>
      <c r="AC108" s="665"/>
      <c r="AD108" s="296" t="s">
        <v>789</v>
      </c>
      <c r="AE108" s="296" t="s">
        <v>790</v>
      </c>
      <c r="AF108" s="666">
        <f>VLOOKUP(AD105,[14]Progress!$B$9:$D$310,3,FALSE)</f>
        <v>412</v>
      </c>
      <c r="AG108" s="665"/>
      <c r="AH108" s="296" t="s">
        <v>789</v>
      </c>
      <c r="AI108" s="296" t="s">
        <v>790</v>
      </c>
      <c r="AJ108" s="666">
        <f>VLOOKUP(AH105,[14]Progress!$B$9:$D$310,3,FALSE)</f>
        <v>371</v>
      </c>
      <c r="AK108" s="665"/>
      <c r="AL108" s="296" t="s">
        <v>789</v>
      </c>
      <c r="AM108" s="296" t="s">
        <v>790</v>
      </c>
      <c r="AN108" s="666">
        <f>VLOOKUP(AL105,[14]Progress!$B$9:$D$310,3,FALSE)</f>
        <v>376</v>
      </c>
      <c r="AO108" s="665"/>
      <c r="AP108" s="296" t="s">
        <v>789</v>
      </c>
      <c r="AQ108" s="296" t="s">
        <v>790</v>
      </c>
      <c r="AR108" s="666">
        <f>VLOOKUP(AP105,[14]Progress!$B$9:$D$310,3,FALSE)</f>
        <v>421</v>
      </c>
      <c r="AS108" s="664"/>
      <c r="AT108" s="283"/>
      <c r="AV108" s="664">
        <f>D108+H108+L108+P108+T108+X108+AB108+AF108+AJ108+AN108+AR108</f>
        <v>4212.2280000000001</v>
      </c>
      <c r="AW108" s="664"/>
      <c r="AY108">
        <v>11</v>
      </c>
    </row>
    <row r="109" spans="1:51">
      <c r="A109" s="282"/>
      <c r="B109" s="296" t="s">
        <v>792</v>
      </c>
      <c r="C109" s="296" t="s">
        <v>793</v>
      </c>
      <c r="F109" s="296" t="s">
        <v>792</v>
      </c>
      <c r="G109" s="296" t="s">
        <v>793</v>
      </c>
      <c r="J109" s="296" t="s">
        <v>792</v>
      </c>
      <c r="K109" s="296" t="s">
        <v>793</v>
      </c>
      <c r="N109" s="296" t="s">
        <v>792</v>
      </c>
      <c r="O109" s="296" t="s">
        <v>793</v>
      </c>
      <c r="R109" s="296" t="s">
        <v>792</v>
      </c>
      <c r="S109" s="296" t="s">
        <v>793</v>
      </c>
      <c r="V109" s="296" t="s">
        <v>792</v>
      </c>
      <c r="W109" s="296" t="s">
        <v>793</v>
      </c>
      <c r="Z109" s="296" t="s">
        <v>792</v>
      </c>
      <c r="AA109" s="296" t="s">
        <v>793</v>
      </c>
      <c r="AD109" s="296" t="s">
        <v>792</v>
      </c>
      <c r="AE109" s="296" t="s">
        <v>793</v>
      </c>
      <c r="AH109" s="296" t="s">
        <v>792</v>
      </c>
      <c r="AI109" s="296" t="s">
        <v>793</v>
      </c>
      <c r="AL109" s="296" t="s">
        <v>792</v>
      </c>
      <c r="AM109" s="296" t="s">
        <v>793</v>
      </c>
      <c r="AP109" s="296" t="s">
        <v>792</v>
      </c>
      <c r="AQ109" s="296" t="s">
        <v>793</v>
      </c>
      <c r="AT109" s="283"/>
      <c r="AV109" s="664"/>
      <c r="AW109" s="664"/>
    </row>
    <row r="110" spans="1:51" ht="10.5" customHeight="1">
      <c r="A110" s="282"/>
      <c r="B110" s="700"/>
      <c r="C110" s="700"/>
      <c r="F110" s="700"/>
      <c r="G110" s="700"/>
      <c r="J110" s="700"/>
      <c r="K110" s="700"/>
      <c r="N110" s="700"/>
      <c r="O110" s="700"/>
      <c r="R110" s="700"/>
      <c r="S110" s="700"/>
      <c r="V110" s="700"/>
      <c r="W110" s="700"/>
      <c r="Z110" s="700"/>
      <c r="AA110" s="700"/>
      <c r="AD110" s="700"/>
      <c r="AE110" s="700"/>
      <c r="AH110" s="700"/>
      <c r="AI110" s="700"/>
      <c r="AL110" s="700"/>
      <c r="AM110" s="700"/>
      <c r="AP110" s="700"/>
      <c r="AQ110" s="700"/>
      <c r="AT110" s="283"/>
      <c r="AV110" s="664"/>
      <c r="AW110" s="664"/>
    </row>
    <row r="111" spans="1:51">
      <c r="A111" s="282"/>
      <c r="B111" s="684" t="str">
        <f>VLOOKUP(+B105,'[14]Twr Schedule'!$B$9:$C$611,2,FALSE)</f>
        <v>DA-3</v>
      </c>
      <c r="C111" s="684"/>
      <c r="F111" s="684" t="str">
        <f>VLOOKUP(+F105,'[14]Twr Schedule'!$B$9:$C$611,2,FALSE)</f>
        <v>DA+3</v>
      </c>
      <c r="G111" s="684"/>
      <c r="J111" s="684" t="str">
        <f>VLOOKUP(+J105,'[14]Twr Schedule'!$B$9:$C$611,2,FALSE)</f>
        <v>DA-3</v>
      </c>
      <c r="K111" s="684"/>
      <c r="N111" s="684" t="str">
        <f>VLOOKUP(+N105,'[14]Twr Schedule'!$B$9:$C$611,2,FALSE)</f>
        <v>DB1+6</v>
      </c>
      <c r="O111" s="684"/>
      <c r="R111" s="684" t="str">
        <f>VLOOKUP(+R105,'[14]Twr Schedule'!$B$9:$C$611,2,FALSE)</f>
        <v>DC2+6</v>
      </c>
      <c r="S111" s="684"/>
      <c r="V111" s="684" t="str">
        <f>VLOOKUP(+V105,'[14]Twr Schedule'!$B$9:$C$611,2,FALSE)</f>
        <v>DA+0</v>
      </c>
      <c r="W111" s="684"/>
      <c r="Z111" s="684" t="str">
        <f>VLOOKUP(+Z105,'[14]Twr Schedule'!$B$9:$C$611,2,FALSE)</f>
        <v>DA+0</v>
      </c>
      <c r="AA111" s="684"/>
      <c r="AD111" s="684" t="str">
        <f>VLOOKUP(+AD105,'[14]Twr Schedule'!$B$9:$C$611,2,FALSE)</f>
        <v>DA+3</v>
      </c>
      <c r="AE111" s="684"/>
      <c r="AH111" s="684" t="str">
        <f>VLOOKUP(+AH105,'[14]Twr Schedule'!$B$9:$C$611,2,FALSE)</f>
        <v>DA+0</v>
      </c>
      <c r="AI111" s="684"/>
      <c r="AL111" s="684" t="str">
        <f>VLOOKUP(+AL105,'[14]Twr Schedule'!$B$9:$C$611,2,FALSE)</f>
        <v>DA-3</v>
      </c>
      <c r="AM111" s="684"/>
      <c r="AP111" s="684" t="str">
        <f>VLOOKUP(+AP105,'[14]Twr Schedule'!$B$9:$C$611,2,FALSE)</f>
        <v>DA+0</v>
      </c>
      <c r="AQ111" s="684"/>
      <c r="AT111" s="283"/>
      <c r="AV111" s="664"/>
      <c r="AW111" s="664"/>
    </row>
    <row r="112" spans="1:51">
      <c r="A112" s="282"/>
      <c r="O112" t="s">
        <v>826</v>
      </c>
      <c r="AT112" s="283"/>
      <c r="AV112" s="664"/>
      <c r="AW112" s="664"/>
    </row>
    <row r="113" spans="1:51">
      <c r="A113" s="737" t="s">
        <v>825</v>
      </c>
      <c r="B113" s="738"/>
      <c r="C113" s="738"/>
      <c r="D113" s="738"/>
      <c r="E113" s="738"/>
      <c r="F113" s="738"/>
      <c r="G113" s="738"/>
      <c r="H113" s="738"/>
      <c r="I113" s="738"/>
      <c r="J113" s="738"/>
      <c r="K113" s="738"/>
      <c r="L113" s="738"/>
      <c r="M113" s="738"/>
      <c r="N113" s="738"/>
      <c r="O113" s="738"/>
      <c r="P113" s="738"/>
      <c r="Q113" s="738"/>
      <c r="R113" s="738"/>
      <c r="S113" s="738"/>
      <c r="T113" s="738"/>
      <c r="U113" s="738"/>
      <c r="V113" s="738"/>
      <c r="W113" s="738"/>
      <c r="X113" s="738"/>
      <c r="Y113" s="738"/>
      <c r="Z113" s="739"/>
      <c r="AA113" s="725" t="s">
        <v>827</v>
      </c>
      <c r="AB113" s="726"/>
      <c r="AC113" s="726"/>
      <c r="AD113" s="726"/>
      <c r="AE113" s="726"/>
      <c r="AF113" s="726"/>
      <c r="AG113" s="726"/>
      <c r="AH113" s="726"/>
      <c r="AI113" s="726"/>
      <c r="AJ113" s="726"/>
      <c r="AK113" s="726"/>
      <c r="AL113" s="726"/>
      <c r="AM113" s="726"/>
      <c r="AN113" s="726"/>
      <c r="AO113" s="726"/>
      <c r="AP113" s="726"/>
      <c r="AQ113" s="726"/>
      <c r="AR113" s="727"/>
      <c r="AT113" s="283"/>
      <c r="AV113" s="664"/>
      <c r="AW113" s="664"/>
    </row>
    <row r="114" spans="1:51">
      <c r="A114" s="282"/>
      <c r="Z114" s="740"/>
      <c r="AA114" s="740"/>
      <c r="AB114" s="740"/>
      <c r="AC114" s="740"/>
      <c r="AD114" s="740"/>
      <c r="AE114" s="740"/>
      <c r="AF114" s="740"/>
      <c r="AG114" s="740"/>
      <c r="AH114" s="740"/>
      <c r="AI114" s="740"/>
      <c r="AJ114" s="740"/>
      <c r="AK114" s="740"/>
      <c r="AL114" s="740"/>
      <c r="AM114" s="740"/>
      <c r="AN114" s="740"/>
      <c r="AO114" s="740"/>
      <c r="AP114" s="740"/>
      <c r="AQ114" s="740"/>
      <c r="AR114" s="740"/>
      <c r="AS114" s="740"/>
      <c r="AT114" s="283"/>
      <c r="AV114" s="664"/>
      <c r="AW114" s="664"/>
    </row>
    <row r="115" spans="1:51">
      <c r="A115" s="282"/>
      <c r="B115" s="664" t="s">
        <v>490</v>
      </c>
      <c r="C115" s="664"/>
      <c r="F115" s="664" t="s">
        <v>582</v>
      </c>
      <c r="G115" s="664"/>
      <c r="J115" s="664" t="s">
        <v>499</v>
      </c>
      <c r="K115" s="664"/>
      <c r="N115" s="664" t="s">
        <v>578</v>
      </c>
      <c r="O115" s="664"/>
      <c r="R115" s="664" t="s">
        <v>575</v>
      </c>
      <c r="S115" s="664"/>
      <c r="V115" s="664" t="s">
        <v>567</v>
      </c>
      <c r="W115" s="664"/>
      <c r="Z115" s="664" t="s">
        <v>505</v>
      </c>
      <c r="AA115" s="664"/>
      <c r="AD115" s="664" t="s">
        <v>563</v>
      </c>
      <c r="AE115" s="664"/>
      <c r="AH115" s="664" t="s">
        <v>513</v>
      </c>
      <c r="AI115" s="664"/>
      <c r="AL115" s="664" t="s">
        <v>516</v>
      </c>
      <c r="AM115" s="664"/>
      <c r="AP115" s="664" t="s">
        <v>520</v>
      </c>
      <c r="AQ115" s="664"/>
      <c r="AT115" s="283"/>
      <c r="AV115" s="664"/>
      <c r="AW115" s="664"/>
    </row>
    <row r="116" spans="1:51">
      <c r="A116" s="282"/>
      <c r="AT116" s="283"/>
      <c r="AV116" s="664"/>
      <c r="AW116" s="664"/>
    </row>
    <row r="117" spans="1:51">
      <c r="A117" s="282"/>
      <c r="AT117" s="283"/>
      <c r="AV117" s="664"/>
      <c r="AW117" s="664"/>
    </row>
    <row r="118" spans="1:51">
      <c r="A118" s="282"/>
      <c r="B118" s="296" t="s">
        <v>789</v>
      </c>
      <c r="C118" s="296" t="s">
        <v>790</v>
      </c>
      <c r="D118" s="666">
        <f>VLOOKUP(B115,[14]Progress!$B$9:$D$310,3,FALSE)</f>
        <v>387</v>
      </c>
      <c r="E118" s="665"/>
      <c r="F118" s="296" t="s">
        <v>789</v>
      </c>
      <c r="G118" s="296" t="s">
        <v>790</v>
      </c>
      <c r="H118" s="666">
        <f>VLOOKUP(F115,[14]Progress!$B$9:$D$310,3,FALSE)</f>
        <v>364</v>
      </c>
      <c r="I118" s="665"/>
      <c r="J118" s="296" t="s">
        <v>789</v>
      </c>
      <c r="K118" s="296" t="s">
        <v>790</v>
      </c>
      <c r="L118" s="666">
        <f>VLOOKUP(J115,[14]Progress!$B$9:$D$310,3,FALSE)</f>
        <v>423</v>
      </c>
      <c r="M118" s="665"/>
      <c r="N118" s="296" t="s">
        <v>789</v>
      </c>
      <c r="O118" s="296" t="s">
        <v>790</v>
      </c>
      <c r="P118" s="666">
        <f>VLOOKUP(N115,[14]Progress!$B$9:$D$310,3,FALSE)</f>
        <v>335</v>
      </c>
      <c r="Q118" s="665"/>
      <c r="R118" s="296" t="s">
        <v>789</v>
      </c>
      <c r="S118" s="296" t="s">
        <v>790</v>
      </c>
      <c r="T118" s="666">
        <f>VLOOKUP(R115,[14]Progress!$B$9:$D$310,3,FALSE)</f>
        <v>343</v>
      </c>
      <c r="U118" s="665"/>
      <c r="V118" s="296" t="s">
        <v>789</v>
      </c>
      <c r="W118" s="296" t="s">
        <v>790</v>
      </c>
      <c r="X118" s="728">
        <f>VLOOKUP(V115,[14]Progress!$B$9:$D$310,3,FALSE)</f>
        <v>362.45299999999997</v>
      </c>
      <c r="Y118" s="729"/>
      <c r="Z118" s="314" t="s">
        <v>789</v>
      </c>
      <c r="AA118" s="314" t="s">
        <v>790</v>
      </c>
      <c r="AB118" s="728">
        <f>VLOOKUP(Z115,[14]Progress!$B$9:$D$310,3,FALSE)</f>
        <v>433</v>
      </c>
      <c r="AC118" s="729"/>
      <c r="AD118" s="314" t="s">
        <v>789</v>
      </c>
      <c r="AE118" s="314" t="s">
        <v>790</v>
      </c>
      <c r="AF118" s="728">
        <f>VLOOKUP(AD115,[14]Progress!$B$9:$D$310,3,FALSE)</f>
        <v>393</v>
      </c>
      <c r="AG118" s="729"/>
      <c r="AH118" s="314" t="s">
        <v>789</v>
      </c>
      <c r="AI118" s="314" t="s">
        <v>790</v>
      </c>
      <c r="AJ118" s="728">
        <f>VLOOKUP(AH115,[14]Progress!$B$9:$D$310,3,FALSE)</f>
        <v>400</v>
      </c>
      <c r="AK118" s="729"/>
      <c r="AL118" s="314" t="s">
        <v>789</v>
      </c>
      <c r="AM118" s="314" t="s">
        <v>790</v>
      </c>
      <c r="AN118" s="728">
        <f>VLOOKUP(AL115,[14]Progress!$B$9:$D$310,3,FALSE)</f>
        <v>375.65899999999999</v>
      </c>
      <c r="AO118" s="729"/>
      <c r="AP118" s="314" t="s">
        <v>789</v>
      </c>
      <c r="AQ118" s="314" t="s">
        <v>790</v>
      </c>
      <c r="AR118" s="728">
        <f>VLOOKUP(AP115,[14]Progress!$B$9:$D$310,3,FALSE)</f>
        <v>366.46600000000001</v>
      </c>
      <c r="AS118" s="730"/>
      <c r="AT118" s="283"/>
      <c r="AV118" s="664">
        <f>D118+H118+L118+P118+T118+X118+AB118+AF118+AJ118+AN118+AR118</f>
        <v>4182.5780000000004</v>
      </c>
      <c r="AW118" s="664"/>
      <c r="AY118">
        <v>11</v>
      </c>
    </row>
    <row r="119" spans="1:51">
      <c r="A119" s="282"/>
      <c r="B119" s="296" t="s">
        <v>792</v>
      </c>
      <c r="C119" s="296" t="s">
        <v>793</v>
      </c>
      <c r="F119" s="296" t="s">
        <v>792</v>
      </c>
      <c r="G119" s="296" t="s">
        <v>793</v>
      </c>
      <c r="J119" s="296" t="s">
        <v>792</v>
      </c>
      <c r="K119" s="296" t="s">
        <v>793</v>
      </c>
      <c r="N119" s="296" t="s">
        <v>792</v>
      </c>
      <c r="O119" s="296" t="s">
        <v>793</v>
      </c>
      <c r="R119" s="296" t="s">
        <v>792</v>
      </c>
      <c r="S119" s="296" t="s">
        <v>793</v>
      </c>
      <c r="V119" s="296" t="s">
        <v>792</v>
      </c>
      <c r="W119" s="296" t="s">
        <v>793</v>
      </c>
      <c r="Z119" s="296" t="s">
        <v>792</v>
      </c>
      <c r="AA119" s="296" t="s">
        <v>793</v>
      </c>
      <c r="AD119" s="296" t="s">
        <v>792</v>
      </c>
      <c r="AE119" s="296" t="s">
        <v>793</v>
      </c>
      <c r="AH119" s="296" t="s">
        <v>792</v>
      </c>
      <c r="AI119" s="296" t="s">
        <v>793</v>
      </c>
      <c r="AL119" s="296" t="s">
        <v>792</v>
      </c>
      <c r="AM119" s="296" t="s">
        <v>793</v>
      </c>
      <c r="AP119" s="296" t="s">
        <v>792</v>
      </c>
      <c r="AQ119" s="296" t="s">
        <v>793</v>
      </c>
      <c r="AT119" s="283"/>
      <c r="AV119" s="664"/>
      <c r="AW119" s="664"/>
    </row>
    <row r="120" spans="1:51" ht="10.5" customHeight="1">
      <c r="A120" s="282"/>
      <c r="B120" s="700"/>
      <c r="C120" s="700"/>
      <c r="F120" s="700"/>
      <c r="G120" s="700"/>
      <c r="J120" s="700"/>
      <c r="K120" s="700"/>
      <c r="N120" s="700"/>
      <c r="O120" s="700"/>
      <c r="R120" s="700"/>
      <c r="S120" s="700"/>
      <c r="V120" s="700"/>
      <c r="W120" s="700"/>
      <c r="Z120" s="700"/>
      <c r="AA120" s="700"/>
      <c r="AD120" s="700"/>
      <c r="AE120" s="700"/>
      <c r="AH120" s="700"/>
      <c r="AI120" s="700"/>
      <c r="AL120" s="700"/>
      <c r="AM120" s="700"/>
      <c r="AP120" s="700"/>
      <c r="AQ120" s="700"/>
      <c r="AT120" s="283"/>
      <c r="AV120" s="664"/>
      <c r="AW120" s="664"/>
    </row>
    <row r="121" spans="1:51">
      <c r="A121" s="282"/>
      <c r="B121" s="684" t="str">
        <f>VLOOKUP(+B115,'[14]Twr Schedule'!$B$9:$C$611,2,FALSE)</f>
        <v>DA+3</v>
      </c>
      <c r="C121" s="684"/>
      <c r="F121" s="684" t="str">
        <f>VLOOKUP(+F115,'[14]Twr Schedule'!$B$9:$C$611,2,FALSE)</f>
        <v>DA-3</v>
      </c>
      <c r="G121" s="684"/>
      <c r="J121" s="684" t="str">
        <f>VLOOKUP(+J115,'[14]Twr Schedule'!$B$9:$C$611,2,FALSE)</f>
        <v>DA+3</v>
      </c>
      <c r="K121" s="684"/>
      <c r="N121" s="684" t="str">
        <f>VLOOKUP(+N115,'[14]Twr Schedule'!$B$9:$C$611,2,FALSE)</f>
        <v>DA+3</v>
      </c>
      <c r="O121" s="684"/>
      <c r="R121" s="684" t="str">
        <f>VLOOKUP(+R115,'[14]Twr Schedule'!$B$9:$C$611,2,FALSE)</f>
        <v>DA-3</v>
      </c>
      <c r="S121" s="684"/>
      <c r="V121" s="684" t="str">
        <f>VLOOKUP(+V115,'[14]Twr Schedule'!$B$9:$C$611,2,FALSE)</f>
        <v>DA-3</v>
      </c>
      <c r="W121" s="684"/>
      <c r="Z121" s="684" t="str">
        <f>VLOOKUP(+Z115,'[14]Twr Schedule'!$B$9:$C$611,2,FALSE)</f>
        <v>DB1+0</v>
      </c>
      <c r="AA121" s="684"/>
      <c r="AD121" s="684" t="str">
        <f>VLOOKUP(+AD115,'[14]Twr Schedule'!$B$9:$C$611,2,FALSE)</f>
        <v>DA+6</v>
      </c>
      <c r="AE121" s="684"/>
      <c r="AH121" s="684" t="str">
        <f>VLOOKUP(+AH115,'[14]Twr Schedule'!$B$9:$C$611,2,FALSE)</f>
        <v>DA+0</v>
      </c>
      <c r="AI121" s="684"/>
      <c r="AL121" s="684" t="str">
        <f>VLOOKUP(+AL115,'[14]Twr Schedule'!$B$9:$C$611,2,FALSE)</f>
        <v>DA+0</v>
      </c>
      <c r="AM121" s="684"/>
      <c r="AP121" s="684" t="str">
        <f>VLOOKUP(+AP115,'[14]Twr Schedule'!$B$9:$C$611,2,FALSE)</f>
        <v>DA-3</v>
      </c>
      <c r="AQ121" s="684"/>
      <c r="AT121" s="283"/>
      <c r="AV121" s="664"/>
      <c r="AW121" s="664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64"/>
      <c r="AW122" s="664"/>
    </row>
    <row r="123" spans="1:51">
      <c r="A123" s="741" t="s">
        <v>827</v>
      </c>
      <c r="B123" s="742"/>
      <c r="C123" s="742"/>
      <c r="D123" s="742"/>
      <c r="E123" s="742"/>
      <c r="F123" s="742"/>
      <c r="G123" s="742"/>
      <c r="H123" s="742"/>
      <c r="I123" s="742"/>
      <c r="J123" s="742"/>
      <c r="K123" s="742"/>
      <c r="L123" s="742"/>
      <c r="M123" s="742"/>
      <c r="N123" s="742"/>
      <c r="O123" s="742"/>
      <c r="P123" s="742"/>
      <c r="Q123" s="742"/>
      <c r="R123" s="742"/>
      <c r="S123" s="742"/>
      <c r="T123" s="742"/>
      <c r="U123" s="742"/>
      <c r="V123" s="742"/>
      <c r="W123" s="742"/>
      <c r="X123" s="742"/>
      <c r="Y123" s="742"/>
      <c r="Z123" s="742"/>
      <c r="AA123" s="742"/>
      <c r="AB123" s="742"/>
      <c r="AC123" s="742"/>
      <c r="AD123" s="742"/>
      <c r="AE123" s="742"/>
      <c r="AF123" s="742"/>
      <c r="AG123" s="742"/>
      <c r="AH123" s="743"/>
      <c r="AI123" s="660" t="s">
        <v>828</v>
      </c>
      <c r="AJ123" s="660"/>
      <c r="AK123" s="660"/>
      <c r="AL123" s="660"/>
      <c r="AM123" s="660"/>
      <c r="AN123" s="660"/>
      <c r="AO123" s="660"/>
      <c r="AP123" s="660"/>
      <c r="AQ123" s="660"/>
      <c r="AR123" s="660"/>
      <c r="AT123" s="283"/>
      <c r="AV123" s="664"/>
      <c r="AW123" s="664"/>
    </row>
    <row r="124" spans="1:51">
      <c r="A124" s="282"/>
      <c r="AT124" s="283"/>
      <c r="AV124" s="664"/>
      <c r="AW124" s="664"/>
    </row>
    <row r="125" spans="1:51">
      <c r="A125" s="282"/>
      <c r="B125" s="664" t="s">
        <v>447</v>
      </c>
      <c r="C125" s="664"/>
      <c r="F125" s="664" t="s">
        <v>444</v>
      </c>
      <c r="G125" s="664"/>
      <c r="J125" s="664" t="s">
        <v>448</v>
      </c>
      <c r="K125" s="664"/>
      <c r="N125" s="664" t="s">
        <v>442</v>
      </c>
      <c r="O125" s="664"/>
      <c r="R125" s="664" t="s">
        <v>445</v>
      </c>
      <c r="S125" s="664"/>
      <c r="V125" s="664" t="s">
        <v>554</v>
      </c>
      <c r="W125" s="664"/>
      <c r="Z125" s="664" t="s">
        <v>545</v>
      </c>
      <c r="AA125" s="664"/>
      <c r="AD125" s="664" t="s">
        <v>450</v>
      </c>
      <c r="AE125" s="664"/>
      <c r="AH125" s="664" t="s">
        <v>512</v>
      </c>
      <c r="AI125" s="664"/>
      <c r="AL125" s="664" t="s">
        <v>630</v>
      </c>
      <c r="AM125" s="664"/>
      <c r="AP125" s="664" t="s">
        <v>626</v>
      </c>
      <c r="AQ125" s="664"/>
      <c r="AT125" s="283"/>
      <c r="AV125" s="664"/>
      <c r="AW125" s="664"/>
    </row>
    <row r="126" spans="1:51">
      <c r="A126" s="282"/>
      <c r="AT126" s="283"/>
      <c r="AV126" s="664"/>
      <c r="AW126" s="664"/>
    </row>
    <row r="127" spans="1:51">
      <c r="A127" s="282"/>
      <c r="AT127" s="283"/>
      <c r="AV127" s="664"/>
      <c r="AW127" s="664"/>
    </row>
    <row r="128" spans="1:51">
      <c r="A128" s="282"/>
      <c r="B128" s="296" t="s">
        <v>789</v>
      </c>
      <c r="C128" s="296" t="s">
        <v>790</v>
      </c>
      <c r="D128" s="666">
        <f>VLOOKUP(B125,[14]Progress!$B$9:$D$310,3,FALSE)</f>
        <v>408</v>
      </c>
      <c r="E128" s="665"/>
      <c r="F128" s="296" t="s">
        <v>789</v>
      </c>
      <c r="G128" s="296" t="s">
        <v>790</v>
      </c>
      <c r="H128" s="666">
        <f>VLOOKUP(F125,[14]Progress!$B$9:$D$310,3,FALSE)</f>
        <v>372</v>
      </c>
      <c r="I128" s="665"/>
      <c r="J128" s="296" t="s">
        <v>789</v>
      </c>
      <c r="K128" s="296" t="s">
        <v>790</v>
      </c>
      <c r="L128" s="721">
        <f>VLOOKUP(J125,[14]Progress!$B$9:$D$310,3,FALSE)</f>
        <v>370</v>
      </c>
      <c r="M128" s="722"/>
      <c r="N128" s="296" t="s">
        <v>789</v>
      </c>
      <c r="O128" s="296" t="s">
        <v>790</v>
      </c>
      <c r="P128" s="666">
        <f>VLOOKUP(N125,[14]Progress!$B$9:$D$310,3,FALSE)</f>
        <v>400</v>
      </c>
      <c r="Q128" s="665"/>
      <c r="R128" s="296" t="s">
        <v>789</v>
      </c>
      <c r="S128" s="296" t="s">
        <v>790</v>
      </c>
      <c r="T128" s="666">
        <f>VLOOKUP(R125,[14]Progress!$B$9:$D$310,3,FALSE)</f>
        <v>426</v>
      </c>
      <c r="U128" s="665"/>
      <c r="V128" s="296" t="s">
        <v>789</v>
      </c>
      <c r="W128" s="296" t="s">
        <v>790</v>
      </c>
      <c r="X128" s="721">
        <f>VLOOKUP(V125,[14]Progress!$B$9:$D$310,3,FALSE)</f>
        <v>399</v>
      </c>
      <c r="Y128" s="722"/>
      <c r="Z128" s="296" t="s">
        <v>789</v>
      </c>
      <c r="AA128" s="296" t="s">
        <v>790</v>
      </c>
      <c r="AB128" s="666">
        <f>VLOOKUP(Z125,[14]Progress!$B$9:$D$310,3,FALSE)</f>
        <v>358</v>
      </c>
      <c r="AC128" s="665"/>
      <c r="AD128" s="296" t="s">
        <v>789</v>
      </c>
      <c r="AE128" s="296" t="s">
        <v>790</v>
      </c>
      <c r="AF128" s="728">
        <f>VLOOKUP(AD125,[14]Progress!$B$9:$D$310,3,FALSE)</f>
        <v>256.85700000000003</v>
      </c>
      <c r="AG128" s="729"/>
      <c r="AH128" s="296" t="s">
        <v>789</v>
      </c>
      <c r="AI128" s="296" t="s">
        <v>790</v>
      </c>
      <c r="AJ128" s="666">
        <f>VLOOKUP(AH125,[14]Progress!$B$9:$D$310,3,FALSE)</f>
        <v>388</v>
      </c>
      <c r="AK128" s="665"/>
      <c r="AL128" s="296" t="s">
        <v>789</v>
      </c>
      <c r="AM128" s="296" t="s">
        <v>790</v>
      </c>
      <c r="AN128" s="666">
        <f>VLOOKUP(AL125,[14]Progress!$B$9:$D$310,3,FALSE)</f>
        <v>391</v>
      </c>
      <c r="AO128" s="665"/>
      <c r="AP128" s="296" t="s">
        <v>789</v>
      </c>
      <c r="AQ128" s="296" t="s">
        <v>790</v>
      </c>
      <c r="AR128" s="666">
        <f>VLOOKUP(AP125,[14]Progress!$B$9:$D$310,3,FALSE)</f>
        <v>394</v>
      </c>
      <c r="AS128" s="664"/>
      <c r="AT128" s="283"/>
      <c r="AV128" s="664">
        <f>D128+H128+L128+P128+T128+X128+AB128+AF128+AJ128+AN128+AR128</f>
        <v>4162.857</v>
      </c>
      <c r="AW128" s="664"/>
      <c r="AY128">
        <v>11</v>
      </c>
    </row>
    <row r="129" spans="1:51">
      <c r="A129" s="282"/>
      <c r="B129" s="296" t="s">
        <v>792</v>
      </c>
      <c r="C129" s="296" t="s">
        <v>793</v>
      </c>
      <c r="F129" s="296" t="s">
        <v>792</v>
      </c>
      <c r="G129" s="296" t="s">
        <v>793</v>
      </c>
      <c r="J129" s="296" t="s">
        <v>792</v>
      </c>
      <c r="K129" s="296" t="s">
        <v>793</v>
      </c>
      <c r="N129" s="296" t="s">
        <v>792</v>
      </c>
      <c r="O129" s="296" t="s">
        <v>793</v>
      </c>
      <c r="R129" s="296" t="s">
        <v>792</v>
      </c>
      <c r="S129" s="296" t="s">
        <v>793</v>
      </c>
      <c r="V129" s="296" t="s">
        <v>792</v>
      </c>
      <c r="W129" s="296" t="s">
        <v>793</v>
      </c>
      <c r="Z129" s="296" t="s">
        <v>792</v>
      </c>
      <c r="AA129" s="296" t="s">
        <v>793</v>
      </c>
      <c r="AD129" s="296" t="s">
        <v>792</v>
      </c>
      <c r="AE129" s="296" t="s">
        <v>793</v>
      </c>
      <c r="AH129" s="296" t="s">
        <v>792</v>
      </c>
      <c r="AI129" s="296" t="s">
        <v>793</v>
      </c>
      <c r="AL129" s="296" t="s">
        <v>792</v>
      </c>
      <c r="AM129" s="296" t="s">
        <v>793</v>
      </c>
      <c r="AP129" s="296" t="s">
        <v>792</v>
      </c>
      <c r="AQ129" s="296" t="s">
        <v>793</v>
      </c>
      <c r="AT129" s="283"/>
      <c r="AV129" s="664"/>
      <c r="AW129" s="664"/>
    </row>
    <row r="130" spans="1:51" ht="10.5" customHeight="1">
      <c r="A130" s="282"/>
      <c r="B130" s="700"/>
      <c r="C130" s="700"/>
      <c r="F130" s="700"/>
      <c r="G130" s="700"/>
      <c r="J130" s="700"/>
      <c r="K130" s="700"/>
      <c r="N130" s="700"/>
      <c r="O130" s="700"/>
      <c r="R130" s="700"/>
      <c r="S130" s="700"/>
      <c r="V130" s="700"/>
      <c r="W130" s="700"/>
      <c r="Z130" s="700"/>
      <c r="AA130" s="700"/>
      <c r="AD130" s="700"/>
      <c r="AE130" s="700"/>
      <c r="AH130" s="700"/>
      <c r="AI130" s="700"/>
      <c r="AL130" s="700"/>
      <c r="AM130" s="700"/>
      <c r="AP130" s="700"/>
      <c r="AQ130" s="700"/>
      <c r="AT130" s="283"/>
      <c r="AV130" s="664"/>
      <c r="AW130" s="664"/>
    </row>
    <row r="131" spans="1:51">
      <c r="A131" s="282"/>
      <c r="B131" s="684" t="str">
        <f>VLOOKUP(+B125,'[14]Twr Schedule'!$B$9:$C$611,2,FALSE)</f>
        <v>DA+3</v>
      </c>
      <c r="C131" s="684"/>
      <c r="F131" s="684" t="str">
        <f>VLOOKUP(+F125,'[14]Twr Schedule'!$B$9:$C$611,2,FALSE)</f>
        <v>DA+0</v>
      </c>
      <c r="G131" s="684"/>
      <c r="J131" s="684" t="str">
        <f>VLOOKUP(+J125,'[14]Twr Schedule'!$B$9:$C$611,2,FALSE)</f>
        <v>DA-3</v>
      </c>
      <c r="K131" s="684"/>
      <c r="N131" s="684" t="str">
        <f>VLOOKUP(+N125,'[14]Twr Schedule'!$B$9:$C$611,2,FALSE)</f>
        <v>DA+0</v>
      </c>
      <c r="O131" s="684"/>
      <c r="R131" s="684" t="str">
        <f>VLOOKUP(+R125,'[14]Twr Schedule'!$B$9:$C$611,2,FALSE)</f>
        <v>DA+3</v>
      </c>
      <c r="S131" s="684"/>
      <c r="V131" s="684" t="str">
        <f>VLOOKUP(+V125,'[14]Twr Schedule'!$B$9:$C$611,2,FALSE)</f>
        <v>DA+3</v>
      </c>
      <c r="W131" s="684"/>
      <c r="Z131" s="684" t="str">
        <f>VLOOKUP(+Z125,'[14]Twr Schedule'!$B$9:$C$611,2,FALSE)</f>
        <v>DA-3</v>
      </c>
      <c r="AA131" s="684"/>
      <c r="AD131" s="684" t="str">
        <f>VLOOKUP(+AD125,'[14]Twr Schedule'!$B$9:$C$611,2,FALSE)</f>
        <v>DA-3</v>
      </c>
      <c r="AE131" s="684"/>
      <c r="AH131" s="684" t="str">
        <f>VLOOKUP(+AH125,'[14]Twr Schedule'!$B$9:$C$611,2,FALSE)</f>
        <v>DB1+0</v>
      </c>
      <c r="AI131" s="684"/>
      <c r="AL131" s="684" t="str">
        <f>VLOOKUP(+AL125,'[14]Twr Schedule'!$B$9:$C$611,2,FALSE)</f>
        <v>DA-3</v>
      </c>
      <c r="AM131" s="684"/>
      <c r="AP131" s="684" t="str">
        <f>VLOOKUP(+AP125,'[14]Twr Schedule'!$B$9:$C$611,2,FALSE)</f>
        <v>DA+3</v>
      </c>
      <c r="AQ131" s="684"/>
      <c r="AT131" s="283"/>
      <c r="AV131" s="664"/>
      <c r="AW131" s="664"/>
    </row>
    <row r="132" spans="1:51">
      <c r="A132" s="282"/>
      <c r="W132" t="s">
        <v>829</v>
      </c>
      <c r="AL132" s="2"/>
      <c r="AM132" s="2"/>
      <c r="AP132" s="2"/>
      <c r="AQ132" s="2"/>
      <c r="AT132" s="283"/>
      <c r="AV132" s="664"/>
      <c r="AW132" s="664"/>
    </row>
    <row r="133" spans="1:51">
      <c r="A133" s="660" t="s">
        <v>828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0"/>
      <c r="P133" s="660"/>
      <c r="Q133" s="660"/>
      <c r="R133" s="660"/>
      <c r="S133" s="660"/>
      <c r="T133" s="660"/>
      <c r="U133" s="660"/>
      <c r="V133" s="660"/>
      <c r="W133" s="660"/>
      <c r="X133" s="660"/>
      <c r="Y133" s="660"/>
      <c r="Z133" s="660"/>
      <c r="AA133" s="660"/>
      <c r="AB133" s="660"/>
      <c r="AC133" s="660"/>
      <c r="AD133" s="660"/>
      <c r="AE133" s="660"/>
      <c r="AF133" s="660"/>
      <c r="AG133" s="660"/>
      <c r="AH133" s="660"/>
      <c r="AI133" s="660"/>
      <c r="AJ133" s="660"/>
      <c r="AK133" s="660"/>
      <c r="AL133" s="660"/>
      <c r="AM133" s="660"/>
      <c r="AN133" s="660"/>
      <c r="AO133" s="660"/>
      <c r="AP133" s="660"/>
      <c r="AQ133" s="317" t="s">
        <v>830</v>
      </c>
      <c r="AR133" s="317"/>
      <c r="AT133" s="283"/>
      <c r="AV133" s="664"/>
      <c r="AW133" s="664"/>
    </row>
    <row r="134" spans="1:51">
      <c r="A134" s="282"/>
      <c r="AT134" s="283"/>
      <c r="AV134" s="664"/>
      <c r="AW134" s="664"/>
    </row>
    <row r="135" spans="1:51">
      <c r="A135" s="282"/>
      <c r="B135" s="664" t="s">
        <v>635</v>
      </c>
      <c r="C135" s="664"/>
      <c r="F135" s="664" t="s">
        <v>621</v>
      </c>
      <c r="G135" s="664"/>
      <c r="J135" s="664" t="s">
        <v>420</v>
      </c>
      <c r="K135" s="664"/>
      <c r="N135" s="664" t="s">
        <v>433</v>
      </c>
      <c r="O135" s="664"/>
      <c r="R135" s="664" t="s">
        <v>611</v>
      </c>
      <c r="S135" s="664"/>
      <c r="V135" s="664" t="s">
        <v>615</v>
      </c>
      <c r="W135" s="664"/>
      <c r="Z135" s="664" t="s">
        <v>596</v>
      </c>
      <c r="AA135" s="664"/>
      <c r="AD135" s="664" t="s">
        <v>605</v>
      </c>
      <c r="AE135" s="664"/>
      <c r="AH135" s="664" t="s">
        <v>603</v>
      </c>
      <c r="AI135" s="664"/>
      <c r="AL135" s="664" t="s">
        <v>641</v>
      </c>
      <c r="AM135" s="664"/>
      <c r="AP135" s="664" t="s">
        <v>660</v>
      </c>
      <c r="AQ135" s="664"/>
      <c r="AT135" s="283"/>
      <c r="AV135" s="664"/>
      <c r="AW135" s="664"/>
    </row>
    <row r="136" spans="1:51">
      <c r="A136" s="282"/>
      <c r="AT136" s="283"/>
      <c r="AV136" s="664"/>
      <c r="AW136" s="664"/>
    </row>
    <row r="137" spans="1:51">
      <c r="A137" s="282"/>
      <c r="AT137" s="283"/>
      <c r="AV137" s="664"/>
      <c r="AW137" s="664"/>
    </row>
    <row r="138" spans="1:51">
      <c r="A138" s="282"/>
      <c r="B138" s="296" t="s">
        <v>789</v>
      </c>
      <c r="C138" s="296" t="s">
        <v>790</v>
      </c>
      <c r="D138" s="744">
        <f>VLOOKUP(B135,[14]Progress!$B$9:$D$310,3,FALSE)</f>
        <v>432.89800000000002</v>
      </c>
      <c r="E138" s="745"/>
      <c r="F138" s="296" t="s">
        <v>789</v>
      </c>
      <c r="G138" s="296" t="s">
        <v>790</v>
      </c>
      <c r="H138" s="731">
        <f>VLOOKUP(F135,[14]Progress!$B$9:$D$310,3,FALSE)</f>
        <v>190.94800000000001</v>
      </c>
      <c r="I138" s="732"/>
      <c r="J138" s="296" t="s">
        <v>789</v>
      </c>
      <c r="K138" s="296" t="s">
        <v>790</v>
      </c>
      <c r="L138" s="731">
        <f>VLOOKUP(J135,[14]Progress!$B$9:$D$310,3,FALSE)</f>
        <v>267.423</v>
      </c>
      <c r="M138" s="732"/>
      <c r="N138" s="296" t="s">
        <v>789</v>
      </c>
      <c r="O138" s="296" t="s">
        <v>790</v>
      </c>
      <c r="P138" s="666">
        <f>VLOOKUP(N135,[14]Progress!$B$9:$D$310,3,FALSE)</f>
        <v>371</v>
      </c>
      <c r="Q138" s="665"/>
      <c r="R138" s="296" t="s">
        <v>789</v>
      </c>
      <c r="S138" s="296" t="s">
        <v>790</v>
      </c>
      <c r="T138" s="728">
        <f>VLOOKUP(R135,[14]Progress!$B$9:$D$310,3,FALSE)</f>
        <v>438.91199999999998</v>
      </c>
      <c r="U138" s="729"/>
      <c r="V138" s="296" t="s">
        <v>789</v>
      </c>
      <c r="W138" s="296" t="s">
        <v>790</v>
      </c>
      <c r="X138" s="728">
        <f>VLOOKUP(V135,[14]Progress!$B$9:$D$310,3,FALSE)</f>
        <v>340.13200000000001</v>
      </c>
      <c r="Y138" s="729"/>
      <c r="Z138" s="296" t="s">
        <v>789</v>
      </c>
      <c r="AA138" s="296" t="s">
        <v>790</v>
      </c>
      <c r="AB138" s="666">
        <f>VLOOKUP(Z135,[14]Progress!$B$9:$D$310,3,FALSE)</f>
        <v>283.99599999999998</v>
      </c>
      <c r="AC138" s="665"/>
      <c r="AD138" s="296" t="s">
        <v>789</v>
      </c>
      <c r="AE138" s="296" t="s">
        <v>790</v>
      </c>
      <c r="AF138" s="666">
        <f>VLOOKUP(AD135,[14]Progress!$B$9:$D$310,3,FALSE)</f>
        <v>323</v>
      </c>
      <c r="AG138" s="665"/>
      <c r="AH138" s="296" t="s">
        <v>789</v>
      </c>
      <c r="AI138" s="296" t="s">
        <v>790</v>
      </c>
      <c r="AJ138" s="728">
        <f>VLOOKUP(AH135,[14]Progress!$B$9:$D$310,3,FALSE)</f>
        <v>470.22699999999998</v>
      </c>
      <c r="AK138" s="729"/>
      <c r="AL138" s="296" t="s">
        <v>789</v>
      </c>
      <c r="AM138" s="296" t="s">
        <v>790</v>
      </c>
      <c r="AN138" s="731">
        <f>VLOOKUP(AL135,[14]Progress!$B$9:$D$310,3,FALSE)</f>
        <v>231.53299999999999</v>
      </c>
      <c r="AO138" s="732"/>
      <c r="AP138" s="296" t="s">
        <v>789</v>
      </c>
      <c r="AQ138" s="296" t="s">
        <v>790</v>
      </c>
      <c r="AR138" s="666">
        <f>VLOOKUP(AP135,[14]Progress!$B$9:$D$310,3,FALSE)</f>
        <v>386</v>
      </c>
      <c r="AS138" s="664"/>
      <c r="AT138" s="283"/>
      <c r="AV138" s="664">
        <f>D138+H138+L138+P138+T138+X138+AB138+AF138+AJ138+AN138+AR138</f>
        <v>3736.069</v>
      </c>
      <c r="AW138" s="664"/>
      <c r="AY138">
        <v>11</v>
      </c>
    </row>
    <row r="139" spans="1:51">
      <c r="A139" s="282"/>
      <c r="B139" s="296" t="s">
        <v>792</v>
      </c>
      <c r="C139" s="296" t="s">
        <v>793</v>
      </c>
      <c r="F139" s="296" t="s">
        <v>792</v>
      </c>
      <c r="G139" s="296" t="s">
        <v>793</v>
      </c>
      <c r="J139" s="296" t="s">
        <v>792</v>
      </c>
      <c r="K139" s="296" t="s">
        <v>793</v>
      </c>
      <c r="N139" s="296" t="s">
        <v>792</v>
      </c>
      <c r="O139" s="296" t="s">
        <v>793</v>
      </c>
      <c r="R139" s="296" t="s">
        <v>792</v>
      </c>
      <c r="S139" s="296" t="s">
        <v>793</v>
      </c>
      <c r="V139" s="296" t="s">
        <v>792</v>
      </c>
      <c r="W139" s="296" t="s">
        <v>793</v>
      </c>
      <c r="Z139" s="296" t="s">
        <v>792</v>
      </c>
      <c r="AA139" s="296" t="s">
        <v>793</v>
      </c>
      <c r="AD139" s="296" t="s">
        <v>792</v>
      </c>
      <c r="AE139" s="296" t="s">
        <v>793</v>
      </c>
      <c r="AH139" s="296" t="s">
        <v>792</v>
      </c>
      <c r="AI139" s="296" t="s">
        <v>793</v>
      </c>
      <c r="AL139" s="296" t="s">
        <v>792</v>
      </c>
      <c r="AM139" s="296" t="s">
        <v>793</v>
      </c>
      <c r="AP139" s="296" t="s">
        <v>792</v>
      </c>
      <c r="AQ139" s="296" t="s">
        <v>793</v>
      </c>
      <c r="AT139" s="283"/>
      <c r="AV139" s="664"/>
      <c r="AW139" s="664"/>
    </row>
    <row r="140" spans="1:51" ht="10.5" customHeight="1">
      <c r="A140" s="282"/>
      <c r="B140" s="700"/>
      <c r="C140" s="700"/>
      <c r="F140" s="700"/>
      <c r="G140" s="700"/>
      <c r="J140" s="700"/>
      <c r="K140" s="700"/>
      <c r="N140" s="700"/>
      <c r="O140" s="700"/>
      <c r="R140" s="700"/>
      <c r="S140" s="700"/>
      <c r="V140" s="700"/>
      <c r="W140" s="700"/>
      <c r="Z140" s="700"/>
      <c r="AA140" s="700"/>
      <c r="AD140" s="700"/>
      <c r="AE140" s="700"/>
      <c r="AH140" s="700"/>
      <c r="AI140" s="700"/>
      <c r="AL140" s="700"/>
      <c r="AM140" s="700"/>
      <c r="AP140" s="700"/>
      <c r="AQ140" s="700"/>
      <c r="AT140" s="283"/>
      <c r="AV140" s="664"/>
      <c r="AW140" s="664"/>
    </row>
    <row r="141" spans="1:51">
      <c r="A141" s="282"/>
      <c r="B141" s="684" t="str">
        <f>VLOOKUP(+B135,'[14]Twr Schedule'!$B$9:$C$611,2,FALSE)</f>
        <v>DA+3</v>
      </c>
      <c r="C141" s="684"/>
      <c r="F141" s="684" t="str">
        <f>VLOOKUP(+F135,'[14]Twr Schedule'!$B$9:$C$611,2,FALSE)</f>
        <v>DB2+3</v>
      </c>
      <c r="G141" s="684"/>
      <c r="J141" s="684" t="str">
        <f>VLOOKUP(+J135,'[14]Twr Schedule'!$B$9:$C$611,2,FALSE)</f>
        <v>DB1+25</v>
      </c>
      <c r="K141" s="684"/>
      <c r="N141" s="684" t="str">
        <f>VLOOKUP(+N135,'[14]Twr Schedule'!$B$9:$C$611,2,FALSE)</f>
        <v>DC2+18</v>
      </c>
      <c r="O141" s="684"/>
      <c r="R141" s="684" t="str">
        <f>VLOOKUP(+R135,'[14]Twr Schedule'!$B$9:$C$611,2,FALSE)</f>
        <v>DA+9</v>
      </c>
      <c r="S141" s="684"/>
      <c r="V141" s="684" t="str">
        <f>VLOOKUP(+V135,'[14]Twr Schedule'!$B$9:$C$611,2,FALSE)</f>
        <v>DA+0</v>
      </c>
      <c r="W141" s="684"/>
      <c r="Z141" s="684" t="str">
        <f>VLOOKUP(+Z135,'[14]Twr Schedule'!$B$9:$C$611,2,FALSE)</f>
        <v>DA-3</v>
      </c>
      <c r="AA141" s="684"/>
      <c r="AD141" s="684" t="str">
        <f>VLOOKUP(+AD135,'[14]Twr Schedule'!$B$9:$C$611,2,FALSE)</f>
        <v>DA-3</v>
      </c>
      <c r="AE141" s="684"/>
      <c r="AH141" s="684" t="str">
        <f>VLOOKUP(+AH135,'[14]Twr Schedule'!$B$9:$C$611,2,FALSE)</f>
        <v>DA-3</v>
      </c>
      <c r="AI141" s="684"/>
      <c r="AL141" s="736" t="str">
        <f>VLOOKUP(+AL135,'[14]Twr Schedule'!$B$9:$C$611,2,FALSE)</f>
        <v>DD60+25</v>
      </c>
      <c r="AM141" s="736"/>
      <c r="AN141" s="315"/>
      <c r="AO141" s="315"/>
      <c r="AP141" s="736" t="str">
        <f>VLOOKUP(+AP135,'[14]Twr Schedule'!$B$9:$C$611,2,FALSE)</f>
        <v>DD60+25</v>
      </c>
      <c r="AQ141" s="736"/>
      <c r="AT141" s="283"/>
      <c r="AV141" s="664"/>
      <c r="AW141" s="664"/>
    </row>
    <row r="142" spans="1:51">
      <c r="A142" s="2"/>
      <c r="B142" s="2"/>
      <c r="C142" s="312" t="s">
        <v>831</v>
      </c>
      <c r="H142" t="s">
        <v>832</v>
      </c>
      <c r="AM142" t="s">
        <v>833</v>
      </c>
      <c r="AT142" s="283"/>
      <c r="AV142" s="664"/>
      <c r="AW142" s="664"/>
    </row>
    <row r="143" spans="1:51">
      <c r="A143" s="318" t="s">
        <v>834</v>
      </c>
      <c r="H143" t="s">
        <v>835</v>
      </c>
      <c r="AT143" s="283"/>
      <c r="AV143" s="664"/>
      <c r="AW143" s="664"/>
    </row>
    <row r="144" spans="1:51">
      <c r="A144" s="660" t="s">
        <v>830</v>
      </c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0"/>
      <c r="P144" s="660"/>
      <c r="Q144" s="660"/>
      <c r="R144" s="660"/>
      <c r="S144" s="660"/>
      <c r="T144" s="660"/>
      <c r="U144" s="660"/>
      <c r="V144" s="660"/>
      <c r="W144" s="660"/>
      <c r="X144" s="660"/>
      <c r="Y144" s="660"/>
      <c r="Z144" s="660"/>
      <c r="AA144" s="660"/>
      <c r="AB144" s="660"/>
      <c r="AC144" s="660"/>
      <c r="AD144" s="660"/>
      <c r="AE144" s="660"/>
      <c r="AF144" s="660"/>
      <c r="AG144" s="660"/>
      <c r="AH144" s="660"/>
      <c r="AI144" s="747" t="s">
        <v>836</v>
      </c>
      <c r="AJ144" s="747"/>
      <c r="AK144" s="747"/>
      <c r="AL144" s="747"/>
      <c r="AM144" s="747"/>
      <c r="AN144" s="747"/>
      <c r="AO144" s="747"/>
      <c r="AP144" s="747"/>
      <c r="AQ144" s="747"/>
      <c r="AR144" s="747"/>
      <c r="AT144" s="283"/>
      <c r="AV144" s="664"/>
      <c r="AW144" s="664"/>
    </row>
    <row r="145" spans="1:51">
      <c r="A145" s="282"/>
      <c r="B145" s="664" t="str">
        <f>'[14]Twr Schedule'!B273</f>
        <v>25/1</v>
      </c>
      <c r="C145" s="664"/>
      <c r="F145" s="664" t="str">
        <f>'[14]Twr Schedule'!B275</f>
        <v>25/2</v>
      </c>
      <c r="G145" s="664"/>
      <c r="J145" s="664" t="str">
        <f>'[14]Twr Schedule'!B277</f>
        <v>25/3</v>
      </c>
      <c r="K145" s="664"/>
      <c r="N145" s="664" t="str">
        <f>'[14]Twr Schedule'!B279</f>
        <v>26/0</v>
      </c>
      <c r="O145" s="664"/>
      <c r="R145" s="664" t="str">
        <f>'[14]Twr Schedule'!B281</f>
        <v>27/0</v>
      </c>
      <c r="S145" s="664"/>
      <c r="V145" s="664" t="str">
        <f>'[14]Twr Schedule'!B283</f>
        <v>28/0</v>
      </c>
      <c r="W145" s="664"/>
      <c r="Z145" s="664" t="str">
        <f>'[14]Twr Schedule'!B285</f>
        <v>28/1</v>
      </c>
      <c r="AA145" s="664"/>
      <c r="AD145" s="746" t="str">
        <f>'[14]Twr Schedule'!B287</f>
        <v>29/0</v>
      </c>
      <c r="AE145" s="664"/>
      <c r="AH145" s="664" t="str">
        <f>'[14]Twr Schedule'!B289</f>
        <v>30/0</v>
      </c>
      <c r="AI145" s="664"/>
      <c r="AL145" s="664" t="str">
        <f>'[14]Twr Schedule'!B291</f>
        <v>30/1</v>
      </c>
      <c r="AM145" s="664"/>
      <c r="AP145" s="664" t="s">
        <v>593</v>
      </c>
      <c r="AQ145" s="664"/>
      <c r="AT145" s="283"/>
      <c r="AV145" s="664"/>
      <c r="AW145" s="664"/>
    </row>
    <row r="146" spans="1:51">
      <c r="A146" s="282"/>
      <c r="AT146" s="283"/>
      <c r="AV146" s="664"/>
      <c r="AW146" s="664"/>
    </row>
    <row r="147" spans="1:51">
      <c r="A147" s="282"/>
      <c r="AT147" s="283"/>
      <c r="AV147" s="664"/>
      <c r="AW147" s="664"/>
    </row>
    <row r="148" spans="1:51">
      <c r="A148" s="282"/>
      <c r="B148" s="296" t="s">
        <v>789</v>
      </c>
      <c r="C148" s="296" t="s">
        <v>790</v>
      </c>
      <c r="D148" s="666">
        <f>VLOOKUP(B145,[14]Progress!$B$9:$D$310,3,FALSE)</f>
        <v>446</v>
      </c>
      <c r="E148" s="665"/>
      <c r="F148" s="296" t="s">
        <v>789</v>
      </c>
      <c r="G148" s="296" t="s">
        <v>790</v>
      </c>
      <c r="H148" s="666">
        <f>VLOOKUP(F145,[14]Progress!$B$9:$D$310,3,FALSE)</f>
        <v>368</v>
      </c>
      <c r="I148" s="665"/>
      <c r="J148" s="296" t="s">
        <v>789</v>
      </c>
      <c r="K148" s="296" t="s">
        <v>790</v>
      </c>
      <c r="L148" s="728">
        <f>VLOOKUP(J145,[14]Progress!$B$9:$D$310,3,FALSE)</f>
        <v>466.43099999999998</v>
      </c>
      <c r="M148" s="729"/>
      <c r="N148" s="314" t="s">
        <v>789</v>
      </c>
      <c r="O148" s="314" t="s">
        <v>790</v>
      </c>
      <c r="P148" s="728">
        <f>VLOOKUP(N145,[14]Progress!$B$9:$D$310,3,FALSE)</f>
        <v>440.83600000000001</v>
      </c>
      <c r="Q148" s="729"/>
      <c r="R148" s="314" t="s">
        <v>789</v>
      </c>
      <c r="S148" s="314" t="s">
        <v>790</v>
      </c>
      <c r="T148" s="731">
        <f>VLOOKUP(R145,[14]Progress!$B$9:$D$310,3,FALSE)</f>
        <v>299.47300000000001</v>
      </c>
      <c r="U148" s="732"/>
      <c r="V148" s="314" t="s">
        <v>789</v>
      </c>
      <c r="W148" s="314" t="s">
        <v>790</v>
      </c>
      <c r="X148" s="728">
        <f>VLOOKUP(V145,[14]Progress!$B$9:$D$310,3,FALSE)</f>
        <v>233</v>
      </c>
      <c r="Y148" s="729"/>
      <c r="Z148" s="314" t="s">
        <v>789</v>
      </c>
      <c r="AA148" s="314" t="s">
        <v>790</v>
      </c>
      <c r="AB148" s="728">
        <f>VLOOKUP(Z145,[14]Progress!$B$9:$D$310,3,FALSE)</f>
        <v>454.66899999999998</v>
      </c>
      <c r="AC148" s="729"/>
      <c r="AD148" s="314" t="s">
        <v>789</v>
      </c>
      <c r="AE148" s="314" t="s">
        <v>790</v>
      </c>
      <c r="AF148" s="728">
        <f>VLOOKUP(AD145,[14]Progress!$B$9:$D$310,3,FALSE)</f>
        <v>270.08</v>
      </c>
      <c r="AG148" s="729"/>
      <c r="AH148" s="314" t="s">
        <v>789</v>
      </c>
      <c r="AI148" s="314" t="s">
        <v>790</v>
      </c>
      <c r="AJ148" s="728">
        <f>VLOOKUP(AH145,[14]Progress!$B$9:$D$310,3,FALSE)</f>
        <v>435</v>
      </c>
      <c r="AK148" s="729"/>
      <c r="AL148" s="296" t="s">
        <v>789</v>
      </c>
      <c r="AM148" s="296" t="s">
        <v>790</v>
      </c>
      <c r="AN148" s="666">
        <f>VLOOKUP(AL145,[14]Progress!$B$9:$D$310,3,FALSE)</f>
        <v>347</v>
      </c>
      <c r="AO148" s="665"/>
      <c r="AP148" s="296" t="s">
        <v>789</v>
      </c>
      <c r="AQ148" s="296" t="s">
        <v>790</v>
      </c>
      <c r="AR148" s="666">
        <f>VLOOKUP(AP145,[14]Progress!$B$9:$D$310,3,FALSE)</f>
        <v>396</v>
      </c>
      <c r="AS148" s="664"/>
      <c r="AT148" s="283"/>
      <c r="AV148" s="664">
        <f>D148+H148+L148+P148+T148+X148+AB148+AF148+AJ148+AN148+AR148</f>
        <v>4156.4889999999996</v>
      </c>
      <c r="AW148" s="664"/>
      <c r="AY148">
        <v>11</v>
      </c>
    </row>
    <row r="149" spans="1:51">
      <c r="A149" s="282"/>
      <c r="B149" s="296" t="s">
        <v>792</v>
      </c>
      <c r="C149" s="296" t="s">
        <v>793</v>
      </c>
      <c r="F149" s="296" t="s">
        <v>792</v>
      </c>
      <c r="G149" s="296" t="s">
        <v>793</v>
      </c>
      <c r="J149" s="296" t="s">
        <v>792</v>
      </c>
      <c r="K149" s="296" t="s">
        <v>793</v>
      </c>
      <c r="N149" s="296" t="s">
        <v>792</v>
      </c>
      <c r="O149" s="296" t="s">
        <v>793</v>
      </c>
      <c r="R149" s="296" t="s">
        <v>792</v>
      </c>
      <c r="S149" s="296" t="s">
        <v>793</v>
      </c>
      <c r="V149" s="296" t="s">
        <v>792</v>
      </c>
      <c r="W149" s="296" t="s">
        <v>793</v>
      </c>
      <c r="Z149" s="296" t="s">
        <v>792</v>
      </c>
      <c r="AA149" s="296" t="s">
        <v>793</v>
      </c>
      <c r="AD149" s="296" t="s">
        <v>792</v>
      </c>
      <c r="AE149" s="296" t="s">
        <v>793</v>
      </c>
      <c r="AH149" s="296" t="s">
        <v>792</v>
      </c>
      <c r="AI149" s="296" t="s">
        <v>793</v>
      </c>
      <c r="AL149" s="296" t="s">
        <v>792</v>
      </c>
      <c r="AM149" s="296" t="s">
        <v>793</v>
      </c>
      <c r="AP149" s="296" t="s">
        <v>792</v>
      </c>
      <c r="AQ149" s="296" t="s">
        <v>793</v>
      </c>
      <c r="AT149" s="283"/>
      <c r="AV149" s="664"/>
      <c r="AW149" s="664"/>
    </row>
    <row r="150" spans="1:51" ht="10.5" customHeight="1">
      <c r="A150" s="282"/>
      <c r="B150" s="700"/>
      <c r="C150" s="700"/>
      <c r="F150" s="700"/>
      <c r="G150" s="700"/>
      <c r="J150" s="700"/>
      <c r="K150" s="700"/>
      <c r="N150" s="700"/>
      <c r="O150" s="700"/>
      <c r="R150" s="700"/>
      <c r="S150" s="700"/>
      <c r="V150" s="700"/>
      <c r="W150" s="700"/>
      <c r="Z150" s="700"/>
      <c r="AA150" s="700"/>
      <c r="AD150" s="700"/>
      <c r="AE150" s="700"/>
      <c r="AH150" s="700"/>
      <c r="AI150" s="700"/>
      <c r="AL150" s="700"/>
      <c r="AM150" s="700"/>
      <c r="AP150" s="700"/>
      <c r="AQ150" s="700"/>
      <c r="AT150" s="283"/>
      <c r="AV150" s="664"/>
      <c r="AW150" s="664"/>
    </row>
    <row r="151" spans="1:51">
      <c r="A151" s="282"/>
      <c r="B151" s="684" t="str">
        <f>VLOOKUP(+B145,'[14]Twr Schedule'!$B$9:$C$611,2,FALSE)</f>
        <v>DA+9</v>
      </c>
      <c r="C151" s="684"/>
      <c r="F151" s="684" t="str">
        <f>VLOOKUP(+F145,'[14]Twr Schedule'!$B$9:$C$611,2,FALSE)</f>
        <v>DA+0</v>
      </c>
      <c r="G151" s="684"/>
      <c r="J151" s="684" t="str">
        <f>VLOOKUP(+J145,'[14]Twr Schedule'!$B$9:$C$611,2,FALSE)</f>
        <v>DA+3</v>
      </c>
      <c r="K151" s="684"/>
      <c r="N151" s="684" t="str">
        <f>VLOOKUP(+N145,'[14]Twr Schedule'!$B$9:$C$611,2,FALSE)</f>
        <v>DB2+9</v>
      </c>
      <c r="O151" s="684"/>
      <c r="R151" s="684" t="str">
        <f>VLOOKUP(+R145,'[14]Twr Schedule'!$B$9:$C$611,2,FALSE)</f>
        <v>DD60+3</v>
      </c>
      <c r="S151" s="684"/>
      <c r="V151" s="684" t="str">
        <f>VLOOKUP(+V145,'[14]Twr Schedule'!$B$9:$C$611,2,FALSE)</f>
        <v>DD60+0</v>
      </c>
      <c r="W151" s="684"/>
      <c r="Z151" s="684" t="str">
        <f>VLOOKUP(+Z145,'[14]Twr Schedule'!$B$9:$C$611,2,FALSE)</f>
        <v>DA+3</v>
      </c>
      <c r="AA151" s="684"/>
      <c r="AD151" s="736" t="str">
        <f>VLOOKUP(+AD145,'[14]Twr Schedule'!$B$9:$C$611,2,FALSE)</f>
        <v>DD60+25</v>
      </c>
      <c r="AE151" s="736"/>
      <c r="AF151" s="315"/>
      <c r="AG151" s="315"/>
      <c r="AH151" s="736" t="str">
        <f>VLOOKUP(+AH145,'[14]Twr Schedule'!$B$9:$C$611,2,FALSE)</f>
        <v>DD60+18</v>
      </c>
      <c r="AI151" s="736"/>
      <c r="AL151" s="684" t="str">
        <f>VLOOKUP(+AL145,'[14]Twr Schedule'!$B$9:$C$611,2,FALSE)</f>
        <v>DA-3</v>
      </c>
      <c r="AM151" s="684"/>
      <c r="AP151" s="684" t="str">
        <f>VLOOKUP(+AP145,'[14]Twr Schedule'!$B$9:$C$611,2,FALSE)</f>
        <v>DA-3</v>
      </c>
      <c r="AQ151" s="684"/>
      <c r="AT151" s="283"/>
      <c r="AV151" s="664"/>
      <c r="AW151" s="664"/>
    </row>
    <row r="152" spans="1:51">
      <c r="A152" s="282"/>
      <c r="U152" s="2" t="s">
        <v>837</v>
      </c>
      <c r="AF152" s="2" t="s">
        <v>838</v>
      </c>
      <c r="AT152" s="283"/>
      <c r="AV152" s="664"/>
      <c r="AW152" s="664"/>
    </row>
    <row r="153" spans="1:51">
      <c r="A153" s="725" t="s">
        <v>836</v>
      </c>
      <c r="B153" s="726"/>
      <c r="C153" s="726"/>
      <c r="D153" s="726"/>
      <c r="E153" s="726"/>
      <c r="F153" s="726"/>
      <c r="G153" s="726"/>
      <c r="H153" s="726"/>
      <c r="I153" s="726"/>
      <c r="J153" s="726"/>
      <c r="K153" s="726"/>
      <c r="L153" s="726"/>
      <c r="M153" s="726"/>
      <c r="N153" s="726"/>
      <c r="O153" s="726"/>
      <c r="P153" s="726"/>
      <c r="Q153" s="726"/>
      <c r="R153" s="727"/>
      <c r="S153" s="748" t="s">
        <v>839</v>
      </c>
      <c r="T153" s="748"/>
      <c r="U153" s="748"/>
      <c r="V153" s="748"/>
      <c r="W153" s="748"/>
      <c r="X153" s="748"/>
      <c r="Y153" s="748"/>
      <c r="Z153" s="748"/>
      <c r="AA153" s="748"/>
      <c r="AB153" s="748"/>
      <c r="AC153" s="748"/>
      <c r="AD153" s="748"/>
      <c r="AE153" s="748"/>
      <c r="AF153" s="748"/>
      <c r="AG153" s="748"/>
      <c r="AH153" s="748"/>
      <c r="AI153" s="748"/>
      <c r="AJ153" s="748"/>
      <c r="AK153" s="748"/>
      <c r="AL153" s="748"/>
      <c r="AM153" s="748"/>
      <c r="AN153" s="748"/>
      <c r="AO153" s="748"/>
      <c r="AP153" s="748"/>
      <c r="AQ153" s="748"/>
      <c r="AR153" s="748"/>
      <c r="AT153" s="283"/>
      <c r="AV153" s="664"/>
      <c r="AW153" s="664"/>
    </row>
    <row r="154" spans="1:51">
      <c r="A154" s="282"/>
      <c r="R154" s="740"/>
      <c r="S154" s="740"/>
      <c r="T154" s="740"/>
      <c r="U154" s="740"/>
      <c r="V154" s="740"/>
      <c r="W154" s="740"/>
      <c r="X154" s="740"/>
      <c r="Y154" s="740"/>
      <c r="Z154" s="740"/>
      <c r="AA154" s="740"/>
      <c r="AB154" s="740"/>
      <c r="AC154" s="740"/>
      <c r="AD154" s="740"/>
      <c r="AE154" s="740"/>
      <c r="AF154" s="740"/>
      <c r="AG154" s="740"/>
      <c r="AH154" s="740"/>
      <c r="AI154" s="740"/>
      <c r="AJ154" s="740"/>
      <c r="AK154" s="740"/>
      <c r="AL154" s="740"/>
      <c r="AM154" s="740"/>
      <c r="AN154" s="740"/>
      <c r="AO154" s="740"/>
      <c r="AP154" s="740"/>
      <c r="AQ154" s="740"/>
      <c r="AR154" s="740"/>
      <c r="AS154" s="740"/>
      <c r="AT154" s="283"/>
      <c r="AV154" s="664"/>
      <c r="AW154" s="664"/>
    </row>
    <row r="155" spans="1:51">
      <c r="A155" s="282"/>
      <c r="B155" s="746" t="s">
        <v>579</v>
      </c>
      <c r="C155" s="664"/>
      <c r="F155" s="749" t="s">
        <v>528</v>
      </c>
      <c r="G155" s="664"/>
      <c r="J155" s="746" t="str">
        <f>'[14]Twr Schedule'!B299</f>
        <v>30/5</v>
      </c>
      <c r="K155" s="664"/>
      <c r="N155" s="746" t="str">
        <f>'[14]Twr Schedule'!B301</f>
        <v>30/6</v>
      </c>
      <c r="O155" s="664"/>
      <c r="R155" s="749" t="str">
        <f>'[14]Twr Schedule'!B303</f>
        <v>31/0</v>
      </c>
      <c r="S155" s="664"/>
      <c r="V155" s="749" t="str">
        <f>'[14]Twr Schedule'!B305</f>
        <v>31/1</v>
      </c>
      <c r="W155" s="664"/>
      <c r="Z155" s="749" t="str">
        <f>'[14]Twr Schedule'!B307</f>
        <v>31/2</v>
      </c>
      <c r="AA155" s="664"/>
      <c r="AD155" s="749" t="str">
        <f>'[14]Twr Schedule'!B309</f>
        <v>31/3</v>
      </c>
      <c r="AE155" s="664"/>
      <c r="AH155" s="749" t="str">
        <f>'[14]Twr Schedule'!B311</f>
        <v>31/4</v>
      </c>
      <c r="AI155" s="664"/>
      <c r="AL155" s="749" t="str">
        <f>'[14]Twr Schedule'!B313</f>
        <v>31/5</v>
      </c>
      <c r="AM155" s="664"/>
      <c r="AP155" s="749" t="str">
        <f>'[14]Twr Schedule'!B315</f>
        <v>31/6</v>
      </c>
      <c r="AQ155" s="664"/>
      <c r="AT155" s="283"/>
      <c r="AV155" s="664"/>
      <c r="AW155" s="664"/>
    </row>
    <row r="156" spans="1:51">
      <c r="A156" s="282"/>
      <c r="AT156" s="283"/>
      <c r="AV156" s="664"/>
      <c r="AW156" s="664"/>
    </row>
    <row r="157" spans="1:51">
      <c r="A157" s="282"/>
      <c r="AT157" s="283"/>
      <c r="AV157" s="664"/>
      <c r="AW157" s="664"/>
    </row>
    <row r="158" spans="1:51">
      <c r="A158" s="282"/>
      <c r="B158" s="296" t="s">
        <v>789</v>
      </c>
      <c r="C158" s="296" t="s">
        <v>790</v>
      </c>
      <c r="D158" s="666">
        <f>VLOOKUP(B155,[14]Progress!$B$9:$D$310,3,FALSE)</f>
        <v>410</v>
      </c>
      <c r="E158" s="665"/>
      <c r="F158" s="319" t="s">
        <v>789</v>
      </c>
      <c r="G158" s="296" t="s">
        <v>790</v>
      </c>
      <c r="H158" s="666">
        <f>VLOOKUP(F155,[14]Progress!$B$9:$D$310,3,FALSE)</f>
        <v>424</v>
      </c>
      <c r="I158" s="665"/>
      <c r="J158" s="296" t="s">
        <v>789</v>
      </c>
      <c r="K158" s="296" t="s">
        <v>790</v>
      </c>
      <c r="L158" s="666">
        <f>VLOOKUP(J155,[14]Progress!$B$9:$D$310,3,FALSE)</f>
        <v>373</v>
      </c>
      <c r="M158" s="665"/>
      <c r="N158" s="296" t="s">
        <v>789</v>
      </c>
      <c r="O158" s="296" t="s">
        <v>790</v>
      </c>
      <c r="P158" s="728">
        <f>VLOOKUP(N155,[14]Progress!$B$9:$D$310,3,FALSE)</f>
        <v>365.46100000000001</v>
      </c>
      <c r="Q158" s="729"/>
      <c r="R158" s="314" t="s">
        <v>789</v>
      </c>
      <c r="S158" s="314" t="s">
        <v>790</v>
      </c>
      <c r="T158" s="728">
        <f>VLOOKUP(R155,[14]Progress!$B$9:$D$310,3,FALSE)</f>
        <v>376</v>
      </c>
      <c r="U158" s="729"/>
      <c r="V158" s="314" t="s">
        <v>789</v>
      </c>
      <c r="W158" s="314" t="s">
        <v>790</v>
      </c>
      <c r="X158" s="728">
        <f>VLOOKUP(V155,[14]Progress!$B$9:$D$310,3,FALSE)</f>
        <v>403</v>
      </c>
      <c r="Y158" s="729"/>
      <c r="Z158" s="314" t="s">
        <v>789</v>
      </c>
      <c r="AA158" s="314" t="s">
        <v>790</v>
      </c>
      <c r="AB158" s="728">
        <f>VLOOKUP(Z155,[14]Progress!$B$9:$D$310,3,FALSE)</f>
        <v>399</v>
      </c>
      <c r="AC158" s="729"/>
      <c r="AD158" s="314" t="s">
        <v>789</v>
      </c>
      <c r="AE158" s="314" t="s">
        <v>790</v>
      </c>
      <c r="AF158" s="728">
        <f>VLOOKUP(AD155,[14]Progress!$B$9:$D$310,3,FALSE)</f>
        <v>404</v>
      </c>
      <c r="AG158" s="729"/>
      <c r="AH158" s="314" t="s">
        <v>789</v>
      </c>
      <c r="AI158" s="314" t="s">
        <v>790</v>
      </c>
      <c r="AJ158" s="728">
        <f>VLOOKUP(AH155,[14]Progress!$B$9:$D$310,3,FALSE)</f>
        <v>358</v>
      </c>
      <c r="AK158" s="729"/>
      <c r="AL158" s="314" t="s">
        <v>789</v>
      </c>
      <c r="AM158" s="314" t="s">
        <v>790</v>
      </c>
      <c r="AN158" s="728">
        <f>VLOOKUP(AL155,[14]Progress!$B$9:$D$310,3,FALSE)</f>
        <v>363</v>
      </c>
      <c r="AO158" s="729"/>
      <c r="AP158" s="314" t="s">
        <v>789</v>
      </c>
      <c r="AQ158" s="314" t="s">
        <v>790</v>
      </c>
      <c r="AR158" s="728">
        <f>VLOOKUP(AP155,[14]Progress!$B$9:$D$310,3,FALSE)</f>
        <v>407</v>
      </c>
      <c r="AS158" s="730"/>
      <c r="AT158" s="283"/>
      <c r="AV158" s="664">
        <f>D158+H158+L158+P158+T158+X158+AB158+AF158+AJ158+AN158+AR158</f>
        <v>4282.4610000000002</v>
      </c>
      <c r="AW158" s="664"/>
      <c r="AY158">
        <v>11</v>
      </c>
    </row>
    <row r="159" spans="1:51">
      <c r="A159" s="282"/>
      <c r="B159" s="296" t="s">
        <v>792</v>
      </c>
      <c r="C159" s="296" t="s">
        <v>793</v>
      </c>
      <c r="F159" s="296" t="s">
        <v>792</v>
      </c>
      <c r="G159" s="296" t="s">
        <v>793</v>
      </c>
      <c r="J159" s="296" t="s">
        <v>792</v>
      </c>
      <c r="K159" s="296" t="s">
        <v>793</v>
      </c>
      <c r="N159" s="296" t="s">
        <v>792</v>
      </c>
      <c r="O159" s="296" t="s">
        <v>793</v>
      </c>
      <c r="R159" s="296" t="s">
        <v>792</v>
      </c>
      <c r="S159" s="296" t="s">
        <v>793</v>
      </c>
      <c r="V159" s="296" t="s">
        <v>792</v>
      </c>
      <c r="W159" s="296" t="s">
        <v>793</v>
      </c>
      <c r="Z159" s="296" t="s">
        <v>792</v>
      </c>
      <c r="AA159" s="296" t="s">
        <v>793</v>
      </c>
      <c r="AD159" s="296" t="s">
        <v>792</v>
      </c>
      <c r="AE159" s="296" t="s">
        <v>793</v>
      </c>
      <c r="AH159" s="296" t="s">
        <v>792</v>
      </c>
      <c r="AI159" s="296" t="s">
        <v>793</v>
      </c>
      <c r="AL159" s="296" t="s">
        <v>792</v>
      </c>
      <c r="AM159" s="296" t="s">
        <v>793</v>
      </c>
      <c r="AP159" s="296" t="s">
        <v>792</v>
      </c>
      <c r="AQ159" s="296" t="s">
        <v>793</v>
      </c>
      <c r="AT159" s="283"/>
      <c r="AV159" s="664"/>
      <c r="AW159" s="664"/>
    </row>
    <row r="160" spans="1:51" ht="10.5" customHeight="1">
      <c r="A160" s="282"/>
      <c r="B160" s="700"/>
      <c r="C160" s="700"/>
      <c r="F160" s="700"/>
      <c r="G160" s="700"/>
      <c r="J160" s="700"/>
      <c r="K160" s="700"/>
      <c r="N160" s="700"/>
      <c r="O160" s="700"/>
      <c r="R160" s="700"/>
      <c r="S160" s="700"/>
      <c r="V160" s="700"/>
      <c r="W160" s="700"/>
      <c r="Z160" s="700"/>
      <c r="AA160" s="700"/>
      <c r="AD160" s="700"/>
      <c r="AE160" s="700"/>
      <c r="AH160" s="700"/>
      <c r="AI160" s="700"/>
      <c r="AL160" s="700"/>
      <c r="AM160" s="700"/>
      <c r="AP160" s="700"/>
      <c r="AQ160" s="700"/>
      <c r="AT160" s="283"/>
      <c r="AV160" s="664"/>
      <c r="AW160" s="664"/>
    </row>
    <row r="161" spans="1:51">
      <c r="A161" s="282"/>
      <c r="B161" s="684" t="str">
        <f>VLOOKUP(+B155,'[14]Twr Schedule'!$B$9:$C$611,2,FALSE)</f>
        <v>DA+0</v>
      </c>
      <c r="C161" s="684"/>
      <c r="F161" s="684" t="str">
        <f>VLOOKUP(+F155,'[14]Twr Schedule'!$B$9:$C$611,2,FALSE)</f>
        <v>DA+3</v>
      </c>
      <c r="G161" s="684"/>
      <c r="J161" s="684" t="str">
        <f>VLOOKUP(+J155,'[14]Twr Schedule'!$B$9:$C$611,2,FALSE)</f>
        <v>DA+0</v>
      </c>
      <c r="K161" s="684"/>
      <c r="N161" s="684" t="str">
        <f>VLOOKUP(+N155,'[14]Twr Schedule'!$B$9:$C$611,2,FALSE)</f>
        <v>DA-3</v>
      </c>
      <c r="O161" s="684"/>
      <c r="R161" s="684" t="str">
        <f>VLOOKUP(+R155,'[14]Twr Schedule'!$B$9:$C$611,2,FALSE)</f>
        <v>DB2+0</v>
      </c>
      <c r="S161" s="684"/>
      <c r="V161" s="684" t="str">
        <f>VLOOKUP(+V155,'[14]Twr Schedule'!$B$9:$C$611,2,FALSE)</f>
        <v>DA+0</v>
      </c>
      <c r="W161" s="684"/>
      <c r="Z161" s="684" t="str">
        <f>VLOOKUP(+Z155,'[14]Twr Schedule'!$B$9:$C$611,2,FALSE)</f>
        <v>DA+0</v>
      </c>
      <c r="AA161" s="684"/>
      <c r="AD161" s="684" t="str">
        <f>VLOOKUP(+AD155,'[14]Twr Schedule'!$B$9:$C$611,2,FALSE)</f>
        <v>DA+3</v>
      </c>
      <c r="AE161" s="684"/>
      <c r="AH161" s="684" t="str">
        <f>VLOOKUP(+AH155,'[14]Twr Schedule'!$B$9:$C$611,2,FALSE)</f>
        <v>DA-3</v>
      </c>
      <c r="AI161" s="684"/>
      <c r="AL161" s="684" t="str">
        <f>VLOOKUP(+AL155,'[14]Twr Schedule'!$B$9:$C$611,2,FALSE)</f>
        <v>DA-3</v>
      </c>
      <c r="AM161" s="684"/>
      <c r="AP161" s="684" t="str">
        <f>VLOOKUP(+AP155,'[14]Twr Schedule'!$B$9:$C$611,2,FALSE)</f>
        <v>DA+3</v>
      </c>
      <c r="AQ161" s="684"/>
      <c r="AT161" s="283"/>
      <c r="AV161" s="664"/>
      <c r="AW161" s="664"/>
    </row>
    <row r="162" spans="1:51">
      <c r="A162" s="282"/>
      <c r="AT162" s="283"/>
      <c r="AV162" s="664"/>
      <c r="AW162" s="664"/>
    </row>
    <row r="163" spans="1:51">
      <c r="A163" s="725" t="s">
        <v>839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7"/>
      <c r="W163" s="741" t="s">
        <v>840</v>
      </c>
      <c r="X163" s="742"/>
      <c r="Y163" s="742"/>
      <c r="Z163" s="742"/>
      <c r="AA163" s="742"/>
      <c r="AB163" s="742"/>
      <c r="AC163" s="742"/>
      <c r="AD163" s="742"/>
      <c r="AE163" s="742"/>
      <c r="AF163" s="742"/>
      <c r="AG163" s="742"/>
      <c r="AH163" s="742"/>
      <c r="AI163" s="742"/>
      <c r="AJ163" s="742"/>
      <c r="AK163" s="742"/>
      <c r="AL163" s="742"/>
      <c r="AM163" s="742"/>
      <c r="AN163" s="742"/>
      <c r="AO163" s="742"/>
      <c r="AP163" s="742"/>
      <c r="AQ163" s="742"/>
      <c r="AR163" s="743"/>
      <c r="AT163" s="283"/>
      <c r="AV163" s="664"/>
      <c r="AW163" s="664"/>
    </row>
    <row r="164" spans="1:51">
      <c r="A164" s="282"/>
      <c r="B164" s="740"/>
      <c r="C164" s="740"/>
      <c r="D164" s="740"/>
      <c r="E164" s="740"/>
      <c r="F164" s="740"/>
      <c r="G164" s="740"/>
      <c r="H164" s="740"/>
      <c r="I164" s="740"/>
      <c r="J164" s="740"/>
      <c r="K164" s="740"/>
      <c r="L164" s="740"/>
      <c r="M164" s="740"/>
      <c r="N164" s="740"/>
      <c r="O164" s="740"/>
      <c r="P164" s="740"/>
      <c r="Q164" s="740"/>
      <c r="R164" s="740"/>
      <c r="S164" s="740"/>
      <c r="V164" s="740"/>
      <c r="W164" s="740"/>
      <c r="X164" s="740"/>
      <c r="Y164" s="740"/>
      <c r="Z164" s="740"/>
      <c r="AA164" s="740"/>
      <c r="AB164" s="740"/>
      <c r="AC164" s="740"/>
      <c r="AD164" s="740"/>
      <c r="AE164" s="740"/>
      <c r="AF164" s="740"/>
      <c r="AG164" s="740"/>
      <c r="AH164" s="740"/>
      <c r="AI164" s="740"/>
      <c r="AJ164" s="740"/>
      <c r="AK164" s="740"/>
      <c r="AL164" s="740"/>
      <c r="AM164" s="740"/>
      <c r="AN164" s="740"/>
      <c r="AO164" s="740"/>
      <c r="AP164" s="740"/>
      <c r="AQ164" s="740"/>
      <c r="AR164" s="740"/>
      <c r="AS164" s="740"/>
      <c r="AT164" s="283"/>
      <c r="AV164" s="664"/>
      <c r="AW164" s="664"/>
    </row>
    <row r="165" spans="1:51">
      <c r="A165" s="282"/>
      <c r="B165" s="664" t="str">
        <f>'[14]Twr Schedule'!B317</f>
        <v>31/7</v>
      </c>
      <c r="C165" s="664"/>
      <c r="F165" s="664" t="str">
        <f>'[14]Twr Schedule'!B319</f>
        <v>31/8</v>
      </c>
      <c r="G165" s="664"/>
      <c r="J165" s="664" t="str">
        <f>'[14]Twr Schedule'!B321</f>
        <v>31/9</v>
      </c>
      <c r="K165" s="664"/>
      <c r="N165" s="664" t="str">
        <f>'[14]Twr Schedule'!B323</f>
        <v>31/10</v>
      </c>
      <c r="O165" s="664"/>
      <c r="R165" s="664" t="str">
        <f>'[14]Twr Schedule'!B325</f>
        <v>32/0</v>
      </c>
      <c r="S165" s="664"/>
      <c r="V165" s="664" t="str">
        <f>'[14]Twr Schedule'!B327</f>
        <v>33/0</v>
      </c>
      <c r="W165" s="664"/>
      <c r="Z165" s="664" t="str">
        <f>'[14]Twr Schedule'!B329</f>
        <v>33/1</v>
      </c>
      <c r="AA165" s="664"/>
      <c r="AD165" s="664" t="str">
        <f>'[14]Twr Schedule'!B331</f>
        <v>33/2</v>
      </c>
      <c r="AE165" s="664"/>
      <c r="AH165" s="664" t="str">
        <f>'[14]Twr Schedule'!B333</f>
        <v>33/3</v>
      </c>
      <c r="AI165" s="664"/>
      <c r="AL165" s="664" t="str">
        <f>'[14]Twr Schedule'!B335</f>
        <v>33/4</v>
      </c>
      <c r="AM165" s="664"/>
      <c r="AP165" s="664" t="str">
        <f>'[14]Twr Schedule'!B337</f>
        <v>33/5</v>
      </c>
      <c r="AQ165" s="664"/>
      <c r="AT165" s="283"/>
      <c r="AV165" s="664"/>
      <c r="AW165" s="664"/>
    </row>
    <row r="166" spans="1:51">
      <c r="A166" s="282"/>
      <c r="AT166" s="283"/>
      <c r="AV166" s="664"/>
      <c r="AW166" s="664"/>
    </row>
    <row r="167" spans="1:51">
      <c r="A167" s="282"/>
      <c r="AT167" s="283"/>
      <c r="AV167" s="664"/>
      <c r="AW167" s="664"/>
    </row>
    <row r="168" spans="1:51">
      <c r="A168" s="282"/>
      <c r="B168" s="296" t="s">
        <v>789</v>
      </c>
      <c r="C168" s="296" t="s">
        <v>790</v>
      </c>
      <c r="D168" s="666">
        <f>VLOOKUP(B165,[14]Progress!$B$9:$D$310,3,FALSE)</f>
        <v>384</v>
      </c>
      <c r="E168" s="665"/>
      <c r="F168" s="296" t="s">
        <v>789</v>
      </c>
      <c r="G168" s="296" t="s">
        <v>790</v>
      </c>
      <c r="H168" s="666">
        <f>VLOOKUP(F165,[14]Progress!$B$9:$D$310,3,FALSE)</f>
        <v>386</v>
      </c>
      <c r="I168" s="665"/>
      <c r="J168" s="296" t="s">
        <v>789</v>
      </c>
      <c r="K168" s="296" t="s">
        <v>790</v>
      </c>
      <c r="L168" s="666">
        <f>VLOOKUP(J165,[14]Progress!$B$9:$D$310,3,FALSE)</f>
        <v>394</v>
      </c>
      <c r="M168" s="665"/>
      <c r="N168" s="296" t="s">
        <v>789</v>
      </c>
      <c r="O168" s="296" t="s">
        <v>790</v>
      </c>
      <c r="P168" s="728">
        <f>VLOOKUP(N165,[14]Progress!$B$9:$D$310,3,FALSE)</f>
        <v>409.666</v>
      </c>
      <c r="Q168" s="729"/>
      <c r="R168" s="314" t="s">
        <v>789</v>
      </c>
      <c r="S168" s="314" t="s">
        <v>790</v>
      </c>
      <c r="T168" s="728">
        <f>VLOOKUP(R165,[14]Progress!$B$9:$D$310,3,FALSE)</f>
        <v>407.17</v>
      </c>
      <c r="U168" s="729"/>
      <c r="V168" s="314" t="s">
        <v>789</v>
      </c>
      <c r="W168" s="314" t="s">
        <v>790</v>
      </c>
      <c r="X168" s="728">
        <f>VLOOKUP(V165,[14]Progress!$B$9:$D$310,3,FALSE)</f>
        <v>365</v>
      </c>
      <c r="Y168" s="729"/>
      <c r="Z168" s="314" t="s">
        <v>789</v>
      </c>
      <c r="AA168" s="314" t="s">
        <v>790</v>
      </c>
      <c r="AB168" s="728">
        <f>VLOOKUP(Z165,[14]Progress!$B$9:$D$310,3,FALSE)</f>
        <v>365</v>
      </c>
      <c r="AC168" s="729"/>
      <c r="AD168" s="314" t="s">
        <v>789</v>
      </c>
      <c r="AE168" s="314" t="s">
        <v>790</v>
      </c>
      <c r="AF168" s="728">
        <f>VLOOKUP(AD165,[14]Progress!$B$9:$D$310,3,FALSE)</f>
        <v>406</v>
      </c>
      <c r="AG168" s="729"/>
      <c r="AH168" s="314" t="s">
        <v>789</v>
      </c>
      <c r="AI168" s="314" t="s">
        <v>790</v>
      </c>
      <c r="AJ168" s="728">
        <f>VLOOKUP(AH165,[14]Progress!$B$9:$D$310,3,FALSE)</f>
        <v>389</v>
      </c>
      <c r="AK168" s="729"/>
      <c r="AL168" s="314" t="s">
        <v>789</v>
      </c>
      <c r="AM168" s="314" t="s">
        <v>790</v>
      </c>
      <c r="AN168" s="728">
        <f>VLOOKUP(AL165,[14]Progress!$B$9:$D$310,3,FALSE)</f>
        <v>395</v>
      </c>
      <c r="AO168" s="729"/>
      <c r="AP168" s="314" t="s">
        <v>789</v>
      </c>
      <c r="AQ168" s="314" t="s">
        <v>790</v>
      </c>
      <c r="AR168" s="728">
        <f>VLOOKUP(AP165,[14]Progress!$B$9:$D$310,3,FALSE)</f>
        <v>430</v>
      </c>
      <c r="AS168" s="730"/>
      <c r="AT168" s="283"/>
      <c r="AV168" s="664">
        <f>D168+H168+L168+P168+T168+X168+AB168+AF168+AJ168+AN168+AR168</f>
        <v>4330.8360000000002</v>
      </c>
      <c r="AW168" s="664"/>
      <c r="AY168">
        <v>11</v>
      </c>
    </row>
    <row r="169" spans="1:51">
      <c r="A169" s="282"/>
      <c r="B169" s="296" t="s">
        <v>792</v>
      </c>
      <c r="C169" s="296" t="s">
        <v>793</v>
      </c>
      <c r="F169" s="296" t="s">
        <v>792</v>
      </c>
      <c r="G169" s="296" t="s">
        <v>793</v>
      </c>
      <c r="J169" s="296" t="s">
        <v>792</v>
      </c>
      <c r="K169" s="296" t="s">
        <v>793</v>
      </c>
      <c r="N169" s="296" t="s">
        <v>792</v>
      </c>
      <c r="O169" s="296" t="s">
        <v>793</v>
      </c>
      <c r="R169" s="296" t="s">
        <v>792</v>
      </c>
      <c r="S169" s="296" t="s">
        <v>793</v>
      </c>
      <c r="V169" s="296" t="s">
        <v>792</v>
      </c>
      <c r="W169" s="296" t="s">
        <v>793</v>
      </c>
      <c r="Z169" s="296" t="s">
        <v>792</v>
      </c>
      <c r="AA169" s="296" t="s">
        <v>793</v>
      </c>
      <c r="AD169" s="296" t="s">
        <v>792</v>
      </c>
      <c r="AE169" s="296" t="s">
        <v>793</v>
      </c>
      <c r="AH169" s="296" t="s">
        <v>792</v>
      </c>
      <c r="AI169" s="296" t="s">
        <v>793</v>
      </c>
      <c r="AL169" s="296" t="s">
        <v>792</v>
      </c>
      <c r="AM169" s="296" t="s">
        <v>793</v>
      </c>
      <c r="AP169" s="296" t="s">
        <v>792</v>
      </c>
      <c r="AQ169" s="296" t="s">
        <v>793</v>
      </c>
      <c r="AT169" s="283"/>
      <c r="AV169" s="664"/>
      <c r="AW169" s="664"/>
    </row>
    <row r="170" spans="1:51" ht="10.5" customHeight="1">
      <c r="A170" s="282"/>
      <c r="B170" s="700"/>
      <c r="C170" s="700"/>
      <c r="F170" s="700"/>
      <c r="G170" s="700"/>
      <c r="J170" s="700"/>
      <c r="K170" s="700"/>
      <c r="N170" s="700"/>
      <c r="O170" s="700"/>
      <c r="R170" s="700"/>
      <c r="S170" s="700"/>
      <c r="V170" s="700"/>
      <c r="W170" s="700"/>
      <c r="Z170" s="700"/>
      <c r="AA170" s="700"/>
      <c r="AD170" s="700"/>
      <c r="AE170" s="700"/>
      <c r="AH170" s="700"/>
      <c r="AI170" s="700"/>
      <c r="AL170" s="700"/>
      <c r="AM170" s="700"/>
      <c r="AP170" s="700"/>
      <c r="AQ170" s="700"/>
      <c r="AT170" s="283"/>
      <c r="AV170" s="664"/>
      <c r="AW170" s="664"/>
    </row>
    <row r="171" spans="1:51">
      <c r="A171" s="282"/>
      <c r="B171" s="684" t="str">
        <f>VLOOKUP(+B165,'[14]Twr Schedule'!$B$9:$C$611,2,FALSE)</f>
        <v>DA+0</v>
      </c>
      <c r="C171" s="684"/>
      <c r="F171" s="684" t="str">
        <f>VLOOKUP(+F165,'[14]Twr Schedule'!$B$9:$C$611,2,FALSE)</f>
        <v>DA-3</v>
      </c>
      <c r="G171" s="684"/>
      <c r="J171" s="684" t="str">
        <f>VLOOKUP(+J165,'[14]Twr Schedule'!$B$9:$C$611,2,FALSE)</f>
        <v>DA+3</v>
      </c>
      <c r="K171" s="684"/>
      <c r="N171" s="684" t="str">
        <f>VLOOKUP(+N165,'[14]Twr Schedule'!$B$9:$C$611,2,FALSE)</f>
        <v>DA-3</v>
      </c>
      <c r="O171" s="684"/>
      <c r="R171" s="684" t="str">
        <f>VLOOKUP(+R165,'[14]Twr Schedule'!$B$9:$C$611,2,FALSE)</f>
        <v>DC1+6</v>
      </c>
      <c r="S171" s="684"/>
      <c r="V171" s="684" t="str">
        <f>VLOOKUP(+V165,'[14]Twr Schedule'!$B$9:$C$611,2,FALSE)</f>
        <v>DC2+6</v>
      </c>
      <c r="W171" s="684"/>
      <c r="Z171" s="684" t="str">
        <f>VLOOKUP(+Z165,'[14]Twr Schedule'!$B$9:$C$611,2,FALSE)</f>
        <v>DA-3</v>
      </c>
      <c r="AA171" s="684"/>
      <c r="AD171" s="684" t="str">
        <f>VLOOKUP(+AD165,'[14]Twr Schedule'!$B$9:$C$611,2,FALSE)</f>
        <v>DA-3</v>
      </c>
      <c r="AE171" s="684"/>
      <c r="AH171" s="684" t="str">
        <f>VLOOKUP(+AH165,'[14]Twr Schedule'!$B$9:$C$611,2,FALSE)</f>
        <v>DA+3</v>
      </c>
      <c r="AI171" s="684"/>
      <c r="AL171" s="684" t="str">
        <f>VLOOKUP(+AL165,'[14]Twr Schedule'!$B$9:$C$611,2,FALSE)</f>
        <v>DA-3</v>
      </c>
      <c r="AM171" s="684"/>
      <c r="AP171" s="684" t="str">
        <f>VLOOKUP(+AP165,'[14]Twr Schedule'!$B$9:$C$611,2,FALSE)</f>
        <v>DA+3</v>
      </c>
      <c r="AQ171" s="684"/>
      <c r="AT171" s="283"/>
      <c r="AV171" s="664"/>
      <c r="AW171" s="664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64"/>
      <c r="AW172" s="664"/>
    </row>
    <row r="173" spans="1:51">
      <c r="A173" s="747" t="s">
        <v>840</v>
      </c>
      <c r="B173" s="747"/>
      <c r="C173" s="747"/>
      <c r="D173" s="747"/>
      <c r="E173" s="747"/>
      <c r="F173" s="747"/>
      <c r="G173" s="747"/>
      <c r="H173" s="747"/>
      <c r="I173" s="747"/>
      <c r="J173" s="747"/>
      <c r="K173" s="747"/>
      <c r="L173" s="747"/>
      <c r="M173" s="747"/>
      <c r="N173" s="747"/>
      <c r="O173" s="747"/>
      <c r="P173" s="747"/>
      <c r="Q173" s="747"/>
      <c r="R173" s="747"/>
      <c r="S173" s="747"/>
      <c r="T173" s="747"/>
      <c r="U173" s="747"/>
      <c r="V173" s="747"/>
      <c r="W173" s="747"/>
      <c r="X173" s="747"/>
      <c r="Y173" s="747"/>
      <c r="Z173" s="747"/>
      <c r="AA173" s="748" t="s">
        <v>841</v>
      </c>
      <c r="AB173" s="748"/>
      <c r="AC173" s="748"/>
      <c r="AD173" s="748"/>
      <c r="AE173" s="748"/>
      <c r="AF173" s="748"/>
      <c r="AG173" s="748"/>
      <c r="AH173" s="748"/>
      <c r="AI173" s="748"/>
      <c r="AJ173" s="748"/>
      <c r="AK173" s="748"/>
      <c r="AL173" s="748"/>
      <c r="AM173" s="748"/>
      <c r="AN173" s="748"/>
      <c r="AO173" s="748"/>
      <c r="AP173" s="748"/>
      <c r="AQ173" s="748"/>
      <c r="AR173" s="748"/>
      <c r="AT173" s="283"/>
      <c r="AV173" s="664"/>
      <c r="AW173" s="664"/>
    </row>
    <row r="174" spans="1:51">
      <c r="A174" s="282"/>
      <c r="B174" s="740"/>
      <c r="C174" s="740"/>
      <c r="D174" s="740"/>
      <c r="E174" s="740"/>
      <c r="F174" s="740"/>
      <c r="G174" s="740"/>
      <c r="H174" s="740"/>
      <c r="I174" s="740"/>
      <c r="J174" s="740"/>
      <c r="K174" s="740"/>
      <c r="L174" s="740"/>
      <c r="M174" s="740"/>
      <c r="N174" s="740"/>
      <c r="O174" s="740"/>
      <c r="P174" s="740"/>
      <c r="Q174" s="740"/>
      <c r="R174" s="740"/>
      <c r="S174" s="740"/>
      <c r="T174" s="740"/>
      <c r="U174" s="740"/>
      <c r="V174" s="740"/>
      <c r="W174" s="740"/>
      <c r="X174" s="740"/>
      <c r="Y174" s="740"/>
      <c r="Z174" s="740"/>
      <c r="AA174" s="740"/>
      <c r="AT174" s="283"/>
      <c r="AV174" s="664"/>
      <c r="AW174" s="664"/>
    </row>
    <row r="175" spans="1:51">
      <c r="A175" s="282"/>
      <c r="B175" s="664" t="str">
        <f>'[14]Twr Schedule'!B339</f>
        <v>33/6</v>
      </c>
      <c r="C175" s="664"/>
      <c r="F175" s="664" t="str">
        <f>'[14]Twr Schedule'!B341</f>
        <v>33/7</v>
      </c>
      <c r="G175" s="664"/>
      <c r="J175" s="664" t="str">
        <f>'[14]Twr Schedule'!B343</f>
        <v>33/8</v>
      </c>
      <c r="K175" s="664"/>
      <c r="N175" s="664" t="str">
        <f>'[14]Twr Schedule'!B345</f>
        <v>33/9</v>
      </c>
      <c r="O175" s="664"/>
      <c r="R175" s="664" t="str">
        <f>'[14]Twr Schedule'!B347</f>
        <v>33/10</v>
      </c>
      <c r="S175" s="664"/>
      <c r="V175" s="664" t="str">
        <f>'[14]Twr Schedule'!B349</f>
        <v>33/11</v>
      </c>
      <c r="W175" s="664"/>
      <c r="Z175" s="664" t="str">
        <f>'[14]Twr Schedule'!B351</f>
        <v>34/0</v>
      </c>
      <c r="AA175" s="664"/>
      <c r="AD175" s="664" t="str">
        <f>'[14]Twr Schedule'!B353</f>
        <v>34/1</v>
      </c>
      <c r="AE175" s="664"/>
      <c r="AH175" s="664" t="str">
        <f>'[14]Twr Schedule'!B355</f>
        <v>34/2</v>
      </c>
      <c r="AI175" s="664"/>
      <c r="AL175" s="664" t="str">
        <f>'[14]Twr Schedule'!B357</f>
        <v>34/3</v>
      </c>
      <c r="AM175" s="664"/>
      <c r="AP175" s="664" t="str">
        <f>'[14]Twr Schedule'!B359</f>
        <v>34/4</v>
      </c>
      <c r="AQ175" s="664"/>
      <c r="AT175" s="283"/>
      <c r="AV175" s="664"/>
      <c r="AW175" s="664"/>
    </row>
    <row r="176" spans="1:51">
      <c r="A176" s="282"/>
      <c r="AT176" s="283"/>
      <c r="AV176" s="664"/>
      <c r="AW176" s="664"/>
    </row>
    <row r="177" spans="1:51">
      <c r="A177" s="282"/>
      <c r="AT177" s="283"/>
      <c r="AV177" s="664"/>
      <c r="AW177" s="664"/>
    </row>
    <row r="178" spans="1:51">
      <c r="A178" s="282"/>
      <c r="B178" s="296" t="s">
        <v>789</v>
      </c>
      <c r="C178" s="296" t="s">
        <v>790</v>
      </c>
      <c r="D178" s="666">
        <f>VLOOKUP(B175,[14]Progress!$B$9:$D$310,3,FALSE)</f>
        <v>394</v>
      </c>
      <c r="E178" s="665"/>
      <c r="F178" s="296" t="s">
        <v>789</v>
      </c>
      <c r="G178" s="296" t="s">
        <v>790</v>
      </c>
      <c r="H178" s="728">
        <f>VLOOKUP(F175,[14]Progress!$B$9:$D$310,3,FALSE)</f>
        <v>439.95</v>
      </c>
      <c r="I178" s="729"/>
      <c r="J178" s="314" t="s">
        <v>789</v>
      </c>
      <c r="K178" s="314" t="s">
        <v>790</v>
      </c>
      <c r="L178" s="728">
        <f>VLOOKUP(J175,[14]Progress!$B$9:$D$310,3,FALSE)</f>
        <v>355.05</v>
      </c>
      <c r="M178" s="729"/>
      <c r="N178" s="314" t="s">
        <v>789</v>
      </c>
      <c r="O178" s="314" t="s">
        <v>790</v>
      </c>
      <c r="P178" s="728">
        <f>VLOOKUP(N175,[14]Progress!$B$9:$D$310,3,FALSE)</f>
        <v>410</v>
      </c>
      <c r="Q178" s="729"/>
      <c r="R178" s="314" t="s">
        <v>789</v>
      </c>
      <c r="S178" s="314" t="s">
        <v>790</v>
      </c>
      <c r="T178" s="728">
        <f>VLOOKUP(R175,[14]Progress!$B$9:$D$310,3,FALSE)</f>
        <v>410</v>
      </c>
      <c r="U178" s="729"/>
      <c r="V178" s="314" t="s">
        <v>789</v>
      </c>
      <c r="W178" s="314" t="s">
        <v>790</v>
      </c>
      <c r="X178" s="728">
        <f>VLOOKUP(V175,[14]Progress!$B$9:$D$310,3,FALSE)</f>
        <v>421.49599999999998</v>
      </c>
      <c r="Y178" s="729"/>
      <c r="Z178" s="314" t="s">
        <v>789</v>
      </c>
      <c r="AA178" s="314" t="s">
        <v>790</v>
      </c>
      <c r="AB178" s="728">
        <f>VLOOKUP(Z175,[14]Progress!$B$9:$D$310,3,FALSE)</f>
        <v>418</v>
      </c>
      <c r="AC178" s="729"/>
      <c r="AD178" s="314" t="s">
        <v>789</v>
      </c>
      <c r="AE178" s="314" t="s">
        <v>790</v>
      </c>
      <c r="AF178" s="728">
        <f>VLOOKUP(AD175,[14]Progress!$B$9:$D$310,3,FALSE)</f>
        <v>378</v>
      </c>
      <c r="AG178" s="729"/>
      <c r="AH178" s="314" t="s">
        <v>789</v>
      </c>
      <c r="AI178" s="314" t="s">
        <v>790</v>
      </c>
      <c r="AJ178" s="728">
        <f>VLOOKUP(AH175,[14]Progress!$B$9:$D$310,3,FALSE)</f>
        <v>417</v>
      </c>
      <c r="AK178" s="729"/>
      <c r="AL178" s="314" t="s">
        <v>789</v>
      </c>
      <c r="AM178" s="314" t="s">
        <v>790</v>
      </c>
      <c r="AN178" s="728">
        <f>VLOOKUP(AL175,[14]Progress!$B$9:$D$310,3,FALSE)</f>
        <v>395</v>
      </c>
      <c r="AO178" s="729"/>
      <c r="AP178" s="314" t="s">
        <v>789</v>
      </c>
      <c r="AQ178" s="314" t="s">
        <v>790</v>
      </c>
      <c r="AR178" s="728">
        <f>VLOOKUP(AP175,[14]Progress!$B$9:$D$310,3,FALSE)</f>
        <v>364</v>
      </c>
      <c r="AS178" s="730"/>
      <c r="AT178" s="283"/>
      <c r="AV178" s="664">
        <f>D178+H178+L178+P178+T178+X178+AB178+AF178+AJ178+AN178+AR178</f>
        <v>4402.4960000000001</v>
      </c>
      <c r="AW178" s="664"/>
      <c r="AY178">
        <v>11</v>
      </c>
    </row>
    <row r="179" spans="1:51">
      <c r="A179" s="282"/>
      <c r="B179" s="296" t="s">
        <v>792</v>
      </c>
      <c r="C179" s="296" t="s">
        <v>793</v>
      </c>
      <c r="F179" s="296" t="s">
        <v>792</v>
      </c>
      <c r="G179" s="296" t="s">
        <v>793</v>
      </c>
      <c r="J179" s="296" t="s">
        <v>792</v>
      </c>
      <c r="K179" s="296" t="s">
        <v>793</v>
      </c>
      <c r="N179" s="296" t="s">
        <v>792</v>
      </c>
      <c r="O179" s="296" t="s">
        <v>793</v>
      </c>
      <c r="R179" s="296" t="s">
        <v>792</v>
      </c>
      <c r="S179" s="296" t="s">
        <v>793</v>
      </c>
      <c r="V179" s="296" t="s">
        <v>792</v>
      </c>
      <c r="W179" s="296" t="s">
        <v>793</v>
      </c>
      <c r="Z179" s="296" t="s">
        <v>792</v>
      </c>
      <c r="AA179" s="296" t="s">
        <v>793</v>
      </c>
      <c r="AD179" s="296" t="s">
        <v>792</v>
      </c>
      <c r="AE179" s="296" t="s">
        <v>793</v>
      </c>
      <c r="AH179" s="296" t="s">
        <v>792</v>
      </c>
      <c r="AI179" s="296" t="s">
        <v>793</v>
      </c>
      <c r="AL179" s="296" t="s">
        <v>792</v>
      </c>
      <c r="AM179" s="296" t="s">
        <v>793</v>
      </c>
      <c r="AP179" s="296" t="s">
        <v>792</v>
      </c>
      <c r="AQ179" s="296" t="s">
        <v>793</v>
      </c>
      <c r="AT179" s="283"/>
      <c r="AV179" s="664"/>
      <c r="AW179" s="664"/>
    </row>
    <row r="180" spans="1:51" ht="10.5" customHeight="1">
      <c r="A180" s="282"/>
      <c r="B180" s="700"/>
      <c r="C180" s="700"/>
      <c r="F180" s="700"/>
      <c r="G180" s="700"/>
      <c r="J180" s="700"/>
      <c r="K180" s="700"/>
      <c r="N180" s="700"/>
      <c r="O180" s="700"/>
      <c r="R180" s="700"/>
      <c r="S180" s="700"/>
      <c r="V180" s="700"/>
      <c r="W180" s="700"/>
      <c r="Z180" s="700"/>
      <c r="AA180" s="700"/>
      <c r="AD180" s="700"/>
      <c r="AE180" s="700"/>
      <c r="AH180" s="700"/>
      <c r="AI180" s="700"/>
      <c r="AL180" s="700"/>
      <c r="AM180" s="700"/>
      <c r="AP180" s="700"/>
      <c r="AQ180" s="700"/>
      <c r="AT180" s="283"/>
      <c r="AV180" s="664"/>
      <c r="AW180" s="664"/>
    </row>
    <row r="181" spans="1:51">
      <c r="A181" s="282"/>
      <c r="B181" s="684" t="str">
        <f>VLOOKUP(+B175,'[14]Twr Schedule'!$B$9:$C$611,2,FALSE)</f>
        <v>DA+3</v>
      </c>
      <c r="C181" s="684"/>
      <c r="F181" s="684" t="str">
        <f>VLOOKUP(+F175,'[14]Twr Schedule'!$B$9:$C$611,2,FALSE)</f>
        <v>DA+3</v>
      </c>
      <c r="G181" s="684"/>
      <c r="J181" s="684" t="str">
        <f>VLOOKUP(+J175,'[14]Twr Schedule'!$B$9:$C$611,2,FALSE)</f>
        <v>DA+3</v>
      </c>
      <c r="K181" s="684"/>
      <c r="N181" s="684" t="str">
        <f>VLOOKUP(+N175,'[14]Twr Schedule'!$B$9:$C$611,2,FALSE)</f>
        <v>DA+0</v>
      </c>
      <c r="O181" s="684"/>
      <c r="R181" s="684" t="str">
        <f>VLOOKUP(+R175,'[14]Twr Schedule'!$B$9:$C$611,2,FALSE)</f>
        <v>DA+3</v>
      </c>
      <c r="S181" s="684"/>
      <c r="V181" s="684" t="str">
        <f>VLOOKUP(+V175,'[14]Twr Schedule'!$B$9:$C$611,2,FALSE)</f>
        <v>DA+3</v>
      </c>
      <c r="W181" s="684"/>
      <c r="Z181" s="684" t="str">
        <f>VLOOKUP(+Z175,'[14]Twr Schedule'!$B$9:$C$611,2,FALSE)</f>
        <v>DB1+0</v>
      </c>
      <c r="AA181" s="684"/>
      <c r="AD181" s="684" t="str">
        <f>VLOOKUP(+AD175,'[14]Twr Schedule'!$B$9:$C$611,2,FALSE)</f>
        <v>DA+3</v>
      </c>
      <c r="AE181" s="684"/>
      <c r="AH181" s="684" t="str">
        <f>VLOOKUP(+AH175,'[14]Twr Schedule'!$B$9:$C$611,2,FALSE)</f>
        <v>DA+3</v>
      </c>
      <c r="AI181" s="684"/>
      <c r="AL181" s="684" t="str">
        <f>VLOOKUP(+AL175,'[14]Twr Schedule'!$B$9:$C$611,2,FALSE)</f>
        <v>DA+3</v>
      </c>
      <c r="AM181" s="684"/>
      <c r="AP181" s="684" t="str">
        <f>VLOOKUP(+AP175,'[14]Twr Schedule'!$B$9:$C$611,2,FALSE)</f>
        <v>DA-3</v>
      </c>
      <c r="AQ181" s="684"/>
      <c r="AT181" s="283"/>
      <c r="AV181" s="664"/>
      <c r="AW181" s="664"/>
    </row>
    <row r="182" spans="1:51">
      <c r="A182" s="282"/>
      <c r="AT182" s="283"/>
      <c r="AV182" s="664"/>
      <c r="AW182" s="664"/>
    </row>
    <row r="183" spans="1:51">
      <c r="A183" s="748" t="s">
        <v>841</v>
      </c>
      <c r="B183" s="748"/>
      <c r="C183" s="748"/>
      <c r="D183" s="748"/>
      <c r="E183" s="748"/>
      <c r="F183" s="748"/>
      <c r="G183" s="748"/>
      <c r="H183" s="748"/>
      <c r="I183" s="748"/>
      <c r="J183" s="748"/>
      <c r="K183" s="748"/>
      <c r="L183" s="748"/>
      <c r="M183" s="748"/>
      <c r="N183" s="748"/>
      <c r="O183" s="725" t="s">
        <v>842</v>
      </c>
      <c r="P183" s="726"/>
      <c r="Q183" s="726"/>
      <c r="R183" s="726"/>
      <c r="S183" s="726"/>
      <c r="T183" s="726"/>
      <c r="U183" s="726"/>
      <c r="V183" s="726"/>
      <c r="W183" s="726"/>
      <c r="X183" s="726"/>
      <c r="Y183" s="726"/>
      <c r="Z183" s="726"/>
      <c r="AA183" s="726"/>
      <c r="AB183" s="726"/>
      <c r="AC183" s="726"/>
      <c r="AD183" s="726"/>
      <c r="AE183" s="726"/>
      <c r="AF183" s="726"/>
      <c r="AG183" s="726"/>
      <c r="AH183" s="726"/>
      <c r="AI183" s="726"/>
      <c r="AJ183" s="726"/>
      <c r="AK183" s="726"/>
      <c r="AL183" s="726"/>
      <c r="AM183" s="726"/>
      <c r="AN183" s="726"/>
      <c r="AO183" s="726"/>
      <c r="AP183" s="726"/>
      <c r="AQ183" s="726"/>
      <c r="AR183" s="727"/>
      <c r="AT183" s="283"/>
      <c r="AV183" s="664"/>
      <c r="AW183" s="664"/>
    </row>
    <row r="184" spans="1:51">
      <c r="A184" s="282"/>
      <c r="AT184" s="283"/>
      <c r="AV184" s="664"/>
      <c r="AW184" s="664"/>
    </row>
    <row r="185" spans="1:51">
      <c r="A185" s="282"/>
      <c r="B185" s="664" t="str">
        <f>'[14]Twr Schedule'!B361</f>
        <v>34/5</v>
      </c>
      <c r="C185" s="664"/>
      <c r="F185" s="664" t="str">
        <f>'[14]Twr Schedule'!B363</f>
        <v>34/6</v>
      </c>
      <c r="G185" s="664"/>
      <c r="J185" s="664" t="str">
        <f>'[14]Twr Schedule'!B365</f>
        <v>34/7</v>
      </c>
      <c r="K185" s="664"/>
      <c r="N185" s="664" t="str">
        <f>'[14]Twr Schedule'!B367</f>
        <v>35/0</v>
      </c>
      <c r="O185" s="664"/>
      <c r="R185" s="664" t="str">
        <f>'[14]Twr Schedule'!B369</f>
        <v>35/1</v>
      </c>
      <c r="S185" s="664"/>
      <c r="V185" s="664" t="str">
        <f>'[14]Twr Schedule'!B371</f>
        <v>35/2</v>
      </c>
      <c r="W185" s="664"/>
      <c r="Z185" s="664" t="str">
        <f>'[14]Twr Schedule'!B373</f>
        <v>35/3</v>
      </c>
      <c r="AA185" s="664"/>
      <c r="AD185" s="664" t="str">
        <f>'[14]Twr Schedule'!B375</f>
        <v>35/4</v>
      </c>
      <c r="AE185" s="664"/>
      <c r="AH185" s="664" t="str">
        <f>'[14]Twr Schedule'!B377</f>
        <v>35/5</v>
      </c>
      <c r="AI185" s="664"/>
      <c r="AL185" s="664" t="str">
        <f>'[14]Twr Schedule'!B379</f>
        <v>35/6</v>
      </c>
      <c r="AM185" s="664"/>
      <c r="AP185" s="664" t="str">
        <f>'[14]Twr Schedule'!B381</f>
        <v>35/7</v>
      </c>
      <c r="AQ185" s="664"/>
      <c r="AT185" s="283"/>
      <c r="AV185" s="664"/>
      <c r="AW185" s="664"/>
    </row>
    <row r="186" spans="1:51">
      <c r="A186" s="282"/>
      <c r="AT186" s="283"/>
      <c r="AV186" s="664"/>
      <c r="AW186" s="664"/>
    </row>
    <row r="187" spans="1:51">
      <c r="A187" s="282"/>
      <c r="AT187" s="283"/>
      <c r="AV187" s="664"/>
      <c r="AW187" s="664"/>
    </row>
    <row r="188" spans="1:51">
      <c r="A188" s="282"/>
      <c r="B188" s="296" t="s">
        <v>789</v>
      </c>
      <c r="C188" s="296" t="s">
        <v>790</v>
      </c>
      <c r="D188" s="666">
        <f>VLOOKUP(B185,[14]Progress!$B$9:$D$310,3,FALSE)</f>
        <v>397</v>
      </c>
      <c r="E188" s="665"/>
      <c r="F188" s="296" t="s">
        <v>789</v>
      </c>
      <c r="G188" s="296" t="s">
        <v>790</v>
      </c>
      <c r="H188" s="666">
        <f>VLOOKUP(F185,[14]Progress!$B$9:$D$310,3,FALSE)</f>
        <v>419</v>
      </c>
      <c r="I188" s="665"/>
      <c r="J188" s="296" t="s">
        <v>789</v>
      </c>
      <c r="K188" s="296" t="s">
        <v>790</v>
      </c>
      <c r="L188" s="728">
        <f>VLOOKUP(J185,[14]Progress!$B$9:$D$310,3,FALSE)</f>
        <v>405.22800000000001</v>
      </c>
      <c r="M188" s="729"/>
      <c r="N188" s="296" t="s">
        <v>789</v>
      </c>
      <c r="O188" s="296" t="s">
        <v>790</v>
      </c>
      <c r="P188" s="666">
        <f>VLOOKUP(N185,[14]Progress!$B$9:$D$310,3,FALSE)</f>
        <v>383</v>
      </c>
      <c r="Q188" s="665"/>
      <c r="R188" s="296" t="s">
        <v>789</v>
      </c>
      <c r="S188" s="296" t="s">
        <v>790</v>
      </c>
      <c r="T188" s="666">
        <f>VLOOKUP(R185,[14]Progress!$B$9:$D$310,3,FALSE)</f>
        <v>397</v>
      </c>
      <c r="U188" s="665"/>
      <c r="V188" s="296" t="s">
        <v>789</v>
      </c>
      <c r="W188" s="296" t="s">
        <v>790</v>
      </c>
      <c r="X188" s="666">
        <f>VLOOKUP(V185,[14]Progress!$B$9:$D$310,3,FALSE)</f>
        <v>345</v>
      </c>
      <c r="Y188" s="665"/>
      <c r="Z188" s="296" t="s">
        <v>789</v>
      </c>
      <c r="AA188" s="296" t="s">
        <v>790</v>
      </c>
      <c r="AB188" s="721">
        <f>VLOOKUP(Z185,[14]Progress!$B$9:$D$310,3,FALSE)</f>
        <v>389</v>
      </c>
      <c r="AC188" s="722"/>
      <c r="AD188" s="296" t="s">
        <v>789</v>
      </c>
      <c r="AE188" s="296" t="s">
        <v>790</v>
      </c>
      <c r="AF188" s="666">
        <f>VLOOKUP(AD185,[14]Progress!$B$9:$D$310,3,FALSE)</f>
        <v>416</v>
      </c>
      <c r="AG188" s="665"/>
      <c r="AH188" s="296" t="s">
        <v>789</v>
      </c>
      <c r="AI188" s="296" t="s">
        <v>790</v>
      </c>
      <c r="AJ188" s="666">
        <f>VLOOKUP(AH185,[14]Progress!$B$9:$D$310,3,FALSE)</f>
        <v>414</v>
      </c>
      <c r="AK188" s="665"/>
      <c r="AL188" s="296" t="s">
        <v>789</v>
      </c>
      <c r="AM188" s="296" t="s">
        <v>790</v>
      </c>
      <c r="AN188" s="666">
        <f>VLOOKUP(AL185,[14]Progress!$B$9:$D$310,3,FALSE)</f>
        <v>415</v>
      </c>
      <c r="AO188" s="665"/>
      <c r="AP188" s="296" t="s">
        <v>789</v>
      </c>
      <c r="AQ188" s="296" t="s">
        <v>790</v>
      </c>
      <c r="AR188" s="666">
        <f>VLOOKUP(AP185,[14]Progress!$B$9:$D$310,3,FALSE)</f>
        <v>404</v>
      </c>
      <c r="AS188" s="664"/>
      <c r="AT188" s="283"/>
      <c r="AV188" s="664">
        <f>D188+H188+L188+P188+T188+X188+AB188+AF188+AJ188+AN188+AR188</f>
        <v>4384.2280000000001</v>
      </c>
      <c r="AW188" s="664"/>
      <c r="AY188">
        <v>11</v>
      </c>
    </row>
    <row r="189" spans="1:51">
      <c r="A189" s="282"/>
      <c r="B189" s="296" t="s">
        <v>792</v>
      </c>
      <c r="C189" s="296" t="s">
        <v>793</v>
      </c>
      <c r="F189" s="296" t="s">
        <v>792</v>
      </c>
      <c r="G189" s="296" t="s">
        <v>793</v>
      </c>
      <c r="J189" s="296" t="s">
        <v>792</v>
      </c>
      <c r="K189" s="296" t="s">
        <v>793</v>
      </c>
      <c r="N189" s="296" t="s">
        <v>792</v>
      </c>
      <c r="O189" s="296" t="s">
        <v>793</v>
      </c>
      <c r="R189" s="296" t="s">
        <v>792</v>
      </c>
      <c r="S189" s="296" t="s">
        <v>793</v>
      </c>
      <c r="V189" s="296" t="s">
        <v>792</v>
      </c>
      <c r="W189" s="296" t="s">
        <v>793</v>
      </c>
      <c r="Z189" s="296" t="s">
        <v>792</v>
      </c>
      <c r="AA189" s="296" t="s">
        <v>793</v>
      </c>
      <c r="AD189" s="296" t="s">
        <v>792</v>
      </c>
      <c r="AE189" s="296" t="s">
        <v>793</v>
      </c>
      <c r="AH189" s="296" t="s">
        <v>792</v>
      </c>
      <c r="AI189" s="296" t="s">
        <v>793</v>
      </c>
      <c r="AL189" s="296" t="s">
        <v>792</v>
      </c>
      <c r="AM189" s="296" t="s">
        <v>793</v>
      </c>
      <c r="AP189" s="296" t="s">
        <v>792</v>
      </c>
      <c r="AQ189" s="296" t="s">
        <v>793</v>
      </c>
      <c r="AT189" s="283"/>
      <c r="AV189" s="664"/>
      <c r="AW189" s="664"/>
    </row>
    <row r="190" spans="1:51" ht="10.5" customHeight="1">
      <c r="A190" s="282"/>
      <c r="B190" s="700"/>
      <c r="C190" s="700"/>
      <c r="F190" s="700"/>
      <c r="G190" s="700"/>
      <c r="J190" s="700"/>
      <c r="K190" s="700"/>
      <c r="N190" s="700"/>
      <c r="O190" s="700"/>
      <c r="R190" s="700"/>
      <c r="S190" s="700"/>
      <c r="V190" s="700"/>
      <c r="W190" s="700"/>
      <c r="Z190" s="700"/>
      <c r="AA190" s="700"/>
      <c r="AD190" s="700"/>
      <c r="AE190" s="700"/>
      <c r="AH190" s="700"/>
      <c r="AI190" s="700"/>
      <c r="AL190" s="700"/>
      <c r="AM190" s="700"/>
      <c r="AP190" s="700"/>
      <c r="AQ190" s="700"/>
      <c r="AT190" s="283"/>
      <c r="AV190" s="664"/>
      <c r="AW190" s="664"/>
    </row>
    <row r="191" spans="1:51">
      <c r="A191" s="282"/>
      <c r="B191" s="684" t="str">
        <f>VLOOKUP(+B185,'[14]Twr Schedule'!$B$9:$C$611,2,FALSE)</f>
        <v>DA+0</v>
      </c>
      <c r="C191" s="684"/>
      <c r="F191" s="684" t="str">
        <f>VLOOKUP(+F185,'[14]Twr Schedule'!$B$9:$C$611,2,FALSE)</f>
        <v>DA+0</v>
      </c>
      <c r="G191" s="684"/>
      <c r="J191" s="684" t="str">
        <f>VLOOKUP(+J185,'[14]Twr Schedule'!$B$9:$C$611,2,FALSE)</f>
        <v>DA+3</v>
      </c>
      <c r="K191" s="684"/>
      <c r="N191" s="684" t="str">
        <f>VLOOKUP(+N185,'[14]Twr Schedule'!$B$9:$C$611,2,FALSE)</f>
        <v>DC1+0</v>
      </c>
      <c r="O191" s="684"/>
      <c r="R191" s="684" t="str">
        <f>VLOOKUP(+R185,'[14]Twr Schedule'!$B$9:$C$611,2,FALSE)</f>
        <v>DA+3</v>
      </c>
      <c r="S191" s="684"/>
      <c r="V191" s="684" t="str">
        <f>VLOOKUP(+V185,'[14]Twr Schedule'!$B$9:$C$611,2,FALSE)</f>
        <v>DA-3</v>
      </c>
      <c r="W191" s="684"/>
      <c r="Z191" s="684" t="str">
        <f>VLOOKUP(+Z185,'[14]Twr Schedule'!$B$9:$C$611,2,FALSE)</f>
        <v>DA+0</v>
      </c>
      <c r="AA191" s="684"/>
      <c r="AD191" s="684" t="str">
        <f>VLOOKUP(+AD185,'[14]Twr Schedule'!$B$9:$C$611,2,FALSE)</f>
        <v>DA+0</v>
      </c>
      <c r="AE191" s="684"/>
      <c r="AH191" s="684" t="str">
        <f>VLOOKUP(+AH185,'[14]Twr Schedule'!$B$9:$C$611,2,FALSE)</f>
        <v>DA+3</v>
      </c>
      <c r="AI191" s="684"/>
      <c r="AL191" s="684" t="str">
        <f>VLOOKUP(+AL185,'[14]Twr Schedule'!$B$9:$C$611,2,FALSE)</f>
        <v>DA+0</v>
      </c>
      <c r="AM191" s="684"/>
      <c r="AP191" s="684" t="str">
        <f>VLOOKUP(+AP185,'[14]Twr Schedule'!$B$9:$C$611,2,FALSE)</f>
        <v>DA+3</v>
      </c>
      <c r="AQ191" s="684"/>
      <c r="AT191" s="283"/>
      <c r="AV191" s="664"/>
      <c r="AW191" s="664"/>
    </row>
    <row r="192" spans="1:51">
      <c r="A192" s="282"/>
      <c r="AB192" t="s">
        <v>843</v>
      </c>
      <c r="AL192" s="2"/>
      <c r="AM192" s="2"/>
      <c r="AT192" s="283"/>
      <c r="AV192" s="664"/>
      <c r="AW192" s="664"/>
    </row>
    <row r="193" spans="1:51">
      <c r="A193" s="282"/>
      <c r="AA193" t="s">
        <v>844</v>
      </c>
      <c r="AT193" s="283"/>
      <c r="AV193" s="664"/>
      <c r="AW193" s="664"/>
    </row>
    <row r="194" spans="1:51">
      <c r="A194" s="725" t="s">
        <v>842</v>
      </c>
      <c r="B194" s="726"/>
      <c r="C194" s="726"/>
      <c r="D194" s="726"/>
      <c r="E194" s="726"/>
      <c r="F194" s="726"/>
      <c r="G194" s="726"/>
      <c r="H194" s="726"/>
      <c r="I194" s="726"/>
      <c r="J194" s="727"/>
      <c r="K194" s="750" t="s">
        <v>845</v>
      </c>
      <c r="L194" s="750"/>
      <c r="M194" s="750"/>
      <c r="N194" s="750"/>
      <c r="O194" s="750"/>
      <c r="P194" s="750"/>
      <c r="Q194" s="750"/>
      <c r="R194" s="750"/>
      <c r="S194" s="750"/>
      <c r="T194" s="750"/>
      <c r="U194" s="750"/>
      <c r="V194" s="750"/>
      <c r="W194" s="750"/>
      <c r="X194" s="750"/>
      <c r="Y194" s="750"/>
      <c r="Z194" s="750"/>
      <c r="AA194" s="750"/>
      <c r="AB194" s="750"/>
      <c r="AC194" s="750"/>
      <c r="AD194" s="750"/>
      <c r="AE194" s="750"/>
      <c r="AF194" s="750"/>
      <c r="AG194" s="750"/>
      <c r="AH194" s="750"/>
      <c r="AI194" s="750"/>
      <c r="AJ194" s="750"/>
      <c r="AK194" s="750"/>
      <c r="AL194" s="750"/>
      <c r="AM194" s="750"/>
      <c r="AN194" s="750"/>
      <c r="AO194" s="750"/>
      <c r="AP194" s="750"/>
      <c r="AQ194" s="750"/>
      <c r="AR194" s="750"/>
      <c r="AT194" s="283"/>
      <c r="AV194" s="664"/>
      <c r="AW194" s="664"/>
    </row>
    <row r="195" spans="1:51">
      <c r="A195" s="282"/>
      <c r="B195" s="664" t="str">
        <f>'[14]Twr Schedule'!B383</f>
        <v>35/8</v>
      </c>
      <c r="C195" s="664"/>
      <c r="F195" s="664" t="str">
        <f>'[14]Twr Schedule'!B385</f>
        <v>35/9</v>
      </c>
      <c r="G195" s="664"/>
      <c r="J195" s="664" t="str">
        <f>'[14]Twr Schedule'!B387</f>
        <v>36/0</v>
      </c>
      <c r="K195" s="664"/>
      <c r="N195" s="664" t="str">
        <f>'[14]Twr Schedule'!B389</f>
        <v>36/1</v>
      </c>
      <c r="O195" s="664"/>
      <c r="R195" s="664" t="str">
        <f>'[14]Twr Schedule'!B391</f>
        <v>36/2</v>
      </c>
      <c r="S195" s="664"/>
      <c r="V195" s="664" t="str">
        <f>'[14]Twr Schedule'!B393</f>
        <v>36/3</v>
      </c>
      <c r="W195" s="664"/>
      <c r="Z195" s="664" t="str">
        <f>'[14]Twr Schedule'!B395</f>
        <v>36/4</v>
      </c>
      <c r="AA195" s="664"/>
      <c r="AD195" s="664" t="str">
        <f>'[14]Twr Schedule'!B397</f>
        <v>36/5</v>
      </c>
      <c r="AE195" s="664"/>
      <c r="AH195" s="664" t="str">
        <f>'[14]Twr Schedule'!B399</f>
        <v>36/6</v>
      </c>
      <c r="AI195" s="664"/>
      <c r="AL195" s="664" t="str">
        <f>'[14]Twr Schedule'!B401</f>
        <v>36/7</v>
      </c>
      <c r="AM195" s="664"/>
      <c r="AP195" s="664" t="str">
        <f>'[14]Twr Schedule'!B403</f>
        <v>36/8</v>
      </c>
      <c r="AQ195" s="664"/>
      <c r="AT195" s="283"/>
      <c r="AV195" s="664"/>
      <c r="AW195" s="664"/>
    </row>
    <row r="196" spans="1:51">
      <c r="A196" s="282"/>
      <c r="AT196" s="283"/>
      <c r="AV196" s="664"/>
      <c r="AW196" s="664"/>
    </row>
    <row r="197" spans="1:51">
      <c r="A197" s="282"/>
      <c r="AT197" s="283"/>
      <c r="AV197" s="664"/>
      <c r="AW197" s="664"/>
    </row>
    <row r="198" spans="1:51">
      <c r="A198" s="282"/>
      <c r="B198" s="296" t="s">
        <v>789</v>
      </c>
      <c r="C198" s="296" t="s">
        <v>790</v>
      </c>
      <c r="D198" s="666">
        <f>VLOOKUP(B195,[14]Progress!$B$9:$D$310,3,FALSE)</f>
        <v>373</v>
      </c>
      <c r="E198" s="665"/>
      <c r="F198" s="296" t="s">
        <v>789</v>
      </c>
      <c r="G198" s="296" t="s">
        <v>790</v>
      </c>
      <c r="H198" s="728">
        <f>VLOOKUP(F195,[14]Progress!$B$9:$D$310,3,FALSE)</f>
        <v>421.04899999999998</v>
      </c>
      <c r="I198" s="729"/>
      <c r="J198" s="314" t="s">
        <v>789</v>
      </c>
      <c r="K198" s="314" t="s">
        <v>790</v>
      </c>
      <c r="L198" s="728">
        <f>VLOOKUP(J195,[14]Progress!$B$9:$D$310,3,FALSE)</f>
        <v>401</v>
      </c>
      <c r="M198" s="729"/>
      <c r="N198" s="314" t="s">
        <v>789</v>
      </c>
      <c r="O198" s="314" t="s">
        <v>790</v>
      </c>
      <c r="P198" s="728">
        <f>VLOOKUP(N195,[14]Progress!$B$9:$D$310,3,FALSE)</f>
        <v>412</v>
      </c>
      <c r="Q198" s="729"/>
      <c r="R198" s="314" t="s">
        <v>789</v>
      </c>
      <c r="S198" s="314" t="s">
        <v>790</v>
      </c>
      <c r="T198" s="728">
        <f>VLOOKUP(R195,[14]Progress!$B$9:$D$310,3,FALSE)</f>
        <v>415</v>
      </c>
      <c r="U198" s="729"/>
      <c r="V198" s="314" t="s">
        <v>789</v>
      </c>
      <c r="W198" s="314" t="s">
        <v>790</v>
      </c>
      <c r="X198" s="728">
        <f>VLOOKUP(V195,[14]Progress!$B$9:$D$310,3,FALSE)</f>
        <v>411</v>
      </c>
      <c r="Y198" s="729"/>
      <c r="Z198" s="314" t="s">
        <v>789</v>
      </c>
      <c r="AA198" s="314" t="s">
        <v>790</v>
      </c>
      <c r="AB198" s="728">
        <f>VLOOKUP(Z195,[14]Progress!$B$9:$D$310,3,FALSE)</f>
        <v>395</v>
      </c>
      <c r="AC198" s="729"/>
      <c r="AD198" s="314" t="s">
        <v>789</v>
      </c>
      <c r="AE198" s="314" t="s">
        <v>790</v>
      </c>
      <c r="AF198" s="728">
        <f>VLOOKUP(AD195,[14]Progress!$B$9:$D$310,3,FALSE)</f>
        <v>402</v>
      </c>
      <c r="AG198" s="729"/>
      <c r="AH198" s="314" t="s">
        <v>789</v>
      </c>
      <c r="AI198" s="314" t="s">
        <v>790</v>
      </c>
      <c r="AJ198" s="728">
        <f>VLOOKUP(AH195,[14]Progress!$B$9:$D$310,3,FALSE)</f>
        <v>432</v>
      </c>
      <c r="AK198" s="729"/>
      <c r="AL198" s="314" t="s">
        <v>789</v>
      </c>
      <c r="AM198" s="314" t="s">
        <v>790</v>
      </c>
      <c r="AN198" s="728">
        <f>VLOOKUP(AL195,[14]Progress!$B$9:$D$310,3,FALSE)</f>
        <v>392.01100000000002</v>
      </c>
      <c r="AO198" s="729"/>
      <c r="AP198" s="314" t="s">
        <v>789</v>
      </c>
      <c r="AQ198" s="314" t="s">
        <v>790</v>
      </c>
      <c r="AR198" s="728">
        <f>VLOOKUP(AP195,[14]Progress!$B$9:$D$310,3,FALSE)</f>
        <v>352.98899999999998</v>
      </c>
      <c r="AS198" s="730"/>
      <c r="AT198" s="283"/>
      <c r="AV198" s="664">
        <f>D198+H198+L198+P198+T198+X198+AB198+AF198+AJ198+AN198+AR198</f>
        <v>4407.049</v>
      </c>
      <c r="AW198" s="664"/>
      <c r="AY198">
        <v>11</v>
      </c>
    </row>
    <row r="199" spans="1:51">
      <c r="A199" s="282"/>
      <c r="B199" s="296" t="s">
        <v>792</v>
      </c>
      <c r="C199" s="296" t="s">
        <v>793</v>
      </c>
      <c r="F199" s="296" t="s">
        <v>792</v>
      </c>
      <c r="G199" s="296" t="s">
        <v>793</v>
      </c>
      <c r="J199" s="296" t="s">
        <v>792</v>
      </c>
      <c r="K199" s="296" t="s">
        <v>793</v>
      </c>
      <c r="N199" s="296" t="s">
        <v>792</v>
      </c>
      <c r="O199" s="296" t="s">
        <v>793</v>
      </c>
      <c r="R199" s="296" t="s">
        <v>792</v>
      </c>
      <c r="S199" s="296" t="s">
        <v>793</v>
      </c>
      <c r="V199" s="296" t="s">
        <v>792</v>
      </c>
      <c r="W199" s="296" t="s">
        <v>793</v>
      </c>
      <c r="Z199" s="296" t="s">
        <v>792</v>
      </c>
      <c r="AA199" s="296" t="s">
        <v>793</v>
      </c>
      <c r="AD199" s="296" t="s">
        <v>792</v>
      </c>
      <c r="AE199" s="296" t="s">
        <v>793</v>
      </c>
      <c r="AH199" s="296" t="s">
        <v>792</v>
      </c>
      <c r="AI199" s="296" t="s">
        <v>793</v>
      </c>
      <c r="AL199" s="296" t="s">
        <v>792</v>
      </c>
      <c r="AM199" s="296" t="s">
        <v>793</v>
      </c>
      <c r="AP199" s="296" t="s">
        <v>792</v>
      </c>
      <c r="AQ199" s="296" t="s">
        <v>793</v>
      </c>
      <c r="AT199" s="283"/>
      <c r="AV199" s="664"/>
      <c r="AW199" s="664"/>
    </row>
    <row r="200" spans="1:51" ht="10.5" customHeight="1">
      <c r="A200" s="282"/>
      <c r="B200" s="700"/>
      <c r="C200" s="700"/>
      <c r="F200" s="700"/>
      <c r="G200" s="700"/>
      <c r="J200" s="700"/>
      <c r="K200" s="700"/>
      <c r="N200" s="700"/>
      <c r="O200" s="700"/>
      <c r="R200" s="700"/>
      <c r="S200" s="700"/>
      <c r="V200" s="700"/>
      <c r="W200" s="700"/>
      <c r="Z200" s="700"/>
      <c r="AA200" s="700"/>
      <c r="AD200" s="700"/>
      <c r="AE200" s="700"/>
      <c r="AH200" s="700"/>
      <c r="AI200" s="700"/>
      <c r="AL200" s="700"/>
      <c r="AM200" s="700"/>
      <c r="AP200" s="700"/>
      <c r="AQ200" s="700"/>
      <c r="AT200" s="283"/>
      <c r="AV200" s="664"/>
      <c r="AW200" s="664"/>
    </row>
    <row r="201" spans="1:51">
      <c r="A201" s="282"/>
      <c r="B201" s="684" t="str">
        <f>VLOOKUP(+B195,'[14]Twr Schedule'!$B$9:$C$611,2,FALSE)</f>
        <v>DA-3</v>
      </c>
      <c r="C201" s="684"/>
      <c r="F201" s="684" t="str">
        <f>VLOOKUP(+F195,'[14]Twr Schedule'!$B$9:$C$611,2,FALSE)</f>
        <v>DA+3</v>
      </c>
      <c r="G201" s="684"/>
      <c r="J201" s="684" t="str">
        <f>VLOOKUP(+J195,'[14]Twr Schedule'!$B$9:$C$611,2,FALSE)</f>
        <v>DB2+0</v>
      </c>
      <c r="K201" s="684"/>
      <c r="N201" s="684" t="str">
        <f>VLOOKUP(+N195,'[14]Twr Schedule'!$B$9:$C$611,2,FALSE)</f>
        <v>DA+3</v>
      </c>
      <c r="O201" s="684"/>
      <c r="R201" s="684" t="str">
        <f>VLOOKUP(+R195,'[14]Twr Schedule'!$B$9:$C$611,2,FALSE)</f>
        <v>DA+0</v>
      </c>
      <c r="S201" s="684"/>
      <c r="V201" s="684" t="str">
        <f>VLOOKUP(+V195,'[14]Twr Schedule'!$B$9:$C$611,2,FALSE)</f>
        <v>DA+3</v>
      </c>
      <c r="W201" s="684"/>
      <c r="Z201" s="684" t="str">
        <f>VLOOKUP(+Z195,'[14]Twr Schedule'!$B$9:$C$611,2,FALSE)</f>
        <v>DA+0</v>
      </c>
      <c r="AA201" s="684"/>
      <c r="AD201" s="684" t="str">
        <f>VLOOKUP(+AD195,'[14]Twr Schedule'!$B$9:$C$611,2,FALSE)</f>
        <v>DA+0</v>
      </c>
      <c r="AE201" s="684"/>
      <c r="AH201" s="684" t="str">
        <f>VLOOKUP(+AH195,'[14]Twr Schedule'!$B$9:$C$611,2,FALSE)</f>
        <v>DA+3</v>
      </c>
      <c r="AI201" s="684"/>
      <c r="AL201" s="684" t="str">
        <f>VLOOKUP(+AL195,'[14]Twr Schedule'!$B$9:$C$611,2,FALSE)</f>
        <v>DA+3</v>
      </c>
      <c r="AM201" s="684"/>
      <c r="AP201" s="684" t="str">
        <f>VLOOKUP(+AP195,'[14]Twr Schedule'!$B$9:$C$611,2,FALSE)</f>
        <v>DA-3</v>
      </c>
      <c r="AQ201" s="684"/>
      <c r="AT201" s="283"/>
      <c r="AV201" s="664"/>
      <c r="AW201" s="664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64"/>
      <c r="AW202" s="664"/>
    </row>
    <row r="203" spans="1:51">
      <c r="A203" s="751" t="s">
        <v>845</v>
      </c>
      <c r="B203" s="752"/>
      <c r="C203" s="752"/>
      <c r="D203" s="752"/>
      <c r="E203" s="752"/>
      <c r="F203" s="752"/>
      <c r="G203" s="752"/>
      <c r="H203" s="752"/>
      <c r="I203" s="752"/>
      <c r="J203" s="752"/>
      <c r="K203" s="752"/>
      <c r="L203" s="752"/>
      <c r="M203" s="752"/>
      <c r="N203" s="752"/>
      <c r="O203" s="752"/>
      <c r="P203" s="752"/>
      <c r="Q203" s="752"/>
      <c r="R203" s="753"/>
      <c r="S203" s="754" t="s">
        <v>846</v>
      </c>
      <c r="T203" s="754"/>
      <c r="U203" s="754"/>
      <c r="V203" s="754"/>
      <c r="W203" s="754"/>
      <c r="X203" s="754"/>
      <c r="Y203" s="754"/>
      <c r="Z203" s="754"/>
      <c r="AA203" s="754"/>
      <c r="AB203" s="754"/>
      <c r="AC203" s="754"/>
      <c r="AD203" s="754"/>
      <c r="AE203" s="754"/>
      <c r="AF203" s="754"/>
      <c r="AG203" s="754"/>
      <c r="AH203" s="754"/>
      <c r="AI203" s="754"/>
      <c r="AJ203" s="754"/>
      <c r="AK203" s="754"/>
      <c r="AL203" s="754"/>
      <c r="AM203" s="754"/>
      <c r="AN203" s="754"/>
      <c r="AO203" s="754"/>
      <c r="AP203" s="754"/>
      <c r="AQ203" s="754"/>
      <c r="AR203" s="754"/>
      <c r="AT203" s="283"/>
      <c r="AV203" s="664"/>
      <c r="AW203" s="664"/>
    </row>
    <row r="204" spans="1:51">
      <c r="A204" s="282"/>
      <c r="AT204" s="283"/>
      <c r="AV204" s="664"/>
      <c r="AW204" s="664"/>
    </row>
    <row r="205" spans="1:51">
      <c r="A205" s="282"/>
      <c r="B205" s="664" t="str">
        <f>'[14]Twr Schedule'!B405</f>
        <v>36/9</v>
      </c>
      <c r="C205" s="664"/>
      <c r="F205" s="664" t="str">
        <f>'[14]Twr Schedule'!B407</f>
        <v>36/10</v>
      </c>
      <c r="G205" s="664"/>
      <c r="J205" s="664" t="str">
        <f>'[14]Twr Schedule'!B409</f>
        <v>36/11</v>
      </c>
      <c r="K205" s="664"/>
      <c r="N205" s="664" t="str">
        <f>'[14]Twr Schedule'!B411</f>
        <v>36/12</v>
      </c>
      <c r="O205" s="664"/>
      <c r="R205" s="664" t="str">
        <f>'[14]Twr Schedule'!B413</f>
        <v>37/0</v>
      </c>
      <c r="S205" s="664"/>
      <c r="V205" s="664" t="str">
        <f>'[14]Twr Schedule'!B415</f>
        <v>38/0</v>
      </c>
      <c r="W205" s="664"/>
      <c r="Z205" s="664" t="str">
        <f>'[14]Twr Schedule'!B417</f>
        <v>38/1</v>
      </c>
      <c r="AA205" s="664"/>
      <c r="AD205" s="664" t="str">
        <f>'[14]Twr Schedule'!B419</f>
        <v>38/2</v>
      </c>
      <c r="AE205" s="664"/>
      <c r="AH205" s="664" t="str">
        <f>'[14]Twr Schedule'!B421</f>
        <v>38/3</v>
      </c>
      <c r="AI205" s="664"/>
      <c r="AL205" s="664" t="str">
        <f>'[14]Twr Schedule'!B423</f>
        <v>38/4</v>
      </c>
      <c r="AM205" s="664"/>
      <c r="AP205" s="664" t="str">
        <f>'[14]Twr Schedule'!B425</f>
        <v>38/5</v>
      </c>
      <c r="AQ205" s="664"/>
      <c r="AT205" s="283"/>
      <c r="AV205" s="664"/>
      <c r="AW205" s="664"/>
    </row>
    <row r="206" spans="1:51">
      <c r="A206" s="282"/>
      <c r="AT206" s="283"/>
      <c r="AV206" s="664"/>
      <c r="AW206" s="664"/>
    </row>
    <row r="207" spans="1:51">
      <c r="A207" s="282"/>
      <c r="AT207" s="283"/>
      <c r="AV207" s="664"/>
      <c r="AW207" s="664"/>
    </row>
    <row r="208" spans="1:51">
      <c r="A208" s="282"/>
      <c r="B208" s="296" t="s">
        <v>789</v>
      </c>
      <c r="C208" s="296" t="s">
        <v>790</v>
      </c>
      <c r="D208" s="666">
        <f>VLOOKUP(B205,[14]Progress!$B$9:$D$310,3,FALSE)</f>
        <v>361</v>
      </c>
      <c r="E208" s="665"/>
      <c r="F208" s="296" t="s">
        <v>789</v>
      </c>
      <c r="G208" s="296" t="s">
        <v>790</v>
      </c>
      <c r="H208" s="666">
        <f>VLOOKUP(F205,[14]Progress!$B$9:$D$310,3,FALSE)</f>
        <v>302</v>
      </c>
      <c r="I208" s="665"/>
      <c r="J208" s="296" t="s">
        <v>789</v>
      </c>
      <c r="K208" s="296" t="s">
        <v>790</v>
      </c>
      <c r="L208" s="666">
        <f>VLOOKUP(J205,[14]Progress!$B$9:$D$310,3,FALSE)</f>
        <v>310</v>
      </c>
      <c r="M208" s="665"/>
      <c r="N208" s="296" t="s">
        <v>789</v>
      </c>
      <c r="O208" s="296" t="s">
        <v>790</v>
      </c>
      <c r="P208" s="728">
        <f>VLOOKUP(N205,[14]Progress!$B$9:$D$310,3,FALSE)</f>
        <v>361.31</v>
      </c>
      <c r="Q208" s="729"/>
      <c r="R208" s="314" t="s">
        <v>789</v>
      </c>
      <c r="S208" s="314" t="s">
        <v>790</v>
      </c>
      <c r="T208" s="731">
        <f>VLOOKUP(R205,[14]Progress!$B$9:$D$310,3,FALSE)</f>
        <v>475.95100000000002</v>
      </c>
      <c r="U208" s="732"/>
      <c r="V208" s="314" t="s">
        <v>789</v>
      </c>
      <c r="W208" s="314" t="s">
        <v>790</v>
      </c>
      <c r="X208" s="728">
        <f>VLOOKUP(V205,[14]Progress!$B$9:$D$310,3,FALSE)</f>
        <v>399</v>
      </c>
      <c r="Y208" s="729"/>
      <c r="Z208" s="314" t="s">
        <v>789</v>
      </c>
      <c r="AA208" s="314" t="s">
        <v>790</v>
      </c>
      <c r="AB208" s="728">
        <f>VLOOKUP(Z205,[14]Progress!$B$9:$D$310,3,FALSE)</f>
        <v>426</v>
      </c>
      <c r="AC208" s="729"/>
      <c r="AD208" s="314" t="s">
        <v>789</v>
      </c>
      <c r="AE208" s="314" t="s">
        <v>790</v>
      </c>
      <c r="AF208" s="728">
        <f>VLOOKUP(AD205,[14]Progress!$B$9:$D$310,3,FALSE)</f>
        <v>408</v>
      </c>
      <c r="AG208" s="729"/>
      <c r="AH208" s="314" t="s">
        <v>789</v>
      </c>
      <c r="AI208" s="314" t="s">
        <v>790</v>
      </c>
      <c r="AJ208" s="728">
        <f>VLOOKUP(AH205,[14]Progress!$B$9:$D$310,3,FALSE)</f>
        <v>419</v>
      </c>
      <c r="AK208" s="729"/>
      <c r="AL208" s="314" t="s">
        <v>789</v>
      </c>
      <c r="AM208" s="314" t="s">
        <v>790</v>
      </c>
      <c r="AN208" s="728">
        <f>VLOOKUP(AL205,[14]Progress!$B$9:$D$310,3,FALSE)</f>
        <v>415</v>
      </c>
      <c r="AO208" s="729"/>
      <c r="AP208" s="314" t="s">
        <v>789</v>
      </c>
      <c r="AQ208" s="314" t="s">
        <v>790</v>
      </c>
      <c r="AR208" s="728">
        <f>VLOOKUP(AP205,[14]Progress!$B$9:$D$310,3,FALSE)</f>
        <v>415.11799999999999</v>
      </c>
      <c r="AS208" s="730"/>
      <c r="AT208" s="283"/>
      <c r="AV208" s="664">
        <f>D208+H208+L208+P208+T208+X208+AB208+AF208+AJ208+AN208+AR208</f>
        <v>4292.3789999999999</v>
      </c>
      <c r="AW208" s="664"/>
      <c r="AY208">
        <v>11</v>
      </c>
    </row>
    <row r="209" spans="1:51">
      <c r="A209" s="282"/>
      <c r="B209" s="296" t="s">
        <v>792</v>
      </c>
      <c r="C209" s="296" t="s">
        <v>793</v>
      </c>
      <c r="F209" s="296" t="s">
        <v>792</v>
      </c>
      <c r="G209" s="296" t="s">
        <v>793</v>
      </c>
      <c r="J209" s="296" t="s">
        <v>792</v>
      </c>
      <c r="K209" s="296" t="s">
        <v>793</v>
      </c>
      <c r="N209" s="296" t="s">
        <v>792</v>
      </c>
      <c r="O209" s="296" t="s">
        <v>793</v>
      </c>
      <c r="R209" s="296" t="s">
        <v>792</v>
      </c>
      <c r="S209" s="296" t="s">
        <v>793</v>
      </c>
      <c r="V209" s="296" t="s">
        <v>792</v>
      </c>
      <c r="W209" s="296" t="s">
        <v>793</v>
      </c>
      <c r="Z209" s="296" t="s">
        <v>792</v>
      </c>
      <c r="AA209" s="296" t="s">
        <v>793</v>
      </c>
      <c r="AD209" s="296" t="s">
        <v>792</v>
      </c>
      <c r="AE209" s="296" t="s">
        <v>793</v>
      </c>
      <c r="AH209" s="296" t="s">
        <v>792</v>
      </c>
      <c r="AI209" s="296" t="s">
        <v>793</v>
      </c>
      <c r="AL209" s="296" t="s">
        <v>792</v>
      </c>
      <c r="AM209" s="296" t="s">
        <v>793</v>
      </c>
      <c r="AP209" s="296" t="s">
        <v>792</v>
      </c>
      <c r="AQ209" s="296" t="s">
        <v>793</v>
      </c>
      <c r="AT209" s="283"/>
      <c r="AV209" s="664"/>
      <c r="AW209" s="664"/>
    </row>
    <row r="210" spans="1:51" ht="10.5" customHeight="1">
      <c r="A210" s="282"/>
      <c r="B210" s="700"/>
      <c r="C210" s="700"/>
      <c r="F210" s="700"/>
      <c r="G210" s="700"/>
      <c r="J210" s="700"/>
      <c r="K210" s="700"/>
      <c r="N210" s="700"/>
      <c r="O210" s="700"/>
      <c r="R210" s="700"/>
      <c r="S210" s="700"/>
      <c r="V210" s="700"/>
      <c r="W210" s="700"/>
      <c r="Z210" s="700"/>
      <c r="AA210" s="700"/>
      <c r="AD210" s="700"/>
      <c r="AE210" s="700"/>
      <c r="AH210" s="700"/>
      <c r="AI210" s="700"/>
      <c r="AL210" s="700"/>
      <c r="AM210" s="700"/>
      <c r="AP210" s="700"/>
      <c r="AQ210" s="700"/>
      <c r="AT210" s="283"/>
      <c r="AV210" s="664"/>
      <c r="AW210" s="664"/>
    </row>
    <row r="211" spans="1:51">
      <c r="A211" s="282"/>
      <c r="B211" s="684" t="str">
        <f>VLOOKUP(+B205,'[14]Twr Schedule'!$B$9:$C$611,2,FALSE)</f>
        <v>DA-3</v>
      </c>
      <c r="C211" s="684"/>
      <c r="F211" s="684" t="str">
        <f>VLOOKUP(+F205,'[14]Twr Schedule'!$B$9:$C$611,2,FALSE)</f>
        <v>DA-3</v>
      </c>
      <c r="G211" s="684"/>
      <c r="J211" s="684" t="str">
        <f>VLOOKUP(+J205,'[14]Twr Schedule'!$B$9:$C$611,2,FALSE)</f>
        <v>DA-3</v>
      </c>
      <c r="K211" s="684"/>
      <c r="N211" s="684" t="str">
        <f>VLOOKUP(+N205,'[14]Twr Schedule'!$B$9:$C$611,2,FALSE)</f>
        <v>DA+0</v>
      </c>
      <c r="O211" s="684"/>
      <c r="R211" s="684" t="str">
        <f>VLOOKUP(+R205,'[14]Twr Schedule'!$B$9:$C$611,2,FALSE)</f>
        <v>DC2+18</v>
      </c>
      <c r="S211" s="684"/>
      <c r="V211" s="684" t="str">
        <f>VLOOKUP(+V205,'[14]Twr Schedule'!$B$9:$C$611,2,FALSE)</f>
        <v>DC2+18</v>
      </c>
      <c r="W211" s="684"/>
      <c r="Z211" s="684" t="str">
        <f>VLOOKUP(+Z205,'[14]Twr Schedule'!$B$9:$C$611,2,FALSE)</f>
        <v>DA+3</v>
      </c>
      <c r="AA211" s="684"/>
      <c r="AD211" s="684" t="str">
        <f>VLOOKUP(+AD205,'[14]Twr Schedule'!$B$9:$C$611,2,FALSE)</f>
        <v>DA+3</v>
      </c>
      <c r="AE211" s="684"/>
      <c r="AH211" s="684" t="str">
        <f>VLOOKUP(+AH205,'[14]Twr Schedule'!$B$9:$C$611,2,FALSE)</f>
        <v>DA+3</v>
      </c>
      <c r="AI211" s="684"/>
      <c r="AL211" s="684" t="str">
        <f>VLOOKUP(+AL205,'[14]Twr Schedule'!$B$9:$C$611,2,FALSE)</f>
        <v>DA+3</v>
      </c>
      <c r="AM211" s="684"/>
      <c r="AP211" s="684" t="str">
        <f>VLOOKUP(+AP205,'[14]Twr Schedule'!$B$9:$C$611,2,FALSE)</f>
        <v>DA+3</v>
      </c>
      <c r="AQ211" s="684"/>
      <c r="AT211" s="283"/>
      <c r="AV211" s="664"/>
      <c r="AW211" s="664"/>
    </row>
    <row r="212" spans="1:51">
      <c r="A212" s="282"/>
      <c r="P212" s="306"/>
      <c r="Q212" s="306"/>
      <c r="R212" s="320" t="s">
        <v>847</v>
      </c>
      <c r="S212" s="306"/>
      <c r="T212" s="306"/>
      <c r="U212" s="306"/>
      <c r="V212" s="306"/>
      <c r="W212" s="320" t="s">
        <v>847</v>
      </c>
      <c r="X212" s="306"/>
      <c r="Y212" s="306"/>
      <c r="Z212" s="306"/>
      <c r="AP212" s="2"/>
      <c r="AQ212" s="2"/>
      <c r="AT212" s="283"/>
      <c r="AV212" s="664"/>
      <c r="AW212" s="664"/>
    </row>
    <row r="213" spans="1:51">
      <c r="A213" s="282"/>
      <c r="R213" t="s">
        <v>848</v>
      </c>
      <c r="AT213" s="283"/>
      <c r="AV213" s="664"/>
      <c r="AW213" s="664"/>
    </row>
    <row r="214" spans="1:51">
      <c r="A214" s="754" t="s">
        <v>846</v>
      </c>
      <c r="B214" s="754"/>
      <c r="C214" s="754"/>
      <c r="D214" s="754"/>
      <c r="E214" s="754"/>
      <c r="F214" s="754"/>
      <c r="G214" s="754"/>
      <c r="H214" s="754"/>
      <c r="I214" s="754"/>
      <c r="J214" s="754"/>
      <c r="K214" s="754"/>
      <c r="L214" s="754"/>
      <c r="M214" s="754"/>
      <c r="N214" s="754"/>
      <c r="O214" s="754"/>
      <c r="P214" s="754"/>
      <c r="Q214" s="754"/>
      <c r="R214" s="754"/>
      <c r="S214" s="754"/>
      <c r="T214" s="754"/>
      <c r="U214" s="754"/>
      <c r="V214" s="754"/>
      <c r="W214" s="755" t="s">
        <v>849</v>
      </c>
      <c r="X214" s="756"/>
      <c r="Y214" s="756"/>
      <c r="Z214" s="756"/>
      <c r="AA214" s="756"/>
      <c r="AB214" s="756"/>
      <c r="AC214" s="756"/>
      <c r="AD214" s="756"/>
      <c r="AE214" s="756"/>
      <c r="AF214" s="756"/>
      <c r="AG214" s="756"/>
      <c r="AH214" s="756"/>
      <c r="AI214" s="756"/>
      <c r="AJ214" s="756"/>
      <c r="AK214" s="756"/>
      <c r="AL214" s="756"/>
      <c r="AM214" s="756"/>
      <c r="AN214" s="756"/>
      <c r="AO214" s="756"/>
      <c r="AP214" s="756"/>
      <c r="AQ214" s="756"/>
      <c r="AR214" s="757"/>
      <c r="AT214" s="283"/>
      <c r="AV214" s="664"/>
      <c r="AW214" s="664"/>
    </row>
    <row r="215" spans="1:51">
      <c r="A215" s="282"/>
      <c r="B215" s="664" t="str">
        <f>'[14]Twr Schedule'!B427</f>
        <v>38/6</v>
      </c>
      <c r="C215" s="664"/>
      <c r="F215" s="664" t="str">
        <f>'[14]Twr Schedule'!B429</f>
        <v>38/7</v>
      </c>
      <c r="G215" s="664"/>
      <c r="J215" s="664" t="str">
        <f>'[14]Twr Schedule'!B431</f>
        <v>38/8</v>
      </c>
      <c r="K215" s="664"/>
      <c r="N215" s="664" t="str">
        <f>'[14]Twr Schedule'!B433</f>
        <v>38/9</v>
      </c>
      <c r="O215" s="664"/>
      <c r="R215" s="664" t="str">
        <f>'[14]Twr Schedule'!B435</f>
        <v>38/10</v>
      </c>
      <c r="S215" s="664"/>
      <c r="V215" s="664" t="str">
        <f>'[14]Twr Schedule'!B437</f>
        <v>38/11</v>
      </c>
      <c r="W215" s="664"/>
      <c r="Z215" s="664" t="str">
        <f>'[14]Twr Schedule'!B439</f>
        <v>39/0</v>
      </c>
      <c r="AA215" s="664"/>
      <c r="AD215" s="664" t="str">
        <f>'[14]Twr Schedule'!B441</f>
        <v>39/1</v>
      </c>
      <c r="AE215" s="664"/>
      <c r="AH215" s="664" t="str">
        <f>'[14]Twr Schedule'!B443</f>
        <v>39/2</v>
      </c>
      <c r="AI215" s="664"/>
      <c r="AL215" s="664" t="str">
        <f>'[14]Twr Schedule'!B445</f>
        <v>39/3</v>
      </c>
      <c r="AM215" s="664"/>
      <c r="AP215" s="664" t="str">
        <f>'[14]Twr Schedule'!B447</f>
        <v>39/4</v>
      </c>
      <c r="AQ215" s="664"/>
      <c r="AT215" s="283"/>
      <c r="AV215" s="664"/>
      <c r="AW215" s="664"/>
    </row>
    <row r="216" spans="1:51">
      <c r="A216" s="282"/>
      <c r="AT216" s="283"/>
      <c r="AV216" s="664"/>
      <c r="AW216" s="664"/>
    </row>
    <row r="217" spans="1:51">
      <c r="A217" s="282"/>
      <c r="AT217" s="283"/>
      <c r="AV217" s="664"/>
      <c r="AW217" s="664"/>
    </row>
    <row r="218" spans="1:51">
      <c r="A218" s="282"/>
      <c r="B218" s="296" t="s">
        <v>789</v>
      </c>
      <c r="C218" s="296" t="s">
        <v>790</v>
      </c>
      <c r="D218" s="666">
        <f>VLOOKUP(B215,[14]Progress!$B$9:$D$310,3,FALSE)</f>
        <v>400</v>
      </c>
      <c r="E218" s="665"/>
      <c r="F218" s="296" t="s">
        <v>789</v>
      </c>
      <c r="G218" s="296" t="s">
        <v>790</v>
      </c>
      <c r="H218" s="666">
        <f>VLOOKUP(F215,[14]Progress!$B$9:$D$310,3,FALSE)</f>
        <v>408.00200000000001</v>
      </c>
      <c r="I218" s="665"/>
      <c r="J218" s="296" t="s">
        <v>789</v>
      </c>
      <c r="K218" s="296" t="s">
        <v>790</v>
      </c>
      <c r="L218" s="666">
        <f>VLOOKUP(J215,[14]Progress!$B$9:$D$310,3,FALSE)</f>
        <v>393</v>
      </c>
      <c r="M218" s="665"/>
      <c r="N218" s="296" t="s">
        <v>789</v>
      </c>
      <c r="O218" s="296" t="s">
        <v>790</v>
      </c>
      <c r="P218" s="666">
        <f>VLOOKUP(N215,[14]Progress!$B$9:$D$310,3,FALSE)</f>
        <v>353</v>
      </c>
      <c r="Q218" s="665"/>
      <c r="R218" s="296" t="s">
        <v>789</v>
      </c>
      <c r="S218" s="296" t="s">
        <v>790</v>
      </c>
      <c r="T218" s="666">
        <f>VLOOKUP(R215,[14]Progress!$B$9:$D$310,3,FALSE)</f>
        <v>383</v>
      </c>
      <c r="U218" s="665"/>
      <c r="V218" s="314" t="s">
        <v>789</v>
      </c>
      <c r="W218" s="314" t="s">
        <v>790</v>
      </c>
      <c r="X218" s="728">
        <f>VLOOKUP(V215,[14]Progress!$B$9:$D$310,3,FALSE)</f>
        <v>403.72300000000001</v>
      </c>
      <c r="Y218" s="729"/>
      <c r="Z218" s="314" t="s">
        <v>789</v>
      </c>
      <c r="AA218" s="314" t="s">
        <v>790</v>
      </c>
      <c r="AB218" s="728">
        <f>VLOOKUP(Z215,[14]Progress!$B$9:$D$310,3,FALSE)</f>
        <v>398</v>
      </c>
      <c r="AC218" s="729"/>
      <c r="AD218" s="314" t="s">
        <v>789</v>
      </c>
      <c r="AE218" s="314" t="s">
        <v>790</v>
      </c>
      <c r="AF218" s="728">
        <f>VLOOKUP(AD215,[14]Progress!$B$9:$D$310,3,FALSE)</f>
        <v>402</v>
      </c>
      <c r="AG218" s="729"/>
      <c r="AH218" s="314" t="s">
        <v>789</v>
      </c>
      <c r="AI218" s="314" t="s">
        <v>790</v>
      </c>
      <c r="AJ218" s="728">
        <f>VLOOKUP(AH215,[14]Progress!$B$9:$D$310,3,FALSE)</f>
        <v>393.00299999999999</v>
      </c>
      <c r="AK218" s="729"/>
      <c r="AL218" s="314" t="s">
        <v>789</v>
      </c>
      <c r="AM218" s="314" t="s">
        <v>790</v>
      </c>
      <c r="AN218" s="728">
        <f>VLOOKUP(AL215,[14]Progress!$B$9:$D$310,3,FALSE)</f>
        <v>436.59699999999998</v>
      </c>
      <c r="AO218" s="729"/>
      <c r="AP218" s="314" t="s">
        <v>789</v>
      </c>
      <c r="AQ218" s="314" t="s">
        <v>790</v>
      </c>
      <c r="AR218" s="728">
        <f>VLOOKUP(AP215,[14]Progress!$B$9:$D$310,3,FALSE)</f>
        <v>376.01100000000002</v>
      </c>
      <c r="AS218" s="730"/>
      <c r="AT218" s="283"/>
      <c r="AV218" s="664">
        <f>D218+H218+L218+P218+T218+X218+AB218+AF218+AJ218+AN218+AR218</f>
        <v>4346.3360000000002</v>
      </c>
      <c r="AW218" s="664"/>
      <c r="AY218">
        <v>11</v>
      </c>
    </row>
    <row r="219" spans="1:51">
      <c r="A219" s="282"/>
      <c r="B219" s="296" t="s">
        <v>792</v>
      </c>
      <c r="C219" s="296" t="s">
        <v>793</v>
      </c>
      <c r="F219" s="296" t="s">
        <v>792</v>
      </c>
      <c r="G219" s="296" t="s">
        <v>793</v>
      </c>
      <c r="J219" s="296" t="s">
        <v>792</v>
      </c>
      <c r="K219" s="296" t="s">
        <v>793</v>
      </c>
      <c r="N219" s="296" t="s">
        <v>792</v>
      </c>
      <c r="O219" s="296" t="s">
        <v>793</v>
      </c>
      <c r="R219" s="296" t="s">
        <v>792</v>
      </c>
      <c r="S219" s="296" t="s">
        <v>793</v>
      </c>
      <c r="V219" s="296" t="s">
        <v>792</v>
      </c>
      <c r="W219" s="296" t="s">
        <v>793</v>
      </c>
      <c r="Z219" s="296" t="s">
        <v>792</v>
      </c>
      <c r="AA219" s="296" t="s">
        <v>793</v>
      </c>
      <c r="AD219" s="296" t="s">
        <v>792</v>
      </c>
      <c r="AE219" s="296" t="s">
        <v>793</v>
      </c>
      <c r="AH219" s="296" t="s">
        <v>792</v>
      </c>
      <c r="AI219" s="296" t="s">
        <v>793</v>
      </c>
      <c r="AL219" s="296" t="s">
        <v>792</v>
      </c>
      <c r="AM219" s="296" t="s">
        <v>793</v>
      </c>
      <c r="AP219" s="296" t="s">
        <v>792</v>
      </c>
      <c r="AQ219" s="296" t="s">
        <v>793</v>
      </c>
      <c r="AT219" s="283"/>
      <c r="AV219" s="664"/>
      <c r="AW219" s="664"/>
    </row>
    <row r="220" spans="1:51" ht="10.5" customHeight="1">
      <c r="A220" s="282"/>
      <c r="B220" s="700"/>
      <c r="C220" s="700"/>
      <c r="F220" s="700"/>
      <c r="G220" s="700"/>
      <c r="J220" s="700"/>
      <c r="K220" s="700"/>
      <c r="N220" s="700"/>
      <c r="O220" s="700"/>
      <c r="R220" s="700"/>
      <c r="S220" s="700"/>
      <c r="V220" s="700"/>
      <c r="W220" s="700"/>
      <c r="Z220" s="700"/>
      <c r="AA220" s="700"/>
      <c r="AD220" s="700"/>
      <c r="AE220" s="700"/>
      <c r="AH220" s="700"/>
      <c r="AI220" s="700"/>
      <c r="AL220" s="700"/>
      <c r="AM220" s="700"/>
      <c r="AP220" s="700"/>
      <c r="AQ220" s="700"/>
      <c r="AT220" s="283"/>
      <c r="AV220" s="664"/>
      <c r="AW220" s="664"/>
    </row>
    <row r="221" spans="1:51">
      <c r="A221" s="282"/>
      <c r="B221" s="684" t="str">
        <f>VLOOKUP(+B215,'[14]Twr Schedule'!$B$9:$C$611,2,FALSE)</f>
        <v>DA+3</v>
      </c>
      <c r="C221" s="684"/>
      <c r="F221" s="684" t="str">
        <f>VLOOKUP(+F215,'[14]Twr Schedule'!$B$9:$C$611,2,FALSE)</f>
        <v>DA-3</v>
      </c>
      <c r="G221" s="684"/>
      <c r="J221" s="684" t="str">
        <f>VLOOKUP(+J215,'[14]Twr Schedule'!$B$9:$C$611,2,FALSE)</f>
        <v>DA+3</v>
      </c>
      <c r="K221" s="684"/>
      <c r="N221" s="684" t="str">
        <f>VLOOKUP(+N215,'[14]Twr Schedule'!$B$9:$C$611,2,FALSE)</f>
        <v>DA-3</v>
      </c>
      <c r="O221" s="684"/>
      <c r="R221" s="684" t="str">
        <f>VLOOKUP(+R215,'[14]Twr Schedule'!$B$9:$C$611,2,FALSE)</f>
        <v>DA-3</v>
      </c>
      <c r="S221" s="684"/>
      <c r="V221" s="684" t="str">
        <f>VLOOKUP(+V215,'[14]Twr Schedule'!$B$9:$C$611,2,FALSE)</f>
        <v>DA+3</v>
      </c>
      <c r="W221" s="684"/>
      <c r="Z221" s="684" t="str">
        <f>VLOOKUP(+Z215,'[14]Twr Schedule'!$B$9:$C$611,2,FALSE)</f>
        <v>DB2+0</v>
      </c>
      <c r="AA221" s="684"/>
      <c r="AD221" s="684" t="str">
        <f>VLOOKUP(+AD215,'[14]Twr Schedule'!$B$9:$C$611,2,FALSE)</f>
        <v>DA+3</v>
      </c>
      <c r="AE221" s="684"/>
      <c r="AH221" s="684" t="str">
        <f>VLOOKUP(+AH215,'[14]Twr Schedule'!$B$9:$C$611,2,FALSE)</f>
        <v>DA-3</v>
      </c>
      <c r="AI221" s="684"/>
      <c r="AL221" s="684" t="str">
        <f>VLOOKUP(+AL215,'[14]Twr Schedule'!$B$9:$C$611,2,FALSE)</f>
        <v>DA+3</v>
      </c>
      <c r="AM221" s="684"/>
      <c r="AP221" s="684" t="str">
        <f>VLOOKUP(+AP215,'[14]Twr Schedule'!$B$9:$C$611,2,FALSE)</f>
        <v>DA+3</v>
      </c>
      <c r="AQ221" s="684"/>
      <c r="AT221" s="283"/>
      <c r="AV221" s="664"/>
      <c r="AW221" s="664"/>
    </row>
    <row r="222" spans="1:51">
      <c r="A222" s="282"/>
      <c r="AT222" s="283"/>
      <c r="AV222" s="664"/>
      <c r="AW222" s="664"/>
    </row>
    <row r="223" spans="1:51">
      <c r="A223" s="755" t="s">
        <v>849</v>
      </c>
      <c r="B223" s="756"/>
      <c r="C223" s="756"/>
      <c r="D223" s="756"/>
      <c r="E223" s="756"/>
      <c r="F223" s="756"/>
      <c r="G223" s="756"/>
      <c r="H223" s="756"/>
      <c r="I223" s="756"/>
      <c r="J223" s="756"/>
      <c r="K223" s="756"/>
      <c r="L223" s="756"/>
      <c r="M223" s="756"/>
      <c r="N223" s="756"/>
      <c r="O223" s="756"/>
      <c r="P223" s="756"/>
      <c r="Q223" s="756"/>
      <c r="R223" s="756"/>
      <c r="S223" s="756"/>
      <c r="T223" s="756"/>
      <c r="U223" s="756"/>
      <c r="V223" s="756"/>
      <c r="W223" s="756"/>
      <c r="X223" s="756"/>
      <c r="Y223" s="756"/>
      <c r="Z223" s="757"/>
      <c r="AA223" s="660" t="s">
        <v>850</v>
      </c>
      <c r="AB223" s="660"/>
      <c r="AC223" s="660"/>
      <c r="AD223" s="660"/>
      <c r="AE223" s="660"/>
      <c r="AF223" s="660"/>
      <c r="AG223" s="660"/>
      <c r="AH223" s="660"/>
      <c r="AI223" s="660"/>
      <c r="AJ223" s="660"/>
      <c r="AK223" s="660"/>
      <c r="AL223" s="660"/>
      <c r="AM223" s="660"/>
      <c r="AN223" s="660"/>
      <c r="AO223" s="660"/>
      <c r="AP223" s="660"/>
      <c r="AQ223" s="660"/>
      <c r="AR223" s="660"/>
      <c r="AT223" s="283"/>
      <c r="AV223" s="664"/>
      <c r="AW223" s="664"/>
    </row>
    <row r="224" spans="1:51">
      <c r="A224" s="282"/>
      <c r="AT224" s="283"/>
      <c r="AV224" s="664"/>
      <c r="AW224" s="664"/>
    </row>
    <row r="225" spans="1:51">
      <c r="A225" s="282"/>
      <c r="B225" s="664" t="str">
        <f>'[14]Twr Schedule'!B449</f>
        <v>39/5</v>
      </c>
      <c r="C225" s="664"/>
      <c r="F225" s="664" t="str">
        <f>'[14]Twr Schedule'!B451</f>
        <v>39/6</v>
      </c>
      <c r="G225" s="664"/>
      <c r="J225" s="664" t="str">
        <f>'[14]Twr Schedule'!B453</f>
        <v>39/7</v>
      </c>
      <c r="K225" s="664"/>
      <c r="N225" s="664" t="str">
        <f>'[14]Twr Schedule'!B455</f>
        <v>39/8</v>
      </c>
      <c r="O225" s="664"/>
      <c r="R225" s="664" t="str">
        <f>'[14]Twr Schedule'!B457</f>
        <v>39/9</v>
      </c>
      <c r="S225" s="664"/>
      <c r="V225" s="664" t="str">
        <f>'[14]Twr Schedule'!B459</f>
        <v>39/10</v>
      </c>
      <c r="W225" s="664"/>
      <c r="Z225" s="664" t="str">
        <f>'[14]Twr Schedule'!B461</f>
        <v>40/0</v>
      </c>
      <c r="AA225" s="664"/>
      <c r="AD225" s="664" t="str">
        <f>'[14]Twr Schedule'!B463</f>
        <v>41/0</v>
      </c>
      <c r="AE225" s="664"/>
      <c r="AH225" s="664" t="str">
        <f>'[14]Twr Schedule'!B465</f>
        <v>41/1</v>
      </c>
      <c r="AI225" s="664"/>
      <c r="AL225" s="664" t="str">
        <f>'[14]Twr Schedule'!B467</f>
        <v>41/2</v>
      </c>
      <c r="AM225" s="664"/>
      <c r="AP225" s="664" t="str">
        <f>'[14]Twr Schedule'!B469</f>
        <v>42/0</v>
      </c>
      <c r="AQ225" s="664"/>
      <c r="AT225" s="283"/>
      <c r="AV225" s="664"/>
      <c r="AW225" s="664"/>
    </row>
    <row r="226" spans="1:51">
      <c r="A226" s="282"/>
      <c r="AT226" s="283"/>
      <c r="AV226" s="664"/>
      <c r="AW226" s="664"/>
    </row>
    <row r="227" spans="1:51">
      <c r="A227" s="282"/>
      <c r="AT227" s="283"/>
      <c r="AV227" s="664"/>
      <c r="AW227" s="664"/>
    </row>
    <row r="228" spans="1:51">
      <c r="A228" s="282"/>
      <c r="B228" s="296" t="s">
        <v>789</v>
      </c>
      <c r="C228" s="296" t="s">
        <v>790</v>
      </c>
      <c r="D228" s="728">
        <f>VLOOKUP(B225,[14]Progress!$B$9:$D$310,3,FALSE)</f>
        <v>374.38900000000001</v>
      </c>
      <c r="E228" s="729"/>
      <c r="F228" s="314" t="s">
        <v>789</v>
      </c>
      <c r="G228" s="314" t="s">
        <v>790</v>
      </c>
      <c r="H228" s="728">
        <f>VLOOKUP(F225,[14]Progress!$B$9:$D$310,3,FALSE)</f>
        <v>420.39800000000002</v>
      </c>
      <c r="I228" s="729"/>
      <c r="J228" s="314" t="s">
        <v>789</v>
      </c>
      <c r="K228" s="314" t="s">
        <v>790</v>
      </c>
      <c r="L228" s="728">
        <f>VLOOKUP(J225,[14]Progress!$B$9:$D$310,3,FALSE)</f>
        <v>414.00200000000001</v>
      </c>
      <c r="M228" s="729"/>
      <c r="N228" s="314" t="s">
        <v>789</v>
      </c>
      <c r="O228" s="314" t="s">
        <v>790</v>
      </c>
      <c r="P228" s="728">
        <f>VLOOKUP(N225,[14]Progress!$B$9:$D$310,3,FALSE)</f>
        <v>416.00099999999998</v>
      </c>
      <c r="Q228" s="729"/>
      <c r="R228" s="314" t="s">
        <v>789</v>
      </c>
      <c r="S228" s="314" t="s">
        <v>790</v>
      </c>
      <c r="T228" s="728">
        <f>VLOOKUP(R225,[14]Progress!$B$9:$D$310,3,FALSE)</f>
        <v>408.00200000000001</v>
      </c>
      <c r="U228" s="729"/>
      <c r="V228" s="314" t="s">
        <v>789</v>
      </c>
      <c r="W228" s="314" t="s">
        <v>790</v>
      </c>
      <c r="X228" s="728">
        <f>VLOOKUP(V225,[14]Progress!$B$9:$D$310,3,FALSE)</f>
        <v>422.12400000000002</v>
      </c>
      <c r="Y228" s="729"/>
      <c r="Z228" s="314" t="s">
        <v>789</v>
      </c>
      <c r="AA228" s="314" t="s">
        <v>790</v>
      </c>
      <c r="AB228" s="728">
        <f>VLOOKUP(Z225,[14]Progress!$B$9:$D$310,3,FALSE)</f>
        <v>239.30199999999999</v>
      </c>
      <c r="AC228" s="729"/>
      <c r="AD228" s="314" t="s">
        <v>789</v>
      </c>
      <c r="AE228" s="314" t="s">
        <v>790</v>
      </c>
      <c r="AF228" s="728">
        <f>VLOOKUP(AD225,[14]Progress!$B$9:$D$310,3,FALSE)</f>
        <v>425</v>
      </c>
      <c r="AG228" s="729"/>
      <c r="AH228" s="314" t="s">
        <v>789</v>
      </c>
      <c r="AI228" s="314" t="s">
        <v>790</v>
      </c>
      <c r="AJ228" s="728">
        <f>VLOOKUP(AH225,[14]Progress!$B$9:$D$310,3,FALSE)</f>
        <v>370</v>
      </c>
      <c r="AK228" s="729"/>
      <c r="AL228" s="314" t="s">
        <v>789</v>
      </c>
      <c r="AM228" s="314" t="s">
        <v>790</v>
      </c>
      <c r="AN228" s="728">
        <f>VLOOKUP(AL225,[14]Progress!$B$9:$D$310,3,FALSE)</f>
        <v>346.55599999999998</v>
      </c>
      <c r="AO228" s="729"/>
      <c r="AP228" s="314" t="s">
        <v>789</v>
      </c>
      <c r="AQ228" s="314" t="s">
        <v>790</v>
      </c>
      <c r="AR228" s="731">
        <f>VLOOKUP(AP225,[14]Progress!$B$9:$D$310,3,FALSE)</f>
        <v>309.23</v>
      </c>
      <c r="AS228" s="758"/>
      <c r="AT228" s="283"/>
      <c r="AV228" s="664">
        <f>D228+H228+L228+P228+T228+X228+AB228+AF228+AJ228+AN228+AR228</f>
        <v>4145.0040000000008</v>
      </c>
      <c r="AW228" s="664"/>
      <c r="AY228">
        <v>11</v>
      </c>
    </row>
    <row r="229" spans="1:51">
      <c r="A229" s="282"/>
      <c r="B229" s="296" t="s">
        <v>792</v>
      </c>
      <c r="C229" s="296" t="s">
        <v>793</v>
      </c>
      <c r="F229" s="296" t="s">
        <v>792</v>
      </c>
      <c r="G229" s="296" t="s">
        <v>793</v>
      </c>
      <c r="J229" s="296" t="s">
        <v>792</v>
      </c>
      <c r="K229" s="296" t="s">
        <v>793</v>
      </c>
      <c r="N229" s="296" t="s">
        <v>792</v>
      </c>
      <c r="O229" s="296" t="s">
        <v>793</v>
      </c>
      <c r="R229" s="296" t="s">
        <v>792</v>
      </c>
      <c r="S229" s="296" t="s">
        <v>793</v>
      </c>
      <c r="V229" s="296" t="s">
        <v>792</v>
      </c>
      <c r="W229" s="296" t="s">
        <v>793</v>
      </c>
      <c r="Z229" s="296" t="s">
        <v>792</v>
      </c>
      <c r="AA229" s="296" t="s">
        <v>793</v>
      </c>
      <c r="AD229" s="296" t="s">
        <v>792</v>
      </c>
      <c r="AE229" s="296" t="s">
        <v>793</v>
      </c>
      <c r="AH229" s="296" t="s">
        <v>792</v>
      </c>
      <c r="AI229" s="296" t="s">
        <v>793</v>
      </c>
      <c r="AL229" s="296" t="s">
        <v>792</v>
      </c>
      <c r="AM229" s="296" t="s">
        <v>793</v>
      </c>
      <c r="AP229" s="296" t="s">
        <v>792</v>
      </c>
      <c r="AQ229" s="296" t="s">
        <v>793</v>
      </c>
      <c r="AT229" s="283"/>
      <c r="AV229" s="664"/>
      <c r="AW229" s="664"/>
    </row>
    <row r="230" spans="1:51" ht="10.5" customHeight="1">
      <c r="A230" s="282"/>
      <c r="B230" s="700"/>
      <c r="C230" s="700"/>
      <c r="F230" s="700"/>
      <c r="G230" s="700"/>
      <c r="J230" s="700"/>
      <c r="K230" s="700"/>
      <c r="N230" s="700"/>
      <c r="O230" s="700"/>
      <c r="R230" s="700"/>
      <c r="S230" s="700"/>
      <c r="V230" s="700"/>
      <c r="W230" s="700"/>
      <c r="Z230" s="700"/>
      <c r="AA230" s="700"/>
      <c r="AD230" s="700"/>
      <c r="AE230" s="700"/>
      <c r="AH230" s="700"/>
      <c r="AI230" s="700"/>
      <c r="AL230" s="700"/>
      <c r="AM230" s="700"/>
      <c r="AP230" s="700"/>
      <c r="AQ230" s="700"/>
      <c r="AT230" s="283"/>
      <c r="AV230" s="664"/>
      <c r="AW230" s="664"/>
    </row>
    <row r="231" spans="1:51">
      <c r="A231" s="282"/>
      <c r="B231" s="684" t="str">
        <f>VLOOKUP(+B225,'[14]Twr Schedule'!$B$9:$C$611,2,FALSE)</f>
        <v>DA-3</v>
      </c>
      <c r="C231" s="684"/>
      <c r="F231" s="684" t="str">
        <f>VLOOKUP(+F225,'[14]Twr Schedule'!$B$9:$C$611,2,FALSE)</f>
        <v>DA+3</v>
      </c>
      <c r="G231" s="684"/>
      <c r="J231" s="684" t="str">
        <f>VLOOKUP(+J225,'[14]Twr Schedule'!$B$9:$C$611,2,FALSE)</f>
        <v>DA+3</v>
      </c>
      <c r="K231" s="684"/>
      <c r="N231" s="684" t="str">
        <f>VLOOKUP(+N225,'[14]Twr Schedule'!$B$9:$C$611,2,FALSE)</f>
        <v>DA+0</v>
      </c>
      <c r="O231" s="684"/>
      <c r="R231" s="684" t="str">
        <f>VLOOKUP(+R225,'[14]Twr Schedule'!$B$9:$C$611,2,FALSE)</f>
        <v>DA+3</v>
      </c>
      <c r="S231" s="684"/>
      <c r="V231" s="684" t="str">
        <f>VLOOKUP(+V225,'[14]Twr Schedule'!$B$9:$C$611,2,FALSE)</f>
        <v>DA+0</v>
      </c>
      <c r="W231" s="684"/>
      <c r="Z231" s="736" t="str">
        <f>VLOOKUP(+Z225,'[14]Twr Schedule'!$B$9:$C$611,2,FALSE)</f>
        <v>DD60+25</v>
      </c>
      <c r="AA231" s="736"/>
      <c r="AB231" s="315"/>
      <c r="AC231" s="315"/>
      <c r="AD231" s="736" t="str">
        <f>VLOOKUP(+AD225,'[14]Twr Schedule'!$B$9:$C$611,2,FALSE)</f>
        <v>DD60+18</v>
      </c>
      <c r="AE231" s="736"/>
      <c r="AH231" s="684" t="str">
        <f>VLOOKUP(+AH225,'[14]Twr Schedule'!$B$9:$C$611,2,FALSE)</f>
        <v>DA+0</v>
      </c>
      <c r="AI231" s="684"/>
      <c r="AL231" s="684" t="str">
        <f>VLOOKUP(+AL225,'[14]Twr Schedule'!$B$9:$C$611,2,FALSE)</f>
        <v>DA+3</v>
      </c>
      <c r="AM231" s="684"/>
      <c r="AP231" s="759" t="str">
        <f>VLOOKUP(+AP225,'[14]Twr Schedule'!$B$9:$C$611,2,FALSE)</f>
        <v>DD60+18</v>
      </c>
      <c r="AQ231" s="759"/>
      <c r="AT231" s="283"/>
      <c r="AV231" s="664"/>
      <c r="AW231" s="664"/>
    </row>
    <row r="232" spans="1:51">
      <c r="A232" s="282"/>
      <c r="Z232" s="306" t="s">
        <v>851</v>
      </c>
      <c r="AA232" s="306"/>
      <c r="AB232" s="306"/>
      <c r="AC232" s="306"/>
      <c r="AD232" s="306" t="s">
        <v>851</v>
      </c>
      <c r="AE232" s="306"/>
      <c r="AF232" s="306"/>
      <c r="AP232" s="2" t="s">
        <v>852</v>
      </c>
      <c r="AT232" s="283"/>
      <c r="AV232" s="664"/>
      <c r="AW232" s="664"/>
    </row>
    <row r="233" spans="1:51">
      <c r="A233" s="282"/>
      <c r="Z233" t="s">
        <v>853</v>
      </c>
      <c r="AP233" s="2" t="s">
        <v>854</v>
      </c>
      <c r="AT233" s="283"/>
      <c r="AV233" s="664"/>
      <c r="AW233" s="664"/>
    </row>
    <row r="234" spans="1:51">
      <c r="A234" s="612" t="s">
        <v>850</v>
      </c>
      <c r="B234" s="613"/>
      <c r="C234" s="613"/>
      <c r="D234" s="613"/>
      <c r="E234" s="613"/>
      <c r="F234" s="613"/>
      <c r="G234" s="613"/>
      <c r="H234" s="613"/>
      <c r="I234" s="613"/>
      <c r="J234" s="613"/>
      <c r="K234" s="613"/>
      <c r="L234" s="613"/>
      <c r="M234" s="613"/>
      <c r="N234" s="613"/>
      <c r="O234" s="613"/>
      <c r="P234" s="613"/>
      <c r="Q234" s="613"/>
      <c r="R234" s="613"/>
      <c r="S234" s="613"/>
      <c r="T234" s="613"/>
      <c r="U234" s="613"/>
      <c r="V234" s="613"/>
      <c r="W234" s="613"/>
      <c r="X234" s="613"/>
      <c r="Y234" s="613"/>
      <c r="Z234" s="613"/>
      <c r="AA234" s="613"/>
      <c r="AB234" s="613"/>
      <c r="AC234" s="613"/>
      <c r="AD234" s="613"/>
      <c r="AE234" s="613"/>
      <c r="AF234" s="613"/>
      <c r="AG234" s="613"/>
      <c r="AH234" s="613"/>
      <c r="AI234" s="613"/>
      <c r="AJ234" s="613"/>
      <c r="AK234" s="613"/>
      <c r="AL234" s="614"/>
      <c r="AM234" s="660" t="s">
        <v>855</v>
      </c>
      <c r="AN234" s="660"/>
      <c r="AO234" s="660"/>
      <c r="AP234" s="660"/>
      <c r="AQ234" s="660"/>
      <c r="AR234" s="660"/>
      <c r="AT234" s="283"/>
      <c r="AV234" s="664"/>
      <c r="AW234" s="664"/>
    </row>
    <row r="235" spans="1:51">
      <c r="A235" s="282"/>
      <c r="B235" s="664" t="str">
        <f>'[14]Twr Schedule'!B471</f>
        <v>43/0</v>
      </c>
      <c r="C235" s="664"/>
      <c r="F235" s="664" t="str">
        <f>'[14]Twr Schedule'!B473</f>
        <v>44/0</v>
      </c>
      <c r="G235" s="664"/>
      <c r="J235" s="664" t="str">
        <f>'[14]Twr Schedule'!B475</f>
        <v>45/0</v>
      </c>
      <c r="K235" s="664"/>
      <c r="N235" s="664" t="str">
        <f>'[14]Twr Schedule'!B477</f>
        <v>45/1</v>
      </c>
      <c r="O235" s="664"/>
      <c r="R235" s="664" t="str">
        <f>'[14]Twr Schedule'!B479</f>
        <v>45/2</v>
      </c>
      <c r="S235" s="664"/>
      <c r="V235" s="664" t="str">
        <f>'[14]Twr Schedule'!B481</f>
        <v>45/3</v>
      </c>
      <c r="W235" s="664"/>
      <c r="Z235" s="664" t="str">
        <f>'[14]Twr Schedule'!B483</f>
        <v>46/0</v>
      </c>
      <c r="AA235" s="664"/>
      <c r="AD235" s="664" t="str">
        <f>'[14]Twr Schedule'!B485</f>
        <v>46/1</v>
      </c>
      <c r="AE235" s="664"/>
      <c r="AH235" s="664" t="str">
        <f>'[14]Twr Schedule'!B487</f>
        <v>46/2</v>
      </c>
      <c r="AI235" s="664"/>
      <c r="AL235" s="664" t="str">
        <f>'[14]Twr Schedule'!B489</f>
        <v>47/0</v>
      </c>
      <c r="AM235" s="664"/>
      <c r="AP235" s="664" t="str">
        <f>'[14]Twr Schedule'!B491</f>
        <v>48/0</v>
      </c>
      <c r="AQ235" s="664"/>
      <c r="AT235" s="283"/>
      <c r="AV235" s="664"/>
      <c r="AW235" s="664"/>
    </row>
    <row r="236" spans="1:51">
      <c r="A236" s="282"/>
      <c r="AT236" s="283"/>
      <c r="AV236" s="664"/>
      <c r="AW236" s="664"/>
    </row>
    <row r="237" spans="1:51">
      <c r="A237" s="282"/>
      <c r="AT237" s="283"/>
      <c r="AV237" s="664"/>
      <c r="AW237" s="664"/>
    </row>
    <row r="238" spans="1:51">
      <c r="A238" s="282"/>
      <c r="B238" s="296" t="s">
        <v>789</v>
      </c>
      <c r="C238" s="296" t="s">
        <v>790</v>
      </c>
      <c r="D238" s="728">
        <f>VLOOKUP(B235,[14]Progress!$B$9:$D$310,3,FALSE)</f>
        <v>459.66899999999998</v>
      </c>
      <c r="E238" s="729"/>
      <c r="F238" s="314" t="s">
        <v>789</v>
      </c>
      <c r="G238" s="314" t="s">
        <v>790</v>
      </c>
      <c r="H238" s="731">
        <f>VLOOKUP(F235,[14]Progress!$B$9:$D$310,3,FALSE)</f>
        <v>300.00099999999998</v>
      </c>
      <c r="I238" s="732"/>
      <c r="J238" s="314" t="s">
        <v>789</v>
      </c>
      <c r="K238" s="314" t="s">
        <v>790</v>
      </c>
      <c r="L238" s="728">
        <f>VLOOKUP(J235,[14]Progress!$B$9:$D$310,3,FALSE)</f>
        <v>331</v>
      </c>
      <c r="M238" s="729"/>
      <c r="N238" s="314" t="s">
        <v>789</v>
      </c>
      <c r="O238" s="314" t="s">
        <v>790</v>
      </c>
      <c r="P238" s="728">
        <f>VLOOKUP(N235,[14]Progress!$B$9:$D$310,3,FALSE)</f>
        <v>422</v>
      </c>
      <c r="Q238" s="729"/>
      <c r="R238" s="314" t="s">
        <v>789</v>
      </c>
      <c r="S238" s="314" t="s">
        <v>790</v>
      </c>
      <c r="T238" s="728">
        <f>VLOOKUP(R235,[14]Progress!$B$9:$D$310,3,FALSE)</f>
        <v>395</v>
      </c>
      <c r="U238" s="729"/>
      <c r="V238" s="314" t="s">
        <v>789</v>
      </c>
      <c r="W238" s="314" t="s">
        <v>790</v>
      </c>
      <c r="X238" s="728">
        <f>VLOOKUP(V235,[14]Progress!$B$9:$D$310,3,FALSE)</f>
        <v>309.88099999999997</v>
      </c>
      <c r="Y238" s="729"/>
      <c r="Z238" s="314" t="s">
        <v>789</v>
      </c>
      <c r="AA238" s="314" t="s">
        <v>790</v>
      </c>
      <c r="AB238" s="728">
        <f>VLOOKUP(Z235,[14]Progress!$B$9:$D$310,3,FALSE)</f>
        <v>331</v>
      </c>
      <c r="AC238" s="729"/>
      <c r="AD238" s="314" t="s">
        <v>789</v>
      </c>
      <c r="AE238" s="314" t="s">
        <v>790</v>
      </c>
      <c r="AF238" s="728">
        <f>VLOOKUP(AD235,[14]Progress!$B$9:$D$310,3,FALSE)</f>
        <v>421</v>
      </c>
      <c r="AG238" s="729"/>
      <c r="AH238" s="314" t="s">
        <v>789</v>
      </c>
      <c r="AI238" s="314" t="s">
        <v>790</v>
      </c>
      <c r="AJ238" s="728">
        <f>VLOOKUP(AH235,[14]Progress!$B$9:$D$310,3,FALSE)</f>
        <v>403.60599999999999</v>
      </c>
      <c r="AK238" s="729"/>
      <c r="AL238" s="314" t="s">
        <v>789</v>
      </c>
      <c r="AM238" s="314" t="s">
        <v>790</v>
      </c>
      <c r="AN238" s="731">
        <f>VLOOKUP(AL235,[14]Progress!$B$9:$D$310,3,FALSE)</f>
        <v>358.62599999999998</v>
      </c>
      <c r="AO238" s="732"/>
      <c r="AP238" s="314" t="s">
        <v>789</v>
      </c>
      <c r="AQ238" s="314" t="s">
        <v>790</v>
      </c>
      <c r="AR238" s="728">
        <f>VLOOKUP(AP235,[14]Progress!$B$9:$D$310,3,FALSE)</f>
        <v>388</v>
      </c>
      <c r="AS238" s="730"/>
      <c r="AT238" s="283"/>
      <c r="AV238" s="664">
        <f>D238+H238+L238+P238+T238+X238+AB238+AF238+AJ238+AN238+AR238</f>
        <v>4119.7830000000004</v>
      </c>
      <c r="AW238" s="664"/>
      <c r="AY238">
        <v>11</v>
      </c>
    </row>
    <row r="239" spans="1:51">
      <c r="A239" s="282"/>
      <c r="B239" s="296" t="s">
        <v>792</v>
      </c>
      <c r="C239" s="296" t="s">
        <v>793</v>
      </c>
      <c r="F239" s="296" t="s">
        <v>792</v>
      </c>
      <c r="G239" s="296" t="s">
        <v>793</v>
      </c>
      <c r="J239" s="296" t="s">
        <v>792</v>
      </c>
      <c r="K239" s="296" t="s">
        <v>793</v>
      </c>
      <c r="N239" s="296" t="s">
        <v>792</v>
      </c>
      <c r="O239" s="296" t="s">
        <v>793</v>
      </c>
      <c r="R239" s="296" t="s">
        <v>792</v>
      </c>
      <c r="S239" s="296" t="s">
        <v>793</v>
      </c>
      <c r="V239" s="296" t="s">
        <v>792</v>
      </c>
      <c r="W239" s="296" t="s">
        <v>793</v>
      </c>
      <c r="Z239" s="296" t="s">
        <v>792</v>
      </c>
      <c r="AA239" s="296" t="s">
        <v>793</v>
      </c>
      <c r="AD239" s="296" t="s">
        <v>792</v>
      </c>
      <c r="AE239" s="296" t="s">
        <v>793</v>
      </c>
      <c r="AH239" s="296" t="s">
        <v>792</v>
      </c>
      <c r="AI239" s="296" t="s">
        <v>793</v>
      </c>
      <c r="AL239" s="296" t="s">
        <v>792</v>
      </c>
      <c r="AM239" s="296" t="s">
        <v>793</v>
      </c>
      <c r="AP239" s="296" t="s">
        <v>792</v>
      </c>
      <c r="AQ239" s="296" t="s">
        <v>793</v>
      </c>
      <c r="AT239" s="283"/>
      <c r="AV239" s="664"/>
      <c r="AW239" s="664"/>
    </row>
    <row r="240" spans="1:51" ht="10.5" customHeight="1">
      <c r="A240" s="282"/>
      <c r="B240" s="700"/>
      <c r="C240" s="700"/>
      <c r="F240" s="700"/>
      <c r="G240" s="700"/>
      <c r="J240" s="700"/>
      <c r="K240" s="700"/>
      <c r="N240" s="700"/>
      <c r="O240" s="700"/>
      <c r="R240" s="700"/>
      <c r="S240" s="700"/>
      <c r="V240" s="700"/>
      <c r="W240" s="700"/>
      <c r="Z240" s="700"/>
      <c r="AA240" s="700"/>
      <c r="AD240" s="700"/>
      <c r="AE240" s="700"/>
      <c r="AH240" s="700"/>
      <c r="AI240" s="700"/>
      <c r="AL240" s="700"/>
      <c r="AM240" s="700"/>
      <c r="AP240" s="700"/>
      <c r="AQ240" s="700"/>
      <c r="AT240" s="283"/>
      <c r="AV240" s="664"/>
      <c r="AW240" s="664"/>
    </row>
    <row r="241" spans="1:51">
      <c r="A241" s="282"/>
      <c r="B241" s="684" t="str">
        <f>VLOOKUP(+B235,'[14]Twr Schedule'!$B$9:$C$611,2,FALSE)</f>
        <v>DD60+9</v>
      </c>
      <c r="C241" s="684"/>
      <c r="F241" s="684" t="str">
        <f>VLOOKUP(+F235,'[14]Twr Schedule'!$B$9:$C$611,2,FALSE)</f>
        <v>DD60+3</v>
      </c>
      <c r="G241" s="684"/>
      <c r="J241" s="684" t="str">
        <f>VLOOKUP(+J235,'[14]Twr Schedule'!$B$9:$C$611,2,FALSE)</f>
        <v>DD60+0</v>
      </c>
      <c r="K241" s="684"/>
      <c r="N241" s="684" t="str">
        <f>VLOOKUP(+N235,'[14]Twr Schedule'!$B$9:$C$611,2,FALSE)</f>
        <v>DA+3</v>
      </c>
      <c r="O241" s="684"/>
      <c r="R241" s="684" t="str">
        <f>VLOOKUP(+R235,'[14]Twr Schedule'!$B$9:$C$611,2,FALSE)</f>
        <v>DA+3</v>
      </c>
      <c r="S241" s="684"/>
      <c r="V241" s="684" t="str">
        <f>VLOOKUP(+V235,'[14]Twr Schedule'!$B$9:$C$611,2,FALSE)</f>
        <v>DA-3</v>
      </c>
      <c r="W241" s="684"/>
      <c r="Z241" s="684" t="str">
        <f>VLOOKUP(+Z235,'[14]Twr Schedule'!$B$9:$C$611,2,FALSE)</f>
        <v>DB2+0</v>
      </c>
      <c r="AA241" s="684"/>
      <c r="AD241" s="684" t="str">
        <f>VLOOKUP(+AD235,'[14]Twr Schedule'!$B$9:$C$611,2,FALSE)</f>
        <v>DA+0</v>
      </c>
      <c r="AE241" s="684"/>
      <c r="AH241" s="684" t="str">
        <f>VLOOKUP(+AH235,'[14]Twr Schedule'!$B$9:$C$611,2,FALSE)</f>
        <v>DA+3</v>
      </c>
      <c r="AI241" s="684"/>
      <c r="AL241" s="684" t="str">
        <f>VLOOKUP(+AL235,'[14]Twr Schedule'!$B$9:$C$611,2,FALSE)</f>
        <v>DC2+9</v>
      </c>
      <c r="AM241" s="684"/>
      <c r="AP241" s="684" t="str">
        <f>VLOOKUP(+AP235,'[14]Twr Schedule'!$B$9:$C$611,2,FALSE)</f>
        <v>DD45+9</v>
      </c>
      <c r="AQ241" s="684"/>
      <c r="AT241" s="283"/>
      <c r="AV241" s="664"/>
      <c r="AW241" s="664"/>
    </row>
    <row r="242" spans="1:51">
      <c r="A242" s="282"/>
      <c r="B242" s="306" t="s">
        <v>851</v>
      </c>
      <c r="G242" t="s">
        <v>856</v>
      </c>
      <c r="AM242" t="s">
        <v>857</v>
      </c>
      <c r="AT242" s="283"/>
      <c r="AV242" s="664"/>
      <c r="AW242" s="664"/>
    </row>
    <row r="243" spans="1:51">
      <c r="A243" s="660" t="s">
        <v>855</v>
      </c>
      <c r="B243" s="660"/>
      <c r="C243" s="660"/>
      <c r="D243" s="660"/>
      <c r="E243" s="660"/>
      <c r="F243" s="660"/>
      <c r="G243" s="660"/>
      <c r="H243" s="660"/>
      <c r="I243" s="660"/>
      <c r="J243" s="660"/>
      <c r="K243" s="660"/>
      <c r="L243" s="660"/>
      <c r="M243" s="660"/>
      <c r="N243" s="660"/>
      <c r="O243" s="660"/>
      <c r="P243" s="660"/>
      <c r="Q243" s="660"/>
      <c r="R243" s="660"/>
      <c r="S243" s="660"/>
      <c r="T243" s="660"/>
      <c r="U243" s="660"/>
      <c r="V243" s="660"/>
      <c r="W243" s="660"/>
      <c r="X243" s="660"/>
      <c r="Y243" s="660"/>
      <c r="Z243" s="660"/>
      <c r="AA243" s="660" t="s">
        <v>858</v>
      </c>
      <c r="AB243" s="660"/>
      <c r="AC243" s="660"/>
      <c r="AD243" s="660"/>
      <c r="AE243" s="660"/>
      <c r="AF243" s="660"/>
      <c r="AG243" s="660"/>
      <c r="AH243" s="660"/>
      <c r="AI243" s="660"/>
      <c r="AJ243" s="660"/>
      <c r="AK243" s="660"/>
      <c r="AL243" s="660"/>
      <c r="AM243" s="660"/>
      <c r="AN243" s="660"/>
      <c r="AO243" s="660"/>
      <c r="AP243" s="660"/>
      <c r="AQ243" s="660"/>
      <c r="AR243" s="660"/>
      <c r="AT243" s="283"/>
      <c r="AV243" s="664"/>
      <c r="AW243" s="664"/>
    </row>
    <row r="244" spans="1:51">
      <c r="A244" s="282"/>
      <c r="AT244" s="283"/>
      <c r="AV244" s="664"/>
      <c r="AW244" s="664"/>
    </row>
    <row r="245" spans="1:51">
      <c r="A245" s="282"/>
      <c r="B245" s="664" t="str">
        <f>'[14]Twr Schedule'!B493</f>
        <v>48/1</v>
      </c>
      <c r="C245" s="664"/>
      <c r="F245" s="664" t="str">
        <f>'[14]Twr Schedule'!B495</f>
        <v>49/0</v>
      </c>
      <c r="G245" s="664"/>
      <c r="J245" s="664" t="str">
        <f>'[14]Twr Schedule'!B497</f>
        <v>50/0</v>
      </c>
      <c r="K245" s="664"/>
      <c r="N245" s="664" t="str">
        <f>'[14]Twr Schedule'!B499</f>
        <v>50/1</v>
      </c>
      <c r="O245" s="664"/>
      <c r="R245" s="664" t="str">
        <f>'[14]Twr Schedule'!B501</f>
        <v>51/0</v>
      </c>
      <c r="S245" s="664"/>
      <c r="V245" s="664" t="str">
        <f>'[14]Twr Schedule'!B503</f>
        <v>52/0</v>
      </c>
      <c r="W245" s="664"/>
      <c r="Z245" s="664" t="str">
        <f>'[14]Twr Schedule'!B505</f>
        <v>52/1</v>
      </c>
      <c r="AA245" s="664"/>
      <c r="AD245" s="664" t="str">
        <f>'[14]Twr Schedule'!B507</f>
        <v>52/2</v>
      </c>
      <c r="AE245" s="664"/>
      <c r="AH245" s="664" t="str">
        <f>'[14]Twr Schedule'!B509</f>
        <v>52/3</v>
      </c>
      <c r="AI245" s="664"/>
      <c r="AL245" s="664" t="str">
        <f>'[14]Twr Schedule'!B511</f>
        <v>52/4</v>
      </c>
      <c r="AM245" s="664"/>
      <c r="AP245" s="664" t="str">
        <f>'[14]Twr Schedule'!B513</f>
        <v>52/5</v>
      </c>
      <c r="AQ245" s="664"/>
      <c r="AT245" s="283"/>
      <c r="AV245" s="664"/>
      <c r="AW245" s="664"/>
    </row>
    <row r="246" spans="1:51">
      <c r="A246" s="282"/>
      <c r="AT246" s="283"/>
      <c r="AV246" s="664"/>
      <c r="AW246" s="664"/>
    </row>
    <row r="247" spans="1:51">
      <c r="A247" s="282"/>
      <c r="AT247" s="283"/>
      <c r="AV247" s="664"/>
      <c r="AW247" s="664"/>
    </row>
    <row r="248" spans="1:51">
      <c r="A248" s="282"/>
      <c r="B248" s="296" t="s">
        <v>789</v>
      </c>
      <c r="C248" s="296" t="s">
        <v>790</v>
      </c>
      <c r="D248" s="728">
        <f>VLOOKUP(B245,[14]Progress!$B$9:$D$310,3,FALSE)</f>
        <v>387.94299999999998</v>
      </c>
      <c r="E248" s="729"/>
      <c r="F248" s="314" t="s">
        <v>789</v>
      </c>
      <c r="G248" s="314" t="s">
        <v>790</v>
      </c>
      <c r="H248" s="731">
        <f>VLOOKUP(F245,[14]Progress!$B$9:$D$310,3,FALSE)</f>
        <v>372.02600000000001</v>
      </c>
      <c r="I248" s="732"/>
      <c r="J248" s="314" t="s">
        <v>789</v>
      </c>
      <c r="K248" s="314" t="s">
        <v>790</v>
      </c>
      <c r="L248" s="728">
        <f>VLOOKUP(J245,[14]Progress!$B$9:$D$310,3,FALSE)</f>
        <v>435</v>
      </c>
      <c r="M248" s="729"/>
      <c r="N248" s="314" t="s">
        <v>789</v>
      </c>
      <c r="O248" s="314" t="s">
        <v>790</v>
      </c>
      <c r="P248" s="728">
        <f>VLOOKUP(N245,[14]Progress!$B$9:$D$310,3,FALSE)</f>
        <v>242.99600000000001</v>
      </c>
      <c r="Q248" s="729"/>
      <c r="R248" s="314" t="s">
        <v>789</v>
      </c>
      <c r="S248" s="314" t="s">
        <v>790</v>
      </c>
      <c r="T248" s="731">
        <f>VLOOKUP(R245,[14]Progress!$B$9:$D$310,3,FALSE)</f>
        <v>238.92599999999999</v>
      </c>
      <c r="U248" s="732"/>
      <c r="V248" s="314" t="s">
        <v>789</v>
      </c>
      <c r="W248" s="314" t="s">
        <v>790</v>
      </c>
      <c r="X248" s="728">
        <f>VLOOKUP(V245,[14]Progress!$B$9:$D$310,3,FALSE)</f>
        <v>461</v>
      </c>
      <c r="Y248" s="729"/>
      <c r="Z248" s="314" t="s">
        <v>789</v>
      </c>
      <c r="AA248" s="314" t="s">
        <v>790</v>
      </c>
      <c r="AB248" s="728">
        <f>VLOOKUP(Z245,[14]Progress!$B$9:$D$310,3,FALSE)</f>
        <v>421</v>
      </c>
      <c r="AC248" s="729"/>
      <c r="AD248" s="314" t="s">
        <v>789</v>
      </c>
      <c r="AE248" s="314" t="s">
        <v>790</v>
      </c>
      <c r="AF248" s="728">
        <f>VLOOKUP(AD245,[14]Progress!$B$9:$D$310,3,FALSE)</f>
        <v>375</v>
      </c>
      <c r="AG248" s="729"/>
      <c r="AH248" s="314" t="s">
        <v>789</v>
      </c>
      <c r="AI248" s="314" t="s">
        <v>790</v>
      </c>
      <c r="AJ248" s="728">
        <f>VLOOKUP(AH245,[14]Progress!$B$9:$D$310,3,FALSE)</f>
        <v>346</v>
      </c>
      <c r="AK248" s="729"/>
      <c r="AL248" s="314" t="s">
        <v>789</v>
      </c>
      <c r="AM248" s="314" t="s">
        <v>790</v>
      </c>
      <c r="AN248" s="728">
        <f>VLOOKUP(AL245,[14]Progress!$B$9:$D$310,3,FALSE)</f>
        <v>348</v>
      </c>
      <c r="AO248" s="729"/>
      <c r="AP248" s="314" t="s">
        <v>789</v>
      </c>
      <c r="AQ248" s="314" t="s">
        <v>790</v>
      </c>
      <c r="AR248" s="728">
        <f>VLOOKUP(AP245,[14]Progress!$B$9:$D$310,3,FALSE)</f>
        <v>357</v>
      </c>
      <c r="AS248" s="730"/>
      <c r="AT248" s="283"/>
      <c r="AV248" s="664">
        <f>D248+H248+L248+P248+T248+X248+AB248+AF248+AJ248+AN248+AR248</f>
        <v>3984.8910000000001</v>
      </c>
      <c r="AW248" s="664"/>
      <c r="AY248">
        <v>11</v>
      </c>
    </row>
    <row r="249" spans="1:51">
      <c r="A249" s="282"/>
      <c r="B249" s="296" t="s">
        <v>792</v>
      </c>
      <c r="C249" s="296" t="s">
        <v>793</v>
      </c>
      <c r="F249" s="296" t="s">
        <v>792</v>
      </c>
      <c r="G249" s="296" t="s">
        <v>793</v>
      </c>
      <c r="J249" s="296" t="s">
        <v>792</v>
      </c>
      <c r="K249" s="296" t="s">
        <v>793</v>
      </c>
      <c r="N249" s="296" t="s">
        <v>792</v>
      </c>
      <c r="O249" s="296" t="s">
        <v>793</v>
      </c>
      <c r="R249" s="296" t="s">
        <v>792</v>
      </c>
      <c r="S249" s="296" t="s">
        <v>793</v>
      </c>
      <c r="V249" s="296" t="s">
        <v>792</v>
      </c>
      <c r="W249" s="296" t="s">
        <v>793</v>
      </c>
      <c r="Z249" s="296" t="s">
        <v>792</v>
      </c>
      <c r="AA249" s="296" t="s">
        <v>793</v>
      </c>
      <c r="AD249" s="296" t="s">
        <v>792</v>
      </c>
      <c r="AE249" s="296" t="s">
        <v>793</v>
      </c>
      <c r="AH249" s="296" t="s">
        <v>792</v>
      </c>
      <c r="AI249" s="296" t="s">
        <v>793</v>
      </c>
      <c r="AL249" s="296" t="s">
        <v>792</v>
      </c>
      <c r="AM249" s="296" t="s">
        <v>793</v>
      </c>
      <c r="AP249" s="296" t="s">
        <v>792</v>
      </c>
      <c r="AQ249" s="296" t="s">
        <v>793</v>
      </c>
      <c r="AT249" s="283"/>
      <c r="AV249" s="664"/>
      <c r="AW249" s="664"/>
    </row>
    <row r="250" spans="1:51" ht="10.5" customHeight="1">
      <c r="A250" s="282"/>
      <c r="B250" s="700"/>
      <c r="C250" s="700"/>
      <c r="F250" s="700"/>
      <c r="G250" s="700"/>
      <c r="J250" s="700"/>
      <c r="K250" s="700"/>
      <c r="N250" s="700"/>
      <c r="O250" s="700"/>
      <c r="R250" s="700"/>
      <c r="S250" s="700"/>
      <c r="V250" s="700"/>
      <c r="W250" s="700"/>
      <c r="Z250" s="700"/>
      <c r="AA250" s="700"/>
      <c r="AD250" s="700"/>
      <c r="AE250" s="700"/>
      <c r="AH250" s="700"/>
      <c r="AI250" s="700"/>
      <c r="AL250" s="700"/>
      <c r="AM250" s="700"/>
      <c r="AP250" s="700"/>
      <c r="AQ250" s="700"/>
      <c r="AT250" s="283"/>
      <c r="AV250" s="664"/>
      <c r="AW250" s="664"/>
    </row>
    <row r="251" spans="1:51">
      <c r="A251" s="282"/>
      <c r="B251" s="684" t="str">
        <f>VLOOKUP(+B245,'[14]Twr Schedule'!$B$9:$C$611,2,FALSE)</f>
        <v>DA-3</v>
      </c>
      <c r="C251" s="684"/>
      <c r="F251" s="684" t="str">
        <f>VLOOKUP(+F245,'[14]Twr Schedule'!$B$9:$C$611,2,FALSE)</f>
        <v>DC2+9</v>
      </c>
      <c r="G251" s="684"/>
      <c r="J251" s="684" t="str">
        <f>VLOOKUP(+J245,'[14]Twr Schedule'!$B$9:$C$611,2,FALSE)</f>
        <v>DC1+18</v>
      </c>
      <c r="K251" s="684"/>
      <c r="N251" s="684" t="str">
        <f>VLOOKUP(+N245,'[14]Twr Schedule'!$B$9:$C$611,2,FALSE)</f>
        <v>DA+0</v>
      </c>
      <c r="O251" s="684"/>
      <c r="R251" s="684" t="str">
        <f>VLOOKUP(+R245,'[14]Twr Schedule'!$B$9:$C$611,2,FALSE)</f>
        <v>DD60+0</v>
      </c>
      <c r="S251" s="684"/>
      <c r="V251" s="684" t="str">
        <f>VLOOKUP(+V245,'[14]Twr Schedule'!$B$9:$C$611,2,FALSE)</f>
        <v>DC2+9</v>
      </c>
      <c r="W251" s="684"/>
      <c r="Z251" s="684" t="str">
        <f>VLOOKUP(+Z245,'[14]Twr Schedule'!$B$9:$C$611,2,FALSE)</f>
        <v>DB1+6</v>
      </c>
      <c r="AA251" s="684"/>
      <c r="AD251" s="684" t="str">
        <f>VLOOKUP(+AD245,'[14]Twr Schedule'!$B$9:$C$611,2,FALSE)</f>
        <v>DA+3</v>
      </c>
      <c r="AE251" s="684"/>
      <c r="AH251" s="684" t="str">
        <f>VLOOKUP(+AH245,'[14]Twr Schedule'!$B$9:$C$611,2,FALSE)</f>
        <v>DA-3</v>
      </c>
      <c r="AI251" s="684"/>
      <c r="AL251" s="684" t="str">
        <f>VLOOKUP(+AL245,'[14]Twr Schedule'!$B$9:$C$611,2,FALSE)</f>
        <v>DA-3</v>
      </c>
      <c r="AM251" s="684"/>
      <c r="AP251" s="684" t="str">
        <f>VLOOKUP(+AP245,'[14]Twr Schedule'!$B$9:$C$611,2,FALSE)</f>
        <v>DA-3</v>
      </c>
      <c r="AQ251" s="684"/>
      <c r="AT251" s="283"/>
      <c r="AV251" s="664"/>
      <c r="AW251" s="664"/>
    </row>
    <row r="252" spans="1:51">
      <c r="A252" s="282"/>
      <c r="B252" s="2"/>
      <c r="C252" s="2"/>
      <c r="F252" s="312" t="s">
        <v>859</v>
      </c>
      <c r="G252" s="2"/>
      <c r="J252" s="2"/>
      <c r="K252" s="2"/>
      <c r="N252" s="2"/>
      <c r="O252" s="2"/>
      <c r="R252" s="312" t="s">
        <v>860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64"/>
      <c r="AW252" s="664"/>
    </row>
    <row r="253" spans="1:51">
      <c r="A253" s="612" t="s">
        <v>858</v>
      </c>
      <c r="B253" s="613"/>
      <c r="C253" s="613"/>
      <c r="D253" s="613"/>
      <c r="E253" s="613"/>
      <c r="F253" s="613"/>
      <c r="G253" s="613"/>
      <c r="H253" s="613"/>
      <c r="I253" s="613"/>
      <c r="J253" s="613"/>
      <c r="K253" s="613"/>
      <c r="L253" s="613"/>
      <c r="M253" s="613"/>
      <c r="N253" s="613"/>
      <c r="O253" s="613"/>
      <c r="P253" s="613"/>
      <c r="Q253" s="613"/>
      <c r="R253" s="613"/>
      <c r="S253" s="613"/>
      <c r="T253" s="613"/>
      <c r="U253" s="613"/>
      <c r="V253" s="614"/>
      <c r="W253" s="660" t="s">
        <v>861</v>
      </c>
      <c r="X253" s="660"/>
      <c r="Y253" s="660"/>
      <c r="Z253" s="660"/>
      <c r="AA253" s="660"/>
      <c r="AB253" s="660"/>
      <c r="AC253" s="660"/>
      <c r="AD253" s="660"/>
      <c r="AE253" s="660"/>
      <c r="AF253" s="660"/>
      <c r="AG253" s="660"/>
      <c r="AH253" s="660"/>
      <c r="AI253" s="660"/>
      <c r="AJ253" s="660"/>
      <c r="AK253" s="660"/>
      <c r="AL253" s="660"/>
      <c r="AM253" s="660"/>
      <c r="AN253" s="660"/>
      <c r="AO253" s="660"/>
      <c r="AP253" s="660"/>
      <c r="AQ253" s="660"/>
      <c r="AR253" s="660"/>
      <c r="AT253" s="283"/>
      <c r="AV253" s="664"/>
      <c r="AW253" s="664"/>
    </row>
    <row r="254" spans="1:51">
      <c r="A254" s="282"/>
      <c r="AT254" s="283"/>
      <c r="AV254" s="664"/>
      <c r="AW254" s="664"/>
    </row>
    <row r="255" spans="1:51">
      <c r="A255" s="282"/>
      <c r="B255" s="664" t="str">
        <f>'[14]Twr Schedule'!B515</f>
        <v>52/6</v>
      </c>
      <c r="C255" s="664"/>
      <c r="F255" s="664" t="str">
        <f>'[14]Twr Schedule'!B517</f>
        <v>52/7</v>
      </c>
      <c r="G255" s="664"/>
      <c r="J255" s="664" t="str">
        <f>'[14]Twr Schedule'!B519</f>
        <v>52/8</v>
      </c>
      <c r="K255" s="664"/>
      <c r="N255" s="664" t="str">
        <f>'[14]Twr Schedule'!B521</f>
        <v>52/9</v>
      </c>
      <c r="O255" s="664"/>
      <c r="R255" s="664" t="str">
        <f>'[14]Twr Schedule'!B523</f>
        <v>52/10</v>
      </c>
      <c r="S255" s="664"/>
      <c r="V255" s="664" t="str">
        <f>'[14]Twr Schedule'!B525</f>
        <v>53/0</v>
      </c>
      <c r="W255" s="664"/>
      <c r="Z255" s="664" t="str">
        <f>'[14]Twr Schedule'!B527</f>
        <v>53/1</v>
      </c>
      <c r="AA255" s="664"/>
      <c r="AD255" s="664" t="str">
        <f>'[14]Twr Schedule'!B529</f>
        <v>53A/0</v>
      </c>
      <c r="AE255" s="664"/>
      <c r="AH255" s="664" t="str">
        <f>'[14]Twr Schedule'!B531</f>
        <v>53A/1</v>
      </c>
      <c r="AI255" s="664"/>
      <c r="AL255" s="664" t="str">
        <f>'[14]Twr Schedule'!B533</f>
        <v>53A/2</v>
      </c>
      <c r="AM255" s="664"/>
      <c r="AP255" s="664" t="str">
        <f>'[14]Twr Schedule'!B535</f>
        <v>53A/3</v>
      </c>
      <c r="AQ255" s="664"/>
      <c r="AT255" s="283"/>
      <c r="AV255" s="664"/>
      <c r="AW255" s="664"/>
    </row>
    <row r="256" spans="1:51">
      <c r="A256" s="282"/>
      <c r="AT256" s="283"/>
      <c r="AV256" s="664"/>
      <c r="AW256" s="664"/>
    </row>
    <row r="257" spans="1:51">
      <c r="A257" s="282"/>
      <c r="AT257" s="283"/>
      <c r="AV257" s="664"/>
      <c r="AW257" s="664"/>
    </row>
    <row r="258" spans="1:51">
      <c r="A258" s="282"/>
      <c r="B258" s="296" t="s">
        <v>789</v>
      </c>
      <c r="C258" s="296" t="s">
        <v>790</v>
      </c>
      <c r="D258" s="666">
        <f>VLOOKUP(B255,[14]Progress!$B$9:$D$310,3,FALSE)</f>
        <v>439</v>
      </c>
      <c r="E258" s="665"/>
      <c r="F258" s="296" t="s">
        <v>789</v>
      </c>
      <c r="G258" s="296" t="s">
        <v>790</v>
      </c>
      <c r="H258" s="666">
        <f>VLOOKUP(F255,[14]Progress!$B$9:$D$310,3,FALSE)</f>
        <v>378</v>
      </c>
      <c r="I258" s="665"/>
      <c r="J258" s="296" t="s">
        <v>789</v>
      </c>
      <c r="K258" s="296" t="s">
        <v>790</v>
      </c>
      <c r="L258" s="666">
        <f>VLOOKUP(J255,[14]Progress!$B$9:$D$310,3,FALSE)</f>
        <v>349</v>
      </c>
      <c r="M258" s="665"/>
      <c r="N258" s="296" t="s">
        <v>789</v>
      </c>
      <c r="O258" s="296" t="s">
        <v>790</v>
      </c>
      <c r="P258" s="666">
        <f>VLOOKUP(N255,[14]Progress!$B$9:$D$310,3,FALSE)</f>
        <v>392</v>
      </c>
      <c r="Q258" s="665"/>
      <c r="R258" s="296" t="s">
        <v>789</v>
      </c>
      <c r="S258" s="296" t="s">
        <v>790</v>
      </c>
      <c r="T258" s="728">
        <f>VLOOKUP(R255,[14]Progress!$B$9:$D$310,3,FALSE)</f>
        <v>409.43</v>
      </c>
      <c r="U258" s="729"/>
      <c r="V258" s="314" t="s">
        <v>789</v>
      </c>
      <c r="W258" s="314" t="s">
        <v>790</v>
      </c>
      <c r="X258" s="728">
        <f>VLOOKUP(V255,[14]Progress!$B$9:$D$310,3,FALSE)</f>
        <v>428</v>
      </c>
      <c r="Y258" s="729"/>
      <c r="Z258" s="314" t="s">
        <v>789</v>
      </c>
      <c r="AA258" s="314" t="s">
        <v>790</v>
      </c>
      <c r="AB258" s="728">
        <f>VLOOKUP(Z255,[14]Progress!$B$9:$D$310,3,FALSE)</f>
        <v>403.77800000000002</v>
      </c>
      <c r="AC258" s="729"/>
      <c r="AD258" s="314" t="s">
        <v>789</v>
      </c>
      <c r="AE258" s="314" t="s">
        <v>790</v>
      </c>
      <c r="AF258" s="728">
        <f>VLOOKUP(AD255,[14]Progress!$B$9:$D$310,3,FALSE)</f>
        <v>370</v>
      </c>
      <c r="AG258" s="729"/>
      <c r="AH258" s="314" t="s">
        <v>789</v>
      </c>
      <c r="AI258" s="314" t="s">
        <v>790</v>
      </c>
      <c r="AJ258" s="728">
        <f>VLOOKUP(AH255,[14]Progress!$B$9:$D$310,3,FALSE)</f>
        <v>441</v>
      </c>
      <c r="AK258" s="729"/>
      <c r="AL258" s="314" t="s">
        <v>789</v>
      </c>
      <c r="AM258" s="314" t="s">
        <v>790</v>
      </c>
      <c r="AN258" s="728">
        <f>VLOOKUP(AL255,[14]Progress!$B$9:$D$310,3,FALSE)</f>
        <v>375</v>
      </c>
      <c r="AO258" s="729"/>
      <c r="AP258" s="314" t="s">
        <v>789</v>
      </c>
      <c r="AQ258" s="314" t="s">
        <v>790</v>
      </c>
      <c r="AR258" s="728">
        <f>VLOOKUP(AP255,[14]Progress!$B$9:$D$310,3,FALSE)</f>
        <v>399</v>
      </c>
      <c r="AS258" s="730"/>
      <c r="AT258" s="283"/>
      <c r="AV258" s="664">
        <f>D258+H258+L258+P258+T258+X258+AB258+AF258+AJ258+AN258+AR258</f>
        <v>4384.2080000000005</v>
      </c>
      <c r="AW258" s="664"/>
      <c r="AY258">
        <v>11</v>
      </c>
    </row>
    <row r="259" spans="1:51">
      <c r="A259" s="282"/>
      <c r="B259" s="296" t="s">
        <v>792</v>
      </c>
      <c r="C259" s="296" t="s">
        <v>793</v>
      </c>
      <c r="F259" s="296" t="s">
        <v>792</v>
      </c>
      <c r="G259" s="296" t="s">
        <v>793</v>
      </c>
      <c r="J259" s="296" t="s">
        <v>792</v>
      </c>
      <c r="K259" s="296" t="s">
        <v>793</v>
      </c>
      <c r="N259" s="296" t="s">
        <v>792</v>
      </c>
      <c r="O259" s="296" t="s">
        <v>793</v>
      </c>
      <c r="R259" s="296" t="s">
        <v>792</v>
      </c>
      <c r="S259" s="296" t="s">
        <v>793</v>
      </c>
      <c r="V259" s="296" t="s">
        <v>792</v>
      </c>
      <c r="W259" s="296" t="s">
        <v>793</v>
      </c>
      <c r="Z259" s="296" t="s">
        <v>792</v>
      </c>
      <c r="AA259" s="296" t="s">
        <v>793</v>
      </c>
      <c r="AD259" s="296" t="s">
        <v>792</v>
      </c>
      <c r="AE259" s="296" t="s">
        <v>793</v>
      </c>
      <c r="AH259" s="296" t="s">
        <v>792</v>
      </c>
      <c r="AI259" s="296" t="s">
        <v>793</v>
      </c>
      <c r="AL259" s="296" t="s">
        <v>792</v>
      </c>
      <c r="AM259" s="296" t="s">
        <v>793</v>
      </c>
      <c r="AP259" s="296" t="s">
        <v>792</v>
      </c>
      <c r="AQ259" s="296" t="s">
        <v>793</v>
      </c>
      <c r="AT259" s="283"/>
      <c r="AV259" s="664"/>
      <c r="AW259" s="664"/>
    </row>
    <row r="260" spans="1:51" ht="10.5" customHeight="1">
      <c r="A260" s="282"/>
      <c r="B260" s="700"/>
      <c r="C260" s="700"/>
      <c r="F260" s="700"/>
      <c r="G260" s="700"/>
      <c r="J260" s="700"/>
      <c r="K260" s="700"/>
      <c r="N260" s="700"/>
      <c r="O260" s="700"/>
      <c r="R260" s="700"/>
      <c r="S260" s="700"/>
      <c r="V260" s="700"/>
      <c r="W260" s="700"/>
      <c r="Z260" s="700"/>
      <c r="AA260" s="700"/>
      <c r="AD260" s="700"/>
      <c r="AE260" s="700"/>
      <c r="AH260" s="700"/>
      <c r="AI260" s="700"/>
      <c r="AL260" s="700"/>
      <c r="AM260" s="700"/>
      <c r="AP260" s="700"/>
      <c r="AQ260" s="700"/>
      <c r="AT260" s="283"/>
      <c r="AV260" s="664"/>
      <c r="AW260" s="664"/>
    </row>
    <row r="261" spans="1:51">
      <c r="A261" s="282"/>
      <c r="B261" s="684" t="str">
        <f>VLOOKUP(+B255,'[14]Twr Schedule'!$B$9:$C$611,2,FALSE)</f>
        <v>DA+3</v>
      </c>
      <c r="C261" s="684"/>
      <c r="F261" s="684" t="str">
        <f>VLOOKUP(+F255,'[14]Twr Schedule'!$B$9:$C$611,2,FALSE)</f>
        <v>DA+6</v>
      </c>
      <c r="G261" s="684"/>
      <c r="J261" s="684" t="str">
        <f>VLOOKUP(+J255,'[14]Twr Schedule'!$B$9:$C$611,2,FALSE)</f>
        <v>DA-3</v>
      </c>
      <c r="K261" s="684"/>
      <c r="N261" s="684" t="str">
        <f>VLOOKUP(+N255,'[14]Twr Schedule'!$B$9:$C$611,2,FALSE)</f>
        <v>DA-3</v>
      </c>
      <c r="O261" s="684"/>
      <c r="R261" s="684" t="str">
        <f>VLOOKUP(+R255,'[14]Twr Schedule'!$B$9:$C$611,2,FALSE)</f>
        <v>DA+3</v>
      </c>
      <c r="S261" s="684"/>
      <c r="V261" s="684" t="str">
        <f>VLOOKUP(+V255,'[14]Twr Schedule'!$B$9:$C$611,2,FALSE)</f>
        <v>DC1+0</v>
      </c>
      <c r="W261" s="684"/>
      <c r="Z261" s="684" t="str">
        <f>VLOOKUP(+Z255,'[14]Twr Schedule'!$B$9:$C$611,2,FALSE)</f>
        <v>DA+6</v>
      </c>
      <c r="AA261" s="684"/>
      <c r="AD261" s="684" t="str">
        <f>VLOOKUP(+AD255,'[14]Twr Schedule'!$B$9:$C$611,2,FALSE)</f>
        <v>DB2+0</v>
      </c>
      <c r="AE261" s="684"/>
      <c r="AH261" s="684" t="str">
        <f>VLOOKUP(+AH255,'[14]Twr Schedule'!$B$9:$C$611,2,FALSE)</f>
        <v>DA+6</v>
      </c>
      <c r="AI261" s="684"/>
      <c r="AL261" s="684" t="str">
        <f>VLOOKUP(+AL255,'[14]Twr Schedule'!$B$9:$C$611,2,FALSE)</f>
        <v>DA+3</v>
      </c>
      <c r="AM261" s="684"/>
      <c r="AP261" s="684" t="str">
        <f>VLOOKUP(+AP255,'[14]Twr Schedule'!$B$9:$C$611,2,FALSE)</f>
        <v>DA-3</v>
      </c>
      <c r="AQ261" s="684"/>
      <c r="AT261" s="283"/>
      <c r="AV261" s="664"/>
      <c r="AW261" s="664"/>
    </row>
    <row r="262" spans="1:51">
      <c r="A262" s="282"/>
      <c r="AT262" s="283"/>
      <c r="AV262" s="664"/>
      <c r="AW262" s="664"/>
    </row>
    <row r="263" spans="1:51">
      <c r="A263" s="612" t="s">
        <v>861</v>
      </c>
      <c r="B263" s="613"/>
      <c r="C263" s="613"/>
      <c r="D263" s="613"/>
      <c r="E263" s="613"/>
      <c r="F263" s="613"/>
      <c r="G263" s="613"/>
      <c r="H263" s="613"/>
      <c r="I263" s="613"/>
      <c r="J263" s="613"/>
      <c r="K263" s="613"/>
      <c r="L263" s="613"/>
      <c r="M263" s="613"/>
      <c r="N263" s="613"/>
      <c r="O263" s="613"/>
      <c r="P263" s="613"/>
      <c r="Q263" s="613"/>
      <c r="R263" s="614"/>
      <c r="S263" s="660" t="s">
        <v>862</v>
      </c>
      <c r="T263" s="660"/>
      <c r="U263" s="660"/>
      <c r="V263" s="660"/>
      <c r="W263" s="660"/>
      <c r="X263" s="660"/>
      <c r="Y263" s="660"/>
      <c r="Z263" s="660"/>
      <c r="AA263" s="660"/>
      <c r="AB263" s="660"/>
      <c r="AC263" s="660"/>
      <c r="AD263" s="660"/>
      <c r="AE263" s="660"/>
      <c r="AF263" s="660"/>
      <c r="AG263" s="660"/>
      <c r="AH263" s="660"/>
      <c r="AI263" s="660"/>
      <c r="AJ263" s="660"/>
      <c r="AK263" s="660"/>
      <c r="AL263" s="660"/>
      <c r="AM263" s="660"/>
      <c r="AN263" s="660"/>
      <c r="AO263" s="660"/>
      <c r="AP263" s="660"/>
      <c r="AQ263" s="660"/>
      <c r="AR263" s="660"/>
      <c r="AT263" s="283"/>
      <c r="AV263" s="664"/>
      <c r="AW263" s="664"/>
    </row>
    <row r="264" spans="1:51">
      <c r="A264" s="282"/>
      <c r="AT264" s="283"/>
      <c r="AV264" s="664"/>
      <c r="AW264" s="664"/>
    </row>
    <row r="265" spans="1:51">
      <c r="A265" s="282"/>
      <c r="B265" s="664" t="str">
        <f>'[14]Twr Schedule'!B537</f>
        <v>53A/4</v>
      </c>
      <c r="C265" s="664"/>
      <c r="F265" s="664" t="str">
        <f>'[14]Twr Schedule'!B539</f>
        <v>53A/5</v>
      </c>
      <c r="G265" s="664"/>
      <c r="J265" s="664" t="str">
        <f>'[14]Twr Schedule'!B541</f>
        <v>53A/6</v>
      </c>
      <c r="K265" s="664"/>
      <c r="N265" s="664" t="str">
        <f>'[14]Twr Schedule'!B543</f>
        <v>53A/7</v>
      </c>
      <c r="O265" s="664"/>
      <c r="R265" s="664" t="str">
        <f>'[14]Twr Schedule'!B545</f>
        <v>54/0</v>
      </c>
      <c r="S265" s="664"/>
      <c r="V265" s="664" t="str">
        <f>'[14]Twr Schedule'!B547</f>
        <v>54/1</v>
      </c>
      <c r="W265" s="664"/>
      <c r="Z265" s="664" t="str">
        <f>'[14]Twr Schedule'!B549</f>
        <v>54/2</v>
      </c>
      <c r="AA265" s="664"/>
      <c r="AD265" s="664" t="str">
        <f>'[14]Twr Schedule'!B551</f>
        <v>55/0</v>
      </c>
      <c r="AE265" s="664"/>
      <c r="AH265" s="664" t="str">
        <f>'[14]Twr Schedule'!B553</f>
        <v>55/1</v>
      </c>
      <c r="AI265" s="664"/>
      <c r="AL265" s="664" t="str">
        <f>'[14]Twr Schedule'!B555</f>
        <v>56/0</v>
      </c>
      <c r="AM265" s="664"/>
      <c r="AP265" s="664" t="str">
        <f>'[14]Twr Schedule'!B557</f>
        <v>56/1</v>
      </c>
      <c r="AQ265" s="664"/>
      <c r="AT265" s="283"/>
      <c r="AV265" s="664"/>
      <c r="AW265" s="664"/>
    </row>
    <row r="266" spans="1:51">
      <c r="A266" s="282"/>
      <c r="AT266" s="283"/>
      <c r="AV266" s="664"/>
      <c r="AW266" s="664"/>
    </row>
    <row r="267" spans="1:51">
      <c r="A267" s="282"/>
      <c r="AT267" s="283"/>
      <c r="AV267" s="664"/>
      <c r="AW267" s="664"/>
    </row>
    <row r="268" spans="1:51">
      <c r="A268" s="282"/>
      <c r="B268" s="296" t="s">
        <v>789</v>
      </c>
      <c r="C268" s="296" t="s">
        <v>790</v>
      </c>
      <c r="D268" s="666">
        <f>VLOOKUP(B265,[14]Progress!$B$9:$D$310,3,FALSE)</f>
        <v>391</v>
      </c>
      <c r="E268" s="665"/>
      <c r="F268" s="296" t="s">
        <v>789</v>
      </c>
      <c r="G268" s="296" t="s">
        <v>790</v>
      </c>
      <c r="H268" s="666">
        <f>VLOOKUP(F265,[14]Progress!$B$9:$D$310,3,FALSE)</f>
        <v>392</v>
      </c>
      <c r="I268" s="665"/>
      <c r="J268" s="296" t="s">
        <v>789</v>
      </c>
      <c r="K268" s="296" t="s">
        <v>790</v>
      </c>
      <c r="L268" s="666">
        <f>VLOOKUP(J265,[14]Progress!$B$9:$D$310,3,FALSE)</f>
        <v>412</v>
      </c>
      <c r="M268" s="665"/>
      <c r="N268" s="296" t="s">
        <v>789</v>
      </c>
      <c r="O268" s="296" t="s">
        <v>790</v>
      </c>
      <c r="P268" s="728">
        <f>VLOOKUP(N265,[14]Progress!$B$9:$D$310,3,FALSE)</f>
        <v>385.995</v>
      </c>
      <c r="Q268" s="729"/>
      <c r="R268" s="314" t="s">
        <v>789</v>
      </c>
      <c r="S268" s="314" t="s">
        <v>790</v>
      </c>
      <c r="T268" s="728">
        <f>VLOOKUP(R265,[14]Progress!$B$9:$D$310,3,FALSE)</f>
        <v>460</v>
      </c>
      <c r="U268" s="729"/>
      <c r="V268" s="314" t="s">
        <v>789</v>
      </c>
      <c r="W268" s="314" t="s">
        <v>790</v>
      </c>
      <c r="X268" s="728">
        <f>VLOOKUP(V265,[14]Progress!$B$9:$D$310,3,FALSE)</f>
        <v>360</v>
      </c>
      <c r="Y268" s="729"/>
      <c r="Z268" s="314" t="s">
        <v>789</v>
      </c>
      <c r="AA268" s="314" t="s">
        <v>790</v>
      </c>
      <c r="AB268" s="728">
        <f>VLOOKUP(Z265,[14]Progress!$B$9:$D$310,3,FALSE)</f>
        <v>366.15699999999998</v>
      </c>
      <c r="AC268" s="729"/>
      <c r="AD268" s="314" t="s">
        <v>789</v>
      </c>
      <c r="AE268" s="314" t="s">
        <v>790</v>
      </c>
      <c r="AF268" s="728">
        <f>VLOOKUP(AD265,[14]Progress!$B$9:$D$310,3,FALSE)</f>
        <v>300</v>
      </c>
      <c r="AG268" s="729"/>
      <c r="AH268" s="314" t="s">
        <v>789</v>
      </c>
      <c r="AI268" s="314" t="s">
        <v>790</v>
      </c>
      <c r="AJ268" s="728">
        <f>VLOOKUP(AH265,[14]Progress!$B$9:$D$310,3,FALSE)</f>
        <v>307.20499999999998</v>
      </c>
      <c r="AK268" s="729"/>
      <c r="AL268" s="314" t="s">
        <v>789</v>
      </c>
      <c r="AM268" s="296" t="s">
        <v>790</v>
      </c>
      <c r="AN268" s="666">
        <f>VLOOKUP(AL265,[14]Progress!$B$9:$D$310,3,FALSE)</f>
        <v>336</v>
      </c>
      <c r="AO268" s="665"/>
      <c r="AP268" s="296" t="s">
        <v>789</v>
      </c>
      <c r="AQ268" s="296" t="s">
        <v>790</v>
      </c>
      <c r="AR268" s="666">
        <f>VLOOKUP(AP265,[14]Progress!$B$9:$D$310,3,FALSE)</f>
        <v>409</v>
      </c>
      <c r="AS268" s="664"/>
      <c r="AT268" s="283"/>
      <c r="AV268" s="664">
        <f>D268+H268+L268+P268+T268+X268+AB268+AF268+AJ268+AN268+AR268</f>
        <v>4119.357</v>
      </c>
      <c r="AW268" s="664"/>
      <c r="AY268">
        <v>11</v>
      </c>
    </row>
    <row r="269" spans="1:51">
      <c r="A269" s="282"/>
      <c r="B269" s="296" t="s">
        <v>792</v>
      </c>
      <c r="C269" s="296" t="s">
        <v>793</v>
      </c>
      <c r="F269" s="296" t="s">
        <v>792</v>
      </c>
      <c r="G269" s="296" t="s">
        <v>793</v>
      </c>
      <c r="J269" s="296" t="s">
        <v>792</v>
      </c>
      <c r="K269" s="296" t="s">
        <v>793</v>
      </c>
      <c r="N269" s="296" t="s">
        <v>792</v>
      </c>
      <c r="O269" s="296" t="s">
        <v>793</v>
      </c>
      <c r="R269" s="296" t="s">
        <v>792</v>
      </c>
      <c r="S269" s="296" t="s">
        <v>793</v>
      </c>
      <c r="V269" s="296" t="s">
        <v>792</v>
      </c>
      <c r="W269" s="296" t="s">
        <v>793</v>
      </c>
      <c r="Z269" s="296" t="s">
        <v>792</v>
      </c>
      <c r="AA269" s="296" t="s">
        <v>793</v>
      </c>
      <c r="AD269" s="296" t="s">
        <v>792</v>
      </c>
      <c r="AE269" s="296" t="s">
        <v>793</v>
      </c>
      <c r="AH269" s="296" t="s">
        <v>792</v>
      </c>
      <c r="AI269" s="296" t="s">
        <v>793</v>
      </c>
      <c r="AL269" s="296" t="s">
        <v>792</v>
      </c>
      <c r="AM269" s="296" t="s">
        <v>793</v>
      </c>
      <c r="AP269" s="296" t="s">
        <v>792</v>
      </c>
      <c r="AQ269" s="296" t="s">
        <v>793</v>
      </c>
      <c r="AT269" s="283"/>
      <c r="AV269" s="664"/>
      <c r="AW269" s="664"/>
    </row>
    <row r="270" spans="1:51" ht="10.5" customHeight="1">
      <c r="A270" s="282"/>
      <c r="B270" s="700"/>
      <c r="C270" s="700"/>
      <c r="F270" s="700"/>
      <c r="G270" s="700"/>
      <c r="J270" s="700"/>
      <c r="K270" s="700"/>
      <c r="N270" s="700"/>
      <c r="O270" s="700"/>
      <c r="R270" s="700"/>
      <c r="S270" s="700"/>
      <c r="V270" s="700"/>
      <c r="W270" s="700"/>
      <c r="Z270" s="700"/>
      <c r="AA270" s="700"/>
      <c r="AD270" s="700"/>
      <c r="AE270" s="700"/>
      <c r="AH270" s="700"/>
      <c r="AI270" s="700"/>
      <c r="AL270" s="700"/>
      <c r="AM270" s="700"/>
      <c r="AP270" s="700"/>
      <c r="AQ270" s="700"/>
      <c r="AT270" s="283"/>
      <c r="AV270" s="664"/>
      <c r="AW270" s="664"/>
    </row>
    <row r="271" spans="1:51">
      <c r="A271" s="282"/>
      <c r="B271" s="684" t="str">
        <f>VLOOKUP(+B265,'[14]Twr Schedule'!$B$9:$C$611,2,FALSE)</f>
        <v>DA+3</v>
      </c>
      <c r="C271" s="684"/>
      <c r="F271" s="684" t="str">
        <f>VLOOKUP(+F265,'[14]Twr Schedule'!$B$9:$C$611,2,FALSE)</f>
        <v>DA-3</v>
      </c>
      <c r="G271" s="684"/>
      <c r="J271" s="684" t="str">
        <f>VLOOKUP(+J265,'[14]Twr Schedule'!$B$9:$C$611,2,FALSE)</f>
        <v>DA+3</v>
      </c>
      <c r="K271" s="684"/>
      <c r="N271" s="684" t="str">
        <f>VLOOKUP(+N265,'[14]Twr Schedule'!$B$9:$C$611,2,FALSE)</f>
        <v>DA+0</v>
      </c>
      <c r="O271" s="684"/>
      <c r="R271" s="684" t="str">
        <f>VLOOKUP(+R265,'[14]Twr Schedule'!$B$9:$C$611,2,FALSE)</f>
        <v>DB1+3</v>
      </c>
      <c r="S271" s="684"/>
      <c r="V271" s="684" t="str">
        <f>VLOOKUP(+V265,'[14]Twr Schedule'!$B$9:$C$611,2,FALSE)</f>
        <v>DA+9</v>
      </c>
      <c r="W271" s="684"/>
      <c r="Z271" s="684" t="str">
        <f>VLOOKUP(+Z265,'[14]Twr Schedule'!$B$9:$C$611,2,FALSE)</f>
        <v>DA-3</v>
      </c>
      <c r="AA271" s="684"/>
      <c r="AD271" s="684" t="str">
        <f>VLOOKUP(+AD265,'[14]Twr Schedule'!$B$9:$C$611,2,FALSE)</f>
        <v>DC1+0</v>
      </c>
      <c r="AE271" s="684"/>
      <c r="AH271" s="684" t="str">
        <f>VLOOKUP(+AH265,'[14]Twr Schedule'!$B$9:$C$611,2,FALSE)</f>
        <v>DA-3</v>
      </c>
      <c r="AI271" s="684"/>
      <c r="AL271" s="684" t="str">
        <f>VLOOKUP(+AL265,'[14]Twr Schedule'!$B$9:$C$611,2,FALSE)</f>
        <v>DD45+0</v>
      </c>
      <c r="AM271" s="684"/>
      <c r="AP271" s="684" t="str">
        <f>VLOOKUP(+AP265,'[14]Twr Schedule'!$B$9:$C$611,2,FALSE)</f>
        <v>DA+0</v>
      </c>
      <c r="AQ271" s="684"/>
      <c r="AT271" s="283"/>
      <c r="AV271" s="664"/>
      <c r="AW271" s="664"/>
    </row>
    <row r="272" spans="1:51">
      <c r="A272" s="282"/>
      <c r="AT272" s="283"/>
      <c r="AV272" s="664"/>
      <c r="AW272" s="664"/>
    </row>
    <row r="273" spans="1:51">
      <c r="A273" s="612" t="s">
        <v>862</v>
      </c>
      <c r="B273" s="613"/>
      <c r="C273" s="613"/>
      <c r="D273" s="613"/>
      <c r="E273" s="613"/>
      <c r="F273" s="613"/>
      <c r="G273" s="613"/>
      <c r="H273" s="613"/>
      <c r="I273" s="613"/>
      <c r="J273" s="613"/>
      <c r="K273" s="613"/>
      <c r="L273" s="613"/>
      <c r="M273" s="613"/>
      <c r="N273" s="613"/>
      <c r="O273" s="613"/>
      <c r="P273" s="613"/>
      <c r="Q273" s="613"/>
      <c r="R273" s="614"/>
      <c r="S273" s="660" t="s">
        <v>863</v>
      </c>
      <c r="T273" s="660"/>
      <c r="U273" s="660"/>
      <c r="V273" s="660"/>
      <c r="W273" s="660"/>
      <c r="X273" s="660"/>
      <c r="Y273" s="660"/>
      <c r="Z273" s="660"/>
      <c r="AA273" s="660"/>
      <c r="AB273" s="660"/>
      <c r="AC273" s="660"/>
      <c r="AD273" s="660"/>
      <c r="AE273" s="660"/>
      <c r="AF273" s="660"/>
      <c r="AG273" s="660"/>
      <c r="AH273" s="660"/>
      <c r="AI273" s="660"/>
      <c r="AJ273" s="660"/>
      <c r="AK273" s="660"/>
      <c r="AL273" s="660"/>
      <c r="AM273" s="660"/>
      <c r="AN273" s="660"/>
      <c r="AO273" s="660"/>
      <c r="AP273" s="660"/>
      <c r="AQ273" s="660"/>
      <c r="AR273" s="660"/>
      <c r="AT273" s="283"/>
      <c r="AV273" s="664"/>
      <c r="AW273" s="664"/>
    </row>
    <row r="274" spans="1:51">
      <c r="A274" s="282"/>
      <c r="AT274" s="283"/>
      <c r="AV274" s="664"/>
      <c r="AW274" s="664"/>
    </row>
    <row r="275" spans="1:51">
      <c r="A275" s="282"/>
      <c r="B275" s="664" t="str">
        <f>'[14]Twr Schedule'!B559</f>
        <v>56/2</v>
      </c>
      <c r="C275" s="664"/>
      <c r="F275" s="664" t="str">
        <f>'[14]Twr Schedule'!B561</f>
        <v>56/3</v>
      </c>
      <c r="G275" s="664"/>
      <c r="J275" s="664" t="str">
        <f>'[14]Twr Schedule'!B563</f>
        <v>56/4</v>
      </c>
      <c r="K275" s="664"/>
      <c r="N275" s="664" t="str">
        <f>'[14]Twr Schedule'!B565</f>
        <v>56/5</v>
      </c>
      <c r="O275" s="664"/>
      <c r="R275" s="664" t="str">
        <f>'[14]Twr Schedule'!B567</f>
        <v>56/6</v>
      </c>
      <c r="S275" s="664"/>
      <c r="V275" s="664" t="str">
        <f>'[14]Twr Schedule'!B569</f>
        <v>56/7</v>
      </c>
      <c r="W275" s="664"/>
      <c r="Z275" s="664" t="str">
        <f>'[14]Twr Schedule'!B571</f>
        <v>56/8</v>
      </c>
      <c r="AA275" s="664"/>
      <c r="AD275" s="664" t="str">
        <f>'[14]Twr Schedule'!B573</f>
        <v>57/0</v>
      </c>
      <c r="AE275" s="664"/>
      <c r="AH275" s="664" t="str">
        <f>'[14]Twr Schedule'!B575</f>
        <v>57/1</v>
      </c>
      <c r="AI275" s="664"/>
      <c r="AL275" s="664" t="str">
        <f>'[14]Twr Schedule'!B577</f>
        <v>58/0</v>
      </c>
      <c r="AM275" s="664"/>
      <c r="AP275" s="664" t="str">
        <f>'[14]Twr Schedule'!B579</f>
        <v>59/0</v>
      </c>
      <c r="AQ275" s="664"/>
      <c r="AT275" s="283"/>
      <c r="AV275" s="664"/>
      <c r="AW275" s="664"/>
    </row>
    <row r="276" spans="1:51">
      <c r="A276" s="282"/>
      <c r="AT276" s="283"/>
      <c r="AV276" s="664"/>
      <c r="AW276" s="664"/>
    </row>
    <row r="277" spans="1:51">
      <c r="A277" s="282"/>
      <c r="AT277" s="283"/>
      <c r="AV277" s="664"/>
      <c r="AW277" s="664"/>
    </row>
    <row r="278" spans="1:51">
      <c r="A278" s="282"/>
      <c r="B278" s="296" t="s">
        <v>789</v>
      </c>
      <c r="C278" s="296" t="s">
        <v>790</v>
      </c>
      <c r="D278" s="666">
        <f>VLOOKUP(B275,[14]Progress!$B$9:$D$310,3,FALSE)</f>
        <v>374</v>
      </c>
      <c r="E278" s="665"/>
      <c r="F278" s="296" t="s">
        <v>789</v>
      </c>
      <c r="G278" s="296" t="s">
        <v>790</v>
      </c>
      <c r="H278" s="666">
        <f>VLOOKUP(F275,[14]Progress!$B$9:$D$310,3,FALSE)</f>
        <v>351</v>
      </c>
      <c r="I278" s="665"/>
      <c r="J278" s="296" t="s">
        <v>789</v>
      </c>
      <c r="K278" s="296" t="s">
        <v>790</v>
      </c>
      <c r="L278" s="666">
        <f>VLOOKUP(J275,[14]Progress!$B$9:$D$310,3,FALSE)</f>
        <v>345</v>
      </c>
      <c r="M278" s="665"/>
      <c r="N278" s="296" t="s">
        <v>789</v>
      </c>
      <c r="O278" s="296" t="s">
        <v>790</v>
      </c>
      <c r="P278" s="666">
        <f>VLOOKUP(N275,[14]Progress!$B$9:$D$310,3,FALSE)</f>
        <v>380.05799999999999</v>
      </c>
      <c r="Q278" s="665"/>
      <c r="R278" s="296" t="s">
        <v>789</v>
      </c>
      <c r="S278" s="296" t="s">
        <v>790</v>
      </c>
      <c r="T278" s="666">
        <f>VLOOKUP(R275,[14]Progress!$B$9:$D$310,3,FALSE)</f>
        <v>422</v>
      </c>
      <c r="U278" s="665"/>
      <c r="V278" s="296" t="s">
        <v>789</v>
      </c>
      <c r="W278" s="296" t="s">
        <v>790</v>
      </c>
      <c r="X278" s="666">
        <f>VLOOKUP(V275,[14]Progress!$B$9:$D$310,3,FALSE)</f>
        <v>387.54</v>
      </c>
      <c r="Y278" s="665"/>
      <c r="Z278" s="296" t="s">
        <v>789</v>
      </c>
      <c r="AA278" s="314" t="s">
        <v>790</v>
      </c>
      <c r="AB278" s="728">
        <f>VLOOKUP(Z275,[14]Progress!$B$9:$D$310,3,FALSE)</f>
        <v>369</v>
      </c>
      <c r="AC278" s="729"/>
      <c r="AD278" s="314" t="s">
        <v>789</v>
      </c>
      <c r="AE278" s="314" t="s">
        <v>790</v>
      </c>
      <c r="AF278" s="728">
        <f>VLOOKUP(AD275,[14]Progress!$B$9:$D$310,3,FALSE)</f>
        <v>291</v>
      </c>
      <c r="AG278" s="729"/>
      <c r="AH278" s="314" t="s">
        <v>789</v>
      </c>
      <c r="AI278" s="314" t="s">
        <v>790</v>
      </c>
      <c r="AJ278" s="728">
        <f>VLOOKUP(AH275,[14]Progress!$B$9:$D$310,3,FALSE)</f>
        <v>386.28</v>
      </c>
      <c r="AK278" s="729"/>
      <c r="AL278" s="314" t="s">
        <v>789</v>
      </c>
      <c r="AM278" s="314" t="s">
        <v>790</v>
      </c>
      <c r="AN278" s="728">
        <f>VLOOKUP(AL275,[14]Progress!$B$9:$D$310,3,FALSE)</f>
        <v>281.56099999999998</v>
      </c>
      <c r="AO278" s="729"/>
      <c r="AP278" s="296" t="s">
        <v>789</v>
      </c>
      <c r="AQ278" s="296" t="s">
        <v>790</v>
      </c>
      <c r="AR278" s="666">
        <f>VLOOKUP(AP275,[14]Progress!$B$9:$D$310,3,FALSE)</f>
        <v>418.00099999999998</v>
      </c>
      <c r="AS278" s="664"/>
      <c r="AT278" s="283"/>
      <c r="AV278" s="664">
        <f>D278+H278+L278+P278+T278+X278+AB278+AF278+AJ278+AN278+AR278</f>
        <v>4005.4399999999996</v>
      </c>
      <c r="AW278" s="664"/>
      <c r="AY278">
        <v>11</v>
      </c>
    </row>
    <row r="279" spans="1:51">
      <c r="A279" s="282"/>
      <c r="B279" s="296" t="s">
        <v>792</v>
      </c>
      <c r="C279" s="296" t="s">
        <v>793</v>
      </c>
      <c r="F279" s="296" t="s">
        <v>792</v>
      </c>
      <c r="G279" s="296" t="s">
        <v>793</v>
      </c>
      <c r="J279" s="296" t="s">
        <v>792</v>
      </c>
      <c r="K279" s="296" t="s">
        <v>793</v>
      </c>
      <c r="N279" s="296" t="s">
        <v>792</v>
      </c>
      <c r="O279" s="296" t="s">
        <v>793</v>
      </c>
      <c r="R279" s="296" t="s">
        <v>792</v>
      </c>
      <c r="S279" s="296" t="s">
        <v>793</v>
      </c>
      <c r="V279" s="296" t="s">
        <v>792</v>
      </c>
      <c r="W279" s="296" t="s">
        <v>793</v>
      </c>
      <c r="Z279" s="296" t="s">
        <v>792</v>
      </c>
      <c r="AA279" s="296" t="s">
        <v>793</v>
      </c>
      <c r="AD279" s="296" t="s">
        <v>792</v>
      </c>
      <c r="AE279" s="296" t="s">
        <v>793</v>
      </c>
      <c r="AH279" s="296" t="s">
        <v>792</v>
      </c>
      <c r="AI279" s="296" t="s">
        <v>793</v>
      </c>
      <c r="AL279" s="296" t="s">
        <v>792</v>
      </c>
      <c r="AM279" s="296" t="s">
        <v>793</v>
      </c>
      <c r="AP279" s="296" t="s">
        <v>792</v>
      </c>
      <c r="AQ279" s="296" t="s">
        <v>793</v>
      </c>
      <c r="AT279" s="283"/>
      <c r="AV279" s="664"/>
      <c r="AW279" s="664"/>
    </row>
    <row r="280" spans="1:51" ht="10.5" customHeight="1">
      <c r="A280" s="282"/>
      <c r="B280" s="700"/>
      <c r="C280" s="700"/>
      <c r="F280" s="700"/>
      <c r="G280" s="700"/>
      <c r="J280" s="700"/>
      <c r="K280" s="700"/>
      <c r="N280" s="700"/>
      <c r="O280" s="700"/>
      <c r="R280" s="700"/>
      <c r="S280" s="700"/>
      <c r="V280" s="700"/>
      <c r="W280" s="700"/>
      <c r="Z280" s="700"/>
      <c r="AA280" s="700"/>
      <c r="AD280" s="700"/>
      <c r="AE280" s="700"/>
      <c r="AH280" s="700"/>
      <c r="AI280" s="700"/>
      <c r="AL280" s="700"/>
      <c r="AM280" s="700"/>
      <c r="AP280" s="700"/>
      <c r="AQ280" s="700"/>
      <c r="AT280" s="283"/>
      <c r="AV280" s="664"/>
      <c r="AW280" s="664"/>
    </row>
    <row r="281" spans="1:51">
      <c r="A281" s="282"/>
      <c r="B281" s="684" t="str">
        <f>VLOOKUP(+B275,'[14]Twr Schedule'!$B$9:$C$611,2,FALSE)</f>
        <v>DA+3</v>
      </c>
      <c r="C281" s="684"/>
      <c r="F281" s="684" t="str">
        <f>VLOOKUP(+F275,'[14]Twr Schedule'!$B$9:$C$611,2,FALSE)</f>
        <v>DA-3</v>
      </c>
      <c r="G281" s="684"/>
      <c r="J281" s="684" t="str">
        <f>VLOOKUP(+J275,'[14]Twr Schedule'!$B$9:$C$611,2,FALSE)</f>
        <v>DA-3</v>
      </c>
      <c r="K281" s="684"/>
      <c r="N281" s="684" t="str">
        <f>VLOOKUP(+N275,'[14]Twr Schedule'!$B$9:$C$611,2,FALSE)</f>
        <v>DA-3</v>
      </c>
      <c r="O281" s="684"/>
      <c r="R281" s="684" t="str">
        <f>VLOOKUP(+R275,'[14]Twr Schedule'!$B$9:$C$611,2,FALSE)</f>
        <v>DA+0</v>
      </c>
      <c r="S281" s="684"/>
      <c r="V281" s="684" t="str">
        <f>VLOOKUP(+V275,'[14]Twr Schedule'!$B$9:$C$611,2,FALSE)</f>
        <v>DA+6</v>
      </c>
      <c r="W281" s="684"/>
      <c r="Z281" s="684" t="str">
        <f>VLOOKUP(+Z275,'[14]Twr Schedule'!$B$9:$C$611,2,FALSE)</f>
        <v>DA-3</v>
      </c>
      <c r="AA281" s="684"/>
      <c r="AD281" s="684" t="str">
        <f>VLOOKUP(+AD275,'[14]Twr Schedule'!$B$9:$C$611,2,FALSE)</f>
        <v>DB2+0</v>
      </c>
      <c r="AE281" s="684"/>
      <c r="AH281" s="684" t="str">
        <f>VLOOKUP(+AH275,'[14]Twr Schedule'!$B$9:$C$611,2,FALSE)</f>
        <v>DA-3</v>
      </c>
      <c r="AI281" s="684"/>
      <c r="AL281" s="736" t="str">
        <f>VLOOKUP(+AL275,'[14]Twr Schedule'!$B$9:$C$611,2,FALSE)</f>
        <v>DD60+18</v>
      </c>
      <c r="AM281" s="736"/>
      <c r="AN281" s="315"/>
      <c r="AO281" s="315"/>
      <c r="AP281" s="736" t="str">
        <f>VLOOKUP(+AP275,'[14]Twr Schedule'!$B$9:$C$611,2,FALSE)</f>
        <v>DD60+6</v>
      </c>
      <c r="AQ281" s="736"/>
      <c r="AT281" s="283"/>
      <c r="AV281" s="664"/>
      <c r="AW281" s="664"/>
    </row>
    <row r="282" spans="1:51">
      <c r="A282" s="282"/>
      <c r="AL282" t="s">
        <v>864</v>
      </c>
      <c r="AT282" s="283"/>
      <c r="AV282" s="664"/>
      <c r="AW282" s="664"/>
    </row>
    <row r="283" spans="1:51">
      <c r="A283" s="660" t="s">
        <v>863</v>
      </c>
      <c r="B283" s="660"/>
      <c r="C283" s="660"/>
      <c r="D283" s="660"/>
      <c r="E283" s="660"/>
      <c r="F283" s="660"/>
      <c r="G283" s="660"/>
      <c r="H283" s="660"/>
      <c r="I283" s="660"/>
      <c r="J283" s="660"/>
      <c r="K283" s="660"/>
      <c r="L283" s="660"/>
      <c r="M283" s="660"/>
      <c r="N283" s="660"/>
      <c r="O283" s="660"/>
      <c r="P283" s="660"/>
      <c r="Q283" s="660"/>
      <c r="R283" s="660"/>
      <c r="S283" s="660" t="s">
        <v>865</v>
      </c>
      <c r="T283" s="660"/>
      <c r="U283" s="660"/>
      <c r="V283" s="660"/>
      <c r="W283" s="660"/>
      <c r="X283" s="660"/>
      <c r="Y283" s="660"/>
      <c r="Z283" s="660"/>
      <c r="AA283" s="660"/>
      <c r="AB283" s="660"/>
      <c r="AC283" s="660"/>
      <c r="AD283" s="660"/>
      <c r="AE283" s="660"/>
      <c r="AF283" s="660"/>
      <c r="AG283" s="660"/>
      <c r="AH283" s="660"/>
      <c r="AI283" s="660"/>
      <c r="AJ283" s="660"/>
      <c r="AK283" s="660"/>
      <c r="AL283" s="660"/>
      <c r="AM283" s="660"/>
      <c r="AN283" s="660"/>
      <c r="AO283" s="660"/>
      <c r="AP283" s="660"/>
      <c r="AQ283" s="660"/>
      <c r="AR283" s="660"/>
      <c r="AT283" s="283"/>
      <c r="AV283" s="664"/>
      <c r="AW283" s="664"/>
    </row>
    <row r="284" spans="1:51" ht="27" customHeight="1">
      <c r="A284" s="282"/>
      <c r="AT284" s="283"/>
      <c r="AV284" s="664"/>
      <c r="AW284" s="664"/>
    </row>
    <row r="285" spans="1:51">
      <c r="A285" s="282"/>
      <c r="B285" s="664" t="str">
        <f>'[14]Twr Schedule'!B581</f>
        <v>60/0</v>
      </c>
      <c r="C285" s="664"/>
      <c r="F285" s="664" t="str">
        <f>'[14]Twr Schedule'!B583</f>
        <v>61/0</v>
      </c>
      <c r="G285" s="664"/>
      <c r="J285" s="664" t="str">
        <f>'[14]Twr Schedule'!B585</f>
        <v>62/0</v>
      </c>
      <c r="K285" s="664"/>
      <c r="N285" s="664" t="str">
        <f>'[14]Twr Schedule'!B587</f>
        <v>63/0</v>
      </c>
      <c r="O285" s="664"/>
      <c r="R285" s="664" t="str">
        <f>'[14]Twr Schedule'!B589</f>
        <v>64/0</v>
      </c>
      <c r="S285" s="664"/>
      <c r="V285" s="664" t="str">
        <f>'[14]Twr Schedule'!B591</f>
        <v>64/1</v>
      </c>
      <c r="W285" s="664"/>
      <c r="Z285" s="664" t="str">
        <f>'[14]Twr Schedule'!B593</f>
        <v>64/2</v>
      </c>
      <c r="AA285" s="664"/>
      <c r="AD285" s="664" t="str">
        <f>'[14]Twr Schedule'!B595</f>
        <v>64/3</v>
      </c>
      <c r="AE285" s="664"/>
      <c r="AH285" s="664" t="str">
        <f>'[14]Twr Schedule'!B597</f>
        <v>65/0</v>
      </c>
      <c r="AI285" s="664"/>
      <c r="AL285" s="664" t="str">
        <f>'[14]Twr Schedule'!B599</f>
        <v>66/0</v>
      </c>
      <c r="AM285" s="664"/>
      <c r="AP285" s="664" t="str">
        <f>'[14]Twr Schedule'!B601</f>
        <v>66/1</v>
      </c>
      <c r="AQ285" s="664"/>
      <c r="AT285" s="283"/>
      <c r="AV285" s="664"/>
      <c r="AW285" s="664"/>
    </row>
    <row r="286" spans="1:51">
      <c r="A286" s="282"/>
      <c r="AT286" s="283"/>
      <c r="AV286" s="664"/>
      <c r="AW286" s="664"/>
    </row>
    <row r="287" spans="1:51">
      <c r="A287" s="282"/>
      <c r="AT287" s="283"/>
      <c r="AV287" s="664"/>
      <c r="AW287" s="664"/>
    </row>
    <row r="288" spans="1:51">
      <c r="A288" s="282"/>
      <c r="B288" s="296" t="s">
        <v>789</v>
      </c>
      <c r="C288" s="296" t="s">
        <v>790</v>
      </c>
      <c r="D288" s="728">
        <f>VLOOKUP(B285,[14]Progress!$B$9:$D$310,3,FALSE)</f>
        <v>467.85700000000003</v>
      </c>
      <c r="E288" s="729"/>
      <c r="F288" s="314" t="s">
        <v>789</v>
      </c>
      <c r="G288" s="314" t="s">
        <v>790</v>
      </c>
      <c r="H288" s="731">
        <f>VLOOKUP(F285,[14]Progress!$B$9:$D$310,3,FALSE)</f>
        <v>478.06700000000001</v>
      </c>
      <c r="I288" s="732"/>
      <c r="J288" s="314" t="s">
        <v>789</v>
      </c>
      <c r="K288" s="314" t="s">
        <v>790</v>
      </c>
      <c r="L288" s="731">
        <f>VLOOKUP(J285,[14]Progress!$B$9:$D$310,3,FALSE)</f>
        <v>349.18900000000002</v>
      </c>
      <c r="M288" s="732"/>
      <c r="N288" s="314" t="s">
        <v>789</v>
      </c>
      <c r="O288" s="314" t="s">
        <v>790</v>
      </c>
      <c r="P288" s="728">
        <f>VLOOKUP(N285,[14]Progress!$B$9:$D$310,3,FALSE)</f>
        <v>285.97800000000001</v>
      </c>
      <c r="Q288" s="729"/>
      <c r="R288" s="314" t="s">
        <v>789</v>
      </c>
      <c r="S288" s="314" t="s">
        <v>790</v>
      </c>
      <c r="T288" s="728">
        <f>VLOOKUP(R285,[14]Progress!$B$9:$D$310,3,FALSE)</f>
        <v>395</v>
      </c>
      <c r="U288" s="729"/>
      <c r="V288" s="314" t="s">
        <v>789</v>
      </c>
      <c r="W288" s="314" t="s">
        <v>790</v>
      </c>
      <c r="X288" s="728">
        <f>VLOOKUP(V285,[14]Progress!$B$9:$D$310,3,FALSE)</f>
        <v>384</v>
      </c>
      <c r="Y288" s="729"/>
      <c r="Z288" s="314" t="s">
        <v>789</v>
      </c>
      <c r="AA288" s="314" t="s">
        <v>790</v>
      </c>
      <c r="AB288" s="728">
        <f>VLOOKUP(Z285,[14]Progress!$B$9:$D$310,3,FALSE)</f>
        <v>409</v>
      </c>
      <c r="AC288" s="729"/>
      <c r="AD288" s="314" t="s">
        <v>789</v>
      </c>
      <c r="AE288" s="314" t="s">
        <v>790</v>
      </c>
      <c r="AF288" s="728">
        <f>VLOOKUP(AD285,[14]Progress!$B$9:$D$310,3,FALSE)</f>
        <v>363.017</v>
      </c>
      <c r="AG288" s="729"/>
      <c r="AH288" s="314" t="s">
        <v>789</v>
      </c>
      <c r="AI288" s="314" t="s">
        <v>790</v>
      </c>
      <c r="AJ288" s="731">
        <f>VLOOKUP(AH285,[14]Progress!$B$9:$D$310,3,FALSE)</f>
        <v>298.04199999999997</v>
      </c>
      <c r="AK288" s="732"/>
      <c r="AL288" s="314" t="s">
        <v>789</v>
      </c>
      <c r="AM288" s="314" t="s">
        <v>790</v>
      </c>
      <c r="AN288" s="728">
        <f>VLOOKUP(AL285,[14]Progress!$B$9:$D$310,3,FALSE)</f>
        <v>387</v>
      </c>
      <c r="AO288" s="729"/>
      <c r="AP288" s="314" t="s">
        <v>789</v>
      </c>
      <c r="AQ288" s="314" t="s">
        <v>790</v>
      </c>
      <c r="AR288" s="728">
        <f>VLOOKUP(AP285,[14]Progress!$B$9:$D$310,3,FALSE)</f>
        <v>425.35899999999998</v>
      </c>
      <c r="AS288" s="730"/>
      <c r="AT288" s="283"/>
      <c r="AV288" s="664">
        <f>D288+H288+L288+P288+T288+X288+AB288+AF288+AJ288+AN288+AR288</f>
        <v>4242.509</v>
      </c>
      <c r="AW288" s="664"/>
      <c r="AY288">
        <v>11</v>
      </c>
    </row>
    <row r="289" spans="1:51">
      <c r="A289" s="282"/>
      <c r="B289" s="296" t="s">
        <v>792</v>
      </c>
      <c r="C289" s="296" t="s">
        <v>793</v>
      </c>
      <c r="F289" s="296" t="s">
        <v>792</v>
      </c>
      <c r="G289" s="296" t="s">
        <v>793</v>
      </c>
      <c r="J289" s="296" t="s">
        <v>792</v>
      </c>
      <c r="K289" s="296" t="s">
        <v>793</v>
      </c>
      <c r="N289" s="296" t="s">
        <v>792</v>
      </c>
      <c r="O289" s="296" t="s">
        <v>793</v>
      </c>
      <c r="R289" s="296" t="s">
        <v>792</v>
      </c>
      <c r="S289" s="296" t="s">
        <v>793</v>
      </c>
      <c r="V289" s="296" t="s">
        <v>792</v>
      </c>
      <c r="W289" s="296" t="s">
        <v>793</v>
      </c>
      <c r="Z289" s="296" t="s">
        <v>792</v>
      </c>
      <c r="AA289" s="296" t="s">
        <v>793</v>
      </c>
      <c r="AD289" s="296" t="s">
        <v>792</v>
      </c>
      <c r="AE289" s="296" t="s">
        <v>793</v>
      </c>
      <c r="AH289" s="296" t="s">
        <v>792</v>
      </c>
      <c r="AI289" s="296" t="s">
        <v>793</v>
      </c>
      <c r="AL289" s="296" t="s">
        <v>792</v>
      </c>
      <c r="AM289" s="296" t="s">
        <v>793</v>
      </c>
      <c r="AP289" s="296" t="s">
        <v>792</v>
      </c>
      <c r="AQ289" s="296" t="s">
        <v>793</v>
      </c>
      <c r="AT289" s="283"/>
      <c r="AV289" s="664"/>
      <c r="AW289" s="664"/>
    </row>
    <row r="290" spans="1:51" ht="10.5" customHeight="1">
      <c r="A290" s="282"/>
      <c r="B290" s="734"/>
      <c r="C290" s="735"/>
      <c r="F290" s="734"/>
      <c r="G290" s="735"/>
      <c r="J290" s="734"/>
      <c r="K290" s="735"/>
      <c r="N290" s="734"/>
      <c r="O290" s="735"/>
      <c r="R290" s="734"/>
      <c r="S290" s="735"/>
      <c r="V290" s="734"/>
      <c r="W290" s="735"/>
      <c r="Z290" s="734"/>
      <c r="AA290" s="735"/>
      <c r="AD290" s="734"/>
      <c r="AE290" s="735"/>
      <c r="AH290" s="734"/>
      <c r="AI290" s="735"/>
      <c r="AL290" s="734"/>
      <c r="AM290" s="735"/>
      <c r="AP290" s="734"/>
      <c r="AQ290" s="735"/>
      <c r="AT290" s="283"/>
      <c r="AV290" s="664"/>
      <c r="AW290" s="664"/>
    </row>
    <row r="291" spans="1:51">
      <c r="A291" s="282"/>
      <c r="B291" s="684" t="str">
        <f>VLOOKUP(+B285,'[14]Twr Schedule'!$B$9:$C$611,2,FALSE)</f>
        <v>DD45+6</v>
      </c>
      <c r="C291" s="684"/>
      <c r="F291" s="684" t="str">
        <f>VLOOKUP(+F285,'[14]Twr Schedule'!$B$9:$C$611,2,FALSE)</f>
        <v>DD60+30</v>
      </c>
      <c r="G291" s="684"/>
      <c r="J291" s="684" t="str">
        <f>VLOOKUP(+J285,'[14]Twr Schedule'!$B$9:$C$611,2,FALSE)</f>
        <v>DC1+25</v>
      </c>
      <c r="K291" s="684"/>
      <c r="N291" s="684" t="str">
        <f>VLOOKUP(+N285,'[14]Twr Schedule'!$B$9:$C$611,2,FALSE)</f>
        <v>DC1+3</v>
      </c>
      <c r="O291" s="684"/>
      <c r="R291" s="684" t="str">
        <f>VLOOKUP(+R285,'[14]Twr Schedule'!$B$9:$C$611,2,FALSE)</f>
        <v>DC1+0</v>
      </c>
      <c r="S291" s="684"/>
      <c r="V291" s="684" t="str">
        <f>VLOOKUP(+V285,'[14]Twr Schedule'!$B$9:$C$611,2,FALSE)</f>
        <v>DA+0</v>
      </c>
      <c r="W291" s="684"/>
      <c r="Z291" s="684" t="str">
        <f>VLOOKUP(+Z285,'[14]Twr Schedule'!$B$9:$C$611,2,FALSE)</f>
        <v>DA+3</v>
      </c>
      <c r="AA291" s="684"/>
      <c r="AD291" s="684" t="str">
        <f>VLOOKUP(+AD285,'[14]Twr Schedule'!$B$9:$C$611,2,FALSE)</f>
        <v>DA-3</v>
      </c>
      <c r="AE291" s="684"/>
      <c r="AH291" s="684" t="str">
        <f>VLOOKUP(+AH285,'[14]Twr Schedule'!$B$9:$C$611,2,FALSE)</f>
        <v>DD60+0</v>
      </c>
      <c r="AI291" s="684"/>
      <c r="AL291" s="684" t="str">
        <f>VLOOKUP(+AL285,'[14]Twr Schedule'!$B$9:$C$611,2,FALSE)</f>
        <v>DD60+0</v>
      </c>
      <c r="AM291" s="684"/>
      <c r="AP291" s="684" t="str">
        <f>VLOOKUP(+AP285,'[14]Twr Schedule'!$B$9:$C$611,2,FALSE)</f>
        <v>DA+0</v>
      </c>
      <c r="AQ291" s="684"/>
      <c r="AT291" s="283"/>
      <c r="AV291" s="664"/>
      <c r="AW291" s="664"/>
    </row>
    <row r="292" spans="1:51">
      <c r="A292" s="282"/>
      <c r="J292" s="321" t="s">
        <v>866</v>
      </c>
      <c r="L292" t="s">
        <v>867</v>
      </c>
      <c r="AL292" s="313" t="s">
        <v>868</v>
      </c>
      <c r="AT292" s="283"/>
      <c r="AV292" s="664"/>
      <c r="AW292" s="664"/>
    </row>
    <row r="293" spans="1:51">
      <c r="A293" s="660" t="s">
        <v>865</v>
      </c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0"/>
      <c r="P293" s="660"/>
      <c r="Q293" s="660"/>
      <c r="R293" s="660"/>
      <c r="S293" s="660"/>
      <c r="T293" s="660"/>
      <c r="U293" s="660"/>
      <c r="V293" s="660"/>
      <c r="AI293" t="s">
        <v>869</v>
      </c>
      <c r="AT293" s="283"/>
      <c r="AV293" s="664"/>
      <c r="AW293" s="664"/>
    </row>
    <row r="294" spans="1:51">
      <c r="A294" s="282"/>
      <c r="V294" s="664" t="s">
        <v>870</v>
      </c>
      <c r="W294" s="664"/>
      <c r="AT294" s="283"/>
      <c r="AV294" s="664"/>
      <c r="AW294" s="664"/>
    </row>
    <row r="295" spans="1:51">
      <c r="A295" s="282"/>
      <c r="B295" s="664" t="str">
        <f>'[14]Twr Schedule'!B603</f>
        <v>67/0</v>
      </c>
      <c r="C295" s="664"/>
      <c r="F295" s="664" t="str">
        <f>'[14]Twr Schedule'!B605</f>
        <v>68/0</v>
      </c>
      <c r="G295" s="664"/>
      <c r="J295" s="664" t="str">
        <f>'[14]Twr Schedule'!B607</f>
        <v>69/0</v>
      </c>
      <c r="K295" s="664"/>
      <c r="N295" s="664" t="str">
        <f>'[14]Twr Schedule'!B609</f>
        <v>69A/0</v>
      </c>
      <c r="O295" s="664"/>
      <c r="R295" s="664" t="str">
        <f>'[14]Twr Schedule'!B611</f>
        <v>70/0</v>
      </c>
      <c r="S295" s="664"/>
      <c r="V295" s="664" t="str">
        <f>'[14]Twr Schedule'!B613</f>
        <v>Gantry</v>
      </c>
      <c r="W295" s="664"/>
      <c r="Z295" s="664"/>
      <c r="AA295" s="664"/>
      <c r="AD295" s="664"/>
      <c r="AE295" s="664"/>
      <c r="AP295" s="664"/>
      <c r="AQ295" s="664"/>
      <c r="AT295" s="283"/>
      <c r="AV295" s="664"/>
      <c r="AW295" s="664"/>
    </row>
    <row r="296" spans="1:51">
      <c r="A296" s="282"/>
      <c r="AT296" s="283"/>
      <c r="AV296" s="664"/>
      <c r="AW296" s="664"/>
    </row>
    <row r="297" spans="1:51">
      <c r="A297" s="282"/>
      <c r="AT297" s="283"/>
      <c r="AV297" s="664"/>
      <c r="AW297" s="664"/>
    </row>
    <row r="298" spans="1:51">
      <c r="A298" s="282"/>
      <c r="B298" s="296" t="s">
        <v>789</v>
      </c>
      <c r="C298" s="296" t="s">
        <v>790</v>
      </c>
      <c r="D298" s="731">
        <f>VLOOKUP(B295,[14]Progress!$B$9:$D$310,3,FALSE)</f>
        <v>318.40499999999997</v>
      </c>
      <c r="E298" s="732"/>
      <c r="F298" s="314" t="s">
        <v>789</v>
      </c>
      <c r="G298" s="314" t="s">
        <v>790</v>
      </c>
      <c r="H298" s="728">
        <f>VLOOKUP(F295,[14]Progress!$B$9:$D$310,3,FALSE)</f>
        <v>303.77</v>
      </c>
      <c r="I298" s="729"/>
      <c r="J298" s="314" t="s">
        <v>789</v>
      </c>
      <c r="K298" s="314" t="s">
        <v>790</v>
      </c>
      <c r="L298" s="728">
        <f>VLOOKUP(J295,[14]Progress!$B$9:$D$310,3,FALSE)</f>
        <v>232.6</v>
      </c>
      <c r="M298" s="729"/>
      <c r="N298" s="314" t="s">
        <v>789</v>
      </c>
      <c r="O298" s="314" t="s">
        <v>790</v>
      </c>
      <c r="P298" s="728">
        <f>VLOOKUP(N295,[14]Progress!$B$9:$D$310,3,FALSE)</f>
        <v>202.46</v>
      </c>
      <c r="Q298" s="729"/>
      <c r="R298" s="314" t="s">
        <v>789</v>
      </c>
      <c r="S298" s="314" t="s">
        <v>790</v>
      </c>
      <c r="T298" s="728">
        <f>VLOOKUP(R295,[14]Progress!$B$9:$D$310,3,FALSE)</f>
        <v>127</v>
      </c>
      <c r="U298" s="729"/>
      <c r="V298" s="322"/>
      <c r="W298" s="322"/>
      <c r="X298" s="664"/>
      <c r="Y298" s="664"/>
      <c r="Z298" s="2"/>
      <c r="AA298" s="2"/>
      <c r="AB298" s="664"/>
      <c r="AC298" s="664"/>
      <c r="AD298" s="2"/>
      <c r="AE298" s="2"/>
      <c r="AF298" s="664"/>
      <c r="AG298" s="664"/>
      <c r="AH298" s="2"/>
      <c r="AI298" s="2"/>
      <c r="AM298" s="2"/>
      <c r="AP298" s="2"/>
      <c r="AQ298" s="2"/>
      <c r="AR298" s="664"/>
      <c r="AS298" s="664"/>
      <c r="AT298" s="283"/>
      <c r="AV298" s="664">
        <f>D298+H298+L298+P298+T298+X298+AB298+AF298+AJ298+AN298+AR298</f>
        <v>1184.2349999999999</v>
      </c>
      <c r="AW298" s="664"/>
      <c r="AY298">
        <v>4</v>
      </c>
    </row>
    <row r="299" spans="1:51">
      <c r="A299" s="282"/>
      <c r="B299" s="296" t="s">
        <v>792</v>
      </c>
      <c r="C299" s="296" t="s">
        <v>793</v>
      </c>
      <c r="F299" s="296" t="s">
        <v>792</v>
      </c>
      <c r="G299" s="296" t="s">
        <v>793</v>
      </c>
      <c r="J299" s="296" t="s">
        <v>792</v>
      </c>
      <c r="K299" s="296" t="s">
        <v>793</v>
      </c>
      <c r="N299" s="296" t="s">
        <v>792</v>
      </c>
      <c r="O299" s="296" t="s">
        <v>793</v>
      </c>
      <c r="R299" s="296" t="s">
        <v>792</v>
      </c>
      <c r="S299" s="296" t="s">
        <v>793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64"/>
      <c r="AW299" s="664"/>
    </row>
    <row r="300" spans="1:51" ht="10.5" customHeight="1">
      <c r="A300" s="282"/>
      <c r="B300" s="734"/>
      <c r="C300" s="735"/>
      <c r="F300" s="734"/>
      <c r="G300" s="735"/>
      <c r="J300" s="734"/>
      <c r="K300" s="735"/>
      <c r="N300" s="734"/>
      <c r="O300" s="735"/>
      <c r="R300" s="700"/>
      <c r="S300" s="700"/>
      <c r="V300" s="660"/>
      <c r="W300" s="660"/>
      <c r="Z300" s="664"/>
      <c r="AA300" s="664"/>
      <c r="AD300" s="664"/>
      <c r="AE300" s="664"/>
      <c r="AP300" s="664"/>
      <c r="AQ300" s="664"/>
      <c r="AT300" s="283"/>
      <c r="AV300" s="664"/>
      <c r="AW300" s="664"/>
    </row>
    <row r="301" spans="1:51">
      <c r="A301" s="282"/>
      <c r="B301" s="759" t="str">
        <f>VLOOKUP(+B295,'[14]Twr Schedule'!$B$9:$C$611,2,FALSE)</f>
        <v>DD60+30</v>
      </c>
      <c r="C301" s="759"/>
      <c r="F301" s="759" t="str">
        <f>VLOOKUP(+F295,'[14]Twr Schedule'!$B$9:$C$611,2,FALSE)</f>
        <v>DD60+30</v>
      </c>
      <c r="G301" s="759"/>
      <c r="J301" s="684" t="str">
        <f>VLOOKUP(+J295,'[14]Twr Schedule'!$B$9:$C$611,2,FALSE)</f>
        <v>DC2+0</v>
      </c>
      <c r="K301" s="684"/>
      <c r="N301" s="684" t="str">
        <f>VLOOKUP(+N295,'[14]Twr Schedule'!$B$9:$C$611,2,FALSE)</f>
        <v>DD60+0</v>
      </c>
      <c r="O301" s="684"/>
      <c r="R301" s="684" t="str">
        <f>VLOOKUP(+R295,'[14]Twr Schedule'!$B$9:$C$611,2,FALSE)</f>
        <v>DD60+0</v>
      </c>
      <c r="S301" s="684"/>
      <c r="V301" s="664" t="s">
        <v>871</v>
      </c>
      <c r="W301" s="664"/>
      <c r="Z301" s="664"/>
      <c r="AA301" s="664"/>
      <c r="AD301" s="664"/>
      <c r="AE301" s="664"/>
      <c r="AH301" s="664"/>
      <c r="AI301" s="664"/>
      <c r="AL301" s="664"/>
      <c r="AM301" s="664"/>
      <c r="AP301" s="664"/>
      <c r="AQ301" s="664"/>
      <c r="AT301" s="283"/>
      <c r="AV301" s="664"/>
      <c r="AW301" s="664"/>
    </row>
    <row r="302" spans="1:51">
      <c r="A302" s="282"/>
      <c r="C302" t="s">
        <v>872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13"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A16:AF16"/>
    <mergeCell ref="AG16:AI16"/>
    <mergeCell ref="AJ16:AL16"/>
    <mergeCell ref="AM16:AO16"/>
    <mergeCell ref="AP16:AR16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</mergeCells>
  <conditionalFormatting sqref="A1 I3 L3 G4 I4:K4 M4 A5:I6 AA10:AA16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760" t="s">
        <v>874</v>
      </c>
      <c r="B1" s="761"/>
      <c r="C1" s="761"/>
      <c r="D1" s="761"/>
      <c r="E1" s="761"/>
      <c r="F1" s="761"/>
      <c r="G1" s="761"/>
      <c r="H1" s="761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22"/>
  <sheetViews>
    <sheetView topLeftCell="A6" workbookViewId="0">
      <selection activeCell="E16" sqref="E16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420</v>
      </c>
      <c r="C6" s="327" t="s">
        <v>707</v>
      </c>
      <c r="D6" s="278" t="s">
        <v>55</v>
      </c>
      <c r="E6" s="191"/>
      <c r="F6" s="207"/>
      <c r="G6" s="208"/>
    </row>
    <row r="7" spans="1:7">
      <c r="A7" s="10">
        <f>A6+1</f>
        <v>2</v>
      </c>
      <c r="B7" s="327" t="s">
        <v>433</v>
      </c>
      <c r="C7" s="327" t="s">
        <v>714</v>
      </c>
      <c r="D7" s="278" t="s">
        <v>55</v>
      </c>
      <c r="E7" s="191" t="s">
        <v>1021</v>
      </c>
      <c r="F7" s="326"/>
      <c r="G7" s="326"/>
    </row>
    <row r="8" spans="1:7">
      <c r="A8" s="10">
        <f t="shared" ref="A8:A21" si="0">A7+1</f>
        <v>3</v>
      </c>
      <c r="B8" s="75" t="s">
        <v>436</v>
      </c>
      <c r="C8" s="75" t="s">
        <v>226</v>
      </c>
      <c r="D8" s="278" t="s">
        <v>55</v>
      </c>
      <c r="E8" s="191" t="s">
        <v>1021</v>
      </c>
      <c r="F8" s="207"/>
      <c r="G8" s="208"/>
    </row>
    <row r="9" spans="1:7">
      <c r="A9" s="10">
        <f t="shared" si="0"/>
        <v>4</v>
      </c>
      <c r="B9" s="75" t="s">
        <v>690</v>
      </c>
      <c r="C9" s="75" t="s">
        <v>195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437</v>
      </c>
      <c r="C10" s="75" t="s">
        <v>226</v>
      </c>
      <c r="D10" s="278" t="s">
        <v>55</v>
      </c>
      <c r="E10" s="191"/>
      <c r="F10" s="207"/>
      <c r="G10" s="326"/>
    </row>
    <row r="11" spans="1:7">
      <c r="A11" s="10">
        <f t="shared" si="0"/>
        <v>6</v>
      </c>
      <c r="B11" s="327" t="s">
        <v>289</v>
      </c>
      <c r="C11" s="327" t="s">
        <v>318</v>
      </c>
      <c r="D11" s="278" t="s">
        <v>55</v>
      </c>
      <c r="E11" s="191"/>
      <c r="F11" s="207"/>
      <c r="G11" s="208"/>
    </row>
    <row r="12" spans="1:7">
      <c r="A12" s="10">
        <f t="shared" si="0"/>
        <v>7</v>
      </c>
      <c r="B12" s="75" t="s">
        <v>143</v>
      </c>
      <c r="C12" s="75" t="s">
        <v>225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75" t="s">
        <v>290</v>
      </c>
      <c r="C13" s="75" t="s">
        <v>624</v>
      </c>
      <c r="D13" s="278" t="s">
        <v>55</v>
      </c>
      <c r="E13" s="191" t="s">
        <v>1021</v>
      </c>
      <c r="F13" s="207"/>
      <c r="G13" s="208"/>
    </row>
    <row r="14" spans="1:7">
      <c r="A14" s="10">
        <f t="shared" si="0"/>
        <v>9</v>
      </c>
      <c r="B14" s="75" t="s">
        <v>292</v>
      </c>
      <c r="C14" s="75" t="s">
        <v>360</v>
      </c>
      <c r="D14" s="278" t="s">
        <v>55</v>
      </c>
      <c r="E14" s="191" t="s">
        <v>1021</v>
      </c>
      <c r="F14" s="207"/>
      <c r="G14" s="208"/>
    </row>
    <row r="15" spans="1:7">
      <c r="A15" s="10">
        <f t="shared" si="0"/>
        <v>10</v>
      </c>
      <c r="B15" s="75" t="s">
        <v>689</v>
      </c>
      <c r="C15" s="75" t="s">
        <v>224</v>
      </c>
      <c r="D15" s="278" t="s">
        <v>55</v>
      </c>
      <c r="E15" s="191" t="s">
        <v>1021</v>
      </c>
      <c r="F15" s="207"/>
      <c r="G15" s="208"/>
    </row>
    <row r="16" spans="1:7">
      <c r="A16" s="10">
        <f t="shared" si="0"/>
        <v>11</v>
      </c>
      <c r="B16" s="75" t="s">
        <v>873</v>
      </c>
      <c r="C16" s="75" t="s">
        <v>380</v>
      </c>
      <c r="D16" s="278" t="s">
        <v>55</v>
      </c>
      <c r="E16" s="191" t="s">
        <v>1021</v>
      </c>
      <c r="F16" s="207"/>
      <c r="G16" s="208"/>
    </row>
    <row r="17" spans="1:7">
      <c r="A17" s="10">
        <f t="shared" si="0"/>
        <v>12</v>
      </c>
      <c r="B17" s="75" t="s">
        <v>434</v>
      </c>
      <c r="C17" s="75" t="s">
        <v>195</v>
      </c>
      <c r="D17" s="278" t="s">
        <v>55</v>
      </c>
      <c r="E17" s="191" t="s">
        <v>1021</v>
      </c>
      <c r="F17" s="207"/>
      <c r="G17" s="208"/>
    </row>
    <row r="18" spans="1:7">
      <c r="A18" s="10">
        <f t="shared" si="0"/>
        <v>13</v>
      </c>
      <c r="B18" s="75" t="s">
        <v>691</v>
      </c>
      <c r="C18" s="75" t="s">
        <v>633</v>
      </c>
      <c r="D18" s="278" t="s">
        <v>55</v>
      </c>
      <c r="E18" s="191"/>
      <c r="F18" s="207"/>
      <c r="G18" s="208"/>
    </row>
    <row r="19" spans="1:7">
      <c r="A19" s="10">
        <f t="shared" si="0"/>
        <v>14</v>
      </c>
      <c r="B19" s="75" t="s">
        <v>694</v>
      </c>
      <c r="C19" s="75" t="s">
        <v>633</v>
      </c>
      <c r="D19" s="278" t="s">
        <v>55</v>
      </c>
      <c r="E19" s="191" t="s">
        <v>1021</v>
      </c>
      <c r="F19" s="326"/>
      <c r="G19" s="208"/>
    </row>
    <row r="20" spans="1:7">
      <c r="A20" s="10">
        <f t="shared" si="0"/>
        <v>15</v>
      </c>
      <c r="B20" s="75" t="s">
        <v>696</v>
      </c>
      <c r="C20" s="75" t="s">
        <v>357</v>
      </c>
      <c r="D20" s="278" t="s">
        <v>55</v>
      </c>
      <c r="E20" s="191"/>
      <c r="F20" s="326"/>
      <c r="G20" s="208"/>
    </row>
    <row r="21" spans="1:7">
      <c r="A21" s="10">
        <f t="shared" si="0"/>
        <v>16</v>
      </c>
      <c r="B21" s="75" t="s">
        <v>695</v>
      </c>
      <c r="C21" s="75" t="s">
        <v>380</v>
      </c>
      <c r="D21" s="278" t="s">
        <v>55</v>
      </c>
      <c r="E21" s="191"/>
      <c r="F21" s="207"/>
      <c r="G21" s="208"/>
    </row>
    <row r="22" spans="1:7">
      <c r="A22" s="10"/>
      <c r="B22" s="75"/>
      <c r="C22" s="75"/>
      <c r="D22" s="278"/>
      <c r="E22" s="191"/>
      <c r="F22" s="207"/>
      <c r="G22" s="208"/>
    </row>
  </sheetData>
  <autoFilter ref="A5:G22" xr:uid="{00000000-0009-0000-0000-000004000000}"/>
  <conditionalFormatting sqref="B6">
    <cfRule type="duplicateValues" dxfId="15" priority="8728"/>
  </conditionalFormatting>
  <conditionalFormatting sqref="B7 B11:B15">
    <cfRule type="duplicateValues" dxfId="14" priority="10554"/>
  </conditionalFormatting>
  <conditionalFormatting sqref="B7">
    <cfRule type="duplicateValues" dxfId="13" priority="1"/>
  </conditionalFormatting>
  <conditionalFormatting sqref="B11:B15">
    <cfRule type="duplicateValues" dxfId="12" priority="10557"/>
    <cfRule type="duplicateValues" dxfId="11" priority="10558"/>
  </conditionalFormatting>
  <conditionalFormatting sqref="E6:E22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2">
    <cfRule type="containsText" dxfId="6" priority="86" operator="containsText" text="Pending">
      <formula>NOT(ISERROR(SEARCH("Pending",G4)))</formula>
    </cfRule>
  </conditionalFormatting>
  <conditionalFormatting sqref="G6 G8 G11:G20 G22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768" t="s">
        <v>875</v>
      </c>
      <c r="B2" s="769"/>
      <c r="C2" s="769"/>
      <c r="D2" s="769"/>
      <c r="E2" s="769"/>
      <c r="F2" s="769"/>
      <c r="G2" s="769"/>
      <c r="H2" s="769"/>
      <c r="I2" s="769"/>
      <c r="J2" s="770"/>
    </row>
    <row r="3" spans="1:12" ht="15.75">
      <c r="A3" s="764" t="s">
        <v>283</v>
      </c>
      <c r="B3" s="765" t="s">
        <v>284</v>
      </c>
      <c r="C3" s="765"/>
      <c r="D3" s="766" t="s">
        <v>323</v>
      </c>
      <c r="E3" s="766" t="s">
        <v>324</v>
      </c>
      <c r="F3" s="766" t="s">
        <v>325</v>
      </c>
      <c r="G3" s="766" t="s">
        <v>326</v>
      </c>
      <c r="H3" s="765" t="s">
        <v>69</v>
      </c>
      <c r="I3" s="765" t="s">
        <v>273</v>
      </c>
      <c r="J3" s="771" t="s">
        <v>285</v>
      </c>
    </row>
    <row r="4" spans="1:12" ht="26.45" customHeight="1">
      <c r="A4" s="764"/>
      <c r="B4" s="101" t="s">
        <v>286</v>
      </c>
      <c r="C4" s="101" t="s">
        <v>287</v>
      </c>
      <c r="D4" s="767"/>
      <c r="E4" s="767"/>
      <c r="F4" s="767"/>
      <c r="G4" s="767"/>
      <c r="H4" s="765"/>
      <c r="I4" s="765"/>
      <c r="J4" s="771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62" t="s">
        <v>56</v>
      </c>
      <c r="B44" s="763"/>
      <c r="C44" s="763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82" t="s">
        <v>876</v>
      </c>
      <c r="B1" s="782"/>
      <c r="C1" s="782"/>
      <c r="D1" s="782"/>
      <c r="E1" s="782"/>
      <c r="F1" s="782"/>
      <c r="G1" s="782"/>
      <c r="H1" s="782"/>
      <c r="I1" s="782"/>
      <c r="J1" s="328"/>
      <c r="K1" s="328"/>
      <c r="L1" s="328"/>
    </row>
    <row r="2" spans="1:12">
      <c r="A2" s="783" t="s">
        <v>877</v>
      </c>
      <c r="B2" s="783"/>
      <c r="C2" s="783"/>
      <c r="D2" s="783"/>
      <c r="E2" s="783"/>
      <c r="F2" s="783"/>
      <c r="G2" s="783"/>
      <c r="H2" s="783"/>
      <c r="I2" s="783"/>
      <c r="J2" s="329"/>
      <c r="K2" s="329"/>
      <c r="L2" s="329"/>
    </row>
    <row r="3" spans="1:12">
      <c r="A3" s="783" t="s">
        <v>878</v>
      </c>
      <c r="B3" s="783"/>
      <c r="C3" s="783"/>
      <c r="D3" s="783"/>
      <c r="E3" s="783"/>
      <c r="F3" s="783"/>
      <c r="G3" s="783"/>
      <c r="H3" s="783"/>
      <c r="I3" s="783"/>
      <c r="J3" s="329"/>
      <c r="K3" s="329"/>
      <c r="L3" s="329"/>
    </row>
    <row r="4" spans="1:12" ht="36.75" customHeight="1">
      <c r="A4" s="784" t="s">
        <v>879</v>
      </c>
      <c r="B4" s="784"/>
      <c r="C4" s="784"/>
      <c r="D4" s="784"/>
      <c r="E4" s="784"/>
      <c r="F4" s="784"/>
      <c r="G4" s="784"/>
      <c r="H4" s="784"/>
      <c r="I4" s="784"/>
      <c r="J4" s="330"/>
      <c r="K4" s="330"/>
      <c r="L4" s="330"/>
    </row>
    <row r="5" spans="1:12" ht="15.75">
      <c r="A5" s="785" t="s">
        <v>880</v>
      </c>
      <c r="B5" s="785"/>
      <c r="C5" s="785"/>
      <c r="D5" s="785"/>
      <c r="E5" s="785"/>
      <c r="F5" s="785"/>
      <c r="G5" s="785"/>
      <c r="H5" s="785"/>
      <c r="I5" s="785"/>
    </row>
    <row r="6" spans="1:12" ht="18.75">
      <c r="A6" s="331" t="s">
        <v>881</v>
      </c>
      <c r="G6" s="332"/>
      <c r="I6" s="332">
        <v>45930</v>
      </c>
    </row>
    <row r="7" spans="1:12" ht="48" customHeight="1">
      <c r="A7" s="333" t="s">
        <v>882</v>
      </c>
      <c r="B7" s="333" t="s">
        <v>883</v>
      </c>
      <c r="C7" s="333" t="s">
        <v>884</v>
      </c>
      <c r="D7" s="333" t="s">
        <v>885</v>
      </c>
      <c r="E7" s="333" t="s">
        <v>886</v>
      </c>
      <c r="F7" s="334" t="s">
        <v>887</v>
      </c>
      <c r="G7" s="335" t="s">
        <v>71</v>
      </c>
      <c r="H7" s="336" t="s">
        <v>888</v>
      </c>
      <c r="I7" s="335" t="s">
        <v>194</v>
      </c>
    </row>
    <row r="8" spans="1:12">
      <c r="A8" s="337" t="s">
        <v>889</v>
      </c>
      <c r="B8" s="338" t="s">
        <v>890</v>
      </c>
      <c r="C8" s="339" t="s">
        <v>891</v>
      </c>
      <c r="D8" s="339"/>
      <c r="E8" s="339" t="s">
        <v>892</v>
      </c>
      <c r="F8" s="340">
        <v>45411</v>
      </c>
      <c r="G8" s="341" t="s">
        <v>893</v>
      </c>
      <c r="H8" s="342">
        <v>45492</v>
      </c>
      <c r="I8" s="343"/>
    </row>
    <row r="9" spans="1:12">
      <c r="A9" s="344" t="s">
        <v>894</v>
      </c>
      <c r="B9" s="338" t="s">
        <v>895</v>
      </c>
      <c r="C9" s="339" t="s">
        <v>891</v>
      </c>
      <c r="D9" s="339"/>
      <c r="E9" s="339" t="s">
        <v>896</v>
      </c>
      <c r="F9" s="340">
        <v>45419</v>
      </c>
      <c r="G9" s="341" t="s">
        <v>893</v>
      </c>
      <c r="H9" s="342">
        <v>45491</v>
      </c>
      <c r="I9" s="343"/>
    </row>
    <row r="10" spans="1:12" ht="30">
      <c r="A10" s="344" t="s">
        <v>897</v>
      </c>
      <c r="B10" s="338" t="s">
        <v>898</v>
      </c>
      <c r="C10" s="339" t="s">
        <v>891</v>
      </c>
      <c r="D10" s="339"/>
      <c r="E10" s="345" t="s">
        <v>899</v>
      </c>
      <c r="F10" s="340">
        <v>45419</v>
      </c>
      <c r="G10" s="341" t="s">
        <v>893</v>
      </c>
      <c r="H10" s="342">
        <v>45492</v>
      </c>
      <c r="I10" s="343"/>
    </row>
    <row r="11" spans="1:12" ht="30">
      <c r="A11" s="344" t="s">
        <v>820</v>
      </c>
      <c r="B11" s="338" t="s">
        <v>900</v>
      </c>
      <c r="C11" s="339" t="s">
        <v>402</v>
      </c>
      <c r="D11" s="339"/>
      <c r="E11" s="345" t="s">
        <v>901</v>
      </c>
      <c r="F11" s="340">
        <v>45419</v>
      </c>
      <c r="G11" s="341" t="s">
        <v>893</v>
      </c>
      <c r="H11" s="342">
        <v>45492</v>
      </c>
      <c r="I11" s="346"/>
    </row>
    <row r="12" spans="1:12">
      <c r="A12" s="344" t="s">
        <v>902</v>
      </c>
      <c r="B12" s="338" t="s">
        <v>898</v>
      </c>
      <c r="C12" s="339" t="s">
        <v>891</v>
      </c>
      <c r="D12" s="339"/>
      <c r="E12" s="345" t="s">
        <v>903</v>
      </c>
      <c r="F12" s="340">
        <v>45419</v>
      </c>
      <c r="G12" s="341" t="s">
        <v>893</v>
      </c>
      <c r="H12" s="342">
        <v>45565</v>
      </c>
      <c r="I12" s="343"/>
    </row>
    <row r="13" spans="1:12" ht="30">
      <c r="A13" s="344" t="s">
        <v>904</v>
      </c>
      <c r="B13" s="338" t="s">
        <v>905</v>
      </c>
      <c r="C13" s="339" t="s">
        <v>891</v>
      </c>
      <c r="D13" s="339"/>
      <c r="E13" s="345" t="s">
        <v>906</v>
      </c>
      <c r="F13" s="340">
        <v>45411</v>
      </c>
      <c r="G13" s="341" t="s">
        <v>893</v>
      </c>
      <c r="H13" s="342">
        <v>45680</v>
      </c>
      <c r="I13" s="343"/>
    </row>
    <row r="14" spans="1:12">
      <c r="A14" s="344" t="s">
        <v>907</v>
      </c>
      <c r="B14" s="338" t="s">
        <v>908</v>
      </c>
      <c r="C14" s="339" t="s">
        <v>891</v>
      </c>
      <c r="D14" s="339"/>
      <c r="E14" s="345" t="s">
        <v>909</v>
      </c>
      <c r="F14" s="340">
        <v>45411</v>
      </c>
      <c r="G14" s="341" t="s">
        <v>893</v>
      </c>
      <c r="H14" s="342">
        <v>45545</v>
      </c>
      <c r="I14" s="343"/>
    </row>
    <row r="15" spans="1:12">
      <c r="A15" s="344" t="s">
        <v>910</v>
      </c>
      <c r="B15" s="338" t="s">
        <v>911</v>
      </c>
      <c r="C15" s="339" t="s">
        <v>402</v>
      </c>
      <c r="D15" s="339"/>
      <c r="E15" s="345" t="s">
        <v>912</v>
      </c>
      <c r="F15" s="340">
        <v>45411</v>
      </c>
      <c r="G15" s="341" t="s">
        <v>893</v>
      </c>
      <c r="H15" s="342">
        <v>45491</v>
      </c>
      <c r="I15" s="343"/>
    </row>
    <row r="16" spans="1:12">
      <c r="A16" s="344" t="s">
        <v>913</v>
      </c>
      <c r="B16" s="338" t="s">
        <v>911</v>
      </c>
      <c r="C16" s="339" t="s">
        <v>402</v>
      </c>
      <c r="D16" s="339"/>
      <c r="E16" s="345" t="s">
        <v>914</v>
      </c>
      <c r="F16" s="340">
        <v>45411</v>
      </c>
      <c r="G16" s="341" t="s">
        <v>893</v>
      </c>
      <c r="H16" s="342">
        <v>45491</v>
      </c>
      <c r="I16" s="343"/>
    </row>
    <row r="17" spans="1:10">
      <c r="A17" s="344" t="s">
        <v>915</v>
      </c>
      <c r="B17" s="338" t="s">
        <v>900</v>
      </c>
      <c r="C17" s="339"/>
      <c r="D17" s="339"/>
      <c r="E17" s="345" t="s">
        <v>916</v>
      </c>
      <c r="F17" s="340">
        <v>45511</v>
      </c>
      <c r="G17" s="341" t="s">
        <v>893</v>
      </c>
      <c r="H17" s="342">
        <v>45609</v>
      </c>
      <c r="I17" s="343"/>
    </row>
    <row r="18" spans="1:10" ht="30">
      <c r="A18" s="344" t="s">
        <v>917</v>
      </c>
      <c r="B18" s="338" t="s">
        <v>918</v>
      </c>
      <c r="C18" s="339" t="s">
        <v>919</v>
      </c>
      <c r="D18" s="339"/>
      <c r="E18" s="345" t="s">
        <v>920</v>
      </c>
      <c r="F18" s="340">
        <v>45502</v>
      </c>
      <c r="G18" s="341" t="s">
        <v>893</v>
      </c>
      <c r="H18" s="342">
        <v>45563</v>
      </c>
      <c r="I18" s="343"/>
    </row>
    <row r="19" spans="1:10">
      <c r="A19" s="344" t="s">
        <v>921</v>
      </c>
      <c r="B19" s="338" t="s">
        <v>895</v>
      </c>
      <c r="C19" s="339" t="s">
        <v>891</v>
      </c>
      <c r="D19" s="339"/>
      <c r="E19" s="345" t="s">
        <v>922</v>
      </c>
      <c r="F19" s="340">
        <v>45511</v>
      </c>
      <c r="G19" s="341" t="s">
        <v>893</v>
      </c>
      <c r="H19" s="342">
        <v>45563</v>
      </c>
      <c r="I19" s="343"/>
    </row>
    <row r="20" spans="1:10">
      <c r="A20" s="344" t="s">
        <v>921</v>
      </c>
      <c r="B20" s="338" t="s">
        <v>898</v>
      </c>
      <c r="C20" s="339" t="s">
        <v>891</v>
      </c>
      <c r="D20" s="339"/>
      <c r="E20" s="345" t="s">
        <v>923</v>
      </c>
      <c r="F20" s="340">
        <v>45502</v>
      </c>
      <c r="G20" s="341" t="s">
        <v>893</v>
      </c>
      <c r="H20" s="342">
        <v>45563</v>
      </c>
      <c r="I20" s="343"/>
    </row>
    <row r="21" spans="1:10">
      <c r="A21" s="344" t="s">
        <v>924</v>
      </c>
      <c r="B21" s="338" t="s">
        <v>898</v>
      </c>
      <c r="C21" s="339" t="s">
        <v>891</v>
      </c>
      <c r="D21" s="339"/>
      <c r="E21" s="345" t="s">
        <v>925</v>
      </c>
      <c r="F21" s="340">
        <v>45490</v>
      </c>
      <c r="G21" s="341" t="s">
        <v>893</v>
      </c>
      <c r="H21" s="342">
        <v>45563</v>
      </c>
      <c r="I21" s="343"/>
    </row>
    <row r="22" spans="1:10">
      <c r="A22" s="344" t="s">
        <v>926</v>
      </c>
      <c r="B22" s="338" t="s">
        <v>927</v>
      </c>
      <c r="C22" s="339" t="s">
        <v>402</v>
      </c>
      <c r="D22" s="339"/>
      <c r="E22" s="345" t="s">
        <v>928</v>
      </c>
      <c r="F22" s="340">
        <v>45490</v>
      </c>
      <c r="G22" s="341" t="s">
        <v>893</v>
      </c>
      <c r="H22" s="342">
        <v>45563</v>
      </c>
      <c r="I22" s="346"/>
    </row>
    <row r="23" spans="1:10">
      <c r="A23" s="344" t="s">
        <v>929</v>
      </c>
      <c r="B23" s="338" t="s">
        <v>908</v>
      </c>
      <c r="C23" s="339" t="s">
        <v>891</v>
      </c>
      <c r="D23" s="339"/>
      <c r="E23" s="345" t="s">
        <v>930</v>
      </c>
      <c r="F23" s="340">
        <v>45490</v>
      </c>
      <c r="G23" s="341" t="s">
        <v>893</v>
      </c>
      <c r="H23" s="342">
        <v>45563</v>
      </c>
      <c r="I23" s="343"/>
    </row>
    <row r="24" spans="1:10">
      <c r="A24" s="344" t="s">
        <v>929</v>
      </c>
      <c r="B24" s="338" t="s">
        <v>908</v>
      </c>
      <c r="C24" s="339" t="s">
        <v>891</v>
      </c>
      <c r="D24" s="339"/>
      <c r="E24" s="345" t="s">
        <v>931</v>
      </c>
      <c r="F24" s="340">
        <v>45490</v>
      </c>
      <c r="G24" s="341" t="s">
        <v>893</v>
      </c>
      <c r="H24" s="342">
        <v>45563</v>
      </c>
      <c r="I24" s="343"/>
    </row>
    <row r="25" spans="1:10">
      <c r="A25" s="344" t="s">
        <v>932</v>
      </c>
      <c r="B25" s="338" t="s">
        <v>900</v>
      </c>
      <c r="C25" s="339" t="s">
        <v>402</v>
      </c>
      <c r="D25" s="339"/>
      <c r="E25" s="345" t="s">
        <v>933</v>
      </c>
      <c r="F25" s="340">
        <v>45490</v>
      </c>
      <c r="G25" s="341" t="s">
        <v>893</v>
      </c>
      <c r="H25" s="342">
        <v>45563</v>
      </c>
      <c r="I25" s="343"/>
    </row>
    <row r="26" spans="1:10" ht="22.5" customHeight="1">
      <c r="A26" s="347" t="s">
        <v>934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935</v>
      </c>
      <c r="B27" s="351" t="s">
        <v>936</v>
      </c>
      <c r="C27" s="351" t="s">
        <v>937</v>
      </c>
      <c r="D27" s="351" t="s">
        <v>938</v>
      </c>
      <c r="E27" s="351" t="s">
        <v>939</v>
      </c>
      <c r="F27" s="352" t="s">
        <v>940</v>
      </c>
      <c r="G27" s="353" t="s">
        <v>71</v>
      </c>
      <c r="H27" s="354"/>
      <c r="I27" s="355"/>
    </row>
    <row r="28" spans="1:10" ht="25.5" customHeight="1">
      <c r="A28" s="356"/>
      <c r="B28" s="357" t="s">
        <v>941</v>
      </c>
      <c r="C28" s="357" t="s">
        <v>942</v>
      </c>
      <c r="D28" s="357" t="s">
        <v>943</v>
      </c>
      <c r="E28" s="358" t="s">
        <v>944</v>
      </c>
      <c r="F28" s="340" t="s">
        <v>945</v>
      </c>
      <c r="G28" s="359" t="s">
        <v>946</v>
      </c>
      <c r="H28" s="360" t="s">
        <v>947</v>
      </c>
      <c r="I28" s="361">
        <v>45663</v>
      </c>
    </row>
    <row r="29" spans="1:10" ht="38.25">
      <c r="A29" s="356"/>
      <c r="B29" s="357" t="s">
        <v>941</v>
      </c>
      <c r="C29" s="357" t="s">
        <v>948</v>
      </c>
      <c r="D29" s="357"/>
      <c r="E29" s="358" t="s">
        <v>949</v>
      </c>
      <c r="F29" s="362" t="s">
        <v>950</v>
      </c>
      <c r="G29" s="359" t="s">
        <v>951</v>
      </c>
      <c r="H29" s="360" t="s">
        <v>947</v>
      </c>
      <c r="I29" s="361">
        <v>45663</v>
      </c>
    </row>
    <row r="30" spans="1:10" ht="38.25">
      <c r="A30" s="356"/>
      <c r="B30" s="357" t="s">
        <v>941</v>
      </c>
      <c r="C30" s="357" t="s">
        <v>942</v>
      </c>
      <c r="D30" s="357" t="s">
        <v>952</v>
      </c>
      <c r="E30" s="358" t="s">
        <v>953</v>
      </c>
      <c r="F30" s="362" t="s">
        <v>954</v>
      </c>
      <c r="G30" s="359" t="s">
        <v>951</v>
      </c>
      <c r="H30" s="360" t="s">
        <v>947</v>
      </c>
      <c r="I30" s="361">
        <v>45695</v>
      </c>
    </row>
    <row r="31" spans="1:10" s="7" customFormat="1" ht="15.75">
      <c r="A31" s="363" t="s">
        <v>955</v>
      </c>
      <c r="B31" s="364"/>
      <c r="C31" s="364"/>
      <c r="D31" s="365"/>
      <c r="E31" s="365"/>
      <c r="F31" s="364"/>
      <c r="G31" s="364"/>
      <c r="H31" s="366"/>
      <c r="I31" s="367"/>
    </row>
    <row r="32" spans="1:10" ht="33.75" thickBot="1">
      <c r="A32" s="351" t="s">
        <v>956</v>
      </c>
      <c r="B32" s="351" t="s">
        <v>957</v>
      </c>
      <c r="C32" s="351" t="s">
        <v>958</v>
      </c>
      <c r="D32" s="351" t="s">
        <v>959</v>
      </c>
      <c r="E32" s="351" t="s">
        <v>939</v>
      </c>
      <c r="F32" s="351" t="s">
        <v>940</v>
      </c>
      <c r="G32" s="368" t="s">
        <v>71</v>
      </c>
      <c r="H32" s="343"/>
      <c r="I32" s="369"/>
      <c r="J32" s="98"/>
    </row>
    <row r="33" spans="1:11" ht="42.75">
      <c r="A33" s="370"/>
      <c r="B33" s="371" t="s">
        <v>960</v>
      </c>
      <c r="C33" s="372" t="s">
        <v>961</v>
      </c>
      <c r="D33" s="372" t="s">
        <v>962</v>
      </c>
      <c r="E33" s="371" t="s">
        <v>963</v>
      </c>
      <c r="F33" s="373" t="s">
        <v>964</v>
      </c>
      <c r="G33" s="341" t="s">
        <v>893</v>
      </c>
      <c r="H33" s="374">
        <v>45751</v>
      </c>
      <c r="I33" s="375"/>
    </row>
    <row r="34" spans="1:11" ht="42.75">
      <c r="A34" s="356"/>
      <c r="B34" s="358" t="s">
        <v>965</v>
      </c>
      <c r="C34" s="357" t="s">
        <v>966</v>
      </c>
      <c r="D34" s="357" t="s">
        <v>967</v>
      </c>
      <c r="E34" s="358" t="s">
        <v>968</v>
      </c>
      <c r="F34" s="376" t="s">
        <v>969</v>
      </c>
      <c r="G34" s="341" t="s">
        <v>893</v>
      </c>
      <c r="H34" s="377">
        <v>45498</v>
      </c>
      <c r="I34" s="346"/>
    </row>
    <row r="35" spans="1:11" ht="42.75">
      <c r="A35" s="356"/>
      <c r="B35" s="358" t="s">
        <v>826</v>
      </c>
      <c r="C35" s="357"/>
      <c r="D35" s="357" t="s">
        <v>970</v>
      </c>
      <c r="E35" s="358" t="s">
        <v>971</v>
      </c>
      <c r="F35" s="378" t="s">
        <v>972</v>
      </c>
      <c r="G35" s="341" t="s">
        <v>893</v>
      </c>
      <c r="H35" s="377">
        <v>45723</v>
      </c>
      <c r="I35" s="343"/>
    </row>
    <row r="36" spans="1:11" ht="30">
      <c r="A36" s="76"/>
      <c r="B36" s="358" t="s">
        <v>973</v>
      </c>
      <c r="C36" s="379" t="s">
        <v>974</v>
      </c>
      <c r="D36" s="76"/>
      <c r="E36" s="358" t="s">
        <v>975</v>
      </c>
      <c r="F36" s="378" t="s">
        <v>330</v>
      </c>
      <c r="G36" s="245" t="s">
        <v>893</v>
      </c>
      <c r="H36" s="377">
        <v>45498</v>
      </c>
      <c r="I36" s="76"/>
    </row>
    <row r="37" spans="1:11" ht="28.5">
      <c r="A37" s="76"/>
      <c r="B37" s="358" t="s">
        <v>843</v>
      </c>
      <c r="C37" s="76"/>
      <c r="D37" s="76"/>
      <c r="E37" s="358" t="s">
        <v>976</v>
      </c>
      <c r="F37" s="358" t="s">
        <v>977</v>
      </c>
      <c r="G37" s="245" t="s">
        <v>893</v>
      </c>
      <c r="H37" s="380">
        <v>45544</v>
      </c>
      <c r="I37" s="76"/>
    </row>
    <row r="38" spans="1:11" ht="30">
      <c r="A38" s="76"/>
      <c r="B38" s="358" t="s">
        <v>978</v>
      </c>
      <c r="C38" s="76"/>
      <c r="D38" s="76"/>
      <c r="E38" s="358" t="s">
        <v>949</v>
      </c>
      <c r="F38" s="381" t="s">
        <v>979</v>
      </c>
      <c r="G38" s="341" t="s">
        <v>893</v>
      </c>
      <c r="H38" s="382">
        <v>45741</v>
      </c>
      <c r="I38" s="76"/>
    </row>
    <row r="39" spans="1:11" ht="29.25" thickBot="1">
      <c r="A39" s="76"/>
      <c r="B39" s="383" t="s">
        <v>980</v>
      </c>
      <c r="C39" s="76"/>
      <c r="D39" s="76"/>
      <c r="E39" s="358" t="s">
        <v>953</v>
      </c>
      <c r="F39" s="358" t="s">
        <v>981</v>
      </c>
      <c r="G39" s="245" t="s">
        <v>893</v>
      </c>
      <c r="H39" s="380">
        <v>45583</v>
      </c>
      <c r="I39" s="76"/>
    </row>
    <row r="41" spans="1:11" ht="15.75" thickBot="1">
      <c r="A41" s="384" t="s">
        <v>982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90.75" thickBot="1">
      <c r="A42" s="386" t="s">
        <v>983</v>
      </c>
      <c r="B42" s="387" t="s">
        <v>984</v>
      </c>
      <c r="C42" s="387" t="s">
        <v>985</v>
      </c>
      <c r="D42" s="387" t="s">
        <v>986</v>
      </c>
      <c r="E42" s="387" t="s">
        <v>987</v>
      </c>
      <c r="F42" s="387" t="s">
        <v>988</v>
      </c>
      <c r="G42" s="387" t="s">
        <v>989</v>
      </c>
      <c r="H42" s="387" t="s">
        <v>990</v>
      </c>
      <c r="I42" s="387" t="s">
        <v>991</v>
      </c>
      <c r="J42" s="387" t="s">
        <v>992</v>
      </c>
      <c r="K42" s="388" t="s">
        <v>194</v>
      </c>
    </row>
    <row r="43" spans="1:11" ht="28.5">
      <c r="A43" s="389">
        <v>1</v>
      </c>
      <c r="B43" s="390" t="s">
        <v>993</v>
      </c>
      <c r="C43" s="391">
        <v>0.17419999999999999</v>
      </c>
      <c r="D43" s="371" t="s">
        <v>994</v>
      </c>
      <c r="E43" s="371" t="s">
        <v>995</v>
      </c>
      <c r="F43" s="371" t="s">
        <v>55</v>
      </c>
      <c r="G43" s="376" t="s">
        <v>996</v>
      </c>
      <c r="H43" s="376"/>
      <c r="I43" s="376"/>
      <c r="J43" s="376"/>
      <c r="K43" s="392" t="s">
        <v>997</v>
      </c>
    </row>
    <row r="44" spans="1:11" ht="28.5">
      <c r="A44" s="393">
        <v>2</v>
      </c>
      <c r="B44" s="394" t="s">
        <v>998</v>
      </c>
      <c r="C44" s="395">
        <v>0.25940000000000002</v>
      </c>
      <c r="D44" s="358" t="s">
        <v>994</v>
      </c>
      <c r="E44" s="358" t="s">
        <v>995</v>
      </c>
      <c r="F44" s="358" t="s">
        <v>55</v>
      </c>
      <c r="G44" s="376" t="s">
        <v>996</v>
      </c>
      <c r="H44" s="378"/>
      <c r="I44" s="378"/>
      <c r="J44" s="378"/>
      <c r="K44" s="392" t="s">
        <v>999</v>
      </c>
    </row>
    <row r="45" spans="1:11" ht="28.5">
      <c r="A45" s="393">
        <v>3</v>
      </c>
      <c r="B45" s="394" t="s">
        <v>1000</v>
      </c>
      <c r="C45" s="395">
        <f>0.1593+0.0017</f>
        <v>0.161</v>
      </c>
      <c r="D45" s="358" t="s">
        <v>994</v>
      </c>
      <c r="E45" s="358" t="s">
        <v>995</v>
      </c>
      <c r="F45" s="358" t="s">
        <v>55</v>
      </c>
      <c r="G45" s="376" t="s">
        <v>996</v>
      </c>
      <c r="H45" s="378"/>
      <c r="I45" s="378"/>
      <c r="J45" s="378"/>
      <c r="K45" s="772" t="s">
        <v>1001</v>
      </c>
    </row>
    <row r="46" spans="1:11" ht="28.5">
      <c r="A46" s="393">
        <v>4</v>
      </c>
      <c r="B46" s="394" t="s">
        <v>1002</v>
      </c>
      <c r="C46" s="395">
        <v>0.1245</v>
      </c>
      <c r="D46" s="358" t="s">
        <v>994</v>
      </c>
      <c r="E46" s="358" t="s">
        <v>995</v>
      </c>
      <c r="F46" s="358" t="s">
        <v>55</v>
      </c>
      <c r="G46" s="376" t="s">
        <v>996</v>
      </c>
      <c r="H46" s="378"/>
      <c r="I46" s="378"/>
      <c r="J46" s="378"/>
      <c r="K46" s="773"/>
    </row>
    <row r="47" spans="1:11" ht="29.25" thickBot="1">
      <c r="A47" s="396">
        <v>5</v>
      </c>
      <c r="B47" s="397" t="s">
        <v>1003</v>
      </c>
      <c r="C47" s="398">
        <v>0.1038</v>
      </c>
      <c r="D47" s="358" t="s">
        <v>994</v>
      </c>
      <c r="E47" s="399" t="s">
        <v>995</v>
      </c>
      <c r="F47" s="399" t="s">
        <v>55</v>
      </c>
      <c r="G47" s="376" t="s">
        <v>996</v>
      </c>
      <c r="H47" s="400"/>
      <c r="I47" s="400"/>
      <c r="J47" s="400"/>
      <c r="K47" s="774"/>
    </row>
    <row r="48" spans="1:11" ht="15.75" thickBot="1">
      <c r="A48" s="775" t="s">
        <v>1004</v>
      </c>
      <c r="B48" s="776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.75" thickBot="1"/>
    <row r="50" spans="1:10" ht="15.75" thickBot="1">
      <c r="A50" s="777" t="s">
        <v>1005</v>
      </c>
      <c r="B50" s="778"/>
      <c r="C50" s="778"/>
      <c r="D50" s="778"/>
      <c r="E50" s="778"/>
      <c r="F50" s="778"/>
      <c r="G50" s="779"/>
      <c r="H50" s="329"/>
      <c r="I50" s="329"/>
      <c r="J50" s="329"/>
    </row>
    <row r="51" spans="1:10" ht="51">
      <c r="A51" s="403" t="s">
        <v>983</v>
      </c>
      <c r="B51" s="177" t="s">
        <v>1006</v>
      </c>
      <c r="C51" s="177" t="s">
        <v>1007</v>
      </c>
      <c r="D51" s="177" t="s">
        <v>1006</v>
      </c>
      <c r="E51" s="177" t="s">
        <v>1007</v>
      </c>
      <c r="F51" s="177" t="s">
        <v>1008</v>
      </c>
      <c r="G51" s="177" t="s">
        <v>1009</v>
      </c>
      <c r="H51" s="404" t="s">
        <v>1010</v>
      </c>
      <c r="I51" s="177" t="s">
        <v>1011</v>
      </c>
      <c r="J51" s="405" t="s">
        <v>194</v>
      </c>
    </row>
    <row r="52" spans="1:10">
      <c r="A52" s="406">
        <v>1</v>
      </c>
      <c r="B52" s="237" t="s">
        <v>752</v>
      </c>
      <c r="C52" s="237" t="s">
        <v>380</v>
      </c>
      <c r="D52" s="237" t="s">
        <v>753</v>
      </c>
      <c r="E52" s="237" t="s">
        <v>380</v>
      </c>
      <c r="F52" s="407">
        <v>45512</v>
      </c>
      <c r="G52" s="780" t="s">
        <v>1012</v>
      </c>
      <c r="H52" s="407">
        <v>45684</v>
      </c>
      <c r="I52" s="408" t="s">
        <v>1013</v>
      </c>
      <c r="J52" s="392" t="s">
        <v>1014</v>
      </c>
    </row>
    <row r="53" spans="1:10" ht="15.75" thickBot="1">
      <c r="A53" s="409">
        <v>2</v>
      </c>
      <c r="B53" s="410" t="s">
        <v>554</v>
      </c>
      <c r="C53" s="411" t="s">
        <v>224</v>
      </c>
      <c r="D53" s="410" t="s">
        <v>545</v>
      </c>
      <c r="E53" s="411" t="s">
        <v>225</v>
      </c>
      <c r="F53" s="412">
        <v>45503</v>
      </c>
      <c r="G53" s="781"/>
      <c r="H53" s="412">
        <v>45782</v>
      </c>
      <c r="I53" s="413" t="s">
        <v>1015</v>
      </c>
      <c r="J53" s="414" t="s">
        <v>1014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89" t="s">
        <v>159</v>
      </c>
      <c r="B6" s="789"/>
      <c r="C6" s="789"/>
      <c r="D6" s="789"/>
      <c r="E6" s="789"/>
      <c r="F6" s="789"/>
    </row>
    <row r="7" spans="1:27" ht="15.75" thickBot="1"/>
    <row r="8" spans="1:27" ht="15" customHeight="1">
      <c r="A8" s="790" t="s">
        <v>12</v>
      </c>
      <c r="B8" s="792" t="s">
        <v>13</v>
      </c>
      <c r="C8" s="794" t="s">
        <v>14</v>
      </c>
      <c r="D8" s="796" t="s">
        <v>15</v>
      </c>
    </row>
    <row r="9" spans="1:27" ht="15.75" thickBot="1">
      <c r="A9" s="791"/>
      <c r="B9" s="793"/>
      <c r="C9" s="795"/>
      <c r="D9" s="797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86"/>
      <c r="G10" s="786"/>
      <c r="H10" s="786"/>
      <c r="I10" s="786"/>
      <c r="J10" s="786"/>
      <c r="K10" s="787"/>
      <c r="L10" s="787"/>
      <c r="M10" s="787"/>
      <c r="N10" s="787"/>
      <c r="O10" s="787"/>
      <c r="P10" s="787"/>
      <c r="Q10" s="787"/>
      <c r="R10" s="787"/>
      <c r="S10" s="788"/>
    </row>
    <row r="11" spans="1:27" ht="19.350000000000001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120">
        <v>335</v>
      </c>
      <c r="F26" s="786"/>
      <c r="G26" s="786"/>
      <c r="H26" s="786"/>
      <c r="I26" s="786"/>
      <c r="J26" s="786"/>
      <c r="K26" s="787"/>
      <c r="L26" s="787"/>
      <c r="M26" s="787"/>
      <c r="N26" s="787"/>
      <c r="O26" s="787"/>
      <c r="P26" s="787"/>
      <c r="Q26" s="787"/>
      <c r="R26" s="787"/>
      <c r="S26" s="788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>
      <c r="A42" s="1">
        <v>17</v>
      </c>
      <c r="B42" s="14" t="s">
        <v>17</v>
      </c>
      <c r="C42" s="46" t="s">
        <v>229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229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228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87</v>
      </c>
      <c r="C50" s="46" t="s">
        <v>230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88</v>
      </c>
      <c r="C52" s="46" t="s">
        <v>230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89</v>
      </c>
      <c r="C54" s="46" t="s">
        <v>231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90</v>
      </c>
      <c r="C56" s="46" t="s">
        <v>229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91</v>
      </c>
      <c r="C58" s="46" t="s">
        <v>229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92</v>
      </c>
      <c r="C60" s="46" t="s">
        <v>229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93</v>
      </c>
      <c r="C62" s="46" t="s">
        <v>232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94</v>
      </c>
      <c r="C64" s="46" t="s">
        <v>230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95</v>
      </c>
      <c r="C66" s="46" t="s">
        <v>232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96</v>
      </c>
      <c r="C68" s="46" t="s">
        <v>232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97</v>
      </c>
      <c r="C70" s="46" t="s">
        <v>230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233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234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240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230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291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99</v>
      </c>
      <c r="C84" s="46" t="s">
        <v>232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238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229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229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230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100</v>
      </c>
      <c r="C98" s="46" t="s">
        <v>229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228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102</v>
      </c>
      <c r="C104" s="46" t="s">
        <v>239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103</v>
      </c>
      <c r="C106" s="46" t="s">
        <v>230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104</v>
      </c>
      <c r="C108" s="46" t="s">
        <v>229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105</v>
      </c>
      <c r="C110" s="46" t="s">
        <v>230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240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229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228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107</v>
      </c>
      <c r="C122" s="46" t="s">
        <v>229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108</v>
      </c>
      <c r="C124" s="46" t="s">
        <v>229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109</v>
      </c>
      <c r="C126" s="46" t="s">
        <v>231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241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242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237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229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231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229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112</v>
      </c>
      <c r="C146" s="46" t="s">
        <v>229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113</v>
      </c>
      <c r="C148" s="46" t="s">
        <v>229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114</v>
      </c>
      <c r="C150" s="46" t="s">
        <v>239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115</v>
      </c>
      <c r="C152" s="46" t="s">
        <v>229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116</v>
      </c>
      <c r="C154" s="46" t="s">
        <v>228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117</v>
      </c>
      <c r="C156" s="46" t="s">
        <v>230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118</v>
      </c>
      <c r="C158" s="46" t="s">
        <v>229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119</v>
      </c>
      <c r="C160" s="46" t="s">
        <v>229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120</v>
      </c>
      <c r="C162" s="46" t="s">
        <v>278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121</v>
      </c>
      <c r="C164" s="46" t="s">
        <v>229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122</v>
      </c>
      <c r="C166" s="46" t="s">
        <v>229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123</v>
      </c>
      <c r="C168" s="46" t="s">
        <v>229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89" t="s">
        <v>159</v>
      </c>
      <c r="B6" s="789"/>
      <c r="C6" s="789"/>
      <c r="D6" s="789"/>
      <c r="E6" s="789"/>
      <c r="F6" s="789"/>
    </row>
    <row r="7" spans="1:27" ht="15.75" thickBot="1"/>
    <row r="8" spans="1:27" ht="15" customHeight="1">
      <c r="A8" s="790" t="s">
        <v>12</v>
      </c>
      <c r="B8" s="792" t="s">
        <v>13</v>
      </c>
      <c r="C8" s="794" t="s">
        <v>14</v>
      </c>
      <c r="D8" s="796" t="s">
        <v>15</v>
      </c>
    </row>
    <row r="9" spans="1:27" ht="15.75" thickBot="1">
      <c r="A9" s="791"/>
      <c r="B9" s="793"/>
      <c r="C9" s="795"/>
      <c r="D9" s="797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98"/>
      <c r="G10" s="786"/>
      <c r="H10" s="786"/>
      <c r="I10" s="786"/>
      <c r="J10" s="786"/>
      <c r="K10" s="787"/>
      <c r="L10" s="787"/>
      <c r="M10" s="787"/>
      <c r="N10" s="787"/>
      <c r="O10" s="787"/>
      <c r="P10" s="787"/>
      <c r="Q10" s="787"/>
      <c r="R10" s="787"/>
      <c r="S10" s="788"/>
    </row>
    <row r="11" spans="1:27" ht="19.350000000000001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7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7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7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86"/>
      <c r="G26" s="786"/>
      <c r="H26" s="786"/>
      <c r="I26" s="786"/>
      <c r="J26" s="786"/>
      <c r="K26" s="787"/>
      <c r="L26" s="787"/>
      <c r="M26" s="787"/>
      <c r="N26" s="787"/>
      <c r="O26" s="787"/>
      <c r="P26" s="787"/>
      <c r="Q26" s="787"/>
      <c r="R26" s="787"/>
      <c r="S26" s="788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7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7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238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229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229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230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100</v>
      </c>
      <c r="C98" s="46" t="s">
        <v>229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228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102</v>
      </c>
      <c r="C104" s="46" t="s">
        <v>239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103</v>
      </c>
      <c r="C106" s="46" t="s">
        <v>230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104</v>
      </c>
      <c r="C108" s="46" t="s">
        <v>229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105</v>
      </c>
      <c r="C110" s="46" t="s">
        <v>230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240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229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228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107</v>
      </c>
      <c r="C122" s="46" t="s">
        <v>229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108</v>
      </c>
      <c r="C124" s="46" t="s">
        <v>229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109</v>
      </c>
      <c r="C126" s="46" t="s">
        <v>231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241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242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237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229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231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229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112</v>
      </c>
      <c r="C146" s="46" t="s">
        <v>229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113</v>
      </c>
      <c r="C148" s="46" t="s">
        <v>229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114</v>
      </c>
      <c r="C150" s="46" t="s">
        <v>239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115</v>
      </c>
      <c r="C152" s="46" t="s">
        <v>229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116</v>
      </c>
      <c r="C154" s="46" t="s">
        <v>228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117</v>
      </c>
      <c r="C156" s="46" t="s">
        <v>230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118</v>
      </c>
      <c r="C158" s="46" t="s">
        <v>229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119</v>
      </c>
      <c r="C160" s="46" t="s">
        <v>229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120</v>
      </c>
      <c r="C162" s="46" t="s">
        <v>278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121</v>
      </c>
      <c r="C164" s="46" t="s">
        <v>229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122</v>
      </c>
      <c r="C166" s="46" t="s">
        <v>229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123</v>
      </c>
      <c r="C168" s="46" t="s">
        <v>229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2025-12-04T07:32:58Z</dcterms:modified>
</cp:coreProperties>
</file>