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Progress/DPR/DPR AOTL/"/>
    </mc:Choice>
  </mc:AlternateContent>
  <xr:revisionPtr revIDLastSave="82" documentId="14_{9FA55210-43DE-4DA2-97A9-69128F749094}" xr6:coauthVersionLast="47" xr6:coauthVersionMax="47" xr10:uidLastSave="{D3B27A9D-C73B-4CEA-B9C0-1BE884DB6385}"/>
  <bookViews>
    <workbookView xWindow="-110" yWindow="-110" windowWidth="19420" windowHeight="10300" tabRatio="888" firstSheet="1" activeTab="12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Sheet5" sheetId="56" state="hidden" r:id="rId4"/>
    <sheet name="Sheet3" sheetId="53" state="hidden" r:id="rId5"/>
    <sheet name="Sheet1" sheetId="51" state="hidden" r:id="rId6"/>
    <sheet name="AOTL - KEC" sheetId="6" r:id="rId7"/>
    <sheet name="DPR Sheet" sheetId="7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4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6">'AOTL - KEC'!$A$1:$M$19</definedName>
    <definedName name="_xlnm.Print_Area" localSheetId="7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'!$A$1:$AF$283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6" l="1"/>
  <c r="E16" i="6"/>
  <c r="I19" i="64"/>
  <c r="D13" i="19"/>
  <c r="D12" i="19"/>
  <c r="D9" i="19"/>
  <c r="AE5" i="61"/>
  <c r="N1" i="30"/>
  <c r="F9" i="64" l="1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0" i="61"/>
  <c r="BM208" i="61"/>
  <c r="BV107" i="61"/>
  <c r="BV61" i="61"/>
  <c r="BV49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5" i="61"/>
  <c r="AI135" i="61"/>
  <c r="AJ134" i="61"/>
  <c r="AI134" i="61"/>
  <c r="AJ87" i="61"/>
  <c r="AI87" i="61"/>
  <c r="AJ68" i="61"/>
  <c r="AL68" i="61" s="1"/>
  <c r="AI68" i="61"/>
  <c r="AN66" i="61"/>
  <c r="AJ66" i="61"/>
  <c r="AL66" i="61" s="1"/>
  <c r="AI66" i="61"/>
  <c r="AJ54" i="61"/>
  <c r="AL54" i="61" s="1"/>
  <c r="AI5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<sst xmlns="http://schemas.openxmlformats.org/spreadsheetml/2006/main" count="5681" uniqueCount="1187">
  <si>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</si>
  <si>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</si>
  <si>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</si>
  <si>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</si>
  <si>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</si>
  <si>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</si>
  <si>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</si>
  <si>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</si>
  <si>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</si>
  <si>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</si>
  <si>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</si>
  <si>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</si>
  <si>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</si>
  <si>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</si>
  <si>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</si>
  <si>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</si>
  <si>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</si>
  <si>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</si>
  <si>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</si>
  <si>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</si>
  <si>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</si>
  <si>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</si>
  <si>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</si>
  <si>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</si>
  <si>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</si>
  <si>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</si>
  <si>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</si>
  <si>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</si>
  <si>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</si>
  <si>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</si>
  <si>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</si>
  <si>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</si>
  <si>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</si>
  <si>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</si>
  <si>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</si>
  <si>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</si>
  <si>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</si>
  <si>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</si>
  <si>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</si>
  <si>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</si>
  <si>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</si>
  <si>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</si>
  <si>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</si>
  <si>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</si>
  <si>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</si>
  <si>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</si>
  <si>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</si>
  <si>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</si>
  <si>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</si>
  <si>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</si>
  <si>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</si>
  <si>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</si>
  <si>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</si>
  <si>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</si>
  <si>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</si>
  <si>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</si>
  <si>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</si>
  <si>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</si>
  <si>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</si>
  <si>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</si>
  <si>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</si>
  <si>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</si>
  <si>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</si>
  <si>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</si>
  <si>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</si>
  <si>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</si>
  <si>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</si>
  <si>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</si>
  <si>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</si>
  <si>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</si>
  <si>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</si>
  <si>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</si>
  <si>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</si>
  <si>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</si>
  <si>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</si>
  <si>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</si>
  <si>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</si>
  <si>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</si>
  <si>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</si>
  <si>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</si>
  <si>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</si>
  <si>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</si>
  <si>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</si>
  <si>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</si>
  <si>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</si>
  <si>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</si>
  <si>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</si>
  <si>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</si>
  <si>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</si>
  <si>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</si>
  <si>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</si>
  <si>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</si>
  <si>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</si>
  <si>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</si>
  <si>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</si>
  <si>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</si>
  <si>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</si>
  <si>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</si>
  <si>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</si>
  <si>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</si>
  <si>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</si>
  <si>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</si>
  <si>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</si>
  <si>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</si>
  <si>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</si>
  <si>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</si>
  <si>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</si>
  <si>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</si>
  <si>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</si>
  <si>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</si>
  <si>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</si>
  <si>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</si>
  <si>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</si>
  <si>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</si>
  <si>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</si>
  <si>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</si>
  <si>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</si>
  <si>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</si>
  <si>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</si>
  <si>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</si>
  <si>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</si>
  <si>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</si>
  <si>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</si>
  <si>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</si>
  <si>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</si>
  <si>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</si>
  <si>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</si>
  <si>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</si>
  <si>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</si>
  <si>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</si>
  <si>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</si>
  <si>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</si>
  <si>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</si>
  <si>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</si>
  <si>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</si>
  <si>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</si>
  <si>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</si>
  <si>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</si>
  <si>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</si>
  <si>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</si>
  <si>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</si>
  <si>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</si>
  <si>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</si>
  <si>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</si>
  <si>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</si>
  <si>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</si>
  <si>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</si>
  <si>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</si>
  <si>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</si>
  <si>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</si>
  <si>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</si>
  <si>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</si>
  <si>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</si>
  <si>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</si>
  <si>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</si>
  <si>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</si>
  <si>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</si>
  <si>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</si>
  <si>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</si>
  <si>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</si>
  <si>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</si>
  <si>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</si>
  <si>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</si>
  <si>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</si>
  <si>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</si>
  <si>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</si>
  <si>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</si>
  <si>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</si>
  <si>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</si>
  <si>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</si>
  <si>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</si>
  <si>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</si>
  <si>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</si>
  <si>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</si>
  <si>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</si>
  <si>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</si>
  <si>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</si>
  <si>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</si>
  <si>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</si>
  <si>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</si>
  <si>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</si>
  <si>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</si>
  <si>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</si>
  <si>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</si>
  <si>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</si>
  <si>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</si>
  <si>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</si>
  <si>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</si>
  <si>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</si>
  <si>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</si>
  <si>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</si>
  <si>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</si>
  <si>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</si>
  <si>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</si>
  <si>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</si>
  <si>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</si>
  <si>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</si>
  <si>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</si>
  <si>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</si>
  <si>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</si>
  <si>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</si>
  <si>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</si>
  <si>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</si>
  <si>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</si>
  <si>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</si>
  <si>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</si>
  <si>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</si>
  <si>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</si>
  <si>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</si>
  <si>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</si>
  <si>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</si>
  <si>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</si>
  <si>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</si>
  <si>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</si>
  <si>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</si>
  <si>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</si>
  <si>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</si>
  <si>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</si>
  <si>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</si>
  <si>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</si>
  <si>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</si>
  <si>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</si>
  <si>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</si>
  <si>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</si>
  <si>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</si>
  <si>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</si>
  <si>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</si>
  <si>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</si>
  <si>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</si>
  <si>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</si>
  <si>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</si>
  <si>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</si>
  <si>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</si>
  <si>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</si>
  <si>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</si>
  <si>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</si>
  <si>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</si>
  <si>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</si>
  <si>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</si>
  <si>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</si>
  <si>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</si>
  <si>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</si>
  <si>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</si>
  <si>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</si>
  <si>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</si>
  <si>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</si>
  <si>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</si>
  <si>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</si>
  <si>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</si>
  <si>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</si>
  <si>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</si>
  <si>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</si>
  <si>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</si>
  <si>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</si>
  <si>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</si>
  <si>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</si>
  <si>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</si>
  <si>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</si>
  <si>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</si>
  <si>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</si>
  <si>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</si>
  <si>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</si>
  <si>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</si>
  <si>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</si>
  <si>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</si>
  <si>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</si>
  <si>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</si>
  <si>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</si>
  <si>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</si>
  <si>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</si>
  <si>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</si>
  <si>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</si>
  <si>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</si>
  <si>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</si>
  <si>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</si>
  <si>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</si>
  <si>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</si>
  <si>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</si>
  <si>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</si>
  <si>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</si>
  <si>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</si>
  <si>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</si>
  <si>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</si>
  <si>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</si>
  <si>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</si>
  <si>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</si>
  <si>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</si>
  <si>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</si>
  <si>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</si>
  <si>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</si>
  <si>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</si>
  <si>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</si>
  <si>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</si>
  <si>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</si>
  <si>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</si>
  <si>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</si>
  <si>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</si>
  <si>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</si>
  <si>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</si>
  <si>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</si>
  <si>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</si>
  <si>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</si>
  <si>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</si>
  <si>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</si>
  <si>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</si>
  <si>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</si>
  <si>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</si>
  <si>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</si>
  <si>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</si>
  <si>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</si>
  <si>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</si>
  <si>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</si>
  <si>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</si>
  <si>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</si>
  <si>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</si>
  <si>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</si>
  <si>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</si>
  <si>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</si>
  <si>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</si>
  <si>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</si>
  <si>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</si>
  <si>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</si>
  <si>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</si>
  <si>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</si>
  <si>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</si>
  <si>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</si>
  <si>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</si>
  <si>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</si>
  <si>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</si>
  <si>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</si>
  <si>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</si>
  <si>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</si>
  <si>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</si>
  <si>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</si>
  <si>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</si>
  <si>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</si>
  <si>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</si>
  <si>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</si>
  <si>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</si>
  <si>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</si>
  <si>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</si>
  <si>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</si>
  <si>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</si>
  <si>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</si>
  <si>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</si>
  <si>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</si>
  <si>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</si>
  <si>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</si>
  <si>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</si>
  <si>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</si>
  <si>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</si>
  <si>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</si>
  <si>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</si>
  <si>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</si>
  <si>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</si>
  <si>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</si>
  <si>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</si>
  <si>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</si>
  <si>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</si>
  <si>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</si>
  <si>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</si>
  <si>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</si>
  <si>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</si>
  <si>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</si>
  <si>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</si>
  <si>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</si>
  <si>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</si>
  <si>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</si>
  <si>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</si>
  <si>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</si>
  <si>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</si>
  <si>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</si>
  <si>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</si>
  <si>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</si>
  <si>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</si>
  <si>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</si>
  <si>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</si>
  <si>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</si>
  <si>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</si>
  <si>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</si>
  <si>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</si>
  <si>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</si>
  <si>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</si>
  <si>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</si>
  <si>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</si>
  <si>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</si>
  <si>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</si>
  <si>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</si>
  <si>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</si>
  <si>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</si>
  <si>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</si>
  <si>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</si>
  <si>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</si>
  <si>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</si>
  <si>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</si>
  <si>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</si>
  <si>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</si>
  <si>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</si>
  <si>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</si>
  <si>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</si>
  <si>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</si>
  <si>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</si>
  <si>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</si>
  <si>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</si>
  <si>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</si>
  <si>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</si>
  <si>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</si>
  <si>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</si>
  <si>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</si>
  <si>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</si>
  <si>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</si>
  <si>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</si>
  <si>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</si>
  <si>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</si>
  <si>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</si>
  <si>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</si>
  <si>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</si>
  <si>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</si>
  <si>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</si>
  <si>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</si>
  <si>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</si>
  <si>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</si>
  <si>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</si>
  <si>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</si>
  <si>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</si>
  <si>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</si>
  <si>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</si>
  <si>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</si>
  <si>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</si>
  <si>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</si>
  <si>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</si>
  <si>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</si>
  <si>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</si>
  <si>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</si>
  <si>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</si>
  <si>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</si>
  <si>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</si>
  <si>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</si>
  <si>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</si>
  <si>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</si>
  <si>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</si>
  <si>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</si>
  <si>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</si>
  <si>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</si>
  <si>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</si>
  <si>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</si>
  <si>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</si>
  <si>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</si>
  <si>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</si>
  <si>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</si>
  <si>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</si>
  <si>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</si>
  <si>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</si>
  <si>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</si>
  <si>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</si>
  <si>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</si>
  <si>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</si>
  <si>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</si>
  <si>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</si>
  <si>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</si>
  <si>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</si>
  <si>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</si>
  <si>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</si>
  <si>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</si>
  <si>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</si>
  <si>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</si>
  <si>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</si>
  <si>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</si>
  <si>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</si>
  <si>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</si>
  <si>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</si>
  <si>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</si>
  <si>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</si>
  <si>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</si>
  <si>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</si>
  <si>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</si>
  <si>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</si>
  <si>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</si>
  <si>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</si>
  <si>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</si>
  <si>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</si>
  <si>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</si>
  <si>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</si>
  <si>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</si>
  <si>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</si>
  <si>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</si>
  <si>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</si>
  <si>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</si>
  <si>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</si>
  <si>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</si>
  <si>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</si>
  <si>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</si>
  <si>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</si>
  <si>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</si>
  <si>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</si>
  <si>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</si>
  <si>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</si>
  <si>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</si>
  <si>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</si>
  <si>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</si>
  <si>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</si>
  <si>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</si>
  <si>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</si>
  <si>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</si>
  <si>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</si>
  <si>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</si>
  <si>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</si>
  <si>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</si>
  <si>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</si>
  <si>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</si>
  <si>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</si>
  <si>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</si>
  <si>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</si>
  <si>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</si>
  <si>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</si>
  <si>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</si>
  <si>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</si>
  <si>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</si>
  <si>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</si>
  <si>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</si>
  <si>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</si>
  <si>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</si>
  <si>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</si>
  <si>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</si>
  <si>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</si>
  <si>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</si>
  <si>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</si>
  <si>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</si>
  <si>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</si>
  <si>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</si>
  <si>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</si>
  <si>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</si>
  <si>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</si>
  <si>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</si>
  <si>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</si>
  <si>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</si>
  <si>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</si>
  <si>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</si>
  <si>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</si>
  <si>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</si>
  <si>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</si>
  <si>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</si>
  <si>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</si>
  <si>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</si>
  <si>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</si>
  <si>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</si>
  <si>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</si>
  <si>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</si>
  <si>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</si>
  <si>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</si>
  <si>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</si>
  <si>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</si>
  <si>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</si>
  <si>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</si>
  <si>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</si>
  <si>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</si>
  <si>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</si>
  <si>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</si>
  <si>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</si>
  <si>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</si>
  <si>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</si>
  <si>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</si>
  <si>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</si>
  <si>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</si>
  <si>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</si>
  <si>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</si>
  <si>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</si>
  <si>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</si>
  <si>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</si>
  <si>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</si>
  <si>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</si>
  <si>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</si>
  <si>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</si>
  <si>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</si>
  <si>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</si>
  <si>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</si>
  <si>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</si>
  <si>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</si>
  <si>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</si>
  <si>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</si>
  <si>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</si>
  <si>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</si>
  <si>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</si>
  <si>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</si>
  <si>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</si>
  <si>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</si>
  <si>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</si>
  <si>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</si>
  <si>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</si>
  <si>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</si>
  <si>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</si>
  <si>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</si>
  <si>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</si>
  <si>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</si>
  <si>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</si>
  <si>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</si>
  <si>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</si>
  <si>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</si>
  <si>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</si>
  <si>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</si>
  <si>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</si>
  <si>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</si>
  <si>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</si>
  <si>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</si>
  <si>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</si>
  <si>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</si>
  <si>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</si>
  <si>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</si>
  <si>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</si>
  <si>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</si>
  <si>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</si>
  <si>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</si>
  <si>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</si>
  <si>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</si>
  <si>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</si>
  <si>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</si>
  <si>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</si>
  <si>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</si>
  <si>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</si>
  <si>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</si>
  <si>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</si>
  <si>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</si>
  <si>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</si>
  <si>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</si>
  <si>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</si>
  <si>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</si>
  <si>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</si>
  <si>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</si>
  <si>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</si>
  <si>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</si>
  <si>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</si>
  <si>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</si>
  <si>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</si>
  <si>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</si>
  <si>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</si>
  <si>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</si>
  <si>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</si>
  <si>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</si>
  <si>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</si>
  <si>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</si>
  <si>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</si>
  <si>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</si>
  <si>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</si>
  <si>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</si>
  <si>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</si>
  <si>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</si>
  <si>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</si>
  <si>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</si>
  <si>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</si>
  <si>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</si>
  <si>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</si>
  <si>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</si>
  <si>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</si>
  <si>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</si>
  <si>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</si>
  <si>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</si>
  <si>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</si>
  <si>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</si>
  <si>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</si>
  <si>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</si>
  <si>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</si>
  <si>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</si>
  <si>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</si>
  <si>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</si>
  <si>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</si>
  <si>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</si>
  <si>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</si>
  <si>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</si>
  <si>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</si>
  <si>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</si>
  <si>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</si>
  <si>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</si>
  <si>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</si>
  <si>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</si>
  <si>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</si>
  <si>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</si>
  <si>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</si>
  <si>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</si>
  <si>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</si>
  <si>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</si>
  <si>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</si>
  <si>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</si>
  <si>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</si>
  <si>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</si>
  <si>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</si>
  <si>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</si>
  <si>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</si>
  <si>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</si>
  <si>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</si>
  <si>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</si>
  <si>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</si>
  <si>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</si>
  <si>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</si>
  <si>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</si>
  <si>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</si>
  <si>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</si>
  <si>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</si>
  <si>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</si>
  <si>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</si>
  <si>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</si>
  <si>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</si>
  <si>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</si>
  <si>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</si>
  <si>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</si>
  <si>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</si>
  <si>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</si>
  <si>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</si>
  <si>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</si>
  <si>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</si>
  <si>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</si>
  <si>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</si>
  <si>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</si>
  <si>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</si>
  <si>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</si>
  <si>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</si>
  <si>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</si>
  <si>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</si>
  <si>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</si>
  <si>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</si>
  <si>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</si>
  <si>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</si>
  <si>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</si>
  <si>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</si>
  <si>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</si>
  <si>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</si>
  <si>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</si>
  <si>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</si>
  <si>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</si>
  <si>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</si>
  <si>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</si>
  <si>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</si>
  <si>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</si>
  <si>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</si>
  <si>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</si>
  <si>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</si>
  <si>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</si>
  <si>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</si>
  <si>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</si>
  <si>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</si>
  <si>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</si>
  <si>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</si>
  <si>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</si>
  <si>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</si>
  <si>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</si>
  <si>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</si>
  <si>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</si>
  <si>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</si>
  <si>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</si>
  <si>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</si>
  <si>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</si>
  <si>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</si>
  <si>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</si>
  <si>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</si>
  <si>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</si>
  <si>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</si>
  <si>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</si>
  <si>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</si>
  <si>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</si>
  <si>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</si>
  <si>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</si>
  <si>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</si>
  <si>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</si>
  <si>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</si>
  <si>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</si>
  <si>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</si>
  <si>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</si>
  <si>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</si>
  <si>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</si>
  <si>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</si>
  <si>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</si>
  <si>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</si>
  <si>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</si>
  <si>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</si>
  <si>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</si>
  <si>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</si>
  <si>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</si>
  <si>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</si>
  <si>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</si>
  <si>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</si>
  <si>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</si>
  <si>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</si>
  <si>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</si>
  <si>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</si>
  <si>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</si>
  <si>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</si>
  <si>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</si>
  <si>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</si>
  <si>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</si>
  <si>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</si>
  <si>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</si>
  <si>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</si>
  <si>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</si>
  <si>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</si>
  <si>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</si>
  <si>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</si>
  <si>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</si>
  <si>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</si>
  <si>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</si>
  <si>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</si>
  <si>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</si>
  <si>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</si>
  <si>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</si>
  <si>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</si>
  <si>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</si>
  <si>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</si>
  <si>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</si>
  <si>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</si>
  <si>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</si>
  <si>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</si>
  <si>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</si>
  <si>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</si>
  <si>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</si>
  <si>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</si>
  <si>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</si>
  <si>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</si>
  <si>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</si>
  <si>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</si>
  <si>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</si>
  <si>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</si>
  <si>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</si>
  <si>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</si>
  <si>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</si>
  <si>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</si>
  <si>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</si>
  <si>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</si>
  <si>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</si>
  <si>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</si>
  <si>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</si>
  <si>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</si>
  <si>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</si>
  <si>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</si>
  <si>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</si>
  <si>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</si>
  <si>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</si>
  <si>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</si>
  <si>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</si>
  <si>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</si>
  <si>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</si>
  <si>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</si>
  <si>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</si>
  <si>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</si>
  <si>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</si>
  <si>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</si>
  <si>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</si>
  <si>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</si>
  <si>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</si>
  <si>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</si>
  <si>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</si>
  <si>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</si>
  <si>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</si>
  <si>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</si>
  <si>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</si>
  <si>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</si>
  <si>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</si>
  <si>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</si>
  <si>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</si>
  <si>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</si>
  <si>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</si>
  <si>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</si>
  <si>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</si>
  <si>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</si>
  <si>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</si>
  <si>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</si>
  <si>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</si>
  <si>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</si>
  <si>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</si>
  <si>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</si>
  <si>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</si>
  <si>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</si>
  <si>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</si>
  <si>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</si>
  <si>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</si>
  <si>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</si>
  <si>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</si>
  <si>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</si>
  <si>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</si>
  <si>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</si>
  <si>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</si>
  <si>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</si>
  <si>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</si>
  <si>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</si>
  <si>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</si>
  <si>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</si>
  <si>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</si>
  <si>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</si>
  <si>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</si>
  <si>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</si>
  <si>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</si>
  <si>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</si>
  <si>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</si>
  <si>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</si>
  <si>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</si>
  <si>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</si>
  <si>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</si>
  <si>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</si>
  <si>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</si>
  <si>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</si>
  <si>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</si>
  <si>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</si>
  <si>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</si>
  <si>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</si>
  <si>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</si>
  <si>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</si>
  <si>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</si>
  <si>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</si>
  <si>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</si>
  <si>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</si>
  <si>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</si>
  <si>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</si>
  <si>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</si>
  <si>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</si>
  <si>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</si>
  <si>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</si>
  <si>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</si>
  <si>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</si>
  <si>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</si>
  <si>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</si>
  <si>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</si>
  <si>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</si>
  <si>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</si>
  <si>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</si>
  <si>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</si>
  <si>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</si>
  <si>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</si>
  <si>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</si>
  <si>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</si>
  <si>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</si>
  <si>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</si>
  <si>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</si>
  <si>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</si>
  <si>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</si>
  <si>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</si>
  <si>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</si>
  <si>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</si>
  <si>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</si>
  <si>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</si>
  <si>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</si>
  <si>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</si>
  <si>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</si>
  <si>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</si>
  <si>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</si>
  <si>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</si>
  <si>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</si>
  <si>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</si>
  <si>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</si>
  <si>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</si>
  <si>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</si>
  <si>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</si>
  <si>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</si>
  <si>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</si>
  <si>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</si>
  <si>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</si>
  <si>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</si>
  <si>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</si>
  <si>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</si>
  <si>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</si>
  <si>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</si>
  <si>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</si>
  <si>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</si>
  <si>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</si>
  <si>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</si>
  <si>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</si>
  <si>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</si>
  <si>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</si>
  <si>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</si>
  <si>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</si>
  <si>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</si>
  <si>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</si>
  <si>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</si>
  <si>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</si>
  <si>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</si>
  <si>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</si>
  <si>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</si>
  <si>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</si>
  <si>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</si>
  <si>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</si>
  <si>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</si>
  <si>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</si>
  <si>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</si>
  <si>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</si>
  <si>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</si>
  <si>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</si>
  <si>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</si>
  <si>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</si>
  <si>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</si>
  <si>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</si>
  <si>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</si>
  <si>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</si>
  <si>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</si>
  <si>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</si>
  <si>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</si>
  <si>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</si>
  <si>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</si>
  <si>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</si>
  <si>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</si>
  <si>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</si>
  <si>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</si>
  <si>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</si>
  <si>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</si>
  <si>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</si>
  <si>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</si>
  <si>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</si>
  <si>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</si>
  <si>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</si>
  <si>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</si>
  <si>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</si>
  <si>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</si>
  <si>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</si>
  <si>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</si>
  <si>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</si>
  <si>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</si>
  <si>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</si>
  <si>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</si>
  <si>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</si>
  <si>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</si>
  <si>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</si>
  <si>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</si>
  <si>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</si>
  <si>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</si>
  <si>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</si>
  <si>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</si>
  <si>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</si>
  <si>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</si>
  <si>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</si>
  <si>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</si>
  <si>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</si>
  <si>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</si>
  <si>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</si>
  <si>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</si>
  <si>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</si>
  <si>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</si>
  <si>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</si>
  <si>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</si>
  <si>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</si>
  <si>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</si>
  <si>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</si>
  <si>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</si>
  <si>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</si>
  <si>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</si>
  <si>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</si>
  <si>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</si>
  <si>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</si>
  <si>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</si>
  <si>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</si>
  <si>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</si>
  <si>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</si>
  <si>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</si>
  <si>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</si>
  <si>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</si>
  <si>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</si>
  <si>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</si>
  <si>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</si>
  <si>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</si>
  <si>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</si>
  <si>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</si>
  <si>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</si>
  <si>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</si>
  <si>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</si>
  <si>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</si>
  <si>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</si>
  <si>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</si>
  <si>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</si>
  <si>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</si>
  <si>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</si>
  <si>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</si>
  <si>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</si>
  <si>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</si>
  <si>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</si>
  <si>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</si>
  <si>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</si>
  <si>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</si>
  <si>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</si>
  <si>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</si>
  <si>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</si>
  <si>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</si>
  <si>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</si>
  <si>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</si>
  <si>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</si>
  <si>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</si>
  <si>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</si>
  <si>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</si>
  <si>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</si>
  <si>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</si>
  <si>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</si>
  <si>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</si>
  <si>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</si>
  <si>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</si>
  <si>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</si>
  <si>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</si>
  <si>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</si>
  <si>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</si>
  <si>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</si>
  <si>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</si>
  <si>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</si>
  <si>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</si>
  <si>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</si>
  <si>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</si>
  <si>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</si>
  <si>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</si>
  <si>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</si>
  <si>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</si>
  <si>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</si>
  <si>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</si>
  <si>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</si>
  <si>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</si>
  <si>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</si>
  <si>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</si>
  <si>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</si>
  <si>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</si>
  <si>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</si>
  <si>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</si>
  <si>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</si>
  <si>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</si>
  <si>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</si>
  <si>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</si>
  <si>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</si>
  <si>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</si>
  <si>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</si>
  <si>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</si>
  <si>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</si>
  <si>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</si>
  <si>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</si>
  <si>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</si>
  <si>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</si>
  <si>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</si>
  <si>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</si>
  <si>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</si>
  <si>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</si>
  <si>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</si>
  <si>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</si>
  <si>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</si>
  <si>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</si>
  <si>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</si>
  <si>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</si>
  <si>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</si>
  <si>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</si>
  <si>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</si>
  <si>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</si>
  <si>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</si>
  <si>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</si>
  <si>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</si>
  <si>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</si>
  <si>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</si>
  <si>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</si>
  <si>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</si>
  <si>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</si>
  <si>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</si>
  <si>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</si>
  <si>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</si>
  <si>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</si>
  <si>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</si>
  <si>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</si>
  <si>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</si>
  <si>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</si>
  <si>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</si>
  <si>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</si>
  <si>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</si>
  <si>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</si>
  <si>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</si>
  <si>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</si>
  <si>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</si>
  <si>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</si>
  <si>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</si>
  <si>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</si>
  <si>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</si>
  <si>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</si>
  <si>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</si>
  <si>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</si>
  <si>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</si>
  <si>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</si>
  <si>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</si>
  <si>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</si>
  <si>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</si>
  <si>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</si>
  <si>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</si>
  <si>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</si>
  <si>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</si>
  <si>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</si>
  <si>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</si>
  <si>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</si>
  <si>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</si>
  <si>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133/7</t>
  </si>
  <si>
    <t>Work hampered due to water logged location</t>
  </si>
  <si>
    <t>Tower Erection Complete</t>
  </si>
  <si>
    <t>Work stopped due to water logged area</t>
  </si>
  <si>
    <t>Water logged location</t>
  </si>
  <si>
    <t>Tower 1st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</si>
</sst>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center"/>
    </xf>
    <xf numFmtId="0" fontId="123" fillId="3" borderId="9" xfId="0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45</xdr:row>
      <xdr:rowOff>7056</xdr:rowOff>
    </xdr:from>
    <xdr:to>
      <xdr:col>2</xdr:col>
      <xdr:colOff>42332</xdr:colOff>
      <xdr:row>48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45</xdr:row>
      <xdr:rowOff>9380</xdr:rowOff>
    </xdr:from>
    <xdr:to>
      <xdr:col>4</xdr:col>
      <xdr:colOff>39510</xdr:colOff>
      <xdr:row>48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45</xdr:row>
      <xdr:rowOff>7056</xdr:rowOff>
    </xdr:from>
    <xdr:to>
      <xdr:col>6</xdr:col>
      <xdr:colOff>42332</xdr:colOff>
      <xdr:row>48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45</xdr:row>
      <xdr:rowOff>18345</xdr:rowOff>
    </xdr:from>
    <xdr:to>
      <xdr:col>8</xdr:col>
      <xdr:colOff>39510</xdr:colOff>
      <xdr:row>48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45</xdr:row>
      <xdr:rowOff>5135</xdr:rowOff>
    </xdr:from>
    <xdr:to>
      <xdr:col>10</xdr:col>
      <xdr:colOff>42332</xdr:colOff>
      <xdr:row>47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45</xdr:row>
      <xdr:rowOff>9380</xdr:rowOff>
    </xdr:from>
    <xdr:to>
      <xdr:col>12</xdr:col>
      <xdr:colOff>39510</xdr:colOff>
      <xdr:row>48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45</xdr:row>
      <xdr:rowOff>18345</xdr:rowOff>
    </xdr:from>
    <xdr:to>
      <xdr:col>24</xdr:col>
      <xdr:colOff>86228</xdr:colOff>
      <xdr:row>48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45</xdr:row>
      <xdr:rowOff>7056</xdr:rowOff>
    </xdr:from>
    <xdr:to>
      <xdr:col>26</xdr:col>
      <xdr:colOff>42332</xdr:colOff>
      <xdr:row>48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45</xdr:row>
      <xdr:rowOff>18345</xdr:rowOff>
    </xdr:from>
    <xdr:to>
      <xdr:col>28</xdr:col>
      <xdr:colOff>39510</xdr:colOff>
      <xdr:row>48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45</xdr:row>
      <xdr:rowOff>7056</xdr:rowOff>
    </xdr:from>
    <xdr:to>
      <xdr:col>30</xdr:col>
      <xdr:colOff>42332</xdr:colOff>
      <xdr:row>48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4233</xdr:rowOff>
    </xdr:from>
    <xdr:to>
      <xdr:col>6</xdr:col>
      <xdr:colOff>46570</xdr:colOff>
      <xdr:row>59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57</xdr:row>
      <xdr:rowOff>13304</xdr:rowOff>
    </xdr:from>
    <xdr:to>
      <xdr:col>10</xdr:col>
      <xdr:colOff>46570</xdr:colOff>
      <xdr:row>60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13304</xdr:rowOff>
    </xdr:from>
    <xdr:to>
      <xdr:col>6</xdr:col>
      <xdr:colOff>46569</xdr:colOff>
      <xdr:row>60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57</xdr:row>
      <xdr:rowOff>15522</xdr:rowOff>
    </xdr:from>
    <xdr:to>
      <xdr:col>8</xdr:col>
      <xdr:colOff>43746</xdr:colOff>
      <xdr:row>60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57</xdr:row>
      <xdr:rowOff>7056</xdr:rowOff>
    </xdr:from>
    <xdr:to>
      <xdr:col>12</xdr:col>
      <xdr:colOff>42332</xdr:colOff>
      <xdr:row>60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57</xdr:row>
      <xdr:rowOff>7056</xdr:rowOff>
    </xdr:from>
    <xdr:to>
      <xdr:col>16</xdr:col>
      <xdr:colOff>42332</xdr:colOff>
      <xdr:row>60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57</xdr:row>
      <xdr:rowOff>18345</xdr:rowOff>
    </xdr:from>
    <xdr:to>
      <xdr:col>18</xdr:col>
      <xdr:colOff>39510</xdr:colOff>
      <xdr:row>60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57</xdr:row>
      <xdr:rowOff>7056</xdr:rowOff>
    </xdr:from>
    <xdr:to>
      <xdr:col>20</xdr:col>
      <xdr:colOff>42332</xdr:colOff>
      <xdr:row>60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57</xdr:row>
      <xdr:rowOff>18345</xdr:rowOff>
    </xdr:from>
    <xdr:to>
      <xdr:col>22</xdr:col>
      <xdr:colOff>39510</xdr:colOff>
      <xdr:row>60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57</xdr:row>
      <xdr:rowOff>22838</xdr:rowOff>
    </xdr:from>
    <xdr:to>
      <xdr:col>24</xdr:col>
      <xdr:colOff>93199</xdr:colOff>
      <xdr:row>60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4233</xdr:rowOff>
    </xdr:from>
    <xdr:to>
      <xdr:col>26</xdr:col>
      <xdr:colOff>46570</xdr:colOff>
      <xdr:row>59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57</xdr:row>
      <xdr:rowOff>13304</xdr:rowOff>
    </xdr:from>
    <xdr:to>
      <xdr:col>30</xdr:col>
      <xdr:colOff>46570</xdr:colOff>
      <xdr:row>60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13304</xdr:rowOff>
    </xdr:from>
    <xdr:to>
      <xdr:col>26</xdr:col>
      <xdr:colOff>46569</xdr:colOff>
      <xdr:row>60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57</xdr:row>
      <xdr:rowOff>15522</xdr:rowOff>
    </xdr:from>
    <xdr:to>
      <xdr:col>28</xdr:col>
      <xdr:colOff>43746</xdr:colOff>
      <xdr:row>60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70</xdr:row>
      <xdr:rowOff>7056</xdr:rowOff>
    </xdr:from>
    <xdr:to>
      <xdr:col>2</xdr:col>
      <xdr:colOff>42332</xdr:colOff>
      <xdr:row>73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70</xdr:row>
      <xdr:rowOff>18345</xdr:rowOff>
    </xdr:from>
    <xdr:to>
      <xdr:col>4</xdr:col>
      <xdr:colOff>39510</xdr:colOff>
      <xdr:row>73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70</xdr:row>
      <xdr:rowOff>7056</xdr:rowOff>
    </xdr:from>
    <xdr:to>
      <xdr:col>6</xdr:col>
      <xdr:colOff>42332</xdr:colOff>
      <xdr:row>73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70</xdr:row>
      <xdr:rowOff>18345</xdr:rowOff>
    </xdr:from>
    <xdr:to>
      <xdr:col>8</xdr:col>
      <xdr:colOff>39510</xdr:colOff>
      <xdr:row>73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70</xdr:row>
      <xdr:rowOff>7056</xdr:rowOff>
    </xdr:from>
    <xdr:to>
      <xdr:col>10</xdr:col>
      <xdr:colOff>42332</xdr:colOff>
      <xdr:row>73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70</xdr:row>
      <xdr:rowOff>18345</xdr:rowOff>
    </xdr:from>
    <xdr:to>
      <xdr:col>12</xdr:col>
      <xdr:colOff>39510</xdr:colOff>
      <xdr:row>73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70</xdr:row>
      <xdr:rowOff>7055</xdr:rowOff>
    </xdr:from>
    <xdr:to>
      <xdr:col>14</xdr:col>
      <xdr:colOff>49391</xdr:colOff>
      <xdr:row>73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4233</xdr:rowOff>
    </xdr:from>
    <xdr:to>
      <xdr:col>16</xdr:col>
      <xdr:colOff>46570</xdr:colOff>
      <xdr:row>72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70</xdr:row>
      <xdr:rowOff>13304</xdr:rowOff>
    </xdr:from>
    <xdr:to>
      <xdr:col>20</xdr:col>
      <xdr:colOff>33870</xdr:colOff>
      <xdr:row>73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13304</xdr:rowOff>
    </xdr:from>
    <xdr:to>
      <xdr:col>16</xdr:col>
      <xdr:colOff>46569</xdr:colOff>
      <xdr:row>73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70</xdr:row>
      <xdr:rowOff>15522</xdr:rowOff>
    </xdr:from>
    <xdr:to>
      <xdr:col>18</xdr:col>
      <xdr:colOff>43746</xdr:colOff>
      <xdr:row>73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70</xdr:row>
      <xdr:rowOff>28827</xdr:rowOff>
    </xdr:from>
    <xdr:to>
      <xdr:col>22</xdr:col>
      <xdr:colOff>20561</xdr:colOff>
      <xdr:row>73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70</xdr:row>
      <xdr:rowOff>18345</xdr:rowOff>
    </xdr:from>
    <xdr:to>
      <xdr:col>24</xdr:col>
      <xdr:colOff>87135</xdr:colOff>
      <xdr:row>73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70</xdr:row>
      <xdr:rowOff>7056</xdr:rowOff>
    </xdr:from>
    <xdr:to>
      <xdr:col>26</xdr:col>
      <xdr:colOff>42332</xdr:colOff>
      <xdr:row>73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70</xdr:row>
      <xdr:rowOff>18345</xdr:rowOff>
    </xdr:from>
    <xdr:to>
      <xdr:col>28</xdr:col>
      <xdr:colOff>39510</xdr:colOff>
      <xdr:row>73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70</xdr:row>
      <xdr:rowOff>7056</xdr:rowOff>
    </xdr:from>
    <xdr:to>
      <xdr:col>30</xdr:col>
      <xdr:colOff>42332</xdr:colOff>
      <xdr:row>73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81</xdr:row>
      <xdr:rowOff>18345</xdr:rowOff>
    </xdr:from>
    <xdr:to>
      <xdr:col>2</xdr:col>
      <xdr:colOff>39510</xdr:colOff>
      <xdr:row>84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81</xdr:row>
      <xdr:rowOff>7055</xdr:rowOff>
    </xdr:from>
    <xdr:to>
      <xdr:col>24</xdr:col>
      <xdr:colOff>64358</xdr:colOff>
      <xdr:row>84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4233</xdr:rowOff>
    </xdr:from>
    <xdr:to>
      <xdr:col>26</xdr:col>
      <xdr:colOff>46570</xdr:colOff>
      <xdr:row>83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81</xdr:row>
      <xdr:rowOff>13304</xdr:rowOff>
    </xdr:from>
    <xdr:to>
      <xdr:col>30</xdr:col>
      <xdr:colOff>46570</xdr:colOff>
      <xdr:row>84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13304</xdr:rowOff>
    </xdr:from>
    <xdr:to>
      <xdr:col>26</xdr:col>
      <xdr:colOff>46569</xdr:colOff>
      <xdr:row>84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81</xdr:row>
      <xdr:rowOff>15522</xdr:rowOff>
    </xdr:from>
    <xdr:to>
      <xdr:col>28</xdr:col>
      <xdr:colOff>43746</xdr:colOff>
      <xdr:row>84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92</xdr:row>
      <xdr:rowOff>7056</xdr:rowOff>
    </xdr:from>
    <xdr:to>
      <xdr:col>2</xdr:col>
      <xdr:colOff>42332</xdr:colOff>
      <xdr:row>95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92</xdr:row>
      <xdr:rowOff>18345</xdr:rowOff>
    </xdr:from>
    <xdr:to>
      <xdr:col>4</xdr:col>
      <xdr:colOff>39510</xdr:colOff>
      <xdr:row>95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92</xdr:row>
      <xdr:rowOff>7056</xdr:rowOff>
    </xdr:from>
    <xdr:to>
      <xdr:col>6</xdr:col>
      <xdr:colOff>42332</xdr:colOff>
      <xdr:row>95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92</xdr:row>
      <xdr:rowOff>18345</xdr:rowOff>
    </xdr:from>
    <xdr:to>
      <xdr:col>8</xdr:col>
      <xdr:colOff>39510</xdr:colOff>
      <xdr:row>95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92</xdr:row>
      <xdr:rowOff>7056</xdr:rowOff>
    </xdr:from>
    <xdr:to>
      <xdr:col>10</xdr:col>
      <xdr:colOff>42332</xdr:colOff>
      <xdr:row>95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92</xdr:row>
      <xdr:rowOff>18345</xdr:rowOff>
    </xdr:from>
    <xdr:to>
      <xdr:col>12</xdr:col>
      <xdr:colOff>39510</xdr:colOff>
      <xdr:row>95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92</xdr:row>
      <xdr:rowOff>7055</xdr:rowOff>
    </xdr:from>
    <xdr:to>
      <xdr:col>14</xdr:col>
      <xdr:colOff>49392</xdr:colOff>
      <xdr:row>94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4233</xdr:rowOff>
    </xdr:from>
    <xdr:to>
      <xdr:col>16</xdr:col>
      <xdr:colOff>46570</xdr:colOff>
      <xdr:row>94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92</xdr:row>
      <xdr:rowOff>13304</xdr:rowOff>
    </xdr:from>
    <xdr:to>
      <xdr:col>20</xdr:col>
      <xdr:colOff>46570</xdr:colOff>
      <xdr:row>95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13304</xdr:rowOff>
    </xdr:from>
    <xdr:to>
      <xdr:col>16</xdr:col>
      <xdr:colOff>46569</xdr:colOff>
      <xdr:row>95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92</xdr:row>
      <xdr:rowOff>15522</xdr:rowOff>
    </xdr:from>
    <xdr:to>
      <xdr:col>18</xdr:col>
      <xdr:colOff>43746</xdr:colOff>
      <xdr:row>95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92</xdr:row>
      <xdr:rowOff>7056</xdr:rowOff>
    </xdr:from>
    <xdr:to>
      <xdr:col>22</xdr:col>
      <xdr:colOff>42332</xdr:colOff>
      <xdr:row>95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92</xdr:row>
      <xdr:rowOff>18345</xdr:rowOff>
    </xdr:from>
    <xdr:to>
      <xdr:col>24</xdr:col>
      <xdr:colOff>54477</xdr:colOff>
      <xdr:row>95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92</xdr:row>
      <xdr:rowOff>7056</xdr:rowOff>
    </xdr:from>
    <xdr:to>
      <xdr:col>26</xdr:col>
      <xdr:colOff>42332</xdr:colOff>
      <xdr:row>95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92</xdr:row>
      <xdr:rowOff>18345</xdr:rowOff>
    </xdr:from>
    <xdr:to>
      <xdr:col>28</xdr:col>
      <xdr:colOff>39510</xdr:colOff>
      <xdr:row>95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92</xdr:row>
      <xdr:rowOff>7056</xdr:rowOff>
    </xdr:from>
    <xdr:to>
      <xdr:col>30</xdr:col>
      <xdr:colOff>42332</xdr:colOff>
      <xdr:row>95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103</xdr:row>
      <xdr:rowOff>18345</xdr:rowOff>
    </xdr:from>
    <xdr:to>
      <xdr:col>2</xdr:col>
      <xdr:colOff>39510</xdr:colOff>
      <xdr:row>106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103</xdr:row>
      <xdr:rowOff>7055</xdr:rowOff>
    </xdr:from>
    <xdr:to>
      <xdr:col>4</xdr:col>
      <xdr:colOff>49392</xdr:colOff>
      <xdr:row>106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103</xdr:row>
      <xdr:rowOff>13304</xdr:rowOff>
    </xdr:from>
    <xdr:to>
      <xdr:col>10</xdr:col>
      <xdr:colOff>46570</xdr:colOff>
      <xdr:row>106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103</xdr:row>
      <xdr:rowOff>35455</xdr:rowOff>
    </xdr:from>
    <xdr:to>
      <xdr:col>6</xdr:col>
      <xdr:colOff>35494</xdr:colOff>
      <xdr:row>106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103</xdr:row>
      <xdr:rowOff>15522</xdr:rowOff>
    </xdr:from>
    <xdr:to>
      <xdr:col>8</xdr:col>
      <xdr:colOff>43746</xdr:colOff>
      <xdr:row>106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103</xdr:row>
      <xdr:rowOff>7056</xdr:rowOff>
    </xdr:from>
    <xdr:to>
      <xdr:col>12</xdr:col>
      <xdr:colOff>42332</xdr:colOff>
      <xdr:row>106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103</xdr:row>
      <xdr:rowOff>18345</xdr:rowOff>
    </xdr:from>
    <xdr:to>
      <xdr:col>14</xdr:col>
      <xdr:colOff>39510</xdr:colOff>
      <xdr:row>106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103</xdr:row>
      <xdr:rowOff>7056</xdr:rowOff>
    </xdr:from>
    <xdr:to>
      <xdr:col>16</xdr:col>
      <xdr:colOff>42332</xdr:colOff>
      <xdr:row>106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103</xdr:row>
      <xdr:rowOff>18345</xdr:rowOff>
    </xdr:from>
    <xdr:to>
      <xdr:col>18</xdr:col>
      <xdr:colOff>39510</xdr:colOff>
      <xdr:row>106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103</xdr:row>
      <xdr:rowOff>7056</xdr:rowOff>
    </xdr:from>
    <xdr:to>
      <xdr:col>20</xdr:col>
      <xdr:colOff>42332</xdr:colOff>
      <xdr:row>106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103</xdr:row>
      <xdr:rowOff>18345</xdr:rowOff>
    </xdr:from>
    <xdr:to>
      <xdr:col>22</xdr:col>
      <xdr:colOff>39510</xdr:colOff>
      <xdr:row>106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103</xdr:row>
      <xdr:rowOff>13304</xdr:rowOff>
    </xdr:from>
    <xdr:to>
      <xdr:col>30</xdr:col>
      <xdr:colOff>46570</xdr:colOff>
      <xdr:row>106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103</xdr:row>
      <xdr:rowOff>15522</xdr:rowOff>
    </xdr:from>
    <xdr:to>
      <xdr:col>28</xdr:col>
      <xdr:colOff>43746</xdr:colOff>
      <xdr:row>106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114</xdr:row>
      <xdr:rowOff>18345</xdr:rowOff>
    </xdr:from>
    <xdr:to>
      <xdr:col>12</xdr:col>
      <xdr:colOff>26095</xdr:colOff>
      <xdr:row>117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114</xdr:row>
      <xdr:rowOff>7055</xdr:rowOff>
    </xdr:from>
    <xdr:to>
      <xdr:col>14</xdr:col>
      <xdr:colOff>49392</xdr:colOff>
      <xdr:row>117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4233</xdr:rowOff>
    </xdr:from>
    <xdr:to>
      <xdr:col>16</xdr:col>
      <xdr:colOff>46570</xdr:colOff>
      <xdr:row>116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114</xdr:row>
      <xdr:rowOff>13304</xdr:rowOff>
    </xdr:from>
    <xdr:to>
      <xdr:col>20</xdr:col>
      <xdr:colOff>46570</xdr:colOff>
      <xdr:row>117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13304</xdr:rowOff>
    </xdr:from>
    <xdr:to>
      <xdr:col>16</xdr:col>
      <xdr:colOff>46569</xdr:colOff>
      <xdr:row>117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114</xdr:row>
      <xdr:rowOff>15522</xdr:rowOff>
    </xdr:from>
    <xdr:to>
      <xdr:col>18</xdr:col>
      <xdr:colOff>43746</xdr:colOff>
      <xdr:row>117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114</xdr:row>
      <xdr:rowOff>7056</xdr:rowOff>
    </xdr:from>
    <xdr:to>
      <xdr:col>22</xdr:col>
      <xdr:colOff>42332</xdr:colOff>
      <xdr:row>117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113</xdr:row>
      <xdr:rowOff>159859</xdr:rowOff>
    </xdr:from>
    <xdr:to>
      <xdr:col>24</xdr:col>
      <xdr:colOff>65364</xdr:colOff>
      <xdr:row>116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114</xdr:row>
      <xdr:rowOff>7056</xdr:rowOff>
    </xdr:from>
    <xdr:to>
      <xdr:col>26</xdr:col>
      <xdr:colOff>42332</xdr:colOff>
      <xdr:row>117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114</xdr:row>
      <xdr:rowOff>18345</xdr:rowOff>
    </xdr:from>
    <xdr:to>
      <xdr:col>28</xdr:col>
      <xdr:colOff>39510</xdr:colOff>
      <xdr:row>117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114</xdr:row>
      <xdr:rowOff>7056</xdr:rowOff>
    </xdr:from>
    <xdr:to>
      <xdr:col>30</xdr:col>
      <xdr:colOff>42332</xdr:colOff>
      <xdr:row>117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125</xdr:row>
      <xdr:rowOff>18345</xdr:rowOff>
    </xdr:from>
    <xdr:to>
      <xdr:col>2</xdr:col>
      <xdr:colOff>7760</xdr:colOff>
      <xdr:row>128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125</xdr:row>
      <xdr:rowOff>7055</xdr:rowOff>
    </xdr:from>
    <xdr:to>
      <xdr:col>4</xdr:col>
      <xdr:colOff>49392</xdr:colOff>
      <xdr:row>128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4233</xdr:rowOff>
    </xdr:from>
    <xdr:to>
      <xdr:col>6</xdr:col>
      <xdr:colOff>46570</xdr:colOff>
      <xdr:row>127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125</xdr:row>
      <xdr:rowOff>13304</xdr:rowOff>
    </xdr:from>
    <xdr:to>
      <xdr:col>10</xdr:col>
      <xdr:colOff>46570</xdr:colOff>
      <xdr:row>128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13304</xdr:rowOff>
    </xdr:from>
    <xdr:to>
      <xdr:col>6</xdr:col>
      <xdr:colOff>46569</xdr:colOff>
      <xdr:row>128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125</xdr:row>
      <xdr:rowOff>15522</xdr:rowOff>
    </xdr:from>
    <xdr:to>
      <xdr:col>8</xdr:col>
      <xdr:colOff>43746</xdr:colOff>
      <xdr:row>128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125</xdr:row>
      <xdr:rowOff>7056</xdr:rowOff>
    </xdr:from>
    <xdr:to>
      <xdr:col>12</xdr:col>
      <xdr:colOff>42332</xdr:colOff>
      <xdr:row>128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125</xdr:row>
      <xdr:rowOff>18345</xdr:rowOff>
    </xdr:from>
    <xdr:to>
      <xdr:col>14</xdr:col>
      <xdr:colOff>39510</xdr:colOff>
      <xdr:row>128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125</xdr:row>
      <xdr:rowOff>7056</xdr:rowOff>
    </xdr:from>
    <xdr:to>
      <xdr:col>16</xdr:col>
      <xdr:colOff>42332</xdr:colOff>
      <xdr:row>128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125</xdr:row>
      <xdr:rowOff>18345</xdr:rowOff>
    </xdr:from>
    <xdr:to>
      <xdr:col>18</xdr:col>
      <xdr:colOff>39510</xdr:colOff>
      <xdr:row>128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125</xdr:row>
      <xdr:rowOff>7056</xdr:rowOff>
    </xdr:from>
    <xdr:to>
      <xdr:col>20</xdr:col>
      <xdr:colOff>42332</xdr:colOff>
      <xdr:row>128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125</xdr:row>
      <xdr:rowOff>18345</xdr:rowOff>
    </xdr:from>
    <xdr:to>
      <xdr:col>22</xdr:col>
      <xdr:colOff>39510</xdr:colOff>
      <xdr:row>128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125</xdr:row>
      <xdr:rowOff>7055</xdr:rowOff>
    </xdr:from>
    <xdr:to>
      <xdr:col>24</xdr:col>
      <xdr:colOff>75246</xdr:colOff>
      <xdr:row>128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4233</xdr:rowOff>
    </xdr:from>
    <xdr:to>
      <xdr:col>26</xdr:col>
      <xdr:colOff>46570</xdr:colOff>
      <xdr:row>127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125</xdr:row>
      <xdr:rowOff>13304</xdr:rowOff>
    </xdr:from>
    <xdr:to>
      <xdr:col>30</xdr:col>
      <xdr:colOff>46570</xdr:colOff>
      <xdr:row>128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13304</xdr:rowOff>
    </xdr:from>
    <xdr:to>
      <xdr:col>26</xdr:col>
      <xdr:colOff>46569</xdr:colOff>
      <xdr:row>128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125</xdr:row>
      <xdr:rowOff>15522</xdr:rowOff>
    </xdr:from>
    <xdr:to>
      <xdr:col>28</xdr:col>
      <xdr:colOff>43746</xdr:colOff>
      <xdr:row>128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138</xdr:row>
      <xdr:rowOff>7056</xdr:rowOff>
    </xdr:from>
    <xdr:to>
      <xdr:col>2</xdr:col>
      <xdr:colOff>42332</xdr:colOff>
      <xdr:row>141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138</xdr:row>
      <xdr:rowOff>18345</xdr:rowOff>
    </xdr:from>
    <xdr:to>
      <xdr:col>4</xdr:col>
      <xdr:colOff>39510</xdr:colOff>
      <xdr:row>141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138</xdr:row>
      <xdr:rowOff>7056</xdr:rowOff>
    </xdr:from>
    <xdr:to>
      <xdr:col>6</xdr:col>
      <xdr:colOff>42332</xdr:colOff>
      <xdr:row>141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138</xdr:row>
      <xdr:rowOff>18345</xdr:rowOff>
    </xdr:from>
    <xdr:to>
      <xdr:col>8</xdr:col>
      <xdr:colOff>39510</xdr:colOff>
      <xdr:row>141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138</xdr:row>
      <xdr:rowOff>7056</xdr:rowOff>
    </xdr:from>
    <xdr:to>
      <xdr:col>10</xdr:col>
      <xdr:colOff>42332</xdr:colOff>
      <xdr:row>141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138</xdr:row>
      <xdr:rowOff>18345</xdr:rowOff>
    </xdr:from>
    <xdr:to>
      <xdr:col>12</xdr:col>
      <xdr:colOff>21579</xdr:colOff>
      <xdr:row>141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138</xdr:row>
      <xdr:rowOff>7055</xdr:rowOff>
    </xdr:from>
    <xdr:to>
      <xdr:col>14</xdr:col>
      <xdr:colOff>49392</xdr:colOff>
      <xdr:row>141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4233</xdr:rowOff>
    </xdr:from>
    <xdr:to>
      <xdr:col>16</xdr:col>
      <xdr:colOff>46570</xdr:colOff>
      <xdr:row>140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138</xdr:row>
      <xdr:rowOff>13304</xdr:rowOff>
    </xdr:from>
    <xdr:to>
      <xdr:col>20</xdr:col>
      <xdr:colOff>46570</xdr:colOff>
      <xdr:row>141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13304</xdr:rowOff>
    </xdr:from>
    <xdr:to>
      <xdr:col>16</xdr:col>
      <xdr:colOff>46569</xdr:colOff>
      <xdr:row>141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138</xdr:row>
      <xdr:rowOff>15522</xdr:rowOff>
    </xdr:from>
    <xdr:to>
      <xdr:col>18</xdr:col>
      <xdr:colOff>43746</xdr:colOff>
      <xdr:row>141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138</xdr:row>
      <xdr:rowOff>7056</xdr:rowOff>
    </xdr:from>
    <xdr:to>
      <xdr:col>22</xdr:col>
      <xdr:colOff>42332</xdr:colOff>
      <xdr:row>141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138</xdr:row>
      <xdr:rowOff>18345</xdr:rowOff>
    </xdr:from>
    <xdr:to>
      <xdr:col>24</xdr:col>
      <xdr:colOff>65363</xdr:colOff>
      <xdr:row>141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138</xdr:row>
      <xdr:rowOff>7056</xdr:rowOff>
    </xdr:from>
    <xdr:to>
      <xdr:col>26</xdr:col>
      <xdr:colOff>42332</xdr:colOff>
      <xdr:row>141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90</xdr:row>
      <xdr:rowOff>40825</xdr:rowOff>
    </xdr:from>
    <xdr:to>
      <xdr:col>36</xdr:col>
      <xdr:colOff>218619</xdr:colOff>
      <xdr:row>91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44</xdr:row>
      <xdr:rowOff>173181</xdr:rowOff>
    </xdr:from>
    <xdr:to>
      <xdr:col>7</xdr:col>
      <xdr:colOff>294410</xdr:colOff>
      <xdr:row>45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45</xdr:row>
      <xdr:rowOff>30305</xdr:rowOff>
    </xdr:from>
    <xdr:to>
      <xdr:col>9</xdr:col>
      <xdr:colOff>294410</xdr:colOff>
      <xdr:row>45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44</xdr:row>
      <xdr:rowOff>173181</xdr:rowOff>
    </xdr:from>
    <xdr:to>
      <xdr:col>11</xdr:col>
      <xdr:colOff>294410</xdr:colOff>
      <xdr:row>45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44</xdr:row>
      <xdr:rowOff>173181</xdr:rowOff>
    </xdr:from>
    <xdr:to>
      <xdr:col>13</xdr:col>
      <xdr:colOff>294410</xdr:colOff>
      <xdr:row>45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44</xdr:row>
      <xdr:rowOff>173181</xdr:rowOff>
    </xdr:from>
    <xdr:to>
      <xdr:col>3</xdr:col>
      <xdr:colOff>294410</xdr:colOff>
      <xdr:row>45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44</xdr:row>
      <xdr:rowOff>173181</xdr:rowOff>
    </xdr:from>
    <xdr:to>
      <xdr:col>5</xdr:col>
      <xdr:colOff>294410</xdr:colOff>
      <xdr:row>45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44</xdr:row>
      <xdr:rowOff>173181</xdr:rowOff>
    </xdr:from>
    <xdr:to>
      <xdr:col>25</xdr:col>
      <xdr:colOff>294410</xdr:colOff>
      <xdr:row>45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44</xdr:row>
      <xdr:rowOff>173181</xdr:rowOff>
    </xdr:from>
    <xdr:to>
      <xdr:col>27</xdr:col>
      <xdr:colOff>294410</xdr:colOff>
      <xdr:row>45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44</xdr:row>
      <xdr:rowOff>173181</xdr:rowOff>
    </xdr:from>
    <xdr:to>
      <xdr:col>29</xdr:col>
      <xdr:colOff>294410</xdr:colOff>
      <xdr:row>45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44</xdr:row>
      <xdr:rowOff>173181</xdr:rowOff>
    </xdr:from>
    <xdr:to>
      <xdr:col>31</xdr:col>
      <xdr:colOff>294410</xdr:colOff>
      <xdr:row>45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56</xdr:row>
      <xdr:rowOff>173181</xdr:rowOff>
    </xdr:from>
    <xdr:to>
      <xdr:col>3</xdr:col>
      <xdr:colOff>294410</xdr:colOff>
      <xdr:row>57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56</xdr:row>
      <xdr:rowOff>173181</xdr:rowOff>
    </xdr:from>
    <xdr:to>
      <xdr:col>5</xdr:col>
      <xdr:colOff>294410</xdr:colOff>
      <xdr:row>57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56</xdr:row>
      <xdr:rowOff>173181</xdr:rowOff>
    </xdr:from>
    <xdr:to>
      <xdr:col>7</xdr:col>
      <xdr:colOff>294410</xdr:colOff>
      <xdr:row>57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56</xdr:row>
      <xdr:rowOff>173181</xdr:rowOff>
    </xdr:from>
    <xdr:to>
      <xdr:col>9</xdr:col>
      <xdr:colOff>294410</xdr:colOff>
      <xdr:row>57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56</xdr:row>
      <xdr:rowOff>173181</xdr:rowOff>
    </xdr:from>
    <xdr:to>
      <xdr:col>11</xdr:col>
      <xdr:colOff>294410</xdr:colOff>
      <xdr:row>57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56</xdr:row>
      <xdr:rowOff>173181</xdr:rowOff>
    </xdr:from>
    <xdr:to>
      <xdr:col>13</xdr:col>
      <xdr:colOff>294410</xdr:colOff>
      <xdr:row>57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56</xdr:row>
      <xdr:rowOff>173181</xdr:rowOff>
    </xdr:from>
    <xdr:to>
      <xdr:col>15</xdr:col>
      <xdr:colOff>294410</xdr:colOff>
      <xdr:row>57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56</xdr:row>
      <xdr:rowOff>173181</xdr:rowOff>
    </xdr:from>
    <xdr:to>
      <xdr:col>17</xdr:col>
      <xdr:colOff>294410</xdr:colOff>
      <xdr:row>57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56</xdr:row>
      <xdr:rowOff>173181</xdr:rowOff>
    </xdr:from>
    <xdr:to>
      <xdr:col>19</xdr:col>
      <xdr:colOff>294410</xdr:colOff>
      <xdr:row>57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56</xdr:row>
      <xdr:rowOff>173181</xdr:rowOff>
    </xdr:from>
    <xdr:to>
      <xdr:col>21</xdr:col>
      <xdr:colOff>294410</xdr:colOff>
      <xdr:row>57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56</xdr:row>
      <xdr:rowOff>173181</xdr:rowOff>
    </xdr:from>
    <xdr:to>
      <xdr:col>23</xdr:col>
      <xdr:colOff>294410</xdr:colOff>
      <xdr:row>57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56</xdr:row>
      <xdr:rowOff>173181</xdr:rowOff>
    </xdr:from>
    <xdr:to>
      <xdr:col>25</xdr:col>
      <xdr:colOff>294410</xdr:colOff>
      <xdr:row>57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56</xdr:row>
      <xdr:rowOff>173181</xdr:rowOff>
    </xdr:from>
    <xdr:to>
      <xdr:col>27</xdr:col>
      <xdr:colOff>294410</xdr:colOff>
      <xdr:row>57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56</xdr:row>
      <xdr:rowOff>173181</xdr:rowOff>
    </xdr:from>
    <xdr:to>
      <xdr:col>29</xdr:col>
      <xdr:colOff>294410</xdr:colOff>
      <xdr:row>57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69</xdr:row>
      <xdr:rowOff>173181</xdr:rowOff>
    </xdr:from>
    <xdr:to>
      <xdr:col>15</xdr:col>
      <xdr:colOff>294410</xdr:colOff>
      <xdr:row>70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69</xdr:row>
      <xdr:rowOff>173181</xdr:rowOff>
    </xdr:from>
    <xdr:to>
      <xdr:col>17</xdr:col>
      <xdr:colOff>294410</xdr:colOff>
      <xdr:row>70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69</xdr:row>
      <xdr:rowOff>173181</xdr:rowOff>
    </xdr:from>
    <xdr:to>
      <xdr:col>19</xdr:col>
      <xdr:colOff>294410</xdr:colOff>
      <xdr:row>70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69</xdr:row>
      <xdr:rowOff>173181</xdr:rowOff>
    </xdr:from>
    <xdr:to>
      <xdr:col>21</xdr:col>
      <xdr:colOff>294410</xdr:colOff>
      <xdr:row>70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69</xdr:row>
      <xdr:rowOff>173181</xdr:rowOff>
    </xdr:from>
    <xdr:to>
      <xdr:col>23</xdr:col>
      <xdr:colOff>294410</xdr:colOff>
      <xdr:row>70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69</xdr:row>
      <xdr:rowOff>173181</xdr:rowOff>
    </xdr:from>
    <xdr:to>
      <xdr:col>25</xdr:col>
      <xdr:colOff>294410</xdr:colOff>
      <xdr:row>70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69</xdr:row>
      <xdr:rowOff>173181</xdr:rowOff>
    </xdr:from>
    <xdr:to>
      <xdr:col>27</xdr:col>
      <xdr:colOff>294410</xdr:colOff>
      <xdr:row>70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69</xdr:row>
      <xdr:rowOff>173181</xdr:rowOff>
    </xdr:from>
    <xdr:to>
      <xdr:col>29</xdr:col>
      <xdr:colOff>294410</xdr:colOff>
      <xdr:row>70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69</xdr:row>
      <xdr:rowOff>173181</xdr:rowOff>
    </xdr:from>
    <xdr:to>
      <xdr:col>31</xdr:col>
      <xdr:colOff>294410</xdr:colOff>
      <xdr:row>70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80</xdr:row>
      <xdr:rowOff>173181</xdr:rowOff>
    </xdr:from>
    <xdr:to>
      <xdr:col>3</xdr:col>
      <xdr:colOff>294410</xdr:colOff>
      <xdr:row>81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80</xdr:row>
      <xdr:rowOff>173181</xdr:rowOff>
    </xdr:from>
    <xdr:to>
      <xdr:col>25</xdr:col>
      <xdr:colOff>294410</xdr:colOff>
      <xdr:row>81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80</xdr:row>
      <xdr:rowOff>173181</xdr:rowOff>
    </xdr:from>
    <xdr:to>
      <xdr:col>27</xdr:col>
      <xdr:colOff>294410</xdr:colOff>
      <xdr:row>81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80</xdr:row>
      <xdr:rowOff>173181</xdr:rowOff>
    </xdr:from>
    <xdr:to>
      <xdr:col>29</xdr:col>
      <xdr:colOff>294410</xdr:colOff>
      <xdr:row>81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80</xdr:row>
      <xdr:rowOff>173181</xdr:rowOff>
    </xdr:from>
    <xdr:to>
      <xdr:col>31</xdr:col>
      <xdr:colOff>294410</xdr:colOff>
      <xdr:row>81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91</xdr:row>
      <xdr:rowOff>173181</xdr:rowOff>
    </xdr:from>
    <xdr:to>
      <xdr:col>3</xdr:col>
      <xdr:colOff>294410</xdr:colOff>
      <xdr:row>92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91</xdr:row>
      <xdr:rowOff>173181</xdr:rowOff>
    </xdr:from>
    <xdr:to>
      <xdr:col>5</xdr:col>
      <xdr:colOff>294410</xdr:colOff>
      <xdr:row>92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91</xdr:row>
      <xdr:rowOff>173181</xdr:rowOff>
    </xdr:from>
    <xdr:to>
      <xdr:col>7</xdr:col>
      <xdr:colOff>294410</xdr:colOff>
      <xdr:row>92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91</xdr:row>
      <xdr:rowOff>173181</xdr:rowOff>
    </xdr:from>
    <xdr:to>
      <xdr:col>9</xdr:col>
      <xdr:colOff>294410</xdr:colOff>
      <xdr:row>92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91</xdr:row>
      <xdr:rowOff>173181</xdr:rowOff>
    </xdr:from>
    <xdr:to>
      <xdr:col>11</xdr:col>
      <xdr:colOff>294410</xdr:colOff>
      <xdr:row>92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91</xdr:row>
      <xdr:rowOff>173181</xdr:rowOff>
    </xdr:from>
    <xdr:to>
      <xdr:col>13</xdr:col>
      <xdr:colOff>294410</xdr:colOff>
      <xdr:row>92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91</xdr:row>
      <xdr:rowOff>173181</xdr:rowOff>
    </xdr:from>
    <xdr:to>
      <xdr:col>15</xdr:col>
      <xdr:colOff>294410</xdr:colOff>
      <xdr:row>92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91</xdr:row>
      <xdr:rowOff>173181</xdr:rowOff>
    </xdr:from>
    <xdr:to>
      <xdr:col>17</xdr:col>
      <xdr:colOff>294410</xdr:colOff>
      <xdr:row>92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91</xdr:row>
      <xdr:rowOff>173181</xdr:rowOff>
    </xdr:from>
    <xdr:to>
      <xdr:col>19</xdr:col>
      <xdr:colOff>294410</xdr:colOff>
      <xdr:row>92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91</xdr:row>
      <xdr:rowOff>173181</xdr:rowOff>
    </xdr:from>
    <xdr:to>
      <xdr:col>21</xdr:col>
      <xdr:colOff>294410</xdr:colOff>
      <xdr:row>92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91</xdr:row>
      <xdr:rowOff>173181</xdr:rowOff>
    </xdr:from>
    <xdr:to>
      <xdr:col>23</xdr:col>
      <xdr:colOff>294410</xdr:colOff>
      <xdr:row>92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91</xdr:row>
      <xdr:rowOff>173181</xdr:rowOff>
    </xdr:from>
    <xdr:to>
      <xdr:col>25</xdr:col>
      <xdr:colOff>294410</xdr:colOff>
      <xdr:row>92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91</xdr:row>
      <xdr:rowOff>173181</xdr:rowOff>
    </xdr:from>
    <xdr:to>
      <xdr:col>27</xdr:col>
      <xdr:colOff>294410</xdr:colOff>
      <xdr:row>92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91</xdr:row>
      <xdr:rowOff>173181</xdr:rowOff>
    </xdr:from>
    <xdr:to>
      <xdr:col>29</xdr:col>
      <xdr:colOff>294410</xdr:colOff>
      <xdr:row>92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91</xdr:row>
      <xdr:rowOff>173181</xdr:rowOff>
    </xdr:from>
    <xdr:to>
      <xdr:col>31</xdr:col>
      <xdr:colOff>294410</xdr:colOff>
      <xdr:row>92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102</xdr:row>
      <xdr:rowOff>173181</xdr:rowOff>
    </xdr:from>
    <xdr:to>
      <xdr:col>3</xdr:col>
      <xdr:colOff>294410</xdr:colOff>
      <xdr:row>103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102</xdr:row>
      <xdr:rowOff>173181</xdr:rowOff>
    </xdr:from>
    <xdr:to>
      <xdr:col>5</xdr:col>
      <xdr:colOff>294410</xdr:colOff>
      <xdr:row>103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102</xdr:row>
      <xdr:rowOff>173181</xdr:rowOff>
    </xdr:from>
    <xdr:to>
      <xdr:col>25</xdr:col>
      <xdr:colOff>294410</xdr:colOff>
      <xdr:row>103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102</xdr:row>
      <xdr:rowOff>173181</xdr:rowOff>
    </xdr:from>
    <xdr:to>
      <xdr:col>27</xdr:col>
      <xdr:colOff>294410</xdr:colOff>
      <xdr:row>103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102</xdr:row>
      <xdr:rowOff>173181</xdr:rowOff>
    </xdr:from>
    <xdr:to>
      <xdr:col>7</xdr:col>
      <xdr:colOff>294410</xdr:colOff>
      <xdr:row>103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102</xdr:row>
      <xdr:rowOff>173181</xdr:rowOff>
    </xdr:from>
    <xdr:to>
      <xdr:col>9</xdr:col>
      <xdr:colOff>294410</xdr:colOff>
      <xdr:row>103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102</xdr:row>
      <xdr:rowOff>173181</xdr:rowOff>
    </xdr:from>
    <xdr:to>
      <xdr:col>29</xdr:col>
      <xdr:colOff>294410</xdr:colOff>
      <xdr:row>103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102</xdr:row>
      <xdr:rowOff>173181</xdr:rowOff>
    </xdr:from>
    <xdr:to>
      <xdr:col>11</xdr:col>
      <xdr:colOff>294410</xdr:colOff>
      <xdr:row>103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102</xdr:row>
      <xdr:rowOff>173181</xdr:rowOff>
    </xdr:from>
    <xdr:to>
      <xdr:col>31</xdr:col>
      <xdr:colOff>294410</xdr:colOff>
      <xdr:row>103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102</xdr:row>
      <xdr:rowOff>173181</xdr:rowOff>
    </xdr:from>
    <xdr:to>
      <xdr:col>13</xdr:col>
      <xdr:colOff>294410</xdr:colOff>
      <xdr:row>103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113</xdr:row>
      <xdr:rowOff>173181</xdr:rowOff>
    </xdr:from>
    <xdr:to>
      <xdr:col>3</xdr:col>
      <xdr:colOff>294410</xdr:colOff>
      <xdr:row>114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102</xdr:row>
      <xdr:rowOff>173181</xdr:rowOff>
    </xdr:from>
    <xdr:to>
      <xdr:col>15</xdr:col>
      <xdr:colOff>294410</xdr:colOff>
      <xdr:row>103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113</xdr:row>
      <xdr:rowOff>173181</xdr:rowOff>
    </xdr:from>
    <xdr:to>
      <xdr:col>5</xdr:col>
      <xdr:colOff>294410</xdr:colOff>
      <xdr:row>114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102</xdr:row>
      <xdr:rowOff>173181</xdr:rowOff>
    </xdr:from>
    <xdr:to>
      <xdr:col>17</xdr:col>
      <xdr:colOff>294410</xdr:colOff>
      <xdr:row>103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113</xdr:row>
      <xdr:rowOff>173181</xdr:rowOff>
    </xdr:from>
    <xdr:to>
      <xdr:col>7</xdr:col>
      <xdr:colOff>294410</xdr:colOff>
      <xdr:row>114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102</xdr:row>
      <xdr:rowOff>173181</xdr:rowOff>
    </xdr:from>
    <xdr:to>
      <xdr:col>19</xdr:col>
      <xdr:colOff>294410</xdr:colOff>
      <xdr:row>103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113</xdr:row>
      <xdr:rowOff>173181</xdr:rowOff>
    </xdr:from>
    <xdr:to>
      <xdr:col>9</xdr:col>
      <xdr:colOff>294410</xdr:colOff>
      <xdr:row>114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102</xdr:row>
      <xdr:rowOff>173181</xdr:rowOff>
    </xdr:from>
    <xdr:to>
      <xdr:col>21</xdr:col>
      <xdr:colOff>294410</xdr:colOff>
      <xdr:row>103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113</xdr:row>
      <xdr:rowOff>173181</xdr:rowOff>
    </xdr:from>
    <xdr:to>
      <xdr:col>11</xdr:col>
      <xdr:colOff>294410</xdr:colOff>
      <xdr:row>114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102</xdr:row>
      <xdr:rowOff>173181</xdr:rowOff>
    </xdr:from>
    <xdr:to>
      <xdr:col>23</xdr:col>
      <xdr:colOff>294410</xdr:colOff>
      <xdr:row>103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113</xdr:row>
      <xdr:rowOff>173181</xdr:rowOff>
    </xdr:from>
    <xdr:to>
      <xdr:col>13</xdr:col>
      <xdr:colOff>294410</xdr:colOff>
      <xdr:row>114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113</xdr:row>
      <xdr:rowOff>173181</xdr:rowOff>
    </xdr:from>
    <xdr:to>
      <xdr:col>15</xdr:col>
      <xdr:colOff>294410</xdr:colOff>
      <xdr:row>114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113</xdr:row>
      <xdr:rowOff>173181</xdr:rowOff>
    </xdr:from>
    <xdr:to>
      <xdr:col>17</xdr:col>
      <xdr:colOff>294410</xdr:colOff>
      <xdr:row>114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113</xdr:row>
      <xdr:rowOff>173181</xdr:rowOff>
    </xdr:from>
    <xdr:to>
      <xdr:col>19</xdr:col>
      <xdr:colOff>294410</xdr:colOff>
      <xdr:row>114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113</xdr:row>
      <xdr:rowOff>173181</xdr:rowOff>
    </xdr:from>
    <xdr:to>
      <xdr:col>21</xdr:col>
      <xdr:colOff>294410</xdr:colOff>
      <xdr:row>114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113</xdr:row>
      <xdr:rowOff>173181</xdr:rowOff>
    </xdr:from>
    <xdr:to>
      <xdr:col>23</xdr:col>
      <xdr:colOff>294410</xdr:colOff>
      <xdr:row>114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113</xdr:row>
      <xdr:rowOff>173181</xdr:rowOff>
    </xdr:from>
    <xdr:to>
      <xdr:col>25</xdr:col>
      <xdr:colOff>294410</xdr:colOff>
      <xdr:row>114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113</xdr:row>
      <xdr:rowOff>173181</xdr:rowOff>
    </xdr:from>
    <xdr:to>
      <xdr:col>27</xdr:col>
      <xdr:colOff>294410</xdr:colOff>
      <xdr:row>114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113</xdr:row>
      <xdr:rowOff>173181</xdr:rowOff>
    </xdr:from>
    <xdr:to>
      <xdr:col>29</xdr:col>
      <xdr:colOff>294410</xdr:colOff>
      <xdr:row>114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113</xdr:row>
      <xdr:rowOff>173181</xdr:rowOff>
    </xdr:from>
    <xdr:to>
      <xdr:col>31</xdr:col>
      <xdr:colOff>294410</xdr:colOff>
      <xdr:row>114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124</xdr:row>
      <xdr:rowOff>173181</xdr:rowOff>
    </xdr:from>
    <xdr:to>
      <xdr:col>3</xdr:col>
      <xdr:colOff>294410</xdr:colOff>
      <xdr:row>125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124</xdr:row>
      <xdr:rowOff>173181</xdr:rowOff>
    </xdr:from>
    <xdr:to>
      <xdr:col>5</xdr:col>
      <xdr:colOff>294410</xdr:colOff>
      <xdr:row>125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124</xdr:row>
      <xdr:rowOff>173181</xdr:rowOff>
    </xdr:from>
    <xdr:to>
      <xdr:col>7</xdr:col>
      <xdr:colOff>294410</xdr:colOff>
      <xdr:row>125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124</xdr:row>
      <xdr:rowOff>173181</xdr:rowOff>
    </xdr:from>
    <xdr:to>
      <xdr:col>9</xdr:col>
      <xdr:colOff>294410</xdr:colOff>
      <xdr:row>125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124</xdr:row>
      <xdr:rowOff>173181</xdr:rowOff>
    </xdr:from>
    <xdr:to>
      <xdr:col>11</xdr:col>
      <xdr:colOff>294410</xdr:colOff>
      <xdr:row>125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124</xdr:row>
      <xdr:rowOff>173181</xdr:rowOff>
    </xdr:from>
    <xdr:to>
      <xdr:col>13</xdr:col>
      <xdr:colOff>294410</xdr:colOff>
      <xdr:row>125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124</xdr:row>
      <xdr:rowOff>173181</xdr:rowOff>
    </xdr:from>
    <xdr:to>
      <xdr:col>15</xdr:col>
      <xdr:colOff>294410</xdr:colOff>
      <xdr:row>125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124</xdr:row>
      <xdr:rowOff>173181</xdr:rowOff>
    </xdr:from>
    <xdr:to>
      <xdr:col>17</xdr:col>
      <xdr:colOff>294410</xdr:colOff>
      <xdr:row>125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124</xdr:row>
      <xdr:rowOff>173181</xdr:rowOff>
    </xdr:from>
    <xdr:to>
      <xdr:col>19</xdr:col>
      <xdr:colOff>294410</xdr:colOff>
      <xdr:row>125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124</xdr:row>
      <xdr:rowOff>173181</xdr:rowOff>
    </xdr:from>
    <xdr:to>
      <xdr:col>21</xdr:col>
      <xdr:colOff>294410</xdr:colOff>
      <xdr:row>125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124</xdr:row>
      <xdr:rowOff>173181</xdr:rowOff>
    </xdr:from>
    <xdr:to>
      <xdr:col>23</xdr:col>
      <xdr:colOff>294410</xdr:colOff>
      <xdr:row>125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124</xdr:row>
      <xdr:rowOff>173181</xdr:rowOff>
    </xdr:from>
    <xdr:to>
      <xdr:col>25</xdr:col>
      <xdr:colOff>294410</xdr:colOff>
      <xdr:row>125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124</xdr:row>
      <xdr:rowOff>173181</xdr:rowOff>
    </xdr:from>
    <xdr:to>
      <xdr:col>27</xdr:col>
      <xdr:colOff>294410</xdr:colOff>
      <xdr:row>125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124</xdr:row>
      <xdr:rowOff>173181</xdr:rowOff>
    </xdr:from>
    <xdr:to>
      <xdr:col>29</xdr:col>
      <xdr:colOff>294410</xdr:colOff>
      <xdr:row>125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124</xdr:row>
      <xdr:rowOff>173181</xdr:rowOff>
    </xdr:from>
    <xdr:to>
      <xdr:col>31</xdr:col>
      <xdr:colOff>294410</xdr:colOff>
      <xdr:row>125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137</xdr:row>
      <xdr:rowOff>173181</xdr:rowOff>
    </xdr:from>
    <xdr:to>
      <xdr:col>3</xdr:col>
      <xdr:colOff>294410</xdr:colOff>
      <xdr:row>138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137</xdr:row>
      <xdr:rowOff>173181</xdr:rowOff>
    </xdr:from>
    <xdr:to>
      <xdr:col>5</xdr:col>
      <xdr:colOff>294410</xdr:colOff>
      <xdr:row>138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138</xdr:row>
      <xdr:rowOff>38100</xdr:rowOff>
    </xdr:from>
    <xdr:to>
      <xdr:col>7</xdr:col>
      <xdr:colOff>294410</xdr:colOff>
      <xdr:row>138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137</xdr:row>
      <xdr:rowOff>173181</xdr:rowOff>
    </xdr:from>
    <xdr:to>
      <xdr:col>9</xdr:col>
      <xdr:colOff>294410</xdr:colOff>
      <xdr:row>138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137</xdr:row>
      <xdr:rowOff>173181</xdr:rowOff>
    </xdr:from>
    <xdr:to>
      <xdr:col>11</xdr:col>
      <xdr:colOff>294410</xdr:colOff>
      <xdr:row>138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137</xdr:row>
      <xdr:rowOff>173181</xdr:rowOff>
    </xdr:from>
    <xdr:to>
      <xdr:col>13</xdr:col>
      <xdr:colOff>294410</xdr:colOff>
      <xdr:row>138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137</xdr:row>
      <xdr:rowOff>173181</xdr:rowOff>
    </xdr:from>
    <xdr:to>
      <xdr:col>15</xdr:col>
      <xdr:colOff>294410</xdr:colOff>
      <xdr:row>138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137</xdr:row>
      <xdr:rowOff>173181</xdr:rowOff>
    </xdr:from>
    <xdr:to>
      <xdr:col>17</xdr:col>
      <xdr:colOff>294410</xdr:colOff>
      <xdr:row>138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137</xdr:row>
      <xdr:rowOff>173181</xdr:rowOff>
    </xdr:from>
    <xdr:to>
      <xdr:col>19</xdr:col>
      <xdr:colOff>294410</xdr:colOff>
      <xdr:row>138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137</xdr:row>
      <xdr:rowOff>173181</xdr:rowOff>
    </xdr:from>
    <xdr:to>
      <xdr:col>21</xdr:col>
      <xdr:colOff>294410</xdr:colOff>
      <xdr:row>138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137</xdr:row>
      <xdr:rowOff>173181</xdr:rowOff>
    </xdr:from>
    <xdr:to>
      <xdr:col>23</xdr:col>
      <xdr:colOff>294410</xdr:colOff>
      <xdr:row>138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137</xdr:row>
      <xdr:rowOff>173181</xdr:rowOff>
    </xdr:from>
    <xdr:to>
      <xdr:col>25</xdr:col>
      <xdr:colOff>294410</xdr:colOff>
      <xdr:row>138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137</xdr:row>
      <xdr:rowOff>173181</xdr:rowOff>
    </xdr:from>
    <xdr:to>
      <xdr:col>27</xdr:col>
      <xdr:colOff>0</xdr:colOff>
      <xdr:row>138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92</xdr:row>
      <xdr:rowOff>152979</xdr:rowOff>
    </xdr:from>
    <xdr:to>
      <xdr:col>2</xdr:col>
      <xdr:colOff>404535</xdr:colOff>
      <xdr:row>95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62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70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97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129</xdr:row>
      <xdr:rowOff>59871</xdr:rowOff>
    </xdr:from>
    <xdr:to>
      <xdr:col>38</xdr:col>
      <xdr:colOff>106141</xdr:colOff>
      <xdr:row>132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126</xdr:row>
      <xdr:rowOff>36284</xdr:rowOff>
    </xdr:from>
    <xdr:to>
      <xdr:col>26</xdr:col>
      <xdr:colOff>234950</xdr:colOff>
      <xdr:row>128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46</xdr:row>
      <xdr:rowOff>157523</xdr:rowOff>
    </xdr:from>
    <xdr:to>
      <xdr:col>45</xdr:col>
      <xdr:colOff>330414</xdr:colOff>
      <xdr:row>49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45</xdr:row>
      <xdr:rowOff>7055</xdr:rowOff>
    </xdr:from>
    <xdr:to>
      <xdr:col>14</xdr:col>
      <xdr:colOff>22498</xdr:colOff>
      <xdr:row>48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44</xdr:row>
      <xdr:rowOff>173181</xdr:rowOff>
    </xdr:from>
    <xdr:to>
      <xdr:col>15</xdr:col>
      <xdr:colOff>294410</xdr:colOff>
      <xdr:row>45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45</xdr:row>
      <xdr:rowOff>4233</xdr:rowOff>
    </xdr:from>
    <xdr:to>
      <xdr:col>16</xdr:col>
      <xdr:colOff>46570</xdr:colOff>
      <xdr:row>47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45</xdr:row>
      <xdr:rowOff>13304</xdr:rowOff>
    </xdr:from>
    <xdr:to>
      <xdr:col>16</xdr:col>
      <xdr:colOff>46569</xdr:colOff>
      <xdr:row>48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44</xdr:row>
      <xdr:rowOff>173181</xdr:rowOff>
    </xdr:from>
    <xdr:to>
      <xdr:col>17</xdr:col>
      <xdr:colOff>294410</xdr:colOff>
      <xdr:row>45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45</xdr:row>
      <xdr:rowOff>6557</xdr:rowOff>
    </xdr:from>
    <xdr:to>
      <xdr:col>18</xdr:col>
      <xdr:colOff>43746</xdr:colOff>
      <xdr:row>47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44</xdr:row>
      <xdr:rowOff>173181</xdr:rowOff>
    </xdr:from>
    <xdr:to>
      <xdr:col>19</xdr:col>
      <xdr:colOff>294410</xdr:colOff>
      <xdr:row>45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45</xdr:row>
      <xdr:rowOff>13304</xdr:rowOff>
    </xdr:from>
    <xdr:to>
      <xdr:col>20</xdr:col>
      <xdr:colOff>46570</xdr:colOff>
      <xdr:row>48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44</xdr:row>
      <xdr:rowOff>173181</xdr:rowOff>
    </xdr:from>
    <xdr:to>
      <xdr:col>21</xdr:col>
      <xdr:colOff>294410</xdr:colOff>
      <xdr:row>45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45</xdr:row>
      <xdr:rowOff>7056</xdr:rowOff>
    </xdr:from>
    <xdr:to>
      <xdr:col>22</xdr:col>
      <xdr:colOff>42332</xdr:colOff>
      <xdr:row>48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44</xdr:row>
      <xdr:rowOff>173181</xdr:rowOff>
    </xdr:from>
    <xdr:to>
      <xdr:col>23</xdr:col>
      <xdr:colOff>294410</xdr:colOff>
      <xdr:row>45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81</xdr:row>
      <xdr:rowOff>7055</xdr:rowOff>
    </xdr:from>
    <xdr:to>
      <xdr:col>4</xdr:col>
      <xdr:colOff>49392</xdr:colOff>
      <xdr:row>84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4233</xdr:rowOff>
    </xdr:from>
    <xdr:to>
      <xdr:col>6</xdr:col>
      <xdr:colOff>46570</xdr:colOff>
      <xdr:row>83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81</xdr:row>
      <xdr:rowOff>13304</xdr:rowOff>
    </xdr:from>
    <xdr:to>
      <xdr:col>10</xdr:col>
      <xdr:colOff>46570</xdr:colOff>
      <xdr:row>84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13304</xdr:rowOff>
    </xdr:from>
    <xdr:to>
      <xdr:col>6</xdr:col>
      <xdr:colOff>46569</xdr:colOff>
      <xdr:row>84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81</xdr:row>
      <xdr:rowOff>15522</xdr:rowOff>
    </xdr:from>
    <xdr:to>
      <xdr:col>8</xdr:col>
      <xdr:colOff>43746</xdr:colOff>
      <xdr:row>84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81</xdr:row>
      <xdr:rowOff>7056</xdr:rowOff>
    </xdr:from>
    <xdr:to>
      <xdr:col>12</xdr:col>
      <xdr:colOff>42332</xdr:colOff>
      <xdr:row>84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81</xdr:row>
      <xdr:rowOff>18345</xdr:rowOff>
    </xdr:from>
    <xdr:to>
      <xdr:col>14</xdr:col>
      <xdr:colOff>39510</xdr:colOff>
      <xdr:row>84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81</xdr:row>
      <xdr:rowOff>7056</xdr:rowOff>
    </xdr:from>
    <xdr:to>
      <xdr:col>16</xdr:col>
      <xdr:colOff>42332</xdr:colOff>
      <xdr:row>84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81</xdr:row>
      <xdr:rowOff>18345</xdr:rowOff>
    </xdr:from>
    <xdr:to>
      <xdr:col>18</xdr:col>
      <xdr:colOff>39510</xdr:colOff>
      <xdr:row>84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81</xdr:row>
      <xdr:rowOff>7056</xdr:rowOff>
    </xdr:from>
    <xdr:to>
      <xdr:col>20</xdr:col>
      <xdr:colOff>42332</xdr:colOff>
      <xdr:row>84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81</xdr:row>
      <xdr:rowOff>18345</xdr:rowOff>
    </xdr:from>
    <xdr:to>
      <xdr:col>22</xdr:col>
      <xdr:colOff>39510</xdr:colOff>
      <xdr:row>84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80</xdr:row>
      <xdr:rowOff>173181</xdr:rowOff>
    </xdr:from>
    <xdr:to>
      <xdr:col>5</xdr:col>
      <xdr:colOff>294410</xdr:colOff>
      <xdr:row>81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80</xdr:row>
      <xdr:rowOff>173181</xdr:rowOff>
    </xdr:from>
    <xdr:to>
      <xdr:col>7</xdr:col>
      <xdr:colOff>294410</xdr:colOff>
      <xdr:row>81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80</xdr:row>
      <xdr:rowOff>173181</xdr:rowOff>
    </xdr:from>
    <xdr:to>
      <xdr:col>9</xdr:col>
      <xdr:colOff>294410</xdr:colOff>
      <xdr:row>81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80</xdr:row>
      <xdr:rowOff>173181</xdr:rowOff>
    </xdr:from>
    <xdr:to>
      <xdr:col>11</xdr:col>
      <xdr:colOff>294410</xdr:colOff>
      <xdr:row>81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80</xdr:row>
      <xdr:rowOff>173181</xdr:rowOff>
    </xdr:from>
    <xdr:to>
      <xdr:col>13</xdr:col>
      <xdr:colOff>294410</xdr:colOff>
      <xdr:row>81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80</xdr:row>
      <xdr:rowOff>173181</xdr:rowOff>
    </xdr:from>
    <xdr:to>
      <xdr:col>15</xdr:col>
      <xdr:colOff>294410</xdr:colOff>
      <xdr:row>81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80</xdr:row>
      <xdr:rowOff>173181</xdr:rowOff>
    </xdr:from>
    <xdr:to>
      <xdr:col>17</xdr:col>
      <xdr:colOff>294410</xdr:colOff>
      <xdr:row>81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80</xdr:row>
      <xdr:rowOff>173181</xdr:rowOff>
    </xdr:from>
    <xdr:to>
      <xdr:col>19</xdr:col>
      <xdr:colOff>294410</xdr:colOff>
      <xdr:row>81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80</xdr:row>
      <xdr:rowOff>173181</xdr:rowOff>
    </xdr:from>
    <xdr:to>
      <xdr:col>21</xdr:col>
      <xdr:colOff>294410</xdr:colOff>
      <xdr:row>81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80</xdr:row>
      <xdr:rowOff>173181</xdr:rowOff>
    </xdr:from>
    <xdr:to>
      <xdr:col>23</xdr:col>
      <xdr:colOff>294410</xdr:colOff>
      <xdr:row>81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82</xdr:row>
      <xdr:rowOff>125184</xdr:rowOff>
    </xdr:from>
    <xdr:to>
      <xdr:col>34</xdr:col>
      <xdr:colOff>236764</xdr:colOff>
      <xdr:row>85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79</xdr:row>
      <xdr:rowOff>108855</xdr:rowOff>
    </xdr:from>
    <xdr:to>
      <xdr:col>37</xdr:col>
      <xdr:colOff>87086</xdr:colOff>
      <xdr:row>80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102</xdr:row>
      <xdr:rowOff>159455</xdr:rowOff>
    </xdr:from>
    <xdr:to>
      <xdr:col>24</xdr:col>
      <xdr:colOff>64493</xdr:colOff>
      <xdr:row>105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103</xdr:row>
      <xdr:rowOff>4233</xdr:rowOff>
    </xdr:from>
    <xdr:to>
      <xdr:col>26</xdr:col>
      <xdr:colOff>33218</xdr:colOff>
      <xdr:row>105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114</xdr:row>
      <xdr:rowOff>7056</xdr:rowOff>
    </xdr:from>
    <xdr:to>
      <xdr:col>2</xdr:col>
      <xdr:colOff>69226</xdr:colOff>
      <xdr:row>117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114</xdr:row>
      <xdr:rowOff>18345</xdr:rowOff>
    </xdr:from>
    <xdr:to>
      <xdr:col>4</xdr:col>
      <xdr:colOff>66404</xdr:colOff>
      <xdr:row>117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114</xdr:row>
      <xdr:rowOff>7056</xdr:rowOff>
    </xdr:from>
    <xdr:to>
      <xdr:col>6</xdr:col>
      <xdr:colOff>69226</xdr:colOff>
      <xdr:row>117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114</xdr:row>
      <xdr:rowOff>7056</xdr:rowOff>
    </xdr:from>
    <xdr:to>
      <xdr:col>10</xdr:col>
      <xdr:colOff>42396</xdr:colOff>
      <xdr:row>117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114</xdr:row>
      <xdr:rowOff>8964</xdr:rowOff>
    </xdr:from>
    <xdr:to>
      <xdr:col>8</xdr:col>
      <xdr:colOff>29467</xdr:colOff>
      <xdr:row>117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49</xdr:row>
      <xdr:rowOff>82114</xdr:rowOff>
    </xdr:from>
    <xdr:to>
      <xdr:col>4</xdr:col>
      <xdr:colOff>238169</xdr:colOff>
      <xdr:row>51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776447"/>
          <a:ext cx="238169" cy="3387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49</xdr:row>
      <xdr:rowOff>133350</xdr:rowOff>
    </xdr:from>
    <xdr:to>
      <xdr:col>6</xdr:col>
      <xdr:colOff>238169</xdr:colOff>
      <xdr:row>51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827683"/>
          <a:ext cx="238169" cy="3387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238169</xdr:colOff>
      <xdr:row>52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9863667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238169</xdr:colOff>
      <xdr:row>52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9863667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238169</xdr:colOff>
      <xdr:row>52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9863667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238169</xdr:colOff>
      <xdr:row>52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9863667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50</xdr:row>
      <xdr:rowOff>0</xdr:rowOff>
    </xdr:from>
    <xdr:to>
      <xdr:col>26</xdr:col>
      <xdr:colOff>238169</xdr:colOff>
      <xdr:row>52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9863667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75</xdr:row>
      <xdr:rowOff>0</xdr:rowOff>
    </xdr:from>
    <xdr:to>
      <xdr:col>28</xdr:col>
      <xdr:colOff>238169</xdr:colOff>
      <xdr:row>77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192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97</xdr:row>
      <xdr:rowOff>0</xdr:rowOff>
    </xdr:from>
    <xdr:to>
      <xdr:col>12</xdr:col>
      <xdr:colOff>259941</xdr:colOff>
      <xdr:row>99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0022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238169</xdr:colOff>
      <xdr:row>99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0022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107</xdr:row>
      <xdr:rowOff>127627</xdr:rowOff>
    </xdr:from>
    <xdr:to>
      <xdr:col>16</xdr:col>
      <xdr:colOff>250078</xdr:colOff>
      <xdr:row>109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19844377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238169</xdr:colOff>
      <xdr:row>99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0022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97</xdr:row>
      <xdr:rowOff>0</xdr:rowOff>
    </xdr:from>
    <xdr:to>
      <xdr:col>22</xdr:col>
      <xdr:colOff>238169</xdr:colOff>
      <xdr:row>99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0022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238169</xdr:colOff>
      <xdr:row>99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0022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97</xdr:row>
      <xdr:rowOff>0</xdr:rowOff>
    </xdr:from>
    <xdr:to>
      <xdr:col>26</xdr:col>
      <xdr:colOff>238169</xdr:colOff>
      <xdr:row>99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0022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97</xdr:row>
      <xdr:rowOff>21772</xdr:rowOff>
    </xdr:from>
    <xdr:to>
      <xdr:col>28</xdr:col>
      <xdr:colOff>238168</xdr:colOff>
      <xdr:row>99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0240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93</xdr:row>
      <xdr:rowOff>21771</xdr:rowOff>
    </xdr:from>
    <xdr:to>
      <xdr:col>5</xdr:col>
      <xdr:colOff>3276</xdr:colOff>
      <xdr:row>95</xdr:row>
      <xdr:rowOff>31448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104</xdr:row>
      <xdr:rowOff>0</xdr:rowOff>
    </xdr:from>
    <xdr:to>
      <xdr:col>14</xdr:col>
      <xdr:colOff>423009</xdr:colOff>
      <xdr:row>106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134156</xdr:rowOff>
    </xdr:from>
    <xdr:to>
      <xdr:col>28</xdr:col>
      <xdr:colOff>382764</xdr:colOff>
      <xdr:row>105</xdr:row>
      <xdr:rowOff>143837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115</xdr:row>
      <xdr:rowOff>32658</xdr:rowOff>
    </xdr:from>
    <xdr:to>
      <xdr:col>28</xdr:col>
      <xdr:colOff>426306</xdr:colOff>
      <xdr:row>117</xdr:row>
      <xdr:rowOff>42333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32658</xdr:rowOff>
    </xdr:from>
    <xdr:to>
      <xdr:col>31</xdr:col>
      <xdr:colOff>6034</xdr:colOff>
      <xdr:row>117</xdr:row>
      <xdr:rowOff>42333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130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126</xdr:row>
      <xdr:rowOff>0</xdr:rowOff>
    </xdr:from>
    <xdr:to>
      <xdr:col>16</xdr:col>
      <xdr:colOff>382764</xdr:colOff>
      <xdr:row>128</xdr:row>
      <xdr:rowOff>9678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130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130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130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130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139</xdr:row>
      <xdr:rowOff>0</xdr:rowOff>
    </xdr:from>
    <xdr:to>
      <xdr:col>14</xdr:col>
      <xdr:colOff>382764</xdr:colOff>
      <xdr:row>141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139</xdr:row>
      <xdr:rowOff>40245</xdr:rowOff>
    </xdr:from>
    <xdr:to>
      <xdr:col>20</xdr:col>
      <xdr:colOff>396179</xdr:colOff>
      <xdr:row>141</xdr:row>
      <xdr:rowOff>49922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49</xdr:row>
      <xdr:rowOff>157843</xdr:rowOff>
    </xdr:from>
    <xdr:to>
      <xdr:col>2</xdr:col>
      <xdr:colOff>283827</xdr:colOff>
      <xdr:row>53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49</xdr:row>
      <xdr:rowOff>140154</xdr:rowOff>
    </xdr:from>
    <xdr:to>
      <xdr:col>6</xdr:col>
      <xdr:colOff>328730</xdr:colOff>
      <xdr:row>53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50</xdr:row>
      <xdr:rowOff>43543</xdr:rowOff>
    </xdr:from>
    <xdr:to>
      <xdr:col>10</xdr:col>
      <xdr:colOff>392684</xdr:colOff>
      <xdr:row>53</xdr:row>
      <xdr:rowOff>74027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50</xdr:row>
      <xdr:rowOff>0</xdr:rowOff>
    </xdr:from>
    <xdr:to>
      <xdr:col>12</xdr:col>
      <xdr:colOff>316484</xdr:colOff>
      <xdr:row>53</xdr:row>
      <xdr:rowOff>30484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49</xdr:row>
      <xdr:rowOff>152400</xdr:rowOff>
    </xdr:from>
    <xdr:to>
      <xdr:col>14</xdr:col>
      <xdr:colOff>283826</xdr:colOff>
      <xdr:row>53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50</xdr:row>
      <xdr:rowOff>43543</xdr:rowOff>
    </xdr:from>
    <xdr:to>
      <xdr:col>18</xdr:col>
      <xdr:colOff>370912</xdr:colOff>
      <xdr:row>53</xdr:row>
      <xdr:rowOff>74027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49</xdr:row>
      <xdr:rowOff>152400</xdr:rowOff>
    </xdr:from>
    <xdr:to>
      <xdr:col>20</xdr:col>
      <xdr:colOff>305598</xdr:colOff>
      <xdr:row>53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61</xdr:row>
      <xdr:rowOff>155204</xdr:rowOff>
    </xdr:from>
    <xdr:to>
      <xdr:col>8</xdr:col>
      <xdr:colOff>345224</xdr:colOff>
      <xdr:row>65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61</xdr:row>
      <xdr:rowOff>147987</xdr:rowOff>
    </xdr:from>
    <xdr:to>
      <xdr:col>12</xdr:col>
      <xdr:colOff>345348</xdr:colOff>
      <xdr:row>65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61</xdr:row>
      <xdr:rowOff>119741</xdr:rowOff>
    </xdr:from>
    <xdr:to>
      <xdr:col>18</xdr:col>
      <xdr:colOff>376146</xdr:colOff>
      <xdr:row>65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62</xdr:row>
      <xdr:rowOff>32657</xdr:rowOff>
    </xdr:from>
    <xdr:to>
      <xdr:col>24</xdr:col>
      <xdr:colOff>264583</xdr:colOff>
      <xdr:row>65</xdr:row>
      <xdr:rowOff>72157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62</xdr:row>
      <xdr:rowOff>8542</xdr:rowOff>
    </xdr:from>
    <xdr:to>
      <xdr:col>26</xdr:col>
      <xdr:colOff>336743</xdr:colOff>
      <xdr:row>65</xdr:row>
      <xdr:rowOff>39025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75</xdr:row>
      <xdr:rowOff>0</xdr:rowOff>
    </xdr:from>
    <xdr:to>
      <xdr:col>12</xdr:col>
      <xdr:colOff>339086</xdr:colOff>
      <xdr:row>78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74</xdr:row>
      <xdr:rowOff>158750</xdr:rowOff>
    </xdr:from>
    <xdr:to>
      <xdr:col>24</xdr:col>
      <xdr:colOff>318827</xdr:colOff>
      <xdr:row>78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74</xdr:row>
      <xdr:rowOff>163286</xdr:rowOff>
    </xdr:from>
    <xdr:to>
      <xdr:col>26</xdr:col>
      <xdr:colOff>363201</xdr:colOff>
      <xdr:row>78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108</xdr:row>
      <xdr:rowOff>21771</xdr:rowOff>
    </xdr:from>
    <xdr:to>
      <xdr:col>8</xdr:col>
      <xdr:colOff>316484</xdr:colOff>
      <xdr:row>111</xdr:row>
      <xdr:rowOff>52249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108</xdr:row>
      <xdr:rowOff>0</xdr:rowOff>
    </xdr:from>
    <xdr:to>
      <xdr:col>16</xdr:col>
      <xdr:colOff>352440</xdr:colOff>
      <xdr:row>111</xdr:row>
      <xdr:rowOff>30478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382764</xdr:colOff>
      <xdr:row>106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107</xdr:row>
      <xdr:rowOff>142513</xdr:rowOff>
    </xdr:from>
    <xdr:to>
      <xdr:col>26</xdr:col>
      <xdr:colOff>283029</xdr:colOff>
      <xdr:row>110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108</xdr:row>
      <xdr:rowOff>14183</xdr:rowOff>
    </xdr:from>
    <xdr:to>
      <xdr:col>26</xdr:col>
      <xdr:colOff>404480</xdr:colOff>
      <xdr:row>110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119</xdr:row>
      <xdr:rowOff>0</xdr:rowOff>
    </xdr:from>
    <xdr:to>
      <xdr:col>2</xdr:col>
      <xdr:colOff>274893</xdr:colOff>
      <xdr:row>121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118</xdr:row>
      <xdr:rowOff>169343</xdr:rowOff>
    </xdr:from>
    <xdr:to>
      <xdr:col>18</xdr:col>
      <xdr:colOff>281726</xdr:colOff>
      <xdr:row>122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119</xdr:row>
      <xdr:rowOff>10886</xdr:rowOff>
    </xdr:from>
    <xdr:to>
      <xdr:col>20</xdr:col>
      <xdr:colOff>222579</xdr:colOff>
      <xdr:row>122</xdr:row>
      <xdr:rowOff>41367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130</xdr:row>
      <xdr:rowOff>43543</xdr:rowOff>
    </xdr:from>
    <xdr:to>
      <xdr:col>6</xdr:col>
      <xdr:colOff>281725</xdr:colOff>
      <xdr:row>133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130</xdr:row>
      <xdr:rowOff>43543</xdr:rowOff>
    </xdr:from>
    <xdr:to>
      <xdr:col>8</xdr:col>
      <xdr:colOff>268310</xdr:colOff>
      <xdr:row>132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130</xdr:row>
      <xdr:rowOff>10886</xdr:rowOff>
    </xdr:from>
    <xdr:to>
      <xdr:col>31</xdr:col>
      <xdr:colOff>13170</xdr:colOff>
      <xdr:row>133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142</xdr:row>
      <xdr:rowOff>155929</xdr:rowOff>
    </xdr:from>
    <xdr:to>
      <xdr:col>10</xdr:col>
      <xdr:colOff>283826</xdr:colOff>
      <xdr:row>145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143</xdr:row>
      <xdr:rowOff>32657</xdr:rowOff>
    </xdr:from>
    <xdr:to>
      <xdr:col>24</xdr:col>
      <xdr:colOff>349141</xdr:colOff>
      <xdr:row>145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30</xdr:col>
      <xdr:colOff>238169</xdr:colOff>
      <xdr:row>99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0022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238169</xdr:colOff>
      <xdr:row>64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1959167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238169</xdr:colOff>
      <xdr:row>64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1959167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62</xdr:row>
      <xdr:rowOff>0</xdr:rowOff>
    </xdr:from>
    <xdr:to>
      <xdr:col>18</xdr:col>
      <xdr:colOff>238169</xdr:colOff>
      <xdr:row>64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1959167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176</xdr:row>
      <xdr:rowOff>4233</xdr:rowOff>
    </xdr:from>
    <xdr:to>
      <xdr:col>26</xdr:col>
      <xdr:colOff>46570</xdr:colOff>
      <xdr:row>178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175</xdr:row>
      <xdr:rowOff>163092</xdr:rowOff>
    </xdr:from>
    <xdr:to>
      <xdr:col>28</xdr:col>
      <xdr:colOff>30331</xdr:colOff>
      <xdr:row>178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188</xdr:row>
      <xdr:rowOff>159859</xdr:rowOff>
    </xdr:from>
    <xdr:to>
      <xdr:col>2</xdr:col>
      <xdr:colOff>17739</xdr:colOff>
      <xdr:row>191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189</xdr:row>
      <xdr:rowOff>7056</xdr:rowOff>
    </xdr:from>
    <xdr:to>
      <xdr:col>4</xdr:col>
      <xdr:colOff>42332</xdr:colOff>
      <xdr:row>192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189</xdr:row>
      <xdr:rowOff>18345</xdr:rowOff>
    </xdr:from>
    <xdr:to>
      <xdr:col>6</xdr:col>
      <xdr:colOff>39510</xdr:colOff>
      <xdr:row>192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189</xdr:row>
      <xdr:rowOff>7056</xdr:rowOff>
    </xdr:from>
    <xdr:to>
      <xdr:col>8</xdr:col>
      <xdr:colOff>42332</xdr:colOff>
      <xdr:row>192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189</xdr:row>
      <xdr:rowOff>18345</xdr:rowOff>
    </xdr:from>
    <xdr:to>
      <xdr:col>10</xdr:col>
      <xdr:colOff>39510</xdr:colOff>
      <xdr:row>192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189</xdr:row>
      <xdr:rowOff>7055</xdr:rowOff>
    </xdr:from>
    <xdr:to>
      <xdr:col>12</xdr:col>
      <xdr:colOff>49392</xdr:colOff>
      <xdr:row>192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4233</xdr:rowOff>
    </xdr:from>
    <xdr:to>
      <xdr:col>14</xdr:col>
      <xdr:colOff>46570</xdr:colOff>
      <xdr:row>191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189</xdr:row>
      <xdr:rowOff>13304</xdr:rowOff>
    </xdr:from>
    <xdr:to>
      <xdr:col>18</xdr:col>
      <xdr:colOff>46570</xdr:colOff>
      <xdr:row>192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13304</xdr:rowOff>
    </xdr:from>
    <xdr:to>
      <xdr:col>14</xdr:col>
      <xdr:colOff>46569</xdr:colOff>
      <xdr:row>192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189</xdr:row>
      <xdr:rowOff>15522</xdr:rowOff>
    </xdr:from>
    <xdr:to>
      <xdr:col>16</xdr:col>
      <xdr:colOff>43746</xdr:colOff>
      <xdr:row>192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189</xdr:row>
      <xdr:rowOff>7056</xdr:rowOff>
    </xdr:from>
    <xdr:to>
      <xdr:col>20</xdr:col>
      <xdr:colOff>42332</xdr:colOff>
      <xdr:row>192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189</xdr:row>
      <xdr:rowOff>18345</xdr:rowOff>
    </xdr:from>
    <xdr:to>
      <xdr:col>22</xdr:col>
      <xdr:colOff>39510</xdr:colOff>
      <xdr:row>192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189</xdr:row>
      <xdr:rowOff>7056</xdr:rowOff>
    </xdr:from>
    <xdr:to>
      <xdr:col>24</xdr:col>
      <xdr:colOff>42332</xdr:colOff>
      <xdr:row>192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189</xdr:row>
      <xdr:rowOff>18345</xdr:rowOff>
    </xdr:from>
    <xdr:to>
      <xdr:col>26</xdr:col>
      <xdr:colOff>39510</xdr:colOff>
      <xdr:row>192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189</xdr:row>
      <xdr:rowOff>7056</xdr:rowOff>
    </xdr:from>
    <xdr:to>
      <xdr:col>28</xdr:col>
      <xdr:colOff>42332</xdr:colOff>
      <xdr:row>192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189</xdr:row>
      <xdr:rowOff>18345</xdr:rowOff>
    </xdr:from>
    <xdr:to>
      <xdr:col>30</xdr:col>
      <xdr:colOff>39510</xdr:colOff>
      <xdr:row>192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175</xdr:row>
      <xdr:rowOff>173181</xdr:rowOff>
    </xdr:from>
    <xdr:to>
      <xdr:col>25</xdr:col>
      <xdr:colOff>294410</xdr:colOff>
      <xdr:row>176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175</xdr:row>
      <xdr:rowOff>173181</xdr:rowOff>
    </xdr:from>
    <xdr:to>
      <xdr:col>27</xdr:col>
      <xdr:colOff>294410</xdr:colOff>
      <xdr:row>176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175</xdr:row>
      <xdr:rowOff>173181</xdr:rowOff>
    </xdr:from>
    <xdr:to>
      <xdr:col>29</xdr:col>
      <xdr:colOff>294410</xdr:colOff>
      <xdr:row>176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188</xdr:row>
      <xdr:rowOff>173181</xdr:rowOff>
    </xdr:from>
    <xdr:to>
      <xdr:col>3</xdr:col>
      <xdr:colOff>294410</xdr:colOff>
      <xdr:row>189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188</xdr:row>
      <xdr:rowOff>173181</xdr:rowOff>
    </xdr:from>
    <xdr:to>
      <xdr:col>17</xdr:col>
      <xdr:colOff>294410</xdr:colOff>
      <xdr:row>189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188</xdr:row>
      <xdr:rowOff>173181</xdr:rowOff>
    </xdr:from>
    <xdr:to>
      <xdr:col>31</xdr:col>
      <xdr:colOff>294410</xdr:colOff>
      <xdr:row>189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175</xdr:row>
      <xdr:rowOff>159455</xdr:rowOff>
    </xdr:from>
    <xdr:to>
      <xdr:col>24</xdr:col>
      <xdr:colOff>99818</xdr:colOff>
      <xdr:row>178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176</xdr:row>
      <xdr:rowOff>4233</xdr:rowOff>
    </xdr:from>
    <xdr:to>
      <xdr:col>26</xdr:col>
      <xdr:colOff>73463</xdr:colOff>
      <xdr:row>178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214</xdr:row>
      <xdr:rowOff>4233</xdr:rowOff>
    </xdr:from>
    <xdr:to>
      <xdr:col>4</xdr:col>
      <xdr:colOff>46570</xdr:colOff>
      <xdr:row>216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214</xdr:row>
      <xdr:rowOff>13304</xdr:rowOff>
    </xdr:from>
    <xdr:to>
      <xdr:col>8</xdr:col>
      <xdr:colOff>46570</xdr:colOff>
      <xdr:row>217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214</xdr:row>
      <xdr:rowOff>15522</xdr:rowOff>
    </xdr:from>
    <xdr:to>
      <xdr:col>6</xdr:col>
      <xdr:colOff>43746</xdr:colOff>
      <xdr:row>217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214</xdr:row>
      <xdr:rowOff>18345</xdr:rowOff>
    </xdr:from>
    <xdr:to>
      <xdr:col>20</xdr:col>
      <xdr:colOff>39510</xdr:colOff>
      <xdr:row>217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214</xdr:row>
      <xdr:rowOff>16020</xdr:rowOff>
    </xdr:from>
    <xdr:to>
      <xdr:col>22</xdr:col>
      <xdr:colOff>31461</xdr:colOff>
      <xdr:row>216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4233</xdr:rowOff>
    </xdr:from>
    <xdr:to>
      <xdr:col>24</xdr:col>
      <xdr:colOff>46570</xdr:colOff>
      <xdr:row>216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214</xdr:row>
      <xdr:rowOff>13304</xdr:rowOff>
    </xdr:from>
    <xdr:to>
      <xdr:col>28</xdr:col>
      <xdr:colOff>46570</xdr:colOff>
      <xdr:row>217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13304</xdr:rowOff>
    </xdr:from>
    <xdr:to>
      <xdr:col>24</xdr:col>
      <xdr:colOff>46569</xdr:colOff>
      <xdr:row>217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214</xdr:row>
      <xdr:rowOff>15522</xdr:rowOff>
    </xdr:from>
    <xdr:to>
      <xdr:col>26</xdr:col>
      <xdr:colOff>43746</xdr:colOff>
      <xdr:row>217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214</xdr:row>
      <xdr:rowOff>7056</xdr:rowOff>
    </xdr:from>
    <xdr:to>
      <xdr:col>30</xdr:col>
      <xdr:colOff>42332</xdr:colOff>
      <xdr:row>217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224</xdr:row>
      <xdr:rowOff>159859</xdr:rowOff>
    </xdr:from>
    <xdr:to>
      <xdr:col>2</xdr:col>
      <xdr:colOff>17739</xdr:colOff>
      <xdr:row>227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225</xdr:row>
      <xdr:rowOff>7056</xdr:rowOff>
    </xdr:from>
    <xdr:to>
      <xdr:col>4</xdr:col>
      <xdr:colOff>42332</xdr:colOff>
      <xdr:row>228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225</xdr:row>
      <xdr:rowOff>18345</xdr:rowOff>
    </xdr:from>
    <xdr:to>
      <xdr:col>6</xdr:col>
      <xdr:colOff>39510</xdr:colOff>
      <xdr:row>228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225</xdr:row>
      <xdr:rowOff>7056</xdr:rowOff>
    </xdr:from>
    <xdr:to>
      <xdr:col>8</xdr:col>
      <xdr:colOff>42332</xdr:colOff>
      <xdr:row>228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225</xdr:row>
      <xdr:rowOff>18345</xdr:rowOff>
    </xdr:from>
    <xdr:to>
      <xdr:col>10</xdr:col>
      <xdr:colOff>39510</xdr:colOff>
      <xdr:row>228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225</xdr:row>
      <xdr:rowOff>7055</xdr:rowOff>
    </xdr:from>
    <xdr:to>
      <xdr:col>12</xdr:col>
      <xdr:colOff>49392</xdr:colOff>
      <xdr:row>228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4233</xdr:rowOff>
    </xdr:from>
    <xdr:to>
      <xdr:col>14</xdr:col>
      <xdr:colOff>46570</xdr:colOff>
      <xdr:row>227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225</xdr:row>
      <xdr:rowOff>13304</xdr:rowOff>
    </xdr:from>
    <xdr:to>
      <xdr:col>18</xdr:col>
      <xdr:colOff>46570</xdr:colOff>
      <xdr:row>228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13304</xdr:rowOff>
    </xdr:from>
    <xdr:to>
      <xdr:col>14</xdr:col>
      <xdr:colOff>46569</xdr:colOff>
      <xdr:row>228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225</xdr:row>
      <xdr:rowOff>15522</xdr:rowOff>
    </xdr:from>
    <xdr:to>
      <xdr:col>16</xdr:col>
      <xdr:colOff>43746</xdr:colOff>
      <xdr:row>228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225</xdr:row>
      <xdr:rowOff>7056</xdr:rowOff>
    </xdr:from>
    <xdr:to>
      <xdr:col>20</xdr:col>
      <xdr:colOff>42332</xdr:colOff>
      <xdr:row>228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225</xdr:row>
      <xdr:rowOff>18345</xdr:rowOff>
    </xdr:from>
    <xdr:to>
      <xdr:col>22</xdr:col>
      <xdr:colOff>39510</xdr:colOff>
      <xdr:row>228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225</xdr:row>
      <xdr:rowOff>7056</xdr:rowOff>
    </xdr:from>
    <xdr:to>
      <xdr:col>24</xdr:col>
      <xdr:colOff>42332</xdr:colOff>
      <xdr:row>228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225</xdr:row>
      <xdr:rowOff>18345</xdr:rowOff>
    </xdr:from>
    <xdr:to>
      <xdr:col>26</xdr:col>
      <xdr:colOff>39510</xdr:colOff>
      <xdr:row>228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225</xdr:row>
      <xdr:rowOff>7056</xdr:rowOff>
    </xdr:from>
    <xdr:to>
      <xdr:col>28</xdr:col>
      <xdr:colOff>42332</xdr:colOff>
      <xdr:row>228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225</xdr:row>
      <xdr:rowOff>18345</xdr:rowOff>
    </xdr:from>
    <xdr:to>
      <xdr:col>30</xdr:col>
      <xdr:colOff>39510</xdr:colOff>
      <xdr:row>228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213</xdr:row>
      <xdr:rowOff>173181</xdr:rowOff>
    </xdr:from>
    <xdr:to>
      <xdr:col>3</xdr:col>
      <xdr:colOff>294410</xdr:colOff>
      <xdr:row>214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213</xdr:row>
      <xdr:rowOff>173181</xdr:rowOff>
    </xdr:from>
    <xdr:to>
      <xdr:col>5</xdr:col>
      <xdr:colOff>294410</xdr:colOff>
      <xdr:row>214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213</xdr:row>
      <xdr:rowOff>173181</xdr:rowOff>
    </xdr:from>
    <xdr:to>
      <xdr:col>7</xdr:col>
      <xdr:colOff>294410</xdr:colOff>
      <xdr:row>214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213</xdr:row>
      <xdr:rowOff>173181</xdr:rowOff>
    </xdr:from>
    <xdr:to>
      <xdr:col>9</xdr:col>
      <xdr:colOff>294410</xdr:colOff>
      <xdr:row>214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213</xdr:row>
      <xdr:rowOff>173181</xdr:rowOff>
    </xdr:from>
    <xdr:to>
      <xdr:col>19</xdr:col>
      <xdr:colOff>294410</xdr:colOff>
      <xdr:row>214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213</xdr:row>
      <xdr:rowOff>173181</xdr:rowOff>
    </xdr:from>
    <xdr:to>
      <xdr:col>31</xdr:col>
      <xdr:colOff>294410</xdr:colOff>
      <xdr:row>214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224</xdr:row>
      <xdr:rowOff>173181</xdr:rowOff>
    </xdr:from>
    <xdr:to>
      <xdr:col>3</xdr:col>
      <xdr:colOff>294410</xdr:colOff>
      <xdr:row>225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224</xdr:row>
      <xdr:rowOff>173181</xdr:rowOff>
    </xdr:from>
    <xdr:to>
      <xdr:col>31</xdr:col>
      <xdr:colOff>294410</xdr:colOff>
      <xdr:row>225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213</xdr:row>
      <xdr:rowOff>159455</xdr:rowOff>
    </xdr:from>
    <xdr:to>
      <xdr:col>2</xdr:col>
      <xdr:colOff>32743</xdr:colOff>
      <xdr:row>216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214</xdr:row>
      <xdr:rowOff>4233</xdr:rowOff>
    </xdr:from>
    <xdr:to>
      <xdr:col>4</xdr:col>
      <xdr:colOff>73463</xdr:colOff>
      <xdr:row>216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214</xdr:row>
      <xdr:rowOff>7056</xdr:rowOff>
    </xdr:from>
    <xdr:to>
      <xdr:col>10</xdr:col>
      <xdr:colOff>45413</xdr:colOff>
      <xdr:row>217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214</xdr:row>
      <xdr:rowOff>18345</xdr:rowOff>
    </xdr:from>
    <xdr:to>
      <xdr:col>12</xdr:col>
      <xdr:colOff>66404</xdr:colOff>
      <xdr:row>217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214</xdr:row>
      <xdr:rowOff>7056</xdr:rowOff>
    </xdr:from>
    <xdr:to>
      <xdr:col>14</xdr:col>
      <xdr:colOff>69226</xdr:colOff>
      <xdr:row>217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214</xdr:row>
      <xdr:rowOff>7056</xdr:rowOff>
    </xdr:from>
    <xdr:to>
      <xdr:col>18</xdr:col>
      <xdr:colOff>69226</xdr:colOff>
      <xdr:row>217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214</xdr:row>
      <xdr:rowOff>8964</xdr:rowOff>
    </xdr:from>
    <xdr:to>
      <xdr:col>16</xdr:col>
      <xdr:colOff>29467</xdr:colOff>
      <xdr:row>217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237</xdr:row>
      <xdr:rowOff>111557</xdr:rowOff>
    </xdr:from>
    <xdr:to>
      <xdr:col>4</xdr:col>
      <xdr:colOff>59986</xdr:colOff>
      <xdr:row>240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238</xdr:row>
      <xdr:rowOff>13304</xdr:rowOff>
    </xdr:from>
    <xdr:to>
      <xdr:col>8</xdr:col>
      <xdr:colOff>46570</xdr:colOff>
      <xdr:row>241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238</xdr:row>
      <xdr:rowOff>15522</xdr:rowOff>
    </xdr:from>
    <xdr:to>
      <xdr:col>6</xdr:col>
      <xdr:colOff>43746</xdr:colOff>
      <xdr:row>241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238</xdr:row>
      <xdr:rowOff>18345</xdr:rowOff>
    </xdr:from>
    <xdr:to>
      <xdr:col>20</xdr:col>
      <xdr:colOff>39510</xdr:colOff>
      <xdr:row>241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238</xdr:row>
      <xdr:rowOff>7055</xdr:rowOff>
    </xdr:from>
    <xdr:to>
      <xdr:col>22</xdr:col>
      <xdr:colOff>49392</xdr:colOff>
      <xdr:row>241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4233</xdr:rowOff>
    </xdr:from>
    <xdr:to>
      <xdr:col>24</xdr:col>
      <xdr:colOff>46570</xdr:colOff>
      <xdr:row>240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238</xdr:row>
      <xdr:rowOff>13304</xdr:rowOff>
    </xdr:from>
    <xdr:to>
      <xdr:col>28</xdr:col>
      <xdr:colOff>46570</xdr:colOff>
      <xdr:row>241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13304</xdr:rowOff>
    </xdr:from>
    <xdr:to>
      <xdr:col>24</xdr:col>
      <xdr:colOff>46569</xdr:colOff>
      <xdr:row>241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238</xdr:row>
      <xdr:rowOff>15522</xdr:rowOff>
    </xdr:from>
    <xdr:to>
      <xdr:col>26</xdr:col>
      <xdr:colOff>43746</xdr:colOff>
      <xdr:row>241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238</xdr:row>
      <xdr:rowOff>7056</xdr:rowOff>
    </xdr:from>
    <xdr:to>
      <xdr:col>30</xdr:col>
      <xdr:colOff>42332</xdr:colOff>
      <xdr:row>241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260</xdr:row>
      <xdr:rowOff>159859</xdr:rowOff>
    </xdr:from>
    <xdr:to>
      <xdr:col>2</xdr:col>
      <xdr:colOff>17739</xdr:colOff>
      <xdr:row>263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261</xdr:row>
      <xdr:rowOff>7056</xdr:rowOff>
    </xdr:from>
    <xdr:to>
      <xdr:col>4</xdr:col>
      <xdr:colOff>42332</xdr:colOff>
      <xdr:row>264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261</xdr:row>
      <xdr:rowOff>18345</xdr:rowOff>
    </xdr:from>
    <xdr:to>
      <xdr:col>6</xdr:col>
      <xdr:colOff>39510</xdr:colOff>
      <xdr:row>264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261</xdr:row>
      <xdr:rowOff>7056</xdr:rowOff>
    </xdr:from>
    <xdr:to>
      <xdr:col>8</xdr:col>
      <xdr:colOff>42332</xdr:colOff>
      <xdr:row>264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261</xdr:row>
      <xdr:rowOff>18345</xdr:rowOff>
    </xdr:from>
    <xdr:to>
      <xdr:col>10</xdr:col>
      <xdr:colOff>39510</xdr:colOff>
      <xdr:row>264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261</xdr:row>
      <xdr:rowOff>7055</xdr:rowOff>
    </xdr:from>
    <xdr:to>
      <xdr:col>12</xdr:col>
      <xdr:colOff>49392</xdr:colOff>
      <xdr:row>264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4233</xdr:rowOff>
    </xdr:from>
    <xdr:to>
      <xdr:col>14</xdr:col>
      <xdr:colOff>46570</xdr:colOff>
      <xdr:row>263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261</xdr:row>
      <xdr:rowOff>13304</xdr:rowOff>
    </xdr:from>
    <xdr:to>
      <xdr:col>18</xdr:col>
      <xdr:colOff>46570</xdr:colOff>
      <xdr:row>264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13304</xdr:rowOff>
    </xdr:from>
    <xdr:to>
      <xdr:col>14</xdr:col>
      <xdr:colOff>46569</xdr:colOff>
      <xdr:row>264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261</xdr:row>
      <xdr:rowOff>15522</xdr:rowOff>
    </xdr:from>
    <xdr:to>
      <xdr:col>16</xdr:col>
      <xdr:colOff>43746</xdr:colOff>
      <xdr:row>264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261</xdr:row>
      <xdr:rowOff>7056</xdr:rowOff>
    </xdr:from>
    <xdr:to>
      <xdr:col>20</xdr:col>
      <xdr:colOff>42332</xdr:colOff>
      <xdr:row>264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261</xdr:row>
      <xdr:rowOff>18345</xdr:rowOff>
    </xdr:from>
    <xdr:to>
      <xdr:col>22</xdr:col>
      <xdr:colOff>39510</xdr:colOff>
      <xdr:row>264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261</xdr:row>
      <xdr:rowOff>7056</xdr:rowOff>
    </xdr:from>
    <xdr:to>
      <xdr:col>24</xdr:col>
      <xdr:colOff>42332</xdr:colOff>
      <xdr:row>264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261</xdr:row>
      <xdr:rowOff>18345</xdr:rowOff>
    </xdr:from>
    <xdr:to>
      <xdr:col>26</xdr:col>
      <xdr:colOff>39510</xdr:colOff>
      <xdr:row>264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261</xdr:row>
      <xdr:rowOff>7056</xdr:rowOff>
    </xdr:from>
    <xdr:to>
      <xdr:col>28</xdr:col>
      <xdr:colOff>42332</xdr:colOff>
      <xdr:row>264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261</xdr:row>
      <xdr:rowOff>18345</xdr:rowOff>
    </xdr:from>
    <xdr:to>
      <xdr:col>30</xdr:col>
      <xdr:colOff>39510</xdr:colOff>
      <xdr:row>264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237</xdr:row>
      <xdr:rowOff>173181</xdr:rowOff>
    </xdr:from>
    <xdr:to>
      <xdr:col>3</xdr:col>
      <xdr:colOff>294410</xdr:colOff>
      <xdr:row>238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237</xdr:row>
      <xdr:rowOff>173181</xdr:rowOff>
    </xdr:from>
    <xdr:to>
      <xdr:col>13</xdr:col>
      <xdr:colOff>294410</xdr:colOff>
      <xdr:row>238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237</xdr:row>
      <xdr:rowOff>173181</xdr:rowOff>
    </xdr:from>
    <xdr:to>
      <xdr:col>27</xdr:col>
      <xdr:colOff>294410</xdr:colOff>
      <xdr:row>238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237</xdr:row>
      <xdr:rowOff>173181</xdr:rowOff>
    </xdr:from>
    <xdr:to>
      <xdr:col>29</xdr:col>
      <xdr:colOff>294410</xdr:colOff>
      <xdr:row>238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237</xdr:row>
      <xdr:rowOff>173181</xdr:rowOff>
    </xdr:from>
    <xdr:to>
      <xdr:col>31</xdr:col>
      <xdr:colOff>294410</xdr:colOff>
      <xdr:row>238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260</xdr:row>
      <xdr:rowOff>173181</xdr:rowOff>
    </xdr:from>
    <xdr:to>
      <xdr:col>3</xdr:col>
      <xdr:colOff>294410</xdr:colOff>
      <xdr:row>261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260</xdr:row>
      <xdr:rowOff>173181</xdr:rowOff>
    </xdr:from>
    <xdr:to>
      <xdr:col>5</xdr:col>
      <xdr:colOff>294410</xdr:colOff>
      <xdr:row>261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260</xdr:row>
      <xdr:rowOff>173181</xdr:rowOff>
    </xdr:from>
    <xdr:to>
      <xdr:col>7</xdr:col>
      <xdr:colOff>294410</xdr:colOff>
      <xdr:row>261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260</xdr:row>
      <xdr:rowOff>173181</xdr:rowOff>
    </xdr:from>
    <xdr:to>
      <xdr:col>9</xdr:col>
      <xdr:colOff>294410</xdr:colOff>
      <xdr:row>261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260</xdr:row>
      <xdr:rowOff>173181</xdr:rowOff>
    </xdr:from>
    <xdr:to>
      <xdr:col>11</xdr:col>
      <xdr:colOff>294410</xdr:colOff>
      <xdr:row>261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260</xdr:row>
      <xdr:rowOff>173181</xdr:rowOff>
    </xdr:from>
    <xdr:to>
      <xdr:col>13</xdr:col>
      <xdr:colOff>294410</xdr:colOff>
      <xdr:row>261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260</xdr:row>
      <xdr:rowOff>173181</xdr:rowOff>
    </xdr:from>
    <xdr:to>
      <xdr:col>15</xdr:col>
      <xdr:colOff>294410</xdr:colOff>
      <xdr:row>261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260</xdr:row>
      <xdr:rowOff>173181</xdr:rowOff>
    </xdr:from>
    <xdr:to>
      <xdr:col>17</xdr:col>
      <xdr:colOff>294410</xdr:colOff>
      <xdr:row>261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260</xdr:row>
      <xdr:rowOff>173181</xdr:rowOff>
    </xdr:from>
    <xdr:to>
      <xdr:col>19</xdr:col>
      <xdr:colOff>294410</xdr:colOff>
      <xdr:row>261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260</xdr:row>
      <xdr:rowOff>173181</xdr:rowOff>
    </xdr:from>
    <xdr:to>
      <xdr:col>21</xdr:col>
      <xdr:colOff>294410</xdr:colOff>
      <xdr:row>261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260</xdr:row>
      <xdr:rowOff>173181</xdr:rowOff>
    </xdr:from>
    <xdr:to>
      <xdr:col>23</xdr:col>
      <xdr:colOff>294410</xdr:colOff>
      <xdr:row>261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260</xdr:row>
      <xdr:rowOff>173181</xdr:rowOff>
    </xdr:from>
    <xdr:to>
      <xdr:col>25</xdr:col>
      <xdr:colOff>294410</xdr:colOff>
      <xdr:row>261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260</xdr:row>
      <xdr:rowOff>173181</xdr:rowOff>
    </xdr:from>
    <xdr:to>
      <xdr:col>27</xdr:col>
      <xdr:colOff>294410</xdr:colOff>
      <xdr:row>261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260</xdr:row>
      <xdr:rowOff>173181</xdr:rowOff>
    </xdr:from>
    <xdr:to>
      <xdr:col>29</xdr:col>
      <xdr:colOff>294410</xdr:colOff>
      <xdr:row>261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260</xdr:row>
      <xdr:rowOff>173181</xdr:rowOff>
    </xdr:from>
    <xdr:to>
      <xdr:col>31</xdr:col>
      <xdr:colOff>294410</xdr:colOff>
      <xdr:row>261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237</xdr:row>
      <xdr:rowOff>159455</xdr:rowOff>
    </xdr:from>
    <xdr:to>
      <xdr:col>2</xdr:col>
      <xdr:colOff>32743</xdr:colOff>
      <xdr:row>240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238</xdr:row>
      <xdr:rowOff>7056</xdr:rowOff>
    </xdr:from>
    <xdr:to>
      <xdr:col>10</xdr:col>
      <xdr:colOff>69226</xdr:colOff>
      <xdr:row>241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238</xdr:row>
      <xdr:rowOff>18345</xdr:rowOff>
    </xdr:from>
    <xdr:to>
      <xdr:col>12</xdr:col>
      <xdr:colOff>66404</xdr:colOff>
      <xdr:row>241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238</xdr:row>
      <xdr:rowOff>7056</xdr:rowOff>
    </xdr:from>
    <xdr:to>
      <xdr:col>14</xdr:col>
      <xdr:colOff>47454</xdr:colOff>
      <xdr:row>241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238</xdr:row>
      <xdr:rowOff>7056</xdr:rowOff>
    </xdr:from>
    <xdr:to>
      <xdr:col>18</xdr:col>
      <xdr:colOff>69226</xdr:colOff>
      <xdr:row>241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238</xdr:row>
      <xdr:rowOff>8964</xdr:rowOff>
    </xdr:from>
    <xdr:to>
      <xdr:col>16</xdr:col>
      <xdr:colOff>29467</xdr:colOff>
      <xdr:row>241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238169</xdr:colOff>
      <xdr:row>64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1959167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62</xdr:row>
      <xdr:rowOff>0</xdr:rowOff>
    </xdr:from>
    <xdr:to>
      <xdr:col>30</xdr:col>
      <xdr:colOff>238169</xdr:colOff>
      <xdr:row>64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1959167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238169</xdr:colOff>
      <xdr:row>64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1959167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238169</xdr:colOff>
      <xdr:row>51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694333"/>
          <a:ext cx="238169" cy="3387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238169</xdr:colOff>
      <xdr:row>64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1959167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50</xdr:row>
      <xdr:rowOff>29051</xdr:rowOff>
    </xdr:from>
    <xdr:to>
      <xdr:col>14</xdr:col>
      <xdr:colOff>244501</xdr:colOff>
      <xdr:row>52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9892718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74</xdr:row>
      <xdr:rowOff>153547</xdr:rowOff>
    </xdr:from>
    <xdr:to>
      <xdr:col>24</xdr:col>
      <xdr:colOff>238177</xdr:colOff>
      <xdr:row>76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176464"/>
          <a:ext cx="238169" cy="33204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230</xdr:row>
      <xdr:rowOff>2</xdr:rowOff>
    </xdr:from>
    <xdr:to>
      <xdr:col>30</xdr:col>
      <xdr:colOff>238169</xdr:colOff>
      <xdr:row>232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618835"/>
          <a:ext cx="238169" cy="338716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127635</xdr:rowOff>
    </xdr:from>
    <xdr:to>
      <xdr:col>26</xdr:col>
      <xdr:colOff>238169</xdr:colOff>
      <xdr:row>64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1917468"/>
          <a:ext cx="238169" cy="392903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238169</xdr:colOff>
      <xdr:row>76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022917"/>
          <a:ext cx="238169" cy="33871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49</xdr:row>
      <xdr:rowOff>107154</xdr:rowOff>
    </xdr:from>
    <xdr:to>
      <xdr:col>20</xdr:col>
      <xdr:colOff>238169</xdr:colOff>
      <xdr:row>51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801487"/>
          <a:ext cx="238169" cy="3320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62</xdr:row>
      <xdr:rowOff>35717</xdr:rowOff>
    </xdr:from>
    <xdr:to>
      <xdr:col>28</xdr:col>
      <xdr:colOff>238169</xdr:colOff>
      <xdr:row>64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1994884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45</xdr:row>
      <xdr:rowOff>11909</xdr:rowOff>
    </xdr:from>
    <xdr:to>
      <xdr:col>20</xdr:col>
      <xdr:colOff>30868</xdr:colOff>
      <xdr:row>48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74</xdr:row>
      <xdr:rowOff>23812</xdr:rowOff>
    </xdr:from>
    <xdr:to>
      <xdr:col>18</xdr:col>
      <xdr:colOff>238169</xdr:colOff>
      <xdr:row>76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046729"/>
          <a:ext cx="238169" cy="33204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56</xdr:row>
      <xdr:rowOff>154785</xdr:rowOff>
    </xdr:from>
    <xdr:to>
      <xdr:col>3</xdr:col>
      <xdr:colOff>554744</xdr:colOff>
      <xdr:row>59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45</xdr:row>
      <xdr:rowOff>9531</xdr:rowOff>
    </xdr:from>
    <xdr:to>
      <xdr:col>20</xdr:col>
      <xdr:colOff>40393</xdr:colOff>
      <xdr:row>48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95248</xdr:rowOff>
    </xdr:from>
    <xdr:to>
      <xdr:col>10</xdr:col>
      <xdr:colOff>238169</xdr:colOff>
      <xdr:row>76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118165"/>
          <a:ext cx="238169" cy="33204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193</xdr:row>
      <xdr:rowOff>119060</xdr:rowOff>
    </xdr:from>
    <xdr:to>
      <xdr:col>6</xdr:col>
      <xdr:colOff>238169</xdr:colOff>
      <xdr:row>195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472560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56</xdr:row>
      <xdr:rowOff>140501</xdr:rowOff>
    </xdr:from>
    <xdr:to>
      <xdr:col>4</xdr:col>
      <xdr:colOff>15564</xdr:colOff>
      <xdr:row>59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45</xdr:row>
      <xdr:rowOff>26106</xdr:rowOff>
    </xdr:from>
    <xdr:to>
      <xdr:col>2</xdr:col>
      <xdr:colOff>38049</xdr:colOff>
      <xdr:row>48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44</xdr:row>
      <xdr:rowOff>154785</xdr:rowOff>
    </xdr:from>
    <xdr:to>
      <xdr:col>30</xdr:col>
      <xdr:colOff>30868</xdr:colOff>
      <xdr:row>47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92</xdr:row>
      <xdr:rowOff>2</xdr:rowOff>
    </xdr:from>
    <xdr:to>
      <xdr:col>26</xdr:col>
      <xdr:colOff>42774</xdr:colOff>
      <xdr:row>95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57</xdr:row>
      <xdr:rowOff>2</xdr:rowOff>
    </xdr:from>
    <xdr:to>
      <xdr:col>28</xdr:col>
      <xdr:colOff>30868</xdr:colOff>
      <xdr:row>60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229</xdr:row>
      <xdr:rowOff>136742</xdr:rowOff>
    </xdr:from>
    <xdr:to>
      <xdr:col>18</xdr:col>
      <xdr:colOff>238169</xdr:colOff>
      <xdr:row>231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586242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229</xdr:row>
      <xdr:rowOff>148648</xdr:rowOff>
    </xdr:from>
    <xdr:to>
      <xdr:col>28</xdr:col>
      <xdr:colOff>238169</xdr:colOff>
      <xdr:row>231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598148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45</xdr:row>
      <xdr:rowOff>11820</xdr:rowOff>
    </xdr:from>
    <xdr:to>
      <xdr:col>2</xdr:col>
      <xdr:colOff>35670</xdr:colOff>
      <xdr:row>48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44</xdr:row>
      <xdr:rowOff>164313</xdr:rowOff>
    </xdr:from>
    <xdr:to>
      <xdr:col>30</xdr:col>
      <xdr:colOff>40396</xdr:colOff>
      <xdr:row>48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57</xdr:row>
      <xdr:rowOff>9530</xdr:rowOff>
    </xdr:from>
    <xdr:to>
      <xdr:col>20</xdr:col>
      <xdr:colOff>40381</xdr:colOff>
      <xdr:row>60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57</xdr:row>
      <xdr:rowOff>9427</xdr:rowOff>
    </xdr:from>
    <xdr:to>
      <xdr:col>28</xdr:col>
      <xdr:colOff>33296</xdr:colOff>
      <xdr:row>60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862</xdr:rowOff>
    </xdr:from>
    <xdr:to>
      <xdr:col>14</xdr:col>
      <xdr:colOff>52303</xdr:colOff>
      <xdr:row>60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56</xdr:row>
      <xdr:rowOff>161933</xdr:rowOff>
    </xdr:from>
    <xdr:to>
      <xdr:col>20</xdr:col>
      <xdr:colOff>38003</xdr:colOff>
      <xdr:row>59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56</xdr:row>
      <xdr:rowOff>149925</xdr:rowOff>
    </xdr:from>
    <xdr:to>
      <xdr:col>30</xdr:col>
      <xdr:colOff>42814</xdr:colOff>
      <xdr:row>59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56</xdr:row>
      <xdr:rowOff>164311</xdr:rowOff>
    </xdr:from>
    <xdr:to>
      <xdr:col>22</xdr:col>
      <xdr:colOff>28473</xdr:colOff>
      <xdr:row>60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74</xdr:row>
      <xdr:rowOff>35718</xdr:rowOff>
    </xdr:from>
    <xdr:to>
      <xdr:col>16</xdr:col>
      <xdr:colOff>238169</xdr:colOff>
      <xdr:row>76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058635"/>
          <a:ext cx="238169" cy="33204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62</xdr:row>
      <xdr:rowOff>11902</xdr:rowOff>
    </xdr:from>
    <xdr:to>
      <xdr:col>10</xdr:col>
      <xdr:colOff>238169</xdr:colOff>
      <xdr:row>64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1971069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57</xdr:row>
      <xdr:rowOff>2</xdr:rowOff>
    </xdr:from>
    <xdr:to>
      <xdr:col>2</xdr:col>
      <xdr:colOff>14994</xdr:colOff>
      <xdr:row>60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47624</xdr:rowOff>
    </xdr:from>
    <xdr:to>
      <xdr:col>2</xdr:col>
      <xdr:colOff>238169</xdr:colOff>
      <xdr:row>76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070541"/>
          <a:ext cx="238169" cy="33204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83342</xdr:rowOff>
    </xdr:from>
    <xdr:to>
      <xdr:col>12</xdr:col>
      <xdr:colOff>238169</xdr:colOff>
      <xdr:row>76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106259"/>
          <a:ext cx="238169" cy="33204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74</xdr:row>
      <xdr:rowOff>59530</xdr:rowOff>
    </xdr:from>
    <xdr:to>
      <xdr:col>22</xdr:col>
      <xdr:colOff>238169</xdr:colOff>
      <xdr:row>76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082447"/>
          <a:ext cx="238169" cy="33204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70</xdr:row>
      <xdr:rowOff>3</xdr:rowOff>
    </xdr:from>
    <xdr:to>
      <xdr:col>26</xdr:col>
      <xdr:colOff>42774</xdr:colOff>
      <xdr:row>73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56</xdr:row>
      <xdr:rowOff>164327</xdr:rowOff>
    </xdr:from>
    <xdr:to>
      <xdr:col>12</xdr:col>
      <xdr:colOff>40365</xdr:colOff>
      <xdr:row>60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230</xdr:row>
      <xdr:rowOff>14432</xdr:rowOff>
    </xdr:from>
    <xdr:to>
      <xdr:col>24</xdr:col>
      <xdr:colOff>238169</xdr:colOff>
      <xdr:row>232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633265"/>
          <a:ext cx="238169" cy="338716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242</xdr:row>
      <xdr:rowOff>163080</xdr:rowOff>
    </xdr:from>
    <xdr:to>
      <xdr:col>16</xdr:col>
      <xdr:colOff>238169</xdr:colOff>
      <xdr:row>244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813913"/>
          <a:ext cx="238169" cy="332048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74</xdr:row>
      <xdr:rowOff>80964</xdr:rowOff>
    </xdr:from>
    <xdr:to>
      <xdr:col>20</xdr:col>
      <xdr:colOff>247700</xdr:colOff>
      <xdr:row>76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103881"/>
          <a:ext cx="238169" cy="33204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57</xdr:row>
      <xdr:rowOff>11910</xdr:rowOff>
    </xdr:from>
    <xdr:to>
      <xdr:col>8</xdr:col>
      <xdr:colOff>42774</xdr:colOff>
      <xdr:row>60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45</xdr:row>
      <xdr:rowOff>7151</xdr:rowOff>
    </xdr:from>
    <xdr:to>
      <xdr:col>28</xdr:col>
      <xdr:colOff>26108</xdr:colOff>
      <xdr:row>48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238</xdr:row>
      <xdr:rowOff>23815</xdr:rowOff>
    </xdr:from>
    <xdr:to>
      <xdr:col>16</xdr:col>
      <xdr:colOff>30868</xdr:colOff>
      <xdr:row>241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107</xdr:row>
      <xdr:rowOff>116685</xdr:rowOff>
    </xdr:from>
    <xdr:to>
      <xdr:col>14</xdr:col>
      <xdr:colOff>247665</xdr:colOff>
      <xdr:row>109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19833435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69</xdr:row>
      <xdr:rowOff>164303</xdr:rowOff>
    </xdr:from>
    <xdr:to>
      <xdr:col>10</xdr:col>
      <xdr:colOff>40387</xdr:colOff>
      <xdr:row>73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108</xdr:row>
      <xdr:rowOff>958</xdr:rowOff>
    </xdr:from>
    <xdr:to>
      <xdr:col>10</xdr:col>
      <xdr:colOff>233382</xdr:colOff>
      <xdr:row>110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19887041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74</xdr:row>
      <xdr:rowOff>52224</xdr:rowOff>
    </xdr:from>
    <xdr:to>
      <xdr:col>4</xdr:col>
      <xdr:colOff>259188</xdr:colOff>
      <xdr:row>76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075141"/>
          <a:ext cx="238169" cy="33204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74</xdr:row>
      <xdr:rowOff>56825</xdr:rowOff>
    </xdr:from>
    <xdr:to>
      <xdr:col>6</xdr:col>
      <xdr:colOff>230938</xdr:colOff>
      <xdr:row>76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079742"/>
          <a:ext cx="272474" cy="33204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49</xdr:row>
      <xdr:rowOff>119560</xdr:rowOff>
    </xdr:from>
    <xdr:to>
      <xdr:col>12</xdr:col>
      <xdr:colOff>226343</xdr:colOff>
      <xdr:row>51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813893"/>
          <a:ext cx="272473" cy="3387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74</xdr:row>
      <xdr:rowOff>158147</xdr:rowOff>
    </xdr:from>
    <xdr:to>
      <xdr:col>26</xdr:col>
      <xdr:colOff>259197</xdr:colOff>
      <xdr:row>76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181064"/>
          <a:ext cx="238169" cy="33204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75</xdr:row>
      <xdr:rowOff>14946</xdr:rowOff>
    </xdr:from>
    <xdr:to>
      <xdr:col>30</xdr:col>
      <xdr:colOff>247365</xdr:colOff>
      <xdr:row>77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207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85</xdr:row>
      <xdr:rowOff>134504</xdr:rowOff>
    </xdr:from>
    <xdr:to>
      <xdr:col>2</xdr:col>
      <xdr:colOff>235540</xdr:colOff>
      <xdr:row>87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051837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86</xdr:row>
      <xdr:rowOff>7726</xdr:rowOff>
    </xdr:from>
    <xdr:to>
      <xdr:col>4</xdr:col>
      <xdr:colOff>256561</xdr:colOff>
      <xdr:row>88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104976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96</xdr:row>
      <xdr:rowOff>135978</xdr:rowOff>
    </xdr:from>
    <xdr:to>
      <xdr:col>18</xdr:col>
      <xdr:colOff>259186</xdr:colOff>
      <xdr:row>98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7968895"/>
          <a:ext cx="238169" cy="33871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229</xdr:row>
      <xdr:rowOff>169323</xdr:rowOff>
    </xdr:from>
    <xdr:to>
      <xdr:col>26</xdr:col>
      <xdr:colOff>242764</xdr:colOff>
      <xdr:row>231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618823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242</xdr:row>
      <xdr:rowOff>85068</xdr:rowOff>
    </xdr:from>
    <xdr:to>
      <xdr:col>6</xdr:col>
      <xdr:colOff>242783</xdr:colOff>
      <xdr:row>244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735901"/>
          <a:ext cx="238169" cy="332048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229</xdr:row>
      <xdr:rowOff>152901</xdr:rowOff>
    </xdr:from>
    <xdr:to>
      <xdr:col>22</xdr:col>
      <xdr:colOff>242774</xdr:colOff>
      <xdr:row>231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602401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70</xdr:row>
      <xdr:rowOff>14010</xdr:rowOff>
    </xdr:from>
    <xdr:to>
      <xdr:col>6</xdr:col>
      <xdr:colOff>42266</xdr:colOff>
      <xdr:row>73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242</xdr:row>
      <xdr:rowOff>138935</xdr:rowOff>
    </xdr:from>
    <xdr:to>
      <xdr:col>4</xdr:col>
      <xdr:colOff>230961</xdr:colOff>
      <xdr:row>244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789768"/>
          <a:ext cx="272474" cy="332048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49</xdr:row>
      <xdr:rowOff>128178</xdr:rowOff>
    </xdr:from>
    <xdr:to>
      <xdr:col>22</xdr:col>
      <xdr:colOff>259185</xdr:colOff>
      <xdr:row>51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822511"/>
          <a:ext cx="238169" cy="3320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49</xdr:row>
      <xdr:rowOff>148607</xdr:rowOff>
    </xdr:from>
    <xdr:to>
      <xdr:col>16</xdr:col>
      <xdr:colOff>232681</xdr:colOff>
      <xdr:row>51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9842940"/>
          <a:ext cx="272474" cy="3320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242</xdr:row>
      <xdr:rowOff>138062</xdr:rowOff>
    </xdr:from>
    <xdr:to>
      <xdr:col>2</xdr:col>
      <xdr:colOff>284830</xdr:colOff>
      <xdr:row>244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788895"/>
          <a:ext cx="271014" cy="332048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164</xdr:row>
      <xdr:rowOff>7055</xdr:rowOff>
    </xdr:from>
    <xdr:to>
      <xdr:col>24</xdr:col>
      <xdr:colOff>94696</xdr:colOff>
      <xdr:row>167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4233</xdr:rowOff>
    </xdr:from>
    <xdr:to>
      <xdr:col>26</xdr:col>
      <xdr:colOff>46570</xdr:colOff>
      <xdr:row>166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164</xdr:row>
      <xdr:rowOff>13304</xdr:rowOff>
    </xdr:from>
    <xdr:to>
      <xdr:col>30</xdr:col>
      <xdr:colOff>46570</xdr:colOff>
      <xdr:row>167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13304</xdr:rowOff>
    </xdr:from>
    <xdr:to>
      <xdr:col>26</xdr:col>
      <xdr:colOff>46569</xdr:colOff>
      <xdr:row>167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164</xdr:row>
      <xdr:rowOff>15522</xdr:rowOff>
    </xdr:from>
    <xdr:to>
      <xdr:col>28</xdr:col>
      <xdr:colOff>64912</xdr:colOff>
      <xdr:row>167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176</xdr:row>
      <xdr:rowOff>7056</xdr:rowOff>
    </xdr:from>
    <xdr:to>
      <xdr:col>2</xdr:col>
      <xdr:colOff>42332</xdr:colOff>
      <xdr:row>179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176</xdr:row>
      <xdr:rowOff>18345</xdr:rowOff>
    </xdr:from>
    <xdr:to>
      <xdr:col>4</xdr:col>
      <xdr:colOff>39510</xdr:colOff>
      <xdr:row>179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176</xdr:row>
      <xdr:rowOff>7056</xdr:rowOff>
    </xdr:from>
    <xdr:to>
      <xdr:col>6</xdr:col>
      <xdr:colOff>42332</xdr:colOff>
      <xdr:row>179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176</xdr:row>
      <xdr:rowOff>18345</xdr:rowOff>
    </xdr:from>
    <xdr:to>
      <xdr:col>8</xdr:col>
      <xdr:colOff>39510</xdr:colOff>
      <xdr:row>179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176</xdr:row>
      <xdr:rowOff>7056</xdr:rowOff>
    </xdr:from>
    <xdr:to>
      <xdr:col>10</xdr:col>
      <xdr:colOff>42332</xdr:colOff>
      <xdr:row>179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176</xdr:row>
      <xdr:rowOff>18345</xdr:rowOff>
    </xdr:from>
    <xdr:to>
      <xdr:col>12</xdr:col>
      <xdr:colOff>21579</xdr:colOff>
      <xdr:row>179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176</xdr:row>
      <xdr:rowOff>7055</xdr:rowOff>
    </xdr:from>
    <xdr:to>
      <xdr:col>14</xdr:col>
      <xdr:colOff>49392</xdr:colOff>
      <xdr:row>179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4233</xdr:rowOff>
    </xdr:from>
    <xdr:to>
      <xdr:col>16</xdr:col>
      <xdr:colOff>46570</xdr:colOff>
      <xdr:row>178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176</xdr:row>
      <xdr:rowOff>13304</xdr:rowOff>
    </xdr:from>
    <xdr:to>
      <xdr:col>20</xdr:col>
      <xdr:colOff>46570</xdr:colOff>
      <xdr:row>179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13304</xdr:rowOff>
    </xdr:from>
    <xdr:to>
      <xdr:col>16</xdr:col>
      <xdr:colOff>46569</xdr:colOff>
      <xdr:row>179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176</xdr:row>
      <xdr:rowOff>15522</xdr:rowOff>
    </xdr:from>
    <xdr:to>
      <xdr:col>18</xdr:col>
      <xdr:colOff>43746</xdr:colOff>
      <xdr:row>179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176</xdr:row>
      <xdr:rowOff>7056</xdr:rowOff>
    </xdr:from>
    <xdr:to>
      <xdr:col>22</xdr:col>
      <xdr:colOff>42332</xdr:colOff>
      <xdr:row>179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163</xdr:row>
      <xdr:rowOff>173181</xdr:rowOff>
    </xdr:from>
    <xdr:to>
      <xdr:col>25</xdr:col>
      <xdr:colOff>294410</xdr:colOff>
      <xdr:row>164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163</xdr:row>
      <xdr:rowOff>173181</xdr:rowOff>
    </xdr:from>
    <xdr:to>
      <xdr:col>27</xdr:col>
      <xdr:colOff>294410</xdr:colOff>
      <xdr:row>164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163</xdr:row>
      <xdr:rowOff>173181</xdr:rowOff>
    </xdr:from>
    <xdr:to>
      <xdr:col>29</xdr:col>
      <xdr:colOff>294410</xdr:colOff>
      <xdr:row>164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163</xdr:row>
      <xdr:rowOff>173181</xdr:rowOff>
    </xdr:from>
    <xdr:to>
      <xdr:col>31</xdr:col>
      <xdr:colOff>294410</xdr:colOff>
      <xdr:row>164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175</xdr:row>
      <xdr:rowOff>173181</xdr:rowOff>
    </xdr:from>
    <xdr:to>
      <xdr:col>3</xdr:col>
      <xdr:colOff>294410</xdr:colOff>
      <xdr:row>176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175</xdr:row>
      <xdr:rowOff>173181</xdr:rowOff>
    </xdr:from>
    <xdr:to>
      <xdr:col>5</xdr:col>
      <xdr:colOff>294410</xdr:colOff>
      <xdr:row>176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175</xdr:row>
      <xdr:rowOff>173181</xdr:rowOff>
    </xdr:from>
    <xdr:to>
      <xdr:col>7</xdr:col>
      <xdr:colOff>294410</xdr:colOff>
      <xdr:row>176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175</xdr:row>
      <xdr:rowOff>173181</xdr:rowOff>
    </xdr:from>
    <xdr:to>
      <xdr:col>9</xdr:col>
      <xdr:colOff>294410</xdr:colOff>
      <xdr:row>176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175</xdr:row>
      <xdr:rowOff>173181</xdr:rowOff>
    </xdr:from>
    <xdr:to>
      <xdr:col>11</xdr:col>
      <xdr:colOff>294410</xdr:colOff>
      <xdr:row>176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175</xdr:row>
      <xdr:rowOff>173181</xdr:rowOff>
    </xdr:from>
    <xdr:to>
      <xdr:col>13</xdr:col>
      <xdr:colOff>294410</xdr:colOff>
      <xdr:row>176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175</xdr:row>
      <xdr:rowOff>173181</xdr:rowOff>
    </xdr:from>
    <xdr:to>
      <xdr:col>15</xdr:col>
      <xdr:colOff>294410</xdr:colOff>
      <xdr:row>176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175</xdr:row>
      <xdr:rowOff>173181</xdr:rowOff>
    </xdr:from>
    <xdr:to>
      <xdr:col>17</xdr:col>
      <xdr:colOff>294410</xdr:colOff>
      <xdr:row>176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175</xdr:row>
      <xdr:rowOff>173181</xdr:rowOff>
    </xdr:from>
    <xdr:to>
      <xdr:col>19</xdr:col>
      <xdr:colOff>294410</xdr:colOff>
      <xdr:row>176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175</xdr:row>
      <xdr:rowOff>173181</xdr:rowOff>
    </xdr:from>
    <xdr:to>
      <xdr:col>21</xdr:col>
      <xdr:colOff>294410</xdr:colOff>
      <xdr:row>176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175</xdr:row>
      <xdr:rowOff>173181</xdr:rowOff>
    </xdr:from>
    <xdr:to>
      <xdr:col>23</xdr:col>
      <xdr:colOff>294410</xdr:colOff>
      <xdr:row>176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165</xdr:row>
      <xdr:rowOff>36284</xdr:rowOff>
    </xdr:from>
    <xdr:to>
      <xdr:col>26</xdr:col>
      <xdr:colOff>234950</xdr:colOff>
      <xdr:row>167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169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177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177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169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181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238169</xdr:colOff>
      <xdr:row>52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9863667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238169</xdr:colOff>
      <xdr:row>52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9863667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238169</xdr:colOff>
      <xdr:row>64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1959167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238169</xdr:colOff>
      <xdr:row>64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1959167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238169</xdr:colOff>
      <xdr:row>64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1959167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238169</xdr:colOff>
      <xdr:row>64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1959167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61</xdr:row>
      <xdr:rowOff>151534</xdr:rowOff>
    </xdr:from>
    <xdr:to>
      <xdr:col>10</xdr:col>
      <xdr:colOff>340812</xdr:colOff>
      <xdr:row>65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82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85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85</xdr:row>
      <xdr:rowOff>132293</xdr:rowOff>
    </xdr:from>
    <xdr:to>
      <xdr:col>6</xdr:col>
      <xdr:colOff>410104</xdr:colOff>
      <xdr:row>88</xdr:row>
      <xdr:rowOff>98799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238169</xdr:colOff>
      <xdr:row>99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0022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97</xdr:row>
      <xdr:rowOff>0</xdr:rowOff>
    </xdr:from>
    <xdr:to>
      <xdr:col>4</xdr:col>
      <xdr:colOff>238169</xdr:colOff>
      <xdr:row>99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0022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97</xdr:row>
      <xdr:rowOff>0</xdr:rowOff>
    </xdr:from>
    <xdr:to>
      <xdr:col>6</xdr:col>
      <xdr:colOff>238169</xdr:colOff>
      <xdr:row>99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0022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238169</xdr:colOff>
      <xdr:row>99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0022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10</xdr:col>
      <xdr:colOff>238169</xdr:colOff>
      <xdr:row>99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0022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238169</xdr:colOff>
      <xdr:row>99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0022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238169</xdr:colOff>
      <xdr:row>87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097250"/>
          <a:ext cx="238169" cy="34256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238169</xdr:colOff>
      <xdr:row>87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097250"/>
          <a:ext cx="238169" cy="34256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238169</xdr:colOff>
      <xdr:row>87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097250"/>
          <a:ext cx="238169" cy="34256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86</xdr:row>
      <xdr:rowOff>0</xdr:rowOff>
    </xdr:from>
    <xdr:to>
      <xdr:col>18</xdr:col>
      <xdr:colOff>238169</xdr:colOff>
      <xdr:row>87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097250"/>
          <a:ext cx="238169" cy="34256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238169</xdr:colOff>
      <xdr:row>87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097250"/>
          <a:ext cx="238169" cy="34256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86</xdr:row>
      <xdr:rowOff>0</xdr:rowOff>
    </xdr:from>
    <xdr:to>
      <xdr:col>22</xdr:col>
      <xdr:colOff>238169</xdr:colOff>
      <xdr:row>87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097250"/>
          <a:ext cx="238169" cy="34256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238169</xdr:colOff>
      <xdr:row>87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097250"/>
          <a:ext cx="238169" cy="34256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86</xdr:row>
      <xdr:rowOff>0</xdr:rowOff>
    </xdr:from>
    <xdr:to>
      <xdr:col>26</xdr:col>
      <xdr:colOff>238169</xdr:colOff>
      <xdr:row>87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097250"/>
          <a:ext cx="238169" cy="34256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86</xdr:row>
      <xdr:rowOff>0</xdr:rowOff>
    </xdr:from>
    <xdr:to>
      <xdr:col>28</xdr:col>
      <xdr:colOff>238169</xdr:colOff>
      <xdr:row>87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097250"/>
          <a:ext cx="238169" cy="34256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86</xdr:row>
      <xdr:rowOff>0</xdr:rowOff>
    </xdr:from>
    <xdr:to>
      <xdr:col>30</xdr:col>
      <xdr:colOff>238169</xdr:colOff>
      <xdr:row>87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097250"/>
          <a:ext cx="238169" cy="34256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238169</xdr:colOff>
      <xdr:row>110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19886083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130</xdr:row>
      <xdr:rowOff>0</xdr:rowOff>
    </xdr:from>
    <xdr:to>
      <xdr:col>30</xdr:col>
      <xdr:colOff>238169</xdr:colOff>
      <xdr:row>132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653750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238169</xdr:colOff>
      <xdr:row>145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587625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238169</xdr:colOff>
      <xdr:row>145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587625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238169</xdr:colOff>
      <xdr:row>145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587625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238169</xdr:colOff>
      <xdr:row>232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618833"/>
          <a:ext cx="238169" cy="338716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243</xdr:row>
      <xdr:rowOff>0</xdr:rowOff>
    </xdr:from>
    <xdr:to>
      <xdr:col>10</xdr:col>
      <xdr:colOff>238169</xdr:colOff>
      <xdr:row>245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820167"/>
          <a:ext cx="238169" cy="33871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238169</xdr:colOff>
      <xdr:row>245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820167"/>
          <a:ext cx="238169" cy="33871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238169</xdr:colOff>
      <xdr:row>245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820167"/>
          <a:ext cx="238169" cy="33871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86</xdr:row>
      <xdr:rowOff>0</xdr:rowOff>
    </xdr:from>
    <xdr:to>
      <xdr:col>10</xdr:col>
      <xdr:colOff>261470</xdr:colOff>
      <xdr:row>88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85</xdr:row>
      <xdr:rowOff>158750</xdr:rowOff>
    </xdr:from>
    <xdr:to>
      <xdr:col>12</xdr:col>
      <xdr:colOff>360297</xdr:colOff>
      <xdr:row>88</xdr:row>
      <xdr:rowOff>125256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86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85</xdr:row>
      <xdr:rowOff>149412</xdr:rowOff>
    </xdr:from>
    <xdr:to>
      <xdr:col>24</xdr:col>
      <xdr:colOff>307936</xdr:colOff>
      <xdr:row>88</xdr:row>
      <xdr:rowOff>46690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85</xdr:row>
      <xdr:rowOff>113869</xdr:rowOff>
    </xdr:from>
    <xdr:to>
      <xdr:col>25</xdr:col>
      <xdr:colOff>29741</xdr:colOff>
      <xdr:row>88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97</xdr:row>
      <xdr:rowOff>0</xdr:rowOff>
    </xdr:from>
    <xdr:to>
      <xdr:col>8</xdr:col>
      <xdr:colOff>334035</xdr:colOff>
      <xdr:row>99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97</xdr:row>
      <xdr:rowOff>0</xdr:rowOff>
    </xdr:from>
    <xdr:to>
      <xdr:col>24</xdr:col>
      <xdr:colOff>402463</xdr:colOff>
      <xdr:row>100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108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108</xdr:row>
      <xdr:rowOff>0</xdr:rowOff>
    </xdr:from>
    <xdr:to>
      <xdr:col>28</xdr:col>
      <xdr:colOff>382764</xdr:colOff>
      <xdr:row>110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115</xdr:row>
      <xdr:rowOff>0</xdr:rowOff>
    </xdr:from>
    <xdr:to>
      <xdr:col>10</xdr:col>
      <xdr:colOff>423009</xdr:colOff>
      <xdr:row>117</xdr:row>
      <xdr:rowOff>9678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130</xdr:row>
      <xdr:rowOff>0</xdr:rowOff>
    </xdr:from>
    <xdr:to>
      <xdr:col>14</xdr:col>
      <xdr:colOff>314606</xdr:colOff>
      <xdr:row>132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0</xdr:rowOff>
    </xdr:from>
    <xdr:to>
      <xdr:col>20</xdr:col>
      <xdr:colOff>382764</xdr:colOff>
      <xdr:row>145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138</xdr:row>
      <xdr:rowOff>13304</xdr:rowOff>
    </xdr:from>
    <xdr:to>
      <xdr:col>28</xdr:col>
      <xdr:colOff>46570</xdr:colOff>
      <xdr:row>141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138</xdr:row>
      <xdr:rowOff>7056</xdr:rowOff>
    </xdr:from>
    <xdr:to>
      <xdr:col>30</xdr:col>
      <xdr:colOff>42332</xdr:colOff>
      <xdr:row>141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137</xdr:row>
      <xdr:rowOff>173181</xdr:rowOff>
    </xdr:from>
    <xdr:to>
      <xdr:col>29</xdr:col>
      <xdr:colOff>294410</xdr:colOff>
      <xdr:row>138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137</xdr:row>
      <xdr:rowOff>173181</xdr:rowOff>
    </xdr:from>
    <xdr:to>
      <xdr:col>31</xdr:col>
      <xdr:colOff>294410</xdr:colOff>
      <xdr:row>138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151</xdr:row>
      <xdr:rowOff>7055</xdr:rowOff>
    </xdr:from>
    <xdr:to>
      <xdr:col>2</xdr:col>
      <xdr:colOff>27621</xdr:colOff>
      <xdr:row>154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4233</xdr:rowOff>
    </xdr:from>
    <xdr:to>
      <xdr:col>4</xdr:col>
      <xdr:colOff>46570</xdr:colOff>
      <xdr:row>153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151</xdr:row>
      <xdr:rowOff>13304</xdr:rowOff>
    </xdr:from>
    <xdr:to>
      <xdr:col>8</xdr:col>
      <xdr:colOff>46570</xdr:colOff>
      <xdr:row>154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13304</xdr:rowOff>
    </xdr:from>
    <xdr:to>
      <xdr:col>4</xdr:col>
      <xdr:colOff>46569</xdr:colOff>
      <xdr:row>154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151</xdr:row>
      <xdr:rowOff>15522</xdr:rowOff>
    </xdr:from>
    <xdr:to>
      <xdr:col>6</xdr:col>
      <xdr:colOff>64912</xdr:colOff>
      <xdr:row>154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151</xdr:row>
      <xdr:rowOff>7056</xdr:rowOff>
    </xdr:from>
    <xdr:to>
      <xdr:col>10</xdr:col>
      <xdr:colOff>42332</xdr:colOff>
      <xdr:row>154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151</xdr:row>
      <xdr:rowOff>18345</xdr:rowOff>
    </xdr:from>
    <xdr:to>
      <xdr:col>12</xdr:col>
      <xdr:colOff>39510</xdr:colOff>
      <xdr:row>154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151</xdr:row>
      <xdr:rowOff>7056</xdr:rowOff>
    </xdr:from>
    <xdr:to>
      <xdr:col>14</xdr:col>
      <xdr:colOff>42332</xdr:colOff>
      <xdr:row>154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151</xdr:row>
      <xdr:rowOff>18345</xdr:rowOff>
    </xdr:from>
    <xdr:to>
      <xdr:col>16</xdr:col>
      <xdr:colOff>39510</xdr:colOff>
      <xdr:row>154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151</xdr:row>
      <xdr:rowOff>7056</xdr:rowOff>
    </xdr:from>
    <xdr:to>
      <xdr:col>18</xdr:col>
      <xdr:colOff>42332</xdr:colOff>
      <xdr:row>154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151</xdr:row>
      <xdr:rowOff>18345</xdr:rowOff>
    </xdr:from>
    <xdr:to>
      <xdr:col>20</xdr:col>
      <xdr:colOff>21579</xdr:colOff>
      <xdr:row>154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151</xdr:row>
      <xdr:rowOff>7055</xdr:rowOff>
    </xdr:from>
    <xdr:to>
      <xdr:col>22</xdr:col>
      <xdr:colOff>49392</xdr:colOff>
      <xdr:row>154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4233</xdr:rowOff>
    </xdr:from>
    <xdr:to>
      <xdr:col>24</xdr:col>
      <xdr:colOff>46570</xdr:colOff>
      <xdr:row>153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151</xdr:row>
      <xdr:rowOff>13304</xdr:rowOff>
    </xdr:from>
    <xdr:to>
      <xdr:col>28</xdr:col>
      <xdr:colOff>46570</xdr:colOff>
      <xdr:row>154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13304</xdr:rowOff>
    </xdr:from>
    <xdr:to>
      <xdr:col>24</xdr:col>
      <xdr:colOff>46569</xdr:colOff>
      <xdr:row>154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151</xdr:row>
      <xdr:rowOff>15522</xdr:rowOff>
    </xdr:from>
    <xdr:to>
      <xdr:col>26</xdr:col>
      <xdr:colOff>43746</xdr:colOff>
      <xdr:row>154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151</xdr:row>
      <xdr:rowOff>7056</xdr:rowOff>
    </xdr:from>
    <xdr:to>
      <xdr:col>30</xdr:col>
      <xdr:colOff>42332</xdr:colOff>
      <xdr:row>154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150</xdr:row>
      <xdr:rowOff>173181</xdr:rowOff>
    </xdr:from>
    <xdr:to>
      <xdr:col>3</xdr:col>
      <xdr:colOff>294410</xdr:colOff>
      <xdr:row>151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150</xdr:row>
      <xdr:rowOff>173181</xdr:rowOff>
    </xdr:from>
    <xdr:to>
      <xdr:col>5</xdr:col>
      <xdr:colOff>294410</xdr:colOff>
      <xdr:row>151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150</xdr:row>
      <xdr:rowOff>173181</xdr:rowOff>
    </xdr:from>
    <xdr:to>
      <xdr:col>7</xdr:col>
      <xdr:colOff>294410</xdr:colOff>
      <xdr:row>151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150</xdr:row>
      <xdr:rowOff>173181</xdr:rowOff>
    </xdr:from>
    <xdr:to>
      <xdr:col>9</xdr:col>
      <xdr:colOff>294410</xdr:colOff>
      <xdr:row>151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150</xdr:row>
      <xdr:rowOff>173181</xdr:rowOff>
    </xdr:from>
    <xdr:to>
      <xdr:col>11</xdr:col>
      <xdr:colOff>294410</xdr:colOff>
      <xdr:row>151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150</xdr:row>
      <xdr:rowOff>173181</xdr:rowOff>
    </xdr:from>
    <xdr:to>
      <xdr:col>13</xdr:col>
      <xdr:colOff>294410</xdr:colOff>
      <xdr:row>151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150</xdr:row>
      <xdr:rowOff>173181</xdr:rowOff>
    </xdr:from>
    <xdr:to>
      <xdr:col>15</xdr:col>
      <xdr:colOff>294410</xdr:colOff>
      <xdr:row>151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150</xdr:row>
      <xdr:rowOff>173181</xdr:rowOff>
    </xdr:from>
    <xdr:to>
      <xdr:col>17</xdr:col>
      <xdr:colOff>294410</xdr:colOff>
      <xdr:row>151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150</xdr:row>
      <xdr:rowOff>173181</xdr:rowOff>
    </xdr:from>
    <xdr:to>
      <xdr:col>19</xdr:col>
      <xdr:colOff>294410</xdr:colOff>
      <xdr:row>151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150</xdr:row>
      <xdr:rowOff>173181</xdr:rowOff>
    </xdr:from>
    <xdr:to>
      <xdr:col>21</xdr:col>
      <xdr:colOff>294410</xdr:colOff>
      <xdr:row>151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150</xdr:row>
      <xdr:rowOff>173181</xdr:rowOff>
    </xdr:from>
    <xdr:to>
      <xdr:col>23</xdr:col>
      <xdr:colOff>294410</xdr:colOff>
      <xdr:row>151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150</xdr:row>
      <xdr:rowOff>173181</xdr:rowOff>
    </xdr:from>
    <xdr:to>
      <xdr:col>25</xdr:col>
      <xdr:colOff>294410</xdr:colOff>
      <xdr:row>151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150</xdr:row>
      <xdr:rowOff>173181</xdr:rowOff>
    </xdr:from>
    <xdr:to>
      <xdr:col>27</xdr:col>
      <xdr:colOff>294410</xdr:colOff>
      <xdr:row>151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150</xdr:row>
      <xdr:rowOff>173181</xdr:rowOff>
    </xdr:from>
    <xdr:to>
      <xdr:col>29</xdr:col>
      <xdr:colOff>294410</xdr:colOff>
      <xdr:row>151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150</xdr:row>
      <xdr:rowOff>173181</xdr:rowOff>
    </xdr:from>
    <xdr:to>
      <xdr:col>31</xdr:col>
      <xdr:colOff>294410</xdr:colOff>
      <xdr:row>151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152</xdr:row>
      <xdr:rowOff>36284</xdr:rowOff>
    </xdr:from>
    <xdr:to>
      <xdr:col>4</xdr:col>
      <xdr:colOff>234950</xdr:colOff>
      <xdr:row>154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156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152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152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156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156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164</xdr:row>
      <xdr:rowOff>7055</xdr:rowOff>
    </xdr:from>
    <xdr:to>
      <xdr:col>2</xdr:col>
      <xdr:colOff>27621</xdr:colOff>
      <xdr:row>167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4233</xdr:rowOff>
    </xdr:from>
    <xdr:to>
      <xdr:col>4</xdr:col>
      <xdr:colOff>46570</xdr:colOff>
      <xdr:row>166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164</xdr:row>
      <xdr:rowOff>13304</xdr:rowOff>
    </xdr:from>
    <xdr:to>
      <xdr:col>8</xdr:col>
      <xdr:colOff>46570</xdr:colOff>
      <xdr:row>167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13304</xdr:rowOff>
    </xdr:from>
    <xdr:to>
      <xdr:col>4</xdr:col>
      <xdr:colOff>46569</xdr:colOff>
      <xdr:row>167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164</xdr:row>
      <xdr:rowOff>15522</xdr:rowOff>
    </xdr:from>
    <xdr:to>
      <xdr:col>6</xdr:col>
      <xdr:colOff>64912</xdr:colOff>
      <xdr:row>167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164</xdr:row>
      <xdr:rowOff>7056</xdr:rowOff>
    </xdr:from>
    <xdr:to>
      <xdr:col>10</xdr:col>
      <xdr:colOff>42332</xdr:colOff>
      <xdr:row>167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164</xdr:row>
      <xdr:rowOff>18345</xdr:rowOff>
    </xdr:from>
    <xdr:to>
      <xdr:col>12</xdr:col>
      <xdr:colOff>39510</xdr:colOff>
      <xdr:row>167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164</xdr:row>
      <xdr:rowOff>7056</xdr:rowOff>
    </xdr:from>
    <xdr:to>
      <xdr:col>14</xdr:col>
      <xdr:colOff>42332</xdr:colOff>
      <xdr:row>167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164</xdr:row>
      <xdr:rowOff>18345</xdr:rowOff>
    </xdr:from>
    <xdr:to>
      <xdr:col>16</xdr:col>
      <xdr:colOff>39510</xdr:colOff>
      <xdr:row>167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164</xdr:row>
      <xdr:rowOff>7056</xdr:rowOff>
    </xdr:from>
    <xdr:to>
      <xdr:col>18</xdr:col>
      <xdr:colOff>42332</xdr:colOff>
      <xdr:row>167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164</xdr:row>
      <xdr:rowOff>18345</xdr:rowOff>
    </xdr:from>
    <xdr:to>
      <xdr:col>20</xdr:col>
      <xdr:colOff>21579</xdr:colOff>
      <xdr:row>167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164</xdr:row>
      <xdr:rowOff>7055</xdr:rowOff>
    </xdr:from>
    <xdr:to>
      <xdr:col>22</xdr:col>
      <xdr:colOff>49392</xdr:colOff>
      <xdr:row>167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163</xdr:row>
      <xdr:rowOff>173181</xdr:rowOff>
    </xdr:from>
    <xdr:to>
      <xdr:col>3</xdr:col>
      <xdr:colOff>294410</xdr:colOff>
      <xdr:row>164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163</xdr:row>
      <xdr:rowOff>173181</xdr:rowOff>
    </xdr:from>
    <xdr:to>
      <xdr:col>5</xdr:col>
      <xdr:colOff>294410</xdr:colOff>
      <xdr:row>164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163</xdr:row>
      <xdr:rowOff>173181</xdr:rowOff>
    </xdr:from>
    <xdr:to>
      <xdr:col>7</xdr:col>
      <xdr:colOff>294410</xdr:colOff>
      <xdr:row>164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163</xdr:row>
      <xdr:rowOff>173181</xdr:rowOff>
    </xdr:from>
    <xdr:to>
      <xdr:col>9</xdr:col>
      <xdr:colOff>294410</xdr:colOff>
      <xdr:row>164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163</xdr:row>
      <xdr:rowOff>173181</xdr:rowOff>
    </xdr:from>
    <xdr:to>
      <xdr:col>11</xdr:col>
      <xdr:colOff>294410</xdr:colOff>
      <xdr:row>164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163</xdr:row>
      <xdr:rowOff>173181</xdr:rowOff>
    </xdr:from>
    <xdr:to>
      <xdr:col>13</xdr:col>
      <xdr:colOff>294410</xdr:colOff>
      <xdr:row>164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163</xdr:row>
      <xdr:rowOff>173181</xdr:rowOff>
    </xdr:from>
    <xdr:to>
      <xdr:col>15</xdr:col>
      <xdr:colOff>294410</xdr:colOff>
      <xdr:row>164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163</xdr:row>
      <xdr:rowOff>173181</xdr:rowOff>
    </xdr:from>
    <xdr:to>
      <xdr:col>17</xdr:col>
      <xdr:colOff>294410</xdr:colOff>
      <xdr:row>164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163</xdr:row>
      <xdr:rowOff>173181</xdr:rowOff>
    </xdr:from>
    <xdr:to>
      <xdr:col>19</xdr:col>
      <xdr:colOff>294410</xdr:colOff>
      <xdr:row>164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163</xdr:row>
      <xdr:rowOff>173181</xdr:rowOff>
    </xdr:from>
    <xdr:to>
      <xdr:col>21</xdr:col>
      <xdr:colOff>294410</xdr:colOff>
      <xdr:row>164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163</xdr:row>
      <xdr:rowOff>173181</xdr:rowOff>
    </xdr:from>
    <xdr:to>
      <xdr:col>23</xdr:col>
      <xdr:colOff>294410</xdr:colOff>
      <xdr:row>164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165</xdr:row>
      <xdr:rowOff>36284</xdr:rowOff>
    </xdr:from>
    <xdr:to>
      <xdr:col>4</xdr:col>
      <xdr:colOff>234950</xdr:colOff>
      <xdr:row>167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169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165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169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169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175</xdr:row>
      <xdr:rowOff>163092</xdr:rowOff>
    </xdr:from>
    <xdr:to>
      <xdr:col>30</xdr:col>
      <xdr:colOff>30331</xdr:colOff>
      <xdr:row>178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175</xdr:row>
      <xdr:rowOff>173181</xdr:rowOff>
    </xdr:from>
    <xdr:to>
      <xdr:col>31</xdr:col>
      <xdr:colOff>294410</xdr:colOff>
      <xdr:row>176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201</xdr:row>
      <xdr:rowOff>173181</xdr:rowOff>
    </xdr:from>
    <xdr:to>
      <xdr:col>25</xdr:col>
      <xdr:colOff>0</xdr:colOff>
      <xdr:row>202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201</xdr:row>
      <xdr:rowOff>159455</xdr:rowOff>
    </xdr:from>
    <xdr:to>
      <xdr:col>24</xdr:col>
      <xdr:colOff>99818</xdr:colOff>
      <xdr:row>204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202</xdr:row>
      <xdr:rowOff>7056</xdr:rowOff>
    </xdr:from>
    <xdr:to>
      <xdr:col>2</xdr:col>
      <xdr:colOff>42332</xdr:colOff>
      <xdr:row>205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202</xdr:row>
      <xdr:rowOff>18345</xdr:rowOff>
    </xdr:from>
    <xdr:to>
      <xdr:col>4</xdr:col>
      <xdr:colOff>39510</xdr:colOff>
      <xdr:row>205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202</xdr:row>
      <xdr:rowOff>7056</xdr:rowOff>
    </xdr:from>
    <xdr:to>
      <xdr:col>6</xdr:col>
      <xdr:colOff>42332</xdr:colOff>
      <xdr:row>205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202</xdr:row>
      <xdr:rowOff>18345</xdr:rowOff>
    </xdr:from>
    <xdr:to>
      <xdr:col>8</xdr:col>
      <xdr:colOff>39510</xdr:colOff>
      <xdr:row>205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202</xdr:row>
      <xdr:rowOff>7056</xdr:rowOff>
    </xdr:from>
    <xdr:to>
      <xdr:col>10</xdr:col>
      <xdr:colOff>42332</xdr:colOff>
      <xdr:row>205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202</xdr:row>
      <xdr:rowOff>18345</xdr:rowOff>
    </xdr:from>
    <xdr:to>
      <xdr:col>12</xdr:col>
      <xdr:colOff>21579</xdr:colOff>
      <xdr:row>205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202</xdr:row>
      <xdr:rowOff>7055</xdr:rowOff>
    </xdr:from>
    <xdr:to>
      <xdr:col>14</xdr:col>
      <xdr:colOff>49392</xdr:colOff>
      <xdr:row>205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4233</xdr:rowOff>
    </xdr:from>
    <xdr:to>
      <xdr:col>16</xdr:col>
      <xdr:colOff>46570</xdr:colOff>
      <xdr:row>204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202</xdr:row>
      <xdr:rowOff>13304</xdr:rowOff>
    </xdr:from>
    <xdr:to>
      <xdr:col>20</xdr:col>
      <xdr:colOff>46570</xdr:colOff>
      <xdr:row>205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13304</xdr:rowOff>
    </xdr:from>
    <xdr:to>
      <xdr:col>16</xdr:col>
      <xdr:colOff>46569</xdr:colOff>
      <xdr:row>205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202</xdr:row>
      <xdr:rowOff>15522</xdr:rowOff>
    </xdr:from>
    <xdr:to>
      <xdr:col>18</xdr:col>
      <xdr:colOff>43746</xdr:colOff>
      <xdr:row>205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202</xdr:row>
      <xdr:rowOff>7056</xdr:rowOff>
    </xdr:from>
    <xdr:to>
      <xdr:col>22</xdr:col>
      <xdr:colOff>42332</xdr:colOff>
      <xdr:row>205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201</xdr:row>
      <xdr:rowOff>173181</xdr:rowOff>
    </xdr:from>
    <xdr:to>
      <xdr:col>3</xdr:col>
      <xdr:colOff>294410</xdr:colOff>
      <xdr:row>202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201</xdr:row>
      <xdr:rowOff>173181</xdr:rowOff>
    </xdr:from>
    <xdr:to>
      <xdr:col>5</xdr:col>
      <xdr:colOff>294410</xdr:colOff>
      <xdr:row>202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201</xdr:row>
      <xdr:rowOff>173181</xdr:rowOff>
    </xdr:from>
    <xdr:to>
      <xdr:col>7</xdr:col>
      <xdr:colOff>294410</xdr:colOff>
      <xdr:row>202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201</xdr:row>
      <xdr:rowOff>173181</xdr:rowOff>
    </xdr:from>
    <xdr:to>
      <xdr:col>9</xdr:col>
      <xdr:colOff>294410</xdr:colOff>
      <xdr:row>202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201</xdr:row>
      <xdr:rowOff>173181</xdr:rowOff>
    </xdr:from>
    <xdr:to>
      <xdr:col>11</xdr:col>
      <xdr:colOff>294410</xdr:colOff>
      <xdr:row>202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201</xdr:row>
      <xdr:rowOff>173181</xdr:rowOff>
    </xdr:from>
    <xdr:to>
      <xdr:col>13</xdr:col>
      <xdr:colOff>294410</xdr:colOff>
      <xdr:row>202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201</xdr:row>
      <xdr:rowOff>173181</xdr:rowOff>
    </xdr:from>
    <xdr:to>
      <xdr:col>15</xdr:col>
      <xdr:colOff>294410</xdr:colOff>
      <xdr:row>202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201</xdr:row>
      <xdr:rowOff>173181</xdr:rowOff>
    </xdr:from>
    <xdr:to>
      <xdr:col>17</xdr:col>
      <xdr:colOff>294410</xdr:colOff>
      <xdr:row>202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201</xdr:row>
      <xdr:rowOff>173181</xdr:rowOff>
    </xdr:from>
    <xdr:to>
      <xdr:col>19</xdr:col>
      <xdr:colOff>294410</xdr:colOff>
      <xdr:row>202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201</xdr:row>
      <xdr:rowOff>173181</xdr:rowOff>
    </xdr:from>
    <xdr:to>
      <xdr:col>21</xdr:col>
      <xdr:colOff>294410</xdr:colOff>
      <xdr:row>202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201</xdr:row>
      <xdr:rowOff>173181</xdr:rowOff>
    </xdr:from>
    <xdr:to>
      <xdr:col>23</xdr:col>
      <xdr:colOff>294410</xdr:colOff>
      <xdr:row>202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203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203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207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251</xdr:row>
      <xdr:rowOff>16020</xdr:rowOff>
    </xdr:from>
    <xdr:to>
      <xdr:col>22</xdr:col>
      <xdr:colOff>31461</xdr:colOff>
      <xdr:row>253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4233</xdr:rowOff>
    </xdr:from>
    <xdr:to>
      <xdr:col>24</xdr:col>
      <xdr:colOff>46570</xdr:colOff>
      <xdr:row>253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251</xdr:row>
      <xdr:rowOff>13304</xdr:rowOff>
    </xdr:from>
    <xdr:to>
      <xdr:col>28</xdr:col>
      <xdr:colOff>46570</xdr:colOff>
      <xdr:row>254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13304</xdr:rowOff>
    </xdr:from>
    <xdr:to>
      <xdr:col>24</xdr:col>
      <xdr:colOff>46569</xdr:colOff>
      <xdr:row>254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251</xdr:row>
      <xdr:rowOff>15522</xdr:rowOff>
    </xdr:from>
    <xdr:to>
      <xdr:col>26</xdr:col>
      <xdr:colOff>43746</xdr:colOff>
      <xdr:row>254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251</xdr:row>
      <xdr:rowOff>7056</xdr:rowOff>
    </xdr:from>
    <xdr:to>
      <xdr:col>30</xdr:col>
      <xdr:colOff>42332</xdr:colOff>
      <xdr:row>254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250</xdr:row>
      <xdr:rowOff>173181</xdr:rowOff>
    </xdr:from>
    <xdr:to>
      <xdr:col>31</xdr:col>
      <xdr:colOff>294410</xdr:colOff>
      <xdr:row>251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250</xdr:row>
      <xdr:rowOff>159455</xdr:rowOff>
    </xdr:from>
    <xdr:to>
      <xdr:col>2</xdr:col>
      <xdr:colOff>32743</xdr:colOff>
      <xdr:row>253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251</xdr:row>
      <xdr:rowOff>4233</xdr:rowOff>
    </xdr:from>
    <xdr:to>
      <xdr:col>4</xdr:col>
      <xdr:colOff>73463</xdr:colOff>
      <xdr:row>253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251</xdr:row>
      <xdr:rowOff>7056</xdr:rowOff>
    </xdr:from>
    <xdr:to>
      <xdr:col>10</xdr:col>
      <xdr:colOff>45413</xdr:colOff>
      <xdr:row>254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251</xdr:row>
      <xdr:rowOff>18345</xdr:rowOff>
    </xdr:from>
    <xdr:to>
      <xdr:col>12</xdr:col>
      <xdr:colOff>66404</xdr:colOff>
      <xdr:row>254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251</xdr:row>
      <xdr:rowOff>7056</xdr:rowOff>
    </xdr:from>
    <xdr:to>
      <xdr:col>14</xdr:col>
      <xdr:colOff>69226</xdr:colOff>
      <xdr:row>254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251</xdr:row>
      <xdr:rowOff>7056</xdr:rowOff>
    </xdr:from>
    <xdr:to>
      <xdr:col>18</xdr:col>
      <xdr:colOff>69226</xdr:colOff>
      <xdr:row>254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251</xdr:row>
      <xdr:rowOff>8964</xdr:rowOff>
    </xdr:from>
    <xdr:to>
      <xdr:col>16</xdr:col>
      <xdr:colOff>29467</xdr:colOff>
      <xdr:row>254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252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274</xdr:row>
      <xdr:rowOff>4233</xdr:rowOff>
    </xdr:from>
    <xdr:to>
      <xdr:col>4</xdr:col>
      <xdr:colOff>46570</xdr:colOff>
      <xdr:row>276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274</xdr:row>
      <xdr:rowOff>13304</xdr:rowOff>
    </xdr:from>
    <xdr:to>
      <xdr:col>7</xdr:col>
      <xdr:colOff>0</xdr:colOff>
      <xdr:row>277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274</xdr:row>
      <xdr:rowOff>15522</xdr:rowOff>
    </xdr:from>
    <xdr:to>
      <xdr:col>6</xdr:col>
      <xdr:colOff>43746</xdr:colOff>
      <xdr:row>277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273</xdr:row>
      <xdr:rowOff>173181</xdr:rowOff>
    </xdr:from>
    <xdr:to>
      <xdr:col>3</xdr:col>
      <xdr:colOff>294410</xdr:colOff>
      <xdr:row>274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273</xdr:row>
      <xdr:rowOff>173181</xdr:rowOff>
    </xdr:from>
    <xdr:to>
      <xdr:col>5</xdr:col>
      <xdr:colOff>294410</xdr:colOff>
      <xdr:row>274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273</xdr:row>
      <xdr:rowOff>159455</xdr:rowOff>
    </xdr:from>
    <xdr:to>
      <xdr:col>2</xdr:col>
      <xdr:colOff>32743</xdr:colOff>
      <xdr:row>276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274</xdr:row>
      <xdr:rowOff>4233</xdr:rowOff>
    </xdr:from>
    <xdr:to>
      <xdr:col>4</xdr:col>
      <xdr:colOff>73463</xdr:colOff>
      <xdr:row>276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38"/>
      <c r="B1" s="69" t="s">
        <v>0</v>
      </c>
      <c r="C1" s="70" t="s">
        <v>1</v>
      </c>
      <c r="D1" s="71" t="s">
        <v>2</v>
      </c>
      <c r="E1" s="72"/>
      <c r="F1" s="73">
        <f ca="1">TODAY()-1</f>
        <v>46239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39"/>
      <c r="B2" s="80" t="s">
        <v>5</v>
      </c>
      <c r="C2" s="641" t="s">
        <v>6</v>
      </c>
      <c r="D2" s="642"/>
      <c r="E2" s="643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39"/>
      <c r="B3" s="80" t="s">
        <v>10</v>
      </c>
      <c r="C3" s="641" t="s">
        <v>11</v>
      </c>
      <c r="D3" s="642"/>
      <c r="E3" s="643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0"/>
      <c r="B4" s="80" t="s">
        <v>15</v>
      </c>
      <c r="C4" s="644">
        <v>46153</v>
      </c>
      <c r="D4" s="644"/>
      <c r="E4" s="645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46" t="s">
        <v>20</v>
      </c>
      <c r="B5" s="646"/>
      <c r="C5" s="646"/>
      <c r="D5" s="646"/>
      <c r="E5" s="646"/>
      <c r="F5" s="646"/>
      <c r="G5" s="646"/>
      <c r="H5" s="646"/>
      <c r="I5" s="646"/>
      <c r="J5" s="646"/>
      <c r="K5" s="646"/>
      <c r="L5" s="646"/>
      <c r="M5"/>
    </row>
    <row r="6" spans="1:15" ht="28.5">
      <c r="A6" s="637" t="s">
        <v>21</v>
      </c>
      <c r="B6" s="637"/>
      <c r="C6" s="637"/>
      <c r="D6" s="637"/>
      <c r="E6" s="637"/>
      <c r="F6" s="637"/>
      <c r="G6" s="637"/>
      <c r="H6" s="637"/>
      <c r="I6" s="637"/>
      <c r="J6" s="637"/>
      <c r="K6" s="637"/>
      <c r="L6" s="637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4" t="s">
        <v>39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4"/>
      <c r="N12" s="634"/>
      <c r="O12" s="634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35" t="s">
        <v>33</v>
      </c>
      <c r="O13" s="635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36" t="s">
        <v>53</v>
      </c>
      <c r="O14" s="636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31"/>
      <c r="O15" s="631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31"/>
      <c r="O16" s="631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 t="str">
        <f>'AOTL - KEC'!H14</f>
        <v xml:space="preserve"> </v>
      </c>
      <c r="I17" s="99">
        <f t="shared" si="1"/>
        <v>0</v>
      </c>
      <c r="J17" s="101" t="e">
        <f>D17+H17</f>
        <v>#VALUE!</v>
      </c>
      <c r="K17" s="102" t="e">
        <f t="shared" si="2"/>
        <v>#VALUE!</v>
      </c>
      <c r="L17" s="99">
        <f>'AOTL - KEC'!K14</f>
        <v>1</v>
      </c>
      <c r="M17" s="99">
        <f>'AOTL - KEC'!L14</f>
        <v>1</v>
      </c>
      <c r="N17" s="631"/>
      <c r="O17" s="631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31"/>
      <c r="O18" s="631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2"/>
      <c r="O19" s="632"/>
    </row>
    <row r="20" spans="1:15" ht="24" customHeight="1">
      <c r="N20" s="633"/>
      <c r="O20" s="633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zoomScale="50" zoomScaleNormal="50" zoomScaleSheetLayoutView="40" workbookViewId="0">
      <selection activeCell="H11" sqref="H11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48"/>
      <c r="B1" s="270" t="s">
        <v>0</v>
      </c>
      <c r="C1" s="651" t="s">
        <v>59</v>
      </c>
      <c r="D1" s="651"/>
      <c r="E1" s="651"/>
      <c r="F1" s="270" t="s">
        <v>2</v>
      </c>
      <c r="G1" s="274">
        <v>46240</v>
      </c>
      <c r="H1" s="270" t="s">
        <v>3</v>
      </c>
      <c r="I1" s="275" t="s">
        <v>4</v>
      </c>
      <c r="J1" s="77"/>
      <c r="K1" s="78"/>
      <c r="L1" s="79"/>
    </row>
    <row r="2" spans="1:15" ht="21">
      <c r="A2" s="648"/>
      <c r="B2" s="270" t="s">
        <v>5</v>
      </c>
      <c r="C2" s="649" t="s">
        <v>60</v>
      </c>
      <c r="D2" s="649"/>
      <c r="E2" s="649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48"/>
      <c r="B3" s="270" t="s">
        <v>10</v>
      </c>
      <c r="C3" s="649" t="s">
        <v>61</v>
      </c>
      <c r="D3" s="649"/>
      <c r="E3" s="649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48"/>
      <c r="B4" s="270" t="s">
        <v>15</v>
      </c>
      <c r="C4" s="650"/>
      <c r="D4" s="650"/>
      <c r="E4" s="650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46"/>
      <c r="B5" s="646"/>
      <c r="C5" s="646"/>
      <c r="D5" s="646"/>
      <c r="E5" s="646"/>
      <c r="F5" s="646"/>
      <c r="G5" s="646"/>
      <c r="H5" s="646"/>
      <c r="I5" s="646"/>
      <c r="J5" s="646"/>
      <c r="K5" s="646"/>
      <c r="L5" s="646"/>
      <c r="M5"/>
    </row>
    <row r="6" spans="1:15" ht="28.5">
      <c r="A6" s="647" t="s">
        <v>65</v>
      </c>
      <c r="B6" s="647"/>
      <c r="C6" s="647"/>
      <c r="D6" s="647"/>
      <c r="E6" s="647"/>
      <c r="F6" s="647"/>
      <c r="G6" s="647"/>
      <c r="H6" s="647"/>
      <c r="I6" s="647"/>
      <c r="J6" s="647"/>
      <c r="K6" s="647"/>
      <c r="L6" s="647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52" t="s">
        <v>39</v>
      </c>
      <c r="B12" s="652"/>
      <c r="C12" s="652"/>
      <c r="D12" s="652"/>
      <c r="E12" s="652"/>
      <c r="F12" s="652"/>
      <c r="G12" s="652"/>
      <c r="H12" s="652"/>
      <c r="I12" s="652"/>
      <c r="J12" s="652"/>
      <c r="K12" s="652"/>
      <c r="L12" s="652"/>
      <c r="M12" s="652"/>
      <c r="N12" s="652"/>
      <c r="O12" s="652"/>
    </row>
    <row r="13" spans="1:15" ht="70.5">
      <c r="A13" s="269" t="s">
        <v>22</v>
      </c>
      <c r="B13" s="269" t="s">
        <v>40</v>
      </c>
      <c r="C13" s="269" t="s">
        <v>1118</v>
      </c>
      <c r="D13" s="269" t="s">
        <v>1119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3" t="s">
        <v>33</v>
      </c>
      <c r="O13" s="653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0</v>
      </c>
      <c r="J14" s="101">
        <v>30</v>
      </c>
      <c r="K14" s="102">
        <f t="shared" ref="K14:K19" si="0">B14-J14</f>
        <v>0</v>
      </c>
      <c r="L14" s="99"/>
      <c r="M14" s="99"/>
      <c r="N14" s="654"/>
      <c r="O14" s="654"/>
    </row>
    <row r="15" spans="1:15" ht="75.75" customHeight="1">
      <c r="A15" s="98" t="s">
        <v>54</v>
      </c>
      <c r="B15" s="99">
        <v>299</v>
      </c>
      <c r="C15" s="99">
        <v>0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4" t="s">
        <v>1184</v>
      </c>
      <c r="O15" s="654"/>
    </row>
    <row r="16" spans="1:15" s="105" customFormat="1" ht="40.4" customHeight="1">
      <c r="A16" s="103" t="s">
        <v>55</v>
      </c>
      <c r="B16" s="99">
        <v>299</v>
      </c>
      <c r="C16" s="99">
        <v>0</v>
      </c>
      <c r="D16" s="99">
        <v>92</v>
      </c>
      <c r="E16" s="99">
        <v>0</v>
      </c>
      <c r="F16" s="99">
        <v>26</v>
      </c>
      <c r="G16" s="100"/>
      <c r="H16" s="100"/>
      <c r="I16" s="99">
        <v>293</v>
      </c>
      <c r="J16" s="101">
        <v>92</v>
      </c>
      <c r="K16" s="102">
        <f t="shared" si="0"/>
        <v>207</v>
      </c>
      <c r="L16" s="104"/>
      <c r="M16" s="104"/>
      <c r="N16" s="654"/>
      <c r="O16" s="654"/>
    </row>
    <row r="17" spans="1:15" ht="40.4" customHeight="1">
      <c r="A17" s="98" t="s">
        <v>56</v>
      </c>
      <c r="B17" s="99">
        <v>299</v>
      </c>
      <c r="C17" s="99">
        <v>0</v>
      </c>
      <c r="D17" s="99">
        <v>48</v>
      </c>
      <c r="E17" s="99">
        <v>0</v>
      </c>
      <c r="F17" s="99">
        <v>15</v>
      </c>
      <c r="G17" s="100" t="s">
        <v>67</v>
      </c>
      <c r="H17" s="100" t="s">
        <v>67</v>
      </c>
      <c r="I17" s="99">
        <v>293</v>
      </c>
      <c r="J17" s="101">
        <v>48</v>
      </c>
      <c r="K17" s="102">
        <f>B17-J17</f>
        <v>251</v>
      </c>
      <c r="L17" s="99">
        <v>1</v>
      </c>
      <c r="M17" s="99">
        <v>1</v>
      </c>
      <c r="N17" s="654" t="s">
        <v>67</v>
      </c>
      <c r="O17" s="654"/>
    </row>
    <row r="18" spans="1:15" ht="40.4" customHeight="1">
      <c r="A18" s="98" t="s">
        <v>57</v>
      </c>
      <c r="B18" s="99">
        <v>299</v>
      </c>
      <c r="C18" s="99">
        <v>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31"/>
      <c r="O18" s="631"/>
    </row>
    <row r="19" spans="1:15" ht="40.4" customHeight="1">
      <c r="A19" s="98" t="s">
        <v>58</v>
      </c>
      <c r="B19" s="99">
        <v>114.51600000000001</v>
      </c>
      <c r="C19" s="99">
        <v>9</v>
      </c>
      <c r="D19" s="99">
        <v>0</v>
      </c>
      <c r="E19" s="99">
        <v>7.27</v>
      </c>
      <c r="F19" s="99">
        <v>0</v>
      </c>
      <c r="G19" s="100"/>
      <c r="H19" s="100"/>
      <c r="I19" s="99">
        <f>K19-E19</f>
        <v>107.24600000000001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2"/>
      <c r="O19" s="632"/>
    </row>
    <row r="20" spans="1:15" ht="40.4" customHeight="1">
      <c r="N20" s="633"/>
      <c r="O20" s="633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C13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27" t="s">
        <v>86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246">
        <f>'765KV ASOTL'!G1</f>
        <v>46240</v>
      </c>
    </row>
    <row r="2" spans="1:15" s="209" customFormat="1">
      <c r="A2" s="235" t="s">
        <v>87</v>
      </c>
      <c r="B2" s="236"/>
      <c r="C2" s="628" t="s">
        <v>72</v>
      </c>
      <c r="D2" s="628"/>
      <c r="E2" s="628"/>
      <c r="F2" s="628"/>
      <c r="G2" s="628"/>
      <c r="H2" s="628"/>
      <c r="I2" s="628"/>
      <c r="J2" s="628"/>
      <c r="K2" s="628"/>
      <c r="L2" s="628"/>
      <c r="M2" s="628"/>
    </row>
    <row r="3" spans="1:15" s="209" customFormat="1">
      <c r="A3" s="235" t="s">
        <v>88</v>
      </c>
      <c r="B3" s="236"/>
      <c r="C3" s="628" t="s">
        <v>89</v>
      </c>
      <c r="D3" s="628"/>
      <c r="E3" s="628"/>
      <c r="F3" s="628"/>
      <c r="G3" s="628"/>
      <c r="H3" s="628"/>
      <c r="I3" s="628"/>
      <c r="J3" s="628"/>
      <c r="K3" s="628"/>
      <c r="L3" s="628"/>
      <c r="M3" s="628"/>
    </row>
    <row r="4" spans="1:15" s="209" customFormat="1">
      <c r="A4" s="237" t="s">
        <v>90</v>
      </c>
      <c r="B4" s="237"/>
      <c r="C4" s="629" t="s">
        <v>91</v>
      </c>
      <c r="D4" s="629"/>
      <c r="E4" s="629"/>
      <c r="F4" s="629"/>
      <c r="G4" s="629"/>
      <c r="H4" s="629"/>
      <c r="I4" s="629"/>
      <c r="J4" s="629"/>
      <c r="K4" s="629"/>
      <c r="L4" s="629"/>
      <c r="M4" s="629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1120</v>
      </c>
      <c r="E5" s="238" t="s">
        <v>1121</v>
      </c>
      <c r="F5" s="238" t="s">
        <v>1122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97</v>
      </c>
      <c r="J11" s="224">
        <f t="shared" si="1"/>
        <v>196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30" t="s">
        <v>1185</v>
      </c>
      <c r="N12" s="630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92</v>
      </c>
      <c r="J13" s="225">
        <f t="shared" si="1"/>
        <v>201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9">
        <v>293</v>
      </c>
      <c r="F14" s="214">
        <v>15</v>
      </c>
      <c r="G14" s="214" t="s">
        <v>67</v>
      </c>
      <c r="H14" s="214" t="s">
        <v>67</v>
      </c>
      <c r="I14" s="224">
        <v>48</v>
      </c>
      <c r="J14" s="224">
        <f t="shared" si="1"/>
        <v>245</v>
      </c>
      <c r="K14" s="214">
        <v>1</v>
      </c>
      <c r="L14" s="214">
        <v>1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9">
        <v>293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f>'765KV ASOTL'!I19</f>
        <v>107.24600000000001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107.24600000000001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107.24600000000001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95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D29" sqref="D29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55" t="s">
        <v>86</v>
      </c>
      <c r="C2" s="656"/>
      <c r="D2" s="656"/>
      <c r="E2" s="656"/>
      <c r="F2" s="656"/>
      <c r="G2" s="657"/>
    </row>
    <row r="3" spans="2:11" ht="16" thickBot="1">
      <c r="B3" s="658" t="s">
        <v>116</v>
      </c>
      <c r="C3" s="659"/>
      <c r="D3" s="659"/>
      <c r="E3" s="659"/>
      <c r="F3" s="659"/>
      <c r="G3" s="248">
        <f>+'AOTL - KEC'!M1</f>
        <v>46240</v>
      </c>
    </row>
    <row r="4" spans="2:11" ht="16" thickBot="1">
      <c r="B4" s="660" t="s">
        <v>117</v>
      </c>
      <c r="C4" s="661"/>
      <c r="D4" s="665" t="s">
        <v>89</v>
      </c>
      <c r="E4" s="666"/>
      <c r="F4" s="666"/>
      <c r="G4" s="667"/>
    </row>
    <row r="5" spans="2:11" ht="16" thickBot="1">
      <c r="B5" s="660" t="s">
        <v>118</v>
      </c>
      <c r="C5" s="661"/>
      <c r="D5" s="662" t="s">
        <v>119</v>
      </c>
      <c r="E5" s="663"/>
      <c r="F5" s="663"/>
      <c r="G5" s="664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3" t="s">
        <v>120</v>
      </c>
      <c r="C7" s="674"/>
      <c r="D7" s="674"/>
      <c r="E7" s="674"/>
      <c r="F7" s="674"/>
      <c r="G7" s="675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76" t="s">
        <v>125</v>
      </c>
      <c r="G8" s="677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8">
        <f>'AOTL - KEC'!J6</f>
        <v>0</v>
      </c>
      <c r="G9" s="669"/>
    </row>
    <row r="10" spans="2:11" ht="15" thickBot="1">
      <c r="B10" s="670" t="s">
        <v>126</v>
      </c>
      <c r="C10" s="671"/>
      <c r="D10" s="671"/>
      <c r="E10" s="671"/>
      <c r="F10" s="671"/>
      <c r="G10" s="672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76" t="s">
        <v>125</v>
      </c>
      <c r="G11" s="677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78">
        <f>B12-E12</f>
        <v>0</v>
      </c>
      <c r="G12" s="679"/>
    </row>
    <row r="13" spans="2:11" ht="15" thickBot="1">
      <c r="B13" s="670" t="s">
        <v>127</v>
      </c>
      <c r="C13" s="671"/>
      <c r="D13" s="671"/>
      <c r="E13" s="671"/>
      <c r="F13" s="671"/>
      <c r="G13" s="672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76" t="s">
        <v>125</v>
      </c>
      <c r="G14" s="677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68">
        <f>B15-E15</f>
        <v>6.5450000000000159</v>
      </c>
      <c r="G15" s="669"/>
      <c r="K15" s="6"/>
    </row>
    <row r="16" spans="2:11" ht="15" thickBot="1">
      <c r="B16" s="670" t="s">
        <v>128</v>
      </c>
      <c r="C16" s="671"/>
      <c r="D16" s="671"/>
      <c r="E16" s="671"/>
      <c r="F16" s="671"/>
      <c r="G16" s="672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76" t="s">
        <v>125</v>
      </c>
      <c r="G17" s="677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68">
        <f>B18-E18</f>
        <v>19.996999999999986</v>
      </c>
      <c r="G18" s="669"/>
      <c r="K18" s="13"/>
    </row>
    <row r="19" spans="2:11" ht="15" thickBot="1">
      <c r="B19" s="670" t="s">
        <v>129</v>
      </c>
      <c r="C19" s="671"/>
      <c r="D19" s="671"/>
      <c r="E19" s="671"/>
      <c r="F19" s="671"/>
      <c r="G19" s="672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76" t="s">
        <v>125</v>
      </c>
      <c r="G20" s="677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8">
        <f>B21-E21</f>
        <v>198</v>
      </c>
      <c r="G21" s="679"/>
    </row>
    <row r="22" spans="2:11" ht="15" thickBot="1">
      <c r="B22" s="670" t="s">
        <v>1096</v>
      </c>
      <c r="C22" s="671"/>
      <c r="D22" s="671"/>
      <c r="E22" s="671"/>
      <c r="F22" s="671"/>
      <c r="G22" s="672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76" t="s">
        <v>125</v>
      </c>
      <c r="G23" s="677"/>
    </row>
    <row r="24" spans="2:11" ht="15" thickBot="1">
      <c r="B24" s="3">
        <f>'AOTL - KEC'!C13</f>
        <v>293</v>
      </c>
      <c r="C24" s="16">
        <v>92</v>
      </c>
      <c r="D24" s="16" t="s">
        <v>67</v>
      </c>
      <c r="E24" s="19">
        <v>89</v>
      </c>
      <c r="F24" s="678">
        <f>B24-E24</f>
        <v>204</v>
      </c>
      <c r="G24" s="679"/>
    </row>
    <row r="25" spans="2:11" ht="15" thickBot="1">
      <c r="B25" s="670" t="s">
        <v>131</v>
      </c>
      <c r="C25" s="671"/>
      <c r="D25" s="671"/>
      <c r="E25" s="671"/>
      <c r="F25" s="671"/>
      <c r="G25" s="672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76" t="s">
        <v>125</v>
      </c>
      <c r="G26" s="677"/>
    </row>
    <row r="27" spans="2:11" ht="15" thickBot="1">
      <c r="B27" s="3">
        <f>'AOTL - KEC'!C14</f>
        <v>293</v>
      </c>
      <c r="C27" s="16">
        <v>47</v>
      </c>
      <c r="D27" s="16">
        <v>1</v>
      </c>
      <c r="E27" s="12">
        <v>46</v>
      </c>
      <c r="F27" s="678">
        <f>B27-E27</f>
        <v>247</v>
      </c>
      <c r="G27" s="679"/>
    </row>
    <row r="28" spans="2:11" ht="15" thickBot="1">
      <c r="B28" s="670" t="s">
        <v>132</v>
      </c>
      <c r="C28" s="671"/>
      <c r="D28" s="671"/>
      <c r="E28" s="671"/>
      <c r="F28" s="671"/>
      <c r="G28" s="672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76" t="s">
        <v>133</v>
      </c>
      <c r="G29" s="677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8">
        <f>B30-E30</f>
        <v>114.51600000000001</v>
      </c>
      <c r="G30" s="669"/>
    </row>
    <row r="31" spans="2:11" ht="15" thickBot="1">
      <c r="B31" s="670" t="s">
        <v>134</v>
      </c>
      <c r="C31" s="671"/>
      <c r="D31" s="671"/>
      <c r="E31" s="671"/>
      <c r="F31" s="671"/>
      <c r="G31" s="672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76" t="s">
        <v>125</v>
      </c>
      <c r="G32" s="677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8">
        <f>B33-E33</f>
        <v>114.51600000000001</v>
      </c>
      <c r="G33" s="669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E16" activePane="bottomRight" state="frozen"/>
      <selection activeCell="G2" sqref="G2"/>
      <selection pane="topRight" activeCell="G2" sqref="G2"/>
      <selection pane="bottomLeft" activeCell="G2" sqref="G2"/>
      <selection pane="bottomRight" activeCell="G2" sqref="G2:I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49999999999999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49999999999999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topLeftCell="A2" zoomScaleNormal="100" workbookViewId="0">
      <selection activeCell="G2" sqref="G2:I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46240</v>
      </c>
    </row>
    <row r="2" spans="1:6">
      <c r="A2" s="475"/>
      <c r="E2" s="476"/>
    </row>
    <row r="3" spans="1:6">
      <c r="A3" s="685" t="s">
        <v>243</v>
      </c>
      <c r="B3" s="686"/>
      <c r="C3" s="686"/>
      <c r="D3" s="686"/>
      <c r="E3" s="687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4" zoomScaleNormal="100" zoomScaleSheetLayoutView="101" workbookViewId="0">
      <selection activeCell="A13" sqref="A13:XFD13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88" t="s">
        <v>257</v>
      </c>
      <c r="B1" s="688"/>
      <c r="C1" s="688"/>
      <c r="D1" s="688"/>
      <c r="E1" s="688"/>
      <c r="F1" s="688"/>
      <c r="G1" s="688"/>
      <c r="H1" s="688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4" activePane="bottomLeft" state="frozen"/>
      <selection pane="bottomLeft" activeCell="G100" sqref="G100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7.81640625" style="420" customWidth="1"/>
    <col min="8" max="8" width="13.1796875" style="387" customWidth="1"/>
    <col min="9" max="10" width="13.1796875" style="350" customWidth="1"/>
    <col min="11" max="11" width="13.1796875" style="393" customWidth="1"/>
    <col min="12" max="14" width="13.1796875" style="350" customWidth="1"/>
    <col min="15" max="16384" width="9.453125" style="383"/>
  </cols>
  <sheetData>
    <row r="1" spans="1:16" s="395" customFormat="1">
      <c r="A1" s="689" t="s">
        <v>336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1"/>
      <c r="N1" s="407">
        <f>'765KV ASOTL'!G1</f>
        <v>46240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100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3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1180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2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abSelected="1" topLeftCell="A49" zoomScale="55" zoomScaleNormal="55" zoomScaleSheetLayoutView="72" workbookViewId="0">
      <selection activeCell="F56" sqref="F56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2" t="s">
        <v>465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430">
        <f>FDN!N1</f>
        <v>46240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1117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1123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541" customFormat="1" ht="48" customHeight="1">
      <c r="A51" s="447">
        <v>48</v>
      </c>
      <c r="B51" s="440" t="s">
        <v>378</v>
      </c>
      <c r="C51" s="440" t="s">
        <v>350</v>
      </c>
      <c r="D51" s="448">
        <v>46218</v>
      </c>
      <c r="E51" s="439">
        <v>37.795999999999999</v>
      </c>
      <c r="F51" s="626" t="s">
        <v>1183</v>
      </c>
      <c r="G51" s="438">
        <v>46236</v>
      </c>
      <c r="H51" s="444" t="s">
        <v>1123</v>
      </c>
      <c r="I51" s="444"/>
      <c r="J51" s="442">
        <v>35</v>
      </c>
      <c r="K51" s="444"/>
      <c r="L51" s="444"/>
      <c r="M51" s="444"/>
      <c r="N51" s="444"/>
      <c r="O51" s="444"/>
      <c r="P51" s="444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1117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34" customHeight="1">
      <c r="A53" s="456">
        <v>49</v>
      </c>
      <c r="B53" s="449" t="s">
        <v>1181</v>
      </c>
      <c r="C53" s="449" t="s">
        <v>302</v>
      </c>
      <c r="D53" s="457">
        <v>46236</v>
      </c>
      <c r="E53" s="455">
        <v>72.233999999999995</v>
      </c>
      <c r="F53" s="540" t="s">
        <v>1186</v>
      </c>
      <c r="G53" s="250"/>
      <c r="H53" s="451" t="s">
        <v>1123</v>
      </c>
      <c r="I53" s="451"/>
      <c r="J53" s="450">
        <v>35</v>
      </c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5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5"/>
  <sheetViews>
    <sheetView showGridLines="0" view="pageBreakPreview" topLeftCell="A31" zoomScale="60" zoomScaleNormal="40" workbookViewId="0">
      <selection activeCell="AF46" sqref="AF46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694" t="s">
        <v>480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6"/>
      <c r="AG1" s="170"/>
      <c r="AH1" s="170"/>
      <c r="AI1" s="170"/>
      <c r="AJ1" s="170"/>
      <c r="AK1" s="170"/>
      <c r="AL1" s="170"/>
      <c r="AM1" s="760"/>
      <c r="AN1" s="760"/>
      <c r="AO1" s="761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62"/>
      <c r="AH2" s="762"/>
      <c r="AI2" s="762"/>
      <c r="AJ2" s="762"/>
      <c r="AK2" s="762"/>
      <c r="AL2" s="762"/>
      <c r="AM2" s="762"/>
      <c r="AN2" s="762"/>
      <c r="AO2" s="763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64" t="s">
        <v>485</v>
      </c>
      <c r="AH3" s="765"/>
      <c r="AI3" s="765"/>
      <c r="AJ3" s="171" t="s">
        <v>486</v>
      </c>
      <c r="AK3" s="171"/>
      <c r="AL3" s="171"/>
      <c r="AM3" s="766" t="s">
        <v>487</v>
      </c>
      <c r="AN3" s="766" t="s">
        <v>488</v>
      </c>
      <c r="AO3" s="769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64" t="s">
        <v>491</v>
      </c>
      <c r="AH4" s="765" t="s">
        <v>492</v>
      </c>
      <c r="AI4" s="765" t="s">
        <v>493</v>
      </c>
      <c r="AJ4" s="765" t="s">
        <v>491</v>
      </c>
      <c r="AK4" s="765" t="s">
        <v>492</v>
      </c>
      <c r="AL4" s="765" t="s">
        <v>493</v>
      </c>
      <c r="AM4" s="767"/>
      <c r="AN4" s="767"/>
      <c r="AO4" s="770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15">
        <f>'765KV ASOTL'!G1</f>
        <v>46240</v>
      </c>
      <c r="AF5" s="716"/>
      <c r="AG5" s="764"/>
      <c r="AH5" s="765"/>
      <c r="AI5" s="765"/>
      <c r="AJ5" s="765"/>
      <c r="AK5" s="765"/>
      <c r="AL5" s="765"/>
      <c r="AM5" s="768"/>
      <c r="AN5" s="768"/>
      <c r="AO5" s="771"/>
    </row>
    <row r="6" spans="1:41" s="159" customFormat="1" ht="13.4" customHeight="1">
      <c r="A6" s="701" t="s">
        <v>494</v>
      </c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17" t="s">
        <v>495</v>
      </c>
      <c r="M6" s="718"/>
      <c r="N6" s="718"/>
      <c r="O6" s="718"/>
      <c r="P6" s="718"/>
      <c r="Q6" s="718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03"/>
      <c r="B7" s="704"/>
      <c r="C7" s="704"/>
      <c r="D7" s="704"/>
      <c r="E7" s="704"/>
      <c r="F7" s="704"/>
      <c r="G7" s="704"/>
      <c r="H7" s="704"/>
      <c r="I7" s="704"/>
      <c r="J7" s="704"/>
      <c r="K7" s="704"/>
      <c r="L7" s="719"/>
      <c r="M7" s="720"/>
      <c r="N7" s="720"/>
      <c r="O7" s="720"/>
      <c r="P7" s="720"/>
      <c r="Q7" s="720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05" t="s">
        <v>244</v>
      </c>
      <c r="B8" s="707" t="s">
        <v>22</v>
      </c>
      <c r="C8" s="708"/>
      <c r="D8" s="709"/>
      <c r="E8" s="713" t="s">
        <v>246</v>
      </c>
      <c r="F8" s="707" t="s">
        <v>496</v>
      </c>
      <c r="G8" s="709"/>
      <c r="H8" s="707" t="s">
        <v>497</v>
      </c>
      <c r="I8" s="709"/>
      <c r="J8" s="707" t="s">
        <v>498</v>
      </c>
      <c r="K8" s="709"/>
      <c r="L8" s="728" t="s">
        <v>244</v>
      </c>
      <c r="M8" s="730" t="s">
        <v>499</v>
      </c>
      <c r="N8" s="731"/>
      <c r="O8" s="734" t="s">
        <v>500</v>
      </c>
      <c r="P8" s="728" t="s">
        <v>501</v>
      </c>
      <c r="Q8" s="697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06"/>
      <c r="B9" s="710"/>
      <c r="C9" s="711"/>
      <c r="D9" s="712"/>
      <c r="E9" s="714"/>
      <c r="F9" s="710"/>
      <c r="G9" s="712"/>
      <c r="H9" s="710"/>
      <c r="I9" s="712"/>
      <c r="J9" s="710"/>
      <c r="K9" s="712"/>
      <c r="L9" s="729"/>
      <c r="M9" s="732"/>
      <c r="N9" s="733"/>
      <c r="O9" s="735"/>
      <c r="P9" s="729"/>
      <c r="Q9" s="698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21" t="s">
        <v>37</v>
      </c>
      <c r="C10" s="722"/>
      <c r="D10" s="723"/>
      <c r="E10" s="177" t="s">
        <v>503</v>
      </c>
      <c r="F10" s="724">
        <v>114.51600000000001</v>
      </c>
      <c r="G10" s="725"/>
      <c r="H10" s="726">
        <f>'Survey Anx'!F39</f>
        <v>107.97099999999999</v>
      </c>
      <c r="I10" s="727"/>
      <c r="J10" s="724">
        <f t="shared" ref="J10:J19" si="0">F10-H10</f>
        <v>6.5450000000000159</v>
      </c>
      <c r="K10" s="725"/>
      <c r="L10" s="177">
        <v>1</v>
      </c>
      <c r="M10" s="699" t="s">
        <v>504</v>
      </c>
      <c r="N10" s="700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72"/>
      <c r="AH10" s="772"/>
      <c r="AI10" s="772"/>
      <c r="AJ10" s="772"/>
      <c r="AK10" s="772"/>
      <c r="AL10" s="772"/>
      <c r="AM10" s="773"/>
      <c r="AN10" s="773"/>
      <c r="AO10" s="775"/>
    </row>
    <row r="11" spans="1:41" s="159" customFormat="1" ht="17">
      <c r="A11" s="564">
        <v>2</v>
      </c>
      <c r="B11" s="736" t="s">
        <v>21</v>
      </c>
      <c r="C11" s="737"/>
      <c r="D11" s="738"/>
      <c r="E11" s="179" t="s">
        <v>503</v>
      </c>
      <c r="F11" s="743">
        <v>114.51600000000001</v>
      </c>
      <c r="G11" s="744"/>
      <c r="H11" s="745">
        <f>'Survey Anx'!I39</f>
        <v>94.51900000000002</v>
      </c>
      <c r="I11" s="746"/>
      <c r="J11" s="743">
        <f t="shared" si="0"/>
        <v>19.996999999999986</v>
      </c>
      <c r="K11" s="744"/>
      <c r="L11" s="204">
        <f t="shared" ref="L11:L18" si="1">L10+1</f>
        <v>2</v>
      </c>
      <c r="M11" s="777" t="s">
        <v>505</v>
      </c>
      <c r="N11" s="778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72"/>
      <c r="AH11" s="772"/>
      <c r="AI11" s="772"/>
      <c r="AJ11" s="772"/>
      <c r="AK11" s="772"/>
      <c r="AL11" s="772"/>
      <c r="AM11" s="773"/>
      <c r="AN11" s="773"/>
      <c r="AO11" s="775"/>
    </row>
    <row r="12" spans="1:41" s="159" customFormat="1" ht="17.5" customHeight="1">
      <c r="A12" s="564">
        <v>3</v>
      </c>
      <c r="B12" s="736" t="s">
        <v>52</v>
      </c>
      <c r="C12" s="737"/>
      <c r="D12" s="738"/>
      <c r="E12" s="179" t="s">
        <v>506</v>
      </c>
      <c r="F12" s="739">
        <v>30</v>
      </c>
      <c r="G12" s="740"/>
      <c r="H12" s="741">
        <v>30</v>
      </c>
      <c r="I12" s="742"/>
      <c r="J12" s="739">
        <f t="shared" si="0"/>
        <v>0</v>
      </c>
      <c r="K12" s="740"/>
      <c r="L12" s="204">
        <f t="shared" si="1"/>
        <v>3</v>
      </c>
      <c r="M12" s="777" t="s">
        <v>507</v>
      </c>
      <c r="N12" s="778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73"/>
      <c r="AH12" s="773"/>
      <c r="AI12" s="773"/>
      <c r="AJ12" s="773"/>
      <c r="AK12" s="773"/>
      <c r="AL12" s="773"/>
      <c r="AM12" s="773"/>
      <c r="AN12" s="773"/>
      <c r="AO12" s="775"/>
    </row>
    <row r="13" spans="1:41" s="159" customFormat="1" ht="17.5" customHeight="1">
      <c r="A13" s="564">
        <v>4</v>
      </c>
      <c r="B13" s="736" t="s">
        <v>54</v>
      </c>
      <c r="C13" s="737"/>
      <c r="D13" s="738"/>
      <c r="E13" s="179" t="s">
        <v>506</v>
      </c>
      <c r="F13" s="739">
        <v>293</v>
      </c>
      <c r="G13" s="740"/>
      <c r="H13" s="741">
        <f>BV20</f>
        <v>95</v>
      </c>
      <c r="I13" s="742"/>
      <c r="J13" s="739">
        <f t="shared" si="0"/>
        <v>198</v>
      </c>
      <c r="K13" s="740"/>
      <c r="L13" s="204">
        <f t="shared" si="1"/>
        <v>4</v>
      </c>
      <c r="M13" s="777" t="s">
        <v>508</v>
      </c>
      <c r="N13" s="778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73"/>
      <c r="AH13" s="773"/>
      <c r="AI13" s="773"/>
      <c r="AJ13" s="773"/>
      <c r="AK13" s="773"/>
      <c r="AL13" s="773"/>
      <c r="AM13" s="773"/>
      <c r="AN13" s="773"/>
      <c r="AO13" s="775"/>
    </row>
    <row r="14" spans="1:41" s="159" customFormat="1" ht="17.5" customHeight="1">
      <c r="A14" s="564">
        <v>5</v>
      </c>
      <c r="B14" s="736" t="s">
        <v>55</v>
      </c>
      <c r="C14" s="737"/>
      <c r="D14" s="738"/>
      <c r="E14" s="179" t="s">
        <v>506</v>
      </c>
      <c r="F14" s="739">
        <v>293</v>
      </c>
      <c r="G14" s="740"/>
      <c r="H14" s="741">
        <v>89</v>
      </c>
      <c r="I14" s="742"/>
      <c r="J14" s="739">
        <f t="shared" si="0"/>
        <v>204</v>
      </c>
      <c r="K14" s="740"/>
      <c r="L14" s="204">
        <f t="shared" si="1"/>
        <v>5</v>
      </c>
      <c r="M14" s="777" t="s">
        <v>509</v>
      </c>
      <c r="N14" s="778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73"/>
      <c r="AH14" s="773"/>
      <c r="AI14" s="773"/>
      <c r="AJ14" s="773"/>
      <c r="AK14" s="773"/>
      <c r="AL14" s="773"/>
      <c r="AM14" s="773"/>
      <c r="AN14" s="773"/>
      <c r="AO14" s="775"/>
    </row>
    <row r="15" spans="1:41" s="159" customFormat="1" ht="17.149999999999999" customHeight="1">
      <c r="A15" s="564">
        <v>6</v>
      </c>
      <c r="B15" s="736" t="s">
        <v>510</v>
      </c>
      <c r="C15" s="737"/>
      <c r="D15" s="738"/>
      <c r="E15" s="179" t="s">
        <v>506</v>
      </c>
      <c r="F15" s="739">
        <v>293</v>
      </c>
      <c r="G15" s="740"/>
      <c r="H15" s="741">
        <f>BW20</f>
        <v>47</v>
      </c>
      <c r="I15" s="742"/>
      <c r="J15" s="739">
        <f t="shared" si="0"/>
        <v>246</v>
      </c>
      <c r="K15" s="740"/>
      <c r="L15" s="204">
        <f t="shared" si="1"/>
        <v>6</v>
      </c>
      <c r="M15" s="777" t="s">
        <v>511</v>
      </c>
      <c r="N15" s="778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73"/>
      <c r="AH15" s="773"/>
      <c r="AI15" s="773"/>
      <c r="AJ15" s="773"/>
      <c r="AK15" s="773"/>
      <c r="AL15" s="773"/>
      <c r="AM15" s="773"/>
      <c r="AN15" s="773"/>
      <c r="AO15" s="775"/>
    </row>
    <row r="16" spans="1:41" s="159" customFormat="1" ht="17.5" customHeight="1">
      <c r="A16" s="564">
        <v>7</v>
      </c>
      <c r="B16" s="736" t="s">
        <v>512</v>
      </c>
      <c r="C16" s="737"/>
      <c r="D16" s="738"/>
      <c r="E16" s="179" t="s">
        <v>506</v>
      </c>
      <c r="F16" s="739">
        <v>293</v>
      </c>
      <c r="G16" s="740"/>
      <c r="H16" s="741">
        <v>13</v>
      </c>
      <c r="I16" s="742"/>
      <c r="J16" s="739">
        <f t="shared" si="0"/>
        <v>280</v>
      </c>
      <c r="K16" s="740"/>
      <c r="L16" s="204">
        <f t="shared" si="1"/>
        <v>7</v>
      </c>
      <c r="M16" s="777" t="s">
        <v>67</v>
      </c>
      <c r="N16" s="778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73"/>
      <c r="AH16" s="773"/>
      <c r="AI16" s="773"/>
      <c r="AJ16" s="773"/>
      <c r="AK16" s="773"/>
      <c r="AL16" s="773"/>
      <c r="AM16" s="773"/>
      <c r="AN16" s="773"/>
      <c r="AO16" s="775"/>
    </row>
    <row r="17" spans="1:75" s="159" customFormat="1" ht="17.5" customHeight="1">
      <c r="A17" s="564">
        <v>8</v>
      </c>
      <c r="B17" s="736" t="s">
        <v>513</v>
      </c>
      <c r="C17" s="737"/>
      <c r="D17" s="738"/>
      <c r="E17" s="179" t="s">
        <v>503</v>
      </c>
      <c r="F17" s="743">
        <v>114.51600000000001</v>
      </c>
      <c r="G17" s="744"/>
      <c r="H17" s="745">
        <v>0</v>
      </c>
      <c r="I17" s="746"/>
      <c r="J17" s="743">
        <f t="shared" si="0"/>
        <v>114.51600000000001</v>
      </c>
      <c r="K17" s="744"/>
      <c r="L17" s="204">
        <f t="shared" si="1"/>
        <v>8</v>
      </c>
      <c r="M17" s="777" t="s">
        <v>67</v>
      </c>
      <c r="N17" s="778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73"/>
      <c r="AH17" s="773"/>
      <c r="AI17" s="773"/>
      <c r="AJ17" s="773"/>
      <c r="AK17" s="773"/>
      <c r="AL17" s="773"/>
      <c r="AM17" s="773"/>
      <c r="AN17" s="773"/>
      <c r="AO17" s="775"/>
    </row>
    <row r="18" spans="1:75" s="159" customFormat="1" ht="17.5" customHeight="1">
      <c r="A18" s="564">
        <v>9</v>
      </c>
      <c r="B18" s="736" t="s">
        <v>514</v>
      </c>
      <c r="C18" s="737"/>
      <c r="D18" s="738"/>
      <c r="E18" s="179" t="s">
        <v>503</v>
      </c>
      <c r="F18" s="743">
        <v>114.51600000000001</v>
      </c>
      <c r="G18" s="744"/>
      <c r="H18" s="745">
        <v>0</v>
      </c>
      <c r="I18" s="746"/>
      <c r="J18" s="743">
        <f t="shared" si="0"/>
        <v>114.51600000000001</v>
      </c>
      <c r="K18" s="744"/>
      <c r="L18" s="204">
        <f t="shared" si="1"/>
        <v>9</v>
      </c>
      <c r="M18" s="777" t="s">
        <v>67</v>
      </c>
      <c r="N18" s="778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73"/>
      <c r="AH18" s="773"/>
      <c r="AI18" s="773"/>
      <c r="AJ18" s="773"/>
      <c r="AK18" s="773"/>
      <c r="AL18" s="773"/>
      <c r="AM18" s="773"/>
      <c r="AN18" s="773"/>
      <c r="AO18" s="775"/>
    </row>
    <row r="19" spans="1:75" s="159" customFormat="1" ht="18" customHeight="1" thickBot="1">
      <c r="A19" s="565">
        <v>10</v>
      </c>
      <c r="B19" s="747" t="s">
        <v>515</v>
      </c>
      <c r="C19" s="748"/>
      <c r="D19" s="749"/>
      <c r="E19" s="180" t="s">
        <v>503</v>
      </c>
      <c r="F19" s="750">
        <v>114.51600000000001</v>
      </c>
      <c r="G19" s="751"/>
      <c r="H19" s="752">
        <v>0</v>
      </c>
      <c r="I19" s="753"/>
      <c r="J19" s="750">
        <f t="shared" si="0"/>
        <v>114.51600000000001</v>
      </c>
      <c r="K19" s="751"/>
      <c r="L19" s="204">
        <f>L18+1</f>
        <v>10</v>
      </c>
      <c r="M19" s="779" t="s">
        <v>67</v>
      </c>
      <c r="N19" s="78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74"/>
      <c r="AH19" s="774"/>
      <c r="AI19" s="774"/>
      <c r="AJ19" s="774"/>
      <c r="AK19" s="774"/>
      <c r="AL19" s="774"/>
      <c r="AM19" s="774"/>
      <c r="AN19" s="774"/>
      <c r="AO19" s="776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794" t="s">
        <v>531</v>
      </c>
      <c r="O27" s="579"/>
      <c r="P27" s="794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795"/>
      <c r="O28" s="581">
        <v>164.96</v>
      </c>
      <c r="P28" s="795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96"/>
      <c r="O29" s="200"/>
      <c r="P29" s="796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790" t="s">
        <v>548</v>
      </c>
      <c r="I42" s="790"/>
      <c r="J42" s="790"/>
      <c r="K42" s="790"/>
      <c r="L42" s="790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>
        <v>31</v>
      </c>
      <c r="C44" s="200"/>
      <c r="D44" s="200">
        <v>32</v>
      </c>
      <c r="E44" s="200"/>
      <c r="F44" s="200">
        <v>33</v>
      </c>
      <c r="G44" s="200"/>
      <c r="H44" s="200">
        <v>34</v>
      </c>
      <c r="I44" s="200"/>
      <c r="J44" s="200">
        <v>35</v>
      </c>
      <c r="K44" s="200"/>
      <c r="L44" s="200">
        <v>36</v>
      </c>
      <c r="M44" s="200"/>
      <c r="N44" s="200">
        <v>37</v>
      </c>
      <c r="O44" s="200"/>
      <c r="P44" s="200">
        <v>38</v>
      </c>
      <c r="Q44" s="200"/>
      <c r="R44" s="200">
        <v>39</v>
      </c>
      <c r="S44" s="200"/>
      <c r="T44" s="200">
        <v>40</v>
      </c>
      <c r="U44" s="200"/>
      <c r="V44" s="200">
        <v>41</v>
      </c>
      <c r="W44" s="200"/>
      <c r="X44" s="200">
        <v>42</v>
      </c>
      <c r="Y44" s="200"/>
      <c r="Z44" s="200">
        <v>43</v>
      </c>
      <c r="AA44" s="200"/>
      <c r="AB44" s="200">
        <v>44</v>
      </c>
      <c r="AC44" s="200"/>
      <c r="AD44" s="200">
        <v>45</v>
      </c>
      <c r="AE44" s="200"/>
      <c r="AF44" s="574"/>
      <c r="AG44" s="754"/>
      <c r="AH44" s="756"/>
      <c r="AI44" s="756"/>
      <c r="AJ44" s="756"/>
      <c r="AK44" s="756"/>
      <c r="AL44" s="756"/>
      <c r="AM44" s="756"/>
      <c r="AN44" s="756"/>
      <c r="AO44" s="783"/>
    </row>
    <row r="45" spans="1:75" s="193" customFormat="1" ht="13" customHeight="1">
      <c r="A45" s="587"/>
      <c r="B45" s="529" t="s">
        <v>136</v>
      </c>
      <c r="C45" s="258"/>
      <c r="D45" s="529" t="s">
        <v>370</v>
      </c>
      <c r="E45" s="258"/>
      <c r="F45" s="529" t="s">
        <v>368</v>
      </c>
      <c r="G45" s="258"/>
      <c r="H45" s="529" t="s">
        <v>369</v>
      </c>
      <c r="I45" s="258"/>
      <c r="J45" s="529" t="s">
        <v>367</v>
      </c>
      <c r="K45" s="258"/>
      <c r="L45" s="529" t="s">
        <v>380</v>
      </c>
      <c r="M45" s="588"/>
      <c r="N45" s="529" t="s">
        <v>395</v>
      </c>
      <c r="O45" s="258"/>
      <c r="P45" s="529" t="s">
        <v>174</v>
      </c>
      <c r="Q45" s="258"/>
      <c r="R45" s="529" t="s">
        <v>137</v>
      </c>
      <c r="S45" s="258"/>
      <c r="T45" s="529" t="s">
        <v>138</v>
      </c>
      <c r="U45" s="258"/>
      <c r="V45" s="529" t="s">
        <v>139</v>
      </c>
      <c r="W45" s="258"/>
      <c r="X45" s="529" t="s">
        <v>365</v>
      </c>
      <c r="Y45" s="258"/>
      <c r="Z45" s="529" t="s">
        <v>364</v>
      </c>
      <c r="AA45" s="258"/>
      <c r="AB45" s="529" t="s">
        <v>140</v>
      </c>
      <c r="AC45" s="258"/>
      <c r="AD45" s="529" t="s">
        <v>382</v>
      </c>
      <c r="AE45" s="258"/>
      <c r="AF45" s="589"/>
      <c r="AG45" s="754"/>
      <c r="AH45" s="756"/>
      <c r="AI45" s="756"/>
      <c r="AJ45" s="756"/>
      <c r="AK45" s="756"/>
      <c r="AL45" s="756"/>
      <c r="AM45" s="756"/>
      <c r="AN45" s="756"/>
      <c r="AO45" s="783"/>
    </row>
    <row r="46" spans="1:75" s="166" customFormat="1" ht="13" customHeight="1">
      <c r="A46" s="206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574"/>
      <c r="AG46" s="754"/>
      <c r="AH46" s="756"/>
      <c r="AI46" s="756"/>
      <c r="AJ46" s="756"/>
      <c r="AK46" s="756"/>
      <c r="AL46" s="756"/>
      <c r="AM46" s="756"/>
      <c r="AN46" s="756"/>
      <c r="AO46" s="783"/>
    </row>
    <row r="47" spans="1:75" s="166" customFormat="1" ht="13" customHeight="1">
      <c r="A47" s="206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00"/>
      <c r="P47" s="254"/>
      <c r="Q47" s="254"/>
      <c r="R47" s="254"/>
      <c r="S47" s="200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574"/>
      <c r="AG47" s="754"/>
      <c r="AH47" s="756"/>
      <c r="AI47" s="756"/>
      <c r="AJ47" s="756"/>
      <c r="AK47" s="756"/>
      <c r="AL47" s="756"/>
      <c r="AM47" s="756"/>
      <c r="AN47" s="756"/>
      <c r="AO47" s="783"/>
    </row>
    <row r="48" spans="1:75" s="166" customFormat="1" ht="13" customHeight="1" thickBo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54"/>
      <c r="AH48" s="756"/>
      <c r="AI48" s="756"/>
      <c r="AJ48" s="756"/>
      <c r="AK48" s="756"/>
      <c r="AL48" s="756"/>
      <c r="AM48" s="756"/>
      <c r="AN48" s="756"/>
      <c r="AO48" s="783"/>
    </row>
    <row r="49" spans="1:75" s="166" customFormat="1" ht="12.65" customHeight="1">
      <c r="A49" s="594"/>
      <c r="B49" s="202"/>
      <c r="C49" s="591"/>
      <c r="D49" s="184"/>
      <c r="E49" s="591"/>
      <c r="F49" s="184"/>
      <c r="G49" s="591"/>
      <c r="H49" s="184"/>
      <c r="I49" s="591"/>
      <c r="J49" s="184"/>
      <c r="K49" s="591"/>
      <c r="L49" s="184"/>
      <c r="M49" s="591"/>
      <c r="N49" s="184"/>
      <c r="O49" s="591"/>
      <c r="P49" s="184"/>
      <c r="Q49" s="591"/>
      <c r="R49" s="184"/>
      <c r="S49" s="591"/>
      <c r="T49" s="184"/>
      <c r="U49" s="591"/>
      <c r="V49" s="184"/>
      <c r="W49" s="591"/>
      <c r="X49" s="184"/>
      <c r="Y49" s="591"/>
      <c r="Z49" s="184"/>
      <c r="AA49" s="591"/>
      <c r="AB49" s="786"/>
      <c r="AC49" s="591"/>
      <c r="AD49" s="184"/>
      <c r="AE49" s="591"/>
      <c r="AF49" s="574"/>
      <c r="AG49" s="754"/>
      <c r="AH49" s="756"/>
      <c r="AI49" s="756"/>
      <c r="AJ49" s="756"/>
      <c r="AK49" s="756"/>
      <c r="AL49" s="756"/>
      <c r="AM49" s="756"/>
      <c r="AN49" s="756"/>
      <c r="AO49" s="783"/>
      <c r="BV49" s="500">
        <f>15</f>
        <v>15</v>
      </c>
      <c r="BW49" s="500">
        <v>10</v>
      </c>
    </row>
    <row r="50" spans="1:75" s="166" customFormat="1" ht="13.5" customHeight="1">
      <c r="A50" s="594"/>
      <c r="B50" s="187"/>
      <c r="C50" s="592">
        <v>421.99400000000003</v>
      </c>
      <c r="D50" s="187"/>
      <c r="E50" s="592">
        <v>232.608</v>
      </c>
      <c r="F50" s="187"/>
      <c r="G50" s="592">
        <v>216.64099999999999</v>
      </c>
      <c r="H50" s="187"/>
      <c r="I50" s="592">
        <v>355.99799999999999</v>
      </c>
      <c r="J50" s="187"/>
      <c r="K50" s="592">
        <v>384</v>
      </c>
      <c r="L50" s="187"/>
      <c r="M50" s="592">
        <v>362</v>
      </c>
      <c r="N50" s="191"/>
      <c r="O50" s="592">
        <v>307.02800000000002</v>
      </c>
      <c r="P50" s="191"/>
      <c r="Q50" s="592">
        <v>379.00200000000001</v>
      </c>
      <c r="R50" s="187"/>
      <c r="S50" s="592">
        <v>412</v>
      </c>
      <c r="T50" s="187"/>
      <c r="U50" s="592">
        <v>429</v>
      </c>
      <c r="V50" s="187"/>
      <c r="W50" s="592">
        <v>408</v>
      </c>
      <c r="X50" s="191"/>
      <c r="Y50" s="592">
        <v>395</v>
      </c>
      <c r="Z50" s="187"/>
      <c r="AA50" s="592">
        <v>380.68599999999998</v>
      </c>
      <c r="AB50" s="787"/>
      <c r="AC50" s="592">
        <v>410.99700000000001</v>
      </c>
      <c r="AD50" s="187"/>
      <c r="AE50" s="592">
        <v>413</v>
      </c>
      <c r="AF50" s="574"/>
      <c r="AG50" s="754"/>
      <c r="AH50" s="756"/>
      <c r="AI50" s="756"/>
      <c r="AJ50" s="756"/>
      <c r="AK50" s="756"/>
      <c r="AL50" s="756"/>
      <c r="AM50" s="756"/>
      <c r="AN50" s="756"/>
      <c r="AO50" s="783"/>
    </row>
    <row r="51" spans="1:75" s="166" customFormat="1" ht="13.5" customHeight="1" thickBot="1">
      <c r="A51" s="594"/>
      <c r="B51" s="203"/>
      <c r="D51" s="189"/>
      <c r="F51" s="189"/>
      <c r="H51" s="189"/>
      <c r="J51" s="189"/>
      <c r="L51" s="189"/>
      <c r="N51" s="189"/>
      <c r="P51" s="189"/>
      <c r="R51" s="189"/>
      <c r="T51" s="189"/>
      <c r="V51" s="189"/>
      <c r="X51" s="189"/>
      <c r="Z51" s="189"/>
      <c r="AB51" s="788"/>
      <c r="AD51" s="189"/>
      <c r="AF51" s="574"/>
      <c r="AG51" s="754"/>
      <c r="AH51" s="756"/>
      <c r="AI51" s="756"/>
      <c r="AJ51" s="756"/>
      <c r="AK51" s="756"/>
      <c r="AL51" s="756"/>
      <c r="AM51" s="756"/>
      <c r="AN51" s="756"/>
      <c r="AO51" s="783"/>
    </row>
    <row r="52" spans="1:75" s="166" customFormat="1" ht="14.15" customHeight="1">
      <c r="A52" s="206"/>
      <c r="B52" s="258" t="s">
        <v>391</v>
      </c>
      <c r="C52" s="254"/>
      <c r="D52" s="258" t="s">
        <v>298</v>
      </c>
      <c r="E52" s="254"/>
      <c r="F52" s="258" t="s">
        <v>302</v>
      </c>
      <c r="G52" s="254"/>
      <c r="H52" s="595" t="s">
        <v>298</v>
      </c>
      <c r="I52" s="254"/>
      <c r="J52" s="254" t="s">
        <v>350</v>
      </c>
      <c r="K52" s="254"/>
      <c r="L52" s="254" t="s">
        <v>350</v>
      </c>
      <c r="M52" s="254"/>
      <c r="N52" s="254" t="s">
        <v>396</v>
      </c>
      <c r="O52" s="254"/>
      <c r="P52" s="258" t="s">
        <v>298</v>
      </c>
      <c r="Q52" s="254"/>
      <c r="R52" s="254" t="s">
        <v>350</v>
      </c>
      <c r="S52" s="254"/>
      <c r="T52" s="254" t="s">
        <v>357</v>
      </c>
      <c r="U52" s="254"/>
      <c r="V52" s="258" t="s">
        <v>357</v>
      </c>
      <c r="W52" s="254"/>
      <c r="X52" s="254" t="s">
        <v>350</v>
      </c>
      <c r="Y52" s="254"/>
      <c r="Z52" s="258" t="s">
        <v>350</v>
      </c>
      <c r="AA52" s="254"/>
      <c r="AB52" s="258" t="s">
        <v>302</v>
      </c>
      <c r="AC52" s="254"/>
      <c r="AD52" s="258" t="s">
        <v>357</v>
      </c>
      <c r="AE52" s="254"/>
      <c r="AF52" s="574"/>
      <c r="AG52" s="754"/>
      <c r="AH52" s="756"/>
      <c r="AI52" s="756"/>
      <c r="AJ52" s="756"/>
      <c r="AK52" s="756"/>
      <c r="AL52" s="756"/>
      <c r="AM52" s="756"/>
      <c r="AN52" s="756"/>
      <c r="AO52" s="783"/>
    </row>
    <row r="53" spans="1:75" s="166" customFormat="1" ht="14.15" customHeight="1">
      <c r="A53" s="206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00"/>
      <c r="O53" s="596"/>
      <c r="P53" s="200"/>
      <c r="Q53" s="596"/>
      <c r="R53" s="200"/>
      <c r="S53" s="596"/>
      <c r="T53" s="200"/>
      <c r="U53" s="596"/>
      <c r="V53" s="200"/>
      <c r="W53" s="596"/>
      <c r="X53" s="200"/>
      <c r="Y53" s="596"/>
      <c r="Z53" s="200"/>
      <c r="AA53" s="597"/>
      <c r="AB53" s="200"/>
      <c r="AC53" s="596"/>
      <c r="AD53" s="200"/>
      <c r="AE53" s="596"/>
      <c r="AF53" s="574"/>
      <c r="AG53" s="755"/>
      <c r="AH53" s="757"/>
      <c r="AI53" s="757"/>
      <c r="AJ53" s="757"/>
      <c r="AK53" s="757"/>
      <c r="AL53" s="757"/>
      <c r="AM53" s="757"/>
      <c r="AN53" s="757"/>
      <c r="AO53" s="785"/>
    </row>
    <row r="54" spans="1:75" s="166" customFormat="1" ht="14.15" customHeight="1">
      <c r="A54" s="206"/>
      <c r="B54" s="200"/>
      <c r="C54" s="200"/>
      <c r="D54" s="200"/>
      <c r="E54" s="200"/>
      <c r="F54" s="200"/>
      <c r="G54" s="200"/>
      <c r="H54" s="200"/>
      <c r="I54" s="200"/>
      <c r="J54" s="598"/>
      <c r="K54" s="585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574"/>
      <c r="AG54" s="759">
        <v>10</v>
      </c>
      <c r="AH54" s="758">
        <v>10</v>
      </c>
      <c r="AI54" s="758">
        <f>AG54-AH54</f>
        <v>0</v>
      </c>
      <c r="AJ54" s="758">
        <f>AG54</f>
        <v>10</v>
      </c>
      <c r="AK54" s="758">
        <v>10</v>
      </c>
      <c r="AL54" s="758">
        <f>AJ54-AK54</f>
        <v>0</v>
      </c>
      <c r="AM54" s="758">
        <v>1.2729999999999999</v>
      </c>
      <c r="AN54" s="758">
        <v>1.2729999999999999</v>
      </c>
      <c r="AO54" s="782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585"/>
      <c r="AF55" s="574"/>
      <c r="AG55" s="754"/>
      <c r="AH55" s="756"/>
      <c r="AI55" s="756"/>
      <c r="AJ55" s="756"/>
      <c r="AK55" s="756"/>
      <c r="AL55" s="756"/>
      <c r="AM55" s="756"/>
      <c r="AN55" s="756"/>
      <c r="AO55" s="783"/>
    </row>
    <row r="56" spans="1:75" s="166" customFormat="1" ht="14.15" customHeight="1">
      <c r="A56" s="206"/>
      <c r="B56" s="200">
        <v>46</v>
      </c>
      <c r="C56" s="200"/>
      <c r="D56" s="200">
        <v>47</v>
      </c>
      <c r="E56" s="200"/>
      <c r="F56" s="200">
        <v>48</v>
      </c>
      <c r="G56" s="200"/>
      <c r="H56" s="200">
        <v>49</v>
      </c>
      <c r="I56" s="200"/>
      <c r="J56" s="200">
        <v>50</v>
      </c>
      <c r="K56" s="200"/>
      <c r="L56" s="200">
        <v>51</v>
      </c>
      <c r="M56" s="200"/>
      <c r="N56" s="200">
        <v>52</v>
      </c>
      <c r="O56" s="200"/>
      <c r="P56" s="200">
        <v>53</v>
      </c>
      <c r="Q56" s="200"/>
      <c r="R56" s="200">
        <v>54</v>
      </c>
      <c r="S56" s="200"/>
      <c r="T56" s="200">
        <v>55</v>
      </c>
      <c r="U56" s="200"/>
      <c r="V56" s="200">
        <v>56</v>
      </c>
      <c r="W56" s="200"/>
      <c r="X56" s="200">
        <v>57</v>
      </c>
      <c r="Y56" s="200"/>
      <c r="Z56" s="200">
        <v>58</v>
      </c>
      <c r="AA56" s="200"/>
      <c r="AB56" s="200">
        <v>59</v>
      </c>
      <c r="AC56" s="200"/>
      <c r="AD56" s="200">
        <v>60</v>
      </c>
      <c r="AE56" s="200"/>
      <c r="AF56" s="574"/>
      <c r="AG56" s="754"/>
      <c r="AH56" s="756"/>
      <c r="AI56" s="756"/>
      <c r="AJ56" s="756"/>
      <c r="AK56" s="756"/>
      <c r="AL56" s="756"/>
      <c r="AM56" s="756"/>
      <c r="AN56" s="756"/>
      <c r="AO56" s="783"/>
    </row>
    <row r="57" spans="1:75" s="193" customFormat="1" ht="14.15" customHeight="1">
      <c r="A57" s="587"/>
      <c r="B57" s="529" t="s">
        <v>390</v>
      </c>
      <c r="C57" s="588"/>
      <c r="D57" s="529" t="s">
        <v>168</v>
      </c>
      <c r="E57" s="258"/>
      <c r="F57" s="529" t="s">
        <v>176</v>
      </c>
      <c r="G57" s="258"/>
      <c r="H57" s="529" t="s">
        <v>177</v>
      </c>
      <c r="I57" s="258"/>
      <c r="J57" s="529" t="s">
        <v>418</v>
      </c>
      <c r="K57" s="258"/>
      <c r="L57" s="529" t="s">
        <v>400</v>
      </c>
      <c r="M57" s="258"/>
      <c r="N57" s="529" t="s">
        <v>376</v>
      </c>
      <c r="O57" s="258"/>
      <c r="P57" s="529" t="s">
        <v>377</v>
      </c>
      <c r="Q57" s="258"/>
      <c r="R57" s="529" t="s">
        <v>374</v>
      </c>
      <c r="S57" s="258"/>
      <c r="T57" s="529" t="s">
        <v>388</v>
      </c>
      <c r="U57" s="258"/>
      <c r="V57" s="529" t="s">
        <v>392</v>
      </c>
      <c r="W57" s="258"/>
      <c r="X57" s="529" t="s">
        <v>549</v>
      </c>
      <c r="Y57" s="258"/>
      <c r="Z57" s="529" t="s">
        <v>404</v>
      </c>
      <c r="AA57" s="258"/>
      <c r="AB57" s="529" t="s">
        <v>407</v>
      </c>
      <c r="AC57" s="258"/>
      <c r="AD57" s="529" t="s">
        <v>178</v>
      </c>
      <c r="AE57" s="258"/>
      <c r="AF57" s="589"/>
      <c r="AG57" s="754"/>
      <c r="AH57" s="756"/>
      <c r="AI57" s="756"/>
      <c r="AJ57" s="756"/>
      <c r="AK57" s="756"/>
      <c r="AL57" s="756"/>
      <c r="AM57" s="756"/>
      <c r="AN57" s="756"/>
      <c r="AO57" s="783"/>
    </row>
    <row r="58" spans="1:75" s="166" customFormat="1" ht="13.5" customHeight="1">
      <c r="A58" s="206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574"/>
      <c r="AG58" s="754"/>
      <c r="AH58" s="756"/>
      <c r="AI58" s="756"/>
      <c r="AJ58" s="756"/>
      <c r="AK58" s="756"/>
      <c r="AL58" s="756"/>
      <c r="AM58" s="756"/>
      <c r="AN58" s="756"/>
      <c r="AO58" s="783"/>
    </row>
    <row r="59" spans="1:75" s="166" customFormat="1" ht="13.5" customHeight="1">
      <c r="A59" s="206"/>
      <c r="B59" s="254"/>
      <c r="C59" s="254"/>
      <c r="D59" s="254"/>
      <c r="E59" s="200"/>
      <c r="F59" s="254"/>
      <c r="G59" s="254"/>
      <c r="H59" s="254"/>
      <c r="I59" s="200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00"/>
      <c r="Z59" s="254"/>
      <c r="AA59" s="254"/>
      <c r="AB59" s="254"/>
      <c r="AC59" s="200"/>
      <c r="AD59" s="254"/>
      <c r="AE59" s="254"/>
      <c r="AF59" s="574"/>
      <c r="AG59" s="754"/>
      <c r="AH59" s="756"/>
      <c r="AI59" s="756"/>
      <c r="AJ59" s="756"/>
      <c r="AK59" s="756"/>
      <c r="AL59" s="756"/>
      <c r="AM59" s="756"/>
      <c r="AN59" s="756"/>
      <c r="AO59" s="783"/>
    </row>
    <row r="60" spans="1:75" s="166" customFormat="1" ht="13.5" customHeight="1" thickBo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54"/>
      <c r="AH60" s="756"/>
      <c r="AI60" s="756"/>
      <c r="AJ60" s="756"/>
      <c r="AK60" s="756"/>
      <c r="AL60" s="756"/>
      <c r="AM60" s="756"/>
      <c r="AN60" s="756"/>
      <c r="AO60" s="783"/>
    </row>
    <row r="61" spans="1:75" s="166" customFormat="1" ht="13.5" customHeight="1">
      <c r="A61" s="206"/>
      <c r="B61" s="184"/>
      <c r="C61" s="591"/>
      <c r="D61" s="184"/>
      <c r="E61" s="591"/>
      <c r="F61" s="184"/>
      <c r="G61" s="591"/>
      <c r="H61" s="184"/>
      <c r="I61" s="591"/>
      <c r="J61" s="184"/>
      <c r="K61" s="591"/>
      <c r="L61" s="184"/>
      <c r="M61" s="591"/>
      <c r="N61" s="184"/>
      <c r="O61" s="591"/>
      <c r="P61" s="184"/>
      <c r="Q61" s="591"/>
      <c r="R61" s="184"/>
      <c r="S61" s="591"/>
      <c r="T61" s="184"/>
      <c r="U61" s="591"/>
      <c r="V61" s="786"/>
      <c r="W61" s="591"/>
      <c r="X61" s="797" t="s">
        <v>550</v>
      </c>
      <c r="Y61" s="591"/>
      <c r="Z61" s="786"/>
      <c r="AA61" s="591"/>
      <c r="AB61" s="786"/>
      <c r="AC61" s="591"/>
      <c r="AD61" s="786"/>
      <c r="AE61" s="591"/>
      <c r="AF61" s="574"/>
      <c r="AG61" s="754"/>
      <c r="AH61" s="756"/>
      <c r="AI61" s="756"/>
      <c r="AJ61" s="756"/>
      <c r="AK61" s="756"/>
      <c r="AL61" s="756"/>
      <c r="AM61" s="756"/>
      <c r="AN61" s="756"/>
      <c r="AO61" s="783"/>
      <c r="BV61" s="500">
        <f>14</f>
        <v>14</v>
      </c>
      <c r="BW61" s="500">
        <v>14</v>
      </c>
    </row>
    <row r="62" spans="1:75" s="166" customFormat="1" ht="13.5" customHeight="1">
      <c r="A62" s="206"/>
      <c r="B62" s="191"/>
      <c r="C62" s="592">
        <v>386.81599999999997</v>
      </c>
      <c r="D62" s="187"/>
      <c r="E62" s="592">
        <v>324.00400000000002</v>
      </c>
      <c r="F62" s="187"/>
      <c r="G62" s="592">
        <v>416</v>
      </c>
      <c r="H62" s="191"/>
      <c r="I62" s="592">
        <v>404.53</v>
      </c>
      <c r="J62" s="191"/>
      <c r="K62" s="592">
        <v>374.07600000000002</v>
      </c>
      <c r="L62" s="191"/>
      <c r="M62" s="592">
        <v>423.00299999999999</v>
      </c>
      <c r="N62" s="187"/>
      <c r="O62" s="592">
        <v>420</v>
      </c>
      <c r="P62" s="187"/>
      <c r="Q62" s="592">
        <v>375.06400000000002</v>
      </c>
      <c r="R62" s="187"/>
      <c r="S62" s="592">
        <v>417.21499999999997</v>
      </c>
      <c r="T62" s="187"/>
      <c r="U62" s="592">
        <v>498.00099999999998</v>
      </c>
      <c r="V62" s="787"/>
      <c r="W62" s="592">
        <v>448</v>
      </c>
      <c r="X62" s="798"/>
      <c r="Y62" s="592">
        <v>394</v>
      </c>
      <c r="Z62" s="787"/>
      <c r="AA62" s="592">
        <v>383</v>
      </c>
      <c r="AB62" s="787"/>
      <c r="AC62" s="592">
        <v>379</v>
      </c>
      <c r="AD62" s="787"/>
      <c r="AE62" s="592">
        <v>380.83699999999999</v>
      </c>
      <c r="AF62" s="574"/>
      <c r="AG62" s="754"/>
      <c r="AH62" s="756"/>
      <c r="AI62" s="756"/>
      <c r="AJ62" s="756"/>
      <c r="AK62" s="756"/>
      <c r="AL62" s="756"/>
      <c r="AM62" s="756"/>
      <c r="AN62" s="756"/>
      <c r="AO62" s="783"/>
    </row>
    <row r="63" spans="1:75" s="166" customFormat="1" ht="13.5" customHeight="1" thickBot="1">
      <c r="A63" s="206"/>
      <c r="B63" s="189"/>
      <c r="D63" s="189"/>
      <c r="F63" s="189"/>
      <c r="H63" s="189"/>
      <c r="J63" s="189"/>
      <c r="L63" s="189"/>
      <c r="N63" s="189"/>
      <c r="P63" s="189"/>
      <c r="R63" s="189"/>
      <c r="T63" s="189"/>
      <c r="V63" s="788"/>
      <c r="X63" s="799"/>
      <c r="Z63" s="788"/>
      <c r="AB63" s="788"/>
      <c r="AD63" s="788"/>
      <c r="AF63" s="574"/>
      <c r="AG63" s="754"/>
      <c r="AH63" s="756"/>
      <c r="AI63" s="756"/>
      <c r="AJ63" s="756"/>
      <c r="AK63" s="756"/>
      <c r="AL63" s="756"/>
      <c r="AM63" s="756"/>
      <c r="AN63" s="756"/>
      <c r="AO63" s="783"/>
    </row>
    <row r="64" spans="1:75" s="166" customFormat="1" ht="14.15" customHeight="1">
      <c r="A64" s="206"/>
      <c r="B64" s="258" t="s">
        <v>350</v>
      </c>
      <c r="C64" s="254"/>
      <c r="D64" s="258" t="s">
        <v>300</v>
      </c>
      <c r="E64" s="254"/>
      <c r="F64" s="258" t="s">
        <v>350</v>
      </c>
      <c r="G64" s="254"/>
      <c r="H64" s="258" t="s">
        <v>399</v>
      </c>
      <c r="I64" s="254"/>
      <c r="J64" s="258" t="s">
        <v>300</v>
      </c>
      <c r="K64" s="254"/>
      <c r="L64" s="258" t="s">
        <v>373</v>
      </c>
      <c r="M64" s="254"/>
      <c r="N64" s="258" t="s">
        <v>357</v>
      </c>
      <c r="O64" s="254"/>
      <c r="P64" s="254" t="s">
        <v>350</v>
      </c>
      <c r="Q64" s="254"/>
      <c r="R64" s="258" t="s">
        <v>335</v>
      </c>
      <c r="S64" s="254"/>
      <c r="T64" s="258" t="s">
        <v>389</v>
      </c>
      <c r="U64" s="254"/>
      <c r="V64" s="258" t="s">
        <v>393</v>
      </c>
      <c r="W64" s="254"/>
      <c r="X64" s="258" t="s">
        <v>357</v>
      </c>
      <c r="Y64" s="254"/>
      <c r="Z64" s="254" t="s">
        <v>350</v>
      </c>
      <c r="AA64" s="254"/>
      <c r="AB64" s="254" t="s">
        <v>350</v>
      </c>
      <c r="AC64" s="254"/>
      <c r="AD64" s="254" t="s">
        <v>350</v>
      </c>
      <c r="AE64" s="254"/>
      <c r="AF64" s="574"/>
      <c r="AG64" s="754"/>
      <c r="AH64" s="756"/>
      <c r="AI64" s="756"/>
      <c r="AJ64" s="756"/>
      <c r="AK64" s="756"/>
      <c r="AL64" s="756"/>
      <c r="AM64" s="756"/>
      <c r="AN64" s="756"/>
      <c r="AO64" s="783"/>
    </row>
    <row r="65" spans="1:75" s="166" customFormat="1" ht="14.15" customHeight="1">
      <c r="A65" s="206"/>
      <c r="B65" s="200"/>
      <c r="C65" s="200"/>
      <c r="D65" s="200"/>
      <c r="E65" s="596"/>
      <c r="F65" s="200"/>
      <c r="G65" s="596"/>
      <c r="H65" s="200"/>
      <c r="I65" s="200"/>
      <c r="J65" s="200"/>
      <c r="K65" s="596"/>
      <c r="L65" s="200"/>
      <c r="M65" s="596"/>
      <c r="N65" s="200"/>
      <c r="O65" s="596"/>
      <c r="P65" s="200"/>
      <c r="Q65" s="200"/>
      <c r="R65" s="200"/>
      <c r="S65" s="200"/>
      <c r="T65" s="200"/>
      <c r="U65" s="596"/>
      <c r="V65" s="200"/>
      <c r="W65" s="585"/>
      <c r="X65" s="200"/>
      <c r="Y65" s="200"/>
      <c r="Z65" s="200"/>
      <c r="AA65" s="200"/>
      <c r="AB65" s="200"/>
      <c r="AC65" s="599"/>
      <c r="AD65" s="200"/>
      <c r="AE65" s="599"/>
      <c r="AF65" s="574"/>
      <c r="AG65" s="755"/>
      <c r="AH65" s="757"/>
      <c r="AI65" s="757"/>
      <c r="AJ65" s="757"/>
      <c r="AK65" s="757"/>
      <c r="AL65" s="757"/>
      <c r="AM65" s="757"/>
      <c r="AN65" s="757"/>
      <c r="AO65" s="785"/>
    </row>
    <row r="66" spans="1:75" s="166" customFormat="1" ht="13.5" customHeight="1">
      <c r="A66" s="206"/>
      <c r="B66" s="200"/>
      <c r="C66" s="200"/>
      <c r="D66" s="200"/>
      <c r="E66" s="200"/>
      <c r="F66" s="200"/>
      <c r="G66" s="200"/>
      <c r="H66" s="200"/>
      <c r="I66" s="597"/>
      <c r="J66" s="200"/>
      <c r="K66" s="200"/>
      <c r="L66" s="200"/>
      <c r="M66" s="200"/>
      <c r="N66" s="200"/>
      <c r="O66" s="200"/>
      <c r="P66" s="200"/>
      <c r="Q66" s="200"/>
      <c r="R66" s="200"/>
      <c r="S66" s="584" t="s">
        <v>1107</v>
      </c>
      <c r="T66" s="200"/>
      <c r="U66" s="200"/>
      <c r="V66" s="200"/>
      <c r="W66" s="584" t="s">
        <v>1108</v>
      </c>
      <c r="X66" s="200"/>
      <c r="Y66" s="200"/>
      <c r="Z66" s="200"/>
      <c r="AA66" s="584" t="s">
        <v>1107</v>
      </c>
      <c r="AB66" s="200"/>
      <c r="AC66" s="200"/>
      <c r="AD66" s="200"/>
      <c r="AE66" s="200"/>
      <c r="AF66" s="574"/>
      <c r="AG66" s="759">
        <v>10</v>
      </c>
      <c r="AH66" s="758">
        <v>9</v>
      </c>
      <c r="AI66" s="758">
        <f>AG66-AH66</f>
        <v>1</v>
      </c>
      <c r="AJ66" s="758">
        <f>COUNTA($D$57:$V$57)</f>
        <v>10</v>
      </c>
      <c r="AK66" s="758">
        <v>7</v>
      </c>
      <c r="AL66" s="758">
        <f>AJ66-AK66</f>
        <v>3</v>
      </c>
      <c r="AM66" s="758">
        <v>0.91500000000000004</v>
      </c>
      <c r="AN66" s="758">
        <f>0.672+0.243</f>
        <v>0.91500000000000004</v>
      </c>
      <c r="AO66" s="782"/>
    </row>
    <row r="67" spans="1:75" s="166" customFormat="1" ht="14.15" customHeight="1">
      <c r="A67" s="206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B67" s="200"/>
      <c r="AC67" s="200"/>
      <c r="AD67" s="200"/>
      <c r="AE67" s="200"/>
      <c r="AF67" s="574"/>
      <c r="AG67" s="755"/>
      <c r="AH67" s="757"/>
      <c r="AI67" s="757"/>
      <c r="AJ67" s="757"/>
      <c r="AK67" s="757"/>
      <c r="AL67" s="757"/>
      <c r="AM67" s="757"/>
      <c r="AN67" s="757"/>
      <c r="AO67" s="785"/>
    </row>
    <row r="68" spans="1:75" s="166" customFormat="1" ht="13.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597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574"/>
      <c r="AG68" s="759">
        <v>10</v>
      </c>
      <c r="AH68" s="758">
        <v>10</v>
      </c>
      <c r="AI68" s="758">
        <f>AG68-AH68</f>
        <v>0</v>
      </c>
      <c r="AJ68" s="758">
        <f>COUNTA($B$70:$L$70)</f>
        <v>6</v>
      </c>
      <c r="AK68" s="758">
        <v>9</v>
      </c>
      <c r="AL68" s="758">
        <f>AJ68-AK68</f>
        <v>-3</v>
      </c>
      <c r="AM68" s="758"/>
      <c r="AN68" s="758"/>
      <c r="AO68" s="782"/>
    </row>
    <row r="69" spans="1:75" s="166" customFormat="1" ht="13.5" customHeight="1">
      <c r="A69" s="206"/>
      <c r="B69" s="200">
        <v>61</v>
      </c>
      <c r="C69" s="200"/>
      <c r="D69" s="200">
        <v>62</v>
      </c>
      <c r="E69" s="200"/>
      <c r="F69" s="200">
        <v>63</v>
      </c>
      <c r="G69" s="200"/>
      <c r="H69" s="200">
        <v>64</v>
      </c>
      <c r="I69" s="200"/>
      <c r="J69" s="200">
        <v>65</v>
      </c>
      <c r="K69" s="200"/>
      <c r="L69" s="200">
        <v>66</v>
      </c>
      <c r="M69" s="200"/>
      <c r="N69" s="200">
        <v>67</v>
      </c>
      <c r="O69" s="200"/>
      <c r="P69" s="200">
        <v>68</v>
      </c>
      <c r="Q69" s="200"/>
      <c r="R69" s="200">
        <v>69</v>
      </c>
      <c r="S69" s="200"/>
      <c r="T69" s="200">
        <v>70</v>
      </c>
      <c r="U69" s="200"/>
      <c r="V69" s="200">
        <v>71</v>
      </c>
      <c r="W69" s="200"/>
      <c r="X69" s="200">
        <v>72</v>
      </c>
      <c r="Y69" s="200"/>
      <c r="Z69" s="200">
        <v>73</v>
      </c>
      <c r="AA69" s="200"/>
      <c r="AB69" s="200">
        <v>74</v>
      </c>
      <c r="AC69" s="200"/>
      <c r="AD69" s="200">
        <v>75</v>
      </c>
      <c r="AE69" s="200"/>
      <c r="AF69" s="574"/>
      <c r="AG69" s="754"/>
      <c r="AH69" s="756"/>
      <c r="AI69" s="756"/>
      <c r="AJ69" s="756"/>
      <c r="AK69" s="756"/>
      <c r="AL69" s="756"/>
      <c r="AM69" s="756"/>
      <c r="AN69" s="756"/>
      <c r="AO69" s="783"/>
    </row>
    <row r="70" spans="1:75" s="193" customFormat="1" ht="13.5" customHeight="1">
      <c r="A70" s="587"/>
      <c r="B70" s="529" t="s">
        <v>419</v>
      </c>
      <c r="C70" s="258"/>
      <c r="D70" s="529" t="s">
        <v>405</v>
      </c>
      <c r="E70" s="258"/>
      <c r="F70" s="529" t="s">
        <v>430</v>
      </c>
      <c r="G70" s="258"/>
      <c r="H70" s="529" t="s">
        <v>406</v>
      </c>
      <c r="I70" s="258"/>
      <c r="J70" s="529" t="s">
        <v>411</v>
      </c>
      <c r="K70" s="258"/>
      <c r="L70" s="529" t="s">
        <v>422</v>
      </c>
      <c r="M70" s="258"/>
      <c r="N70" s="529" t="s">
        <v>551</v>
      </c>
      <c r="O70" s="258"/>
      <c r="P70" s="529" t="s">
        <v>417</v>
      </c>
      <c r="Q70" s="258"/>
      <c r="R70" s="529" t="s">
        <v>410</v>
      </c>
      <c r="S70" s="258"/>
      <c r="T70" s="529" t="s">
        <v>425</v>
      </c>
      <c r="U70" s="258"/>
      <c r="V70" s="529" t="s">
        <v>423</v>
      </c>
      <c r="W70" s="258"/>
      <c r="X70" s="529" t="s">
        <v>385</v>
      </c>
      <c r="Y70" s="258"/>
      <c r="Z70" s="529" t="s">
        <v>180</v>
      </c>
      <c r="AA70" s="258"/>
      <c r="AB70" s="529" t="s">
        <v>371</v>
      </c>
      <c r="AC70" s="258"/>
      <c r="AD70" s="529" t="s">
        <v>383</v>
      </c>
      <c r="AE70" s="258"/>
      <c r="AF70" s="589"/>
      <c r="AG70" s="754"/>
      <c r="AH70" s="756"/>
      <c r="AI70" s="756"/>
      <c r="AJ70" s="756"/>
      <c r="AK70" s="756"/>
      <c r="AL70" s="756"/>
      <c r="AM70" s="756"/>
      <c r="AN70" s="756"/>
      <c r="AO70" s="783"/>
    </row>
    <row r="71" spans="1:75" s="166" customFormat="1" ht="13.5" customHeight="1">
      <c r="A71" s="206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574"/>
      <c r="AG71" s="754"/>
      <c r="AH71" s="756"/>
      <c r="AI71" s="756"/>
      <c r="AJ71" s="756"/>
      <c r="AK71" s="756"/>
      <c r="AL71" s="756"/>
      <c r="AM71" s="756"/>
      <c r="AN71" s="756"/>
      <c r="AO71" s="783"/>
    </row>
    <row r="72" spans="1:75" s="166" customFormat="1" ht="13.5" customHeight="1">
      <c r="A72" s="206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00"/>
      <c r="P72" s="254"/>
      <c r="Q72" s="254"/>
      <c r="R72" s="254"/>
      <c r="S72" s="200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574"/>
      <c r="AG72" s="754"/>
      <c r="AH72" s="756"/>
      <c r="AI72" s="756"/>
      <c r="AJ72" s="756"/>
      <c r="AK72" s="756"/>
      <c r="AL72" s="756"/>
      <c r="AM72" s="756"/>
      <c r="AN72" s="756"/>
      <c r="AO72" s="783"/>
    </row>
    <row r="73" spans="1:75" s="166" customFormat="1" ht="13.5" customHeight="1" thickBo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54"/>
      <c r="AH73" s="756"/>
      <c r="AI73" s="756"/>
      <c r="AJ73" s="756"/>
      <c r="AK73" s="756"/>
      <c r="AL73" s="756"/>
      <c r="AM73" s="756"/>
      <c r="AN73" s="756"/>
      <c r="AO73" s="783"/>
      <c r="BV73" s="500">
        <v>14</v>
      </c>
      <c r="BW73" s="500">
        <v>14</v>
      </c>
    </row>
    <row r="74" spans="1:75" s="166" customFormat="1" ht="13.5" customHeight="1">
      <c r="A74" s="594"/>
      <c r="B74" s="184"/>
      <c r="C74" s="591"/>
      <c r="D74" s="184"/>
      <c r="E74" s="591"/>
      <c r="F74" s="184"/>
      <c r="G74" s="591"/>
      <c r="H74" s="184"/>
      <c r="I74" s="591"/>
      <c r="J74" s="184"/>
      <c r="K74" s="591"/>
      <c r="L74" s="184"/>
      <c r="M74" s="591"/>
      <c r="N74" s="194"/>
      <c r="O74" s="591"/>
      <c r="P74" s="184"/>
      <c r="Q74" s="591"/>
      <c r="R74" s="786"/>
      <c r="S74" s="591"/>
      <c r="T74" s="786"/>
      <c r="U74" s="591"/>
      <c r="V74" s="786"/>
      <c r="W74" s="591"/>
      <c r="X74" s="184"/>
      <c r="Y74" s="591"/>
      <c r="Z74" s="184"/>
      <c r="AA74" s="591"/>
      <c r="AB74" s="184"/>
      <c r="AC74" s="591"/>
      <c r="AD74" s="184"/>
      <c r="AE74" s="591"/>
      <c r="AF74" s="574"/>
      <c r="AG74" s="754"/>
      <c r="AH74" s="756"/>
      <c r="AI74" s="756"/>
      <c r="AJ74" s="756"/>
      <c r="AK74" s="756"/>
      <c r="AL74" s="756"/>
      <c r="AM74" s="756"/>
      <c r="AN74" s="756"/>
      <c r="AO74" s="783"/>
    </row>
    <row r="75" spans="1:75" s="166" customFormat="1" ht="13.5" customHeight="1">
      <c r="A75" s="594"/>
      <c r="B75" s="187"/>
      <c r="C75" s="592">
        <v>366.00299999999999</v>
      </c>
      <c r="D75" s="187"/>
      <c r="E75" s="592">
        <v>376</v>
      </c>
      <c r="F75" s="187"/>
      <c r="G75" s="592">
        <v>368</v>
      </c>
      <c r="H75" s="191"/>
      <c r="I75" s="592">
        <v>373.96499999999997</v>
      </c>
      <c r="J75" s="191"/>
      <c r="K75" s="592">
        <v>373.005</v>
      </c>
      <c r="L75" s="191"/>
      <c r="M75" s="592">
        <v>362.45</v>
      </c>
      <c r="N75" s="195"/>
      <c r="O75" s="592">
        <v>323</v>
      </c>
      <c r="P75" s="191"/>
      <c r="Q75" s="592">
        <v>299</v>
      </c>
      <c r="R75" s="787"/>
      <c r="S75" s="592">
        <v>350.38099999999997</v>
      </c>
      <c r="T75" s="787"/>
      <c r="U75" s="592">
        <v>333.99700000000001</v>
      </c>
      <c r="V75" s="787"/>
      <c r="W75" s="592">
        <v>394</v>
      </c>
      <c r="X75" s="191"/>
      <c r="Y75" s="592">
        <v>363</v>
      </c>
      <c r="Z75" s="187"/>
      <c r="AA75" s="592">
        <v>413</v>
      </c>
      <c r="AB75" s="187"/>
      <c r="AC75" s="592">
        <v>376</v>
      </c>
      <c r="AD75" s="187"/>
      <c r="AE75" s="592">
        <v>388</v>
      </c>
      <c r="AF75" s="574"/>
      <c r="AG75" s="754"/>
      <c r="AH75" s="756"/>
      <c r="AI75" s="756"/>
      <c r="AJ75" s="756"/>
      <c r="AK75" s="756"/>
      <c r="AL75" s="756"/>
      <c r="AM75" s="756"/>
      <c r="AN75" s="756"/>
      <c r="AO75" s="783"/>
    </row>
    <row r="76" spans="1:75" s="166" customFormat="1" ht="13.5" customHeight="1" thickBot="1">
      <c r="A76" s="594"/>
      <c r="B76" s="189"/>
      <c r="D76" s="189"/>
      <c r="F76" s="189"/>
      <c r="H76" s="189"/>
      <c r="J76" s="189"/>
      <c r="L76" s="189"/>
      <c r="N76" s="196"/>
      <c r="P76" s="189"/>
      <c r="R76" s="788"/>
      <c r="T76" s="788"/>
      <c r="V76" s="788"/>
      <c r="X76" s="189"/>
      <c r="Z76" s="189"/>
      <c r="AB76" s="189"/>
      <c r="AD76" s="189"/>
      <c r="AF76" s="574"/>
      <c r="AG76" s="754"/>
      <c r="AH76" s="756"/>
      <c r="AI76" s="756"/>
      <c r="AJ76" s="756"/>
      <c r="AK76" s="756"/>
      <c r="AL76" s="756"/>
      <c r="AM76" s="756"/>
      <c r="AN76" s="756"/>
      <c r="AO76" s="783"/>
    </row>
    <row r="77" spans="1:75" s="166" customFormat="1" ht="14.15" customHeight="1">
      <c r="A77" s="206"/>
      <c r="B77" s="258" t="s">
        <v>302</v>
      </c>
      <c r="C77" s="254"/>
      <c r="D77" s="258" t="s">
        <v>350</v>
      </c>
      <c r="E77" s="254"/>
      <c r="F77" s="258" t="s">
        <v>350</v>
      </c>
      <c r="G77" s="254"/>
      <c r="H77" s="258" t="s">
        <v>350</v>
      </c>
      <c r="I77" s="254"/>
      <c r="J77" s="254" t="s">
        <v>300</v>
      </c>
      <c r="K77" s="254"/>
      <c r="L77" s="258" t="s">
        <v>396</v>
      </c>
      <c r="M77" s="254"/>
      <c r="N77" s="258" t="s">
        <v>298</v>
      </c>
      <c r="O77" s="254"/>
      <c r="P77" s="254" t="s">
        <v>396</v>
      </c>
      <c r="Q77" s="254"/>
      <c r="R77" s="258" t="s">
        <v>396</v>
      </c>
      <c r="S77" s="254"/>
      <c r="T77" s="258" t="s">
        <v>330</v>
      </c>
      <c r="U77" s="254"/>
      <c r="V77" s="258" t="s">
        <v>350</v>
      </c>
      <c r="W77" s="254"/>
      <c r="X77" s="254" t="s">
        <v>350</v>
      </c>
      <c r="Y77" s="254"/>
      <c r="Z77" s="258" t="s">
        <v>350</v>
      </c>
      <c r="AA77" s="254"/>
      <c r="AB77" s="254" t="s">
        <v>357</v>
      </c>
      <c r="AC77" s="254"/>
      <c r="AD77" s="254" t="s">
        <v>350</v>
      </c>
      <c r="AE77" s="254"/>
      <c r="AF77" s="574"/>
      <c r="AG77" s="754"/>
      <c r="AH77" s="756"/>
      <c r="AI77" s="756"/>
      <c r="AJ77" s="756"/>
      <c r="AK77" s="756"/>
      <c r="AL77" s="756"/>
      <c r="AM77" s="756"/>
      <c r="AN77" s="756"/>
      <c r="AO77" s="783"/>
    </row>
    <row r="78" spans="1:75" s="200" customFormat="1" ht="14.15" customHeight="1" thickBot="1">
      <c r="A78" s="206"/>
      <c r="C78" s="596"/>
      <c r="G78" s="585"/>
      <c r="I78" s="600"/>
      <c r="O78" s="601" t="s">
        <v>1109</v>
      </c>
      <c r="Q78" s="597"/>
      <c r="W78" s="254"/>
      <c r="AA78" s="254"/>
      <c r="AC78" s="254"/>
      <c r="AE78" s="254"/>
      <c r="AF78" s="574"/>
      <c r="AG78" s="789"/>
      <c r="AH78" s="781"/>
      <c r="AI78" s="781"/>
      <c r="AJ78" s="781"/>
      <c r="AK78" s="781"/>
      <c r="AL78" s="781"/>
      <c r="AM78" s="781"/>
      <c r="AN78" s="781"/>
      <c r="AO78" s="784"/>
    </row>
    <row r="79" spans="1:75" s="166" customFormat="1" ht="13.5" customHeight="1">
      <c r="A79" s="206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574"/>
      <c r="AG79" s="754"/>
      <c r="AH79" s="756"/>
      <c r="AI79" s="756"/>
      <c r="AJ79" s="756"/>
      <c r="AK79" s="756"/>
      <c r="AL79" s="756"/>
      <c r="AM79" s="756"/>
      <c r="AN79" s="756"/>
      <c r="AO79" s="783"/>
    </row>
    <row r="80" spans="1:75" s="166" customFormat="1" ht="13.5" customHeight="1">
      <c r="A80" s="206"/>
      <c r="B80" s="200">
        <v>76</v>
      </c>
      <c r="C80" s="200"/>
      <c r="D80" s="200">
        <v>77</v>
      </c>
      <c r="E80" s="200"/>
      <c r="F80" s="200">
        <v>78</v>
      </c>
      <c r="G80" s="200"/>
      <c r="H80" s="200">
        <v>79</v>
      </c>
      <c r="I80" s="200"/>
      <c r="J80" s="200">
        <v>80</v>
      </c>
      <c r="K80" s="200"/>
      <c r="L80" s="200">
        <v>81</v>
      </c>
      <c r="M80" s="200"/>
      <c r="N80" s="200">
        <v>82</v>
      </c>
      <c r="O80" s="200"/>
      <c r="P80" s="200">
        <v>83</v>
      </c>
      <c r="Q80" s="200"/>
      <c r="R80" s="200">
        <v>84</v>
      </c>
      <c r="S80" s="200"/>
      <c r="T80" s="200">
        <v>85</v>
      </c>
      <c r="U80" s="200"/>
      <c r="V80" s="200">
        <v>86</v>
      </c>
      <c r="W80" s="200"/>
      <c r="X80" s="200">
        <v>87</v>
      </c>
      <c r="Y80" s="200"/>
      <c r="Z80" s="200">
        <v>88</v>
      </c>
      <c r="AA80" s="200"/>
      <c r="AB80" s="200">
        <v>89</v>
      </c>
      <c r="AC80" s="200"/>
      <c r="AD80" s="200">
        <v>90</v>
      </c>
      <c r="AE80" s="200"/>
      <c r="AF80" s="574"/>
      <c r="AG80" s="754"/>
      <c r="AH80" s="756"/>
      <c r="AI80" s="756"/>
      <c r="AJ80" s="756"/>
      <c r="AK80" s="756"/>
      <c r="AL80" s="756"/>
      <c r="AM80" s="756"/>
      <c r="AN80" s="756"/>
      <c r="AO80" s="783"/>
    </row>
    <row r="81" spans="1:75" s="193" customFormat="1" ht="13.5" customHeight="1">
      <c r="A81" s="587"/>
      <c r="B81" s="258" t="s">
        <v>386</v>
      </c>
      <c r="C81" s="258"/>
      <c r="D81" s="258" t="s">
        <v>387</v>
      </c>
      <c r="E81" s="258"/>
      <c r="F81" s="258" t="s">
        <v>552</v>
      </c>
      <c r="G81" s="258"/>
      <c r="H81" s="258" t="s">
        <v>553</v>
      </c>
      <c r="I81" s="258"/>
      <c r="J81" s="258" t="s">
        <v>169</v>
      </c>
      <c r="K81" s="258"/>
      <c r="L81" s="258" t="s">
        <v>554</v>
      </c>
      <c r="M81" s="258"/>
      <c r="N81" s="258" t="s">
        <v>555</v>
      </c>
      <c r="O81" s="258"/>
      <c r="P81" s="258" t="s">
        <v>452</v>
      </c>
      <c r="Q81" s="258"/>
      <c r="R81" s="258" t="s">
        <v>458</v>
      </c>
      <c r="S81" s="258"/>
      <c r="T81" s="258" t="s">
        <v>454</v>
      </c>
      <c r="U81" s="258"/>
      <c r="V81" s="258" t="s">
        <v>556</v>
      </c>
      <c r="W81" s="258"/>
      <c r="X81" s="258" t="s">
        <v>557</v>
      </c>
      <c r="Y81" s="258"/>
      <c r="Z81" s="258" t="s">
        <v>558</v>
      </c>
      <c r="AA81" s="258"/>
      <c r="AB81" s="588" t="s">
        <v>559</v>
      </c>
      <c r="AC81" s="588"/>
      <c r="AD81" s="258" t="s">
        <v>445</v>
      </c>
      <c r="AE81" s="258"/>
      <c r="AF81" s="589"/>
      <c r="AG81" s="754"/>
      <c r="AH81" s="756"/>
      <c r="AI81" s="756"/>
      <c r="AJ81" s="756"/>
      <c r="AK81" s="756"/>
      <c r="AL81" s="756"/>
      <c r="AM81" s="756"/>
      <c r="AN81" s="756"/>
      <c r="AO81" s="783"/>
    </row>
    <row r="82" spans="1:75" s="166" customFormat="1" ht="13.5" customHeight="1">
      <c r="A82" s="206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574"/>
      <c r="AG82" s="754"/>
      <c r="AH82" s="756"/>
      <c r="AI82" s="756"/>
      <c r="AJ82" s="756"/>
      <c r="AK82" s="756"/>
      <c r="AL82" s="756"/>
      <c r="AM82" s="756"/>
      <c r="AN82" s="756"/>
      <c r="AO82" s="783"/>
    </row>
    <row r="83" spans="1:75" s="166" customFormat="1" ht="13.5" customHeight="1">
      <c r="A83" s="206"/>
      <c r="B83" s="254"/>
      <c r="C83" s="254"/>
      <c r="D83" s="254"/>
      <c r="E83" s="200"/>
      <c r="F83" s="254"/>
      <c r="G83" s="254"/>
      <c r="H83" s="254"/>
      <c r="I83" s="200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00"/>
      <c r="Z83" s="254"/>
      <c r="AA83" s="254"/>
      <c r="AB83" s="254"/>
      <c r="AC83" s="200"/>
      <c r="AD83" s="254"/>
      <c r="AE83" s="254"/>
      <c r="AF83" s="574"/>
      <c r="AG83" s="754"/>
      <c r="AH83" s="756"/>
      <c r="AI83" s="756"/>
      <c r="AJ83" s="756"/>
      <c r="AK83" s="756"/>
      <c r="AL83" s="756"/>
      <c r="AM83" s="756"/>
      <c r="AN83" s="756"/>
      <c r="AO83" s="783"/>
    </row>
    <row r="84" spans="1:75" s="166" customFormat="1" ht="13.5" customHeight="1" thickBo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54"/>
      <c r="AH84" s="756"/>
      <c r="AI84" s="756"/>
      <c r="AJ84" s="756"/>
      <c r="AK84" s="756"/>
      <c r="AL84" s="756"/>
      <c r="AM84" s="756"/>
      <c r="AN84" s="756"/>
      <c r="AO84" s="783"/>
    </row>
    <row r="85" spans="1:75" s="166" customFormat="1" ht="14.15" customHeight="1">
      <c r="A85" s="594"/>
      <c r="B85" s="184"/>
      <c r="C85" s="591"/>
      <c r="D85" s="184"/>
      <c r="E85" s="591"/>
      <c r="F85" s="184"/>
      <c r="G85" s="591"/>
      <c r="H85" s="183"/>
      <c r="I85" s="591"/>
      <c r="J85" s="183"/>
      <c r="K85" s="591"/>
      <c r="L85" s="183"/>
      <c r="M85" s="591"/>
      <c r="N85" s="791" t="s">
        <v>67</v>
      </c>
      <c r="O85" s="591"/>
      <c r="P85" s="184"/>
      <c r="Q85" s="591"/>
      <c r="R85" s="184"/>
      <c r="S85" s="591"/>
      <c r="T85" s="184"/>
      <c r="U85" s="591"/>
      <c r="V85" s="183"/>
      <c r="W85" s="591"/>
      <c r="X85" s="255"/>
      <c r="Y85" s="591"/>
      <c r="Z85" s="183"/>
      <c r="AA85" s="591"/>
      <c r="AB85" s="184"/>
      <c r="AC85" s="591"/>
      <c r="AD85" s="184"/>
      <c r="AE85" s="591"/>
      <c r="AF85" s="574"/>
      <c r="AG85" s="754"/>
      <c r="AH85" s="756"/>
      <c r="AI85" s="756"/>
      <c r="AJ85" s="756"/>
      <c r="AK85" s="756"/>
      <c r="AL85" s="756"/>
      <c r="AM85" s="756"/>
      <c r="AN85" s="756"/>
      <c r="AO85" s="783"/>
      <c r="BV85" s="500">
        <v>9</v>
      </c>
      <c r="BW85" s="500">
        <v>2</v>
      </c>
    </row>
    <row r="86" spans="1:75" s="166" customFormat="1" ht="14.15" customHeight="1">
      <c r="A86" s="594"/>
      <c r="B86" s="187"/>
      <c r="C86" s="592">
        <v>378</v>
      </c>
      <c r="D86" s="187"/>
      <c r="E86" s="592">
        <v>342.70600000000002</v>
      </c>
      <c r="F86" s="187" t="s">
        <v>67</v>
      </c>
      <c r="G86" s="592">
        <v>259.34199999999998</v>
      </c>
      <c r="H86" s="186"/>
      <c r="I86" s="592">
        <v>268</v>
      </c>
      <c r="J86" s="186"/>
      <c r="K86" s="592">
        <v>276.41000000000003</v>
      </c>
      <c r="L86" s="186"/>
      <c r="M86" s="592">
        <v>438.12599999999998</v>
      </c>
      <c r="N86" s="792"/>
      <c r="O86" s="592">
        <v>399.67099999999999</v>
      </c>
      <c r="P86" s="187"/>
      <c r="Q86" s="592">
        <v>438.27600000000001</v>
      </c>
      <c r="R86" s="187" t="s">
        <v>67</v>
      </c>
      <c r="S86" s="592">
        <v>400</v>
      </c>
      <c r="T86" s="187"/>
      <c r="U86" s="592">
        <v>440</v>
      </c>
      <c r="V86" s="186"/>
      <c r="W86" s="592">
        <v>375</v>
      </c>
      <c r="X86" s="256"/>
      <c r="Y86" s="592">
        <v>298.19299999999998</v>
      </c>
      <c r="Z86" s="186"/>
      <c r="AA86" s="592">
        <v>348</v>
      </c>
      <c r="AB86" s="187" t="s">
        <v>67</v>
      </c>
      <c r="AC86" s="592">
        <v>422</v>
      </c>
      <c r="AD86" s="187"/>
      <c r="AE86" s="592">
        <v>242.87700000000001</v>
      </c>
      <c r="AF86" s="574"/>
      <c r="AG86" s="755"/>
      <c r="AH86" s="757"/>
      <c r="AI86" s="757"/>
      <c r="AJ86" s="757"/>
      <c r="AK86" s="757"/>
      <c r="AL86" s="757"/>
      <c r="AM86" s="757"/>
      <c r="AN86" s="757"/>
      <c r="AO86" s="785"/>
    </row>
    <row r="87" spans="1:75" s="166" customFormat="1" ht="13.5" customHeight="1" thickBot="1">
      <c r="A87" s="594"/>
      <c r="B87" s="189"/>
      <c r="D87" s="189"/>
      <c r="F87" s="189"/>
      <c r="H87" s="188"/>
      <c r="J87" s="188"/>
      <c r="L87" s="188"/>
      <c r="N87" s="793"/>
      <c r="P87" s="189"/>
      <c r="R87" s="189"/>
      <c r="T87" s="189"/>
      <c r="V87" s="188"/>
      <c r="X87" s="257"/>
      <c r="Z87" s="188"/>
      <c r="AB87" s="189"/>
      <c r="AD87" s="189"/>
      <c r="AF87" s="574"/>
      <c r="AG87" s="759">
        <v>10</v>
      </c>
      <c r="AH87" s="758">
        <v>7</v>
      </c>
      <c r="AI87" s="758">
        <f>AG87-AH87</f>
        <v>3</v>
      </c>
      <c r="AJ87" s="758">
        <f>COUNTA(#REF!)</f>
        <v>1</v>
      </c>
      <c r="AK87" s="758">
        <v>5</v>
      </c>
      <c r="AL87" s="758">
        <v>5</v>
      </c>
      <c r="AM87" s="758"/>
      <c r="AN87" s="758"/>
      <c r="AO87" s="782"/>
    </row>
    <row r="88" spans="1:75" s="166" customFormat="1" ht="16.5" customHeight="1">
      <c r="A88" s="206"/>
      <c r="B88" s="254" t="s">
        <v>350</v>
      </c>
      <c r="C88" s="254"/>
      <c r="D88" s="254" t="s">
        <v>350</v>
      </c>
      <c r="E88" s="254"/>
      <c r="F88" s="254" t="s">
        <v>373</v>
      </c>
      <c r="G88" s="254"/>
      <c r="H88" s="258" t="s">
        <v>330</v>
      </c>
      <c r="I88" s="254"/>
      <c r="J88" s="258" t="s">
        <v>560</v>
      </c>
      <c r="K88" s="254"/>
      <c r="L88" s="258" t="s">
        <v>560</v>
      </c>
      <c r="M88" s="254"/>
      <c r="N88" s="254" t="s">
        <v>357</v>
      </c>
      <c r="O88" s="254"/>
      <c r="P88" s="254" t="s">
        <v>357</v>
      </c>
      <c r="Q88" s="254"/>
      <c r="R88" s="258" t="s">
        <v>357</v>
      </c>
      <c r="S88" s="254"/>
      <c r="T88" s="254" t="s">
        <v>350</v>
      </c>
      <c r="U88" s="254"/>
      <c r="V88" s="254" t="s">
        <v>357</v>
      </c>
      <c r="W88" s="254"/>
      <c r="X88" s="254" t="s">
        <v>560</v>
      </c>
      <c r="Y88" s="254"/>
      <c r="Z88" s="254" t="s">
        <v>305</v>
      </c>
      <c r="AA88" s="254"/>
      <c r="AB88" s="258" t="s">
        <v>561</v>
      </c>
      <c r="AC88" s="254"/>
      <c r="AD88" s="258" t="s">
        <v>298</v>
      </c>
      <c r="AE88" s="254"/>
      <c r="AF88" s="574"/>
      <c r="AG88" s="754"/>
      <c r="AH88" s="756"/>
      <c r="AI88" s="756"/>
      <c r="AJ88" s="756"/>
      <c r="AK88" s="756"/>
      <c r="AL88" s="756"/>
      <c r="AM88" s="756"/>
      <c r="AN88" s="756"/>
      <c r="AO88" s="783"/>
    </row>
    <row r="89" spans="1:75" s="166" customFormat="1" ht="13.5" customHeight="1">
      <c r="A89" s="206"/>
      <c r="B89" s="200"/>
      <c r="C89" s="585"/>
      <c r="D89" s="200"/>
      <c r="E89" s="254"/>
      <c r="F89" s="200"/>
      <c r="G89" s="584" t="s">
        <v>1110</v>
      </c>
      <c r="H89" s="200"/>
      <c r="I89" s="254"/>
      <c r="J89" s="200"/>
      <c r="K89" s="602" t="s">
        <v>1112</v>
      </c>
      <c r="L89" s="200"/>
      <c r="M89" s="254"/>
      <c r="N89" s="200"/>
      <c r="O89" s="254"/>
      <c r="P89" s="200"/>
      <c r="Q89" s="254"/>
      <c r="R89" s="200"/>
      <c r="S89" s="254"/>
      <c r="T89" s="200"/>
      <c r="U89" s="200"/>
      <c r="V89" s="200"/>
      <c r="W89" s="200"/>
      <c r="X89" s="200"/>
      <c r="Y89" s="584" t="s">
        <v>1113</v>
      </c>
      <c r="Z89" s="200"/>
      <c r="AA89" s="200"/>
      <c r="AB89" s="200"/>
      <c r="AC89" s="585"/>
      <c r="AD89" s="200"/>
      <c r="AE89" s="200"/>
      <c r="AF89" s="574"/>
      <c r="AG89" s="754"/>
      <c r="AH89" s="756"/>
      <c r="AI89" s="756"/>
      <c r="AJ89" s="756"/>
      <c r="AK89" s="756"/>
      <c r="AL89" s="756"/>
      <c r="AM89" s="756"/>
      <c r="AN89" s="756"/>
      <c r="AO89" s="783"/>
    </row>
    <row r="90" spans="1:75" s="166" customFormat="1" ht="13.5" customHeight="1">
      <c r="A90" s="206"/>
      <c r="B90" s="200"/>
      <c r="C90" s="200"/>
      <c r="D90" s="200"/>
      <c r="E90" s="200"/>
      <c r="F90" s="200"/>
      <c r="G90" s="584" t="s">
        <v>1111</v>
      </c>
      <c r="H90" s="200"/>
      <c r="I90" s="200"/>
      <c r="J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C90" s="200"/>
      <c r="AD90" s="200"/>
      <c r="AE90" s="200"/>
      <c r="AF90" s="574"/>
      <c r="AG90" s="754"/>
      <c r="AH90" s="756"/>
      <c r="AI90" s="756"/>
      <c r="AJ90" s="756"/>
      <c r="AK90" s="756"/>
      <c r="AL90" s="756"/>
      <c r="AM90" s="756"/>
      <c r="AN90" s="756"/>
      <c r="AO90" s="783"/>
    </row>
    <row r="91" spans="1:75" s="166" customFormat="1" ht="13.5" customHeight="1">
      <c r="A91" s="206"/>
      <c r="B91" s="200">
        <v>91</v>
      </c>
      <c r="C91" s="200"/>
      <c r="D91" s="200">
        <v>92</v>
      </c>
      <c r="E91" s="200"/>
      <c r="F91" s="200">
        <v>93</v>
      </c>
      <c r="G91" s="200"/>
      <c r="H91" s="200">
        <v>94</v>
      </c>
      <c r="I91" s="200"/>
      <c r="J91" s="200">
        <v>95</v>
      </c>
      <c r="K91" s="200"/>
      <c r="L91" s="200">
        <v>96</v>
      </c>
      <c r="M91" s="200"/>
      <c r="N91" s="200">
        <v>97</v>
      </c>
      <c r="O91" s="200"/>
      <c r="P91" s="200">
        <v>98</v>
      </c>
      <c r="Q91" s="200"/>
      <c r="R91" s="200">
        <v>99</v>
      </c>
      <c r="S91" s="200"/>
      <c r="T91" s="200">
        <v>100</v>
      </c>
      <c r="U91" s="200"/>
      <c r="V91" s="200">
        <v>101</v>
      </c>
      <c r="W91" s="200"/>
      <c r="X91" s="200">
        <v>102</v>
      </c>
      <c r="Y91" s="200"/>
      <c r="Z91" s="200">
        <v>103</v>
      </c>
      <c r="AA91" s="200"/>
      <c r="AB91" s="200">
        <v>104</v>
      </c>
      <c r="AC91" s="200"/>
      <c r="AD91" s="200">
        <v>105</v>
      </c>
      <c r="AE91" s="200"/>
      <c r="AF91" s="574"/>
      <c r="AG91" s="754"/>
      <c r="AH91" s="756"/>
      <c r="AI91" s="756"/>
      <c r="AJ91" s="756"/>
      <c r="AK91" s="756"/>
      <c r="AL91" s="756"/>
      <c r="AM91" s="756"/>
      <c r="AN91" s="756"/>
      <c r="AO91" s="783"/>
    </row>
    <row r="92" spans="1:75" s="166" customFormat="1" ht="13.5" customHeight="1">
      <c r="A92" s="206"/>
      <c r="B92" s="254" t="s">
        <v>453</v>
      </c>
      <c r="C92" s="254"/>
      <c r="D92" s="254" t="s">
        <v>455</v>
      </c>
      <c r="E92" s="254"/>
      <c r="F92" s="254" t="s">
        <v>459</v>
      </c>
      <c r="G92" s="254"/>
      <c r="H92" s="254" t="s">
        <v>562</v>
      </c>
      <c r="I92" s="254"/>
      <c r="J92" s="254" t="s">
        <v>450</v>
      </c>
      <c r="K92" s="254"/>
      <c r="L92" s="254" t="s">
        <v>358</v>
      </c>
      <c r="M92" s="254"/>
      <c r="N92" s="254" t="s">
        <v>456</v>
      </c>
      <c r="O92" s="254"/>
      <c r="P92" s="254" t="s">
        <v>349</v>
      </c>
      <c r="Q92" s="254"/>
      <c r="R92" s="254" t="s">
        <v>354</v>
      </c>
      <c r="S92" s="254"/>
      <c r="T92" s="254" t="s">
        <v>356</v>
      </c>
      <c r="U92" s="254"/>
      <c r="V92" s="254" t="s">
        <v>361</v>
      </c>
      <c r="W92" s="254"/>
      <c r="X92" s="254" t="s">
        <v>360</v>
      </c>
      <c r="Y92" s="200"/>
      <c r="Z92" s="254" t="s">
        <v>359</v>
      </c>
      <c r="AA92" s="254"/>
      <c r="AB92" s="254" t="s">
        <v>362</v>
      </c>
      <c r="AC92" s="254"/>
      <c r="AD92" s="254" t="s">
        <v>363</v>
      </c>
      <c r="AE92" s="254"/>
      <c r="AF92" s="574"/>
      <c r="AG92" s="754"/>
      <c r="AH92" s="756"/>
      <c r="AI92" s="756"/>
      <c r="AJ92" s="756"/>
      <c r="AK92" s="756"/>
      <c r="AL92" s="756"/>
      <c r="AM92" s="756"/>
      <c r="AN92" s="756"/>
      <c r="AO92" s="783"/>
    </row>
    <row r="93" spans="1:75" s="166" customFormat="1" ht="13.5" customHeight="1">
      <c r="A93" s="206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574"/>
      <c r="AG93" s="754"/>
      <c r="AH93" s="756"/>
      <c r="AI93" s="756"/>
      <c r="AJ93" s="756"/>
      <c r="AK93" s="756"/>
      <c r="AL93" s="756"/>
      <c r="AM93" s="756"/>
      <c r="AN93" s="756"/>
      <c r="AO93" s="783"/>
    </row>
    <row r="94" spans="1:75" s="166" customFormat="1" ht="13.5" customHeight="1">
      <c r="A94" s="20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00"/>
      <c r="P94" s="254"/>
      <c r="Q94" s="254"/>
      <c r="R94" s="254"/>
      <c r="S94" s="200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574"/>
      <c r="AG94" s="754"/>
      <c r="AH94" s="756"/>
      <c r="AI94" s="756"/>
      <c r="AJ94" s="756"/>
      <c r="AK94" s="756"/>
      <c r="AL94" s="756"/>
      <c r="AM94" s="756"/>
      <c r="AN94" s="756"/>
      <c r="AO94" s="783"/>
    </row>
    <row r="95" spans="1:75" s="166" customFormat="1" ht="13.5" customHeight="1" thickBo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54"/>
      <c r="AH95" s="756"/>
      <c r="AI95" s="756"/>
      <c r="AJ95" s="756"/>
      <c r="AK95" s="756"/>
      <c r="AL95" s="756"/>
      <c r="AM95" s="756"/>
      <c r="AN95" s="756"/>
      <c r="AO95" s="783"/>
    </row>
    <row r="96" spans="1:75" s="166" customFormat="1" ht="13.5" customHeight="1">
      <c r="A96" s="594"/>
      <c r="B96" s="184"/>
      <c r="C96" s="591"/>
      <c r="D96" s="184"/>
      <c r="E96" s="591"/>
      <c r="F96" s="184"/>
      <c r="G96" s="591"/>
      <c r="H96" s="202"/>
      <c r="I96" s="591"/>
      <c r="J96" s="202"/>
      <c r="K96" s="591"/>
      <c r="L96" s="184"/>
      <c r="M96" s="591"/>
      <c r="N96" s="184"/>
      <c r="O96" s="591"/>
      <c r="P96" s="184"/>
      <c r="Q96" s="591"/>
      <c r="R96" s="184"/>
      <c r="S96" s="591"/>
      <c r="T96" s="184"/>
      <c r="U96" s="591"/>
      <c r="V96" s="184"/>
      <c r="W96" s="591"/>
      <c r="X96" s="184"/>
      <c r="Y96" s="591"/>
      <c r="Z96" s="184"/>
      <c r="AA96" s="591"/>
      <c r="AB96" s="184"/>
      <c r="AC96" s="591"/>
      <c r="AD96" s="184"/>
      <c r="AE96" s="591"/>
      <c r="AF96" s="574"/>
      <c r="AG96" s="754"/>
      <c r="AH96" s="756"/>
      <c r="AI96" s="756"/>
      <c r="AJ96" s="756"/>
      <c r="AK96" s="756"/>
      <c r="AL96" s="756"/>
      <c r="AM96" s="756"/>
      <c r="AN96" s="756"/>
      <c r="AO96" s="783"/>
      <c r="BV96" s="500">
        <v>15</v>
      </c>
      <c r="BW96" s="500">
        <v>1</v>
      </c>
    </row>
    <row r="97" spans="1:75" s="166" customFormat="1" ht="13.5" customHeight="1">
      <c r="A97" s="594"/>
      <c r="B97" s="187"/>
      <c r="C97" s="592">
        <v>234.98</v>
      </c>
      <c r="D97" s="187" t="s">
        <v>67</v>
      </c>
      <c r="E97" s="592">
        <v>375.72</v>
      </c>
      <c r="F97" s="187" t="s">
        <v>67</v>
      </c>
      <c r="G97" s="592">
        <v>348</v>
      </c>
      <c r="H97" s="187"/>
      <c r="I97" s="592">
        <v>355.50400000000002</v>
      </c>
      <c r="J97" s="187"/>
      <c r="K97" s="592">
        <v>380.67899999999997</v>
      </c>
      <c r="L97" s="187"/>
      <c r="M97" s="592">
        <v>408</v>
      </c>
      <c r="N97" s="187"/>
      <c r="O97" s="592">
        <v>413</v>
      </c>
      <c r="P97" s="187"/>
      <c r="Q97" s="592">
        <v>381</v>
      </c>
      <c r="R97" s="187"/>
      <c r="S97" s="592">
        <v>364</v>
      </c>
      <c r="T97" s="187"/>
      <c r="U97" s="592">
        <v>404.71</v>
      </c>
      <c r="V97" s="187"/>
      <c r="W97" s="592">
        <v>406.00099999999998</v>
      </c>
      <c r="X97" s="191"/>
      <c r="Y97" s="592">
        <v>402</v>
      </c>
      <c r="Z97" s="187"/>
      <c r="AA97" s="592">
        <v>365</v>
      </c>
      <c r="AB97" s="187"/>
      <c r="AC97" s="592">
        <v>420</v>
      </c>
      <c r="AD97" s="187"/>
      <c r="AE97" s="592">
        <v>408.99900000000002</v>
      </c>
      <c r="AF97" s="574"/>
      <c r="AG97" s="754"/>
      <c r="AH97" s="756"/>
      <c r="AI97" s="756"/>
      <c r="AJ97" s="756"/>
      <c r="AK97" s="756"/>
      <c r="AL97" s="756"/>
      <c r="AM97" s="756"/>
      <c r="AN97" s="756"/>
      <c r="AO97" s="783"/>
    </row>
    <row r="98" spans="1:75" s="166" customFormat="1" ht="13.5" customHeight="1" thickBot="1">
      <c r="A98" s="594"/>
      <c r="B98" s="189"/>
      <c r="D98" s="189"/>
      <c r="F98" s="189"/>
      <c r="H98" s="203"/>
      <c r="J98" s="203"/>
      <c r="L98" s="189"/>
      <c r="N98" s="189"/>
      <c r="P98" s="189"/>
      <c r="R98" s="189"/>
      <c r="T98" s="189"/>
      <c r="V98" s="189"/>
      <c r="X98" s="189"/>
      <c r="Z98" s="189"/>
      <c r="AB98" s="189"/>
      <c r="AD98" s="189"/>
      <c r="AF98" s="574"/>
      <c r="AG98" s="754"/>
      <c r="AH98" s="756"/>
      <c r="AI98" s="756"/>
      <c r="AJ98" s="756"/>
      <c r="AK98" s="756"/>
      <c r="AL98" s="756"/>
      <c r="AM98" s="756"/>
      <c r="AN98" s="756"/>
      <c r="AO98" s="783"/>
    </row>
    <row r="99" spans="1:75" s="166" customFormat="1" ht="14.15" customHeight="1">
      <c r="A99" s="206"/>
      <c r="B99" s="254" t="s">
        <v>350</v>
      </c>
      <c r="C99" s="254"/>
      <c r="D99" s="254" t="s">
        <v>373</v>
      </c>
      <c r="E99" s="254"/>
      <c r="F99" s="254" t="s">
        <v>330</v>
      </c>
      <c r="G99" s="254"/>
      <c r="H99" s="258" t="s">
        <v>396</v>
      </c>
      <c r="I99" s="254"/>
      <c r="J99" s="254" t="s">
        <v>300</v>
      </c>
      <c r="K99" s="254"/>
      <c r="L99" s="254" t="s">
        <v>350</v>
      </c>
      <c r="M99" s="254"/>
      <c r="N99" s="254" t="s">
        <v>357</v>
      </c>
      <c r="O99" s="254"/>
      <c r="P99" s="254" t="s">
        <v>350</v>
      </c>
      <c r="Q99" s="254"/>
      <c r="R99" s="254" t="s">
        <v>350</v>
      </c>
      <c r="S99" s="254"/>
      <c r="T99" s="258" t="s">
        <v>357</v>
      </c>
      <c r="U99" s="254"/>
      <c r="V99" s="254" t="s">
        <v>300</v>
      </c>
      <c r="W99" s="254"/>
      <c r="X99" s="254" t="s">
        <v>357</v>
      </c>
      <c r="Y99" s="254"/>
      <c r="Z99" s="254" t="s">
        <v>350</v>
      </c>
      <c r="AA99" s="254"/>
      <c r="AB99" s="254" t="s">
        <v>350</v>
      </c>
      <c r="AC99" s="254"/>
      <c r="AD99" s="254" t="s">
        <v>357</v>
      </c>
      <c r="AE99" s="254"/>
      <c r="AF99" s="574"/>
      <c r="AG99" s="754"/>
      <c r="AH99" s="756"/>
      <c r="AI99" s="756"/>
      <c r="AJ99" s="756"/>
      <c r="AK99" s="756"/>
      <c r="AL99" s="756"/>
      <c r="AM99" s="756"/>
      <c r="AN99" s="756"/>
      <c r="AO99" s="783"/>
    </row>
    <row r="100" spans="1:75" s="166" customFormat="1" ht="14.15" customHeight="1">
      <c r="A100" s="206"/>
      <c r="B100" s="200"/>
      <c r="C100" s="603" t="s">
        <v>1010</v>
      </c>
      <c r="D100" s="200"/>
      <c r="E100" s="603" t="s">
        <v>1114</v>
      </c>
      <c r="F100" s="200" t="s">
        <v>565</v>
      </c>
      <c r="G100" s="254"/>
      <c r="H100" s="200"/>
      <c r="I100" s="593" t="s">
        <v>1116</v>
      </c>
      <c r="J100" s="200"/>
      <c r="K100" s="254"/>
      <c r="L100" s="200"/>
      <c r="M100" s="254"/>
      <c r="N100" s="200"/>
      <c r="O100" s="254"/>
      <c r="P100" s="200"/>
      <c r="Q100" s="254"/>
      <c r="R100" s="200"/>
      <c r="S100" s="254"/>
      <c r="T100" s="200"/>
      <c r="U100" s="254"/>
      <c r="V100" s="200"/>
      <c r="W100" s="254"/>
      <c r="X100" s="200"/>
      <c r="Y100" s="254"/>
      <c r="Z100" s="200"/>
      <c r="AA100" s="254"/>
      <c r="AB100" s="200"/>
      <c r="AC100" s="254"/>
      <c r="AD100" s="200"/>
      <c r="AE100" s="585"/>
      <c r="AF100" s="574"/>
      <c r="AG100" s="755"/>
      <c r="AH100" s="757"/>
      <c r="AI100" s="757"/>
      <c r="AJ100" s="757"/>
      <c r="AK100" s="757"/>
      <c r="AL100" s="757"/>
      <c r="AM100" s="757"/>
      <c r="AN100" s="757"/>
      <c r="AO100" s="785"/>
    </row>
    <row r="101" spans="1:75" s="166" customFormat="1" ht="13.5" customHeight="1">
      <c r="A101" s="206"/>
      <c r="B101" s="200"/>
      <c r="C101" s="603" t="s">
        <v>1115</v>
      </c>
      <c r="D101" s="200"/>
      <c r="E101" s="603" t="s">
        <v>1115</v>
      </c>
      <c r="F101" s="200"/>
      <c r="G101" s="588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584" t="s">
        <v>1124</v>
      </c>
      <c r="Z101" s="200"/>
      <c r="AA101" s="200"/>
      <c r="AB101" s="200"/>
      <c r="AC101" s="200"/>
      <c r="AD101" s="200"/>
      <c r="AE101" s="200"/>
      <c r="AF101" s="574"/>
      <c r="AG101" s="754"/>
      <c r="AH101" s="756"/>
      <c r="AI101" s="756"/>
      <c r="AJ101" s="756"/>
      <c r="AK101" s="756"/>
      <c r="AL101" s="756"/>
      <c r="AM101" s="756"/>
      <c r="AN101" s="756"/>
      <c r="AO101" s="783"/>
    </row>
    <row r="102" spans="1:75" s="166" customFormat="1" ht="13.5" customHeight="1">
      <c r="A102" s="206"/>
      <c r="B102" s="200">
        <v>106</v>
      </c>
      <c r="C102" s="200"/>
      <c r="D102" s="200">
        <v>107</v>
      </c>
      <c r="E102" s="200"/>
      <c r="F102" s="200">
        <v>108</v>
      </c>
      <c r="G102" s="200"/>
      <c r="H102" s="200">
        <v>109</v>
      </c>
      <c r="I102" s="200"/>
      <c r="J102" s="200">
        <v>110</v>
      </c>
      <c r="K102" s="200"/>
      <c r="L102" s="200">
        <v>111</v>
      </c>
      <c r="M102" s="200"/>
      <c r="N102" s="200">
        <v>112</v>
      </c>
      <c r="O102" s="200"/>
      <c r="P102" s="200">
        <v>113</v>
      </c>
      <c r="Q102" s="200"/>
      <c r="R102" s="200">
        <v>114</v>
      </c>
      <c r="S102" s="200"/>
      <c r="T102" s="200">
        <v>115</v>
      </c>
      <c r="U102" s="200"/>
      <c r="V102" s="200">
        <v>116</v>
      </c>
      <c r="W102" s="200"/>
      <c r="X102" s="200">
        <v>117</v>
      </c>
      <c r="Y102" s="200"/>
      <c r="Z102" s="200">
        <v>118</v>
      </c>
      <c r="AA102" s="200"/>
      <c r="AB102" s="200">
        <v>119</v>
      </c>
      <c r="AC102" s="200"/>
      <c r="AD102" s="200">
        <v>120</v>
      </c>
      <c r="AE102" s="200"/>
      <c r="AF102" s="574"/>
      <c r="AG102" s="754"/>
      <c r="AH102" s="756"/>
      <c r="AI102" s="756"/>
      <c r="AJ102" s="756"/>
      <c r="AK102" s="756"/>
      <c r="AL102" s="756"/>
      <c r="AM102" s="756"/>
      <c r="AN102" s="756"/>
      <c r="AO102" s="783"/>
    </row>
    <row r="103" spans="1:75" s="166" customFormat="1" ht="13.5" customHeight="1">
      <c r="A103" s="206"/>
      <c r="B103" s="254" t="s">
        <v>461</v>
      </c>
      <c r="C103" s="254"/>
      <c r="D103" s="254" t="s">
        <v>566</v>
      </c>
      <c r="E103" s="254"/>
      <c r="F103" s="254" t="s">
        <v>567</v>
      </c>
      <c r="G103" s="254"/>
      <c r="H103" s="254" t="s">
        <v>568</v>
      </c>
      <c r="I103" s="254"/>
      <c r="J103" s="254" t="s">
        <v>429</v>
      </c>
      <c r="K103" s="254"/>
      <c r="L103" s="254" t="s">
        <v>569</v>
      </c>
      <c r="M103" s="254"/>
      <c r="N103" s="254" t="s">
        <v>428</v>
      </c>
      <c r="O103" s="254"/>
      <c r="P103" s="254" t="s">
        <v>427</v>
      </c>
      <c r="Q103" s="254"/>
      <c r="R103" s="254" t="s">
        <v>439</v>
      </c>
      <c r="S103" s="254"/>
      <c r="T103" s="254" t="s">
        <v>570</v>
      </c>
      <c r="U103" s="254"/>
      <c r="V103" s="254" t="s">
        <v>571</v>
      </c>
      <c r="W103" s="254"/>
      <c r="X103" s="254" t="s">
        <v>572</v>
      </c>
      <c r="Y103" s="200"/>
      <c r="Z103" s="254" t="s">
        <v>573</v>
      </c>
      <c r="AA103" s="254"/>
      <c r="AB103" s="254" t="s">
        <v>574</v>
      </c>
      <c r="AC103" s="254"/>
      <c r="AD103" s="254" t="s">
        <v>575</v>
      </c>
      <c r="AE103" s="254"/>
      <c r="AF103" s="574"/>
      <c r="AG103" s="754"/>
      <c r="AH103" s="756"/>
      <c r="AI103" s="756"/>
      <c r="AJ103" s="756"/>
      <c r="AK103" s="756"/>
      <c r="AL103" s="756"/>
      <c r="AM103" s="756"/>
      <c r="AN103" s="756"/>
      <c r="AO103" s="783"/>
    </row>
    <row r="104" spans="1:75" s="166" customFormat="1" ht="13.5" customHeight="1">
      <c r="A104" s="206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574"/>
      <c r="AG104" s="754"/>
      <c r="AH104" s="756"/>
      <c r="AI104" s="756"/>
      <c r="AJ104" s="756"/>
      <c r="AK104" s="756"/>
      <c r="AL104" s="756"/>
      <c r="AM104" s="756"/>
      <c r="AN104" s="756"/>
      <c r="AO104" s="783"/>
    </row>
    <row r="105" spans="1:75" s="166" customFormat="1" ht="13.5" customHeight="1">
      <c r="A105" s="206"/>
      <c r="B105" s="254"/>
      <c r="C105" s="254"/>
      <c r="D105" s="254"/>
      <c r="E105" s="200"/>
      <c r="F105" s="254"/>
      <c r="G105" s="254"/>
      <c r="H105" s="254"/>
      <c r="I105" s="200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00"/>
      <c r="Z105" s="254"/>
      <c r="AA105" s="254"/>
      <c r="AB105" s="254"/>
      <c r="AC105" s="200"/>
      <c r="AD105" s="254"/>
      <c r="AE105" s="254"/>
      <c r="AF105" s="574"/>
      <c r="AG105" s="754"/>
      <c r="AH105" s="756"/>
      <c r="AI105" s="756"/>
      <c r="AJ105" s="756"/>
      <c r="AK105" s="756"/>
      <c r="AL105" s="756"/>
      <c r="AM105" s="756"/>
      <c r="AN105" s="756"/>
      <c r="AO105" s="783"/>
    </row>
    <row r="106" spans="1:75" s="166" customFormat="1" ht="13.5" customHeight="1" thickBo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54"/>
      <c r="AH106" s="756"/>
      <c r="AI106" s="756"/>
      <c r="AJ106" s="756"/>
      <c r="AK106" s="756"/>
      <c r="AL106" s="756"/>
      <c r="AM106" s="756"/>
      <c r="AN106" s="756"/>
      <c r="AO106" s="783"/>
    </row>
    <row r="107" spans="1:75" s="166" customFormat="1" ht="13.5" customHeight="1">
      <c r="A107" s="594"/>
      <c r="B107" s="194"/>
      <c r="C107" s="591"/>
      <c r="D107" s="521"/>
      <c r="E107" s="591"/>
      <c r="F107" s="487"/>
      <c r="G107" s="591"/>
      <c r="H107" s="183"/>
      <c r="I107" s="591"/>
      <c r="J107" s="184"/>
      <c r="K107" s="591"/>
      <c r="L107" s="183"/>
      <c r="M107" s="591"/>
      <c r="N107" s="184"/>
      <c r="O107" s="591"/>
      <c r="P107" s="184"/>
      <c r="Q107" s="591"/>
      <c r="R107" s="184"/>
      <c r="S107" s="591"/>
      <c r="T107" s="183"/>
      <c r="U107" s="591"/>
      <c r="V107" s="183"/>
      <c r="W107" s="591"/>
      <c r="X107" s="261"/>
      <c r="Y107" s="579"/>
      <c r="Z107" s="261"/>
      <c r="AA107" s="579"/>
      <c r="AB107" s="261"/>
      <c r="AC107" s="579"/>
      <c r="AD107" s="261"/>
      <c r="AE107" s="579"/>
      <c r="AF107" s="574"/>
      <c r="AG107" s="754"/>
      <c r="AH107" s="756"/>
      <c r="AI107" s="756"/>
      <c r="AJ107" s="756"/>
      <c r="AK107" s="756"/>
      <c r="AL107" s="756"/>
      <c r="AM107" s="756"/>
      <c r="AN107" s="756"/>
      <c r="AO107" s="783"/>
      <c r="BV107" s="500">
        <f>4</f>
        <v>4</v>
      </c>
      <c r="BW107" s="500">
        <v>0</v>
      </c>
    </row>
    <row r="108" spans="1:75" s="166" customFormat="1" ht="13.5" customHeight="1">
      <c r="A108" s="594"/>
      <c r="B108" s="195" t="s">
        <v>550</v>
      </c>
      <c r="C108" s="592">
        <v>388.00099999999998</v>
      </c>
      <c r="D108" s="523" t="s">
        <v>550</v>
      </c>
      <c r="E108" s="592">
        <v>348.62799999999999</v>
      </c>
      <c r="F108" s="201" t="s">
        <v>97</v>
      </c>
      <c r="G108" s="592">
        <v>424.14</v>
      </c>
      <c r="H108" s="186"/>
      <c r="I108" s="592">
        <v>412</v>
      </c>
      <c r="J108" s="191"/>
      <c r="K108" s="592">
        <v>406</v>
      </c>
      <c r="L108" s="186"/>
      <c r="M108" s="592">
        <v>370.19200000000001</v>
      </c>
      <c r="N108" s="191"/>
      <c r="O108" s="592">
        <v>378.53399999999999</v>
      </c>
      <c r="P108" s="191"/>
      <c r="Q108" s="592">
        <v>408.00400000000002</v>
      </c>
      <c r="R108" s="187"/>
      <c r="S108" s="592">
        <v>405.55099999999999</v>
      </c>
      <c r="T108" s="186"/>
      <c r="U108" s="592">
        <v>405.99900000000002</v>
      </c>
      <c r="V108" s="186"/>
      <c r="W108" s="592">
        <v>386</v>
      </c>
      <c r="X108" s="262"/>
      <c r="Y108" s="581">
        <v>408.363</v>
      </c>
      <c r="Z108" s="263"/>
      <c r="AA108" s="581">
        <v>380.99700000000001</v>
      </c>
      <c r="AB108" s="263"/>
      <c r="AC108" s="581">
        <v>426.00099999999998</v>
      </c>
      <c r="AD108" s="263"/>
      <c r="AE108" s="581">
        <v>394.47500000000002</v>
      </c>
      <c r="AF108" s="574"/>
      <c r="AG108" s="754"/>
      <c r="AH108" s="756"/>
      <c r="AI108" s="756"/>
      <c r="AJ108" s="756"/>
      <c r="AK108" s="756"/>
      <c r="AL108" s="756"/>
      <c r="AM108" s="756"/>
      <c r="AN108" s="756"/>
      <c r="AO108" s="783"/>
    </row>
    <row r="109" spans="1:75" s="166" customFormat="1" ht="13.5" customHeight="1" thickBot="1">
      <c r="A109" s="594"/>
      <c r="B109" s="196"/>
      <c r="D109" s="522"/>
      <c r="F109" s="192"/>
      <c r="H109" s="188"/>
      <c r="J109" s="189"/>
      <c r="L109" s="188"/>
      <c r="N109" s="191"/>
      <c r="P109" s="191"/>
      <c r="R109" s="189"/>
      <c r="T109" s="188"/>
      <c r="V109" s="188"/>
      <c r="X109" s="264"/>
      <c r="Y109" s="200"/>
      <c r="Z109" s="264"/>
      <c r="AA109" s="200"/>
      <c r="AB109" s="264"/>
      <c r="AC109" s="200"/>
      <c r="AD109" s="264"/>
      <c r="AE109" s="200"/>
      <c r="AF109" s="574"/>
      <c r="AG109" s="754"/>
      <c r="AH109" s="756"/>
      <c r="AI109" s="756"/>
      <c r="AJ109" s="756"/>
      <c r="AK109" s="756"/>
      <c r="AL109" s="756"/>
      <c r="AM109" s="756"/>
      <c r="AN109" s="756"/>
      <c r="AO109" s="783"/>
    </row>
    <row r="110" spans="1:75" s="166" customFormat="1" ht="14.15" customHeight="1">
      <c r="A110" s="206"/>
      <c r="B110" s="254" t="s">
        <v>350</v>
      </c>
      <c r="C110" s="254"/>
      <c r="D110" s="254" t="s">
        <v>350</v>
      </c>
      <c r="E110" s="254"/>
      <c r="F110" s="254" t="s">
        <v>300</v>
      </c>
      <c r="G110" s="254"/>
      <c r="H110" s="254" t="s">
        <v>399</v>
      </c>
      <c r="I110" s="254"/>
      <c r="J110" s="254" t="s">
        <v>357</v>
      </c>
      <c r="K110" s="254"/>
      <c r="L110" s="254" t="s">
        <v>350</v>
      </c>
      <c r="M110" s="254"/>
      <c r="N110" s="254" t="s">
        <v>373</v>
      </c>
      <c r="O110" s="254"/>
      <c r="P110" s="254" t="s">
        <v>292</v>
      </c>
      <c r="Q110" s="254"/>
      <c r="R110" s="254" t="s">
        <v>350</v>
      </c>
      <c r="S110" s="254"/>
      <c r="T110" s="254" t="s">
        <v>309</v>
      </c>
      <c r="U110" s="254"/>
      <c r="V110" s="254" t="s">
        <v>350</v>
      </c>
      <c r="W110" s="254"/>
      <c r="X110" s="254" t="s">
        <v>350</v>
      </c>
      <c r="Y110" s="254"/>
      <c r="Z110" s="254" t="s">
        <v>576</v>
      </c>
      <c r="AA110" s="254"/>
      <c r="AB110" s="254" t="s">
        <v>399</v>
      </c>
      <c r="AC110" s="254"/>
      <c r="AD110" s="254" t="s">
        <v>350</v>
      </c>
      <c r="AE110" s="254"/>
      <c r="AF110" s="574"/>
      <c r="AG110" s="754"/>
      <c r="AH110" s="756"/>
      <c r="AI110" s="756"/>
      <c r="AJ110" s="756"/>
      <c r="AK110" s="756"/>
      <c r="AL110" s="756"/>
      <c r="AM110" s="756"/>
      <c r="AN110" s="756"/>
      <c r="AO110" s="783"/>
    </row>
    <row r="111" spans="1:75" s="166" customFormat="1" ht="14.15" customHeight="1">
      <c r="A111" s="206"/>
      <c r="B111" s="200"/>
      <c r="C111" s="200"/>
      <c r="D111" s="200"/>
      <c r="E111" s="200"/>
      <c r="F111" s="200"/>
      <c r="G111" s="254"/>
      <c r="H111" s="200"/>
      <c r="I111" s="254"/>
      <c r="J111" s="200"/>
      <c r="K111" s="254"/>
      <c r="L111" s="200"/>
      <c r="M111" s="254"/>
      <c r="N111" s="200"/>
      <c r="O111" s="603" t="s">
        <v>1115</v>
      </c>
      <c r="P111" s="200"/>
      <c r="Q111" s="200"/>
      <c r="R111" s="200"/>
      <c r="S111" s="597"/>
      <c r="T111" s="200"/>
      <c r="U111" s="603" t="s">
        <v>1115</v>
      </c>
      <c r="V111" s="200"/>
      <c r="W111" s="585"/>
      <c r="X111" s="200"/>
      <c r="Y111" s="254"/>
      <c r="Z111" s="200"/>
      <c r="AA111" s="258" t="s">
        <v>1130</v>
      </c>
      <c r="AB111" s="200"/>
      <c r="AC111" s="604" t="s">
        <v>1128</v>
      </c>
      <c r="AD111" s="200"/>
      <c r="AE111" s="200"/>
      <c r="AF111" s="574"/>
      <c r="AG111" s="755"/>
      <c r="AH111" s="757"/>
      <c r="AI111" s="757"/>
      <c r="AJ111" s="757"/>
      <c r="AK111" s="757"/>
      <c r="AL111" s="757"/>
      <c r="AM111" s="757"/>
      <c r="AN111" s="757"/>
      <c r="AO111" s="785"/>
    </row>
    <row r="112" spans="1:75" s="166" customFormat="1" ht="13.5" customHeight="1">
      <c r="A112" s="206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584" t="s">
        <v>1125</v>
      </c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584" t="s">
        <v>1127</v>
      </c>
      <c r="AB112" s="200"/>
      <c r="AC112" s="604" t="s">
        <v>1129</v>
      </c>
      <c r="AD112" s="200"/>
      <c r="AE112" s="200"/>
      <c r="AF112" s="574"/>
      <c r="AG112" s="754"/>
      <c r="AH112" s="756"/>
      <c r="AI112" s="756"/>
      <c r="AJ112" s="756"/>
      <c r="AK112" s="756"/>
      <c r="AL112" s="756"/>
      <c r="AM112" s="756"/>
      <c r="AN112" s="756"/>
      <c r="AO112" s="783"/>
    </row>
    <row r="113" spans="1:75" s="166" customFormat="1" ht="13.5" customHeight="1">
      <c r="A113" s="206"/>
      <c r="B113" s="200">
        <v>120</v>
      </c>
      <c r="C113" s="200"/>
      <c r="D113" s="200">
        <v>121</v>
      </c>
      <c r="E113" s="200"/>
      <c r="F113" s="200">
        <v>123</v>
      </c>
      <c r="G113" s="200"/>
      <c r="H113" s="200">
        <v>124</v>
      </c>
      <c r="I113" s="200"/>
      <c r="J113" s="200">
        <v>125</v>
      </c>
      <c r="K113" s="200"/>
      <c r="L113" s="200">
        <v>126</v>
      </c>
      <c r="M113" s="200"/>
      <c r="N113" s="200">
        <v>127</v>
      </c>
      <c r="O113" s="200"/>
      <c r="P113" s="200">
        <v>128</v>
      </c>
      <c r="Q113" s="200"/>
      <c r="R113" s="200">
        <v>129</v>
      </c>
      <c r="S113" s="200"/>
      <c r="T113" s="200">
        <v>130</v>
      </c>
      <c r="U113" s="200"/>
      <c r="V113" s="200">
        <v>131</v>
      </c>
      <c r="W113" s="200"/>
      <c r="X113" s="200">
        <v>132</v>
      </c>
      <c r="Y113" s="200"/>
      <c r="Z113" s="200">
        <v>133</v>
      </c>
      <c r="AA113" s="200"/>
      <c r="AB113" s="200">
        <v>134</v>
      </c>
      <c r="AC113" s="200"/>
      <c r="AD113" s="200">
        <v>135</v>
      </c>
      <c r="AE113" s="200"/>
      <c r="AF113" s="574"/>
      <c r="AG113" s="754"/>
      <c r="AH113" s="756"/>
      <c r="AI113" s="756"/>
      <c r="AJ113" s="756"/>
      <c r="AK113" s="756"/>
      <c r="AL113" s="756"/>
      <c r="AM113" s="756"/>
      <c r="AN113" s="756"/>
      <c r="AO113" s="783"/>
    </row>
    <row r="114" spans="1:75" s="166" customFormat="1" ht="13.5" customHeight="1">
      <c r="A114" s="206"/>
      <c r="B114" s="254" t="s">
        <v>577</v>
      </c>
      <c r="C114" s="254"/>
      <c r="D114" s="254" t="s">
        <v>578</v>
      </c>
      <c r="E114" s="254"/>
      <c r="F114" s="254" t="s">
        <v>579</v>
      </c>
      <c r="G114" s="254"/>
      <c r="H114" s="254" t="s">
        <v>580</v>
      </c>
      <c r="I114" s="254"/>
      <c r="J114" s="254" t="s">
        <v>181</v>
      </c>
      <c r="K114" s="254"/>
      <c r="L114" s="254" t="s">
        <v>581</v>
      </c>
      <c r="M114" s="254"/>
      <c r="N114" s="254" t="s">
        <v>582</v>
      </c>
      <c r="O114" s="254"/>
      <c r="P114" s="254" t="s">
        <v>583</v>
      </c>
      <c r="Q114" s="254"/>
      <c r="R114" s="254" t="s">
        <v>584</v>
      </c>
      <c r="S114" s="254"/>
      <c r="T114" s="254" t="s">
        <v>585</v>
      </c>
      <c r="U114" s="254"/>
      <c r="V114" s="254" t="s">
        <v>586</v>
      </c>
      <c r="W114" s="254"/>
      <c r="X114" s="254" t="s">
        <v>587</v>
      </c>
      <c r="Y114" s="200"/>
      <c r="Z114" s="254" t="s">
        <v>588</v>
      </c>
      <c r="AA114" s="254"/>
      <c r="AB114" s="254" t="s">
        <v>589</v>
      </c>
      <c r="AC114" s="254"/>
      <c r="AD114" s="254" t="s">
        <v>590</v>
      </c>
      <c r="AE114" s="254"/>
      <c r="AF114" s="574"/>
      <c r="AG114" s="754"/>
      <c r="AH114" s="756"/>
      <c r="AI114" s="756"/>
      <c r="AJ114" s="756"/>
      <c r="AK114" s="756"/>
      <c r="AL114" s="756"/>
      <c r="AM114" s="756"/>
      <c r="AN114" s="756"/>
      <c r="AO114" s="783"/>
    </row>
    <row r="115" spans="1:75" s="166" customFormat="1" ht="13.5" customHeight="1">
      <c r="A115" s="206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574"/>
      <c r="AG115" s="754"/>
      <c r="AH115" s="756"/>
      <c r="AI115" s="756"/>
      <c r="AJ115" s="756"/>
      <c r="AK115" s="756"/>
      <c r="AL115" s="756"/>
      <c r="AM115" s="756"/>
      <c r="AN115" s="756"/>
      <c r="AO115" s="783"/>
    </row>
    <row r="116" spans="1:75" s="166" customFormat="1" ht="13.5" customHeight="1">
      <c r="A116" s="206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00"/>
      <c r="P116" s="254"/>
      <c r="Q116" s="254"/>
      <c r="R116" s="254"/>
      <c r="S116" s="200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574"/>
      <c r="AG116" s="754"/>
      <c r="AH116" s="756"/>
      <c r="AI116" s="756"/>
      <c r="AJ116" s="756"/>
      <c r="AK116" s="756"/>
      <c r="AL116" s="756"/>
      <c r="AM116" s="756"/>
      <c r="AN116" s="756"/>
      <c r="AO116" s="783"/>
    </row>
    <row r="117" spans="1:75" s="166" customFormat="1" ht="13.5" customHeight="1" thickBo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54"/>
      <c r="AH117" s="756"/>
      <c r="AI117" s="756"/>
      <c r="AJ117" s="756"/>
      <c r="AK117" s="756"/>
      <c r="AL117" s="756"/>
      <c r="AM117" s="756"/>
      <c r="AN117" s="756"/>
      <c r="AO117" s="783"/>
    </row>
    <row r="118" spans="1:75" s="166" customFormat="1" ht="13.5" customHeight="1">
      <c r="A118" s="206"/>
      <c r="B118" s="261"/>
      <c r="C118" s="579"/>
      <c r="D118" s="261"/>
      <c r="E118" s="579"/>
      <c r="F118" s="536"/>
      <c r="G118" s="579"/>
      <c r="H118" s="202"/>
      <c r="I118" s="579"/>
      <c r="J118" s="261"/>
      <c r="K118" s="579"/>
      <c r="L118" s="261"/>
      <c r="M118" s="579"/>
      <c r="N118" s="261"/>
      <c r="O118" s="579"/>
      <c r="P118" s="261"/>
      <c r="Q118" s="579"/>
      <c r="R118" s="261"/>
      <c r="S118" s="579"/>
      <c r="T118" s="261"/>
      <c r="U118" s="579"/>
      <c r="V118" s="261"/>
      <c r="W118" s="579"/>
      <c r="X118" s="261"/>
      <c r="Y118" s="579"/>
      <c r="Z118" s="261"/>
      <c r="AA118" s="579"/>
      <c r="AB118" s="261"/>
      <c r="AC118" s="579"/>
      <c r="AD118" s="261"/>
      <c r="AE118" s="579"/>
      <c r="AF118" s="574"/>
      <c r="AG118" s="754"/>
      <c r="AH118" s="756"/>
      <c r="AI118" s="756"/>
      <c r="AJ118" s="756"/>
      <c r="AK118" s="756"/>
      <c r="AL118" s="756"/>
      <c r="AM118" s="756"/>
      <c r="AN118" s="756"/>
      <c r="AO118" s="783"/>
      <c r="BV118" s="500">
        <v>1</v>
      </c>
      <c r="BW118" s="500">
        <v>0</v>
      </c>
    </row>
    <row r="119" spans="1:75" s="166" customFormat="1" ht="13.5" customHeight="1">
      <c r="A119" s="206"/>
      <c r="B119" s="263"/>
      <c r="C119" s="581">
        <v>411.00400000000002</v>
      </c>
      <c r="D119" s="263" t="s">
        <v>550</v>
      </c>
      <c r="E119" s="581">
        <v>423</v>
      </c>
      <c r="F119" s="195" t="s">
        <v>550</v>
      </c>
      <c r="G119" s="581">
        <v>395</v>
      </c>
      <c r="H119" s="187" t="s">
        <v>67</v>
      </c>
      <c r="I119" s="581">
        <v>358.32400000000001</v>
      </c>
      <c r="J119" s="263"/>
      <c r="K119" s="581">
        <v>409.99599999999998</v>
      </c>
      <c r="L119" s="263"/>
      <c r="M119" s="581">
        <v>399.88200000000001</v>
      </c>
      <c r="N119" s="263"/>
      <c r="O119" s="581">
        <v>410.99799999999999</v>
      </c>
      <c r="P119" s="263"/>
      <c r="Q119" s="581">
        <v>402</v>
      </c>
      <c r="R119" s="263"/>
      <c r="S119" s="581">
        <v>422</v>
      </c>
      <c r="T119" s="263"/>
      <c r="U119" s="581">
        <v>409</v>
      </c>
      <c r="V119" s="263"/>
      <c r="W119" s="581">
        <v>394</v>
      </c>
      <c r="X119" s="262"/>
      <c r="Y119" s="581">
        <v>393</v>
      </c>
      <c r="Z119" s="263"/>
      <c r="AA119" s="581">
        <v>405.06099999999998</v>
      </c>
      <c r="AB119" s="263"/>
      <c r="AC119" s="581">
        <v>404.97500000000002</v>
      </c>
      <c r="AD119" s="263"/>
      <c r="AE119" s="581">
        <v>382.005</v>
      </c>
      <c r="AF119" s="574"/>
      <c r="AG119" s="754"/>
      <c r="AH119" s="756"/>
      <c r="AI119" s="756"/>
      <c r="AJ119" s="756"/>
      <c r="AK119" s="756"/>
      <c r="AL119" s="756"/>
      <c r="AM119" s="756"/>
      <c r="AN119" s="756"/>
      <c r="AO119" s="783"/>
    </row>
    <row r="120" spans="1:75" s="166" customFormat="1" ht="13.5" customHeight="1" thickBot="1">
      <c r="A120" s="206"/>
      <c r="B120" s="264"/>
      <c r="C120" s="200"/>
      <c r="D120" s="264"/>
      <c r="E120" s="200"/>
      <c r="F120" s="537"/>
      <c r="G120" s="200"/>
      <c r="H120" s="203"/>
      <c r="I120" s="200"/>
      <c r="J120" s="264"/>
      <c r="K120" s="200"/>
      <c r="L120" s="264"/>
      <c r="M120" s="200"/>
      <c r="N120" s="264"/>
      <c r="O120" s="200"/>
      <c r="P120" s="264"/>
      <c r="Q120" s="200"/>
      <c r="R120" s="264"/>
      <c r="S120" s="200"/>
      <c r="T120" s="264"/>
      <c r="U120" s="200"/>
      <c r="V120" s="264"/>
      <c r="W120" s="200"/>
      <c r="X120" s="264"/>
      <c r="Y120" s="200"/>
      <c r="Z120" s="264"/>
      <c r="AA120" s="200"/>
      <c r="AB120" s="264"/>
      <c r="AC120" s="200"/>
      <c r="AD120" s="264"/>
      <c r="AE120" s="200"/>
      <c r="AF120" s="574"/>
      <c r="AG120" s="754"/>
      <c r="AH120" s="756"/>
      <c r="AI120" s="756"/>
      <c r="AJ120" s="756"/>
      <c r="AK120" s="756"/>
      <c r="AL120" s="756"/>
      <c r="AM120" s="756"/>
      <c r="AN120" s="756"/>
      <c r="AO120" s="783"/>
    </row>
    <row r="121" spans="1:75" s="166" customFormat="1" ht="14.15" customHeight="1">
      <c r="A121" s="206"/>
      <c r="B121" s="254" t="s">
        <v>373</v>
      </c>
      <c r="C121" s="254"/>
      <c r="D121" s="254" t="s">
        <v>357</v>
      </c>
      <c r="E121" s="254"/>
      <c r="F121" s="254" t="s">
        <v>350</v>
      </c>
      <c r="G121" s="254"/>
      <c r="H121" s="254" t="s">
        <v>350</v>
      </c>
      <c r="I121" s="254"/>
      <c r="J121" s="254" t="s">
        <v>302</v>
      </c>
      <c r="K121" s="254"/>
      <c r="L121" s="254" t="s">
        <v>357</v>
      </c>
      <c r="M121" s="254"/>
      <c r="N121" s="254" t="s">
        <v>302</v>
      </c>
      <c r="O121" s="254"/>
      <c r="P121" s="254" t="s">
        <v>357</v>
      </c>
      <c r="Q121" s="254"/>
      <c r="R121" s="254" t="s">
        <v>350</v>
      </c>
      <c r="S121" s="254"/>
      <c r="T121" s="254" t="s">
        <v>357</v>
      </c>
      <c r="U121" s="254"/>
      <c r="V121" s="254" t="s">
        <v>350</v>
      </c>
      <c r="W121" s="254"/>
      <c r="X121" s="254" t="s">
        <v>350</v>
      </c>
      <c r="Y121" s="254"/>
      <c r="Z121" s="254" t="s">
        <v>357</v>
      </c>
      <c r="AA121" s="254"/>
      <c r="AB121" s="254" t="s">
        <v>330</v>
      </c>
      <c r="AC121" s="254"/>
      <c r="AD121" s="254" t="s">
        <v>591</v>
      </c>
      <c r="AE121" s="254"/>
      <c r="AF121" s="574"/>
      <c r="AG121" s="754"/>
      <c r="AH121" s="756"/>
      <c r="AI121" s="756"/>
      <c r="AJ121" s="756"/>
      <c r="AK121" s="756"/>
      <c r="AL121" s="756"/>
      <c r="AM121" s="756"/>
      <c r="AN121" s="756"/>
      <c r="AO121" s="783"/>
    </row>
    <row r="122" spans="1:75" s="166" customFormat="1" ht="14.15" customHeight="1" thickBot="1">
      <c r="A122" s="206"/>
      <c r="B122" s="200"/>
      <c r="C122" s="584" t="s">
        <v>1131</v>
      </c>
      <c r="D122" s="200"/>
      <c r="E122" s="254"/>
      <c r="F122" s="200"/>
      <c r="G122" s="254"/>
      <c r="H122" s="200"/>
      <c r="I122" s="254"/>
      <c r="J122" s="200"/>
      <c r="K122" s="604" t="s">
        <v>1129</v>
      </c>
      <c r="L122" s="200"/>
      <c r="M122" s="254"/>
      <c r="N122" s="200"/>
      <c r="O122" s="254"/>
      <c r="P122" s="200"/>
      <c r="Q122" s="254"/>
      <c r="R122" s="200"/>
      <c r="S122" s="254"/>
      <c r="T122" s="200"/>
      <c r="U122" s="585"/>
      <c r="V122" s="200"/>
      <c r="W122" s="200"/>
      <c r="X122" s="200"/>
      <c r="Y122" s="254"/>
      <c r="Z122" s="200"/>
      <c r="AA122" s="254"/>
      <c r="AB122" s="200"/>
      <c r="AC122" s="604" t="s">
        <v>1115</v>
      </c>
      <c r="AD122" s="200"/>
      <c r="AE122" s="604" t="s">
        <v>1115</v>
      </c>
      <c r="AF122" s="574"/>
      <c r="AG122" s="789"/>
      <c r="AH122" s="781"/>
      <c r="AI122" s="781"/>
      <c r="AJ122" s="781"/>
      <c r="AK122" s="781"/>
      <c r="AL122" s="781"/>
      <c r="AM122" s="781"/>
      <c r="AN122" s="781"/>
      <c r="AO122" s="784"/>
    </row>
    <row r="123" spans="1:75" s="166" customFormat="1" ht="13.5" customHeight="1">
      <c r="A123" s="206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584" t="s">
        <v>1132</v>
      </c>
      <c r="T123" s="200"/>
      <c r="U123" s="584" t="s">
        <v>1132</v>
      </c>
      <c r="V123" s="200"/>
      <c r="W123" s="200"/>
      <c r="X123" s="200"/>
      <c r="Y123" s="200"/>
      <c r="Z123" s="200"/>
      <c r="AA123" s="200"/>
      <c r="AB123" s="200"/>
      <c r="AC123" s="604" t="s">
        <v>1020</v>
      </c>
      <c r="AD123" s="200"/>
      <c r="AE123" s="604" t="s">
        <v>997</v>
      </c>
      <c r="AF123" s="574"/>
      <c r="AG123" s="754"/>
      <c r="AH123" s="756"/>
      <c r="AI123" s="756"/>
      <c r="AJ123" s="756"/>
      <c r="AK123" s="756"/>
      <c r="AL123" s="756"/>
      <c r="AM123" s="756"/>
      <c r="AN123" s="756"/>
      <c r="AO123" s="783"/>
    </row>
    <row r="124" spans="1:75" s="166" customFormat="1" ht="13.5" customHeight="1">
      <c r="A124" s="206"/>
      <c r="B124" s="200">
        <v>136</v>
      </c>
      <c r="C124" s="200"/>
      <c r="D124" s="200">
        <v>137</v>
      </c>
      <c r="E124" s="200"/>
      <c r="F124" s="200">
        <v>138</v>
      </c>
      <c r="G124" s="200"/>
      <c r="H124" s="200">
        <v>139</v>
      </c>
      <c r="I124" s="200"/>
      <c r="J124" s="200">
        <v>140</v>
      </c>
      <c r="K124" s="200"/>
      <c r="L124" s="200">
        <v>141</v>
      </c>
      <c r="M124" s="200"/>
      <c r="N124" s="200">
        <v>142</v>
      </c>
      <c r="O124" s="200"/>
      <c r="P124" s="200">
        <v>143</v>
      </c>
      <c r="Q124" s="200"/>
      <c r="R124" s="200">
        <v>144</v>
      </c>
      <c r="S124" s="200"/>
      <c r="T124" s="200">
        <v>145</v>
      </c>
      <c r="U124" s="200"/>
      <c r="V124" s="200">
        <v>146</v>
      </c>
      <c r="W124" s="200"/>
      <c r="X124" s="200">
        <v>147</v>
      </c>
      <c r="Y124" s="200"/>
      <c r="Z124" s="200">
        <v>148</v>
      </c>
      <c r="AA124" s="200"/>
      <c r="AB124" s="200">
        <v>149</v>
      </c>
      <c r="AC124" s="200"/>
      <c r="AD124" s="200">
        <v>150</v>
      </c>
      <c r="AE124" s="200"/>
      <c r="AF124" s="574"/>
      <c r="AG124" s="754"/>
      <c r="AH124" s="756"/>
      <c r="AI124" s="756"/>
      <c r="AJ124" s="756"/>
      <c r="AK124" s="756"/>
      <c r="AL124" s="756"/>
      <c r="AM124" s="756"/>
      <c r="AN124" s="756"/>
      <c r="AO124" s="783"/>
    </row>
    <row r="125" spans="1:75" s="166" customFormat="1" ht="13.5" customHeight="1">
      <c r="A125" s="206"/>
      <c r="B125" s="254" t="s">
        <v>592</v>
      </c>
      <c r="C125" s="254"/>
      <c r="D125" s="254" t="s">
        <v>165</v>
      </c>
      <c r="E125" s="254"/>
      <c r="F125" s="254" t="s">
        <v>593</v>
      </c>
      <c r="G125" s="254"/>
      <c r="H125" s="254" t="s">
        <v>594</v>
      </c>
      <c r="I125" s="254"/>
      <c r="J125" s="254" t="s">
        <v>595</v>
      </c>
      <c r="K125" s="254"/>
      <c r="L125" s="254" t="s">
        <v>596</v>
      </c>
      <c r="M125" s="254"/>
      <c r="N125" s="254" t="s">
        <v>597</v>
      </c>
      <c r="O125" s="254"/>
      <c r="P125" s="254" t="s">
        <v>598</v>
      </c>
      <c r="Q125" s="254"/>
      <c r="R125" s="254" t="s">
        <v>599</v>
      </c>
      <c r="S125" s="254"/>
      <c r="T125" s="254" t="s">
        <v>600</v>
      </c>
      <c r="U125" s="254"/>
      <c r="V125" s="254" t="s">
        <v>601</v>
      </c>
      <c r="W125" s="254"/>
      <c r="X125" s="254" t="s">
        <v>602</v>
      </c>
      <c r="Y125" s="200"/>
      <c r="Z125" s="254" t="s">
        <v>182</v>
      </c>
      <c r="AA125" s="254"/>
      <c r="AB125" s="254" t="s">
        <v>141</v>
      </c>
      <c r="AC125" s="254"/>
      <c r="AD125" s="254" t="s">
        <v>449</v>
      </c>
      <c r="AE125" s="254"/>
      <c r="AF125" s="574"/>
      <c r="AG125" s="754"/>
      <c r="AH125" s="756"/>
      <c r="AI125" s="756"/>
      <c r="AJ125" s="756"/>
      <c r="AK125" s="756"/>
      <c r="AL125" s="756"/>
      <c r="AM125" s="756"/>
      <c r="AN125" s="756"/>
      <c r="AO125" s="783"/>
    </row>
    <row r="126" spans="1:75" s="166" customFormat="1" ht="13.5" customHeight="1">
      <c r="A126" s="206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574"/>
      <c r="AG126" s="754"/>
      <c r="AH126" s="756"/>
      <c r="AI126" s="756"/>
      <c r="AJ126" s="756"/>
      <c r="AK126" s="756"/>
      <c r="AL126" s="756"/>
      <c r="AM126" s="756"/>
      <c r="AN126" s="756"/>
      <c r="AO126" s="783"/>
    </row>
    <row r="127" spans="1:75" s="166" customFormat="1" ht="13.5" customHeight="1">
      <c r="A127" s="206"/>
      <c r="B127" s="254"/>
      <c r="C127" s="254"/>
      <c r="D127" s="254"/>
      <c r="E127" s="200"/>
      <c r="F127" s="254"/>
      <c r="G127" s="254"/>
      <c r="H127" s="254"/>
      <c r="I127" s="200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00"/>
      <c r="Z127" s="254"/>
      <c r="AA127" s="254"/>
      <c r="AB127" s="254"/>
      <c r="AC127" s="200"/>
      <c r="AD127" s="254"/>
      <c r="AE127" s="254"/>
      <c r="AF127" s="574"/>
      <c r="AG127" s="754"/>
      <c r="AH127" s="756"/>
      <c r="AI127" s="756"/>
      <c r="AJ127" s="756"/>
      <c r="AK127" s="756"/>
      <c r="AL127" s="756"/>
      <c r="AM127" s="756"/>
      <c r="AN127" s="756"/>
      <c r="AO127" s="783"/>
    </row>
    <row r="128" spans="1:75" s="166" customFormat="1" ht="13.5" customHeight="1" thickBo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54"/>
      <c r="AH128" s="756"/>
      <c r="AI128" s="756"/>
      <c r="AJ128" s="756"/>
      <c r="AK128" s="756"/>
      <c r="AL128" s="756"/>
      <c r="AM128" s="756"/>
      <c r="AN128" s="756"/>
      <c r="AO128" s="783"/>
    </row>
    <row r="129" spans="1:75" s="166" customFormat="1" ht="13.5" customHeight="1">
      <c r="A129" s="206"/>
      <c r="B129" s="261"/>
      <c r="C129" s="579"/>
      <c r="D129" s="261"/>
      <c r="E129" s="579"/>
      <c r="F129" s="261"/>
      <c r="G129" s="579"/>
      <c r="H129" s="261"/>
      <c r="I129" s="579"/>
      <c r="J129" s="261"/>
      <c r="K129" s="579"/>
      <c r="L129" s="261"/>
      <c r="M129" s="579"/>
      <c r="N129" s="261"/>
      <c r="O129" s="579"/>
      <c r="P129" s="261"/>
      <c r="Q129" s="579"/>
      <c r="R129" s="261"/>
      <c r="S129" s="579"/>
      <c r="T129" s="261"/>
      <c r="U129" s="579"/>
      <c r="V129" s="261"/>
      <c r="W129" s="579"/>
      <c r="X129" s="261"/>
      <c r="Y129" s="579"/>
      <c r="Z129" s="261"/>
      <c r="AA129" s="579"/>
      <c r="AB129" s="261"/>
      <c r="AC129" s="579"/>
      <c r="AD129" s="184"/>
      <c r="AE129" s="579"/>
      <c r="AF129" s="574"/>
      <c r="AG129" s="754"/>
      <c r="AH129" s="756"/>
      <c r="AI129" s="756"/>
      <c r="AJ129" s="756"/>
      <c r="AK129" s="756"/>
      <c r="AL129" s="756"/>
      <c r="AM129" s="756"/>
      <c r="AN129" s="756"/>
      <c r="AO129" s="783"/>
    </row>
    <row r="130" spans="1:75" s="166" customFormat="1" ht="13.5" customHeight="1">
      <c r="A130" s="206"/>
      <c r="B130" s="263"/>
      <c r="C130" s="581">
        <v>428.053</v>
      </c>
      <c r="D130" s="263"/>
      <c r="E130" s="581">
        <v>155.72499999999999</v>
      </c>
      <c r="F130" s="263"/>
      <c r="G130" s="581">
        <v>387</v>
      </c>
      <c r="H130" s="263"/>
      <c r="I130" s="581">
        <v>344</v>
      </c>
      <c r="J130" s="263"/>
      <c r="K130" s="581">
        <v>384</v>
      </c>
      <c r="L130" s="263"/>
      <c r="M130" s="581">
        <v>391</v>
      </c>
      <c r="N130" s="263"/>
      <c r="O130" s="581">
        <v>426</v>
      </c>
      <c r="P130" s="263"/>
      <c r="Q130" s="581">
        <v>328.995</v>
      </c>
      <c r="R130" s="263"/>
      <c r="S130" s="581">
        <v>428.03899999999999</v>
      </c>
      <c r="T130" s="263"/>
      <c r="U130" s="581">
        <v>314</v>
      </c>
      <c r="V130" s="263"/>
      <c r="W130" s="581">
        <v>365.78</v>
      </c>
      <c r="X130" s="262"/>
      <c r="Y130" s="581">
        <v>407</v>
      </c>
      <c r="Z130" s="263" t="s">
        <v>550</v>
      </c>
      <c r="AA130" s="581">
        <v>276</v>
      </c>
      <c r="AB130" s="263" t="s">
        <v>550</v>
      </c>
      <c r="AC130" s="581">
        <v>410</v>
      </c>
      <c r="AD130" s="187"/>
      <c r="AE130" s="581">
        <v>418</v>
      </c>
      <c r="AF130" s="574"/>
      <c r="AG130" s="754"/>
      <c r="AH130" s="756"/>
      <c r="AI130" s="756"/>
      <c r="AJ130" s="756"/>
      <c r="AK130" s="756"/>
      <c r="AL130" s="756"/>
      <c r="AM130" s="756"/>
      <c r="AN130" s="756"/>
      <c r="AO130" s="783"/>
      <c r="BV130" s="500">
        <v>1</v>
      </c>
      <c r="BW130" s="500">
        <v>0</v>
      </c>
    </row>
    <row r="131" spans="1:75" s="166" customFormat="1" ht="13.5" customHeight="1" thickBot="1">
      <c r="A131" s="206"/>
      <c r="B131" s="264"/>
      <c r="C131" s="200"/>
      <c r="D131" s="264"/>
      <c r="E131" s="200"/>
      <c r="F131" s="264"/>
      <c r="G131" s="200"/>
      <c r="H131" s="264"/>
      <c r="I131" s="200"/>
      <c r="J131" s="264"/>
      <c r="K131" s="200"/>
      <c r="L131" s="264"/>
      <c r="M131" s="200"/>
      <c r="N131" s="264"/>
      <c r="O131" s="200"/>
      <c r="P131" s="264"/>
      <c r="Q131" s="200"/>
      <c r="R131" s="264"/>
      <c r="S131" s="200"/>
      <c r="T131" s="264"/>
      <c r="U131" s="200"/>
      <c r="V131" s="264"/>
      <c r="W131" s="200"/>
      <c r="X131" s="264"/>
      <c r="Y131" s="200"/>
      <c r="Z131" s="264"/>
      <c r="AA131" s="200"/>
      <c r="AB131" s="264"/>
      <c r="AC131" s="200"/>
      <c r="AD131" s="189"/>
      <c r="AE131" s="200"/>
      <c r="AF131" s="574"/>
      <c r="AG131" s="754"/>
      <c r="AH131" s="756"/>
      <c r="AI131" s="756"/>
      <c r="AJ131" s="756"/>
      <c r="AK131" s="756"/>
      <c r="AL131" s="756"/>
      <c r="AM131" s="756"/>
      <c r="AN131" s="756"/>
      <c r="AO131" s="783"/>
    </row>
    <row r="132" spans="1:75" s="166" customFormat="1" ht="14.15" customHeight="1">
      <c r="A132" s="206"/>
      <c r="B132" s="254" t="s">
        <v>350</v>
      </c>
      <c r="C132" s="254"/>
      <c r="D132" s="254" t="s">
        <v>305</v>
      </c>
      <c r="E132" s="254"/>
      <c r="F132" s="254" t="s">
        <v>305</v>
      </c>
      <c r="G132" s="254"/>
      <c r="H132" s="254" t="s">
        <v>396</v>
      </c>
      <c r="I132" s="254"/>
      <c r="J132" s="254" t="s">
        <v>350</v>
      </c>
      <c r="K132" s="254"/>
      <c r="L132" s="254" t="s">
        <v>350</v>
      </c>
      <c r="M132" s="254"/>
      <c r="N132" s="254" t="s">
        <v>350</v>
      </c>
      <c r="O132" s="254"/>
      <c r="P132" s="254" t="s">
        <v>322</v>
      </c>
      <c r="Q132" s="254"/>
      <c r="R132" s="254" t="s">
        <v>561</v>
      </c>
      <c r="S132" s="254"/>
      <c r="T132" s="254" t="s">
        <v>302</v>
      </c>
      <c r="U132" s="254"/>
      <c r="V132" s="254" t="s">
        <v>350</v>
      </c>
      <c r="W132" s="254"/>
      <c r="X132" s="254" t="s">
        <v>396</v>
      </c>
      <c r="Y132" s="254"/>
      <c r="Z132" s="254" t="s">
        <v>305</v>
      </c>
      <c r="AA132" s="254"/>
      <c r="AB132" s="254" t="s">
        <v>560</v>
      </c>
      <c r="AC132" s="254"/>
      <c r="AD132" s="254" t="s">
        <v>357</v>
      </c>
      <c r="AE132" s="254"/>
      <c r="AF132" s="574"/>
      <c r="AG132" s="754"/>
      <c r="AH132" s="756"/>
      <c r="AI132" s="756"/>
      <c r="AJ132" s="756"/>
      <c r="AK132" s="756"/>
      <c r="AL132" s="756"/>
      <c r="AM132" s="756"/>
      <c r="AN132" s="756"/>
      <c r="AO132" s="783"/>
    </row>
    <row r="133" spans="1:75" s="166" customFormat="1" ht="14.15" customHeight="1">
      <c r="A133" s="206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54"/>
      <c r="N133" s="200"/>
      <c r="O133" s="254"/>
      <c r="P133" s="200"/>
      <c r="Q133" s="254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574"/>
      <c r="AG133" s="755"/>
      <c r="AH133" s="757"/>
      <c r="AI133" s="757"/>
      <c r="AJ133" s="757"/>
      <c r="AK133" s="757"/>
      <c r="AL133" s="757"/>
      <c r="AM133" s="757"/>
      <c r="AN133" s="757"/>
      <c r="AO133" s="785"/>
    </row>
    <row r="134" spans="1:75" s="166" customFormat="1" ht="13.5" customHeight="1">
      <c r="A134" s="206"/>
      <c r="B134" s="200"/>
      <c r="C134" s="200"/>
      <c r="D134" s="200"/>
      <c r="E134" s="584" t="s">
        <v>1133</v>
      </c>
      <c r="F134" s="200"/>
      <c r="G134" s="584" t="s">
        <v>1134</v>
      </c>
      <c r="H134" s="200"/>
      <c r="I134" s="584" t="s">
        <v>1135</v>
      </c>
      <c r="J134" s="200"/>
      <c r="K134" s="200"/>
      <c r="L134" s="200"/>
      <c r="M134" s="200"/>
      <c r="N134" s="200"/>
      <c r="O134" s="584" t="s">
        <v>1135</v>
      </c>
      <c r="P134" s="200"/>
      <c r="Q134" s="604" t="s">
        <v>1115</v>
      </c>
      <c r="R134" s="200"/>
      <c r="S134" s="584" t="s">
        <v>1137</v>
      </c>
      <c r="T134" s="200"/>
      <c r="U134" s="200"/>
      <c r="V134" s="200"/>
      <c r="W134" s="584" t="s">
        <v>1137</v>
      </c>
      <c r="X134" s="200"/>
      <c r="Y134" s="200"/>
      <c r="Z134" s="200"/>
      <c r="AA134" s="604" t="s">
        <v>1112</v>
      </c>
      <c r="AB134" s="200"/>
      <c r="AC134" s="200"/>
      <c r="AD134" s="200"/>
      <c r="AE134" s="584" t="s">
        <v>1126</v>
      </c>
      <c r="AF134" s="574"/>
      <c r="AG134" s="197">
        <v>10</v>
      </c>
      <c r="AH134" s="156">
        <v>7</v>
      </c>
      <c r="AI134" s="156">
        <f>AG134-AH134</f>
        <v>3</v>
      </c>
      <c r="AJ134" s="156">
        <f>COUNTA($B$125:$I$125)</f>
        <v>4</v>
      </c>
      <c r="AK134" s="156">
        <v>6</v>
      </c>
      <c r="AL134" s="156">
        <v>5</v>
      </c>
      <c r="AM134" s="156"/>
      <c r="AN134" s="156"/>
      <c r="AO134" s="190"/>
    </row>
    <row r="135" spans="1:75" s="166" customFormat="1" ht="13.5" customHeight="1">
      <c r="A135" s="206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584" t="s">
        <v>1136</v>
      </c>
      <c r="R135" s="200"/>
      <c r="S135" s="200"/>
      <c r="T135" s="200"/>
      <c r="U135" s="200"/>
      <c r="V135" s="200"/>
      <c r="W135" s="200"/>
      <c r="X135" s="200"/>
      <c r="Y135" s="200"/>
      <c r="Z135" s="200"/>
      <c r="AA135" s="584" t="s">
        <v>1136</v>
      </c>
      <c r="AB135" s="200"/>
      <c r="AC135" s="200"/>
      <c r="AD135" s="200"/>
      <c r="AE135" s="200"/>
      <c r="AF135" s="605"/>
      <c r="AG135" s="197">
        <v>10</v>
      </c>
      <c r="AH135" s="156">
        <v>3</v>
      </c>
      <c r="AI135" s="156">
        <f>AG135-AH135</f>
        <v>7</v>
      </c>
      <c r="AJ135" s="156">
        <f>COUNTA($F$125:$V$125)</f>
        <v>9</v>
      </c>
      <c r="AK135" s="156"/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605"/>
      <c r="AG136" s="320"/>
      <c r="AH136" s="321"/>
      <c r="AI136" s="321"/>
      <c r="AJ136" s="321"/>
      <c r="AK136" s="321"/>
      <c r="AL136" s="321"/>
      <c r="AM136" s="321"/>
      <c r="AN136" s="321"/>
      <c r="AO136" s="322"/>
    </row>
    <row r="137" spans="1:75" s="166" customFormat="1" ht="13.5" customHeight="1">
      <c r="A137" s="206"/>
      <c r="B137" s="200">
        <v>151</v>
      </c>
      <c r="C137" s="200"/>
      <c r="D137" s="200">
        <v>152</v>
      </c>
      <c r="E137" s="200"/>
      <c r="F137" s="200">
        <v>153</v>
      </c>
      <c r="G137" s="200"/>
      <c r="H137" s="200">
        <v>154</v>
      </c>
      <c r="I137" s="200"/>
      <c r="J137" s="200">
        <v>155</v>
      </c>
      <c r="K137" s="200"/>
      <c r="L137" s="200">
        <v>156</v>
      </c>
      <c r="M137" s="200"/>
      <c r="N137" s="200">
        <v>157</v>
      </c>
      <c r="O137" s="200"/>
      <c r="P137" s="200">
        <v>158</v>
      </c>
      <c r="Q137" s="200"/>
      <c r="R137" s="200">
        <v>159</v>
      </c>
      <c r="S137" s="200"/>
      <c r="T137" s="200">
        <v>160</v>
      </c>
      <c r="U137" s="200"/>
      <c r="V137" s="200">
        <v>161</v>
      </c>
      <c r="W137" s="200"/>
      <c r="X137" s="200">
        <v>162</v>
      </c>
      <c r="Y137" s="200"/>
      <c r="Z137" s="200">
        <v>163</v>
      </c>
      <c r="AA137" s="200"/>
      <c r="AB137" s="200">
        <v>164</v>
      </c>
      <c r="AC137" s="200"/>
      <c r="AD137" s="200">
        <v>165</v>
      </c>
      <c r="AE137" s="200"/>
      <c r="AF137" s="574"/>
      <c r="AG137" s="320"/>
      <c r="AH137" s="321"/>
      <c r="AI137" s="321"/>
      <c r="AJ137" s="321"/>
      <c r="AK137" s="321"/>
      <c r="AL137" s="321"/>
      <c r="AM137" s="321"/>
      <c r="AN137" s="322"/>
    </row>
    <row r="138" spans="1:75" s="166" customFormat="1" ht="13.5" customHeight="1">
      <c r="A138" s="206"/>
      <c r="B138" s="254" t="s">
        <v>438</v>
      </c>
      <c r="C138" s="254"/>
      <c r="D138" s="254" t="s">
        <v>441</v>
      </c>
      <c r="E138" s="254"/>
      <c r="F138" s="254" t="s">
        <v>443</v>
      </c>
      <c r="G138" s="254"/>
      <c r="H138" s="254" t="s">
        <v>603</v>
      </c>
      <c r="I138" s="254"/>
      <c r="J138" s="254" t="s">
        <v>604</v>
      </c>
      <c r="K138" s="254"/>
      <c r="L138" s="254" t="s">
        <v>605</v>
      </c>
      <c r="M138" s="254"/>
      <c r="N138" s="254" t="s">
        <v>606</v>
      </c>
      <c r="O138" s="254"/>
      <c r="P138" s="254" t="s">
        <v>607</v>
      </c>
      <c r="Q138" s="254"/>
      <c r="R138" s="254" t="s">
        <v>608</v>
      </c>
      <c r="S138" s="254"/>
      <c r="T138" s="254" t="s">
        <v>609</v>
      </c>
      <c r="U138" s="254"/>
      <c r="V138" s="254" t="s">
        <v>610</v>
      </c>
      <c r="W138" s="254"/>
      <c r="X138" s="254" t="s">
        <v>611</v>
      </c>
      <c r="Y138" s="254"/>
      <c r="Z138" s="254" t="s">
        <v>612</v>
      </c>
      <c r="AA138" s="254"/>
      <c r="AB138" s="304" t="s">
        <v>745</v>
      </c>
      <c r="AC138" s="254"/>
      <c r="AD138" s="304" t="s">
        <v>142</v>
      </c>
      <c r="AE138" s="254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00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 thickBo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>
      <c r="A142" s="206"/>
      <c r="B142" s="184"/>
      <c r="C142" s="579"/>
      <c r="D142" s="184"/>
      <c r="E142" s="579"/>
      <c r="F142" s="184"/>
      <c r="G142" s="579"/>
      <c r="H142" s="261"/>
      <c r="I142" s="579"/>
      <c r="J142" s="261"/>
      <c r="K142" s="579"/>
      <c r="L142" s="261"/>
      <c r="M142" s="579"/>
      <c r="N142" s="261"/>
      <c r="O142" s="579"/>
      <c r="P142" s="261"/>
      <c r="Q142" s="579"/>
      <c r="R142" s="261"/>
      <c r="S142" s="579"/>
      <c r="T142" s="261"/>
      <c r="U142" s="579"/>
      <c r="V142" s="261"/>
      <c r="W142" s="579"/>
      <c r="X142" s="261"/>
      <c r="Y142" s="579"/>
      <c r="Z142" s="261"/>
      <c r="AA142" s="579"/>
      <c r="AB142" s="261"/>
      <c r="AC142" s="579"/>
      <c r="AD142" s="261"/>
      <c r="AE142" s="579"/>
      <c r="AF142" s="580"/>
      <c r="AG142" s="320"/>
      <c r="AH142" s="321"/>
      <c r="AI142" s="321"/>
      <c r="AJ142" s="321"/>
      <c r="AK142" s="321"/>
      <c r="AL142" s="321"/>
      <c r="AM142" s="321"/>
      <c r="AN142" s="322"/>
      <c r="BV142" s="500">
        <v>3</v>
      </c>
      <c r="BW142" s="500">
        <v>0</v>
      </c>
    </row>
    <row r="143" spans="1:75" s="166" customFormat="1" ht="13.5" customHeight="1">
      <c r="A143" s="206"/>
      <c r="B143" s="187"/>
      <c r="C143" s="581">
        <v>383</v>
      </c>
      <c r="D143" s="187"/>
      <c r="E143" s="581">
        <v>409</v>
      </c>
      <c r="F143" s="187"/>
      <c r="G143" s="581">
        <v>420</v>
      </c>
      <c r="H143" s="263"/>
      <c r="I143" s="581">
        <v>414</v>
      </c>
      <c r="J143" s="263"/>
      <c r="K143" s="581">
        <v>406</v>
      </c>
      <c r="L143" s="263"/>
      <c r="M143" s="581">
        <v>403.13900000000001</v>
      </c>
      <c r="N143" s="263"/>
      <c r="O143" s="581">
        <v>381.59</v>
      </c>
      <c r="P143" s="263"/>
      <c r="Q143" s="606">
        <v>357.99599999999998</v>
      </c>
      <c r="R143" s="263"/>
      <c r="S143" s="581">
        <v>365</v>
      </c>
      <c r="T143" s="263"/>
      <c r="U143" s="581">
        <v>378</v>
      </c>
      <c r="V143" s="263"/>
      <c r="W143" s="606">
        <v>370</v>
      </c>
      <c r="X143" s="262"/>
      <c r="Y143" s="581">
        <v>437.53399999999999</v>
      </c>
      <c r="Z143" s="263"/>
      <c r="AA143" s="581"/>
      <c r="AB143" s="263"/>
      <c r="AC143" s="581">
        <v>411</v>
      </c>
      <c r="AD143" s="263"/>
      <c r="AE143" s="606">
        <v>345</v>
      </c>
      <c r="AF143" s="574"/>
      <c r="AG143" s="320"/>
      <c r="AH143" s="321"/>
      <c r="AI143" s="321"/>
      <c r="AJ143" s="321"/>
      <c r="AK143" s="321"/>
      <c r="AL143" s="321"/>
      <c r="AM143" s="321"/>
      <c r="AN143" s="322"/>
    </row>
    <row r="144" spans="1:75" s="166" customFormat="1" ht="13.5" customHeight="1" thickBot="1">
      <c r="A144" s="206"/>
      <c r="B144" s="189"/>
      <c r="C144" s="200"/>
      <c r="D144" s="189"/>
      <c r="E144" s="200"/>
      <c r="F144" s="189"/>
      <c r="G144" s="200"/>
      <c r="H144" s="264"/>
      <c r="I144" s="200"/>
      <c r="J144" s="264"/>
      <c r="K144" s="200"/>
      <c r="L144" s="264"/>
      <c r="M144" s="200"/>
      <c r="N144" s="264"/>
      <c r="O144" s="200"/>
      <c r="P144" s="264"/>
      <c r="Q144" s="254"/>
      <c r="R144" s="264"/>
      <c r="S144" s="200"/>
      <c r="T144" s="264"/>
      <c r="U144" s="200"/>
      <c r="V144" s="264"/>
      <c r="W144" s="254"/>
      <c r="X144" s="264"/>
      <c r="Y144" s="200"/>
      <c r="Z144" s="264"/>
      <c r="AA144" s="200"/>
      <c r="AB144" s="264"/>
      <c r="AC144" s="200"/>
      <c r="AD144" s="264"/>
      <c r="AE144" s="254"/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4.15" customHeight="1">
      <c r="A145" s="206"/>
      <c r="B145" s="254" t="s">
        <v>350</v>
      </c>
      <c r="C145" s="254"/>
      <c r="D145" s="254" t="s">
        <v>350</v>
      </c>
      <c r="E145" s="254"/>
      <c r="F145" s="254" t="s">
        <v>357</v>
      </c>
      <c r="G145" s="254"/>
      <c r="H145" s="254" t="s">
        <v>350</v>
      </c>
      <c r="I145" s="254"/>
      <c r="J145" s="254" t="s">
        <v>357</v>
      </c>
      <c r="K145" s="254"/>
      <c r="L145" s="254" t="s">
        <v>302</v>
      </c>
      <c r="M145" s="254"/>
      <c r="N145" s="254" t="s">
        <v>591</v>
      </c>
      <c r="O145" s="254"/>
      <c r="P145" s="254" t="s">
        <v>298</v>
      </c>
      <c r="Q145" s="254"/>
      <c r="R145" s="254" t="s">
        <v>396</v>
      </c>
      <c r="S145" s="254"/>
      <c r="T145" s="254" t="s">
        <v>350</v>
      </c>
      <c r="U145" s="254"/>
      <c r="V145" s="254" t="s">
        <v>350</v>
      </c>
      <c r="W145" s="254"/>
      <c r="X145" s="254" t="s">
        <v>350</v>
      </c>
      <c r="Y145" s="200"/>
      <c r="Z145" s="254" t="s">
        <v>389</v>
      </c>
      <c r="AA145" s="254"/>
      <c r="AB145" s="254" t="s">
        <v>324</v>
      </c>
      <c r="AC145" s="254"/>
      <c r="AD145" s="254" t="s">
        <v>918</v>
      </c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7" customFormat="1" ht="13.4" customHeight="1">
      <c r="A146" s="206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04" t="s">
        <v>1115</v>
      </c>
      <c r="Q146" s="200"/>
      <c r="R146" s="200"/>
      <c r="S146" s="200"/>
      <c r="T146" s="200"/>
      <c r="U146" s="604" t="s">
        <v>1138</v>
      </c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574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584" t="s">
        <v>1134</v>
      </c>
      <c r="L147" s="200"/>
      <c r="M147" s="200"/>
      <c r="N147" s="200"/>
      <c r="O147" s="603" t="s">
        <v>1017</v>
      </c>
      <c r="P147" s="200"/>
      <c r="Q147" s="200"/>
      <c r="R147" s="200"/>
      <c r="S147" s="200"/>
      <c r="T147" s="200"/>
      <c r="U147" s="603" t="s">
        <v>1115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/>
      <c r="L148" s="200"/>
      <c r="M148" s="200"/>
      <c r="N148" s="200"/>
      <c r="O148" s="603"/>
      <c r="P148" s="200"/>
      <c r="Q148" s="200"/>
      <c r="R148" s="200"/>
      <c r="S148" s="200"/>
      <c r="T148" s="200"/>
      <c r="U148" s="603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>
        <v>166</v>
      </c>
      <c r="C150" s="200"/>
      <c r="D150" s="200">
        <v>167</v>
      </c>
      <c r="E150" s="200"/>
      <c r="F150" s="200">
        <v>168</v>
      </c>
      <c r="G150" s="200"/>
      <c r="H150" s="200">
        <v>169</v>
      </c>
      <c r="I150" s="200"/>
      <c r="J150" s="200">
        <v>170</v>
      </c>
      <c r="K150" s="200"/>
      <c r="L150" s="200">
        <v>171</v>
      </c>
      <c r="M150" s="200"/>
      <c r="N150" s="200">
        <v>172</v>
      </c>
      <c r="O150" s="200"/>
      <c r="P150" s="200">
        <v>173</v>
      </c>
      <c r="Q150" s="200"/>
      <c r="R150" s="200">
        <v>174</v>
      </c>
      <c r="S150" s="200"/>
      <c r="T150" s="200">
        <v>175</v>
      </c>
      <c r="U150" s="200"/>
      <c r="V150" s="200">
        <v>176</v>
      </c>
      <c r="W150" s="200"/>
      <c r="X150" s="200">
        <v>177</v>
      </c>
      <c r="Y150" s="200"/>
      <c r="Z150" s="200">
        <v>178</v>
      </c>
      <c r="AA150" s="200"/>
      <c r="AB150" s="200">
        <v>179</v>
      </c>
      <c r="AC150" s="200"/>
      <c r="AD150" s="200">
        <v>180</v>
      </c>
      <c r="AE150" s="200"/>
      <c r="AF150" s="574"/>
    </row>
    <row r="151" spans="1:40" s="167" customFormat="1" ht="13.4" customHeight="1">
      <c r="A151" s="206"/>
      <c r="B151" s="304" t="s">
        <v>143</v>
      </c>
      <c r="C151" s="200"/>
      <c r="D151" s="304" t="s">
        <v>1139</v>
      </c>
      <c r="E151" s="254"/>
      <c r="F151" s="304" t="s">
        <v>1140</v>
      </c>
      <c r="G151" s="254"/>
      <c r="H151" s="304" t="s">
        <v>1141</v>
      </c>
      <c r="I151" s="254"/>
      <c r="J151" s="304" t="s">
        <v>1142</v>
      </c>
      <c r="K151" s="254"/>
      <c r="L151" s="304" t="s">
        <v>1143</v>
      </c>
      <c r="M151" s="254"/>
      <c r="N151" s="304" t="s">
        <v>1144</v>
      </c>
      <c r="O151" s="254"/>
      <c r="P151" s="304" t="s">
        <v>1145</v>
      </c>
      <c r="Q151" s="254"/>
      <c r="R151" s="304" t="s">
        <v>1146</v>
      </c>
      <c r="S151" s="254"/>
      <c r="T151" s="304" t="s">
        <v>1147</v>
      </c>
      <c r="U151" s="254"/>
      <c r="V151" s="304" t="s">
        <v>1148</v>
      </c>
      <c r="W151" s="254"/>
      <c r="X151" s="304" t="s">
        <v>1149</v>
      </c>
      <c r="Y151" s="254"/>
      <c r="Z151" s="304" t="s">
        <v>1150</v>
      </c>
      <c r="AA151" s="254"/>
      <c r="AB151" s="304" t="s">
        <v>1151</v>
      </c>
      <c r="AC151" s="254"/>
      <c r="AD151" s="304" t="s">
        <v>1152</v>
      </c>
      <c r="AE151" s="254"/>
      <c r="AF151" s="574"/>
    </row>
    <row r="152" spans="1:40" s="167" customFormat="1" ht="13.4" customHeight="1">
      <c r="A152" s="206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574"/>
    </row>
    <row r="153" spans="1:40" s="167" customFormat="1" ht="13.4" customHeight="1">
      <c r="A153" s="206"/>
      <c r="B153" s="254"/>
      <c r="C153" s="200"/>
      <c r="D153" s="254"/>
      <c r="E153" s="254"/>
      <c r="F153" s="254"/>
      <c r="G153" s="200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00"/>
      <c r="AB153" s="254"/>
      <c r="AC153" s="254"/>
      <c r="AD153" s="254"/>
      <c r="AE153" s="254"/>
      <c r="AF153" s="574"/>
    </row>
    <row r="154" spans="1:40" s="167" customFormat="1" ht="13.4" customHeight="1" thickBo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>
      <c r="A155" s="206"/>
      <c r="B155" s="261"/>
      <c r="C155" s="579"/>
      <c r="D155" s="261"/>
      <c r="E155" s="579"/>
      <c r="F155" s="261"/>
      <c r="G155" s="579"/>
      <c r="H155" s="261"/>
      <c r="I155" s="579"/>
      <c r="J155" s="261"/>
      <c r="K155" s="579"/>
      <c r="L155" s="261"/>
      <c r="M155" s="579"/>
      <c r="N155" s="261"/>
      <c r="O155" s="579"/>
      <c r="P155" s="261"/>
      <c r="Q155" s="579"/>
      <c r="R155" s="261"/>
      <c r="S155" s="579"/>
      <c r="T155" s="261"/>
      <c r="U155" s="579"/>
      <c r="V155" s="261"/>
      <c r="W155" s="579"/>
      <c r="X155" s="261"/>
      <c r="Y155" s="579"/>
      <c r="Z155" s="261"/>
      <c r="AA155" s="579"/>
      <c r="AB155" s="261"/>
      <c r="AC155" s="579"/>
      <c r="AD155" s="261"/>
      <c r="AE155" s="579"/>
      <c r="AF155" s="580"/>
    </row>
    <row r="156" spans="1:40" s="167" customFormat="1" ht="13.4" customHeight="1">
      <c r="A156" s="206"/>
      <c r="B156" s="262"/>
      <c r="C156" s="581">
        <v>225.81</v>
      </c>
      <c r="D156" s="263" t="s">
        <v>550</v>
      </c>
      <c r="E156" s="581">
        <v>451</v>
      </c>
      <c r="F156" s="263" t="s">
        <v>550</v>
      </c>
      <c r="G156" s="581">
        <v>385</v>
      </c>
      <c r="H156" s="263"/>
      <c r="I156" s="581">
        <v>429</v>
      </c>
      <c r="J156" s="263"/>
      <c r="K156" s="581">
        <v>408</v>
      </c>
      <c r="L156" s="263" t="s">
        <v>550</v>
      </c>
      <c r="M156" s="581">
        <v>407</v>
      </c>
      <c r="N156" s="263" t="s">
        <v>550</v>
      </c>
      <c r="O156" s="581">
        <v>434</v>
      </c>
      <c r="P156" s="263"/>
      <c r="Q156" s="581">
        <v>401</v>
      </c>
      <c r="R156" s="263"/>
      <c r="S156" s="581">
        <v>296</v>
      </c>
      <c r="T156" s="263"/>
      <c r="U156" s="581">
        <v>677</v>
      </c>
      <c r="V156" s="263"/>
      <c r="W156" s="581">
        <v>642</v>
      </c>
      <c r="X156" s="263"/>
      <c r="Y156" s="606">
        <v>414</v>
      </c>
      <c r="Z156" s="263"/>
      <c r="AA156" s="581">
        <v>446</v>
      </c>
      <c r="AB156" s="263"/>
      <c r="AC156" s="581">
        <v>411</v>
      </c>
      <c r="AD156" s="263"/>
      <c r="AE156" s="606">
        <v>345</v>
      </c>
      <c r="AF156" s="574"/>
    </row>
    <row r="157" spans="1:40" s="167" customFormat="1" ht="13.4" customHeight="1" thickBot="1">
      <c r="A157" s="206"/>
      <c r="B157" s="264"/>
      <c r="C157" s="200"/>
      <c r="D157" s="264"/>
      <c r="E157" s="200"/>
      <c r="F157" s="264"/>
      <c r="G157" s="200"/>
      <c r="H157" s="264"/>
      <c r="I157" s="200"/>
      <c r="J157" s="264"/>
      <c r="K157" s="200"/>
      <c r="L157" s="264"/>
      <c r="M157" s="200"/>
      <c r="N157" s="264"/>
      <c r="O157" s="200"/>
      <c r="P157" s="264"/>
      <c r="Q157" s="200"/>
      <c r="R157" s="264"/>
      <c r="S157" s="200"/>
      <c r="T157" s="264"/>
      <c r="U157" s="200"/>
      <c r="V157" s="264"/>
      <c r="W157" s="200"/>
      <c r="X157" s="264"/>
      <c r="Y157" s="254"/>
      <c r="Z157" s="264"/>
      <c r="AA157" s="200"/>
      <c r="AB157" s="264"/>
      <c r="AC157" s="200"/>
      <c r="AD157" s="264"/>
      <c r="AE157" s="254"/>
      <c r="AF157" s="574"/>
    </row>
    <row r="158" spans="1:40" s="167" customFormat="1" ht="13.4" customHeight="1">
      <c r="A158" s="206"/>
      <c r="B158" s="254" t="s">
        <v>393</v>
      </c>
      <c r="C158" s="254"/>
      <c r="D158" s="254" t="s">
        <v>918</v>
      </c>
      <c r="E158" s="254"/>
      <c r="F158" s="254" t="s">
        <v>396</v>
      </c>
      <c r="G158" s="254"/>
      <c r="H158" s="254" t="s">
        <v>357</v>
      </c>
      <c r="I158" s="254"/>
      <c r="J158" s="254" t="s">
        <v>350</v>
      </c>
      <c r="K158" s="254"/>
      <c r="L158" s="254" t="s">
        <v>357</v>
      </c>
      <c r="M158" s="254"/>
      <c r="N158" s="254" t="s">
        <v>399</v>
      </c>
      <c r="O158" s="254"/>
      <c r="P158" s="254" t="s">
        <v>357</v>
      </c>
      <c r="Q158" s="254"/>
      <c r="R158" s="254" t="s">
        <v>335</v>
      </c>
      <c r="S158" s="254"/>
      <c r="T158" s="254" t="s">
        <v>350</v>
      </c>
      <c r="U158" s="254"/>
      <c r="V158" s="254" t="s">
        <v>396</v>
      </c>
      <c r="W158" s="254"/>
      <c r="X158" s="254" t="s">
        <v>396</v>
      </c>
      <c r="Y158" s="254" t="s">
        <v>67</v>
      </c>
      <c r="Z158" s="254" t="s">
        <v>396</v>
      </c>
      <c r="AA158" s="254"/>
      <c r="AB158" s="254" t="s">
        <v>396</v>
      </c>
      <c r="AC158" s="254"/>
      <c r="AD158" s="254" t="s">
        <v>357</v>
      </c>
      <c r="AE158" s="254"/>
      <c r="AF158" s="574"/>
    </row>
    <row r="159" spans="1:40" s="167" customFormat="1" ht="13.4" customHeight="1">
      <c r="A159" s="206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00"/>
      <c r="C161" s="200"/>
      <c r="D161" s="200"/>
      <c r="E161" s="200"/>
      <c r="F161" s="200"/>
      <c r="G161" s="200"/>
      <c r="H161" s="200"/>
      <c r="I161" s="200"/>
      <c r="J161" s="200"/>
      <c r="K161" s="584"/>
      <c r="L161" s="200"/>
      <c r="M161" s="200"/>
      <c r="N161" s="200"/>
      <c r="O161" s="603"/>
      <c r="P161" s="200"/>
      <c r="Q161" s="200"/>
      <c r="R161" s="200"/>
      <c r="S161" s="200"/>
      <c r="T161" s="200"/>
      <c r="U161" s="603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AF162" s="607"/>
    </row>
    <row r="163" spans="1:75" s="167" customFormat="1" ht="13.4" customHeight="1">
      <c r="A163" s="206"/>
      <c r="B163" s="200">
        <v>181</v>
      </c>
      <c r="C163" s="200"/>
      <c r="D163" s="200">
        <v>182</v>
      </c>
      <c r="E163" s="200"/>
      <c r="F163" s="200">
        <v>183</v>
      </c>
      <c r="G163" s="200"/>
      <c r="H163" s="200">
        <v>184</v>
      </c>
      <c r="I163" s="200"/>
      <c r="J163" s="200">
        <v>185</v>
      </c>
      <c r="K163" s="200"/>
      <c r="L163" s="200">
        <v>186</v>
      </c>
      <c r="M163" s="200"/>
      <c r="N163" s="200">
        <v>187</v>
      </c>
      <c r="O163" s="200"/>
      <c r="P163" s="200">
        <v>188</v>
      </c>
      <c r="Q163" s="200"/>
      <c r="R163" s="200">
        <v>189</v>
      </c>
      <c r="S163" s="200"/>
      <c r="T163" s="200">
        <v>190</v>
      </c>
      <c r="U163" s="200"/>
      <c r="V163" s="200">
        <v>191</v>
      </c>
      <c r="W163" s="200"/>
      <c r="X163" s="200">
        <v>192</v>
      </c>
      <c r="Y163" s="200"/>
      <c r="Z163" s="200">
        <v>193</v>
      </c>
      <c r="AA163" s="200"/>
      <c r="AB163" s="200">
        <v>194</v>
      </c>
      <c r="AC163" s="200"/>
      <c r="AD163" s="200">
        <v>195</v>
      </c>
      <c r="AE163" s="200"/>
      <c r="AF163" s="607"/>
    </row>
    <row r="164" spans="1:75" s="167" customFormat="1" ht="13.4" customHeight="1">
      <c r="A164" s="206"/>
      <c r="B164" s="304" t="s">
        <v>686</v>
      </c>
      <c r="C164" s="200"/>
      <c r="D164" s="304" t="s">
        <v>183</v>
      </c>
      <c r="E164" s="254"/>
      <c r="F164" s="304" t="s">
        <v>1153</v>
      </c>
      <c r="G164" s="254"/>
      <c r="H164" s="304" t="s">
        <v>1154</v>
      </c>
      <c r="I164" s="254"/>
      <c r="J164" s="304" t="s">
        <v>1155</v>
      </c>
      <c r="K164" s="254"/>
      <c r="L164" s="304" t="s">
        <v>1156</v>
      </c>
      <c r="M164" s="254"/>
      <c r="N164" s="304" t="s">
        <v>1157</v>
      </c>
      <c r="O164" s="254"/>
      <c r="P164" s="304" t="s">
        <v>753</v>
      </c>
      <c r="Q164" s="254"/>
      <c r="R164" s="304" t="s">
        <v>1037</v>
      </c>
      <c r="S164" s="254"/>
      <c r="T164" s="304" t="s">
        <v>1158</v>
      </c>
      <c r="U164" s="254"/>
      <c r="V164" s="304" t="s">
        <v>1159</v>
      </c>
      <c r="W164" s="254"/>
      <c r="X164" s="304" t="s">
        <v>613</v>
      </c>
      <c r="Y164" s="200"/>
      <c r="Z164" s="304" t="s">
        <v>614</v>
      </c>
      <c r="AA164" s="254"/>
      <c r="AB164" s="304" t="s">
        <v>615</v>
      </c>
      <c r="AC164" s="254"/>
      <c r="AD164" s="304" t="s">
        <v>145</v>
      </c>
      <c r="AE164" s="254"/>
      <c r="AF164" s="607"/>
    </row>
    <row r="165" spans="1:75" s="167" customFormat="1" ht="13.4" customHeight="1">
      <c r="A165" s="206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607"/>
    </row>
    <row r="166" spans="1:75" s="167" customFormat="1" ht="13.4" customHeight="1">
      <c r="A166" s="206"/>
      <c r="B166" s="254"/>
      <c r="C166" s="200"/>
      <c r="D166" s="254"/>
      <c r="E166" s="254"/>
      <c r="F166" s="254"/>
      <c r="G166" s="200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00"/>
      <c r="Z166" s="254"/>
      <c r="AA166" s="254"/>
      <c r="AB166" s="254"/>
      <c r="AC166" s="200"/>
      <c r="AD166" s="254"/>
      <c r="AE166" s="254"/>
      <c r="AF166" s="607"/>
    </row>
    <row r="167" spans="1:75" s="167" customFormat="1" ht="13.4" customHeight="1" thickBo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>
      <c r="A168" s="206"/>
      <c r="B168" s="261"/>
      <c r="C168" s="579"/>
      <c r="D168" s="261"/>
      <c r="E168" s="579"/>
      <c r="F168" s="261"/>
      <c r="G168" s="579"/>
      <c r="H168" s="261"/>
      <c r="I168" s="579"/>
      <c r="J168" s="261"/>
      <c r="K168" s="579"/>
      <c r="L168" s="261"/>
      <c r="M168" s="579"/>
      <c r="N168" s="261"/>
      <c r="O168" s="579"/>
      <c r="P168" s="261"/>
      <c r="Q168" s="579"/>
      <c r="R168" s="261"/>
      <c r="S168" s="579"/>
      <c r="T168" s="261"/>
      <c r="U168" s="579"/>
      <c r="V168" s="261"/>
      <c r="W168" s="579"/>
      <c r="X168" s="261"/>
      <c r="Y168" s="579"/>
      <c r="Z168" s="261"/>
      <c r="AA168" s="579"/>
      <c r="AB168" s="261"/>
      <c r="AC168" s="579"/>
      <c r="AD168" s="261"/>
      <c r="AE168" s="579"/>
      <c r="AF168" s="607"/>
    </row>
    <row r="169" spans="1:75" s="167" customFormat="1" ht="13.4" customHeight="1">
      <c r="A169" s="206"/>
      <c r="B169" s="262"/>
      <c r="C169" s="581">
        <v>225.81</v>
      </c>
      <c r="D169" s="263" t="s">
        <v>550</v>
      </c>
      <c r="E169" s="581">
        <v>451</v>
      </c>
      <c r="F169" s="263" t="s">
        <v>550</v>
      </c>
      <c r="G169" s="581">
        <v>385</v>
      </c>
      <c r="H169" s="263"/>
      <c r="I169" s="581">
        <v>429</v>
      </c>
      <c r="J169" s="263"/>
      <c r="K169" s="581">
        <v>408</v>
      </c>
      <c r="L169" s="263" t="s">
        <v>550</v>
      </c>
      <c r="M169" s="581">
        <v>407</v>
      </c>
      <c r="N169" s="263" t="s">
        <v>550</v>
      </c>
      <c r="O169" s="581">
        <v>434</v>
      </c>
      <c r="P169" s="263"/>
      <c r="Q169" s="581">
        <v>401</v>
      </c>
      <c r="R169" s="263"/>
      <c r="S169" s="581">
        <v>296</v>
      </c>
      <c r="T169" s="263"/>
      <c r="U169" s="581">
        <v>677</v>
      </c>
      <c r="V169" s="263"/>
      <c r="W169" s="581">
        <v>642</v>
      </c>
      <c r="X169" s="262"/>
      <c r="Y169" s="581">
        <v>225.81</v>
      </c>
      <c r="Z169" s="263" t="s">
        <v>550</v>
      </c>
      <c r="AA169" s="581">
        <v>451</v>
      </c>
      <c r="AB169" s="263" t="s">
        <v>550</v>
      </c>
      <c r="AC169" s="581">
        <v>385</v>
      </c>
      <c r="AD169" s="263"/>
      <c r="AE169" s="581">
        <v>429</v>
      </c>
      <c r="AF169" s="607"/>
    </row>
    <row r="170" spans="1:75" s="167" customFormat="1" ht="13.4" customHeight="1" thickBot="1">
      <c r="A170" s="206"/>
      <c r="B170" s="264"/>
      <c r="C170" s="200"/>
      <c r="D170" s="264"/>
      <c r="E170" s="200"/>
      <c r="F170" s="264"/>
      <c r="G170" s="200"/>
      <c r="H170" s="264"/>
      <c r="I170" s="200"/>
      <c r="J170" s="264"/>
      <c r="K170" s="200"/>
      <c r="L170" s="264"/>
      <c r="M170" s="200"/>
      <c r="N170" s="264"/>
      <c r="O170" s="200"/>
      <c r="P170" s="264"/>
      <c r="Q170" s="200"/>
      <c r="R170" s="264"/>
      <c r="S170" s="200"/>
      <c r="T170" s="264"/>
      <c r="U170" s="200"/>
      <c r="V170" s="264"/>
      <c r="W170" s="200"/>
      <c r="X170" s="264"/>
      <c r="Y170" s="200"/>
      <c r="Z170" s="264"/>
      <c r="AA170" s="200"/>
      <c r="AB170" s="264"/>
      <c r="AC170" s="200"/>
      <c r="AD170" s="264"/>
      <c r="AE170" s="200"/>
      <c r="AF170" s="607"/>
    </row>
    <row r="171" spans="1:75" s="167" customFormat="1" ht="13.5" customHeight="1">
      <c r="A171" s="206"/>
      <c r="B171" s="254" t="s">
        <v>335</v>
      </c>
      <c r="C171" s="254"/>
      <c r="D171" s="254" t="s">
        <v>350</v>
      </c>
      <c r="E171" s="254"/>
      <c r="F171" s="254" t="s">
        <v>357</v>
      </c>
      <c r="G171" s="254"/>
      <c r="H171" s="254" t="s">
        <v>350</v>
      </c>
      <c r="I171" s="254"/>
      <c r="J171" s="254" t="s">
        <v>357</v>
      </c>
      <c r="K171" s="254"/>
      <c r="L171" s="254" t="s">
        <v>357</v>
      </c>
      <c r="M171" s="254"/>
      <c r="N171" s="254" t="s">
        <v>322</v>
      </c>
      <c r="O171" s="254"/>
      <c r="P171" s="254" t="s">
        <v>298</v>
      </c>
      <c r="Q171" s="254"/>
      <c r="R171" s="254" t="s">
        <v>298</v>
      </c>
      <c r="S171" s="254"/>
      <c r="T171" s="254" t="s">
        <v>396</v>
      </c>
      <c r="U171" s="254"/>
      <c r="V171" s="254" t="s">
        <v>357</v>
      </c>
      <c r="W171" s="254"/>
      <c r="X171" s="254" t="s">
        <v>904</v>
      </c>
      <c r="Y171" s="254"/>
      <c r="Z171" s="254" t="s">
        <v>904</v>
      </c>
      <c r="AA171" s="254"/>
      <c r="AB171" s="254" t="s">
        <v>350</v>
      </c>
      <c r="AC171" s="254"/>
      <c r="AD171" s="254" t="s">
        <v>357</v>
      </c>
      <c r="AE171" s="254"/>
      <c r="AF171" s="607"/>
    </row>
    <row r="172" spans="1:75" s="167" customFormat="1" ht="13.5" customHeight="1">
      <c r="A172" s="206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574"/>
      <c r="BW172" s="200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608"/>
      <c r="BW174" s="254"/>
    </row>
    <row r="175" spans="1:75" s="167" customFormat="1" ht="13.5" customHeight="1">
      <c r="A175" s="206"/>
      <c r="B175" s="200">
        <v>196</v>
      </c>
      <c r="C175" s="200"/>
      <c r="D175" s="200">
        <v>197</v>
      </c>
      <c r="E175" s="200"/>
      <c r="F175" s="200">
        <v>198</v>
      </c>
      <c r="G175" s="200"/>
      <c r="H175" s="200">
        <v>199</v>
      </c>
      <c r="I175" s="200"/>
      <c r="J175" s="200">
        <v>200</v>
      </c>
      <c r="K175" s="200"/>
      <c r="L175" s="200">
        <v>201</v>
      </c>
      <c r="M175" s="200"/>
      <c r="N175" s="200">
        <v>202</v>
      </c>
      <c r="O175" s="200"/>
      <c r="P175" s="200">
        <v>203</v>
      </c>
      <c r="Q175" s="200"/>
      <c r="R175" s="200">
        <v>204</v>
      </c>
      <c r="S175" s="200"/>
      <c r="T175" s="200">
        <v>205</v>
      </c>
      <c r="U175" s="200"/>
      <c r="V175" s="200">
        <v>206</v>
      </c>
      <c r="W175" s="200"/>
      <c r="X175" s="254">
        <v>207</v>
      </c>
      <c r="Y175" s="254"/>
      <c r="Z175" s="254">
        <v>208</v>
      </c>
      <c r="AA175" s="254"/>
      <c r="AB175" s="254">
        <v>209</v>
      </c>
      <c r="AC175" s="254"/>
      <c r="AD175" s="254">
        <v>210</v>
      </c>
      <c r="AE175" s="254"/>
      <c r="AF175" s="607"/>
      <c r="BW175" s="254"/>
    </row>
    <row r="176" spans="1:75" s="167" customFormat="1" ht="13.5" customHeight="1">
      <c r="A176" s="206"/>
      <c r="B176" s="304" t="s">
        <v>616</v>
      </c>
      <c r="C176" s="254"/>
      <c r="D176" s="304" t="s">
        <v>617</v>
      </c>
      <c r="E176" s="254"/>
      <c r="F176" s="304" t="s">
        <v>618</v>
      </c>
      <c r="G176" s="254"/>
      <c r="H176" s="304" t="s">
        <v>619</v>
      </c>
      <c r="I176" s="254"/>
      <c r="J176" s="304" t="s">
        <v>146</v>
      </c>
      <c r="K176" s="254"/>
      <c r="L176" s="304" t="s">
        <v>620</v>
      </c>
      <c r="M176" s="254"/>
      <c r="N176" s="304" t="s">
        <v>621</v>
      </c>
      <c r="O176" s="254"/>
      <c r="P176" s="304" t="s">
        <v>622</v>
      </c>
      <c r="Q176" s="254"/>
      <c r="R176" s="304" t="s">
        <v>184</v>
      </c>
      <c r="S176" s="254"/>
      <c r="T176" s="304" t="s">
        <v>185</v>
      </c>
      <c r="U176" s="254"/>
      <c r="V176" s="304" t="s">
        <v>186</v>
      </c>
      <c r="W176" s="254"/>
      <c r="X176" s="304" t="s">
        <v>623</v>
      </c>
      <c r="Y176" s="200"/>
      <c r="Z176" s="304" t="s">
        <v>624</v>
      </c>
      <c r="AA176" s="200"/>
      <c r="AB176" s="304" t="s">
        <v>1160</v>
      </c>
      <c r="AC176" s="200"/>
      <c r="AD176" s="304" t="s">
        <v>1161</v>
      </c>
      <c r="AE176" s="200"/>
      <c r="AF176" s="607"/>
    </row>
    <row r="177" spans="1:75" s="167" customFormat="1" ht="13.5" customHeight="1">
      <c r="A177" s="206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607"/>
      <c r="BW177" s="254"/>
    </row>
    <row r="178" spans="1:75" s="167" customFormat="1" ht="13.5" customHeight="1">
      <c r="A178" s="206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00"/>
      <c r="T178" s="254"/>
      <c r="U178" s="254"/>
      <c r="V178" s="254"/>
      <c r="W178" s="254"/>
      <c r="X178" s="254"/>
      <c r="Y178" s="200"/>
      <c r="Z178" s="254"/>
      <c r="AA178" s="254"/>
      <c r="AB178" s="254"/>
      <c r="AC178" s="200"/>
      <c r="AD178" s="254"/>
      <c r="AE178" s="200"/>
      <c r="AF178" s="607"/>
    </row>
    <row r="179" spans="1:75" s="167" customFormat="1" ht="13.5" customHeight="1" thickBo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>
      <c r="A180" s="206"/>
      <c r="B180" s="261"/>
      <c r="C180" s="579"/>
      <c r="D180" s="261"/>
      <c r="E180" s="579"/>
      <c r="F180" s="261"/>
      <c r="G180" s="579"/>
      <c r="H180" s="261"/>
      <c r="I180" s="579"/>
      <c r="J180" s="261"/>
      <c r="K180" s="579"/>
      <c r="L180" s="261"/>
      <c r="M180" s="579"/>
      <c r="N180" s="261"/>
      <c r="O180" s="579"/>
      <c r="P180" s="261"/>
      <c r="Q180" s="579"/>
      <c r="R180" s="261"/>
      <c r="S180" s="579"/>
      <c r="T180" s="261"/>
      <c r="U180" s="579"/>
      <c r="V180" s="261"/>
      <c r="W180" s="579"/>
      <c r="X180" s="261"/>
      <c r="Y180" s="579"/>
      <c r="Z180" s="261"/>
      <c r="AA180" s="579"/>
      <c r="AB180" s="261"/>
      <c r="AC180" s="579"/>
      <c r="AD180" s="261"/>
      <c r="AE180" s="579"/>
      <c r="AF180" s="607"/>
    </row>
    <row r="181" spans="1:75" s="167" customFormat="1" ht="13.5" customHeight="1">
      <c r="A181" s="206"/>
      <c r="B181" s="263"/>
      <c r="C181" s="581">
        <v>408</v>
      </c>
      <c r="D181" s="263" t="s">
        <v>550</v>
      </c>
      <c r="E181" s="581">
        <v>407</v>
      </c>
      <c r="F181" s="263" t="s">
        <v>550</v>
      </c>
      <c r="G181" s="581">
        <v>434</v>
      </c>
      <c r="H181" s="263"/>
      <c r="I181" s="581">
        <v>401</v>
      </c>
      <c r="J181" s="263"/>
      <c r="K181" s="581">
        <v>296</v>
      </c>
      <c r="L181" s="263"/>
      <c r="M181" s="581">
        <v>677</v>
      </c>
      <c r="N181" s="263"/>
      <c r="O181" s="581">
        <v>642</v>
      </c>
      <c r="P181" s="263"/>
      <c r="Q181" s="606">
        <v>414</v>
      </c>
      <c r="R181" s="263"/>
      <c r="S181" s="581">
        <v>446</v>
      </c>
      <c r="T181" s="263"/>
      <c r="U181" s="581">
        <v>411</v>
      </c>
      <c r="V181" s="263"/>
      <c r="W181" s="606">
        <v>345</v>
      </c>
      <c r="X181" s="262"/>
      <c r="Y181" s="581">
        <v>345</v>
      </c>
      <c r="Z181" s="262"/>
      <c r="AA181" s="581">
        <v>372</v>
      </c>
      <c r="AB181" s="262"/>
      <c r="AC181" s="581" t="s">
        <v>67</v>
      </c>
      <c r="AD181" s="262"/>
      <c r="AE181" s="581" t="s">
        <v>67</v>
      </c>
      <c r="AF181" s="607"/>
    </row>
    <row r="182" spans="1:75" s="167" customFormat="1" ht="13.5" customHeight="1" thickBot="1">
      <c r="A182" s="206"/>
      <c r="B182" s="264"/>
      <c r="C182" s="200"/>
      <c r="D182" s="264"/>
      <c r="E182" s="200"/>
      <c r="F182" s="264"/>
      <c r="G182" s="200"/>
      <c r="H182" s="264"/>
      <c r="I182" s="200"/>
      <c r="J182" s="264"/>
      <c r="K182" s="200"/>
      <c r="L182" s="264"/>
      <c r="M182" s="200"/>
      <c r="N182" s="264"/>
      <c r="O182" s="200"/>
      <c r="P182" s="264"/>
      <c r="Q182" s="254"/>
      <c r="R182" s="264"/>
      <c r="S182" s="200"/>
      <c r="T182" s="264"/>
      <c r="U182" s="200"/>
      <c r="V182" s="264"/>
      <c r="W182" s="254"/>
      <c r="X182" s="264"/>
      <c r="Y182" s="200"/>
      <c r="Z182" s="264"/>
      <c r="AA182" s="200"/>
      <c r="AB182" s="264"/>
      <c r="AC182" s="200"/>
      <c r="AD182" s="264"/>
      <c r="AE182" s="200"/>
      <c r="AF182" s="607"/>
    </row>
    <row r="183" spans="1:75" s="167" customFormat="1" ht="13.5" customHeight="1">
      <c r="A183" s="206"/>
      <c r="B183" s="254" t="s">
        <v>357</v>
      </c>
      <c r="C183" s="254"/>
      <c r="D183" s="254" t="s">
        <v>335</v>
      </c>
      <c r="E183" s="254"/>
      <c r="F183" s="254" t="s">
        <v>399</v>
      </c>
      <c r="G183" s="254"/>
      <c r="H183" s="254" t="s">
        <v>350</v>
      </c>
      <c r="I183" s="254"/>
      <c r="J183" s="254" t="s">
        <v>591</v>
      </c>
      <c r="K183" s="254"/>
      <c r="L183" s="254" t="s">
        <v>290</v>
      </c>
      <c r="M183" s="254"/>
      <c r="N183" s="254" t="s">
        <v>318</v>
      </c>
      <c r="O183" s="254"/>
      <c r="P183" s="254" t="s">
        <v>320</v>
      </c>
      <c r="Q183" s="254" t="s">
        <v>67</v>
      </c>
      <c r="R183" s="254" t="s">
        <v>322</v>
      </c>
      <c r="S183" s="254"/>
      <c r="T183" s="254" t="s">
        <v>324</v>
      </c>
      <c r="U183" s="254"/>
      <c r="V183" s="254" t="s">
        <v>350</v>
      </c>
      <c r="W183" s="254"/>
      <c r="X183" s="167" t="s">
        <v>350</v>
      </c>
      <c r="Z183" s="167" t="s">
        <v>326</v>
      </c>
      <c r="AB183" s="167" t="s">
        <v>393</v>
      </c>
      <c r="AD183" s="167" t="s">
        <v>350</v>
      </c>
      <c r="AF183" s="607"/>
      <c r="BV183" s="198"/>
    </row>
    <row r="184" spans="1:75" s="167" customFormat="1" ht="13.5" customHeight="1">
      <c r="A184" s="206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8"/>
      <c r="Y184" s="254"/>
      <c r="Z184" s="254"/>
      <c r="AA184" s="254"/>
      <c r="AB184" s="254"/>
      <c r="AC184" s="254"/>
      <c r="AF184" s="608"/>
      <c r="BW184" s="158"/>
    </row>
    <row r="185" spans="1:75" s="167" customFormat="1" ht="13.5" customHeight="1">
      <c r="A185" s="206"/>
      <c r="Z185" s="254"/>
      <c r="AA185" s="254"/>
      <c r="AB185" s="254"/>
      <c r="AC185" s="254"/>
      <c r="AD185" s="254"/>
      <c r="AE185" s="254"/>
      <c r="AF185" s="574"/>
      <c r="BW185" s="158"/>
    </row>
    <row r="186" spans="1:75" s="167" customFormat="1" ht="13.5" customHeight="1">
      <c r="A186" s="206"/>
      <c r="Z186" s="200"/>
      <c r="AA186" s="254"/>
      <c r="AB186" s="200"/>
      <c r="AC186" s="585"/>
      <c r="AD186" s="200"/>
      <c r="AE186" s="200"/>
      <c r="AF186" s="574"/>
      <c r="BW186" s="158"/>
    </row>
    <row r="187" spans="1:75" s="167" customFormat="1" ht="13.5" customHeight="1">
      <c r="A187" s="206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8"/>
      <c r="Y187" s="254"/>
      <c r="Z187" s="254"/>
      <c r="AA187" s="254"/>
      <c r="AB187" s="254"/>
      <c r="AC187" s="254"/>
      <c r="AF187" s="608"/>
      <c r="BW187" s="158"/>
    </row>
    <row r="188" spans="1:75" s="167" customFormat="1" ht="13.5" customHeight="1">
      <c r="A188" s="206"/>
      <c r="B188" s="200">
        <v>211</v>
      </c>
      <c r="C188" s="200"/>
      <c r="D188" s="200">
        <v>212</v>
      </c>
      <c r="E188" s="200"/>
      <c r="F188" s="200">
        <v>213</v>
      </c>
      <c r="G188" s="200"/>
      <c r="H188" s="200">
        <v>214</v>
      </c>
      <c r="I188" s="200"/>
      <c r="J188" s="200">
        <v>215</v>
      </c>
      <c r="K188" s="200" t="s">
        <v>67</v>
      </c>
      <c r="L188" s="200">
        <v>216</v>
      </c>
      <c r="M188" s="200"/>
      <c r="N188" s="200">
        <v>217</v>
      </c>
      <c r="O188" s="200"/>
      <c r="P188" s="200">
        <v>218</v>
      </c>
      <c r="Q188" s="200"/>
      <c r="R188" s="200">
        <v>219</v>
      </c>
      <c r="S188" s="200"/>
      <c r="T188" s="200">
        <v>220</v>
      </c>
      <c r="U188" s="200"/>
      <c r="V188" s="200">
        <v>221</v>
      </c>
      <c r="W188" s="200"/>
      <c r="X188" s="200">
        <v>222</v>
      </c>
      <c r="Y188" s="200"/>
      <c r="Z188" s="200">
        <v>223</v>
      </c>
      <c r="AA188" s="200"/>
      <c r="AB188" s="200">
        <v>224</v>
      </c>
      <c r="AC188" s="200"/>
      <c r="AD188" s="200">
        <v>225</v>
      </c>
      <c r="AE188" s="254"/>
      <c r="AF188" s="608"/>
      <c r="BW188" s="158"/>
    </row>
    <row r="189" spans="1:75" s="167" customFormat="1" ht="13.5" customHeight="1">
      <c r="A189" s="206"/>
      <c r="B189" s="304" t="s">
        <v>1162</v>
      </c>
      <c r="C189" s="254"/>
      <c r="D189" s="304" t="s">
        <v>1163</v>
      </c>
      <c r="E189" s="254"/>
      <c r="F189" s="304" t="s">
        <v>1164</v>
      </c>
      <c r="G189" s="254"/>
      <c r="H189" s="304" t="s">
        <v>1165</v>
      </c>
      <c r="I189" s="254"/>
      <c r="J189" s="304" t="s">
        <v>1166</v>
      </c>
      <c r="K189" s="254"/>
      <c r="L189" s="304" t="s">
        <v>1167</v>
      </c>
      <c r="M189" s="254"/>
      <c r="N189" s="304" t="s">
        <v>1168</v>
      </c>
      <c r="O189" s="254"/>
      <c r="P189" s="304" t="s">
        <v>1047</v>
      </c>
      <c r="Q189" s="254"/>
      <c r="R189" s="304" t="s">
        <v>1048</v>
      </c>
      <c r="S189" s="254"/>
      <c r="T189" s="304" t="s">
        <v>1169</v>
      </c>
      <c r="U189" s="254"/>
      <c r="V189" s="304" t="s">
        <v>1170</v>
      </c>
      <c r="W189" s="254"/>
      <c r="X189" s="304" t="s">
        <v>1171</v>
      </c>
      <c r="Y189" s="200"/>
      <c r="Z189" s="304" t="s">
        <v>625</v>
      </c>
      <c r="AA189" s="200"/>
      <c r="AB189" s="304" t="s">
        <v>464</v>
      </c>
      <c r="AC189" s="200"/>
      <c r="AD189" s="304" t="s">
        <v>412</v>
      </c>
      <c r="AE189" s="200"/>
      <c r="AF189" s="607"/>
      <c r="BW189" s="158"/>
    </row>
    <row r="190" spans="1:75" s="167" customFormat="1" ht="13.5" customHeight="1">
      <c r="A190" s="206"/>
      <c r="Z190" s="200"/>
      <c r="AA190" s="200"/>
      <c r="AB190" s="200"/>
      <c r="AC190" s="200"/>
      <c r="AD190" s="200"/>
      <c r="AE190" s="200"/>
      <c r="AF190" s="574"/>
      <c r="BW190" s="158"/>
    </row>
    <row r="191" spans="1:75" s="167" customFormat="1" ht="13.5" customHeight="1">
      <c r="A191" s="206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00"/>
      <c r="N191" s="254"/>
      <c r="O191" s="254"/>
      <c r="P191" s="254"/>
      <c r="Q191" s="200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574"/>
      <c r="BW191" s="158"/>
    </row>
    <row r="192" spans="1:75" s="167" customFormat="1" ht="13.5" customHeight="1" thickBo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>
      <c r="A193" s="206"/>
      <c r="B193" s="183"/>
      <c r="C193" s="591"/>
      <c r="D193" s="183"/>
      <c r="E193" s="591"/>
      <c r="F193" s="261"/>
      <c r="G193" s="591"/>
      <c r="H193" s="183"/>
      <c r="I193" s="591"/>
      <c r="J193" s="183"/>
      <c r="K193" s="591"/>
      <c r="L193" s="183"/>
      <c r="M193" s="591"/>
      <c r="N193" s="183"/>
      <c r="O193" s="591"/>
      <c r="P193" s="183"/>
      <c r="Q193" s="591"/>
      <c r="R193" s="183"/>
      <c r="S193" s="591"/>
      <c r="T193" s="183"/>
      <c r="U193" s="591"/>
      <c r="V193" s="183"/>
      <c r="W193" s="591"/>
      <c r="X193" s="183"/>
      <c r="Y193" s="591"/>
      <c r="Z193" s="183"/>
      <c r="AA193" s="591"/>
      <c r="AB193" s="183"/>
      <c r="AC193" s="591"/>
      <c r="AD193" s="183"/>
      <c r="AE193" s="579"/>
      <c r="AF193" s="574"/>
      <c r="BW193" s="158"/>
    </row>
    <row r="194" spans="1:75" s="167" customFormat="1" ht="13.5" customHeight="1">
      <c r="A194" s="206"/>
      <c r="B194" s="201" t="s">
        <v>67</v>
      </c>
      <c r="C194" s="592">
        <v>244</v>
      </c>
      <c r="D194" s="201" t="s">
        <v>550</v>
      </c>
      <c r="E194" s="592">
        <v>390</v>
      </c>
      <c r="F194" s="262"/>
      <c r="G194" s="592">
        <v>377</v>
      </c>
      <c r="H194" s="186"/>
      <c r="I194" s="592">
        <v>382</v>
      </c>
      <c r="J194" s="186"/>
      <c r="K194" s="592">
        <v>390</v>
      </c>
      <c r="L194" s="186"/>
      <c r="M194" s="592">
        <v>364</v>
      </c>
      <c r="N194" s="186"/>
      <c r="O194" s="592">
        <v>390</v>
      </c>
      <c r="P194" s="186"/>
      <c r="Q194" s="592">
        <v>395</v>
      </c>
      <c r="R194" s="186" t="s">
        <v>550</v>
      </c>
      <c r="S194" s="592">
        <v>413</v>
      </c>
      <c r="T194" s="186"/>
      <c r="U194" s="592">
        <v>422</v>
      </c>
      <c r="V194" s="186"/>
      <c r="W194" s="592">
        <v>306</v>
      </c>
      <c r="X194" s="186"/>
      <c r="Y194" s="592">
        <v>357</v>
      </c>
      <c r="Z194" s="186"/>
      <c r="AA194" s="592">
        <v>390</v>
      </c>
      <c r="AB194" s="186"/>
      <c r="AC194" s="592">
        <v>430</v>
      </c>
      <c r="AD194" s="186"/>
      <c r="AE194" s="581">
        <v>399</v>
      </c>
      <c r="AF194" s="574"/>
      <c r="BW194" s="158"/>
    </row>
    <row r="195" spans="1:75" s="167" customFormat="1" ht="13.5" customHeight="1" thickBot="1">
      <c r="A195" s="206"/>
      <c r="B195" s="188"/>
      <c r="C195" s="166"/>
      <c r="D195" s="188"/>
      <c r="E195" s="166"/>
      <c r="F195" s="264"/>
      <c r="G195" s="166"/>
      <c r="H195" s="188"/>
      <c r="I195" s="166"/>
      <c r="J195" s="188"/>
      <c r="K195" s="166"/>
      <c r="L195" s="188"/>
      <c r="M195" s="166"/>
      <c r="N195" s="188"/>
      <c r="O195" s="166"/>
      <c r="P195" s="188"/>
      <c r="Q195" s="166"/>
      <c r="R195" s="188"/>
      <c r="S195" s="166"/>
      <c r="T195" s="188"/>
      <c r="U195" s="166"/>
      <c r="V195" s="188"/>
      <c r="W195" s="166"/>
      <c r="X195" s="188"/>
      <c r="Y195" s="166"/>
      <c r="Z195" s="188"/>
      <c r="AA195" s="166"/>
      <c r="AB195" s="188"/>
      <c r="AC195" s="166"/>
      <c r="AD195" s="188"/>
      <c r="AE195" s="200"/>
      <c r="AF195" s="574"/>
      <c r="BW195" s="158"/>
    </row>
    <row r="196" spans="1:75" s="167" customFormat="1" ht="13.5" customHeight="1">
      <c r="A196" s="206"/>
      <c r="B196" s="258" t="s">
        <v>350</v>
      </c>
      <c r="C196" s="254"/>
      <c r="D196" s="258" t="s">
        <v>350</v>
      </c>
      <c r="E196" s="254"/>
      <c r="F196" s="254" t="s">
        <v>350</v>
      </c>
      <c r="G196" s="254"/>
      <c r="H196" s="254" t="s">
        <v>396</v>
      </c>
      <c r="I196" s="254"/>
      <c r="J196" s="254" t="s">
        <v>335</v>
      </c>
      <c r="K196" s="254"/>
      <c r="L196" s="254" t="s">
        <v>396</v>
      </c>
      <c r="M196" s="254"/>
      <c r="N196" s="258" t="s">
        <v>396</v>
      </c>
      <c r="O196" s="254"/>
      <c r="P196" s="254" t="s">
        <v>396</v>
      </c>
      <c r="Q196" s="254"/>
      <c r="R196" s="258" t="s">
        <v>396</v>
      </c>
      <c r="S196" s="254"/>
      <c r="T196" s="254" t="s">
        <v>350</v>
      </c>
      <c r="U196" s="254"/>
      <c r="V196" s="254" t="s">
        <v>350</v>
      </c>
      <c r="W196" s="254"/>
      <c r="X196" s="254" t="s">
        <v>561</v>
      </c>
      <c r="Y196" s="254"/>
      <c r="Z196" s="254" t="s">
        <v>902</v>
      </c>
      <c r="AA196" s="254"/>
      <c r="AB196" s="254" t="s">
        <v>330</v>
      </c>
      <c r="AC196" s="254"/>
      <c r="AD196" s="254" t="s">
        <v>350</v>
      </c>
      <c r="AE196" s="254"/>
      <c r="AF196" s="574"/>
      <c r="BW196" s="158"/>
    </row>
    <row r="197" spans="1:75" ht="13.5" customHeight="1">
      <c r="A197" s="609"/>
      <c r="AF197" s="610"/>
    </row>
    <row r="198" spans="1:75" ht="13.5" customHeight="1">
      <c r="A198" s="609"/>
      <c r="AF198" s="610"/>
    </row>
    <row r="199" spans="1:75" s="167" customFormat="1" ht="13.5" customHeight="1">
      <c r="A199" s="206"/>
      <c r="AF199" s="607"/>
      <c r="BW199" s="158"/>
    </row>
    <row r="200" spans="1:75" ht="13.5" customHeight="1">
      <c r="A200" s="206"/>
      <c r="AF200" s="610"/>
    </row>
    <row r="201" spans="1:75" ht="13.5" customHeight="1">
      <c r="A201" s="206"/>
      <c r="B201" s="200">
        <v>226</v>
      </c>
      <c r="C201" s="200"/>
      <c r="D201" s="200">
        <v>227</v>
      </c>
      <c r="E201" s="200"/>
      <c r="F201" s="200">
        <v>228</v>
      </c>
      <c r="G201" s="200"/>
      <c r="H201" s="200">
        <v>229</v>
      </c>
      <c r="I201" s="200"/>
      <c r="J201" s="200">
        <v>230</v>
      </c>
      <c r="K201" s="200"/>
      <c r="L201" s="200">
        <v>231</v>
      </c>
      <c r="M201" s="200"/>
      <c r="N201" s="200">
        <v>232</v>
      </c>
      <c r="O201" s="200"/>
      <c r="P201" s="200">
        <v>233</v>
      </c>
      <c r="Q201" s="200"/>
      <c r="R201" s="200">
        <v>234</v>
      </c>
      <c r="S201" s="200"/>
      <c r="T201" s="200">
        <v>235</v>
      </c>
      <c r="U201" s="200"/>
      <c r="V201" s="200">
        <v>236</v>
      </c>
      <c r="W201" s="200"/>
      <c r="X201" s="254">
        <v>237</v>
      </c>
      <c r="Y201" s="254"/>
      <c r="AF201" s="610"/>
    </row>
    <row r="202" spans="1:75" ht="13.5" customHeight="1">
      <c r="A202" s="206"/>
      <c r="B202" s="304" t="s">
        <v>626</v>
      </c>
      <c r="C202" s="254"/>
      <c r="D202" s="304" t="s">
        <v>627</v>
      </c>
      <c r="E202" s="254"/>
      <c r="F202" s="304" t="s">
        <v>628</v>
      </c>
      <c r="G202" s="254"/>
      <c r="H202" s="304" t="s">
        <v>629</v>
      </c>
      <c r="I202" s="254"/>
      <c r="J202" s="304" t="s">
        <v>630</v>
      </c>
      <c r="K202" s="254"/>
      <c r="L202" s="304" t="s">
        <v>631</v>
      </c>
      <c r="M202" s="254"/>
      <c r="N202" s="304" t="s">
        <v>632</v>
      </c>
      <c r="O202" s="254"/>
      <c r="P202" s="304" t="s">
        <v>633</v>
      </c>
      <c r="Q202" s="254"/>
      <c r="R202" s="304" t="s">
        <v>634</v>
      </c>
      <c r="S202" s="254"/>
      <c r="T202" s="304" t="s">
        <v>635</v>
      </c>
      <c r="U202" s="254"/>
      <c r="V202" s="304" t="s">
        <v>636</v>
      </c>
      <c r="W202" s="254"/>
      <c r="X202" s="304" t="s">
        <v>637</v>
      </c>
      <c r="Y202" s="200"/>
      <c r="AF202" s="610"/>
    </row>
    <row r="203" spans="1:75" ht="13.5" customHeight="1">
      <c r="A203" s="206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AF203" s="610"/>
    </row>
    <row r="204" spans="1:75" ht="13.5" customHeight="1">
      <c r="A204" s="206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00"/>
      <c r="T204" s="254"/>
      <c r="U204" s="254"/>
      <c r="V204" s="254"/>
      <c r="W204" s="254"/>
      <c r="X204" s="254"/>
      <c r="Y204" s="200"/>
      <c r="AF204" s="610"/>
    </row>
    <row r="205" spans="1:75" ht="13.5" customHeight="1" thickBo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>
      <c r="A206" s="206"/>
      <c r="B206" s="261"/>
      <c r="C206" s="579"/>
      <c r="D206" s="261"/>
      <c r="E206" s="579"/>
      <c r="F206" s="261"/>
      <c r="G206" s="579"/>
      <c r="H206" s="261"/>
      <c r="I206" s="579"/>
      <c r="J206" s="261"/>
      <c r="K206" s="579"/>
      <c r="L206" s="261"/>
      <c r="M206" s="579"/>
      <c r="N206" s="261"/>
      <c r="O206" s="579"/>
      <c r="P206" s="261"/>
      <c r="Q206" s="579"/>
      <c r="R206" s="261"/>
      <c r="S206" s="579"/>
      <c r="T206" s="261"/>
      <c r="U206" s="579"/>
      <c r="V206" s="261"/>
      <c r="W206" s="579"/>
      <c r="X206" s="261"/>
      <c r="Y206" s="579"/>
      <c r="AF206" s="610"/>
    </row>
    <row r="207" spans="1:75" ht="13.5" customHeight="1">
      <c r="A207" s="594"/>
      <c r="B207" s="263"/>
      <c r="C207" s="581">
        <v>408</v>
      </c>
      <c r="D207" s="263" t="s">
        <v>550</v>
      </c>
      <c r="E207" s="581">
        <v>407</v>
      </c>
      <c r="F207" s="263" t="s">
        <v>550</v>
      </c>
      <c r="G207" s="581">
        <v>434</v>
      </c>
      <c r="H207" s="263"/>
      <c r="I207" s="581">
        <v>401</v>
      </c>
      <c r="J207" s="263"/>
      <c r="K207" s="581">
        <v>296</v>
      </c>
      <c r="L207" s="263"/>
      <c r="M207" s="581">
        <v>677</v>
      </c>
      <c r="N207" s="263"/>
      <c r="O207" s="581">
        <v>642</v>
      </c>
      <c r="P207" s="263"/>
      <c r="Q207" s="606">
        <v>414</v>
      </c>
      <c r="R207" s="263"/>
      <c r="S207" s="581">
        <v>446</v>
      </c>
      <c r="T207" s="263"/>
      <c r="U207" s="581">
        <v>411</v>
      </c>
      <c r="V207" s="263"/>
      <c r="W207" s="606">
        <v>345</v>
      </c>
      <c r="X207" s="262"/>
      <c r="Y207" s="581">
        <v>345</v>
      </c>
      <c r="AF207" s="610"/>
    </row>
    <row r="208" spans="1:75" ht="13.5" customHeight="1" thickBot="1">
      <c r="A208" s="594"/>
      <c r="B208" s="264"/>
      <c r="C208" s="200"/>
      <c r="D208" s="264"/>
      <c r="E208" s="200"/>
      <c r="F208" s="264"/>
      <c r="G208" s="200"/>
      <c r="H208" s="264"/>
      <c r="I208" s="200"/>
      <c r="J208" s="264"/>
      <c r="K208" s="200"/>
      <c r="L208" s="264"/>
      <c r="M208" s="200"/>
      <c r="N208" s="264"/>
      <c r="O208" s="200"/>
      <c r="P208" s="264"/>
      <c r="Q208" s="254"/>
      <c r="R208" s="264"/>
      <c r="S208" s="200"/>
      <c r="T208" s="264"/>
      <c r="U208" s="200"/>
      <c r="V208" s="264"/>
      <c r="W208" s="254"/>
      <c r="X208" s="264"/>
      <c r="Y208" s="200"/>
      <c r="AF208" s="610"/>
      <c r="BM208" s="501">
        <f>1</f>
        <v>1</v>
      </c>
    </row>
    <row r="209" spans="1:75" ht="13.5" customHeight="1">
      <c r="A209" s="594"/>
      <c r="B209" s="254" t="s">
        <v>350</v>
      </c>
      <c r="C209" s="254"/>
      <c r="D209" s="254" t="s">
        <v>350</v>
      </c>
      <c r="E209" s="254"/>
      <c r="F209" s="254" t="s">
        <v>350</v>
      </c>
      <c r="G209" s="254"/>
      <c r="H209" s="254" t="s">
        <v>335</v>
      </c>
      <c r="I209" s="254"/>
      <c r="J209" s="254" t="s">
        <v>350</v>
      </c>
      <c r="K209" s="254"/>
      <c r="L209" s="254" t="s">
        <v>300</v>
      </c>
      <c r="M209" s="254"/>
      <c r="N209" s="254" t="s">
        <v>357</v>
      </c>
      <c r="O209" s="254"/>
      <c r="P209" s="254" t="s">
        <v>350</v>
      </c>
      <c r="Q209" s="254" t="s">
        <v>67</v>
      </c>
      <c r="R209" s="254" t="s">
        <v>350</v>
      </c>
      <c r="S209" s="254"/>
      <c r="T209" s="254" t="s">
        <v>350</v>
      </c>
      <c r="U209" s="254"/>
      <c r="V209" s="254" t="s">
        <v>357</v>
      </c>
      <c r="W209" s="254"/>
      <c r="X209" s="167" t="s">
        <v>357</v>
      </c>
      <c r="Y209" s="167"/>
      <c r="AF209" s="610"/>
    </row>
    <row r="210" spans="1:75" ht="13.5" customHeight="1">
      <c r="A210" s="206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8"/>
      <c r="Y210" s="254"/>
      <c r="AF210" s="610"/>
    </row>
    <row r="211" spans="1:75" ht="13.5" customHeight="1">
      <c r="A211" s="20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254"/>
      <c r="AA211" s="254"/>
      <c r="AB211" s="254"/>
      <c r="AC211" s="254"/>
      <c r="AD211" s="254"/>
      <c r="AE211" s="254"/>
      <c r="AF211" s="574"/>
    </row>
    <row r="212" spans="1:75" ht="13.5" customHeight="1">
      <c r="A212" s="206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574"/>
    </row>
    <row r="213" spans="1:75" ht="13.5" customHeight="1">
      <c r="A213" s="206"/>
      <c r="B213" s="254">
        <v>238</v>
      </c>
      <c r="C213" s="254"/>
      <c r="D213" s="254">
        <v>239</v>
      </c>
      <c r="E213" s="254"/>
      <c r="F213" s="254">
        <v>240</v>
      </c>
      <c r="G213" s="254"/>
      <c r="H213" s="254">
        <v>241</v>
      </c>
      <c r="I213" s="254"/>
      <c r="J213" s="254">
        <v>242</v>
      </c>
      <c r="K213" s="254"/>
      <c r="L213" s="254">
        <v>243</v>
      </c>
      <c r="M213" s="254"/>
      <c r="N213" s="254">
        <v>244</v>
      </c>
      <c r="O213" s="254"/>
      <c r="P213" s="254">
        <v>245</v>
      </c>
      <c r="Q213" s="254"/>
      <c r="R213" s="254">
        <v>246</v>
      </c>
      <c r="S213" s="254"/>
      <c r="T213" s="254">
        <v>247</v>
      </c>
      <c r="U213" s="254"/>
      <c r="V213" s="254">
        <v>248</v>
      </c>
      <c r="W213" s="254"/>
      <c r="X213" s="254">
        <v>249</v>
      </c>
      <c r="Y213" s="254"/>
      <c r="Z213" s="254">
        <v>250</v>
      </c>
      <c r="AA213" s="254"/>
      <c r="AB213" s="254">
        <v>251</v>
      </c>
      <c r="AC213" s="254"/>
      <c r="AD213" s="254">
        <v>252</v>
      </c>
      <c r="AE213" s="254"/>
      <c r="AF213" s="608"/>
    </row>
    <row r="214" spans="1:75" s="167" customFormat="1" ht="13.5" customHeight="1">
      <c r="A214" s="206"/>
      <c r="B214" s="304" t="s">
        <v>638</v>
      </c>
      <c r="C214" s="254"/>
      <c r="D214" s="304" t="s">
        <v>639</v>
      </c>
      <c r="E214" s="254"/>
      <c r="F214" s="304" t="s">
        <v>640</v>
      </c>
      <c r="G214" s="254"/>
      <c r="H214" s="304" t="s">
        <v>641</v>
      </c>
      <c r="I214" s="254"/>
      <c r="J214" s="304" t="s">
        <v>642</v>
      </c>
      <c r="K214" s="254"/>
      <c r="L214" s="304" t="s">
        <v>643</v>
      </c>
      <c r="M214" s="254"/>
      <c r="N214" s="304" t="s">
        <v>644</v>
      </c>
      <c r="O214" s="254"/>
      <c r="P214" s="304" t="s">
        <v>645</v>
      </c>
      <c r="Q214" s="254"/>
      <c r="R214" s="304" t="s">
        <v>646</v>
      </c>
      <c r="S214" s="254"/>
      <c r="T214" s="304" t="s">
        <v>148</v>
      </c>
      <c r="U214" s="254"/>
      <c r="V214" s="304" t="s">
        <v>647</v>
      </c>
      <c r="W214" s="254"/>
      <c r="X214" s="304" t="s">
        <v>648</v>
      </c>
      <c r="Y214" s="200"/>
      <c r="Z214" s="304" t="s">
        <v>649</v>
      </c>
      <c r="AA214" s="200"/>
      <c r="AB214" s="304" t="s">
        <v>650</v>
      </c>
      <c r="AC214" s="200"/>
      <c r="AD214" s="304" t="s">
        <v>651</v>
      </c>
      <c r="AE214" s="200"/>
      <c r="AF214" s="607"/>
      <c r="BW214" s="158"/>
    </row>
    <row r="215" spans="1:75" ht="13.5" customHeight="1">
      <c r="A215" s="206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574"/>
    </row>
    <row r="216" spans="1:75" ht="13.5" customHeight="1">
      <c r="A216" s="206"/>
      <c r="B216" s="254"/>
      <c r="C216" s="200"/>
      <c r="D216" s="254"/>
      <c r="E216" s="254"/>
      <c r="F216" s="254"/>
      <c r="G216" s="200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00"/>
      <c r="X216" s="254"/>
      <c r="Y216" s="254"/>
      <c r="Z216" s="254"/>
      <c r="AA216" s="200"/>
      <c r="AB216" s="254"/>
      <c r="AC216" s="254"/>
      <c r="AD216" s="254"/>
      <c r="AE216" s="254"/>
      <c r="AF216" s="574"/>
    </row>
    <row r="217" spans="1:75" ht="13.5" customHeight="1" thickBo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>
      <c r="A218" s="206"/>
      <c r="B218" s="261"/>
      <c r="C218" s="579"/>
      <c r="D218" s="261"/>
      <c r="E218" s="579"/>
      <c r="F218" s="261"/>
      <c r="G218" s="579"/>
      <c r="H218" s="261"/>
      <c r="I218" s="579"/>
      <c r="J218" s="261"/>
      <c r="K218" s="579"/>
      <c r="L218" s="261"/>
      <c r="M218" s="579"/>
      <c r="N218" s="261"/>
      <c r="O218" s="579"/>
      <c r="P218" s="261"/>
      <c r="Q218" s="579"/>
      <c r="R218" s="261"/>
      <c r="S218" s="579"/>
      <c r="T218" s="261"/>
      <c r="U218" s="579"/>
      <c r="V218" s="261"/>
      <c r="W218" s="579"/>
      <c r="X218" s="261"/>
      <c r="Y218" s="579"/>
      <c r="Z218" s="261"/>
      <c r="AA218" s="579"/>
      <c r="AB218" s="261"/>
      <c r="AC218" s="579"/>
      <c r="AD218" s="261"/>
      <c r="AE218" s="579"/>
      <c r="AF218" s="580"/>
      <c r="BV218" s="502">
        <v>0</v>
      </c>
      <c r="BW218" s="502">
        <v>0</v>
      </c>
    </row>
    <row r="219" spans="1:75" ht="13.5" customHeight="1">
      <c r="A219" s="206"/>
      <c r="B219" s="262"/>
      <c r="C219" s="581">
        <v>414</v>
      </c>
      <c r="D219" s="263"/>
      <c r="E219" s="581">
        <v>421</v>
      </c>
      <c r="F219" s="263"/>
      <c r="G219" s="581">
        <v>356</v>
      </c>
      <c r="H219" s="263"/>
      <c r="I219" s="581">
        <v>243</v>
      </c>
      <c r="J219" s="263" t="s">
        <v>550</v>
      </c>
      <c r="K219" s="581">
        <v>372</v>
      </c>
      <c r="L219" s="263"/>
      <c r="M219" s="581">
        <v>398</v>
      </c>
      <c r="N219" s="263"/>
      <c r="O219" s="581">
        <v>346</v>
      </c>
      <c r="P219" s="263"/>
      <c r="Q219" s="581">
        <v>405</v>
      </c>
      <c r="R219" s="263"/>
      <c r="S219" s="581">
        <v>417</v>
      </c>
      <c r="T219" s="263"/>
      <c r="U219" s="581">
        <v>402</v>
      </c>
      <c r="V219" s="263"/>
      <c r="W219" s="581">
        <v>415</v>
      </c>
      <c r="X219" s="263"/>
      <c r="Y219" s="581">
        <v>352</v>
      </c>
      <c r="Z219" s="263"/>
      <c r="AA219" s="581">
        <v>397</v>
      </c>
      <c r="AB219" s="263"/>
      <c r="AC219" s="581">
        <v>377</v>
      </c>
      <c r="AD219" s="263"/>
      <c r="AE219" s="581">
        <v>438</v>
      </c>
      <c r="AF219" s="574"/>
      <c r="BV219" s="198"/>
    </row>
    <row r="220" spans="1:75" ht="13.5" customHeight="1" thickBot="1">
      <c r="A220" s="206"/>
      <c r="B220" s="264"/>
      <c r="C220" s="200"/>
      <c r="D220" s="264"/>
      <c r="E220" s="200"/>
      <c r="F220" s="264"/>
      <c r="G220" s="200"/>
      <c r="H220" s="264"/>
      <c r="I220" s="200"/>
      <c r="J220" s="264"/>
      <c r="K220" s="200"/>
      <c r="L220" s="264"/>
      <c r="M220" s="200"/>
      <c r="N220" s="264"/>
      <c r="O220" s="200"/>
      <c r="P220" s="264"/>
      <c r="Q220" s="200"/>
      <c r="R220" s="264"/>
      <c r="S220" s="200"/>
      <c r="T220" s="264"/>
      <c r="U220" s="200"/>
      <c r="V220" s="264"/>
      <c r="W220" s="200"/>
      <c r="X220" s="264"/>
      <c r="Y220" s="200"/>
      <c r="Z220" s="264"/>
      <c r="AA220" s="200"/>
      <c r="AB220" s="264"/>
      <c r="AC220" s="200"/>
      <c r="AD220" s="264"/>
      <c r="AE220" s="200"/>
      <c r="AF220" s="574"/>
    </row>
    <row r="221" spans="1:75" ht="13.5" customHeight="1">
      <c r="A221" s="206"/>
      <c r="B221" s="258" t="s">
        <v>373</v>
      </c>
      <c r="C221" s="254"/>
      <c r="D221" s="254" t="s">
        <v>357</v>
      </c>
      <c r="E221" s="254"/>
      <c r="F221" s="254" t="s">
        <v>350</v>
      </c>
      <c r="G221" s="254"/>
      <c r="H221" s="258" t="s">
        <v>330</v>
      </c>
      <c r="I221" s="254"/>
      <c r="J221" s="258" t="s">
        <v>302</v>
      </c>
      <c r="K221" s="254"/>
      <c r="L221" s="254" t="s">
        <v>350</v>
      </c>
      <c r="M221" s="254"/>
      <c r="N221" s="254" t="s">
        <v>357</v>
      </c>
      <c r="O221" s="254"/>
      <c r="P221" s="254" t="s">
        <v>350</v>
      </c>
      <c r="Q221" s="254"/>
      <c r="R221" s="254" t="s">
        <v>357</v>
      </c>
      <c r="S221" s="254"/>
      <c r="T221" s="258" t="s">
        <v>330</v>
      </c>
      <c r="U221" s="254"/>
      <c r="V221" s="254" t="s">
        <v>357</v>
      </c>
      <c r="W221" s="254"/>
      <c r="X221" s="254" t="s">
        <v>350</v>
      </c>
      <c r="Y221" s="254"/>
      <c r="Z221" s="254" t="s">
        <v>350</v>
      </c>
      <c r="AA221" s="254"/>
      <c r="AB221" s="254" t="s">
        <v>350</v>
      </c>
      <c r="AC221" s="254"/>
      <c r="AD221" s="254" t="s">
        <v>350</v>
      </c>
      <c r="AE221" s="254"/>
      <c r="AF221" s="574"/>
    </row>
    <row r="222" spans="1:75" ht="13.5" customHeight="1">
      <c r="A222" s="206"/>
      <c r="B222" s="200"/>
      <c r="C222" s="254"/>
      <c r="D222" s="200"/>
      <c r="E222" s="254"/>
      <c r="F222" s="200"/>
      <c r="G222" s="200"/>
      <c r="H222" s="200"/>
      <c r="I222" s="200"/>
      <c r="J222" s="200"/>
      <c r="K222" s="254"/>
      <c r="L222" s="200"/>
      <c r="M222" s="254"/>
      <c r="N222" s="200"/>
      <c r="O222" s="254"/>
      <c r="P222" s="200"/>
      <c r="Q222" s="254"/>
      <c r="R222" s="200"/>
      <c r="S222" s="254"/>
      <c r="T222" s="200"/>
      <c r="U222" s="254"/>
      <c r="V222" s="200"/>
      <c r="W222" s="254"/>
      <c r="X222" s="200"/>
      <c r="Y222" s="254"/>
      <c r="Z222" s="200"/>
      <c r="AA222" s="254"/>
      <c r="AB222" s="200"/>
      <c r="AC222" s="585"/>
      <c r="AD222" s="200"/>
      <c r="AE222" s="200"/>
      <c r="AF222" s="574"/>
    </row>
    <row r="223" spans="1:75" ht="13.5" customHeight="1">
      <c r="A223" s="206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574"/>
    </row>
    <row r="224" spans="1:75" ht="13.5" customHeight="1">
      <c r="A224" s="206"/>
      <c r="B224" s="254">
        <v>253</v>
      </c>
      <c r="C224" s="611"/>
      <c r="D224" s="254">
        <v>254</v>
      </c>
      <c r="E224" s="254"/>
      <c r="F224" s="254">
        <v>255</v>
      </c>
      <c r="G224" s="254"/>
      <c r="H224" s="254">
        <v>256</v>
      </c>
      <c r="I224" s="254"/>
      <c r="J224" s="254">
        <v>257</v>
      </c>
      <c r="K224" s="254"/>
      <c r="L224" s="254">
        <v>258</v>
      </c>
      <c r="M224" s="254"/>
      <c r="N224" s="254">
        <v>259</v>
      </c>
      <c r="O224" s="254"/>
      <c r="P224" s="254">
        <v>260</v>
      </c>
      <c r="Q224" s="254"/>
      <c r="R224" s="254">
        <v>261</v>
      </c>
      <c r="S224" s="254"/>
      <c r="T224" s="254">
        <v>262</v>
      </c>
      <c r="U224" s="254"/>
      <c r="V224" s="254">
        <v>263</v>
      </c>
      <c r="W224" s="254"/>
      <c r="X224" s="254">
        <v>264</v>
      </c>
      <c r="Y224" s="254"/>
      <c r="Z224" s="254">
        <v>265</v>
      </c>
      <c r="AA224" s="254"/>
      <c r="AB224" s="254">
        <v>266</v>
      </c>
      <c r="AC224" s="254"/>
      <c r="AD224" s="254">
        <v>267</v>
      </c>
      <c r="AE224" s="254"/>
      <c r="AF224" s="574"/>
    </row>
    <row r="225" spans="1:75" s="167" customFormat="1" ht="13.5" customHeight="1">
      <c r="A225" s="206"/>
      <c r="B225" s="304" t="s">
        <v>652</v>
      </c>
      <c r="C225" s="254"/>
      <c r="D225" s="304" t="s">
        <v>149</v>
      </c>
      <c r="E225" s="254"/>
      <c r="F225" s="304" t="s">
        <v>653</v>
      </c>
      <c r="G225" s="254"/>
      <c r="H225" s="304" t="s">
        <v>654</v>
      </c>
      <c r="I225" s="254"/>
      <c r="J225" s="304" t="s">
        <v>655</v>
      </c>
      <c r="K225" s="254"/>
      <c r="L225" s="304" t="s">
        <v>656</v>
      </c>
      <c r="M225" s="254"/>
      <c r="N225" s="304" t="s">
        <v>657</v>
      </c>
      <c r="O225" s="254"/>
      <c r="P225" s="304" t="s">
        <v>658</v>
      </c>
      <c r="Q225" s="254"/>
      <c r="R225" s="304" t="s">
        <v>414</v>
      </c>
      <c r="S225" s="254"/>
      <c r="T225" s="304" t="s">
        <v>432</v>
      </c>
      <c r="U225" s="254"/>
      <c r="V225" s="304" t="s">
        <v>434</v>
      </c>
      <c r="W225" s="254"/>
      <c r="X225" s="304" t="s">
        <v>408</v>
      </c>
      <c r="Y225" s="200"/>
      <c r="Z225" s="304" t="s">
        <v>397</v>
      </c>
      <c r="AA225" s="200"/>
      <c r="AB225" s="304" t="s">
        <v>415</v>
      </c>
      <c r="AC225" s="200"/>
      <c r="AD225" s="304" t="s">
        <v>403</v>
      </c>
      <c r="AE225" s="200"/>
      <c r="AF225" s="607"/>
      <c r="BW225" s="158"/>
    </row>
    <row r="226" spans="1:75" ht="13.5" customHeight="1">
      <c r="A226" s="206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574"/>
    </row>
    <row r="227" spans="1:75" ht="13.5" customHeight="1">
      <c r="A227" s="206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00"/>
      <c r="N227" s="254"/>
      <c r="O227" s="254"/>
      <c r="P227" s="254"/>
      <c r="Q227" s="200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574"/>
    </row>
    <row r="228" spans="1:75" ht="13.5" customHeight="1" thickBo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>
      <c r="A229" s="594"/>
      <c r="B229" s="183"/>
      <c r="C229" s="591"/>
      <c r="D229" s="183"/>
      <c r="E229" s="591"/>
      <c r="F229" s="183"/>
      <c r="G229" s="591"/>
      <c r="H229" s="183"/>
      <c r="I229" s="591"/>
      <c r="J229" s="183"/>
      <c r="K229" s="591"/>
      <c r="L229" s="183"/>
      <c r="M229" s="591"/>
      <c r="N229" s="183"/>
      <c r="O229" s="591"/>
      <c r="P229" s="183"/>
      <c r="Q229" s="591"/>
      <c r="R229" s="786"/>
      <c r="S229" s="591"/>
      <c r="T229" s="184"/>
      <c r="U229" s="591"/>
      <c r="V229" s="184"/>
      <c r="W229" s="591"/>
      <c r="X229" s="786"/>
      <c r="Y229" s="591"/>
      <c r="Z229" s="786"/>
      <c r="AA229" s="591"/>
      <c r="AB229" s="786"/>
      <c r="AC229" s="591"/>
      <c r="AD229" s="184"/>
      <c r="AE229" s="579"/>
      <c r="AF229" s="574"/>
    </row>
    <row r="230" spans="1:75" ht="13.5" customHeight="1">
      <c r="A230" s="594"/>
      <c r="B230" s="185"/>
      <c r="C230" s="592">
        <v>363</v>
      </c>
      <c r="D230" s="186" t="s">
        <v>550</v>
      </c>
      <c r="E230" s="592">
        <v>380</v>
      </c>
      <c r="F230" s="186"/>
      <c r="G230" s="592">
        <v>346</v>
      </c>
      <c r="H230" s="186"/>
      <c r="I230" s="592">
        <v>390</v>
      </c>
      <c r="J230" s="186" t="s">
        <v>550</v>
      </c>
      <c r="K230" s="592">
        <v>405</v>
      </c>
      <c r="L230" s="186"/>
      <c r="M230" s="592">
        <v>421</v>
      </c>
      <c r="N230" s="186"/>
      <c r="O230" s="592">
        <v>391</v>
      </c>
      <c r="P230" s="186" t="s">
        <v>550</v>
      </c>
      <c r="Q230" s="592">
        <v>394</v>
      </c>
      <c r="R230" s="787"/>
      <c r="S230" s="592">
        <v>382</v>
      </c>
      <c r="T230" s="187"/>
      <c r="U230" s="592">
        <v>384</v>
      </c>
      <c r="V230" s="187"/>
      <c r="W230" s="592">
        <v>406</v>
      </c>
      <c r="X230" s="787"/>
      <c r="Y230" s="592">
        <v>352</v>
      </c>
      <c r="Z230" s="787"/>
      <c r="AA230" s="592">
        <v>453</v>
      </c>
      <c r="AB230" s="787"/>
      <c r="AC230" s="592">
        <v>388</v>
      </c>
      <c r="AD230" s="187"/>
      <c r="AE230" s="581">
        <v>395</v>
      </c>
      <c r="AF230" s="574"/>
      <c r="BV230" s="501">
        <f>7</f>
        <v>7</v>
      </c>
      <c r="BW230" s="502">
        <v>3</v>
      </c>
    </row>
    <row r="231" spans="1:75" ht="13.5" customHeight="1" thickBot="1">
      <c r="A231" s="594"/>
      <c r="B231" s="188"/>
      <c r="C231" s="166"/>
      <c r="D231" s="188"/>
      <c r="E231" s="166"/>
      <c r="F231" s="188"/>
      <c r="G231" s="166"/>
      <c r="H231" s="188"/>
      <c r="I231" s="166"/>
      <c r="J231" s="188"/>
      <c r="K231" s="166"/>
      <c r="L231" s="188"/>
      <c r="M231" s="166"/>
      <c r="N231" s="188"/>
      <c r="O231" s="166"/>
      <c r="P231" s="188"/>
      <c r="Q231" s="166"/>
      <c r="R231" s="788"/>
      <c r="S231" s="166"/>
      <c r="T231" s="189"/>
      <c r="U231" s="166"/>
      <c r="V231" s="189"/>
      <c r="W231" s="166"/>
      <c r="X231" s="788"/>
      <c r="Y231" s="166"/>
      <c r="Z231" s="788"/>
      <c r="AA231" s="166"/>
      <c r="AB231" s="788"/>
      <c r="AC231" s="166"/>
      <c r="AD231" s="189"/>
      <c r="AE231" s="200"/>
      <c r="AF231" s="574"/>
    </row>
    <row r="232" spans="1:75" ht="13.5" customHeight="1">
      <c r="A232" s="206"/>
      <c r="B232" s="254" t="s">
        <v>399</v>
      </c>
      <c r="C232" s="254"/>
      <c r="D232" s="258" t="s">
        <v>335</v>
      </c>
      <c r="E232" s="254"/>
      <c r="F232" s="254" t="s">
        <v>350</v>
      </c>
      <c r="G232" s="254"/>
      <c r="H232" s="254" t="s">
        <v>350</v>
      </c>
      <c r="I232" s="254"/>
      <c r="J232" s="254" t="s">
        <v>350</v>
      </c>
      <c r="K232" s="254"/>
      <c r="L232" s="254" t="s">
        <v>357</v>
      </c>
      <c r="M232" s="254"/>
      <c r="N232" s="254" t="s">
        <v>357</v>
      </c>
      <c r="O232" s="254"/>
      <c r="P232" s="254" t="s">
        <v>350</v>
      </c>
      <c r="Q232" s="254"/>
      <c r="R232" s="258" t="s">
        <v>335</v>
      </c>
      <c r="S232" s="254"/>
      <c r="T232" s="254" t="s">
        <v>350</v>
      </c>
      <c r="U232" s="254"/>
      <c r="V232" s="254" t="s">
        <v>357</v>
      </c>
      <c r="W232" s="254"/>
      <c r="X232" s="254" t="s">
        <v>350</v>
      </c>
      <c r="Y232" s="254"/>
      <c r="Z232" s="254" t="s">
        <v>357</v>
      </c>
      <c r="AA232" s="254"/>
      <c r="AB232" s="254" t="s">
        <v>399</v>
      </c>
      <c r="AC232" s="254"/>
      <c r="AD232" s="254" t="s">
        <v>350</v>
      </c>
      <c r="AE232" s="254"/>
      <c r="AF232" s="574"/>
    </row>
    <row r="233" spans="1:75" ht="13.5" customHeight="1">
      <c r="A233" s="206"/>
      <c r="B233" s="200"/>
      <c r="C233" s="254"/>
      <c r="D233" s="200"/>
      <c r="E233" s="254"/>
      <c r="F233" s="200"/>
      <c r="G233" s="254"/>
      <c r="H233" s="200"/>
      <c r="I233" s="254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54"/>
      <c r="V233" s="200"/>
      <c r="W233" s="254"/>
      <c r="X233" s="200"/>
      <c r="Y233" s="254"/>
      <c r="Z233" s="200"/>
      <c r="AA233" s="200"/>
      <c r="AB233" s="200"/>
      <c r="AC233" s="200"/>
      <c r="AD233" s="200"/>
      <c r="AE233" s="200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612"/>
      <c r="Y234" s="254"/>
      <c r="Z234" s="612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54">
        <v>268</v>
      </c>
      <c r="C237" s="611"/>
      <c r="D237" s="254">
        <v>269</v>
      </c>
      <c r="E237" s="254"/>
      <c r="F237" s="254">
        <v>270</v>
      </c>
      <c r="G237" s="254"/>
      <c r="H237" s="254">
        <v>271</v>
      </c>
      <c r="I237" s="254"/>
      <c r="J237" s="254">
        <v>272</v>
      </c>
      <c r="K237" s="254"/>
      <c r="L237" s="254">
        <v>273</v>
      </c>
      <c r="M237" s="254"/>
      <c r="N237" s="254">
        <v>274</v>
      </c>
      <c r="O237" s="254"/>
      <c r="P237" s="254">
        <v>275</v>
      </c>
      <c r="Q237" s="254"/>
      <c r="R237" s="254">
        <v>276</v>
      </c>
      <c r="S237" s="254"/>
      <c r="T237" s="254">
        <v>277</v>
      </c>
      <c r="U237" s="254"/>
      <c r="V237" s="254">
        <v>278</v>
      </c>
      <c r="W237" s="254"/>
      <c r="X237" s="254">
        <v>279</v>
      </c>
      <c r="Y237" s="254"/>
      <c r="Z237" s="254">
        <v>280</v>
      </c>
      <c r="AA237" s="254"/>
      <c r="AB237" s="254">
        <v>281</v>
      </c>
      <c r="AC237" s="254"/>
      <c r="AD237" s="254">
        <v>282</v>
      </c>
      <c r="AE237" s="254"/>
      <c r="AF237" s="574"/>
    </row>
    <row r="238" spans="1:75" ht="13.5" customHeight="1">
      <c r="A238" s="206"/>
      <c r="B238" s="304" t="s">
        <v>150</v>
      </c>
      <c r="C238" s="254"/>
      <c r="D238" s="304" t="s">
        <v>436</v>
      </c>
      <c r="E238" s="254"/>
      <c r="F238" s="304" t="s">
        <v>435</v>
      </c>
      <c r="G238" s="254"/>
      <c r="H238" s="304" t="s">
        <v>659</v>
      </c>
      <c r="I238" s="254"/>
      <c r="J238" s="304" t="s">
        <v>437</v>
      </c>
      <c r="K238" s="254"/>
      <c r="L238" s="304" t="s">
        <v>431</v>
      </c>
      <c r="M238" s="254"/>
      <c r="N238" s="304" t="s">
        <v>151</v>
      </c>
      <c r="O238" s="254"/>
      <c r="P238" s="304" t="s">
        <v>421</v>
      </c>
      <c r="Q238" s="254"/>
      <c r="R238" s="304" t="s">
        <v>660</v>
      </c>
      <c r="S238" s="254"/>
      <c r="T238" s="304" t="s">
        <v>661</v>
      </c>
      <c r="U238" s="254"/>
      <c r="V238" s="304" t="s">
        <v>662</v>
      </c>
      <c r="W238" s="254"/>
      <c r="X238" s="304" t="s">
        <v>663</v>
      </c>
      <c r="Y238" s="200"/>
      <c r="Z238" s="304" t="s">
        <v>664</v>
      </c>
      <c r="AA238" s="200"/>
      <c r="AB238" s="304" t="s">
        <v>665</v>
      </c>
      <c r="AC238" s="200"/>
      <c r="AD238" s="304" t="s">
        <v>463</v>
      </c>
      <c r="AE238" s="200"/>
      <c r="AF238" s="607"/>
    </row>
    <row r="239" spans="1:75" ht="13.5" customHeight="1">
      <c r="A239" s="206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574"/>
    </row>
    <row r="240" spans="1:75" ht="13.5" customHeight="1">
      <c r="A240" s="206"/>
      <c r="B240" s="254"/>
      <c r="C240" s="200"/>
      <c r="D240" s="254"/>
      <c r="E240" s="254"/>
      <c r="F240" s="254"/>
      <c r="G240" s="200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00"/>
      <c r="X240" s="254"/>
      <c r="Y240" s="254"/>
      <c r="Z240" s="254"/>
      <c r="AA240" s="200"/>
      <c r="AB240" s="254"/>
      <c r="AC240" s="254"/>
      <c r="AD240" s="254"/>
      <c r="AE240" s="254"/>
      <c r="AF240" s="574"/>
    </row>
    <row r="241" spans="1:75" ht="13.5" customHeight="1" thickBo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>
      <c r="A242" s="206"/>
      <c r="B242" s="184"/>
      <c r="C242" s="591"/>
      <c r="D242" s="184"/>
      <c r="E242" s="591"/>
      <c r="F242" s="184"/>
      <c r="G242" s="591"/>
      <c r="H242" s="183"/>
      <c r="I242" s="591"/>
      <c r="J242" s="184"/>
      <c r="K242" s="591"/>
      <c r="L242" s="184"/>
      <c r="M242" s="591"/>
      <c r="N242" s="184"/>
      <c r="O242" s="591"/>
      <c r="P242" s="202"/>
      <c r="Q242" s="591"/>
      <c r="R242" s="183"/>
      <c r="S242" s="591"/>
      <c r="T242" s="183"/>
      <c r="U242" s="591"/>
      <c r="V242" s="183"/>
      <c r="W242" s="591"/>
      <c r="X242" s="183"/>
      <c r="Y242" s="591"/>
      <c r="Z242" s="183"/>
      <c r="AA242" s="591"/>
      <c r="AB242" s="183"/>
      <c r="AC242" s="591"/>
      <c r="AD242" s="183"/>
      <c r="AE242" s="579"/>
      <c r="AF242" s="580"/>
    </row>
    <row r="243" spans="1:75" ht="13.5" customHeight="1">
      <c r="A243" s="206"/>
      <c r="B243" s="187"/>
      <c r="C243" s="592">
        <v>430</v>
      </c>
      <c r="D243" s="187"/>
      <c r="E243" s="592">
        <v>388</v>
      </c>
      <c r="F243" s="187"/>
      <c r="G243" s="592">
        <v>402</v>
      </c>
      <c r="H243" s="186"/>
      <c r="I243" s="592">
        <v>437</v>
      </c>
      <c r="J243" s="187"/>
      <c r="K243" s="592">
        <v>405</v>
      </c>
      <c r="L243" s="187"/>
      <c r="M243" s="592">
        <v>337</v>
      </c>
      <c r="N243" s="187"/>
      <c r="O243" s="592">
        <v>282</v>
      </c>
      <c r="P243" s="187"/>
      <c r="Q243" s="592">
        <v>435</v>
      </c>
      <c r="R243" s="186"/>
      <c r="S243" s="592">
        <v>407</v>
      </c>
      <c r="T243" s="186"/>
      <c r="U243" s="592">
        <v>426</v>
      </c>
      <c r="V243" s="186"/>
      <c r="W243" s="592">
        <v>374</v>
      </c>
      <c r="X243" s="186"/>
      <c r="Y243" s="592">
        <v>440</v>
      </c>
      <c r="Z243" s="186"/>
      <c r="AA243" s="592">
        <v>386</v>
      </c>
      <c r="AB243" s="186"/>
      <c r="AC243" s="592">
        <v>210</v>
      </c>
      <c r="AD243" s="186"/>
      <c r="AE243" s="581"/>
      <c r="AF243" s="574"/>
    </row>
    <row r="244" spans="1:75" ht="13.5" customHeight="1" thickBot="1">
      <c r="A244" s="206"/>
      <c r="B244" s="189"/>
      <c r="C244" s="166"/>
      <c r="D244" s="189"/>
      <c r="E244" s="166"/>
      <c r="F244" s="189"/>
      <c r="G244" s="166"/>
      <c r="H244" s="188"/>
      <c r="I244" s="166"/>
      <c r="J244" s="189"/>
      <c r="K244" s="166"/>
      <c r="L244" s="189"/>
      <c r="M244" s="166"/>
      <c r="N244" s="189"/>
      <c r="O244" s="166"/>
      <c r="P244" s="203"/>
      <c r="Q244" s="166"/>
      <c r="R244" s="188"/>
      <c r="S244" s="166"/>
      <c r="T244" s="188"/>
      <c r="U244" s="166"/>
      <c r="V244" s="188"/>
      <c r="W244" s="166"/>
      <c r="X244" s="188"/>
      <c r="Y244" s="166"/>
      <c r="Z244" s="188"/>
      <c r="AA244" s="166"/>
      <c r="AB244" s="188"/>
      <c r="AC244" s="166"/>
      <c r="AD244" s="188"/>
      <c r="AE244" s="200"/>
      <c r="AF244" s="574"/>
    </row>
    <row r="245" spans="1:75" ht="13.5" customHeight="1">
      <c r="A245" s="206"/>
      <c r="B245" s="258" t="s">
        <v>309</v>
      </c>
      <c r="C245" s="254"/>
      <c r="D245" s="254" t="s">
        <v>357</v>
      </c>
      <c r="E245" s="254"/>
      <c r="F245" s="254" t="s">
        <v>350</v>
      </c>
      <c r="G245" s="254"/>
      <c r="H245" s="258" t="s">
        <v>666</v>
      </c>
      <c r="I245" s="254"/>
      <c r="J245" s="254" t="s">
        <v>357</v>
      </c>
      <c r="K245" s="254"/>
      <c r="L245" s="254" t="s">
        <v>350</v>
      </c>
      <c r="M245" s="254"/>
      <c r="N245" s="258" t="s">
        <v>335</v>
      </c>
      <c r="O245" s="254"/>
      <c r="P245" s="254" t="s">
        <v>399</v>
      </c>
      <c r="Q245" s="254"/>
      <c r="R245" s="254" t="s">
        <v>350</v>
      </c>
      <c r="S245" s="254"/>
      <c r="T245" s="254" t="s">
        <v>399</v>
      </c>
      <c r="U245" s="254"/>
      <c r="V245" s="254" t="s">
        <v>350</v>
      </c>
      <c r="W245" s="254"/>
      <c r="X245" s="254" t="s">
        <v>357</v>
      </c>
      <c r="Y245" s="254"/>
      <c r="Z245" s="254" t="s">
        <v>350</v>
      </c>
      <c r="AA245" s="254"/>
      <c r="AB245" s="258" t="s">
        <v>300</v>
      </c>
      <c r="AC245" s="254"/>
      <c r="AD245" s="258" t="s">
        <v>300</v>
      </c>
      <c r="AE245" s="254"/>
      <c r="AF245" s="574"/>
    </row>
    <row r="246" spans="1:75" ht="13.5" customHeight="1">
      <c r="A246" s="206"/>
      <c r="B246" s="200"/>
      <c r="C246" s="254"/>
      <c r="D246" s="200"/>
      <c r="E246" s="254"/>
      <c r="F246" s="200"/>
      <c r="G246" s="254"/>
      <c r="H246" s="200"/>
      <c r="I246" s="254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54"/>
      <c r="V246" s="200"/>
      <c r="W246" s="254"/>
      <c r="X246" s="612"/>
      <c r="Y246" s="254"/>
      <c r="Z246" s="612"/>
      <c r="AA246" s="200"/>
      <c r="AB246" s="200"/>
      <c r="AC246" s="200"/>
      <c r="AD246" s="200"/>
      <c r="AE246" s="200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s="167" customFormat="1" ht="13.5" customHeight="1">
      <c r="A250" s="206"/>
      <c r="B250" s="254">
        <v>283</v>
      </c>
      <c r="C250" s="254"/>
      <c r="D250" s="254">
        <v>284</v>
      </c>
      <c r="E250" s="254"/>
      <c r="F250" s="254">
        <v>285</v>
      </c>
      <c r="G250" s="254"/>
      <c r="H250" s="254">
        <v>286</v>
      </c>
      <c r="I250" s="254"/>
      <c r="J250" s="254">
        <v>287</v>
      </c>
      <c r="K250" s="254"/>
      <c r="L250" s="254">
        <v>288</v>
      </c>
      <c r="M250" s="254"/>
      <c r="N250" s="254">
        <v>289</v>
      </c>
      <c r="O250" s="254"/>
      <c r="P250" s="254">
        <v>290</v>
      </c>
      <c r="Q250" s="254"/>
      <c r="R250" s="254">
        <v>291</v>
      </c>
      <c r="S250" s="254"/>
      <c r="T250" s="254">
        <v>292</v>
      </c>
      <c r="U250" s="254"/>
      <c r="V250" s="254">
        <v>293</v>
      </c>
      <c r="W250" s="254"/>
      <c r="X250" s="254">
        <v>294</v>
      </c>
      <c r="Y250" s="254"/>
      <c r="Z250" s="254">
        <v>295</v>
      </c>
      <c r="AA250" s="254"/>
      <c r="AB250" s="254">
        <v>296</v>
      </c>
      <c r="AC250" s="254"/>
      <c r="AD250" s="254">
        <v>297</v>
      </c>
      <c r="AE250" s="254"/>
      <c r="AF250" s="608"/>
      <c r="BW250" s="158"/>
    </row>
    <row r="251" spans="1:75" ht="13.5" customHeight="1">
      <c r="A251" s="206"/>
      <c r="B251" s="304" t="s">
        <v>765</v>
      </c>
      <c r="C251" s="254"/>
      <c r="D251" s="304" t="s">
        <v>767</v>
      </c>
      <c r="E251" s="254"/>
      <c r="F251" s="304" t="s">
        <v>152</v>
      </c>
      <c r="G251" s="254"/>
      <c r="H251" s="304" t="s">
        <v>1173</v>
      </c>
      <c r="I251" s="254"/>
      <c r="J251" s="304" t="s">
        <v>166</v>
      </c>
      <c r="K251" s="254"/>
      <c r="L251" s="304" t="s">
        <v>769</v>
      </c>
      <c r="M251" s="254"/>
      <c r="N251" s="304" t="s">
        <v>153</v>
      </c>
      <c r="O251" s="254"/>
      <c r="P251" s="304" t="s">
        <v>770</v>
      </c>
      <c r="Q251" s="254"/>
      <c r="R251" s="304" t="s">
        <v>771</v>
      </c>
      <c r="S251" s="254"/>
      <c r="T251" s="304" t="s">
        <v>1174</v>
      </c>
      <c r="U251" s="254"/>
      <c r="V251" s="304" t="s">
        <v>1175</v>
      </c>
      <c r="W251" s="254"/>
      <c r="X251" s="304" t="s">
        <v>772</v>
      </c>
      <c r="Y251" s="200"/>
      <c r="Z251" s="304" t="s">
        <v>1176</v>
      </c>
      <c r="AA251" s="200"/>
      <c r="AB251" s="304" t="s">
        <v>1177</v>
      </c>
      <c r="AC251" s="200"/>
      <c r="AD251" s="304" t="s">
        <v>1178</v>
      </c>
      <c r="AE251" s="200"/>
      <c r="AF251" s="607"/>
    </row>
    <row r="252" spans="1:75" ht="13.5" customHeight="1">
      <c r="A252" s="206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574"/>
      <c r="BW252" s="502">
        <v>1</v>
      </c>
    </row>
    <row r="253" spans="1:75" ht="13.5" customHeight="1">
      <c r="A253" s="206"/>
      <c r="B253" s="254"/>
      <c r="C253" s="200"/>
      <c r="D253" s="254"/>
      <c r="E253" s="254"/>
      <c r="F253" s="254"/>
      <c r="G253" s="200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00"/>
      <c r="X253" s="254"/>
      <c r="Y253" s="254"/>
      <c r="Z253" s="254"/>
      <c r="AA253" s="200"/>
      <c r="AB253" s="254"/>
      <c r="AC253" s="254"/>
      <c r="AD253" s="254"/>
      <c r="AE253" s="254"/>
      <c r="AF253" s="574"/>
    </row>
    <row r="254" spans="1:75" ht="13.5" customHeight="1" thickBot="1">
      <c r="A254" s="594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>
      <c r="A255" s="594"/>
      <c r="B255" s="261"/>
      <c r="C255" s="579"/>
      <c r="D255" s="261"/>
      <c r="E255" s="579"/>
      <c r="F255" s="261"/>
      <c r="G255" s="579"/>
      <c r="H255" s="261"/>
      <c r="I255" s="579"/>
      <c r="J255" s="261"/>
      <c r="K255" s="579"/>
      <c r="L255" s="261"/>
      <c r="M255" s="579"/>
      <c r="N255" s="261"/>
      <c r="O255" s="579"/>
      <c r="P255" s="261"/>
      <c r="Q255" s="579"/>
      <c r="R255" s="261"/>
      <c r="S255" s="579"/>
      <c r="T255" s="261"/>
      <c r="U255" s="579"/>
      <c r="V255" s="261"/>
      <c r="W255" s="579"/>
      <c r="X255" s="261"/>
      <c r="Y255" s="579"/>
      <c r="Z255" s="261"/>
      <c r="AA255" s="579"/>
      <c r="AB255" s="261"/>
      <c r="AC255" s="579"/>
      <c r="AD255" s="261"/>
      <c r="AE255" s="579"/>
      <c r="AF255" s="580"/>
      <c r="BV255" s="501">
        <v>7</v>
      </c>
    </row>
    <row r="256" spans="1:75" ht="13.5" customHeight="1">
      <c r="A256" s="594"/>
      <c r="B256" s="262"/>
      <c r="C256" s="581">
        <v>414</v>
      </c>
      <c r="D256" s="263"/>
      <c r="E256" s="581">
        <v>421</v>
      </c>
      <c r="F256" s="263"/>
      <c r="G256" s="581">
        <v>356</v>
      </c>
      <c r="H256" s="263"/>
      <c r="I256" s="581">
        <v>243</v>
      </c>
      <c r="J256" s="263" t="s">
        <v>550</v>
      </c>
      <c r="K256" s="581">
        <v>372</v>
      </c>
      <c r="L256" s="263"/>
      <c r="M256" s="581">
        <v>398</v>
      </c>
      <c r="N256" s="263"/>
      <c r="O256" s="581">
        <v>346</v>
      </c>
      <c r="P256" s="263"/>
      <c r="Q256" s="581">
        <v>405</v>
      </c>
      <c r="R256" s="263"/>
      <c r="S256" s="581">
        <v>417</v>
      </c>
      <c r="T256" s="263"/>
      <c r="U256" s="581">
        <v>402</v>
      </c>
      <c r="V256" s="263"/>
      <c r="W256" s="581">
        <v>415</v>
      </c>
      <c r="X256" s="263"/>
      <c r="Y256" s="581">
        <v>352</v>
      </c>
      <c r="Z256" s="263"/>
      <c r="AA256" s="581">
        <v>397</v>
      </c>
      <c r="AB256" s="263"/>
      <c r="AC256" s="581">
        <v>377</v>
      </c>
      <c r="AD256" s="263"/>
      <c r="AE256" s="581">
        <v>438</v>
      </c>
      <c r="AF256" s="574"/>
    </row>
    <row r="257" spans="1:74" ht="13.5" customHeight="1" thickBot="1">
      <c r="A257" s="206"/>
      <c r="B257" s="264"/>
      <c r="C257" s="200"/>
      <c r="D257" s="264"/>
      <c r="E257" s="200"/>
      <c r="F257" s="264"/>
      <c r="G257" s="200"/>
      <c r="H257" s="264"/>
      <c r="I257" s="200"/>
      <c r="J257" s="264"/>
      <c r="K257" s="200"/>
      <c r="L257" s="264"/>
      <c r="M257" s="200"/>
      <c r="N257" s="264"/>
      <c r="O257" s="200"/>
      <c r="P257" s="264"/>
      <c r="Q257" s="200"/>
      <c r="R257" s="264"/>
      <c r="S257" s="200"/>
      <c r="T257" s="264"/>
      <c r="U257" s="200"/>
      <c r="V257" s="264"/>
      <c r="W257" s="200"/>
      <c r="X257" s="264"/>
      <c r="Y257" s="200"/>
      <c r="Z257" s="264"/>
      <c r="AA257" s="200"/>
      <c r="AB257" s="264"/>
      <c r="AC257" s="200"/>
      <c r="AD257" s="264"/>
      <c r="AE257" s="200"/>
      <c r="AF257" s="574"/>
    </row>
    <row r="258" spans="1:74" ht="13.5" customHeight="1">
      <c r="A258" s="206"/>
      <c r="B258" s="258" t="s">
        <v>373</v>
      </c>
      <c r="C258" s="254"/>
      <c r="D258" s="254" t="s">
        <v>357</v>
      </c>
      <c r="E258" s="254"/>
      <c r="F258" s="254" t="s">
        <v>350</v>
      </c>
      <c r="G258" s="254"/>
      <c r="H258" s="258" t="s">
        <v>330</v>
      </c>
      <c r="I258" s="254"/>
      <c r="J258" s="258" t="s">
        <v>302</v>
      </c>
      <c r="K258" s="254"/>
      <c r="L258" s="254" t="s">
        <v>350</v>
      </c>
      <c r="M258" s="254"/>
      <c r="N258" s="254" t="s">
        <v>357</v>
      </c>
      <c r="O258" s="254"/>
      <c r="P258" s="254" t="s">
        <v>350</v>
      </c>
      <c r="Q258" s="254"/>
      <c r="R258" s="254" t="s">
        <v>357</v>
      </c>
      <c r="S258" s="254"/>
      <c r="T258" s="258" t="s">
        <v>330</v>
      </c>
      <c r="U258" s="254"/>
      <c r="V258" s="254" t="s">
        <v>357</v>
      </c>
      <c r="W258" s="254"/>
      <c r="X258" s="254" t="s">
        <v>350</v>
      </c>
      <c r="Y258" s="254"/>
      <c r="Z258" s="254" t="s">
        <v>350</v>
      </c>
      <c r="AA258" s="254"/>
      <c r="AB258" s="254" t="s">
        <v>350</v>
      </c>
      <c r="AC258" s="254"/>
      <c r="AD258" s="254" t="s">
        <v>350</v>
      </c>
      <c r="AE258" s="254"/>
      <c r="AF258" s="574"/>
    </row>
    <row r="259" spans="1:74" ht="13.5" hidden="1" customHeight="1">
      <c r="A259" s="206"/>
      <c r="B259" s="200"/>
      <c r="C259" s="254"/>
      <c r="D259" s="200"/>
      <c r="E259" s="254"/>
      <c r="F259" s="200"/>
      <c r="G259" s="200"/>
      <c r="H259" s="200"/>
      <c r="I259" s="200"/>
      <c r="J259" s="200"/>
      <c r="K259" s="254"/>
      <c r="L259" s="200"/>
      <c r="M259" s="254"/>
      <c r="N259" s="200"/>
      <c r="O259" s="254"/>
      <c r="P259" s="200"/>
      <c r="Q259" s="254"/>
      <c r="R259" s="200"/>
      <c r="S259" s="254"/>
      <c r="T259" s="200"/>
      <c r="U259" s="254"/>
      <c r="V259" s="200"/>
      <c r="W259" s="254"/>
      <c r="X259" s="200"/>
      <c r="Y259" s="254"/>
      <c r="Z259" s="200"/>
      <c r="AA259" s="254"/>
      <c r="AB259" s="200"/>
      <c r="AC259" s="585"/>
      <c r="AD259" s="200"/>
      <c r="AE259" s="200"/>
      <c r="AF259" s="574"/>
    </row>
    <row r="260" spans="1:74" ht="13.5" hidden="1" customHeight="1">
      <c r="A260" s="206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574"/>
    </row>
    <row r="261" spans="1:74" ht="13.5" hidden="1" customHeight="1">
      <c r="A261" s="206"/>
      <c r="B261" s="254"/>
      <c r="C261" s="200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574"/>
    </row>
    <row r="262" spans="1:74" ht="13.5" hidden="1" customHeight="1">
      <c r="A262" s="206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574"/>
    </row>
    <row r="263" spans="1:74" ht="13.5" hidden="1" customHeight="1">
      <c r="A263" s="206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00"/>
      <c r="N263" s="254"/>
      <c r="O263" s="254"/>
      <c r="P263" s="254"/>
      <c r="Q263" s="200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574"/>
    </row>
    <row r="264" spans="1:74" ht="13.5" hidden="1" customHeight="1" thickBo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>
      <c r="A265" s="206"/>
      <c r="B265" s="261"/>
      <c r="C265" s="579"/>
      <c r="D265" s="261"/>
      <c r="E265" s="579"/>
      <c r="F265" s="261"/>
      <c r="G265" s="579"/>
      <c r="H265" s="261"/>
      <c r="I265" s="579"/>
      <c r="J265" s="261"/>
      <c r="K265" s="579"/>
      <c r="L265" s="261"/>
      <c r="M265" s="579"/>
      <c r="N265" s="261"/>
      <c r="O265" s="579"/>
      <c r="P265" s="261"/>
      <c r="Q265" s="579"/>
      <c r="R265" s="261"/>
      <c r="S265" s="579"/>
      <c r="T265" s="261"/>
      <c r="U265" s="579"/>
      <c r="V265" s="261"/>
      <c r="W265" s="579"/>
      <c r="X265" s="261"/>
      <c r="Y265" s="579"/>
      <c r="Z265" s="261"/>
      <c r="AA265" s="579"/>
      <c r="AB265" s="261"/>
      <c r="AC265" s="579"/>
      <c r="AD265" s="261"/>
      <c r="AE265" s="579"/>
      <c r="AF265" s="574"/>
    </row>
    <row r="266" spans="1:74" ht="13.5" hidden="1" customHeight="1">
      <c r="A266" s="206"/>
      <c r="B266" s="262"/>
      <c r="C266" s="581"/>
      <c r="D266" s="263"/>
      <c r="E266" s="581"/>
      <c r="F266" s="263"/>
      <c r="G266" s="581"/>
      <c r="H266" s="263"/>
      <c r="I266" s="581"/>
      <c r="J266" s="263"/>
      <c r="K266" s="581"/>
      <c r="L266" s="263"/>
      <c r="M266" s="581"/>
      <c r="N266" s="263"/>
      <c r="O266" s="581"/>
      <c r="P266" s="263"/>
      <c r="Q266" s="581"/>
      <c r="R266" s="263"/>
      <c r="S266" s="581"/>
      <c r="T266" s="263"/>
      <c r="U266" s="581"/>
      <c r="V266" s="263"/>
      <c r="W266" s="581"/>
      <c r="X266" s="263"/>
      <c r="Y266" s="581"/>
      <c r="Z266" s="263"/>
      <c r="AA266" s="581"/>
      <c r="AB266" s="263"/>
      <c r="AC266" s="581"/>
      <c r="AD266" s="263"/>
      <c r="AE266" s="581"/>
      <c r="AF266" s="574"/>
    </row>
    <row r="267" spans="1:74" ht="13.5" hidden="1" customHeight="1" thickBot="1">
      <c r="A267" s="206"/>
      <c r="B267" s="264"/>
      <c r="C267" s="200"/>
      <c r="D267" s="264"/>
      <c r="E267" s="200"/>
      <c r="F267" s="264"/>
      <c r="G267" s="200"/>
      <c r="H267" s="264"/>
      <c r="I267" s="200"/>
      <c r="J267" s="264"/>
      <c r="K267" s="200"/>
      <c r="L267" s="264"/>
      <c r="M267" s="200"/>
      <c r="N267" s="264"/>
      <c r="O267" s="200"/>
      <c r="P267" s="264"/>
      <c r="Q267" s="200"/>
      <c r="R267" s="264"/>
      <c r="S267" s="200"/>
      <c r="T267" s="264"/>
      <c r="U267" s="200"/>
      <c r="V267" s="264"/>
      <c r="W267" s="200"/>
      <c r="X267" s="264"/>
      <c r="Y267" s="200"/>
      <c r="Z267" s="264"/>
      <c r="AA267" s="200"/>
      <c r="AB267" s="264"/>
      <c r="AC267" s="200"/>
      <c r="AD267" s="264"/>
      <c r="AE267" s="200"/>
      <c r="AF267" s="574"/>
    </row>
    <row r="268" spans="1:74" ht="13.5" hidden="1" customHeight="1">
      <c r="A268" s="206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8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8"/>
      <c r="AC268" s="254"/>
      <c r="AD268" s="254"/>
      <c r="AE268" s="254"/>
      <c r="AF268" s="574"/>
    </row>
    <row r="269" spans="1:74" ht="13.5" hidden="1" customHeight="1">
      <c r="A269" s="206"/>
      <c r="B269" s="200"/>
      <c r="C269" s="254"/>
      <c r="D269" s="200"/>
      <c r="E269" s="254"/>
      <c r="F269" s="200"/>
      <c r="G269" s="254"/>
      <c r="H269" s="200"/>
      <c r="I269" s="254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54"/>
      <c r="V269" s="200"/>
      <c r="W269" s="254"/>
      <c r="X269" s="200"/>
      <c r="Y269" s="254"/>
      <c r="Z269" s="200"/>
      <c r="AA269" s="200"/>
      <c r="AB269" s="200"/>
      <c r="AC269" s="200"/>
      <c r="AD269" s="200"/>
      <c r="AE269" s="200"/>
      <c r="AF269" s="574"/>
    </row>
    <row r="270" spans="1:74" ht="13.5" hidden="1" customHeight="1" thickBot="1">
      <c r="A270" s="259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613"/>
    </row>
    <row r="271" spans="1:74" ht="13.5" customHeight="1">
      <c r="A271" s="614"/>
      <c r="E271" s="167"/>
      <c r="G271" s="167"/>
      <c r="I271" s="167"/>
      <c r="M271" s="167"/>
      <c r="AF271" s="610"/>
      <c r="BV271" s="199"/>
    </row>
    <row r="272" spans="1:74" ht="13.5" customHeight="1">
      <c r="A272" s="614"/>
      <c r="E272" s="167"/>
      <c r="G272" s="167"/>
      <c r="I272" s="167"/>
      <c r="M272" s="167"/>
      <c r="AF272" s="610"/>
    </row>
    <row r="273" spans="1:32" ht="13.5" customHeight="1">
      <c r="A273" s="614"/>
      <c r="B273" s="254">
        <v>298</v>
      </c>
      <c r="C273" s="254"/>
      <c r="D273" s="254">
        <v>299</v>
      </c>
      <c r="E273" s="254"/>
      <c r="F273" s="254">
        <v>300</v>
      </c>
      <c r="G273" s="254"/>
      <c r="X273" s="542"/>
      <c r="AF273" s="610"/>
    </row>
    <row r="274" spans="1:32" ht="13.5" customHeight="1">
      <c r="A274" s="614"/>
      <c r="B274" s="304" t="s">
        <v>773</v>
      </c>
      <c r="C274" s="254"/>
      <c r="D274" s="304" t="s">
        <v>1179</v>
      </c>
      <c r="E274" s="254"/>
      <c r="F274" s="543" t="s">
        <v>1172</v>
      </c>
      <c r="G274" s="254"/>
      <c r="X274" s="542"/>
      <c r="AF274" s="610"/>
    </row>
    <row r="275" spans="1:32" ht="13.5" customHeight="1">
      <c r="A275" s="614"/>
      <c r="B275" s="200"/>
      <c r="C275" s="200"/>
      <c r="D275" s="200"/>
      <c r="E275" s="200"/>
      <c r="F275" s="200"/>
      <c r="G275" s="200"/>
      <c r="AF275" s="610"/>
    </row>
    <row r="276" spans="1:32" ht="13.5" customHeight="1">
      <c r="A276" s="614"/>
      <c r="B276" s="254"/>
      <c r="C276" s="200"/>
      <c r="D276" s="254"/>
      <c r="E276" s="254"/>
      <c r="F276" s="254"/>
      <c r="G276" s="200"/>
      <c r="AF276" s="610"/>
    </row>
    <row r="277" spans="1:32" ht="13.5" customHeight="1" thickBo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>
      <c r="A278" s="614"/>
      <c r="B278" s="261"/>
      <c r="C278" s="579"/>
      <c r="D278" s="261"/>
      <c r="E278" s="579"/>
      <c r="F278" s="261"/>
      <c r="G278" s="579"/>
      <c r="AF278" s="610"/>
    </row>
    <row r="279" spans="1:32" ht="13.5" customHeight="1">
      <c r="A279" s="614"/>
      <c r="B279" s="262"/>
      <c r="C279" s="581">
        <v>414</v>
      </c>
      <c r="D279" s="263"/>
      <c r="E279" s="581">
        <v>421</v>
      </c>
      <c r="F279" s="263"/>
      <c r="G279" s="581"/>
      <c r="AF279" s="610"/>
    </row>
    <row r="280" spans="1:32" ht="13.5" customHeight="1" thickBot="1">
      <c r="A280" s="614"/>
      <c r="B280" s="264"/>
      <c r="C280" s="200"/>
      <c r="D280" s="264"/>
      <c r="E280" s="200"/>
      <c r="F280" s="264"/>
      <c r="G280" s="200"/>
      <c r="AF280" s="610"/>
    </row>
    <row r="281" spans="1:32" ht="13.5" customHeight="1">
      <c r="A281" s="614"/>
      <c r="B281" s="258" t="s">
        <v>373</v>
      </c>
      <c r="C281" s="254"/>
      <c r="D281" s="254" t="s">
        <v>357</v>
      </c>
      <c r="E281" s="254"/>
      <c r="F281" s="254" t="s">
        <v>1172</v>
      </c>
      <c r="G281" s="254"/>
      <c r="AF281" s="610"/>
    </row>
    <row r="282" spans="1:32" ht="13.5" customHeight="1">
      <c r="A282" s="614"/>
      <c r="B282" s="200"/>
      <c r="C282" s="254"/>
      <c r="D282" s="200"/>
      <c r="E282" s="254"/>
      <c r="F282" s="200"/>
      <c r="G282" s="200"/>
      <c r="H282" s="200"/>
      <c r="I282" s="200"/>
      <c r="J282" s="200"/>
      <c r="K282" s="254"/>
      <c r="AF282" s="610"/>
    </row>
    <row r="283" spans="1:32" ht="13.5" customHeight="1" thickBot="1">
      <c r="A283" s="615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616"/>
      <c r="M283" s="616"/>
      <c r="N283" s="616"/>
      <c r="O283" s="616"/>
      <c r="P283" s="616"/>
      <c r="Q283" s="616"/>
      <c r="R283" s="616"/>
      <c r="S283" s="616"/>
      <c r="T283" s="616"/>
      <c r="U283" s="616"/>
      <c r="V283" s="616"/>
      <c r="W283" s="616"/>
      <c r="X283" s="616"/>
      <c r="Y283" s="616"/>
      <c r="Z283" s="616"/>
      <c r="AA283" s="616"/>
      <c r="AB283" s="616"/>
      <c r="AC283" s="616"/>
      <c r="AD283" s="616"/>
      <c r="AE283" s="616"/>
      <c r="AF283" s="617"/>
    </row>
    <row r="284" spans="1:32" ht="13.5" customHeight="1"/>
    <row r="285" spans="1:32" ht="13.5" customHeight="1"/>
    <row r="286" spans="1:32" ht="13.5" customHeight="1"/>
    <row r="287" spans="1:32" ht="13.5" customHeight="1"/>
    <row r="288" spans="1:32" ht="12.6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>
      <c r="E294" s="167"/>
      <c r="G294" s="167"/>
      <c r="I294" s="167"/>
    </row>
    <row r="295" spans="5:9" ht="12.65" customHeight="1"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</row>
    <row r="317" spans="7:9" ht="12.65" customHeight="1">
      <c r="G317" s="167"/>
    </row>
    <row r="318" spans="7:9" ht="12.65" customHeight="1"/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</sheetData>
  <mergeCells count="186">
    <mergeCell ref="H42:L42"/>
    <mergeCell ref="N85:N87"/>
    <mergeCell ref="N27:N29"/>
    <mergeCell ref="P27:P29"/>
    <mergeCell ref="R229:R231"/>
    <mergeCell ref="X229:X231"/>
    <mergeCell ref="Z229:Z231"/>
    <mergeCell ref="AB229:AB231"/>
    <mergeCell ref="T74:T76"/>
    <mergeCell ref="V74:V76"/>
    <mergeCell ref="AB49:AB51"/>
    <mergeCell ref="V61:V63"/>
    <mergeCell ref="X61:X63"/>
    <mergeCell ref="Z61:Z63"/>
    <mergeCell ref="AB61:AB63"/>
    <mergeCell ref="AN123:AN133"/>
    <mergeCell ref="AO123:AO133"/>
    <mergeCell ref="AG123:AG133"/>
    <mergeCell ref="AH123:AH133"/>
    <mergeCell ref="AI123:AI133"/>
    <mergeCell ref="AJ123:AJ133"/>
    <mergeCell ref="AK123:AK133"/>
    <mergeCell ref="AL123:AL133"/>
    <mergeCell ref="AM123:AM133"/>
    <mergeCell ref="AO101:AO111"/>
    <mergeCell ref="AG112:AG122"/>
    <mergeCell ref="AH112:AH122"/>
    <mergeCell ref="AI112:AI122"/>
    <mergeCell ref="AJ112:AJ122"/>
    <mergeCell ref="AK112:AK122"/>
    <mergeCell ref="AL112:AL122"/>
    <mergeCell ref="AM112:AM122"/>
    <mergeCell ref="AN112:AN122"/>
    <mergeCell ref="AO112:AO122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D61:AD63"/>
    <mergeCell ref="R74:R76"/>
    <mergeCell ref="AM79:AM86"/>
    <mergeCell ref="AN79:AN86"/>
    <mergeCell ref="AO79:AO86"/>
    <mergeCell ref="AG87:AG100"/>
    <mergeCell ref="AH87:AH100"/>
    <mergeCell ref="AI87:AI100"/>
    <mergeCell ref="AJ87:AJ100"/>
    <mergeCell ref="AK87:AK100"/>
    <mergeCell ref="AL87:AL100"/>
    <mergeCell ref="AM87:AM100"/>
    <mergeCell ref="AN87:AN100"/>
    <mergeCell ref="AO87:AO100"/>
    <mergeCell ref="AM66:AM67"/>
    <mergeCell ref="AN66:AN67"/>
    <mergeCell ref="AO66:AO67"/>
    <mergeCell ref="AG68:AG78"/>
    <mergeCell ref="AH68:AH78"/>
    <mergeCell ref="AI68:AI78"/>
    <mergeCell ref="AJ68:AJ78"/>
    <mergeCell ref="AK68:AK78"/>
    <mergeCell ref="AL68:AL78"/>
    <mergeCell ref="AM68:AM78"/>
    <mergeCell ref="AN68:AN78"/>
    <mergeCell ref="AO68:AO78"/>
    <mergeCell ref="AM44:AM53"/>
    <mergeCell ref="AN44:AN53"/>
    <mergeCell ref="AO44:AO53"/>
    <mergeCell ref="AG54:AG65"/>
    <mergeCell ref="AH54:AH65"/>
    <mergeCell ref="AI54:AI65"/>
    <mergeCell ref="AJ54:AJ65"/>
    <mergeCell ref="AK54:AK65"/>
    <mergeCell ref="AL54:AL65"/>
    <mergeCell ref="AM54:AM65"/>
    <mergeCell ref="AN54:AN65"/>
    <mergeCell ref="AO54:AO6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79:AG86"/>
    <mergeCell ref="AG44:AG53"/>
    <mergeCell ref="AH44:AH53"/>
    <mergeCell ref="AI44:AI53"/>
    <mergeCell ref="AJ44:AJ53"/>
    <mergeCell ref="AK44:AK53"/>
    <mergeCell ref="AL44:AL53"/>
    <mergeCell ref="AJ66:AJ67"/>
    <mergeCell ref="AK66:AK67"/>
    <mergeCell ref="AL66:AL67"/>
    <mergeCell ref="AH79:AH86"/>
    <mergeCell ref="AI79:AI86"/>
    <mergeCell ref="AJ79:AJ86"/>
    <mergeCell ref="AK79:AK86"/>
    <mergeCell ref="AL79:AL86"/>
    <mergeCell ref="AG66:AG67"/>
    <mergeCell ref="AH66:AH67"/>
    <mergeCell ref="AI66:AI67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4" max="31" man="1"/>
    <brk id="111" max="31" man="1"/>
    <brk id="173" max="31" man="1"/>
    <brk id="297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0" t="s">
        <v>667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2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3" t="s">
        <v>936</v>
      </c>
      <c r="B9" s="803" t="s">
        <v>339</v>
      </c>
      <c r="I9" s="29"/>
    </row>
    <row r="10" spans="1:353">
      <c r="A10" s="803"/>
      <c r="B10" s="803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4" t="s">
        <v>962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6"/>
    </row>
    <row r="2" spans="1:17" ht="21" customHeight="1">
      <c r="A2" s="807" t="s">
        <v>963</v>
      </c>
      <c r="B2" s="809" t="s">
        <v>203</v>
      </c>
      <c r="C2" s="809" t="s">
        <v>964</v>
      </c>
      <c r="D2" s="809" t="s">
        <v>965</v>
      </c>
      <c r="E2" s="809" t="s">
        <v>966</v>
      </c>
      <c r="F2" s="811" t="s">
        <v>112</v>
      </c>
      <c r="G2" s="811"/>
      <c r="H2" s="811" t="s">
        <v>114</v>
      </c>
      <c r="I2" s="811"/>
      <c r="J2" s="809" t="s">
        <v>967</v>
      </c>
      <c r="K2" s="809" t="s">
        <v>968</v>
      </c>
      <c r="L2" s="809" t="s">
        <v>969</v>
      </c>
      <c r="M2" s="809" t="s">
        <v>343</v>
      </c>
      <c r="N2" s="809" t="s">
        <v>475</v>
      </c>
      <c r="O2" s="809" t="s">
        <v>470</v>
      </c>
      <c r="P2" s="809" t="s">
        <v>471</v>
      </c>
      <c r="Q2" s="812" t="s">
        <v>33</v>
      </c>
    </row>
    <row r="3" spans="1:17" ht="25.4" customHeight="1">
      <c r="A3" s="808"/>
      <c r="B3" s="810"/>
      <c r="C3" s="810"/>
      <c r="D3" s="810"/>
      <c r="E3" s="810"/>
      <c r="F3" s="28" t="s">
        <v>970</v>
      </c>
      <c r="G3" s="28" t="s">
        <v>971</v>
      </c>
      <c r="H3" s="28" t="s">
        <v>970</v>
      </c>
      <c r="I3" s="28" t="s">
        <v>971</v>
      </c>
      <c r="J3" s="810"/>
      <c r="K3" s="810"/>
      <c r="L3" s="810"/>
      <c r="M3" s="810"/>
      <c r="N3" s="810"/>
      <c r="O3" s="810"/>
      <c r="P3" s="810"/>
      <c r="Q3" s="81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G2" sqref="G2:I2"/>
      <selection pane="topRight" activeCell="G2" sqref="G2:I2"/>
      <selection pane="bottomLeft" activeCell="G2" sqref="G2:I2"/>
      <selection pane="bottomRight" activeCell="G2" sqref="G2:I2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4" t="s">
        <v>89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6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Sheet5</vt:lpstr>
      <vt:lpstr>Sheet3</vt:lpstr>
      <vt:lpstr>Sheet1</vt:lpstr>
      <vt:lpstr>AOTL - KEC</vt:lpstr>
      <vt:lpstr>DPR Sheet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2026-08-06T13:46:43Z</dcterms:modified>
  <cp:category/>
  <cp:contentStatus/>
</cp:coreProperties>
</file>