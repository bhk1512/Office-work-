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 Report/DPR/DPR AOTL/"/>
    </mc:Choice>
  </mc:AlternateContent>
  <xr:revisionPtr revIDLastSave="87" documentId="14_{9FA55210-43DE-4DA2-97A9-69128F749094}" xr6:coauthVersionLast="47" xr6:coauthVersionMax="47" xr10:uidLastSave="{1F66F16E-1FD4-4129-847B-A3B4F1965FE5}"/>
  <bookViews>
    <workbookView xWindow="-110" yWindow="-110" windowWidth="19420" windowHeight="1030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6" l="1"/>
  <c r="E16" i="6"/>
  <c r="I19" i="64"/>
  <c r="D13" i="19"/>
  <c r="D12" i="19"/>
  <c r="D9" i="19"/>
  <c r="AE5" i="61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<sst xmlns="http://schemas.openxmlformats.org/spreadsheetml/2006/main" count="5680" uniqueCount="1187">
  <si>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</si>
  <si>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</si>
  <si>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</si>
  <si>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</si>
  <si>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</si>
  <si>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</si>
  <si>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</si>
  <si>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</si>
  <si>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</si>
  <si>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</si>
  <si>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</si>
  <si>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</si>
  <si>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</si>
  <si>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</si>
  <si>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</si>
  <si>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</si>
  <si>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</si>
  <si>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</si>
  <si>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</si>
  <si>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</si>
  <si>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</si>
  <si>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</si>
  <si>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</si>
  <si>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</si>
  <si>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</si>
  <si>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</si>
  <si>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</si>
  <si>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</si>
  <si>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</si>
  <si>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</si>
  <si>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</si>
  <si>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</si>
  <si>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</si>
  <si>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</si>
  <si>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</si>
  <si>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</si>
  <si>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</si>
  <si>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</si>
  <si>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</si>
  <si>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</si>
  <si>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</si>
  <si>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</si>
  <si>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</si>
  <si>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</si>
  <si>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</si>
  <si>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</si>
  <si>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</si>
  <si>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</si>
  <si>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</si>
  <si>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</si>
  <si>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</si>
  <si>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</si>
  <si>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</si>
  <si>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</si>
  <si>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</si>
  <si>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</si>
  <si>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</si>
  <si>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</si>
  <si>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</si>
  <si>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</si>
  <si>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</si>
  <si>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</si>
  <si>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</si>
  <si>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</si>
  <si>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</si>
  <si>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</si>
  <si>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</si>
  <si>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</si>
  <si>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</si>
  <si>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</si>
  <si>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</si>
  <si>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</si>
  <si>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</si>
  <si>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</si>
  <si>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</si>
  <si>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</si>
  <si>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</si>
  <si>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</si>
  <si>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</si>
  <si>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</si>
  <si>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</si>
  <si>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</si>
  <si>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</si>
  <si>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</si>
  <si>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</si>
  <si>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</si>
  <si>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</si>
  <si>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</si>
  <si>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</si>
  <si>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</si>
  <si>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</si>
  <si>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</si>
  <si>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</si>
  <si>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</si>
  <si>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</si>
  <si>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</si>
  <si>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</si>
  <si>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</si>
  <si>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</si>
  <si>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</si>
  <si>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</si>
  <si>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</si>
  <si>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</si>
  <si>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</si>
  <si>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</si>
  <si>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</si>
  <si>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</si>
  <si>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</si>
  <si>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</si>
  <si>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</si>
  <si>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</si>
  <si>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</si>
  <si>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</si>
  <si>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</si>
  <si>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</si>
  <si>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</si>
  <si>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</si>
  <si>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</si>
  <si>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</si>
  <si>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</si>
  <si>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</si>
  <si>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</si>
  <si>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</si>
  <si>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</si>
  <si>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</si>
  <si>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</si>
  <si>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</si>
  <si>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</si>
  <si>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</si>
  <si>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</si>
  <si>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</si>
  <si>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</si>
  <si>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</si>
  <si>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</si>
  <si>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</si>
  <si>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</si>
  <si>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</si>
  <si>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</si>
  <si>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</si>
  <si>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</si>
  <si>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</si>
  <si>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</si>
  <si>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</si>
  <si>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</si>
  <si>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</si>
  <si>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</si>
  <si>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</si>
  <si>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</si>
  <si>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</si>
  <si>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</si>
  <si>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</si>
  <si>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</si>
  <si>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</si>
  <si>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</si>
  <si>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</si>
  <si>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</si>
  <si>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</si>
  <si>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</si>
  <si>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</si>
  <si>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</si>
  <si>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</si>
  <si>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</si>
  <si>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</si>
  <si>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</si>
  <si>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</si>
  <si>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</si>
  <si>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</si>
  <si>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</si>
  <si>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</si>
  <si>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</si>
  <si>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</si>
  <si>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</si>
  <si>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</si>
  <si>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</si>
  <si>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</si>
  <si>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</si>
  <si>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</si>
  <si>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</si>
  <si>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</si>
  <si>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</si>
  <si>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</si>
  <si>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</si>
  <si>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</si>
  <si>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</si>
  <si>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</si>
  <si>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</si>
  <si>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</si>
  <si>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</si>
  <si>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</si>
  <si>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</si>
  <si>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</si>
  <si>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</si>
  <si>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</si>
  <si>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</si>
  <si>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</si>
  <si>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</si>
  <si>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</si>
  <si>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</si>
  <si>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</si>
  <si>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</si>
  <si>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</si>
  <si>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</si>
  <si>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</si>
  <si>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</si>
  <si>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</si>
  <si>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</si>
  <si>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</si>
  <si>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</si>
  <si>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</si>
  <si>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</si>
  <si>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</si>
  <si>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</si>
  <si>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</si>
  <si>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</si>
  <si>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</si>
  <si>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</si>
  <si>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</si>
  <si>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</si>
  <si>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</si>
  <si>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</si>
  <si>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</si>
  <si>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</si>
  <si>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</si>
  <si>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</si>
  <si>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</si>
  <si>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</si>
  <si>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</si>
  <si>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</si>
  <si>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</si>
  <si>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</si>
  <si>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</si>
  <si>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</si>
  <si>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</si>
  <si>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</si>
  <si>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</si>
  <si>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</si>
  <si>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</si>
  <si>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</si>
  <si>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</si>
  <si>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</si>
  <si>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</si>
  <si>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</si>
  <si>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</si>
  <si>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</si>
  <si>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</si>
  <si>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</si>
  <si>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</si>
  <si>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</si>
  <si>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</si>
  <si>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</si>
  <si>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</si>
  <si>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</si>
  <si>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</si>
  <si>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</si>
  <si>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</si>
  <si>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</si>
  <si>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</si>
  <si>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</si>
  <si>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</si>
  <si>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</si>
  <si>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</si>
  <si>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</si>
  <si>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</si>
  <si>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</si>
  <si>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</si>
  <si>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</si>
  <si>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</si>
  <si>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</si>
  <si>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</si>
  <si>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</si>
  <si>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</si>
  <si>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</si>
  <si>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</si>
  <si>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</si>
  <si>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</si>
  <si>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</si>
  <si>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</si>
  <si>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</si>
  <si>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</si>
  <si>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</si>
  <si>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</si>
  <si>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</si>
  <si>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</si>
  <si>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</si>
  <si>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</si>
  <si>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</si>
  <si>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</si>
  <si>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</si>
  <si>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</si>
  <si>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</si>
  <si>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</si>
  <si>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</si>
  <si>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</si>
  <si>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</si>
  <si>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</si>
  <si>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</si>
  <si>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</si>
  <si>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</si>
  <si>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</si>
  <si>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</si>
  <si>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</si>
  <si>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</si>
  <si>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</si>
  <si>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</si>
  <si>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</si>
  <si>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</si>
  <si>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</si>
  <si>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</si>
  <si>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</si>
  <si>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</si>
  <si>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</si>
  <si>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</si>
  <si>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</si>
  <si>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</si>
  <si>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</si>
  <si>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</si>
  <si>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</si>
  <si>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</si>
  <si>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</si>
  <si>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</si>
  <si>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</si>
  <si>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</si>
  <si>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</si>
  <si>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</si>
  <si>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</si>
  <si>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</si>
  <si>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</si>
  <si>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</si>
  <si>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</si>
  <si>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</si>
  <si>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</si>
  <si>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</si>
  <si>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</si>
  <si>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</si>
  <si>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</si>
  <si>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</si>
  <si>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</si>
  <si>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</si>
  <si>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</si>
  <si>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</si>
  <si>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</si>
  <si>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</si>
  <si>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</si>
  <si>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</si>
  <si>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</si>
  <si>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</si>
  <si>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</si>
  <si>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</si>
  <si>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</si>
  <si>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</si>
  <si>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</si>
  <si>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</si>
  <si>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</si>
  <si>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</si>
  <si>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</si>
  <si>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</si>
  <si>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</si>
  <si>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</si>
  <si>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</si>
  <si>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</si>
  <si>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</si>
  <si>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</si>
  <si>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</si>
  <si>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</si>
  <si>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</si>
  <si>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</si>
  <si>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</si>
  <si>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</si>
  <si>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</si>
  <si>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</si>
  <si>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</si>
  <si>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</si>
  <si>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</si>
  <si>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</si>
  <si>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</si>
  <si>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</si>
  <si>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</si>
  <si>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</si>
  <si>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</si>
  <si>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</si>
  <si>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</si>
  <si>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</si>
  <si>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</si>
  <si>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</si>
  <si>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</si>
  <si>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</si>
  <si>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</si>
  <si>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</si>
  <si>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</si>
  <si>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</si>
  <si>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</si>
  <si>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</si>
  <si>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</si>
  <si>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</si>
  <si>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</si>
  <si>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</si>
  <si>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</si>
  <si>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</si>
  <si>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</si>
  <si>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</si>
  <si>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</si>
  <si>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</si>
  <si>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</si>
  <si>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</si>
  <si>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</si>
  <si>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</si>
  <si>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</si>
  <si>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</si>
  <si>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</si>
  <si>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</si>
  <si>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</si>
  <si>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</si>
  <si>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</si>
  <si>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</si>
  <si>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</si>
  <si>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</si>
  <si>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</si>
  <si>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</si>
  <si>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</si>
  <si>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</si>
  <si>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</si>
  <si>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</si>
  <si>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</si>
  <si>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</si>
  <si>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</si>
  <si>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</si>
  <si>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</si>
  <si>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</si>
  <si>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</si>
  <si>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</si>
  <si>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</si>
  <si>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</si>
  <si>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</si>
  <si>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</si>
  <si>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</si>
  <si>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</si>
  <si>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</si>
  <si>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</si>
  <si>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</si>
  <si>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</si>
  <si>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</si>
  <si>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</si>
  <si>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</si>
  <si>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</si>
  <si>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</si>
  <si>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</si>
  <si>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</si>
  <si>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</si>
  <si>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</si>
  <si>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</si>
  <si>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</si>
  <si>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</si>
  <si>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</si>
  <si>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</si>
  <si>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</si>
  <si>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</si>
  <si>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</si>
  <si>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</si>
  <si>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</si>
  <si>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</si>
  <si>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</si>
  <si>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</si>
  <si>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</si>
  <si>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</si>
  <si>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</si>
  <si>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</si>
  <si>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</si>
  <si>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</si>
  <si>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</si>
  <si>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</si>
  <si>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</si>
  <si>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</si>
  <si>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</si>
  <si>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</si>
  <si>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</si>
  <si>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</si>
  <si>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</si>
  <si>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</si>
  <si>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</si>
  <si>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</si>
  <si>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</si>
  <si>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</si>
  <si>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</si>
  <si>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</si>
  <si>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</si>
  <si>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</si>
  <si>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</si>
  <si>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</si>
  <si>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</si>
  <si>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</si>
  <si>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</si>
  <si>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</si>
  <si>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</si>
  <si>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</si>
  <si>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</si>
  <si>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</si>
  <si>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</si>
  <si>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</si>
  <si>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</si>
  <si>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</si>
  <si>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</si>
  <si>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</si>
  <si>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</si>
  <si>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</si>
  <si>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</si>
  <si>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</si>
  <si>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</si>
  <si>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</si>
  <si>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</si>
  <si>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</si>
  <si>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</si>
  <si>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</si>
  <si>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</si>
  <si>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</si>
  <si>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</si>
  <si>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</si>
  <si>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</si>
  <si>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</si>
  <si>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</si>
  <si>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</si>
  <si>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</si>
  <si>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</si>
  <si>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</si>
  <si>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</si>
  <si>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</si>
  <si>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</si>
  <si>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</si>
  <si>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</si>
  <si>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</si>
  <si>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</si>
  <si>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</si>
  <si>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</si>
  <si>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</si>
  <si>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</si>
  <si>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</si>
  <si>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</si>
  <si>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</si>
  <si>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</si>
  <si>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</si>
  <si>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</si>
  <si>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</si>
  <si>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</si>
  <si>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</si>
  <si>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</si>
  <si>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</si>
  <si>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</si>
  <si>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</si>
  <si>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</si>
  <si>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</si>
  <si>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</si>
  <si>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</si>
  <si>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</si>
  <si>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</si>
  <si>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</si>
  <si>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</si>
  <si>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</si>
  <si>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</si>
  <si>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</si>
  <si>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</si>
  <si>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</si>
  <si>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</si>
  <si>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</si>
  <si>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</si>
  <si>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</si>
  <si>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</si>
  <si>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</si>
  <si>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</si>
  <si>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</si>
  <si>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</si>
  <si>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</si>
  <si>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</si>
  <si>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</si>
  <si>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</si>
  <si>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</si>
  <si>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</si>
  <si>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</si>
  <si>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</si>
  <si>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</si>
  <si>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</si>
  <si>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</si>
  <si>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</si>
  <si>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</si>
  <si>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</si>
  <si>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</si>
  <si>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</si>
  <si>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</si>
  <si>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</si>
  <si>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</si>
  <si>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</si>
  <si>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</si>
  <si>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</si>
  <si>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</si>
  <si>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</si>
  <si>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</si>
  <si>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</si>
  <si>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</si>
  <si>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</si>
  <si>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</si>
  <si>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</si>
  <si>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</si>
  <si>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</si>
  <si>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</si>
  <si>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</si>
  <si>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</si>
  <si>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</si>
  <si>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</si>
  <si>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</si>
  <si>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</si>
  <si>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</si>
  <si>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</si>
  <si>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</si>
  <si>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</si>
  <si>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</si>
  <si>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</si>
  <si>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</si>
  <si>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</si>
  <si>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</si>
  <si>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</si>
  <si>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</si>
  <si>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</si>
  <si>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</si>
  <si>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</si>
  <si>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</si>
  <si>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</si>
  <si>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</si>
  <si>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</si>
  <si>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</si>
  <si>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</si>
  <si>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</si>
  <si>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</si>
  <si>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</si>
  <si>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</si>
  <si>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</si>
  <si>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</si>
  <si>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</si>
  <si>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</si>
  <si>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</si>
  <si>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</si>
  <si>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</si>
  <si>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</si>
  <si>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</si>
  <si>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</si>
  <si>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</si>
  <si>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</si>
  <si>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</si>
  <si>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</si>
  <si>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</si>
  <si>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</si>
  <si>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</si>
  <si>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</si>
  <si>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</si>
  <si>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</si>
  <si>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</si>
  <si>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</si>
  <si>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</si>
  <si>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</si>
  <si>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</si>
  <si>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</si>
  <si>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</si>
  <si>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</si>
  <si>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</si>
  <si>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</si>
  <si>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</si>
  <si>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</si>
  <si>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</si>
  <si>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</si>
  <si>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</si>
  <si>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</si>
  <si>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</si>
  <si>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</si>
  <si>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</si>
  <si>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</si>
  <si>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</si>
  <si>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</si>
  <si>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</si>
  <si>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</si>
  <si>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</si>
  <si>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</si>
  <si>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</si>
  <si>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</si>
  <si>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</si>
  <si>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</si>
  <si>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</si>
  <si>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</si>
  <si>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</si>
  <si>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</si>
  <si>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</si>
  <si>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</si>
  <si>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</si>
  <si>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</si>
  <si>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</si>
  <si>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</si>
  <si>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</si>
  <si>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</si>
  <si>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</si>
  <si>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</si>
  <si>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</si>
  <si>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</si>
  <si>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</si>
  <si>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</si>
  <si>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</si>
  <si>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</si>
  <si>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</si>
  <si>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</si>
  <si>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</si>
  <si>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</si>
  <si>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</si>
  <si>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</si>
  <si>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</si>
  <si>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</si>
  <si>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</si>
  <si>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</si>
  <si>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</si>
  <si>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</si>
  <si>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</si>
  <si>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</si>
  <si>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</si>
  <si>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</si>
  <si>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</si>
  <si>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</si>
  <si>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</si>
  <si>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</si>
  <si>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</si>
  <si>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</si>
  <si>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</si>
  <si>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</si>
  <si>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</si>
  <si>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</si>
  <si>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</si>
  <si>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</si>
  <si>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</si>
  <si>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</si>
  <si>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</si>
  <si>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</si>
  <si>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</si>
  <si>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</si>
  <si>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</si>
  <si>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</si>
  <si>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</si>
  <si>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</si>
  <si>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</si>
  <si>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</si>
  <si>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</si>
  <si>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</si>
  <si>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</si>
  <si>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</si>
  <si>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</si>
  <si>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</si>
  <si>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</si>
  <si>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</si>
  <si>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</si>
  <si>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</si>
  <si>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</si>
  <si>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</si>
  <si>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</si>
  <si>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</si>
  <si>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</si>
  <si>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</si>
  <si>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</si>
  <si>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</si>
  <si>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</si>
  <si>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</si>
  <si>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</si>
  <si>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</si>
  <si>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</si>
  <si>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</si>
  <si>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</si>
  <si>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</si>
  <si>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</si>
  <si>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</si>
  <si>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</si>
  <si>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</si>
  <si>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</si>
  <si>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</si>
  <si>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</si>
  <si>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</si>
  <si>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</si>
  <si>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</si>
  <si>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</si>
  <si>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</si>
  <si>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</si>
  <si>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</si>
  <si>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</si>
  <si>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</si>
  <si>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</si>
  <si>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</si>
  <si>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</si>
  <si>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</si>
  <si>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</si>
  <si>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</si>
  <si>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</si>
  <si>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</si>
  <si>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</si>
  <si>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</si>
  <si>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</si>
  <si>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</si>
  <si>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</si>
  <si>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</si>
  <si>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</si>
  <si>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</si>
  <si>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</si>
  <si>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</si>
  <si>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</si>
  <si>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</si>
  <si>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</si>
  <si>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</si>
  <si>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</si>
  <si>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</si>
  <si>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</si>
  <si>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</si>
  <si>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</si>
  <si>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</si>
  <si>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</si>
  <si>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</si>
  <si>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</si>
  <si>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</si>
  <si>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</si>
  <si>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</si>
  <si>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</si>
  <si>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</si>
  <si>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</si>
  <si>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</si>
  <si>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</si>
  <si>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</si>
  <si>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</si>
  <si>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</si>
  <si>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</si>
  <si>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</si>
  <si>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</si>
  <si>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</si>
  <si>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</si>
  <si>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</si>
  <si>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</si>
  <si>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</si>
  <si>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</si>
  <si>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</si>
  <si>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</si>
  <si>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</si>
  <si>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</si>
  <si>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</si>
  <si>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</si>
  <si>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</si>
  <si>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</si>
  <si>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</si>
  <si>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</si>
  <si>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</si>
  <si>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</si>
  <si>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</si>
  <si>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</si>
  <si>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</si>
  <si>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</si>
  <si>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</si>
  <si>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</si>
  <si>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</si>
  <si>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</si>
  <si>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</si>
  <si>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</si>
  <si>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</si>
  <si>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</si>
  <si>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</si>
  <si>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</si>
  <si>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</si>
  <si>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</si>
  <si>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</si>
  <si>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</si>
  <si>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</si>
  <si>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</si>
  <si>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</si>
  <si>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</si>
  <si>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</si>
  <si>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</si>
  <si>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</si>
  <si>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</si>
  <si>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</si>
  <si>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</si>
  <si>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</si>
  <si>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</si>
  <si>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</si>
  <si>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</si>
  <si>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</si>
  <si>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</si>
  <si>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</si>
  <si>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</si>
  <si>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</si>
  <si>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</si>
  <si>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</si>
  <si>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</si>
  <si>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</si>
  <si>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</si>
  <si>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</si>
  <si>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</si>
  <si>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</si>
  <si>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</si>
  <si>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</si>
  <si>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</si>
  <si>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</si>
  <si>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</si>
  <si>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</si>
  <si>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</si>
  <si>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</si>
  <si>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</si>
  <si>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</si>
  <si>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</si>
  <si>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</si>
  <si>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</si>
  <si>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</si>
  <si>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</si>
  <si>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</si>
  <si>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</si>
  <si>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</si>
  <si>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</si>
  <si>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</si>
  <si>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</si>
  <si>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</si>
  <si>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</si>
  <si>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</si>
  <si>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</si>
  <si>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</si>
  <si>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</si>
  <si>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</si>
  <si>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</si>
  <si>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</si>
  <si>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</si>
  <si>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</si>
  <si>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</si>
  <si>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</si>
  <si>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</si>
  <si>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</si>
  <si>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</si>
  <si>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</si>
  <si>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</si>
  <si>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</si>
  <si>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</si>
  <si>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</si>
  <si>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</si>
  <si>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</si>
  <si>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</si>
  <si>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</si>
  <si>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</si>
  <si>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</si>
  <si>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</si>
  <si>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</si>
  <si>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</si>
  <si>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</si>
  <si>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</si>
  <si>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</si>
  <si>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</si>
  <si>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</si>
  <si>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</si>
  <si>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</si>
  <si>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</si>
  <si>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</si>
  <si>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</si>
  <si>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</si>
  <si>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</si>
  <si>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</si>
  <si>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</si>
  <si>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</si>
  <si>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</si>
  <si>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</si>
  <si>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</si>
  <si>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</si>
  <si>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</si>
  <si>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</si>
  <si>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</si>
  <si>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</si>
  <si>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</si>
  <si>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</si>
  <si>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</si>
  <si>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</si>
  <si>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</si>
  <si>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</si>
  <si>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</si>
  <si>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</si>
  <si>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</si>
  <si>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</si>
  <si>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</si>
  <si>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</si>
  <si>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</si>
  <si>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</si>
  <si>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</si>
  <si>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</si>
  <si>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</si>
  <si>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</si>
  <si>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</si>
  <si>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</si>
  <si>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</si>
  <si>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</si>
  <si>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</si>
  <si>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</si>
  <si>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</si>
  <si>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</si>
  <si>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</si>
  <si>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</si>
  <si>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</si>
  <si>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</si>
  <si>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</si>
  <si>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</si>
  <si>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</si>
  <si>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</si>
  <si>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</si>
  <si>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</si>
  <si>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</si>
  <si>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</si>
  <si>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</si>
  <si>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</si>
  <si>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</si>
  <si>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</si>
  <si>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</si>
  <si>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</si>
  <si>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</si>
  <si>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</si>
  <si>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</si>
  <si>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</si>
  <si>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</si>
  <si>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</si>
  <si>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</si>
  <si>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</si>
  <si>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</si>
  <si>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</si>
  <si>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</si>
  <si>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</si>
  <si>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</si>
  <si>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</si>
  <si>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</si>
  <si>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</si>
  <si>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</si>
  <si>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</si>
  <si>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</si>
  <si>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</si>
  <si>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</si>
  <si>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</si>
  <si>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</si>
  <si>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</si>
  <si>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</si>
  <si>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</si>
  <si>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</si>
  <si>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</si>
  <si>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</si>
  <si>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</si>
  <si>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</si>
  <si>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</si>
  <si>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</si>
  <si>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</si>
  <si>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</si>
  <si>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</si>
  <si>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</si>
  <si>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</si>
  <si>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</si>
  <si>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</si>
  <si>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</si>
  <si>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</si>
  <si>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</si>
  <si>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</si>
  <si>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</si>
  <si>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</si>
  <si>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</si>
  <si>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</si>
  <si>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</si>
  <si>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</si>
  <si>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</si>
  <si>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</si>
  <si>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</si>
  <si>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</si>
  <si>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</si>
  <si>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</si>
  <si>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</si>
  <si>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</si>
  <si>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</si>
  <si>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</si>
  <si>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</si>
  <si>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</si>
  <si>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</si>
  <si>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</si>
  <si>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</si>
  <si>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</si>
  <si>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</si>
  <si>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</si>
  <si>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</si>
  <si>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</si>
  <si>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</si>
  <si>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</si>
  <si>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</si>
  <si>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</si>
  <si>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</si>
  <si>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</si>
  <si>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</si>
  <si>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</si>
  <si>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</si>
  <si>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</si>
  <si>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</si>
  <si>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</si>
  <si>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</si>
  <si>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</si>
  <si>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</si>
  <si>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</si>
  <si>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</si>
  <si>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</si>
  <si>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</si>
  <si>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</si>
  <si>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</si>
  <si>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</si>
  <si>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</si>
  <si>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</si>
  <si>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</si>
  <si>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</si>
  <si>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</si>
  <si>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</si>
  <si>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</si>
  <si>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</si>
  <si>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</si>
  <si>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</si>
  <si>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</si>
  <si>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</si>
  <si>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</si>
  <si>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</si>
  <si>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</si>
  <si>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</si>
  <si>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</si>
  <si>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</si>
  <si>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</si>
  <si>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</si>
  <si>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</si>
  <si>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</si>
  <si>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</si>
  <si>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</si>
  <si>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</si>
  <si>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</si>
  <si>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</si>
  <si>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</si>
  <si>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</si>
  <si>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</si>
  <si>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</si>
  <si>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</si>
  <si>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</si>
  <si>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</si>
  <si>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</si>
  <si>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</si>
  <si>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</si>
  <si>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</si>
  <si>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</si>
  <si>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</si>
  <si>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</si>
  <si>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</si>
  <si>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</si>
  <si>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</si>
  <si>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</si>
  <si>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</si>
  <si>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</si>
  <si>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</si>
  <si>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</si>
  <si>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</si>
  <si>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</si>
  <si>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</si>
  <si>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</si>
  <si>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</si>
  <si>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</si>
  <si>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</si>
  <si>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</si>
  <si>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</si>
  <si>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</si>
  <si>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</si>
  <si>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</si>
  <si>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</si>
  <si>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</si>
  <si>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</si>
  <si>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</si>
  <si>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</si>
  <si>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</si>
  <si>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</si>
  <si>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</si>
  <si>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</si>
  <si>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</si>
  <si>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</si>
  <si>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</si>
  <si>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</si>
  <si>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</si>
  <si>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</si>
  <si>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</si>
  <si>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</si>
  <si>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</si>
  <si>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</si>
  <si>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</si>
  <si>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</si>
  <si>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</si>
  <si>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</si>
  <si>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Tower 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</si>
</sst>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40"/>
      <c r="B1" s="69" t="s">
        <v>0</v>
      </c>
      <c r="C1" s="70" t="s">
        <v>1</v>
      </c>
      <c r="D1" s="71" t="s">
        <v>2</v>
      </c>
      <c r="E1" s="72"/>
      <c r="F1" s="73">
        <f ca="1">TODAY()-1</f>
        <v>46243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1"/>
      <c r="B2" s="80" t="s">
        <v>5</v>
      </c>
      <c r="C2" s="643" t="s">
        <v>6</v>
      </c>
      <c r="D2" s="644"/>
      <c r="E2" s="64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1"/>
      <c r="B3" s="80" t="s">
        <v>10</v>
      </c>
      <c r="C3" s="643" t="s">
        <v>11</v>
      </c>
      <c r="D3" s="644"/>
      <c r="E3" s="64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2"/>
      <c r="B4" s="80" t="s">
        <v>15</v>
      </c>
      <c r="C4" s="646">
        <v>46153</v>
      </c>
      <c r="D4" s="646"/>
      <c r="E4" s="64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7" t="s">
        <v>20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39" t="s">
        <v>21</v>
      </c>
      <c r="B6" s="639"/>
      <c r="C6" s="639"/>
      <c r="D6" s="639"/>
      <c r="E6" s="639"/>
      <c r="F6" s="639"/>
      <c r="G6" s="639"/>
      <c r="H6" s="639"/>
      <c r="I6" s="639"/>
      <c r="J6" s="639"/>
      <c r="K6" s="639"/>
      <c r="L6" s="63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48" t="s">
        <v>39</v>
      </c>
      <c r="B12" s="648"/>
      <c r="C12" s="648"/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9" t="s">
        <v>33</v>
      </c>
      <c r="O13" s="649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50" t="s">
        <v>53</v>
      </c>
      <c r="O14" s="650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7"/>
      <c r="O15" s="627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7"/>
      <c r="O16" s="62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27"/>
      <c r="O17" s="627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7"/>
      <c r="O18" s="627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8"/>
      <c r="O19" s="628"/>
    </row>
    <row r="20" spans="1:15" ht="24" customHeight="1">
      <c r="N20" s="629"/>
      <c r="O20" s="62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topLeftCell="A6" zoomScale="50" zoomScaleNormal="50" zoomScaleSheetLayoutView="40" workbookViewId="0">
      <selection activeCell="G2" sqref="G2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34"/>
      <c r="B1" s="270" t="s">
        <v>0</v>
      </c>
      <c r="C1" s="638" t="s">
        <v>59</v>
      </c>
      <c r="D1" s="638"/>
      <c r="E1" s="638"/>
      <c r="F1" s="270" t="s">
        <v>2</v>
      </c>
      <c r="G1" s="274">
        <v>46244</v>
      </c>
      <c r="H1" s="270" t="s">
        <v>3</v>
      </c>
      <c r="I1" s="275" t="s">
        <v>4</v>
      </c>
      <c r="J1" s="77"/>
      <c r="K1" s="78"/>
      <c r="L1" s="79"/>
    </row>
    <row r="2" spans="1:15" ht="21">
      <c r="A2" s="634"/>
      <c r="B2" s="270" t="s">
        <v>5</v>
      </c>
      <c r="C2" s="635" t="s">
        <v>60</v>
      </c>
      <c r="D2" s="635"/>
      <c r="E2" s="635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34"/>
      <c r="B3" s="270" t="s">
        <v>10</v>
      </c>
      <c r="C3" s="635" t="s">
        <v>61</v>
      </c>
      <c r="D3" s="635"/>
      <c r="E3" s="635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34"/>
      <c r="B4" s="270" t="s">
        <v>15</v>
      </c>
      <c r="C4" s="636"/>
      <c r="D4" s="636"/>
      <c r="E4" s="636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7"/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33" t="s">
        <v>65</v>
      </c>
      <c r="B6" s="633"/>
      <c r="C6" s="633"/>
      <c r="D6" s="633"/>
      <c r="E6" s="633"/>
      <c r="F6" s="633"/>
      <c r="G6" s="633"/>
      <c r="H6" s="633"/>
      <c r="I6" s="633"/>
      <c r="J6" s="633"/>
      <c r="K6" s="633"/>
      <c r="L6" s="633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30" t="s">
        <v>39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0"/>
      <c r="N12" s="630"/>
      <c r="O12" s="630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1" t="s">
        <v>33</v>
      </c>
      <c r="O13" s="631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32"/>
      <c r="O14" s="632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2" t="s">
        <v>1184</v>
      </c>
      <c r="O15" s="632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32"/>
      <c r="O16" s="632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32"/>
      <c r="O17" s="632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27"/>
      <c r="O18" s="627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8"/>
      <c r="O19" s="628"/>
    </row>
    <row r="20" spans="1:15" ht="40.4" customHeight="1">
      <c r="N20" s="629"/>
      <c r="O20" s="629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1" t="s">
        <v>86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246">
        <f>'765KV ASOTL'!G1</f>
        <v>46244</v>
      </c>
    </row>
    <row r="2" spans="1:15" s="209" customFormat="1">
      <c r="A2" s="235" t="s">
        <v>87</v>
      </c>
      <c r="B2" s="236"/>
      <c r="C2" s="652" t="s">
        <v>72</v>
      </c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5" s="209" customFormat="1">
      <c r="A3" s="235" t="s">
        <v>88</v>
      </c>
      <c r="B3" s="236"/>
      <c r="C3" s="652" t="s">
        <v>89</v>
      </c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5" s="209" customFormat="1">
      <c r="A4" s="237" t="s">
        <v>90</v>
      </c>
      <c r="B4" s="237"/>
      <c r="C4" s="653" t="s">
        <v>91</v>
      </c>
      <c r="D4" s="653"/>
      <c r="E4" s="653"/>
      <c r="F4" s="653"/>
      <c r="G4" s="653"/>
      <c r="H4" s="653"/>
      <c r="I4" s="653"/>
      <c r="J4" s="653"/>
      <c r="K4" s="653"/>
      <c r="L4" s="653"/>
      <c r="M4" s="65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4" t="s">
        <v>1185</v>
      </c>
      <c r="N12" s="65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67" t="s">
        <v>86</v>
      </c>
      <c r="C2" s="668"/>
      <c r="D2" s="668"/>
      <c r="E2" s="668"/>
      <c r="F2" s="668"/>
      <c r="G2" s="669"/>
    </row>
    <row r="3" spans="2:11" ht="16" thickBot="1">
      <c r="B3" s="670" t="s">
        <v>116</v>
      </c>
      <c r="C3" s="671"/>
      <c r="D3" s="671"/>
      <c r="E3" s="671"/>
      <c r="F3" s="671"/>
      <c r="G3" s="248">
        <f>+'AOTL - KEC'!M1</f>
        <v>46244</v>
      </c>
    </row>
    <row r="4" spans="2:11" ht="16" thickBot="1">
      <c r="B4" s="672" t="s">
        <v>117</v>
      </c>
      <c r="C4" s="673"/>
      <c r="D4" s="677" t="s">
        <v>89</v>
      </c>
      <c r="E4" s="678"/>
      <c r="F4" s="678"/>
      <c r="G4" s="679"/>
    </row>
    <row r="5" spans="2:11" ht="16" thickBot="1">
      <c r="B5" s="672" t="s">
        <v>118</v>
      </c>
      <c r="C5" s="673"/>
      <c r="D5" s="674" t="s">
        <v>119</v>
      </c>
      <c r="E5" s="675"/>
      <c r="F5" s="675"/>
      <c r="G5" s="676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4" t="s">
        <v>120</v>
      </c>
      <c r="C7" s="665"/>
      <c r="D7" s="665"/>
      <c r="E7" s="665"/>
      <c r="F7" s="665"/>
      <c r="G7" s="666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57" t="s">
        <v>125</v>
      </c>
      <c r="G8" s="658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5">
        <f>'AOTL - KEC'!J6</f>
        <v>0</v>
      </c>
      <c r="G9" s="656"/>
    </row>
    <row r="10" spans="2:11" ht="15" thickBot="1">
      <c r="B10" s="661" t="s">
        <v>126</v>
      </c>
      <c r="C10" s="662"/>
      <c r="D10" s="662"/>
      <c r="E10" s="662"/>
      <c r="F10" s="662"/>
      <c r="G10" s="663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57" t="s">
        <v>125</v>
      </c>
      <c r="G11" s="658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59">
        <f>B12-E12</f>
        <v>0</v>
      </c>
      <c r="G12" s="660"/>
    </row>
    <row r="13" spans="2:11" ht="15" thickBot="1">
      <c r="B13" s="661" t="s">
        <v>127</v>
      </c>
      <c r="C13" s="662"/>
      <c r="D13" s="662"/>
      <c r="E13" s="662"/>
      <c r="F13" s="662"/>
      <c r="G13" s="663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57" t="s">
        <v>125</v>
      </c>
      <c r="G14" s="658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55">
        <f>B15-E15</f>
        <v>6.5450000000000159</v>
      </c>
      <c r="G15" s="656"/>
      <c r="K15" s="6"/>
    </row>
    <row r="16" spans="2:11" ht="15" thickBot="1">
      <c r="B16" s="661" t="s">
        <v>128</v>
      </c>
      <c r="C16" s="662"/>
      <c r="D16" s="662"/>
      <c r="E16" s="662"/>
      <c r="F16" s="662"/>
      <c r="G16" s="663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57" t="s">
        <v>125</v>
      </c>
      <c r="G17" s="658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55">
        <f>B18-E18</f>
        <v>19.996999999999986</v>
      </c>
      <c r="G18" s="656"/>
      <c r="K18" s="13"/>
    </row>
    <row r="19" spans="2:11" ht="15" thickBot="1">
      <c r="B19" s="661" t="s">
        <v>129</v>
      </c>
      <c r="C19" s="662"/>
      <c r="D19" s="662"/>
      <c r="E19" s="662"/>
      <c r="F19" s="662"/>
      <c r="G19" s="663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57" t="s">
        <v>125</v>
      </c>
      <c r="G20" s="658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59">
        <f>B21-E21</f>
        <v>198</v>
      </c>
      <c r="G21" s="660"/>
    </row>
    <row r="22" spans="2:11" ht="15" thickBot="1">
      <c r="B22" s="661" t="s">
        <v>1096</v>
      </c>
      <c r="C22" s="662"/>
      <c r="D22" s="662"/>
      <c r="E22" s="662"/>
      <c r="F22" s="662"/>
      <c r="G22" s="663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57" t="s">
        <v>125</v>
      </c>
      <c r="G23" s="658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59">
        <f>B24-E24</f>
        <v>204</v>
      </c>
      <c r="G24" s="660"/>
    </row>
    <row r="25" spans="2:11" ht="15" thickBot="1">
      <c r="B25" s="661" t="s">
        <v>131</v>
      </c>
      <c r="C25" s="662"/>
      <c r="D25" s="662"/>
      <c r="E25" s="662"/>
      <c r="F25" s="662"/>
      <c r="G25" s="663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57" t="s">
        <v>125</v>
      </c>
      <c r="G26" s="658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59">
        <f>B27-E27</f>
        <v>247</v>
      </c>
      <c r="G27" s="660"/>
    </row>
    <row r="28" spans="2:11" ht="15" thickBot="1">
      <c r="B28" s="661" t="s">
        <v>132</v>
      </c>
      <c r="C28" s="662"/>
      <c r="D28" s="662"/>
      <c r="E28" s="662"/>
      <c r="F28" s="662"/>
      <c r="G28" s="663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57" t="s">
        <v>133</v>
      </c>
      <c r="G29" s="658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5">
        <f>B30-E30</f>
        <v>114.51600000000001</v>
      </c>
      <c r="G30" s="656"/>
    </row>
    <row r="31" spans="2:11" ht="15" thickBot="1">
      <c r="B31" s="661" t="s">
        <v>134</v>
      </c>
      <c r="C31" s="662"/>
      <c r="D31" s="662"/>
      <c r="E31" s="662"/>
      <c r="F31" s="662"/>
      <c r="G31" s="663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57" t="s">
        <v>125</v>
      </c>
      <c r="G32" s="658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5">
        <f>B33-E33</f>
        <v>114.51600000000001</v>
      </c>
      <c r="G33" s="65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49999999999999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49999999999999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46244</v>
      </c>
    </row>
    <row r="2" spans="1:6">
      <c r="A2" s="475"/>
      <c r="E2" s="476"/>
    </row>
    <row r="3" spans="1:6">
      <c r="A3" s="685" t="s">
        <v>243</v>
      </c>
      <c r="B3" s="686"/>
      <c r="C3" s="686"/>
      <c r="D3" s="686"/>
      <c r="E3" s="687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8" t="s">
        <v>257</v>
      </c>
      <c r="B1" s="688"/>
      <c r="C1" s="688"/>
      <c r="D1" s="688"/>
      <c r="E1" s="688"/>
      <c r="F1" s="688"/>
      <c r="G1" s="688"/>
      <c r="H1" s="688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4" activePane="bottomLeft" state="frozen"/>
      <selection pane="bottomLeft" activeCell="G100" sqref="G100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89" t="s">
        <v>336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1"/>
      <c r="N1" s="407">
        <f>'765KV ASOTL'!G1</f>
        <v>46244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00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9" zoomScale="55" zoomScaleNormal="55" zoomScaleSheetLayoutView="72" workbookViewId="0">
      <selection activeCell="F53" sqref="F53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46244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1186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5"/>
  <sheetViews>
    <sheetView showGridLines="0" view="pageBreakPreview" topLeftCell="A31" zoomScale="60" zoomScaleNormal="40" workbookViewId="0">
      <selection activeCell="AF46" sqref="AF46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58" t="s">
        <v>480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759"/>
      <c r="AD1" s="759"/>
      <c r="AE1" s="759"/>
      <c r="AF1" s="760"/>
      <c r="AG1" s="170"/>
      <c r="AH1" s="170"/>
      <c r="AI1" s="170"/>
      <c r="AJ1" s="170"/>
      <c r="AK1" s="170"/>
      <c r="AL1" s="170"/>
      <c r="AM1" s="728"/>
      <c r="AN1" s="728"/>
      <c r="AO1" s="729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30"/>
      <c r="AH2" s="730"/>
      <c r="AI2" s="730"/>
      <c r="AJ2" s="730"/>
      <c r="AK2" s="730"/>
      <c r="AL2" s="730"/>
      <c r="AM2" s="730"/>
      <c r="AN2" s="730"/>
      <c r="AO2" s="731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32" t="s">
        <v>485</v>
      </c>
      <c r="AH3" s="733"/>
      <c r="AI3" s="733"/>
      <c r="AJ3" s="171" t="s">
        <v>486</v>
      </c>
      <c r="AK3" s="171"/>
      <c r="AL3" s="171"/>
      <c r="AM3" s="734" t="s">
        <v>487</v>
      </c>
      <c r="AN3" s="734" t="s">
        <v>488</v>
      </c>
      <c r="AO3" s="737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32" t="s">
        <v>491</v>
      </c>
      <c r="AH4" s="733" t="s">
        <v>492</v>
      </c>
      <c r="AI4" s="733" t="s">
        <v>493</v>
      </c>
      <c r="AJ4" s="733" t="s">
        <v>491</v>
      </c>
      <c r="AK4" s="733" t="s">
        <v>492</v>
      </c>
      <c r="AL4" s="733" t="s">
        <v>493</v>
      </c>
      <c r="AM4" s="735"/>
      <c r="AN4" s="735"/>
      <c r="AO4" s="738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79">
        <f>'765KV ASOTL'!G1</f>
        <v>46244</v>
      </c>
      <c r="AF5" s="780"/>
      <c r="AG5" s="732"/>
      <c r="AH5" s="733"/>
      <c r="AI5" s="733"/>
      <c r="AJ5" s="733"/>
      <c r="AK5" s="733"/>
      <c r="AL5" s="733"/>
      <c r="AM5" s="736"/>
      <c r="AN5" s="736"/>
      <c r="AO5" s="739"/>
    </row>
    <row r="6" spans="1:41" s="159" customFormat="1" ht="13.4" customHeight="1">
      <c r="A6" s="765" t="s">
        <v>494</v>
      </c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81" t="s">
        <v>495</v>
      </c>
      <c r="M6" s="782"/>
      <c r="N6" s="782"/>
      <c r="O6" s="782"/>
      <c r="P6" s="782"/>
      <c r="Q6" s="782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83"/>
      <c r="M7" s="784"/>
      <c r="N7" s="784"/>
      <c r="O7" s="784"/>
      <c r="P7" s="784"/>
      <c r="Q7" s="784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69" t="s">
        <v>244</v>
      </c>
      <c r="B8" s="771" t="s">
        <v>22</v>
      </c>
      <c r="C8" s="772"/>
      <c r="D8" s="773"/>
      <c r="E8" s="777" t="s">
        <v>246</v>
      </c>
      <c r="F8" s="771" t="s">
        <v>496</v>
      </c>
      <c r="G8" s="773"/>
      <c r="H8" s="771" t="s">
        <v>497</v>
      </c>
      <c r="I8" s="773"/>
      <c r="J8" s="771" t="s">
        <v>498</v>
      </c>
      <c r="K8" s="773"/>
      <c r="L8" s="792" t="s">
        <v>244</v>
      </c>
      <c r="M8" s="794" t="s">
        <v>499</v>
      </c>
      <c r="N8" s="795"/>
      <c r="O8" s="798" t="s">
        <v>500</v>
      </c>
      <c r="P8" s="792" t="s">
        <v>501</v>
      </c>
      <c r="Q8" s="761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70"/>
      <c r="B9" s="774"/>
      <c r="C9" s="775"/>
      <c r="D9" s="776"/>
      <c r="E9" s="778"/>
      <c r="F9" s="774"/>
      <c r="G9" s="776"/>
      <c r="H9" s="774"/>
      <c r="I9" s="776"/>
      <c r="J9" s="774"/>
      <c r="K9" s="776"/>
      <c r="L9" s="793"/>
      <c r="M9" s="796"/>
      <c r="N9" s="797"/>
      <c r="O9" s="799"/>
      <c r="P9" s="793"/>
      <c r="Q9" s="762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85" t="s">
        <v>37</v>
      </c>
      <c r="C10" s="786"/>
      <c r="D10" s="787"/>
      <c r="E10" s="177" t="s">
        <v>503</v>
      </c>
      <c r="F10" s="788">
        <v>114.51600000000001</v>
      </c>
      <c r="G10" s="789"/>
      <c r="H10" s="790">
        <f>'Survey Anx'!F39</f>
        <v>107.97099999999999</v>
      </c>
      <c r="I10" s="791"/>
      <c r="J10" s="788">
        <f t="shared" ref="J10:J19" si="0">F10-H10</f>
        <v>6.5450000000000159</v>
      </c>
      <c r="K10" s="789"/>
      <c r="L10" s="177">
        <v>1</v>
      </c>
      <c r="M10" s="763" t="s">
        <v>504</v>
      </c>
      <c r="N10" s="764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19"/>
      <c r="AH10" s="719"/>
      <c r="AI10" s="719"/>
      <c r="AJ10" s="719"/>
      <c r="AK10" s="719"/>
      <c r="AL10" s="719"/>
      <c r="AM10" s="720"/>
      <c r="AN10" s="720"/>
      <c r="AO10" s="722"/>
    </row>
    <row r="11" spans="1:41" s="159" customFormat="1" ht="17">
      <c r="A11" s="564">
        <v>2</v>
      </c>
      <c r="B11" s="747" t="s">
        <v>21</v>
      </c>
      <c r="C11" s="748"/>
      <c r="D11" s="749"/>
      <c r="E11" s="179" t="s">
        <v>503</v>
      </c>
      <c r="F11" s="750">
        <v>114.51600000000001</v>
      </c>
      <c r="G11" s="751"/>
      <c r="H11" s="752">
        <f>'Survey Anx'!I39</f>
        <v>94.51900000000002</v>
      </c>
      <c r="I11" s="753"/>
      <c r="J11" s="750">
        <f t="shared" si="0"/>
        <v>19.996999999999986</v>
      </c>
      <c r="K11" s="751"/>
      <c r="L11" s="204">
        <f t="shared" ref="L11:L18" si="1">L10+1</f>
        <v>2</v>
      </c>
      <c r="M11" s="724" t="s">
        <v>505</v>
      </c>
      <c r="N11" s="725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19"/>
      <c r="AH11" s="719"/>
      <c r="AI11" s="719"/>
      <c r="AJ11" s="719"/>
      <c r="AK11" s="719"/>
      <c r="AL11" s="719"/>
      <c r="AM11" s="720"/>
      <c r="AN11" s="720"/>
      <c r="AO11" s="722"/>
    </row>
    <row r="12" spans="1:41" s="159" customFormat="1" ht="17.5" customHeight="1">
      <c r="A12" s="564">
        <v>3</v>
      </c>
      <c r="B12" s="747" t="s">
        <v>52</v>
      </c>
      <c r="C12" s="748"/>
      <c r="D12" s="749"/>
      <c r="E12" s="179" t="s">
        <v>506</v>
      </c>
      <c r="F12" s="754">
        <v>30</v>
      </c>
      <c r="G12" s="755"/>
      <c r="H12" s="756">
        <v>30</v>
      </c>
      <c r="I12" s="757"/>
      <c r="J12" s="754">
        <f t="shared" si="0"/>
        <v>0</v>
      </c>
      <c r="K12" s="755"/>
      <c r="L12" s="204">
        <f t="shared" si="1"/>
        <v>3</v>
      </c>
      <c r="M12" s="724" t="s">
        <v>507</v>
      </c>
      <c r="N12" s="725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20"/>
      <c r="AH12" s="720"/>
      <c r="AI12" s="720"/>
      <c r="AJ12" s="720"/>
      <c r="AK12" s="720"/>
      <c r="AL12" s="720"/>
      <c r="AM12" s="720"/>
      <c r="AN12" s="720"/>
      <c r="AO12" s="722"/>
    </row>
    <row r="13" spans="1:41" s="159" customFormat="1" ht="17.5" customHeight="1">
      <c r="A13" s="564">
        <v>4</v>
      </c>
      <c r="B13" s="747" t="s">
        <v>54</v>
      </c>
      <c r="C13" s="748"/>
      <c r="D13" s="749"/>
      <c r="E13" s="179" t="s">
        <v>506</v>
      </c>
      <c r="F13" s="754">
        <v>293</v>
      </c>
      <c r="G13" s="755"/>
      <c r="H13" s="756">
        <f>BV20</f>
        <v>95</v>
      </c>
      <c r="I13" s="757"/>
      <c r="J13" s="754">
        <f t="shared" si="0"/>
        <v>198</v>
      </c>
      <c r="K13" s="755"/>
      <c r="L13" s="204">
        <f t="shared" si="1"/>
        <v>4</v>
      </c>
      <c r="M13" s="724" t="s">
        <v>508</v>
      </c>
      <c r="N13" s="725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20"/>
      <c r="AH13" s="720"/>
      <c r="AI13" s="720"/>
      <c r="AJ13" s="720"/>
      <c r="AK13" s="720"/>
      <c r="AL13" s="720"/>
      <c r="AM13" s="720"/>
      <c r="AN13" s="720"/>
      <c r="AO13" s="722"/>
    </row>
    <row r="14" spans="1:41" s="159" customFormat="1" ht="17.5" customHeight="1">
      <c r="A14" s="564">
        <v>5</v>
      </c>
      <c r="B14" s="747" t="s">
        <v>55</v>
      </c>
      <c r="C14" s="748"/>
      <c r="D14" s="749"/>
      <c r="E14" s="179" t="s">
        <v>506</v>
      </c>
      <c r="F14" s="754">
        <v>293</v>
      </c>
      <c r="G14" s="755"/>
      <c r="H14" s="756">
        <v>89</v>
      </c>
      <c r="I14" s="757"/>
      <c r="J14" s="754">
        <f t="shared" si="0"/>
        <v>204</v>
      </c>
      <c r="K14" s="755"/>
      <c r="L14" s="204">
        <f t="shared" si="1"/>
        <v>5</v>
      </c>
      <c r="M14" s="724" t="s">
        <v>509</v>
      </c>
      <c r="N14" s="725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20"/>
      <c r="AH14" s="720"/>
      <c r="AI14" s="720"/>
      <c r="AJ14" s="720"/>
      <c r="AK14" s="720"/>
      <c r="AL14" s="720"/>
      <c r="AM14" s="720"/>
      <c r="AN14" s="720"/>
      <c r="AO14" s="722"/>
    </row>
    <row r="15" spans="1:41" s="159" customFormat="1" ht="17.149999999999999" customHeight="1">
      <c r="A15" s="564">
        <v>6</v>
      </c>
      <c r="B15" s="747" t="s">
        <v>510</v>
      </c>
      <c r="C15" s="748"/>
      <c r="D15" s="749"/>
      <c r="E15" s="179" t="s">
        <v>506</v>
      </c>
      <c r="F15" s="754">
        <v>293</v>
      </c>
      <c r="G15" s="755"/>
      <c r="H15" s="756">
        <f>BW20</f>
        <v>47</v>
      </c>
      <c r="I15" s="757"/>
      <c r="J15" s="754">
        <f t="shared" si="0"/>
        <v>246</v>
      </c>
      <c r="K15" s="755"/>
      <c r="L15" s="204">
        <f t="shared" si="1"/>
        <v>6</v>
      </c>
      <c r="M15" s="724" t="s">
        <v>511</v>
      </c>
      <c r="N15" s="725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20"/>
      <c r="AH15" s="720"/>
      <c r="AI15" s="720"/>
      <c r="AJ15" s="720"/>
      <c r="AK15" s="720"/>
      <c r="AL15" s="720"/>
      <c r="AM15" s="720"/>
      <c r="AN15" s="720"/>
      <c r="AO15" s="722"/>
    </row>
    <row r="16" spans="1:41" s="159" customFormat="1" ht="17.5" customHeight="1">
      <c r="A16" s="564">
        <v>7</v>
      </c>
      <c r="B16" s="747" t="s">
        <v>512</v>
      </c>
      <c r="C16" s="748"/>
      <c r="D16" s="749"/>
      <c r="E16" s="179" t="s">
        <v>506</v>
      </c>
      <c r="F16" s="754">
        <v>293</v>
      </c>
      <c r="G16" s="755"/>
      <c r="H16" s="756">
        <v>13</v>
      </c>
      <c r="I16" s="757"/>
      <c r="J16" s="754">
        <f t="shared" si="0"/>
        <v>280</v>
      </c>
      <c r="K16" s="755"/>
      <c r="L16" s="204">
        <f t="shared" si="1"/>
        <v>7</v>
      </c>
      <c r="M16" s="724" t="s">
        <v>67</v>
      </c>
      <c r="N16" s="725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20"/>
      <c r="AH16" s="720"/>
      <c r="AI16" s="720"/>
      <c r="AJ16" s="720"/>
      <c r="AK16" s="720"/>
      <c r="AL16" s="720"/>
      <c r="AM16" s="720"/>
      <c r="AN16" s="720"/>
      <c r="AO16" s="722"/>
    </row>
    <row r="17" spans="1:75" s="159" customFormat="1" ht="17.5" customHeight="1">
      <c r="A17" s="564">
        <v>8</v>
      </c>
      <c r="B17" s="747" t="s">
        <v>513</v>
      </c>
      <c r="C17" s="748"/>
      <c r="D17" s="749"/>
      <c r="E17" s="179" t="s">
        <v>503</v>
      </c>
      <c r="F17" s="750">
        <v>114.51600000000001</v>
      </c>
      <c r="G17" s="751"/>
      <c r="H17" s="752">
        <v>0</v>
      </c>
      <c r="I17" s="753"/>
      <c r="J17" s="750">
        <f t="shared" si="0"/>
        <v>114.51600000000001</v>
      </c>
      <c r="K17" s="751"/>
      <c r="L17" s="204">
        <f t="shared" si="1"/>
        <v>8</v>
      </c>
      <c r="M17" s="724" t="s">
        <v>67</v>
      </c>
      <c r="N17" s="725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20"/>
      <c r="AH17" s="720"/>
      <c r="AI17" s="720"/>
      <c r="AJ17" s="720"/>
      <c r="AK17" s="720"/>
      <c r="AL17" s="720"/>
      <c r="AM17" s="720"/>
      <c r="AN17" s="720"/>
      <c r="AO17" s="722"/>
    </row>
    <row r="18" spans="1:75" s="159" customFormat="1" ht="17.5" customHeight="1">
      <c r="A18" s="564">
        <v>9</v>
      </c>
      <c r="B18" s="747" t="s">
        <v>514</v>
      </c>
      <c r="C18" s="748"/>
      <c r="D18" s="749"/>
      <c r="E18" s="179" t="s">
        <v>503</v>
      </c>
      <c r="F18" s="750">
        <v>114.51600000000001</v>
      </c>
      <c r="G18" s="751"/>
      <c r="H18" s="752">
        <v>0</v>
      </c>
      <c r="I18" s="753"/>
      <c r="J18" s="750">
        <f t="shared" si="0"/>
        <v>114.51600000000001</v>
      </c>
      <c r="K18" s="751"/>
      <c r="L18" s="204">
        <f t="shared" si="1"/>
        <v>9</v>
      </c>
      <c r="M18" s="724" t="s">
        <v>67</v>
      </c>
      <c r="N18" s="725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20"/>
      <c r="AH18" s="720"/>
      <c r="AI18" s="720"/>
      <c r="AJ18" s="720"/>
      <c r="AK18" s="720"/>
      <c r="AL18" s="720"/>
      <c r="AM18" s="720"/>
      <c r="AN18" s="720"/>
      <c r="AO18" s="722"/>
    </row>
    <row r="19" spans="1:75" s="159" customFormat="1" ht="18" customHeight="1" thickBot="1">
      <c r="A19" s="565">
        <v>10</v>
      </c>
      <c r="B19" s="740" t="s">
        <v>515</v>
      </c>
      <c r="C19" s="741"/>
      <c r="D19" s="742"/>
      <c r="E19" s="180" t="s">
        <v>503</v>
      </c>
      <c r="F19" s="743">
        <v>114.51600000000001</v>
      </c>
      <c r="G19" s="744"/>
      <c r="H19" s="745">
        <v>0</v>
      </c>
      <c r="I19" s="746"/>
      <c r="J19" s="743">
        <f t="shared" si="0"/>
        <v>114.51600000000001</v>
      </c>
      <c r="K19" s="744"/>
      <c r="L19" s="204">
        <f>L18+1</f>
        <v>10</v>
      </c>
      <c r="M19" s="726" t="s">
        <v>67</v>
      </c>
      <c r="N19" s="72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21"/>
      <c r="AH19" s="721"/>
      <c r="AI19" s="721"/>
      <c r="AJ19" s="721"/>
      <c r="AK19" s="721"/>
      <c r="AL19" s="721"/>
      <c r="AM19" s="721"/>
      <c r="AN19" s="721"/>
      <c r="AO19" s="723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698" t="s">
        <v>531</v>
      </c>
      <c r="O27" s="579"/>
      <c r="P27" s="698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699"/>
      <c r="O28" s="581">
        <v>164.96</v>
      </c>
      <c r="P28" s="699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00"/>
      <c r="O29" s="200"/>
      <c r="P29" s="70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694" t="s">
        <v>548</v>
      </c>
      <c r="I42" s="694"/>
      <c r="J42" s="694"/>
      <c r="K42" s="694"/>
      <c r="L42" s="694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11"/>
      <c r="AH44" s="707"/>
      <c r="AI44" s="707"/>
      <c r="AJ44" s="707"/>
      <c r="AK44" s="707"/>
      <c r="AL44" s="707"/>
      <c r="AM44" s="707"/>
      <c r="AN44" s="707"/>
      <c r="AO44" s="709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11"/>
      <c r="AH45" s="707"/>
      <c r="AI45" s="707"/>
      <c r="AJ45" s="707"/>
      <c r="AK45" s="707"/>
      <c r="AL45" s="707"/>
      <c r="AM45" s="707"/>
      <c r="AN45" s="707"/>
      <c r="AO45" s="709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11"/>
      <c r="AH46" s="707"/>
      <c r="AI46" s="707"/>
      <c r="AJ46" s="707"/>
      <c r="AK46" s="707"/>
      <c r="AL46" s="707"/>
      <c r="AM46" s="707"/>
      <c r="AN46" s="707"/>
      <c r="AO46" s="709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11"/>
      <c r="AH47" s="707"/>
      <c r="AI47" s="707"/>
      <c r="AJ47" s="707"/>
      <c r="AK47" s="707"/>
      <c r="AL47" s="707"/>
      <c r="AM47" s="707"/>
      <c r="AN47" s="707"/>
      <c r="AO47" s="709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11"/>
      <c r="AH48" s="707"/>
      <c r="AI48" s="707"/>
      <c r="AJ48" s="707"/>
      <c r="AK48" s="707"/>
      <c r="AL48" s="707"/>
      <c r="AM48" s="707"/>
      <c r="AN48" s="707"/>
      <c r="AO48" s="709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01"/>
      <c r="AC49" s="591"/>
      <c r="AD49" s="184"/>
      <c r="AE49" s="591"/>
      <c r="AF49" s="574"/>
      <c r="AG49" s="711"/>
      <c r="AH49" s="707"/>
      <c r="AI49" s="707"/>
      <c r="AJ49" s="707"/>
      <c r="AK49" s="707"/>
      <c r="AL49" s="707"/>
      <c r="AM49" s="707"/>
      <c r="AN49" s="707"/>
      <c r="AO49" s="709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02"/>
      <c r="AC50" s="592">
        <v>410.99700000000001</v>
      </c>
      <c r="AD50" s="187"/>
      <c r="AE50" s="592">
        <v>413</v>
      </c>
      <c r="AF50" s="574"/>
      <c r="AG50" s="711"/>
      <c r="AH50" s="707"/>
      <c r="AI50" s="707"/>
      <c r="AJ50" s="707"/>
      <c r="AK50" s="707"/>
      <c r="AL50" s="707"/>
      <c r="AM50" s="707"/>
      <c r="AN50" s="707"/>
      <c r="AO50" s="709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03"/>
      <c r="AD51" s="189"/>
      <c r="AF51" s="574"/>
      <c r="AG51" s="711"/>
      <c r="AH51" s="707"/>
      <c r="AI51" s="707"/>
      <c r="AJ51" s="707"/>
      <c r="AK51" s="707"/>
      <c r="AL51" s="707"/>
      <c r="AM51" s="707"/>
      <c r="AN51" s="707"/>
      <c r="AO51" s="709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11"/>
      <c r="AH52" s="707"/>
      <c r="AI52" s="707"/>
      <c r="AJ52" s="707"/>
      <c r="AK52" s="707"/>
      <c r="AL52" s="707"/>
      <c r="AM52" s="707"/>
      <c r="AN52" s="707"/>
      <c r="AO52" s="709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12"/>
      <c r="AH53" s="708"/>
      <c r="AI53" s="708"/>
      <c r="AJ53" s="708"/>
      <c r="AK53" s="708"/>
      <c r="AL53" s="708"/>
      <c r="AM53" s="708"/>
      <c r="AN53" s="708"/>
      <c r="AO53" s="710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16">
        <v>10</v>
      </c>
      <c r="AH54" s="717">
        <v>10</v>
      </c>
      <c r="AI54" s="717">
        <f>AG54-AH54</f>
        <v>0</v>
      </c>
      <c r="AJ54" s="717">
        <f>AG54</f>
        <v>10</v>
      </c>
      <c r="AK54" s="717">
        <v>10</v>
      </c>
      <c r="AL54" s="717">
        <f>AJ54-AK54</f>
        <v>0</v>
      </c>
      <c r="AM54" s="717">
        <v>1.2729999999999999</v>
      </c>
      <c r="AN54" s="717">
        <v>1.2729999999999999</v>
      </c>
      <c r="AO54" s="718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11"/>
      <c r="AH55" s="707"/>
      <c r="AI55" s="707"/>
      <c r="AJ55" s="707"/>
      <c r="AK55" s="707"/>
      <c r="AL55" s="707"/>
      <c r="AM55" s="707"/>
      <c r="AN55" s="707"/>
      <c r="AO55" s="709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11"/>
      <c r="AH56" s="707"/>
      <c r="AI56" s="707"/>
      <c r="AJ56" s="707"/>
      <c r="AK56" s="707"/>
      <c r="AL56" s="707"/>
      <c r="AM56" s="707"/>
      <c r="AN56" s="707"/>
      <c r="AO56" s="709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11"/>
      <c r="AH57" s="707"/>
      <c r="AI57" s="707"/>
      <c r="AJ57" s="707"/>
      <c r="AK57" s="707"/>
      <c r="AL57" s="707"/>
      <c r="AM57" s="707"/>
      <c r="AN57" s="707"/>
      <c r="AO57" s="709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11"/>
      <c r="AH58" s="707"/>
      <c r="AI58" s="707"/>
      <c r="AJ58" s="707"/>
      <c r="AK58" s="707"/>
      <c r="AL58" s="707"/>
      <c r="AM58" s="707"/>
      <c r="AN58" s="707"/>
      <c r="AO58" s="709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11"/>
      <c r="AH59" s="707"/>
      <c r="AI59" s="707"/>
      <c r="AJ59" s="707"/>
      <c r="AK59" s="707"/>
      <c r="AL59" s="707"/>
      <c r="AM59" s="707"/>
      <c r="AN59" s="707"/>
      <c r="AO59" s="709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11"/>
      <c r="AH60" s="707"/>
      <c r="AI60" s="707"/>
      <c r="AJ60" s="707"/>
      <c r="AK60" s="707"/>
      <c r="AL60" s="707"/>
      <c r="AM60" s="707"/>
      <c r="AN60" s="707"/>
      <c r="AO60" s="709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01"/>
      <c r="W61" s="591"/>
      <c r="X61" s="704" t="s">
        <v>550</v>
      </c>
      <c r="Y61" s="591"/>
      <c r="Z61" s="701"/>
      <c r="AA61" s="591"/>
      <c r="AB61" s="701"/>
      <c r="AC61" s="591"/>
      <c r="AD61" s="701"/>
      <c r="AE61" s="591"/>
      <c r="AF61" s="574"/>
      <c r="AG61" s="711"/>
      <c r="AH61" s="707"/>
      <c r="AI61" s="707"/>
      <c r="AJ61" s="707"/>
      <c r="AK61" s="707"/>
      <c r="AL61" s="707"/>
      <c r="AM61" s="707"/>
      <c r="AN61" s="707"/>
      <c r="AO61" s="709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02"/>
      <c r="W62" s="592">
        <v>448</v>
      </c>
      <c r="X62" s="705"/>
      <c r="Y62" s="592">
        <v>394</v>
      </c>
      <c r="Z62" s="702"/>
      <c r="AA62" s="592">
        <v>383</v>
      </c>
      <c r="AB62" s="702"/>
      <c r="AC62" s="592">
        <v>379</v>
      </c>
      <c r="AD62" s="702"/>
      <c r="AE62" s="592">
        <v>380.83699999999999</v>
      </c>
      <c r="AF62" s="574"/>
      <c r="AG62" s="711"/>
      <c r="AH62" s="707"/>
      <c r="AI62" s="707"/>
      <c r="AJ62" s="707"/>
      <c r="AK62" s="707"/>
      <c r="AL62" s="707"/>
      <c r="AM62" s="707"/>
      <c r="AN62" s="707"/>
      <c r="AO62" s="709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03"/>
      <c r="X63" s="706"/>
      <c r="Z63" s="703"/>
      <c r="AB63" s="703"/>
      <c r="AD63" s="703"/>
      <c r="AF63" s="574"/>
      <c r="AG63" s="711"/>
      <c r="AH63" s="707"/>
      <c r="AI63" s="707"/>
      <c r="AJ63" s="707"/>
      <c r="AK63" s="707"/>
      <c r="AL63" s="707"/>
      <c r="AM63" s="707"/>
      <c r="AN63" s="707"/>
      <c r="AO63" s="709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11"/>
      <c r="AH64" s="707"/>
      <c r="AI64" s="707"/>
      <c r="AJ64" s="707"/>
      <c r="AK64" s="707"/>
      <c r="AL64" s="707"/>
      <c r="AM64" s="707"/>
      <c r="AN64" s="707"/>
      <c r="AO64" s="709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12"/>
      <c r="AH65" s="708"/>
      <c r="AI65" s="708"/>
      <c r="AJ65" s="708"/>
      <c r="AK65" s="708"/>
      <c r="AL65" s="708"/>
      <c r="AM65" s="708"/>
      <c r="AN65" s="708"/>
      <c r="AO65" s="710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16">
        <v>10</v>
      </c>
      <c r="AH66" s="717">
        <v>9</v>
      </c>
      <c r="AI66" s="717">
        <f>AG66-AH66</f>
        <v>1</v>
      </c>
      <c r="AJ66" s="717">
        <f>COUNTA($D$57:$V$57)</f>
        <v>10</v>
      </c>
      <c r="AK66" s="717">
        <v>7</v>
      </c>
      <c r="AL66" s="717">
        <f>AJ66-AK66</f>
        <v>3</v>
      </c>
      <c r="AM66" s="717">
        <v>0.91500000000000004</v>
      </c>
      <c r="AN66" s="717">
        <f>0.672+0.243</f>
        <v>0.91500000000000004</v>
      </c>
      <c r="AO66" s="718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12"/>
      <c r="AH67" s="708"/>
      <c r="AI67" s="708"/>
      <c r="AJ67" s="708"/>
      <c r="AK67" s="708"/>
      <c r="AL67" s="708"/>
      <c r="AM67" s="708"/>
      <c r="AN67" s="708"/>
      <c r="AO67" s="710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16">
        <v>10</v>
      </c>
      <c r="AH68" s="717">
        <v>10</v>
      </c>
      <c r="AI68" s="717">
        <f>AG68-AH68</f>
        <v>0</v>
      </c>
      <c r="AJ68" s="717">
        <f>COUNTA($B$70:$L$70)</f>
        <v>6</v>
      </c>
      <c r="AK68" s="717">
        <v>9</v>
      </c>
      <c r="AL68" s="717">
        <f>AJ68-AK68</f>
        <v>-3</v>
      </c>
      <c r="AM68" s="717"/>
      <c r="AN68" s="717"/>
      <c r="AO68" s="718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11"/>
      <c r="AH69" s="707"/>
      <c r="AI69" s="707"/>
      <c r="AJ69" s="707"/>
      <c r="AK69" s="707"/>
      <c r="AL69" s="707"/>
      <c r="AM69" s="707"/>
      <c r="AN69" s="707"/>
      <c r="AO69" s="709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11"/>
      <c r="AH70" s="707"/>
      <c r="AI70" s="707"/>
      <c r="AJ70" s="707"/>
      <c r="AK70" s="707"/>
      <c r="AL70" s="707"/>
      <c r="AM70" s="707"/>
      <c r="AN70" s="707"/>
      <c r="AO70" s="709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11"/>
      <c r="AH71" s="707"/>
      <c r="AI71" s="707"/>
      <c r="AJ71" s="707"/>
      <c r="AK71" s="707"/>
      <c r="AL71" s="707"/>
      <c r="AM71" s="707"/>
      <c r="AN71" s="707"/>
      <c r="AO71" s="709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11"/>
      <c r="AH72" s="707"/>
      <c r="AI72" s="707"/>
      <c r="AJ72" s="707"/>
      <c r="AK72" s="707"/>
      <c r="AL72" s="707"/>
      <c r="AM72" s="707"/>
      <c r="AN72" s="707"/>
      <c r="AO72" s="709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11"/>
      <c r="AH73" s="707"/>
      <c r="AI73" s="707"/>
      <c r="AJ73" s="707"/>
      <c r="AK73" s="707"/>
      <c r="AL73" s="707"/>
      <c r="AM73" s="707"/>
      <c r="AN73" s="707"/>
      <c r="AO73" s="709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01"/>
      <c r="S74" s="591"/>
      <c r="T74" s="701"/>
      <c r="U74" s="591"/>
      <c r="V74" s="701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11"/>
      <c r="AH74" s="707"/>
      <c r="AI74" s="707"/>
      <c r="AJ74" s="707"/>
      <c r="AK74" s="707"/>
      <c r="AL74" s="707"/>
      <c r="AM74" s="707"/>
      <c r="AN74" s="707"/>
      <c r="AO74" s="709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02"/>
      <c r="S75" s="592">
        <v>350.38099999999997</v>
      </c>
      <c r="T75" s="702"/>
      <c r="U75" s="592">
        <v>333.99700000000001</v>
      </c>
      <c r="V75" s="702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11"/>
      <c r="AH75" s="707"/>
      <c r="AI75" s="707"/>
      <c r="AJ75" s="707"/>
      <c r="AK75" s="707"/>
      <c r="AL75" s="707"/>
      <c r="AM75" s="707"/>
      <c r="AN75" s="707"/>
      <c r="AO75" s="709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03"/>
      <c r="T76" s="703"/>
      <c r="V76" s="703"/>
      <c r="X76" s="189"/>
      <c r="Z76" s="189"/>
      <c r="AB76" s="189"/>
      <c r="AD76" s="189"/>
      <c r="AF76" s="574"/>
      <c r="AG76" s="711"/>
      <c r="AH76" s="707"/>
      <c r="AI76" s="707"/>
      <c r="AJ76" s="707"/>
      <c r="AK76" s="707"/>
      <c r="AL76" s="707"/>
      <c r="AM76" s="707"/>
      <c r="AN76" s="707"/>
      <c r="AO76" s="709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11"/>
      <c r="AH77" s="707"/>
      <c r="AI77" s="707"/>
      <c r="AJ77" s="707"/>
      <c r="AK77" s="707"/>
      <c r="AL77" s="707"/>
      <c r="AM77" s="707"/>
      <c r="AN77" s="707"/>
      <c r="AO77" s="709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13"/>
      <c r="AH78" s="714"/>
      <c r="AI78" s="714"/>
      <c r="AJ78" s="714"/>
      <c r="AK78" s="714"/>
      <c r="AL78" s="714"/>
      <c r="AM78" s="714"/>
      <c r="AN78" s="714"/>
      <c r="AO78" s="715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11"/>
      <c r="AH79" s="707"/>
      <c r="AI79" s="707"/>
      <c r="AJ79" s="707"/>
      <c r="AK79" s="707"/>
      <c r="AL79" s="707"/>
      <c r="AM79" s="707"/>
      <c r="AN79" s="707"/>
      <c r="AO79" s="709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11"/>
      <c r="AH80" s="707"/>
      <c r="AI80" s="707"/>
      <c r="AJ80" s="707"/>
      <c r="AK80" s="707"/>
      <c r="AL80" s="707"/>
      <c r="AM80" s="707"/>
      <c r="AN80" s="707"/>
      <c r="AO80" s="709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11"/>
      <c r="AH81" s="707"/>
      <c r="AI81" s="707"/>
      <c r="AJ81" s="707"/>
      <c r="AK81" s="707"/>
      <c r="AL81" s="707"/>
      <c r="AM81" s="707"/>
      <c r="AN81" s="707"/>
      <c r="AO81" s="709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11"/>
      <c r="AH82" s="707"/>
      <c r="AI82" s="707"/>
      <c r="AJ82" s="707"/>
      <c r="AK82" s="707"/>
      <c r="AL82" s="707"/>
      <c r="AM82" s="707"/>
      <c r="AN82" s="707"/>
      <c r="AO82" s="709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11"/>
      <c r="AH83" s="707"/>
      <c r="AI83" s="707"/>
      <c r="AJ83" s="707"/>
      <c r="AK83" s="707"/>
      <c r="AL83" s="707"/>
      <c r="AM83" s="707"/>
      <c r="AN83" s="707"/>
      <c r="AO83" s="709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11"/>
      <c r="AH84" s="707"/>
      <c r="AI84" s="707"/>
      <c r="AJ84" s="707"/>
      <c r="AK84" s="707"/>
      <c r="AL84" s="707"/>
      <c r="AM84" s="707"/>
      <c r="AN84" s="707"/>
      <c r="AO84" s="709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695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11"/>
      <c r="AH85" s="707"/>
      <c r="AI85" s="707"/>
      <c r="AJ85" s="707"/>
      <c r="AK85" s="707"/>
      <c r="AL85" s="707"/>
      <c r="AM85" s="707"/>
      <c r="AN85" s="707"/>
      <c r="AO85" s="709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696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12"/>
      <c r="AH86" s="708"/>
      <c r="AI86" s="708"/>
      <c r="AJ86" s="708"/>
      <c r="AK86" s="708"/>
      <c r="AL86" s="708"/>
      <c r="AM86" s="708"/>
      <c r="AN86" s="708"/>
      <c r="AO86" s="710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697"/>
      <c r="P87" s="189"/>
      <c r="R87" s="189"/>
      <c r="T87" s="189"/>
      <c r="V87" s="188"/>
      <c r="X87" s="257"/>
      <c r="Z87" s="188"/>
      <c r="AB87" s="189"/>
      <c r="AD87" s="189"/>
      <c r="AF87" s="574"/>
      <c r="AG87" s="716">
        <v>10</v>
      </c>
      <c r="AH87" s="717">
        <v>7</v>
      </c>
      <c r="AI87" s="717">
        <f>AG87-AH87</f>
        <v>3</v>
      </c>
      <c r="AJ87" s="717">
        <f>COUNTA(#REF!)</f>
        <v>1</v>
      </c>
      <c r="AK87" s="717">
        <v>5</v>
      </c>
      <c r="AL87" s="717">
        <v>5</v>
      </c>
      <c r="AM87" s="717"/>
      <c r="AN87" s="717"/>
      <c r="AO87" s="718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11"/>
      <c r="AH88" s="707"/>
      <c r="AI88" s="707"/>
      <c r="AJ88" s="707"/>
      <c r="AK88" s="707"/>
      <c r="AL88" s="707"/>
      <c r="AM88" s="707"/>
      <c r="AN88" s="707"/>
      <c r="AO88" s="709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11"/>
      <c r="AH89" s="707"/>
      <c r="AI89" s="707"/>
      <c r="AJ89" s="707"/>
      <c r="AK89" s="707"/>
      <c r="AL89" s="707"/>
      <c r="AM89" s="707"/>
      <c r="AN89" s="707"/>
      <c r="AO89" s="709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11"/>
      <c r="AH90" s="707"/>
      <c r="AI90" s="707"/>
      <c r="AJ90" s="707"/>
      <c r="AK90" s="707"/>
      <c r="AL90" s="707"/>
      <c r="AM90" s="707"/>
      <c r="AN90" s="707"/>
      <c r="AO90" s="709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11"/>
      <c r="AH91" s="707"/>
      <c r="AI91" s="707"/>
      <c r="AJ91" s="707"/>
      <c r="AK91" s="707"/>
      <c r="AL91" s="707"/>
      <c r="AM91" s="707"/>
      <c r="AN91" s="707"/>
      <c r="AO91" s="709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11"/>
      <c r="AH92" s="707"/>
      <c r="AI92" s="707"/>
      <c r="AJ92" s="707"/>
      <c r="AK92" s="707"/>
      <c r="AL92" s="707"/>
      <c r="AM92" s="707"/>
      <c r="AN92" s="707"/>
      <c r="AO92" s="709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11"/>
      <c r="AH93" s="707"/>
      <c r="AI93" s="707"/>
      <c r="AJ93" s="707"/>
      <c r="AK93" s="707"/>
      <c r="AL93" s="707"/>
      <c r="AM93" s="707"/>
      <c r="AN93" s="707"/>
      <c r="AO93" s="709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11"/>
      <c r="AH94" s="707"/>
      <c r="AI94" s="707"/>
      <c r="AJ94" s="707"/>
      <c r="AK94" s="707"/>
      <c r="AL94" s="707"/>
      <c r="AM94" s="707"/>
      <c r="AN94" s="707"/>
      <c r="AO94" s="709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11"/>
      <c r="AH95" s="707"/>
      <c r="AI95" s="707"/>
      <c r="AJ95" s="707"/>
      <c r="AK95" s="707"/>
      <c r="AL95" s="707"/>
      <c r="AM95" s="707"/>
      <c r="AN95" s="707"/>
      <c r="AO95" s="709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11"/>
      <c r="AH96" s="707"/>
      <c r="AI96" s="707"/>
      <c r="AJ96" s="707"/>
      <c r="AK96" s="707"/>
      <c r="AL96" s="707"/>
      <c r="AM96" s="707"/>
      <c r="AN96" s="707"/>
      <c r="AO96" s="709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11"/>
      <c r="AH97" s="707"/>
      <c r="AI97" s="707"/>
      <c r="AJ97" s="707"/>
      <c r="AK97" s="707"/>
      <c r="AL97" s="707"/>
      <c r="AM97" s="707"/>
      <c r="AN97" s="707"/>
      <c r="AO97" s="709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11"/>
      <c r="AH98" s="707"/>
      <c r="AI98" s="707"/>
      <c r="AJ98" s="707"/>
      <c r="AK98" s="707"/>
      <c r="AL98" s="707"/>
      <c r="AM98" s="707"/>
      <c r="AN98" s="707"/>
      <c r="AO98" s="709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11"/>
      <c r="AH99" s="707"/>
      <c r="AI99" s="707"/>
      <c r="AJ99" s="707"/>
      <c r="AK99" s="707"/>
      <c r="AL99" s="707"/>
      <c r="AM99" s="707"/>
      <c r="AN99" s="707"/>
      <c r="AO99" s="709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12"/>
      <c r="AH100" s="708"/>
      <c r="AI100" s="708"/>
      <c r="AJ100" s="708"/>
      <c r="AK100" s="708"/>
      <c r="AL100" s="708"/>
      <c r="AM100" s="708"/>
      <c r="AN100" s="708"/>
      <c r="AO100" s="710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11"/>
      <c r="AH101" s="707"/>
      <c r="AI101" s="707"/>
      <c r="AJ101" s="707"/>
      <c r="AK101" s="707"/>
      <c r="AL101" s="707"/>
      <c r="AM101" s="707"/>
      <c r="AN101" s="707"/>
      <c r="AO101" s="709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11"/>
      <c r="AH102" s="707"/>
      <c r="AI102" s="707"/>
      <c r="AJ102" s="707"/>
      <c r="AK102" s="707"/>
      <c r="AL102" s="707"/>
      <c r="AM102" s="707"/>
      <c r="AN102" s="707"/>
      <c r="AO102" s="709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11"/>
      <c r="AH103" s="707"/>
      <c r="AI103" s="707"/>
      <c r="AJ103" s="707"/>
      <c r="AK103" s="707"/>
      <c r="AL103" s="707"/>
      <c r="AM103" s="707"/>
      <c r="AN103" s="707"/>
      <c r="AO103" s="709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11"/>
      <c r="AH104" s="707"/>
      <c r="AI104" s="707"/>
      <c r="AJ104" s="707"/>
      <c r="AK104" s="707"/>
      <c r="AL104" s="707"/>
      <c r="AM104" s="707"/>
      <c r="AN104" s="707"/>
      <c r="AO104" s="709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11"/>
      <c r="AH105" s="707"/>
      <c r="AI105" s="707"/>
      <c r="AJ105" s="707"/>
      <c r="AK105" s="707"/>
      <c r="AL105" s="707"/>
      <c r="AM105" s="707"/>
      <c r="AN105" s="707"/>
      <c r="AO105" s="709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11"/>
      <c r="AH106" s="707"/>
      <c r="AI106" s="707"/>
      <c r="AJ106" s="707"/>
      <c r="AK106" s="707"/>
      <c r="AL106" s="707"/>
      <c r="AM106" s="707"/>
      <c r="AN106" s="707"/>
      <c r="AO106" s="709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11"/>
      <c r="AH107" s="707"/>
      <c r="AI107" s="707"/>
      <c r="AJ107" s="707"/>
      <c r="AK107" s="707"/>
      <c r="AL107" s="707"/>
      <c r="AM107" s="707"/>
      <c r="AN107" s="707"/>
      <c r="AO107" s="709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11"/>
      <c r="AH108" s="707"/>
      <c r="AI108" s="707"/>
      <c r="AJ108" s="707"/>
      <c r="AK108" s="707"/>
      <c r="AL108" s="707"/>
      <c r="AM108" s="707"/>
      <c r="AN108" s="707"/>
      <c r="AO108" s="709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11"/>
      <c r="AH109" s="707"/>
      <c r="AI109" s="707"/>
      <c r="AJ109" s="707"/>
      <c r="AK109" s="707"/>
      <c r="AL109" s="707"/>
      <c r="AM109" s="707"/>
      <c r="AN109" s="707"/>
      <c r="AO109" s="709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11"/>
      <c r="AH110" s="707"/>
      <c r="AI110" s="707"/>
      <c r="AJ110" s="707"/>
      <c r="AK110" s="707"/>
      <c r="AL110" s="707"/>
      <c r="AM110" s="707"/>
      <c r="AN110" s="707"/>
      <c r="AO110" s="709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12"/>
      <c r="AH111" s="708"/>
      <c r="AI111" s="708"/>
      <c r="AJ111" s="708"/>
      <c r="AK111" s="708"/>
      <c r="AL111" s="708"/>
      <c r="AM111" s="708"/>
      <c r="AN111" s="708"/>
      <c r="AO111" s="710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11"/>
      <c r="AH112" s="707"/>
      <c r="AI112" s="707"/>
      <c r="AJ112" s="707"/>
      <c r="AK112" s="707"/>
      <c r="AL112" s="707"/>
      <c r="AM112" s="707"/>
      <c r="AN112" s="707"/>
      <c r="AO112" s="709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11"/>
      <c r="AH113" s="707"/>
      <c r="AI113" s="707"/>
      <c r="AJ113" s="707"/>
      <c r="AK113" s="707"/>
      <c r="AL113" s="707"/>
      <c r="AM113" s="707"/>
      <c r="AN113" s="707"/>
      <c r="AO113" s="709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11"/>
      <c r="AH114" s="707"/>
      <c r="AI114" s="707"/>
      <c r="AJ114" s="707"/>
      <c r="AK114" s="707"/>
      <c r="AL114" s="707"/>
      <c r="AM114" s="707"/>
      <c r="AN114" s="707"/>
      <c r="AO114" s="709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11"/>
      <c r="AH115" s="707"/>
      <c r="AI115" s="707"/>
      <c r="AJ115" s="707"/>
      <c r="AK115" s="707"/>
      <c r="AL115" s="707"/>
      <c r="AM115" s="707"/>
      <c r="AN115" s="707"/>
      <c r="AO115" s="709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11"/>
      <c r="AH116" s="707"/>
      <c r="AI116" s="707"/>
      <c r="AJ116" s="707"/>
      <c r="AK116" s="707"/>
      <c r="AL116" s="707"/>
      <c r="AM116" s="707"/>
      <c r="AN116" s="707"/>
      <c r="AO116" s="709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11"/>
      <c r="AH117" s="707"/>
      <c r="AI117" s="707"/>
      <c r="AJ117" s="707"/>
      <c r="AK117" s="707"/>
      <c r="AL117" s="707"/>
      <c r="AM117" s="707"/>
      <c r="AN117" s="707"/>
      <c r="AO117" s="709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11"/>
      <c r="AH118" s="707"/>
      <c r="AI118" s="707"/>
      <c r="AJ118" s="707"/>
      <c r="AK118" s="707"/>
      <c r="AL118" s="707"/>
      <c r="AM118" s="707"/>
      <c r="AN118" s="707"/>
      <c r="AO118" s="709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11"/>
      <c r="AH119" s="707"/>
      <c r="AI119" s="707"/>
      <c r="AJ119" s="707"/>
      <c r="AK119" s="707"/>
      <c r="AL119" s="707"/>
      <c r="AM119" s="707"/>
      <c r="AN119" s="707"/>
      <c r="AO119" s="709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11"/>
      <c r="AH120" s="707"/>
      <c r="AI120" s="707"/>
      <c r="AJ120" s="707"/>
      <c r="AK120" s="707"/>
      <c r="AL120" s="707"/>
      <c r="AM120" s="707"/>
      <c r="AN120" s="707"/>
      <c r="AO120" s="709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11"/>
      <c r="AH121" s="707"/>
      <c r="AI121" s="707"/>
      <c r="AJ121" s="707"/>
      <c r="AK121" s="707"/>
      <c r="AL121" s="707"/>
      <c r="AM121" s="707"/>
      <c r="AN121" s="707"/>
      <c r="AO121" s="709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13"/>
      <c r="AH122" s="714"/>
      <c r="AI122" s="714"/>
      <c r="AJ122" s="714"/>
      <c r="AK122" s="714"/>
      <c r="AL122" s="714"/>
      <c r="AM122" s="714"/>
      <c r="AN122" s="714"/>
      <c r="AO122" s="715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11"/>
      <c r="AH123" s="707"/>
      <c r="AI123" s="707"/>
      <c r="AJ123" s="707"/>
      <c r="AK123" s="707"/>
      <c r="AL123" s="707"/>
      <c r="AM123" s="707"/>
      <c r="AN123" s="707"/>
      <c r="AO123" s="709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11"/>
      <c r="AH124" s="707"/>
      <c r="AI124" s="707"/>
      <c r="AJ124" s="707"/>
      <c r="AK124" s="707"/>
      <c r="AL124" s="707"/>
      <c r="AM124" s="707"/>
      <c r="AN124" s="707"/>
      <c r="AO124" s="709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11"/>
      <c r="AH125" s="707"/>
      <c r="AI125" s="707"/>
      <c r="AJ125" s="707"/>
      <c r="AK125" s="707"/>
      <c r="AL125" s="707"/>
      <c r="AM125" s="707"/>
      <c r="AN125" s="707"/>
      <c r="AO125" s="709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11"/>
      <c r="AH126" s="707"/>
      <c r="AI126" s="707"/>
      <c r="AJ126" s="707"/>
      <c r="AK126" s="707"/>
      <c r="AL126" s="707"/>
      <c r="AM126" s="707"/>
      <c r="AN126" s="707"/>
      <c r="AO126" s="709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11"/>
      <c r="AH127" s="707"/>
      <c r="AI127" s="707"/>
      <c r="AJ127" s="707"/>
      <c r="AK127" s="707"/>
      <c r="AL127" s="707"/>
      <c r="AM127" s="707"/>
      <c r="AN127" s="707"/>
      <c r="AO127" s="709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11"/>
      <c r="AH128" s="707"/>
      <c r="AI128" s="707"/>
      <c r="AJ128" s="707"/>
      <c r="AK128" s="707"/>
      <c r="AL128" s="707"/>
      <c r="AM128" s="707"/>
      <c r="AN128" s="707"/>
      <c r="AO128" s="709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11"/>
      <c r="AH129" s="707"/>
      <c r="AI129" s="707"/>
      <c r="AJ129" s="707"/>
      <c r="AK129" s="707"/>
      <c r="AL129" s="707"/>
      <c r="AM129" s="707"/>
      <c r="AN129" s="707"/>
      <c r="AO129" s="709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11"/>
      <c r="AH130" s="707"/>
      <c r="AI130" s="707"/>
      <c r="AJ130" s="707"/>
      <c r="AK130" s="707"/>
      <c r="AL130" s="707"/>
      <c r="AM130" s="707"/>
      <c r="AN130" s="707"/>
      <c r="AO130" s="709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11"/>
      <c r="AH131" s="707"/>
      <c r="AI131" s="707"/>
      <c r="AJ131" s="707"/>
      <c r="AK131" s="707"/>
      <c r="AL131" s="707"/>
      <c r="AM131" s="707"/>
      <c r="AN131" s="707"/>
      <c r="AO131" s="709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11"/>
      <c r="AH132" s="707"/>
      <c r="AI132" s="707"/>
      <c r="AJ132" s="707"/>
      <c r="AK132" s="707"/>
      <c r="AL132" s="707"/>
      <c r="AM132" s="707"/>
      <c r="AN132" s="707"/>
      <c r="AO132" s="709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12"/>
      <c r="AH133" s="708"/>
      <c r="AI133" s="708"/>
      <c r="AJ133" s="708"/>
      <c r="AK133" s="708"/>
      <c r="AL133" s="708"/>
      <c r="AM133" s="708"/>
      <c r="AN133" s="708"/>
      <c r="AO133" s="710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3"/>
      <c r="AE193" s="579"/>
      <c r="AF193" s="574"/>
      <c r="BW193" s="158"/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6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8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01"/>
      <c r="S229" s="591"/>
      <c r="T229" s="184"/>
      <c r="U229" s="591"/>
      <c r="V229" s="184"/>
      <c r="W229" s="591"/>
      <c r="X229" s="701"/>
      <c r="Y229" s="591"/>
      <c r="Z229" s="701"/>
      <c r="AA229" s="591"/>
      <c r="AB229" s="701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02"/>
      <c r="S230" s="592">
        <v>382</v>
      </c>
      <c r="T230" s="187"/>
      <c r="U230" s="592">
        <v>384</v>
      </c>
      <c r="V230" s="187"/>
      <c r="W230" s="592">
        <v>406</v>
      </c>
      <c r="X230" s="702"/>
      <c r="Y230" s="592">
        <v>352</v>
      </c>
      <c r="Z230" s="702"/>
      <c r="AA230" s="592">
        <v>453</v>
      </c>
      <c r="AB230" s="702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03"/>
      <c r="S231" s="166"/>
      <c r="T231" s="189"/>
      <c r="U231" s="166"/>
      <c r="V231" s="189"/>
      <c r="W231" s="166"/>
      <c r="X231" s="703"/>
      <c r="Y231" s="166"/>
      <c r="Z231" s="703"/>
      <c r="AA231" s="166"/>
      <c r="AB231" s="703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>
        <v>1</v>
      </c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>
        <v>7</v>
      </c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2026-08-10T17:18:43Z</dcterms:modified>
  <cp:category/>
  <cp:contentStatus/>
</cp:coreProperties>
</file>