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6576" windowHeight="8748" tabRatio="641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ROW TRACKER" sheetId="54" r:id="rId5"/>
    <sheet name="PENDING FDN DETAILS" sheetId="50" r:id="rId6"/>
    <sheet name="PENDING ERE DETAILS" sheetId="51" r:id="rId7"/>
    <sheet name="TSE-MANUAL-LT-11KV-33KV Details" sheetId="45" r:id="rId8"/>
    <sheet name="Crossing Details" sheetId="46" r:id="rId9"/>
    <sheet name="Project Details" sheetId="53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Compiled'!$A$2:$P$96</definedName>
    <definedName name="_xlnm._FilterDatabase" localSheetId="6" hidden="1">'PENDING ERE DETAILS'!$A$5:$G$17</definedName>
    <definedName name="_xlnm._FilterDatabase" localSheetId="5" hidden="1">'PENDING FDN DETAILS'!$A$3:$AD$5</definedName>
    <definedName name="_xlnm._FilterDatabase" localSheetId="1" hidden="1">Progress!$A$141:$P$223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51" l="1"/>
  <c r="A15" i="51"/>
  <c r="A16" i="51" s="1"/>
  <c r="A17" i="51" s="1"/>
  <c r="A120" i="52"/>
  <c r="A259" i="36"/>
  <c r="AB28" i="22"/>
  <c r="AB19" i="22"/>
  <c r="A113" i="52"/>
  <c r="A114" i="52" s="1"/>
  <c r="A115" i="52" s="1"/>
  <c r="A116" i="52" s="1"/>
  <c r="A117" i="52" s="1"/>
  <c r="A118" i="52" s="1"/>
  <c r="A119" i="52" s="1"/>
  <c r="A258" i="36"/>
  <c r="A257" i="36"/>
  <c r="A110" i="52" l="1"/>
  <c r="A111" i="52" s="1"/>
  <c r="A112" i="52" s="1"/>
  <c r="A109" i="52"/>
  <c r="A254" i="36"/>
  <c r="A255" i="36" s="1"/>
  <c r="A256" i="36" s="1"/>
  <c r="A138" i="36" l="1"/>
  <c r="A253" i="36" l="1"/>
  <c r="H62" i="44"/>
  <c r="A252" i="36" l="1"/>
  <c r="H63" i="44"/>
  <c r="T8" i="22" l="1"/>
  <c r="A251" i="36"/>
  <c r="H71" i="44"/>
  <c r="K23" i="44"/>
  <c r="AB56" i="22" l="1"/>
  <c r="AB66" i="22"/>
  <c r="A108" i="52" l="1"/>
  <c r="A250" i="36"/>
  <c r="A107" i="52" l="1"/>
  <c r="A249" i="36"/>
  <c r="A81" i="52" l="1"/>
  <c r="A248" i="36"/>
  <c r="A7" i="51" l="1"/>
  <c r="A8" i="51" s="1"/>
  <c r="A9" i="51" s="1"/>
  <c r="A10" i="51" s="1"/>
  <c r="A11" i="51" s="1"/>
  <c r="A12" i="51" s="1"/>
  <c r="A13" i="51" s="1"/>
  <c r="S170" i="22"/>
  <c r="AB38" i="22"/>
  <c r="AB47" i="22" l="1"/>
  <c r="A60" i="44" l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I94" i="44" l="1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A94" i="44"/>
  <c r="I62" i="44"/>
  <c r="I61" i="44"/>
  <c r="I60" i="44"/>
  <c r="I59" i="44"/>
  <c r="Z21" i="22" l="1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K21" i="44" l="1"/>
  <c r="K10" i="44" l="1"/>
  <c r="D23" i="44" l="1"/>
  <c r="T173" i="22" l="1"/>
  <c r="S173" i="22"/>
  <c r="K4" i="36" l="1"/>
  <c r="F4" i="36"/>
  <c r="K3" i="36"/>
  <c r="J3" i="36"/>
  <c r="F3" i="36"/>
  <c r="A158" i="36" l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A219" i="36" s="1"/>
  <c r="F10" i="36"/>
  <c r="F16" i="44"/>
  <c r="L10" i="36"/>
  <c r="L9" i="36"/>
  <c r="F9" i="36"/>
  <c r="Q171" i="22"/>
  <c r="Q174" i="22"/>
  <c r="F15" i="44"/>
  <c r="F9" i="44"/>
  <c r="J9" i="44"/>
  <c r="K9" i="44" s="1"/>
  <c r="F10" i="44"/>
  <c r="L15" i="44"/>
  <c r="L16" i="44"/>
  <c r="J20" i="44"/>
  <c r="K20" i="44"/>
  <c r="L20" i="44" s="1"/>
  <c r="J21" i="44"/>
  <c r="L21" i="44"/>
  <c r="K22" i="44"/>
  <c r="L22" i="44" s="1"/>
  <c r="L23" i="44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T170" i="22" s="1"/>
  <c r="AA34" i="22"/>
  <c r="AA153" i="22" s="1"/>
  <c r="Z34" i="22"/>
  <c r="O170" i="22" s="1"/>
  <c r="O171" i="22" s="1"/>
  <c r="X34" i="22"/>
  <c r="G170" i="22" s="1"/>
  <c r="G171" i="22" s="1"/>
  <c r="AB33" i="22"/>
  <c r="S171" i="22" s="1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M44" i="45"/>
  <c r="L44" i="45"/>
  <c r="K44" i="45"/>
  <c r="H44" i="45"/>
  <c r="D44" i="45"/>
  <c r="J43" i="45"/>
  <c r="B43" i="45"/>
  <c r="J42" i="45"/>
  <c r="B42" i="45"/>
  <c r="J41" i="45"/>
  <c r="B41" i="45"/>
  <c r="I40" i="45"/>
  <c r="B40" i="45"/>
  <c r="I39" i="45"/>
  <c r="B39" i="45"/>
  <c r="J38" i="45"/>
  <c r="B38" i="45"/>
  <c r="I37" i="45"/>
  <c r="B37" i="45"/>
  <c r="J36" i="45"/>
  <c r="B36" i="45"/>
  <c r="I35" i="45"/>
  <c r="B35" i="45"/>
  <c r="I34" i="45"/>
  <c r="B34" i="45"/>
  <c r="I33" i="45"/>
  <c r="B33" i="45"/>
  <c r="J32" i="45"/>
  <c r="B32" i="45"/>
  <c r="I31" i="45"/>
  <c r="B31" i="45"/>
  <c r="J30" i="45"/>
  <c r="B30" i="45"/>
  <c r="J29" i="45"/>
  <c r="B29" i="45"/>
  <c r="J28" i="45"/>
  <c r="B28" i="45"/>
  <c r="I27" i="45"/>
  <c r="B27" i="45"/>
  <c r="I26" i="45"/>
  <c r="B26" i="45"/>
  <c r="I25" i="45"/>
  <c r="B25" i="45"/>
  <c r="I24" i="45"/>
  <c r="B24" i="45"/>
  <c r="I23" i="45"/>
  <c r="B23" i="45"/>
  <c r="I22" i="45"/>
  <c r="B22" i="45"/>
  <c r="J21" i="45"/>
  <c r="B21" i="45"/>
  <c r="I20" i="45"/>
  <c r="B20" i="45"/>
  <c r="I19" i="45"/>
  <c r="B19" i="45"/>
  <c r="I18" i="45"/>
  <c r="B18" i="45"/>
  <c r="I17" i="45"/>
  <c r="B17" i="45"/>
  <c r="I16" i="45"/>
  <c r="B16" i="45"/>
  <c r="J15" i="45"/>
  <c r="B15" i="45"/>
  <c r="I14" i="45"/>
  <c r="B14" i="45"/>
  <c r="I13" i="45"/>
  <c r="B13" i="45"/>
  <c r="J12" i="45"/>
  <c r="J5" i="45"/>
  <c r="J7" i="45"/>
  <c r="J11" i="45"/>
  <c r="J44" i="45"/>
  <c r="B12" i="45"/>
  <c r="B11" i="45"/>
  <c r="I10" i="45"/>
  <c r="B10" i="45"/>
  <c r="I9" i="45"/>
  <c r="B9" i="45"/>
  <c r="I8" i="45"/>
  <c r="B8" i="45"/>
  <c r="B7" i="45"/>
  <c r="I6" i="45"/>
  <c r="I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U172" i="22" l="1"/>
  <c r="U174" i="22" s="1"/>
  <c r="U175" i="22" s="1"/>
  <c r="A220" i="36"/>
  <c r="A221" i="36" s="1"/>
  <c r="A222" i="36" s="1"/>
  <c r="A223" i="36" s="1"/>
  <c r="A224" i="36" s="1"/>
  <c r="A225" i="36" s="1"/>
  <c r="A226" i="36" s="1"/>
  <c r="A227" i="36" s="1"/>
  <c r="A228" i="36" s="1"/>
  <c r="A229" i="36" s="1"/>
  <c r="A230" i="36" s="1"/>
  <c r="A231" i="36" s="1"/>
  <c r="A232" i="36" s="1"/>
  <c r="A233" i="36" s="1"/>
  <c r="A234" i="36" s="1"/>
  <c r="A235" i="36" s="1"/>
  <c r="A236" i="36" s="1"/>
  <c r="A237" i="36" s="1"/>
  <c r="A238" i="36" s="1"/>
  <c r="A239" i="36" s="1"/>
  <c r="A240" i="36" s="1"/>
  <c r="A241" i="36" s="1"/>
  <c r="A242" i="36" s="1"/>
  <c r="A243" i="36" s="1"/>
  <c r="A244" i="36" s="1"/>
  <c r="A245" i="36" s="1"/>
  <c r="A246" i="36" s="1"/>
  <c r="A247" i="36" s="1"/>
  <c r="Y148" i="22"/>
  <c r="Y153" i="22" s="1"/>
  <c r="Y105" i="22"/>
  <c r="AB152" i="22"/>
  <c r="AB154" i="22"/>
  <c r="S172" i="22"/>
  <c r="S174" i="22" s="1"/>
  <c r="S175" i="22" s="1"/>
  <c r="L11" i="22" s="1"/>
  <c r="O11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C51" i="22"/>
  <c r="W46" i="22"/>
  <c r="C60" i="22"/>
  <c r="W65" i="22"/>
  <c r="C79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M173" i="22" s="1"/>
  <c r="C97" i="22"/>
  <c r="AA82" i="22"/>
  <c r="R172" i="22"/>
  <c r="Y78" i="22"/>
  <c r="X148" i="22"/>
  <c r="G173" i="22" s="1"/>
  <c r="G174" i="22" s="1"/>
  <c r="G175" i="22" s="1"/>
  <c r="M170" i="22"/>
  <c r="M171" i="22" s="1"/>
  <c r="X149" i="22"/>
  <c r="H173" i="22" s="1"/>
  <c r="X147" i="22"/>
  <c r="F173" i="22" s="1"/>
  <c r="J173" i="22" s="1"/>
  <c r="K174" i="22"/>
  <c r="K175" i="22" s="1"/>
  <c r="AE78" i="22"/>
  <c r="N170" i="22"/>
  <c r="Z81" i="22"/>
  <c r="Y152" i="22"/>
  <c r="J170" i="22"/>
  <c r="J171" i="22" s="1"/>
  <c r="F171" i="22"/>
  <c r="F172" i="22"/>
  <c r="X81" i="22"/>
  <c r="H172" i="22" s="1"/>
  <c r="Z78" i="22"/>
  <c r="Y81" i="22"/>
  <c r="S19" i="12"/>
  <c r="S13" i="12"/>
  <c r="T12" i="48"/>
  <c r="T17" i="48"/>
  <c r="T15" i="48"/>
  <c r="T18" i="48"/>
  <c r="S35" i="48"/>
  <c r="S12" i="48"/>
  <c r="S19" i="48" s="1"/>
  <c r="W172" i="22" l="1"/>
  <c r="Z82" i="22"/>
  <c r="Y150" i="22"/>
  <c r="T175" i="22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Y155" i="22" l="1"/>
  <c r="Z150" i="22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<sst xmlns="http://schemas.openxmlformats.org/spreadsheetml/2006/main" count="4964" uniqueCount="906">
  <si>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</si>
  <si>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</si>
  <si>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</si>
  <si>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</si>
  <si>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</si>
  <si>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</si>
  <si>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</si>
  <si>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</si>
  <si>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</si>
  <si>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</si>
  <si>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</si>
  <si>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</si>
  <si>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</si>
  <si>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</si>
  <si>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</si>
  <si>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</si>
  <si>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</si>
  <si>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</si>
  <si>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</si>
  <si>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</si>
  <si>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</si>
  <si>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</si>
  <si>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</si>
  <si>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</si>
  <si>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</si>
  <si>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</si>
  <si>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</si>
  <si>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</si>
  <si>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</si>
  <si>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</si>
  <si>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</si>
  <si>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</si>
  <si>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</si>
  <si>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</si>
  <si>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</si>
  <si>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</si>
  <si>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</si>
  <si>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</si>
  <si>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</si>
  <si>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</si>
  <si>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</si>
  <si>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</si>
  <si>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</si>
  <si>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</si>
  <si>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</si>
  <si>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</si>
  <si>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</si>
  <si>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</si>
  <si>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</si>
  <si>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</si>
  <si>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</si>
  <si>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</si>
  <si>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</si>
  <si>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</si>
  <si>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</si>
  <si>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</si>
  <si>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</si>
  <si>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</si>
  <si>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</si>
  <si>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</si>
  <si>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</si>
  <si>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</si>
  <si>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</si>
  <si>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</si>
  <si>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</si>
  <si>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</si>
  <si>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</si>
  <si>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</si>
  <si>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</si>
  <si>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</si>
  <si>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</si>
  <si>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</si>
  <si>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</si>
  <si>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</si>
  <si>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</si>
  <si>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</si>
  <si>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</si>
  <si>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</si>
  <si>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</si>
  <si>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</si>
  <si>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</si>
  <si>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</si>
  <si>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</si>
  <si>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</si>
  <si>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</si>
  <si>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</si>
  <si>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</si>
  <si>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</si>
  <si>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</si>
  <si>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</si>
  <si>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</si>
  <si>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</si>
  <si>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</si>
  <si>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</si>
  <si>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</si>
  <si>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</si>
  <si>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</si>
  <si>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</si>
  <si>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</si>
  <si>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</si>
  <si>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</si>
  <si>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</si>
  <si>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</si>
  <si>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</si>
  <si>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</si>
  <si>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</si>
  <si>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</si>
  <si>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</si>
  <si>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</si>
  <si>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</si>
  <si>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</si>
  <si>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</si>
  <si>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</si>
  <si>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</si>
  <si>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</si>
  <si>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</si>
  <si>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</si>
  <si>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</si>
  <si>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</si>
  <si>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</si>
  <si>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</si>
  <si>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</si>
  <si>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</si>
  <si>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</si>
  <si>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</si>
  <si>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</si>
  <si>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</si>
  <si>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</si>
  <si>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</si>
  <si>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</si>
  <si>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</si>
  <si>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</si>
  <si>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</si>
  <si>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</si>
  <si>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</si>
  <si>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</si>
  <si>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</si>
  <si>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</si>
  <si>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</si>
  <si>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</si>
  <si>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</si>
  <si>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</si>
  <si>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</si>
  <si>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</si>
  <si>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</si>
  <si>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</si>
  <si>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</si>
  <si>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</si>
  <si>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</si>
  <si>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</si>
  <si>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</si>
  <si>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</si>
  <si>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</si>
  <si>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</si>
  <si>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</si>
  <si>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</si>
  <si>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</si>
  <si>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</si>
  <si>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</si>
  <si>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</si>
  <si>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</si>
  <si>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</si>
  <si>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</si>
  <si>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</si>
  <si>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</si>
  <si>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</si>
  <si>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</si>
  <si>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</si>
  <si>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</si>
  <si>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</si>
  <si>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</si>
  <si>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</si>
  <si>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</si>
  <si>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</si>
  <si>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</si>
  <si>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</si>
  <si>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</si>
  <si>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</si>
  <si>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</si>
  <si>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</si>
  <si>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</si>
  <si>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</si>
  <si>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</si>
  <si>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</si>
  <si>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</si>
  <si>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</si>
  <si>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</si>
  <si>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</si>
  <si>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</si>
  <si>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</si>
  <si>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</si>
  <si>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</si>
  <si>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</si>
  <si>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</si>
  <si>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</si>
  <si>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</si>
  <si>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</si>
  <si>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</si>
  <si>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</si>
  <si>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</si>
  <si>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</si>
  <si>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</si>
  <si>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</si>
  <si>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</si>
  <si>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</si>
  <si>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</si>
  <si>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</si>
  <si>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</si>
  <si>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</si>
  <si>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</si>
  <si>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</si>
  <si>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</si>
  <si>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</si>
  <si>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</si>
  <si>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</si>
  <si>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</si>
  <si>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</si>
  <si>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</si>
  <si>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</si>
  <si>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</si>
  <si>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</si>
  <si>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</si>
  <si>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</si>
  <si>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</si>
  <si>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</si>
  <si>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</si>
  <si>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</si>
  <si>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</si>
  <si>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</si>
  <si>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</si>
  <si>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</si>
  <si>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</si>
  <si>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</si>
  <si>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</si>
  <si>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</si>
  <si>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</si>
  <si>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</si>
  <si>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</si>
  <si>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</si>
  <si>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</si>
  <si>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</si>
  <si>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</si>
  <si>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</si>
  <si>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</si>
  <si>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</si>
  <si>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</si>
  <si>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</si>
  <si>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</si>
  <si>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</si>
  <si>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</si>
  <si>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</si>
  <si>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</si>
  <si>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</si>
  <si>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</si>
  <si>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</si>
  <si>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</si>
  <si>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</si>
  <si>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</si>
  <si>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</si>
  <si>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</si>
  <si>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</si>
  <si>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</si>
  <si>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</si>
  <si>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</si>
  <si>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</si>
  <si>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</si>
  <si>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</si>
  <si>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</si>
  <si>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</si>
  <si>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</si>
  <si>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</si>
  <si>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</si>
  <si>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</si>
  <si>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</si>
  <si>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</si>
  <si>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</si>
  <si>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</si>
  <si>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</si>
  <si>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</si>
  <si>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</si>
  <si>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</si>
  <si>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</si>
  <si>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</si>
  <si>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</si>
  <si>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</si>
  <si>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</si>
  <si>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</si>
  <si>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</si>
  <si>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</si>
  <si>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</si>
  <si>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</si>
  <si>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</si>
  <si>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</si>
  <si>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</si>
  <si>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</si>
  <si>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</si>
  <si>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</si>
  <si>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</si>
  <si>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</si>
  <si>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</si>
  <si>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</si>
  <si>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</si>
  <si>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</si>
  <si>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</si>
  <si>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</si>
  <si>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</si>
  <si>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</si>
  <si>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</si>
  <si>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</si>
  <si>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</si>
  <si>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</si>
  <si>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</si>
  <si>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</si>
  <si>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</si>
  <si>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</si>
  <si>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</si>
  <si>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</si>
  <si>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</si>
  <si>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</si>
  <si>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</si>
  <si>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</si>
  <si>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</si>
  <si>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</si>
  <si>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</si>
  <si>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</si>
  <si>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</si>
  <si>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</si>
  <si>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</si>
  <si>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</si>
  <si>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</si>
  <si>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</si>
  <si>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</si>
  <si>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</si>
  <si>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</si>
  <si>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</si>
  <si>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</si>
  <si>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</si>
  <si>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</si>
  <si>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</si>
  <si>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</si>
  <si>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</si>
  <si>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</si>
  <si>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</si>
  <si>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</si>
  <si>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</si>
  <si>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</si>
  <si>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</si>
  <si>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</si>
  <si>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</si>
  <si>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</si>
  <si>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</si>
  <si>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</si>
  <si>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</si>
  <si>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</si>
  <si>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</si>
  <si>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</si>
  <si>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</si>
  <si>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</si>
  <si>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</si>
  <si>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</si>
  <si>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</si>
  <si>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</si>
  <si>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</si>
  <si>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</si>
  <si>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</si>
  <si>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</si>
  <si>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</si>
  <si>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</si>
  <si>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</si>
  <si>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</si>
  <si>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</si>
  <si>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</si>
  <si>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</si>
  <si>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</si>
  <si>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</si>
  <si>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</si>
  <si>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</si>
  <si>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</si>
  <si>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</si>
  <si>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</si>
  <si>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</si>
  <si>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</si>
  <si>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</si>
  <si>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</si>
  <si>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</si>
  <si>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</si>
  <si>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</si>
  <si>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</si>
  <si>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</si>
  <si>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</si>
  <si>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</si>
  <si>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</si>
  <si>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</si>
  <si>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</si>
  <si>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</si>
  <si>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</si>
  <si>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</si>
  <si>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</si>
  <si>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</si>
  <si>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</si>
  <si>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</si>
  <si>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</si>
  <si>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</si>
  <si>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</si>
  <si>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</si>
  <si>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</si>
  <si>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</si>
  <si>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</si>
  <si>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</si>
  <si>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</si>
  <si>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</si>
  <si>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</si>
  <si>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</si>
  <si>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</si>
  <si>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</si>
  <si>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</si>
  <si>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</si>
  <si>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</si>
  <si>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</si>
  <si>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</si>
  <si>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</si>
  <si>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</si>
  <si>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</si>
  <si>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</si>
  <si>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</si>
  <si>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</si>
  <si>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</si>
  <si>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</si>
  <si>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</si>
  <si>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</si>
  <si>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</si>
  <si>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</si>
  <si>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</si>
  <si>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</si>
  <si>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</si>
  <si>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</si>
  <si>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</si>
  <si>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</si>
  <si>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</si>
  <si>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</si>
  <si>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</si>
  <si>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</si>
  <si>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</si>
  <si>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</si>
  <si>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</si>
  <si>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</si>
  <si>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</si>
  <si>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</si>
  <si>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</si>
  <si>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</si>
  <si>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</si>
  <si>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</si>
  <si>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</si>
  <si>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</si>
  <si>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</si>
  <si>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</si>
  <si>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</si>
  <si>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</si>
  <si>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</si>
  <si>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</si>
  <si>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</si>
  <si>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</si>
  <si>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</si>
  <si>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</si>
  <si>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</si>
  <si>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</si>
  <si>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</si>
  <si>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</si>
  <si>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</si>
  <si>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</si>
  <si>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</si>
  <si>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</si>
  <si>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</si>
  <si>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</si>
  <si>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</si>
  <si>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</si>
  <si>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</si>
  <si>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</si>
  <si>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</si>
  <si>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</si>
  <si>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</si>
  <si>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</si>
  <si>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</si>
  <si>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</si>
  <si>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</si>
  <si>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</si>
  <si>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</si>
  <si>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</si>
  <si>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</si>
  <si>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</si>
  <si>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</si>
  <si>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</si>
  <si>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</si>
  <si>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</si>
  <si>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</si>
  <si>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</si>
  <si>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</si>
  <si>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</si>
  <si>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</si>
  <si>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</si>
  <si>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</si>
  <si>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</si>
  <si>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</si>
  <si>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</si>
  <si>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</si>
  <si>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</si>
  <si>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</si>
  <si>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</si>
  <si>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</si>
  <si>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</si>
  <si>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</si>
  <si>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</si>
  <si>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</si>
  <si>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</si>
  <si>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</si>
  <si>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</si>
  <si>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</si>
  <si>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</si>
  <si>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</si>
  <si>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</si>
  <si>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</si>
  <si>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</si>
  <si>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</si>
  <si>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</si>
  <si>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</si>
  <si>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</si>
  <si>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</si>
  <si>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</si>
  <si>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</si>
  <si>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</si>
  <si>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</si>
  <si>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</si>
  <si>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</si>
  <si>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</si>
  <si>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</si>
  <si>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</si>
  <si>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</si>
  <si>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</si>
  <si>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</si>
  <si>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</si>
  <si>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</si>
  <si>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</si>
  <si>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</si>
  <si>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</si>
  <si>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</si>
  <si>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</si>
  <si>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</si>
  <si>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</si>
  <si>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</si>
  <si>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</si>
  <si>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</si>
  <si>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</si>
  <si>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</si>
  <si>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</si>
  <si>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</si>
  <si>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</si>
  <si>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</si>
  <si>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</si>
  <si>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</si>
  <si>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</si>
  <si>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</si>
  <si>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</si>
  <si>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</si>
  <si>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</si>
  <si>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</si>
  <si>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</si>
  <si>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</si>
  <si>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</si>
  <si>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</si>
  <si>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</si>
  <si>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</si>
  <si>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</si>
  <si>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</si>
  <si>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</si>
  <si>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</si>
  <si>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</si>
  <si>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</si>
  <si>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</si>
  <si>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</si>
  <si>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</si>
  <si>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</si>
  <si>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</si>
  <si>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</si>
  <si>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</si>
  <si>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</si>
  <si>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</si>
  <si>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</si>
  <si>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</si>
  <si>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</si>
  <si>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</si>
  <si>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</si>
  <si>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</si>
  <si>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</si>
  <si>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</si>
  <si>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</si>
  <si>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</si>
  <si>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</si>
  <si>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</si>
  <si>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</si>
  <si>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</si>
  <si>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</si>
  <si>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</si>
  <si>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</si>
  <si>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</si>
  <si>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</si>
  <si>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</si>
  <si>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</si>
  <si>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</si>
  <si>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</si>
  <si>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</si>
  <si>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</si>
  <si>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</si>
  <si>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</si>
  <si>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</si>
  <si>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</si>
  <si>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</si>
  <si>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</si>
  <si>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</si>
  <si>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</si>
  <si>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</si>
  <si>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</si>
  <si>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</si>
  <si>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</si>
  <si>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</si>
  <si>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</si>
  <si>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</si>
  <si>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</si>
  <si>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</si>
  <si>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</si>
  <si>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</si>
  <si>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</si>
  <si>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</si>
  <si>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</si>
  <si>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</si>
  <si>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</si>
  <si>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</si>
  <si>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</si>
  <si>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</si>
  <si>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</si>
  <si>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</si>
  <si>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</si>
  <si>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Yalaburga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</si>
  <si>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</si>
  <si>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</si>
  <si>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</si>
  <si>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</si>
  <si>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</si>
  <si>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</si>
  <si>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</si>
  <si>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</si>
  <si>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</si>
  <si>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</si>
  <si>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</si>
  <si>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</si>
  <si>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</si>
  <si>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</si>
  <si>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</si>
  <si>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</si>
  <si>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</si>
  <si>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</si>
  <si>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</si>
  <si>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</si>
  <si>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</si>
  <si>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</si>
  <si>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</si>
  <si>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</si>
  <si>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</si>
  <si>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</si>
  <si>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</si>
  <si>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</si>
  <si>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</si>
  <si>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</si>
  <si>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</si>
  <si>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</si>
  <si>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</si>
  <si>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</si>
  <si>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</si>
  <si>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</si>
  <si>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</si>
  <si>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</si>
  <si>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</si>
  <si>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</si>
  <si>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</si>
  <si>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</si>
  <si>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</si>
  <si>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</si>
  <si>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</si>
  <si>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</si>
  <si>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</si>
  <si>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</si>
  <si>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</si>
  <si>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</si>
  <si>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</si>
  <si>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</si>
  <si>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</si>
  <si>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</si>
  <si>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</si>
  <si>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</si>
  <si>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</si>
  <si>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</si>
  <si>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</si>
  <si>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</si>
  <si>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</si>
  <si>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</si>
  <si>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</si>
  <si>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</si>
  <si>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</si>
  <si>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</si>
  <si>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</si>
  <si>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</si>
  <si>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</si>
  <si>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</si>
  <si>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</si>
  <si>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</si>
  <si>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</si>
  <si>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</si>
  <si>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</si>
  <si>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</si>
  <si>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</si>
  <si>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</si>
  <si>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</si>
  <si>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</si>
  <si>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</si>
  <si>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</si>
  <si>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</si>
  <si>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</si>
  <si>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</si>
  <si>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</si>
  <si>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</si>
  <si>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</si>
  <si>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</si>
  <si>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</si>
  <si>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</si>
  <si>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</si>
  <si>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</si>
  <si>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</si>
  <si>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</si>
  <si>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</si>
  <si>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</si>
  <si>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</si>
  <si>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</si>
  <si>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</si>
  <si>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</si>
  <si>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</si>
  <si>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</si>
  <si>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</si>
  <si>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</si>
  <si>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</si>
  <si>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</si>
  <si>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</si>
  <si>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</si>
  <si>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</si>
  <si>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</si>
  <si>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</si>
  <si>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</si>
  <si>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</si>
  <si>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</si>
  <si>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</si>
  <si>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</si>
  <si>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</si>
  <si>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</si>
  <si>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</si>
  <si>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</si>
  <si>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</si>
  <si>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</si>
  <si>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</si>
  <si>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</si>
  <si>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</si>
  <si>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</si>
  <si>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</si>
  <si>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</si>
  <si>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</si>
  <si>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</si>
  <si>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</si>
  <si>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</si>
  <si>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</si>
  <si>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</si>
  <si>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</si>
  <si>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</si>
  <si>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</si>
  <si>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</si>
  <si>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</si>
  <si>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</si>
  <si>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</si>
  <si>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</si>
  <si>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</si>
  <si>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</si>
  <si>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</si>
  <si>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</si>
  <si>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</si>
  <si>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</si>
  <si>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</si>
  <si>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</si>
  <si>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</si>
  <si>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.</t>
  </si>
  <si>
    <t>36/0 - 36/1</t>
  </si>
  <si>
    <t>GANG - A1</t>
  </si>
  <si>
    <t>GANG - A2</t>
  </si>
  <si>
    <t>Mr. Arun Felbin</t>
  </si>
  <si>
    <t>51/0</t>
  </si>
  <si>
    <t>50/0</t>
  </si>
  <si>
    <t>DB1-3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</si>
  <si>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</si>
  <si>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</si>
  <si>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</si>
  <si>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</si>
  <si>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</si>
  <si>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>Required further work front for Foundation works In order to sustain the manpower.</t>
  </si>
  <si>
    <t>Insulator Hoisting Completion Date</t>
  </si>
  <si>
    <t>DRY</t>
  </si>
  <si>
    <t>ACTIVITY</t>
  </si>
  <si>
    <t>FOUNDATION</t>
  </si>
  <si>
    <t>GANG -1 (Manju)</t>
  </si>
  <si>
    <t>GANG - 2 (Vijo)</t>
  </si>
  <si>
    <t>ERECTION</t>
  </si>
  <si>
    <t>M/s BARKAT ALI</t>
  </si>
  <si>
    <t>IDLE</t>
  </si>
  <si>
    <t>33/6 - IH</t>
  </si>
  <si>
    <t>34/0 - 36/0 FS</t>
  </si>
  <si>
    <t>IDLE - 46/11</t>
  </si>
  <si>
    <t xml:space="preserve">765KV D/C  KOPPAL  II(PS) - RAICHUR TL  (Part-1)  </t>
  </si>
  <si>
    <t>ROW TRACKER - DECEMBER'25</t>
  </si>
  <si>
    <t>Final Sag COMPLETED</t>
  </si>
  <si>
    <t>FOUNDATION ACTIVITY</t>
  </si>
  <si>
    <t>Clipping complete - 11/12/25</t>
  </si>
  <si>
    <t>Jumpering Completed (35/0) - 10/12/25</t>
  </si>
  <si>
    <t>34/1, 34/2 - CLP</t>
  </si>
  <si>
    <t>35/0 - JPR      34/3, 34/4 - CLP</t>
  </si>
  <si>
    <t>GANG - A1 (M)</t>
  </si>
  <si>
    <t>34/0, 35/0 - Spacer</t>
  </si>
  <si>
    <t>M/s Ibrahim</t>
  </si>
  <si>
    <t>M/s IBRAHIM</t>
  </si>
  <si>
    <t>35/0 - 36/0  Clipping</t>
  </si>
  <si>
    <t>ROW TRACKER - NOVEMBER'25</t>
  </si>
  <si>
    <t>GANG -1</t>
  </si>
  <si>
    <t>GANG -2</t>
  </si>
  <si>
    <t>Demobilized</t>
  </si>
  <si>
    <t>GANG -3</t>
  </si>
  <si>
    <t>ROW TRACKER -OCTOBER'25</t>
  </si>
  <si>
    <t>DM</t>
  </si>
  <si>
    <t>M/s Savitha</t>
  </si>
  <si>
    <t>Left Site</t>
  </si>
  <si>
    <t>M/s BARKAT ALI 2</t>
  </si>
  <si>
    <t>M/s SUBHASH</t>
  </si>
  <si>
    <t>40/0-41/0</t>
  </si>
  <si>
    <t>42/0-43/0</t>
  </si>
  <si>
    <t>35/0 -36/0</t>
  </si>
  <si>
    <t>35/0 - 36/0  Clipping &amp; Spacering</t>
  </si>
  <si>
    <t>33/6 - 34/0</t>
  </si>
  <si>
    <t>40/0 - 41/0   PO</t>
  </si>
  <si>
    <t>33/6 - 34/0        I H</t>
  </si>
  <si>
    <t>33/0 - 33/5</t>
  </si>
  <si>
    <r>
      <t>Stringing -</t>
    </r>
    <r>
      <rPr>
        <b/>
        <sz val="14"/>
        <color theme="2" tint="-0.749992370372631"/>
        <rFont val="Calibri Light"/>
        <family val="2"/>
        <scheme val="major"/>
      </rPr>
      <t xml:space="preserve"> RS</t>
    </r>
  </si>
  <si>
    <t>IBRAHIM</t>
  </si>
  <si>
    <t>41/0-42/0 FS    40/0 - 41/0 PO</t>
  </si>
  <si>
    <t>33/0 - 33/5        I H</t>
  </si>
  <si>
    <t>40/0 - 41/0 PO</t>
  </si>
  <si>
    <t>DATE:</t>
  </si>
  <si>
    <t xml:space="preserve">NO WORK </t>
  </si>
  <si>
    <t>IDLE @58/0</t>
  </si>
  <si>
    <t>IDLE @57/1</t>
  </si>
  <si>
    <t>40/0 - 41/0 E/w  PO</t>
  </si>
  <si>
    <t>41/2,41/3 :CLP        41/0 -41/3 :Right SPR</t>
  </si>
  <si>
    <t>KEC - 03 (Barkat Ali)</t>
  </si>
  <si>
    <t>M/s BARKAT ALI3</t>
  </si>
  <si>
    <t>Gang - 5</t>
  </si>
  <si>
    <t>Gang Reached</t>
  </si>
  <si>
    <t>40/0-41/0 : FS           41/0 -41/3 Left SPR</t>
  </si>
  <si>
    <t>IDLE @48A/2</t>
  </si>
  <si>
    <t>IDLE @59/1</t>
  </si>
  <si>
    <t>40/0-41/0 : FS           41/3 -41/5 Left SPR</t>
  </si>
  <si>
    <t>ROW TRACKER -JANUARY' 2026</t>
  </si>
  <si>
    <t xml:space="preserve">40/0-41/0 : FS  </t>
  </si>
  <si>
    <t>Jumpering Completed (41/0) - 05/01/26</t>
  </si>
  <si>
    <t>40/0-41/0 : Spacer.</t>
  </si>
  <si>
    <t>M/s RAMAVATH  (HL)</t>
  </si>
  <si>
    <t>Foundation Balance</t>
  </si>
  <si>
    <t>Erection Balance</t>
  </si>
  <si>
    <t>Stretch Readiness</t>
  </si>
  <si>
    <t>-</t>
  </si>
  <si>
    <t>38/0</t>
  </si>
  <si>
    <t>49/0 , 50/0</t>
  </si>
  <si>
    <t>50/0, 51/0</t>
  </si>
  <si>
    <t>Ready</t>
  </si>
  <si>
    <t>Pending</t>
  </si>
  <si>
    <t>GANG IDLE</t>
  </si>
  <si>
    <t>No work. (ROW)</t>
  </si>
  <si>
    <t>IDLE @57/3</t>
  </si>
  <si>
    <t>M/s Vijo</t>
  </si>
  <si>
    <t>Hot Line Gang Reached Site - 20 Members</t>
  </si>
  <si>
    <t>Idle After Completing 59/0</t>
  </si>
  <si>
    <t>Idle After Completing 57/3</t>
  </si>
  <si>
    <r>
      <rPr>
        <b/>
        <sz val="16"/>
        <color theme="1"/>
        <rFont val="Calibri Light"/>
        <family val="2"/>
        <scheme val="major"/>
      </rPr>
      <t>57/0</t>
    </r>
    <r>
      <rPr>
        <b/>
        <sz val="16"/>
        <color rgb="FFFF0000"/>
        <rFont val="Calibri Light"/>
        <family val="1"/>
        <scheme val="major"/>
      </rPr>
      <t xml:space="preserve"> </t>
    </r>
    <r>
      <rPr>
        <b/>
        <sz val="14"/>
        <color rgb="FFFF0000"/>
        <rFont val="Calibri Light"/>
        <family val="2"/>
        <scheme val="major"/>
      </rPr>
      <t>(Severe ROW)</t>
    </r>
  </si>
  <si>
    <t>Pilot PayingOut Under Progress</t>
  </si>
  <si>
    <t>Foundation:-
1)Team01 - Manpower (16) and Machinery Idle.
Erection:-
1.Team01 - Manpower (26) and Machinery Idle after Completing  59/0
2.Team02 - Manpower (28) and Machinery Idle after Completing  57/3
Stringing:
1) stringing team02 - manpower (38) and machinery idle (since 25 days)</t>
  </si>
  <si>
    <t>* Today team idle details:- manpower - 108 Nos</t>
  </si>
  <si>
    <t>Will Supplied in 4th Week of Jan'26</t>
  </si>
  <si>
    <t>Pilot Paying work</t>
  </si>
  <si>
    <t xml:space="preserve"> Insulator hoisting work Completed</t>
  </si>
  <si>
    <t>MATERIAL SHIFTING</t>
  </si>
  <si>
    <t>57/0, 57/2</t>
  </si>
  <si>
    <t>GANG -2 (VIJO)</t>
  </si>
  <si>
    <t>IDLE @57/0</t>
  </si>
  <si>
    <t>Reached Site</t>
  </si>
  <si>
    <t>33/5 - 34/0 : PayingOut</t>
  </si>
  <si>
    <t>33/5 - 34/0 : Cabling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</si>
</sst>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  <numFmt numFmtId="210" formatCode="_(* #,##0.00_);_(* \(#,##0.00\);_(* &quot;-&quot;_);_(@_)"/>
  </numFmts>
  <fonts count="203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u/>
      <sz val="16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8"/>
      <color indexed="12"/>
      <name val="Calibri"/>
      <family val="2"/>
      <scheme val="min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CC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2" tint="-0.749992370372631"/>
      <name val="Arial Black"/>
      <family val="2"/>
    </font>
    <font>
      <b/>
      <u/>
      <sz val="16"/>
      <color rgb="FFFF0000"/>
      <name val="Arial Black"/>
      <family val="2"/>
    </font>
    <font>
      <sz val="16"/>
      <color theme="2" tint="-0.749992370372631"/>
      <name val="Calibri Light"/>
      <family val="1"/>
      <scheme val="major"/>
    </font>
    <font>
      <b/>
      <sz val="16"/>
      <color theme="1"/>
      <name val="Calibri Light"/>
      <family val="1"/>
      <scheme val="major"/>
    </font>
    <font>
      <b/>
      <sz val="14"/>
      <color theme="2" tint="-0.749992370372631"/>
      <name val="Calibri"/>
      <family val="2"/>
      <scheme val="minor"/>
    </font>
    <font>
      <b/>
      <sz val="14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2"/>
      <scheme val="major"/>
    </font>
    <font>
      <b/>
      <sz val="12"/>
      <color rgb="FFFF0000"/>
      <name val="Calibri Light"/>
      <family val="1"/>
      <scheme val="major"/>
    </font>
    <font>
      <b/>
      <u/>
      <sz val="16"/>
      <color rgb="FFFF0000"/>
      <name val="Calibri Light"/>
      <family val="1"/>
      <scheme val="major"/>
    </font>
    <font>
      <b/>
      <sz val="11"/>
      <color rgb="FFFF0000"/>
      <name val="Calibri Light"/>
      <family val="2"/>
      <scheme val="major"/>
    </font>
    <font>
      <sz val="14"/>
      <color theme="2" tint="-0.74999237037263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6"/>
      <color rgb="FFFF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8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ECF5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996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1" fillId="59" borderId="61" xfId="0" applyFont="1" applyFill="1" applyBorder="1" applyAlignment="1">
      <alignment horizontal="center" vertical="center"/>
    </xf>
    <xf numFmtId="0" fontId="125" fillId="0" borderId="0" xfId="0" applyFont="1"/>
    <xf numFmtId="0" fontId="126" fillId="0" borderId="0" xfId="0" applyFont="1" applyAlignment="1">
      <alignment wrapText="1"/>
    </xf>
    <xf numFmtId="169" fontId="125" fillId="0" borderId="0" xfId="0" applyNumberFormat="1" applyFont="1"/>
    <xf numFmtId="0" fontId="125" fillId="0" borderId="0" xfId="0" applyFont="1" applyAlignment="1">
      <alignment vertical="center" wrapText="1"/>
    </xf>
    <xf numFmtId="16" fontId="127" fillId="3" borderId="0" xfId="0" quotePrefix="1" applyNumberFormat="1" applyFont="1" applyFill="1" applyAlignment="1">
      <alignment horizontal="center" vertical="center"/>
    </xf>
    <xf numFmtId="0" fontId="127" fillId="0" borderId="0" xfId="0" applyFont="1"/>
    <xf numFmtId="0" fontId="128" fillId="0" borderId="0" xfId="0" applyFont="1"/>
    <xf numFmtId="0" fontId="124" fillId="0" borderId="81" xfId="0" applyFont="1" applyBorder="1" applyAlignment="1">
      <alignment horizontal="center" vertical="center" wrapText="1"/>
    </xf>
    <xf numFmtId="0" fontId="122" fillId="64" borderId="81" xfId="0" applyFont="1" applyFill="1" applyBorder="1" applyAlignment="1">
      <alignment horizontal="center" vertical="center" wrapText="1"/>
    </xf>
    <xf numFmtId="0" fontId="131" fillId="64" borderId="81" xfId="0" applyFont="1" applyFill="1" applyBorder="1" applyAlignment="1">
      <alignment horizontal="center" vertical="center" wrapText="1"/>
    </xf>
    <xf numFmtId="14" fontId="131" fillId="0" borderId="81" xfId="0" applyNumberFormat="1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25" fillId="0" borderId="0" xfId="0" applyNumberFormat="1" applyFont="1"/>
    <xf numFmtId="0" fontId="133" fillId="0" borderId="1" xfId="0" applyFont="1" applyBorder="1" applyAlignment="1">
      <alignment horizontal="center" vertical="center"/>
    </xf>
    <xf numFmtId="16" fontId="133" fillId="0" borderId="1" xfId="0" quotePrefix="1" applyNumberFormat="1" applyFont="1" applyBorder="1" applyAlignment="1">
      <alignment horizontal="center" vertical="center"/>
    </xf>
    <xf numFmtId="14" fontId="133" fillId="0" borderId="1" xfId="0" applyNumberFormat="1" applyFont="1" applyBorder="1" applyAlignment="1">
      <alignment horizontal="center" vertical="center"/>
    </xf>
    <xf numFmtId="169" fontId="133" fillId="0" borderId="1" xfId="0" applyNumberFormat="1" applyFont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/>
    </xf>
    <xf numFmtId="16" fontId="133" fillId="3" borderId="1" xfId="0" quotePrefix="1" applyNumberFormat="1" applyFont="1" applyFill="1" applyBorder="1" applyAlignment="1">
      <alignment horizontal="center" vertical="center"/>
    </xf>
    <xf numFmtId="14" fontId="133" fillId="3" borderId="1" xfId="0" applyNumberFormat="1" applyFont="1" applyFill="1" applyBorder="1" applyAlignment="1">
      <alignment horizontal="center" vertical="center"/>
    </xf>
    <xf numFmtId="169" fontId="133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5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6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5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38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39" fillId="0" borderId="1" xfId="0" applyNumberFormat="1" applyFont="1" applyBorder="1" applyAlignment="1">
      <alignment horizontal="center" vertical="center" wrapText="1"/>
    </xf>
    <xf numFmtId="2" fontId="139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4" fillId="0" borderId="53" xfId="1777" applyFont="1" applyBorder="1" applyAlignment="1">
      <alignment horizontal="center" vertical="center"/>
    </xf>
    <xf numFmtId="0" fontId="144" fillId="0" borderId="53" xfId="1777" applyFont="1" applyBorder="1" applyAlignment="1">
      <alignment vertical="center"/>
    </xf>
    <xf numFmtId="0" fontId="142" fillId="0" borderId="90" xfId="1777" applyFont="1" applyBorder="1" applyAlignment="1">
      <alignment horizontal="center" vertical="center"/>
    </xf>
    <xf numFmtId="0" fontId="144" fillId="3" borderId="90" xfId="1777" applyFont="1" applyFill="1" applyBorder="1" applyAlignment="1">
      <alignment horizontal="center" vertical="center"/>
    </xf>
    <xf numFmtId="0" fontId="144" fillId="0" borderId="8" xfId="1777" applyFont="1" applyBorder="1" applyAlignment="1">
      <alignment horizontal="right" vertical="center"/>
    </xf>
    <xf numFmtId="0" fontId="133" fillId="0" borderId="0" xfId="1777" applyFont="1" applyAlignment="1">
      <alignment vertical="center"/>
    </xf>
    <xf numFmtId="0" fontId="144" fillId="0" borderId="31" xfId="1777" applyFont="1" applyBorder="1" applyAlignment="1">
      <alignment horizontal="center" vertical="center"/>
    </xf>
    <xf numFmtId="0" fontId="144" fillId="3" borderId="31" xfId="1777" applyFont="1" applyFill="1" applyBorder="1" applyAlignment="1">
      <alignment horizontal="center" vertical="center"/>
    </xf>
    <xf numFmtId="0" fontId="144" fillId="0" borderId="92" xfId="1777" applyFont="1" applyBorder="1" applyAlignment="1">
      <alignment horizontal="center" vertical="center"/>
    </xf>
    <xf numFmtId="0" fontId="145" fillId="0" borderId="14" xfId="1777" applyFont="1" applyBorder="1" applyAlignment="1">
      <alignment horizontal="center" vertical="center"/>
    </xf>
    <xf numFmtId="0" fontId="146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6" fillId="3" borderId="0" xfId="1777" applyFont="1" applyFill="1" applyAlignment="1">
      <alignment horizontal="center" vertical="center"/>
    </xf>
    <xf numFmtId="0" fontId="146" fillId="0" borderId="15" xfId="1777" applyFont="1" applyBorder="1" applyAlignment="1">
      <alignment horizontal="center" vertical="center"/>
    </xf>
    <xf numFmtId="0" fontId="147" fillId="0" borderId="0" xfId="1777" applyFont="1"/>
    <xf numFmtId="0" fontId="148" fillId="0" borderId="0" xfId="1777" applyFont="1" applyAlignment="1">
      <alignment vertical="center"/>
    </xf>
    <xf numFmtId="0" fontId="149" fillId="0" borderId="6" xfId="0" applyFont="1" applyBorder="1" applyAlignment="1">
      <alignment horizontal="center" vertical="center" wrapText="1"/>
    </xf>
    <xf numFmtId="0" fontId="150" fillId="0" borderId="1" xfId="0" applyFont="1" applyBorder="1" applyAlignment="1">
      <alignment horizontal="center" vertical="center"/>
    </xf>
    <xf numFmtId="0" fontId="151" fillId="0" borderId="1" xfId="0" applyFont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0" fontId="148" fillId="0" borderId="0" xfId="1777" applyFont="1"/>
    <xf numFmtId="0" fontId="153" fillId="0" borderId="1" xfId="1777" applyFont="1" applyBorder="1" applyAlignment="1">
      <alignment horizontal="left" vertical="center"/>
    </xf>
    <xf numFmtId="0" fontId="153" fillId="0" borderId="0" xfId="1777" applyFont="1" applyAlignment="1">
      <alignment vertical="center"/>
    </xf>
    <xf numFmtId="0" fontId="153" fillId="0" borderId="0" xfId="1777" applyFont="1"/>
    <xf numFmtId="0" fontId="148" fillId="0" borderId="0" xfId="1777" applyFont="1" applyAlignment="1">
      <alignment horizontal="center" vertical="center"/>
    </xf>
    <xf numFmtId="0" fontId="147" fillId="0" borderId="0" xfId="1777" applyFont="1" applyAlignment="1">
      <alignment horizontal="center" vertical="center"/>
    </xf>
    <xf numFmtId="0" fontId="147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6" fillId="0" borderId="0" xfId="1777" applyFont="1" applyAlignment="1">
      <alignment horizontal="center" vertical="center"/>
    </xf>
    <xf numFmtId="0" fontId="147" fillId="3" borderId="0" xfId="1777" applyFont="1" applyFill="1" applyAlignment="1">
      <alignment horizontal="center"/>
    </xf>
    <xf numFmtId="0" fontId="152" fillId="0" borderId="0" xfId="219" applyFont="1" applyAlignment="1" applyProtection="1">
      <alignment vertical="center" wrapText="1"/>
      <protection locked="0"/>
    </xf>
    <xf numFmtId="0" fontId="142" fillId="0" borderId="0" xfId="219" applyFont="1" applyAlignment="1">
      <alignment horizontal="center" vertical="center" wrapText="1"/>
    </xf>
    <xf numFmtId="0" fontId="153" fillId="0" borderId="0" xfId="1777" applyFont="1" applyAlignment="1">
      <alignment vertical="center" wrapText="1"/>
    </xf>
    <xf numFmtId="0" fontId="150" fillId="0" borderId="0" xfId="0" applyFont="1" applyAlignment="1">
      <alignment horizontal="center" vertical="center"/>
    </xf>
    <xf numFmtId="0" fontId="150" fillId="3" borderId="0" xfId="0" applyFont="1" applyFill="1" applyAlignment="1">
      <alignment horizontal="center" vertical="center"/>
    </xf>
    <xf numFmtId="0" fontId="148" fillId="0" borderId="0" xfId="0" applyFont="1" applyAlignment="1">
      <alignment vertical="center"/>
    </xf>
    <xf numFmtId="0" fontId="149" fillId="0" borderId="93" xfId="0" applyFont="1" applyBorder="1" applyAlignment="1">
      <alignment horizontal="center" vertical="center" wrapText="1"/>
    </xf>
    <xf numFmtId="0" fontId="150" fillId="0" borderId="93" xfId="0" applyFont="1" applyBorder="1" applyAlignment="1">
      <alignment horizontal="center" vertical="center"/>
    </xf>
    <xf numFmtId="0" fontId="144" fillId="74" borderId="7" xfId="0" applyFont="1" applyFill="1" applyBorder="1" applyAlignment="1">
      <alignment horizontal="center" vertical="center" wrapText="1"/>
    </xf>
    <xf numFmtId="0" fontId="144" fillId="74" borderId="10" xfId="0" applyFont="1" applyFill="1" applyBorder="1" applyAlignment="1">
      <alignment horizontal="center" vertical="center"/>
    </xf>
    <xf numFmtId="0" fontId="142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 wrapText="1"/>
    </xf>
    <xf numFmtId="0" fontId="144" fillId="74" borderId="8" xfId="0" applyFont="1" applyFill="1" applyBorder="1" applyAlignment="1">
      <alignment horizontal="center" vertical="center"/>
    </xf>
    <xf numFmtId="0" fontId="148" fillId="0" borderId="9" xfId="0" applyFont="1" applyBorder="1" applyAlignment="1">
      <alignment vertical="center" wrapText="1"/>
    </xf>
    <xf numFmtId="0" fontId="148" fillId="0" borderId="9" xfId="0" applyFont="1" applyBorder="1" applyAlignment="1">
      <alignment vertical="center"/>
    </xf>
    <xf numFmtId="0" fontId="149" fillId="0" borderId="41" xfId="0" applyFont="1" applyBorder="1" applyAlignment="1">
      <alignment horizontal="center" vertical="center" wrapText="1"/>
    </xf>
    <xf numFmtId="0" fontId="150" fillId="0" borderId="11" xfId="0" applyFont="1" applyBorder="1" applyAlignment="1">
      <alignment horizontal="center" vertical="center"/>
    </xf>
    <xf numFmtId="0" fontId="150" fillId="3" borderId="11" xfId="0" applyFont="1" applyFill="1" applyBorder="1" applyAlignment="1">
      <alignment horizontal="center" vertical="center"/>
    </xf>
    <xf numFmtId="0" fontId="148" fillId="0" borderId="42" xfId="0" applyFont="1" applyBorder="1" applyAlignment="1">
      <alignment vertical="center"/>
    </xf>
    <xf numFmtId="0" fontId="153" fillId="0" borderId="6" xfId="1777" applyFont="1" applyBorder="1" applyAlignment="1">
      <alignment horizontal="center" vertical="center"/>
    </xf>
    <xf numFmtId="2" fontId="153" fillId="3" borderId="1" xfId="0" quotePrefix="1" applyNumberFormat="1" applyFont="1" applyFill="1" applyBorder="1" applyAlignment="1">
      <alignment horizontal="center" vertical="center" wrapText="1"/>
    </xf>
    <xf numFmtId="2" fontId="153" fillId="3" borderId="1" xfId="0" applyNumberFormat="1" applyFont="1" applyFill="1" applyBorder="1" applyAlignment="1">
      <alignment horizontal="center" vertical="center" wrapText="1"/>
    </xf>
    <xf numFmtId="0" fontId="153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left" vertical="center"/>
    </xf>
    <xf numFmtId="0" fontId="153" fillId="0" borderId="1" xfId="0" applyFont="1" applyBorder="1" applyAlignment="1">
      <alignment horizontal="left" vertical="center" wrapText="1"/>
    </xf>
    <xf numFmtId="2" fontId="153" fillId="0" borderId="1" xfId="0" applyNumberFormat="1" applyFont="1" applyBorder="1" applyAlignment="1">
      <alignment horizontal="center" vertical="center" wrapText="1"/>
    </xf>
    <xf numFmtId="0" fontId="153" fillId="3" borderId="1" xfId="0" applyFont="1" applyFill="1" applyBorder="1" applyAlignment="1">
      <alignment horizontal="left" vertical="center" wrapText="1"/>
    </xf>
    <xf numFmtId="0" fontId="153" fillId="3" borderId="1" xfId="0" applyFont="1" applyFill="1" applyBorder="1" applyAlignment="1">
      <alignment horizontal="center" vertical="center"/>
    </xf>
    <xf numFmtId="2" fontId="153" fillId="0" borderId="11" xfId="0" applyNumberFormat="1" applyFont="1" applyBorder="1" applyAlignment="1">
      <alignment horizontal="center" vertical="center" wrapText="1"/>
    </xf>
    <xf numFmtId="0" fontId="153" fillId="0" borderId="11" xfId="0" applyFont="1" applyBorder="1" applyAlignment="1">
      <alignment horizontal="left" vertical="center"/>
    </xf>
    <xf numFmtId="0" fontId="153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7" fillId="0" borderId="94" xfId="0" applyFont="1" applyBorder="1" applyAlignment="1">
      <alignment horizontal="center" vertical="center" wrapText="1"/>
    </xf>
    <xf numFmtId="0" fontId="158" fillId="0" borderId="94" xfId="0" applyFont="1" applyBorder="1" applyAlignment="1">
      <alignment horizontal="center" vertical="center" wrapText="1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22" fillId="64" borderId="96" xfId="0" applyFont="1" applyFill="1" applyBorder="1" applyAlignment="1">
      <alignment horizontal="center" vertical="center" wrapText="1"/>
    </xf>
    <xf numFmtId="0" fontId="122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58" fillId="0" borderId="1" xfId="0" applyFont="1" applyBorder="1" applyAlignment="1">
      <alignment horizontal="center" vertical="center" wrapText="1"/>
    </xf>
    <xf numFmtId="0" fontId="159" fillId="0" borderId="1" xfId="0" applyFont="1" applyBorder="1" applyAlignment="1">
      <alignment horizontal="center" vertical="center" wrapText="1"/>
    </xf>
    <xf numFmtId="0" fontId="160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1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28" fillId="0" borderId="0" xfId="0" applyFont="1" applyAlignment="1">
      <alignment horizontal="center" vertical="center"/>
    </xf>
    <xf numFmtId="0" fontId="131" fillId="0" borderId="81" xfId="0" applyFont="1" applyBorder="1" applyAlignment="1">
      <alignment horizontal="center" vertical="center" wrapText="1"/>
    </xf>
    <xf numFmtId="2" fontId="131" fillId="0" borderId="81" xfId="0" applyNumberFormat="1" applyFont="1" applyBorder="1" applyAlignment="1">
      <alignment horizontal="center" vertical="center" wrapText="1"/>
    </xf>
    <xf numFmtId="2" fontId="131" fillId="3" borderId="81" xfId="0" applyNumberFormat="1" applyFont="1" applyFill="1" applyBorder="1" applyAlignment="1">
      <alignment horizontal="center" vertical="center" wrapText="1"/>
    </xf>
    <xf numFmtId="2" fontId="131" fillId="65" borderId="81" xfId="0" applyNumberFormat="1" applyFont="1" applyFill="1" applyBorder="1" applyAlignment="1">
      <alignment horizontal="center" vertical="center" wrapText="1"/>
    </xf>
    <xf numFmtId="0" fontId="141" fillId="0" borderId="81" xfId="0" applyFont="1" applyBorder="1" applyAlignment="1">
      <alignment horizontal="center" vertical="center" wrapText="1"/>
    </xf>
    <xf numFmtId="2" fontId="141" fillId="3" borderId="81" xfId="0" applyNumberFormat="1" applyFont="1" applyFill="1" applyBorder="1" applyAlignment="1">
      <alignment horizontal="center" vertical="center" wrapText="1"/>
    </xf>
    <xf numFmtId="0" fontId="121" fillId="72" borderId="61" xfId="0" applyFont="1" applyFill="1" applyBorder="1" applyAlignment="1">
      <alignment horizontal="center" vertical="center"/>
    </xf>
    <xf numFmtId="2" fontId="125" fillId="0" borderId="0" xfId="0" applyNumberFormat="1" applyFont="1" applyAlignment="1">
      <alignment vertical="center" wrapText="1"/>
    </xf>
    <xf numFmtId="0" fontId="155" fillId="0" borderId="0" xfId="0" applyFont="1"/>
    <xf numFmtId="0" fontId="106" fillId="0" borderId="0" xfId="0" applyFont="1"/>
    <xf numFmtId="0" fontId="142" fillId="0" borderId="0" xfId="0" applyFont="1" applyAlignment="1">
      <alignment horizontal="center" vertical="center"/>
    </xf>
    <xf numFmtId="0" fontId="164" fillId="74" borderId="1" xfId="0" applyFont="1" applyFill="1" applyBorder="1" applyAlignment="1">
      <alignment horizontal="center" vertical="center" wrapText="1"/>
    </xf>
    <xf numFmtId="0" fontId="147" fillId="0" borderId="6" xfId="0" applyFont="1" applyBorder="1" applyAlignment="1">
      <alignment horizontal="center" vertical="center" wrapText="1"/>
    </xf>
    <xf numFmtId="0" fontId="165" fillId="3" borderId="1" xfId="0" applyFont="1" applyFill="1" applyBorder="1" applyAlignment="1">
      <alignment horizontal="center" vertical="center" wrapText="1"/>
    </xf>
    <xf numFmtId="168" fontId="147" fillId="3" borderId="1" xfId="0" applyNumberFormat="1" applyFont="1" applyFill="1" applyBorder="1" applyAlignment="1">
      <alignment horizontal="center" vertical="center" wrapText="1"/>
    </xf>
    <xf numFmtId="208" fontId="148" fillId="3" borderId="1" xfId="0" applyNumberFormat="1" applyFont="1" applyFill="1" applyBorder="1" applyAlignment="1">
      <alignment horizontal="right" vertical="center" wrapText="1"/>
    </xf>
    <xf numFmtId="0" fontId="148" fillId="3" borderId="1" xfId="0" applyFont="1" applyFill="1" applyBorder="1" applyAlignment="1">
      <alignment horizontal="right" vertical="center" wrapText="1"/>
    </xf>
    <xf numFmtId="168" fontId="148" fillId="3" borderId="1" xfId="0" applyNumberFormat="1" applyFont="1" applyFill="1" applyBorder="1" applyAlignment="1">
      <alignment horizontal="right" vertical="center" wrapText="1"/>
    </xf>
    <xf numFmtId="0" fontId="165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6" fillId="0" borderId="11" xfId="0" applyNumberFormat="1" applyFont="1" applyBorder="1" applyAlignment="1">
      <alignment horizontal="center" vertical="center" wrapText="1"/>
    </xf>
    <xf numFmtId="1" fontId="166" fillId="0" borderId="11" xfId="0" applyNumberFormat="1" applyFont="1" applyBorder="1" applyAlignment="1">
      <alignment horizontal="right" vertical="center" wrapText="1"/>
    </xf>
    <xf numFmtId="168" fontId="166" fillId="0" borderId="11" xfId="0" applyNumberFormat="1" applyFont="1" applyBorder="1" applyAlignment="1">
      <alignment horizontal="right" vertical="center" wrapText="1"/>
    </xf>
    <xf numFmtId="0" fontId="167" fillId="0" borderId="0" xfId="0" applyFont="1"/>
    <xf numFmtId="14" fontId="153" fillId="0" borderId="1" xfId="1777" applyNumberFormat="1" applyFont="1" applyBorder="1" applyAlignment="1">
      <alignment horizontal="center" vertical="center"/>
    </xf>
    <xf numFmtId="0" fontId="143" fillId="0" borderId="1" xfId="1777" applyFont="1" applyBorder="1" applyAlignment="1">
      <alignment horizontal="center" vertical="center" wrapText="1"/>
    </xf>
    <xf numFmtId="14" fontId="155" fillId="0" borderId="1" xfId="1777" applyNumberFormat="1" applyFont="1" applyBorder="1" applyAlignment="1">
      <alignment horizontal="center" vertical="center"/>
    </xf>
    <xf numFmtId="14" fontId="153" fillId="0" borderId="11" xfId="1777" applyNumberFormat="1" applyFont="1" applyBorder="1" applyAlignment="1">
      <alignment horizontal="center" vertical="center"/>
    </xf>
    <xf numFmtId="0" fontId="154" fillId="0" borderId="9" xfId="1777" applyFont="1" applyBorder="1" applyAlignment="1">
      <alignment horizontal="center" vertical="center"/>
    </xf>
    <xf numFmtId="0" fontId="153" fillId="0" borderId="41" xfId="1777" applyFont="1" applyBorder="1" applyAlignment="1">
      <alignment horizontal="center" vertical="center"/>
    </xf>
    <xf numFmtId="0" fontId="154" fillId="0" borderId="42" xfId="1777" applyFont="1" applyBorder="1" applyAlignment="1">
      <alignment horizontal="center" vertical="center"/>
    </xf>
    <xf numFmtId="14" fontId="143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6" fillId="75" borderId="1" xfId="206" applyNumberFormat="1" applyFont="1" applyFill="1" applyBorder="1" applyAlignment="1">
      <alignment horizontal="center" vertical="center" wrapText="1"/>
    </xf>
    <xf numFmtId="168" fontId="136" fillId="75" borderId="9" xfId="0" applyNumberFormat="1" applyFont="1" applyFill="1" applyBorder="1" applyAlignment="1">
      <alignment horizontal="center" vertical="center"/>
    </xf>
    <xf numFmtId="2" fontId="136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6" fillId="75" borderId="1" xfId="0" applyNumberFormat="1" applyFont="1" applyFill="1" applyBorder="1" applyAlignment="1">
      <alignment horizontal="center" vertical="center" wrapText="1"/>
    </xf>
    <xf numFmtId="2" fontId="136" fillId="75" borderId="1" xfId="0" applyNumberFormat="1" applyFont="1" applyFill="1" applyBorder="1" applyAlignment="1">
      <alignment horizontal="center" vertical="center"/>
    </xf>
    <xf numFmtId="0" fontId="137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68" fillId="0" borderId="0" xfId="0" applyFont="1"/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5" fillId="71" borderId="1" xfId="0" applyFont="1" applyFill="1" applyBorder="1" applyAlignment="1">
      <alignment horizontal="center" vertical="center"/>
    </xf>
    <xf numFmtId="0" fontId="155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5" fillId="0" borderId="0" xfId="0" applyFont="1" applyAlignment="1">
      <alignment horizontal="center" vertical="center"/>
    </xf>
    <xf numFmtId="0" fontId="167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2" fontId="169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48" fillId="3" borderId="1" xfId="0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22" fillId="64" borderId="103" xfId="0" applyFont="1" applyFill="1" applyBorder="1" applyAlignment="1">
      <alignment horizontal="center" vertical="center" wrapText="1"/>
    </xf>
    <xf numFmtId="0" fontId="122" fillId="64" borderId="104" xfId="0" applyFont="1" applyFill="1" applyBorder="1" applyAlignment="1">
      <alignment horizontal="center" vertical="center" wrapText="1"/>
    </xf>
    <xf numFmtId="0" fontId="122" fillId="64" borderId="105" xfId="0" applyFont="1" applyFill="1" applyBorder="1" applyAlignment="1">
      <alignment horizontal="center" vertical="center" wrapText="1"/>
    </xf>
    <xf numFmtId="14" fontId="133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1" fillId="0" borderId="0" xfId="0" applyFont="1" applyAlignment="1">
      <alignment horizontal="left" vertical="center"/>
    </xf>
    <xf numFmtId="0" fontId="142" fillId="0" borderId="0" xfId="0" applyFont="1" applyAlignment="1">
      <alignment vertical="center" wrapText="1"/>
    </xf>
    <xf numFmtId="0" fontId="177" fillId="0" borderId="0" xfId="0" applyFont="1" applyAlignment="1">
      <alignment vertical="center"/>
    </xf>
    <xf numFmtId="0" fontId="177" fillId="0" borderId="0" xfId="0" applyFont="1" applyAlignment="1">
      <alignment horizontal="right" vertical="center"/>
    </xf>
    <xf numFmtId="0" fontId="125" fillId="0" borderId="0" xfId="0" applyFont="1" applyAlignment="1">
      <alignment vertical="top"/>
    </xf>
    <xf numFmtId="208" fontId="148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5" fillId="3" borderId="50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208" fontId="148" fillId="3" borderId="1" xfId="0" applyNumberFormat="1" applyFont="1" applyFill="1" applyBorder="1" applyAlignment="1">
      <alignment horizontal="center" vertical="center" wrapText="1"/>
    </xf>
    <xf numFmtId="208" fontId="148" fillId="3" borderId="9" xfId="0" applyNumberFormat="1" applyFont="1" applyFill="1" applyBorder="1" applyAlignment="1">
      <alignment horizontal="center" vertical="center" wrapText="1"/>
    </xf>
    <xf numFmtId="208" fontId="133" fillId="3" borderId="1" xfId="0" applyNumberFormat="1" applyFont="1" applyFill="1" applyBorder="1" applyAlignment="1">
      <alignment horizontal="center" vertical="center"/>
    </xf>
    <xf numFmtId="208" fontId="133" fillId="3" borderId="9" xfId="0" applyNumberFormat="1" applyFont="1" applyFill="1" applyBorder="1" applyAlignment="1">
      <alignment horizontal="center" vertical="center"/>
    </xf>
    <xf numFmtId="208" fontId="167" fillId="3" borderId="11" xfId="0" applyNumberFormat="1" applyFont="1" applyFill="1" applyBorder="1" applyAlignment="1">
      <alignment horizontal="center" vertical="center"/>
    </xf>
    <xf numFmtId="208" fontId="167" fillId="3" borderId="42" xfId="0" applyNumberFormat="1" applyFont="1" applyFill="1" applyBorder="1" applyAlignment="1">
      <alignment horizontal="center" vertical="center"/>
    </xf>
    <xf numFmtId="0" fontId="178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0" fillId="0" borderId="9" xfId="1777" applyFont="1" applyBorder="1" applyAlignment="1">
      <alignment horizontal="center" vertical="center" wrapText="1"/>
    </xf>
    <xf numFmtId="0" fontId="142" fillId="2" borderId="47" xfId="219" applyFont="1" applyFill="1" applyBorder="1" applyAlignment="1">
      <alignment horizontal="center" vertical="center" wrapText="1"/>
    </xf>
    <xf numFmtId="0" fontId="142" fillId="2" borderId="4" xfId="219" applyFont="1" applyFill="1" applyBorder="1" applyAlignment="1">
      <alignment horizontal="center" vertical="center" wrapText="1"/>
    </xf>
    <xf numFmtId="0" fontId="142" fillId="2" borderId="51" xfId="219" applyFont="1" applyFill="1" applyBorder="1" applyAlignment="1">
      <alignment horizontal="center" vertical="center" wrapText="1"/>
    </xf>
    <xf numFmtId="0" fontId="180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2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2" fillId="3" borderId="4" xfId="0" applyFont="1" applyFill="1" applyBorder="1" applyAlignment="1">
      <alignment horizontal="center" vertical="center" wrapText="1"/>
    </xf>
    <xf numFmtId="0" fontId="142" fillId="3" borderId="1" xfId="0" applyNumberFormat="1" applyFont="1" applyFill="1" applyBorder="1" applyAlignment="1">
      <alignment horizontal="center" vertical="center" wrapText="1"/>
    </xf>
    <xf numFmtId="0" fontId="142" fillId="3" borderId="4" xfId="0" applyFont="1" applyFill="1" applyBorder="1" applyAlignment="1" applyProtection="1">
      <alignment horizontal="center" vertical="center"/>
      <protection locked="0"/>
    </xf>
    <xf numFmtId="2" fontId="142" fillId="3" borderId="1" xfId="0" applyNumberFormat="1" applyFont="1" applyFill="1" applyBorder="1" applyAlignment="1">
      <alignment horizontal="center" vertical="center"/>
    </xf>
    <xf numFmtId="0" fontId="142" fillId="3" borderId="1" xfId="0" applyFont="1" applyFill="1" applyBorder="1" applyAlignment="1">
      <alignment horizontal="center" vertical="center"/>
    </xf>
    <xf numFmtId="0" fontId="142" fillId="3" borderId="83" xfId="0" applyFont="1" applyFill="1" applyBorder="1" applyAlignment="1" applyProtection="1">
      <alignment horizontal="center" vertical="center"/>
      <protection locked="0"/>
    </xf>
    <xf numFmtId="0" fontId="142" fillId="3" borderId="11" xfId="0" applyFont="1" applyFill="1" applyBorder="1" applyAlignment="1">
      <alignment horizontal="center" vertical="center"/>
    </xf>
    <xf numFmtId="0" fontId="142" fillId="57" borderId="9" xfId="0" applyFont="1" applyFill="1" applyBorder="1" applyAlignment="1">
      <alignment horizontal="center" vertical="center" wrapText="1"/>
    </xf>
    <xf numFmtId="168" fontId="142" fillId="57" borderId="9" xfId="0" applyNumberFormat="1" applyFont="1" applyFill="1" applyBorder="1" applyAlignment="1">
      <alignment horizontal="center" vertical="center" wrapText="1"/>
    </xf>
    <xf numFmtId="2" fontId="142" fillId="57" borderId="9" xfId="0" applyNumberFormat="1" applyFont="1" applyFill="1" applyBorder="1" applyAlignment="1">
      <alignment horizontal="center" vertical="center" wrapText="1"/>
    </xf>
    <xf numFmtId="0" fontId="142" fillId="57" borderId="42" xfId="0" applyFont="1" applyFill="1" applyBorder="1" applyAlignment="1">
      <alignment horizontal="center" vertical="center" wrapText="1"/>
    </xf>
    <xf numFmtId="0" fontId="143" fillId="3" borderId="1" xfId="0" applyFont="1" applyFill="1" applyBorder="1" applyAlignment="1">
      <alignment horizontal="center" vertical="center"/>
    </xf>
    <xf numFmtId="16" fontId="143" fillId="3" borderId="1" xfId="0" quotePrefix="1" applyNumberFormat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/>
    </xf>
    <xf numFmtId="1" fontId="143" fillId="3" borderId="1" xfId="0" applyNumberFormat="1" applyFont="1" applyFill="1" applyBorder="1" applyAlignment="1">
      <alignment horizontal="center" vertical="center"/>
    </xf>
    <xf numFmtId="0" fontId="143" fillId="3" borderId="1" xfId="0" quotePrefix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 wrapText="1"/>
    </xf>
    <xf numFmtId="0" fontId="137" fillId="3" borderId="45" xfId="0" applyFont="1" applyFill="1" applyBorder="1" applyAlignment="1">
      <alignment horizontal="left" vertical="center" wrapText="1"/>
    </xf>
    <xf numFmtId="0" fontId="137" fillId="3" borderId="111" xfId="0" applyFont="1" applyFill="1" applyBorder="1" applyAlignment="1">
      <alignment horizontal="left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137" fillId="3" borderId="110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2" fillId="3" borderId="10" xfId="0" applyFont="1" applyFill="1" applyBorder="1" applyAlignment="1">
      <alignment horizontal="center" vertical="center" wrapText="1"/>
    </xf>
    <xf numFmtId="0" fontId="142" fillId="3" borderId="10" xfId="0" applyNumberFormat="1" applyFont="1" applyFill="1" applyBorder="1" applyAlignment="1">
      <alignment horizontal="center" vertical="center" wrapText="1"/>
    </xf>
    <xf numFmtId="0" fontId="142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14" fontId="133" fillId="57" borderId="1" xfId="0" applyNumberFormat="1" applyFont="1" applyFill="1" applyBorder="1" applyAlignment="1">
      <alignment horizontal="center" vertical="center"/>
    </xf>
    <xf numFmtId="168" fontId="147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7" fillId="64" borderId="12" xfId="0" applyFont="1" applyFill="1" applyBorder="1" applyAlignment="1">
      <alignment horizontal="center" vertical="center" wrapText="1"/>
    </xf>
    <xf numFmtId="210" fontId="101" fillId="0" borderId="11" xfId="0" applyNumberFormat="1" applyFont="1" applyBorder="1" applyAlignment="1">
      <alignment horizontal="right" vertical="center"/>
    </xf>
    <xf numFmtId="43" fontId="96" fillId="0" borderId="1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7" fillId="0" borderId="0" xfId="0" applyFont="1"/>
    <xf numFmtId="0" fontId="104" fillId="0" borderId="11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43" fillId="0" borderId="11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3" fillId="0" borderId="0" xfId="0" applyFont="1" applyBorder="1" applyAlignment="1">
      <alignment horizontal="center" vertical="center" wrapText="1"/>
    </xf>
    <xf numFmtId="169" fontId="163" fillId="0" borderId="0" xfId="0" applyNumberFormat="1" applyFont="1" applyBorder="1" applyAlignment="1">
      <alignment horizontal="center" vertical="center" wrapText="1"/>
    </xf>
    <xf numFmtId="0" fontId="122" fillId="84" borderId="106" xfId="0" applyFont="1" applyFill="1" applyBorder="1" applyAlignment="1">
      <alignment horizontal="center" vertical="center" wrapText="1"/>
    </xf>
    <xf numFmtId="0" fontId="122" fillId="84" borderId="107" xfId="0" applyFont="1" applyFill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67" fillId="0" borderId="11" xfId="0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87" fillId="85" borderId="52" xfId="0" applyFont="1" applyFill="1" applyBorder="1" applyAlignment="1">
      <alignment horizontal="center" vertical="center"/>
    </xf>
    <xf numFmtId="0" fontId="87" fillId="85" borderId="25" xfId="0" applyFont="1" applyFill="1" applyBorder="1" applyAlignment="1">
      <alignment horizontal="center" vertical="center" wrapText="1"/>
    </xf>
    <xf numFmtId="0" fontId="87" fillId="85" borderId="56" xfId="0" applyFont="1" applyFill="1" applyBorder="1" applyAlignment="1">
      <alignment horizontal="center" vertical="center"/>
    </xf>
    <xf numFmtId="0" fontId="87" fillId="85" borderId="41" xfId="0" applyFont="1" applyFill="1" applyBorder="1" applyAlignment="1">
      <alignment horizontal="center" vertical="center"/>
    </xf>
    <xf numFmtId="0" fontId="87" fillId="85" borderId="11" xfId="0" applyFont="1" applyFill="1" applyBorder="1" applyAlignment="1">
      <alignment horizontal="center" vertical="center"/>
    </xf>
    <xf numFmtId="0" fontId="87" fillId="85" borderId="42" xfId="0" applyFont="1" applyFill="1" applyBorder="1" applyAlignment="1">
      <alignment horizontal="center" vertical="center"/>
    </xf>
    <xf numFmtId="14" fontId="137" fillId="85" borderId="2" xfId="0" applyNumberFormat="1" applyFont="1" applyFill="1" applyBorder="1" applyAlignment="1">
      <alignment horizontal="center" vertical="center"/>
    </xf>
    <xf numFmtId="14" fontId="137" fillId="85" borderId="93" xfId="0" applyNumberFormat="1" applyFont="1" applyFill="1" applyBorder="1" applyAlignment="1">
      <alignment horizontal="center" vertical="center"/>
    </xf>
    <xf numFmtId="14" fontId="137" fillId="85" borderId="117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112" xfId="0" applyFont="1" applyFill="1" applyBorder="1" applyAlignment="1">
      <alignment horizontal="center" vertical="center"/>
    </xf>
    <xf numFmtId="0" fontId="142" fillId="86" borderId="113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167" fillId="57" borderId="1" xfId="0" applyFont="1" applyFill="1" applyBorder="1" applyAlignment="1">
      <alignment horizontal="center" vertical="center"/>
    </xf>
    <xf numFmtId="0" fontId="186" fillId="57" borderId="1" xfId="0" applyFont="1" applyFill="1" applyBorder="1" applyAlignment="1">
      <alignment horizontal="center" vertical="center" wrapText="1"/>
    </xf>
    <xf numFmtId="0" fontId="87" fillId="0" borderId="7" xfId="0" applyFont="1" applyBorder="1" applyAlignment="1">
      <alignment horizontal="center" vertical="center"/>
    </xf>
    <xf numFmtId="0" fontId="87" fillId="0" borderId="10" xfId="0" applyFont="1" applyBorder="1" applyAlignment="1">
      <alignment horizontal="center" vertical="center" wrapText="1"/>
    </xf>
    <xf numFmtId="0" fontId="87" fillId="0" borderId="8" xfId="0" applyFont="1" applyBorder="1" applyAlignment="1">
      <alignment horizontal="center" vertical="center"/>
    </xf>
    <xf numFmtId="14" fontId="137" fillId="0" borderId="90" xfId="0" applyNumberFormat="1" applyFont="1" applyBorder="1" applyAlignment="1">
      <alignment horizontal="center" vertical="center"/>
    </xf>
    <xf numFmtId="0" fontId="186" fillId="87" borderId="1" xfId="0" applyFont="1" applyFill="1" applyBorder="1" applyAlignment="1">
      <alignment horizontal="center" vertical="center"/>
    </xf>
    <xf numFmtId="0" fontId="143" fillId="3" borderId="116" xfId="0" applyFont="1" applyFill="1" applyBorder="1" applyAlignment="1">
      <alignment horizontal="center" vertical="center"/>
    </xf>
    <xf numFmtId="0" fontId="94" fillId="3" borderId="11" xfId="0" applyFont="1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/>
    </xf>
    <xf numFmtId="14" fontId="137" fillId="0" borderId="118" xfId="0" applyNumberFormat="1" applyFont="1" applyBorder="1" applyAlignment="1">
      <alignment horizontal="center" vertical="center"/>
    </xf>
    <xf numFmtId="0" fontId="167" fillId="87" borderId="1" xfId="0" applyFont="1" applyFill="1" applyBorder="1" applyAlignment="1">
      <alignment horizontal="center" vertical="center"/>
    </xf>
    <xf numFmtId="0" fontId="167" fillId="87" borderId="9" xfId="0" applyFont="1" applyFill="1" applyBorder="1" applyAlignment="1">
      <alignment horizontal="center" vertical="center"/>
    </xf>
    <xf numFmtId="0" fontId="167" fillId="57" borderId="11" xfId="0" applyFont="1" applyFill="1" applyBorder="1" applyAlignment="1">
      <alignment horizontal="center" vertical="center"/>
    </xf>
    <xf numFmtId="0" fontId="167" fillId="57" borderId="42" xfId="0" applyFont="1" applyFill="1" applyBorder="1" applyAlignment="1">
      <alignment horizontal="center" vertical="center"/>
    </xf>
    <xf numFmtId="0" fontId="143" fillId="3" borderId="1" xfId="0" applyFont="1" applyFill="1" applyBorder="1" applyAlignment="1">
      <alignment horizontal="center" vertical="center" wrapText="1"/>
    </xf>
    <xf numFmtId="0" fontId="143" fillId="0" borderId="1" xfId="0" applyFont="1" applyBorder="1" applyAlignment="1">
      <alignment horizontal="center" vertical="center" wrapText="1"/>
    </xf>
    <xf numFmtId="0" fontId="143" fillId="0" borderId="1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33" fillId="57" borderId="1" xfId="0" applyFont="1" applyFill="1" applyBorder="1" applyAlignment="1">
      <alignment horizontal="center" vertical="center"/>
    </xf>
    <xf numFmtId="0" fontId="142" fillId="71" borderId="58" xfId="0" applyFont="1" applyFill="1" applyBorder="1" applyAlignment="1">
      <alignment horizontal="center" vertical="center" wrapText="1"/>
    </xf>
    <xf numFmtId="0" fontId="142" fillId="71" borderId="59" xfId="0" applyFont="1" applyFill="1" applyBorder="1" applyAlignment="1">
      <alignment horizontal="center" vertical="center" wrapText="1"/>
    </xf>
    <xf numFmtId="14" fontId="142" fillId="71" borderId="59" xfId="0" applyNumberFormat="1" applyFont="1" applyFill="1" applyBorder="1" applyAlignment="1">
      <alignment horizontal="center" vertical="center" wrapText="1"/>
    </xf>
    <xf numFmtId="0" fontId="142" fillId="71" borderId="60" xfId="0" applyFont="1" applyFill="1" applyBorder="1" applyAlignment="1">
      <alignment horizontal="center" vertical="center" wrapText="1"/>
    </xf>
    <xf numFmtId="0" fontId="182" fillId="0" borderId="0" xfId="0" applyFont="1"/>
    <xf numFmtId="0" fontId="133" fillId="3" borderId="0" xfId="0" applyFont="1" applyFill="1" applyAlignment="1">
      <alignment horizontal="center" vertical="center" wrapText="1"/>
    </xf>
    <xf numFmtId="0" fontId="129" fillId="71" borderId="1" xfId="0" applyFont="1" applyFill="1" applyBorder="1" applyAlignment="1">
      <alignment horizontal="center" vertical="center"/>
    </xf>
    <xf numFmtId="0" fontId="129" fillId="71" borderId="1" xfId="0" applyFont="1" applyFill="1" applyBorder="1" applyAlignment="1">
      <alignment horizontal="center" vertical="center" wrapText="1"/>
    </xf>
    <xf numFmtId="0" fontId="189" fillId="71" borderId="1" xfId="0" applyFont="1" applyFill="1" applyBorder="1" applyAlignment="1">
      <alignment horizontal="center" vertical="center"/>
    </xf>
    <xf numFmtId="0" fontId="126" fillId="84" borderId="1" xfId="0" applyFont="1" applyFill="1" applyBorder="1" applyAlignment="1">
      <alignment horizontal="center" vertical="center" wrapText="1"/>
    </xf>
    <xf numFmtId="0" fontId="163" fillId="0" borderId="0" xfId="0" applyFont="1" applyAlignment="1">
      <alignment horizontal="center" vertical="center"/>
    </xf>
    <xf numFmtId="0" fontId="126" fillId="0" borderId="81" xfId="0" applyFont="1" applyBorder="1" applyAlignment="1">
      <alignment horizontal="center" vertical="center" wrapText="1"/>
    </xf>
    <xf numFmtId="1" fontId="126" fillId="0" borderId="81" xfId="0" applyNumberFormat="1" applyFont="1" applyBorder="1" applyAlignment="1">
      <alignment horizontal="center" vertical="center" wrapText="1"/>
    </xf>
    <xf numFmtId="0" fontId="126" fillId="66" borderId="81" xfId="0" applyFont="1" applyFill="1" applyBorder="1" applyAlignment="1">
      <alignment horizontal="center" vertical="center" wrapText="1"/>
    </xf>
    <xf numFmtId="0" fontId="126" fillId="0" borderId="81" xfId="0" applyFont="1" applyBorder="1" applyAlignment="1">
      <alignment horizontal="left" vertical="center" wrapText="1"/>
    </xf>
    <xf numFmtId="0" fontId="126" fillId="0" borderId="0" xfId="0" applyFont="1" applyAlignment="1">
      <alignment horizontal="center" vertical="center"/>
    </xf>
    <xf numFmtId="0" fontId="191" fillId="0" borderId="0" xfId="0" applyFont="1" applyAlignment="1">
      <alignment horizontal="center" vertical="center"/>
    </xf>
    <xf numFmtId="169" fontId="126" fillId="0" borderId="81" xfId="0" applyNumberFormat="1" applyFont="1" applyBorder="1" applyAlignment="1">
      <alignment horizontal="center" vertical="center" wrapText="1"/>
    </xf>
    <xf numFmtId="0" fontId="141" fillId="0" borderId="96" xfId="0" applyFont="1" applyBorder="1" applyAlignment="1">
      <alignment horizontal="center" vertical="center" wrapText="1"/>
    </xf>
    <xf numFmtId="2" fontId="141" fillId="0" borderId="96" xfId="0" applyNumberFormat="1" applyFont="1" applyBorder="1" applyAlignment="1">
      <alignment horizontal="center" vertical="center" wrapText="1"/>
    </xf>
    <xf numFmtId="2" fontId="141" fillId="3" borderId="96" xfId="0" applyNumberFormat="1" applyFont="1" applyFill="1" applyBorder="1" applyAlignment="1">
      <alignment horizontal="center" vertical="center" wrapText="1"/>
    </xf>
    <xf numFmtId="2" fontId="141" fillId="65" borderId="96" xfId="0" applyNumberFormat="1" applyFont="1" applyFill="1" applyBorder="1" applyAlignment="1">
      <alignment horizontal="center" vertical="center" wrapText="1"/>
    </xf>
    <xf numFmtId="169" fontId="193" fillId="0" borderId="0" xfId="0" applyNumberFormat="1" applyFont="1"/>
    <xf numFmtId="0" fontId="193" fillId="0" borderId="0" xfId="0" applyFont="1"/>
    <xf numFmtId="2" fontId="141" fillId="0" borderId="81" xfId="0" applyNumberFormat="1" applyFont="1" applyBorder="1" applyAlignment="1">
      <alignment horizontal="center" vertical="center" wrapText="1"/>
    </xf>
    <xf numFmtId="2" fontId="141" fillId="65" borderId="81" xfId="0" applyNumberFormat="1" applyFont="1" applyFill="1" applyBorder="1" applyAlignment="1">
      <alignment horizontal="center" vertical="center" wrapText="1"/>
    </xf>
    <xf numFmtId="0" fontId="117" fillId="64" borderId="52" xfId="0" applyFont="1" applyFill="1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17" fillId="64" borderId="56" xfId="0" applyFont="1" applyFill="1" applyBorder="1" applyAlignment="1">
      <alignment vertical="center" wrapText="1"/>
    </xf>
    <xf numFmtId="0" fontId="94" fillId="3" borderId="1" xfId="0" applyFont="1" applyFill="1" applyBorder="1" applyAlignment="1">
      <alignment vertical="center" wrapText="1"/>
    </xf>
    <xf numFmtId="14" fontId="94" fillId="3" borderId="1" xfId="0" applyNumberFormat="1" applyFont="1" applyFill="1" applyBorder="1" applyAlignment="1">
      <alignment vertical="center" wrapText="1"/>
    </xf>
    <xf numFmtId="0" fontId="163" fillId="84" borderId="46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29" fillId="83" borderId="7" xfId="0" applyFont="1" applyFill="1" applyBorder="1" applyAlignment="1">
      <alignment horizontal="center" vertical="center"/>
    </xf>
    <xf numFmtId="0" fontId="129" fillId="83" borderId="10" xfId="0" applyFont="1" applyFill="1" applyBorder="1" applyAlignment="1">
      <alignment horizontal="center" vertical="center" wrapText="1"/>
    </xf>
    <xf numFmtId="0" fontId="189" fillId="83" borderId="1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2" fillId="71" borderId="1" xfId="0" applyFont="1" applyFill="1" applyBorder="1" applyAlignment="1">
      <alignment horizontal="center" vertical="center"/>
    </xf>
    <xf numFmtId="0" fontId="177" fillId="0" borderId="0" xfId="0" applyFont="1" applyAlignment="1">
      <alignment horizontal="left" vertical="center"/>
    </xf>
    <xf numFmtId="0" fontId="137" fillId="82" borderId="1" xfId="0" applyFont="1" applyFill="1" applyBorder="1" applyAlignment="1">
      <alignment horizontal="center" vertical="center"/>
    </xf>
    <xf numFmtId="2" fontId="126" fillId="0" borderId="81" xfId="0" applyNumberFormat="1" applyFont="1" applyBorder="1" applyAlignment="1">
      <alignment horizontal="center" vertical="center" wrapText="1"/>
    </xf>
    <xf numFmtId="0" fontId="177" fillId="0" borderId="1" xfId="0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76" fillId="0" borderId="0" xfId="0" applyFont="1" applyAlignment="1">
      <alignment vertical="top"/>
    </xf>
    <xf numFmtId="0" fontId="0" fillId="0" borderId="49" xfId="0" applyBorder="1" applyAlignment="1">
      <alignment horizontal="center" vertical="center" wrapText="1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167" fillId="57" borderId="1" xfId="0" applyFont="1" applyFill="1" applyBorder="1" applyAlignment="1">
      <alignment horizontal="center" vertical="center" wrapText="1"/>
    </xf>
    <xf numFmtId="0" fontId="87" fillId="85" borderId="7" xfId="0" applyFont="1" applyFill="1" applyBorder="1" applyAlignment="1">
      <alignment horizontal="center" vertical="center" wrapText="1"/>
    </xf>
    <xf numFmtId="0" fontId="87" fillId="85" borderId="10" xfId="0" applyFont="1" applyFill="1" applyBorder="1" applyAlignment="1">
      <alignment horizontal="center" vertical="center" wrapText="1"/>
    </xf>
    <xf numFmtId="0" fontId="87" fillId="85" borderId="8" xfId="0" applyFont="1" applyFill="1" applyBorder="1" applyAlignment="1">
      <alignment horizontal="center" vertical="center" wrapText="1"/>
    </xf>
    <xf numFmtId="0" fontId="167" fillId="57" borderId="90" xfId="0" applyFont="1" applyFill="1" applyBorder="1" applyAlignment="1">
      <alignment horizontal="center" vertical="center" wrapText="1"/>
    </xf>
    <xf numFmtId="0" fontId="167" fillId="57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7" fillId="85" borderId="6" xfId="0" applyFont="1" applyFill="1" applyBorder="1" applyAlignment="1">
      <alignment horizontal="center" vertical="center" wrapText="1"/>
    </xf>
    <xf numFmtId="0" fontId="87" fillId="85" borderId="1" xfId="0" applyFont="1" applyFill="1" applyBorder="1" applyAlignment="1">
      <alignment horizontal="center" vertical="center" wrapText="1"/>
    </xf>
    <xf numFmtId="0" fontId="87" fillId="85" borderId="9" xfId="0" applyFont="1" applyFill="1" applyBorder="1" applyAlignment="1">
      <alignment horizontal="center" vertical="center" wrapText="1"/>
    </xf>
    <xf numFmtId="0" fontId="167" fillId="57" borderId="49" xfId="0" applyFont="1" applyFill="1" applyBorder="1" applyAlignment="1">
      <alignment horizontal="center" vertical="center" wrapText="1"/>
    </xf>
    <xf numFmtId="0" fontId="143" fillId="0" borderId="49" xfId="0" applyFont="1" applyBorder="1" applyAlignment="1">
      <alignment horizontal="center" vertical="center" wrapText="1"/>
    </xf>
    <xf numFmtId="0" fontId="186" fillId="87" borderId="1" xfId="0" applyFont="1" applyFill="1" applyBorder="1" applyAlignment="1">
      <alignment horizontal="center" vertical="center" wrapText="1"/>
    </xf>
    <xf numFmtId="0" fontId="167" fillId="57" borderId="8" xfId="0" applyFont="1" applyFill="1" applyBorder="1" applyAlignment="1">
      <alignment horizontal="center" vertical="center" wrapText="1"/>
    </xf>
    <xf numFmtId="0" fontId="167" fillId="57" borderId="9" xfId="0" applyFont="1" applyFill="1" applyBorder="1" applyAlignment="1">
      <alignment horizontal="center" vertical="center" wrapText="1"/>
    </xf>
    <xf numFmtId="0" fontId="186" fillId="87" borderId="9" xfId="0" applyFont="1" applyFill="1" applyBorder="1" applyAlignment="1">
      <alignment horizontal="center" vertical="center" wrapText="1"/>
    </xf>
    <xf numFmtId="0" fontId="143" fillId="0" borderId="9" xfId="0" applyFont="1" applyBorder="1" applyAlignment="1">
      <alignment horizontal="center" vertical="center" wrapText="1"/>
    </xf>
    <xf numFmtId="0" fontId="183" fillId="0" borderId="0" xfId="0" applyFont="1"/>
    <xf numFmtId="0" fontId="16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137" fillId="88" borderId="2" xfId="0" applyNumberFormat="1" applyFont="1" applyFill="1" applyBorder="1" applyAlignment="1">
      <alignment horizontal="center" vertical="center"/>
    </xf>
    <xf numFmtId="0" fontId="87" fillId="88" borderId="12" xfId="0" applyFont="1" applyFill="1" applyBorder="1" applyAlignment="1">
      <alignment horizontal="center" vertical="center"/>
    </xf>
    <xf numFmtId="0" fontId="87" fillId="85" borderId="54" xfId="0" applyFont="1" applyFill="1" applyBorder="1" applyAlignment="1">
      <alignment horizontal="center" vertical="center" wrapText="1"/>
    </xf>
    <xf numFmtId="0" fontId="87" fillId="85" borderId="91" xfId="0" applyFont="1" applyFill="1" applyBorder="1" applyAlignment="1">
      <alignment horizontal="center" vertical="center" wrapText="1"/>
    </xf>
    <xf numFmtId="0" fontId="87" fillId="84" borderId="91" xfId="0" applyFont="1" applyFill="1" applyBorder="1" applyAlignment="1">
      <alignment horizontal="center" vertical="center" wrapText="1"/>
    </xf>
    <xf numFmtId="0" fontId="87" fillId="77" borderId="91" xfId="0" applyFont="1" applyFill="1" applyBorder="1" applyAlignment="1">
      <alignment horizontal="center" vertical="center" wrapText="1"/>
    </xf>
    <xf numFmtId="0" fontId="87" fillId="77" borderId="119" xfId="0" applyFont="1" applyFill="1" applyBorder="1" applyAlignment="1">
      <alignment horizontal="center" vertical="center"/>
    </xf>
    <xf numFmtId="0" fontId="87" fillId="88" borderId="13" xfId="0" applyFont="1" applyFill="1" applyBorder="1" applyAlignment="1">
      <alignment horizontal="center" vertical="center"/>
    </xf>
    <xf numFmtId="0" fontId="87" fillId="88" borderId="120" xfId="0" applyFont="1" applyFill="1" applyBorder="1" applyAlignment="1">
      <alignment horizontal="center" vertical="center" wrapText="1"/>
    </xf>
    <xf numFmtId="0" fontId="87" fillId="85" borderId="64" xfId="0" applyFont="1" applyFill="1" applyBorder="1" applyAlignment="1">
      <alignment horizontal="center" vertical="center" wrapText="1"/>
    </xf>
    <xf numFmtId="0" fontId="87" fillId="84" borderId="65" xfId="0" applyFont="1" applyFill="1" applyBorder="1" applyAlignment="1">
      <alignment horizontal="center" vertical="center" wrapText="1"/>
    </xf>
    <xf numFmtId="0" fontId="87" fillId="77" borderId="65" xfId="0" applyFont="1" applyFill="1" applyBorder="1" applyAlignment="1">
      <alignment horizontal="center" vertical="center" wrapText="1"/>
    </xf>
    <xf numFmtId="0" fontId="137" fillId="77" borderId="121" xfId="0" applyFont="1" applyFill="1" applyBorder="1" applyAlignment="1">
      <alignment horizontal="center" vertical="center"/>
    </xf>
    <xf numFmtId="0" fontId="197" fillId="0" borderId="81" xfId="0" applyFont="1" applyBorder="1" applyAlignment="1">
      <alignment horizontal="center" vertical="center" wrapText="1"/>
    </xf>
    <xf numFmtId="0" fontId="129" fillId="68" borderId="6" xfId="0" applyFont="1" applyFill="1" applyBorder="1" applyAlignment="1">
      <alignment horizontal="center" vertical="center"/>
    </xf>
    <xf numFmtId="0" fontId="129" fillId="68" borderId="41" xfId="0" applyFont="1" applyFill="1" applyBorder="1" applyAlignment="1">
      <alignment horizontal="center" vertical="center"/>
    </xf>
    <xf numFmtId="0" fontId="87" fillId="85" borderId="53" xfId="0" applyFont="1" applyFill="1" applyBorder="1" applyAlignment="1">
      <alignment horizontal="center" vertical="center" wrapText="1"/>
    </xf>
    <xf numFmtId="0" fontId="87" fillId="85" borderId="31" xfId="0" applyFont="1" applyFill="1" applyBorder="1" applyAlignment="1">
      <alignment horizontal="center" vertical="center" wrapText="1"/>
    </xf>
    <xf numFmtId="0" fontId="87" fillId="84" borderId="31" xfId="0" applyFont="1" applyFill="1" applyBorder="1" applyAlignment="1">
      <alignment horizontal="center" vertical="center" wrapText="1"/>
    </xf>
    <xf numFmtId="0" fontId="87" fillId="77" borderId="31" xfId="0" applyFont="1" applyFill="1" applyBorder="1" applyAlignment="1">
      <alignment horizontal="center" vertical="center" wrapText="1"/>
    </xf>
    <xf numFmtId="0" fontId="87" fillId="77" borderId="122" xfId="0" applyFont="1" applyFill="1" applyBorder="1" applyAlignment="1">
      <alignment horizontal="center" vertical="center"/>
    </xf>
    <xf numFmtId="0" fontId="186" fillId="3" borderId="1" xfId="0" applyFont="1" applyFill="1" applyBorder="1" applyAlignment="1">
      <alignment horizontal="center" vertical="center" wrapText="1"/>
    </xf>
    <xf numFmtId="0" fontId="114" fillId="57" borderId="1" xfId="0" applyFont="1" applyFill="1" applyBorder="1" applyAlignment="1">
      <alignment horizontal="center" vertical="center"/>
    </xf>
    <xf numFmtId="0" fontId="167" fillId="3" borderId="1" xfId="0" applyFont="1" applyFill="1" applyBorder="1" applyAlignment="1">
      <alignment horizontal="center" vertical="center"/>
    </xf>
    <xf numFmtId="0" fontId="189" fillId="68" borderId="1" xfId="0" applyFont="1" applyFill="1" applyBorder="1" applyAlignment="1">
      <alignment horizontal="center" vertical="center"/>
    </xf>
    <xf numFmtId="0" fontId="189" fillId="68" borderId="11" xfId="0" applyFont="1" applyFill="1" applyBorder="1" applyAlignment="1">
      <alignment horizontal="center" vertical="center"/>
    </xf>
    <xf numFmtId="0" fontId="129" fillId="68" borderId="1" xfId="0" applyFont="1" applyFill="1" applyBorder="1" applyAlignment="1">
      <alignment horizontal="center" vertical="center" wrapText="1"/>
    </xf>
    <xf numFmtId="0" fontId="129" fillId="68" borderId="11" xfId="0" applyFont="1" applyFill="1" applyBorder="1" applyAlignment="1">
      <alignment horizontal="center" vertical="center" wrapText="1"/>
    </xf>
    <xf numFmtId="168" fontId="164" fillId="3" borderId="1" xfId="0" applyNumberFormat="1" applyFont="1" applyFill="1" applyBorder="1" applyAlignment="1">
      <alignment horizontal="center" vertical="center" wrapText="1"/>
    </xf>
    <xf numFmtId="168" fontId="164" fillId="3" borderId="1" xfId="0" quotePrefix="1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3" fillId="0" borderId="82" xfId="0" applyFont="1" applyBorder="1" applyAlignment="1">
      <alignment vertical="center" wrapText="1"/>
    </xf>
    <xf numFmtId="0" fontId="123" fillId="0" borderId="101" xfId="0" applyFont="1" applyBorder="1" applyAlignment="1">
      <alignment vertical="center" wrapText="1"/>
    </xf>
    <xf numFmtId="0" fontId="123" fillId="0" borderId="96" xfId="0" applyFont="1" applyBorder="1" applyAlignment="1">
      <alignment vertical="center" wrapText="1"/>
    </xf>
    <xf numFmtId="0" fontId="130" fillId="0" borderId="87" xfId="0" quotePrefix="1" applyFont="1" applyBorder="1" applyAlignment="1">
      <alignment horizontal="left" vertical="center" wrapText="1"/>
    </xf>
    <xf numFmtId="0" fontId="130" fillId="0" borderId="88" xfId="0" quotePrefix="1" applyFont="1" applyBorder="1" applyAlignment="1">
      <alignment horizontal="left" vertical="center" wrapText="1"/>
    </xf>
    <xf numFmtId="0" fontId="130" fillId="0" borderId="89" xfId="0" quotePrefix="1" applyFont="1" applyBorder="1" applyAlignment="1">
      <alignment horizontal="left"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29" fillId="64" borderId="87" xfId="0" applyFont="1" applyFill="1" applyBorder="1" applyAlignment="1">
      <alignment horizontal="center" vertical="center" wrapText="1"/>
    </xf>
    <xf numFmtId="0" fontId="129" fillId="64" borderId="88" xfId="0" applyFont="1" applyFill="1" applyBorder="1" applyAlignment="1">
      <alignment horizontal="center" vertical="center" wrapText="1"/>
    </xf>
    <xf numFmtId="0" fontId="129" fillId="64" borderId="89" xfId="0" applyFont="1" applyFill="1" applyBorder="1" applyAlignment="1">
      <alignment horizontal="center" vertical="center" wrapText="1"/>
    </xf>
    <xf numFmtId="0" fontId="126" fillId="64" borderId="87" xfId="0" applyFont="1" applyFill="1" applyBorder="1" applyAlignment="1">
      <alignment horizontal="center" vertical="center"/>
    </xf>
    <xf numFmtId="0" fontId="126" fillId="64" borderId="88" xfId="0" applyFont="1" applyFill="1" applyBorder="1" applyAlignment="1">
      <alignment horizontal="center" vertical="center"/>
    </xf>
    <xf numFmtId="0" fontId="126" fillId="64" borderId="89" xfId="0" applyFont="1" applyFill="1" applyBorder="1" applyAlignment="1">
      <alignment horizontal="center" vertical="center"/>
    </xf>
    <xf numFmtId="0" fontId="122" fillId="64" borderId="105" xfId="0" applyFont="1" applyFill="1" applyBorder="1" applyAlignment="1">
      <alignment horizontal="center" vertical="center" wrapText="1"/>
    </xf>
    <xf numFmtId="0" fontId="122" fillId="64" borderId="17" xfId="0" applyFont="1" applyFill="1" applyBorder="1" applyAlignment="1">
      <alignment horizontal="center" vertical="center" wrapText="1"/>
    </xf>
    <xf numFmtId="0" fontId="129" fillId="64" borderId="21" xfId="0" applyFont="1" applyFill="1" applyBorder="1" applyAlignment="1">
      <alignment horizontal="center" vertical="center" wrapText="1"/>
    </xf>
    <xf numFmtId="0" fontId="129" fillId="64" borderId="22" xfId="0" applyFont="1" applyFill="1" applyBorder="1" applyAlignment="1">
      <alignment horizontal="center" vertical="center" wrapText="1"/>
    </xf>
    <xf numFmtId="0" fontId="129" fillId="64" borderId="23" xfId="0" applyFont="1" applyFill="1" applyBorder="1" applyAlignment="1">
      <alignment horizontal="center" vertical="center" wrapText="1"/>
    </xf>
    <xf numFmtId="0" fontId="193" fillId="0" borderId="95" xfId="0" applyFont="1" applyBorder="1" applyAlignment="1">
      <alignment horizontal="left" vertical="center" wrapText="1"/>
    </xf>
    <xf numFmtId="0" fontId="193" fillId="0" borderId="102" xfId="0" applyFont="1" applyBorder="1" applyAlignment="1">
      <alignment horizontal="left" vertical="center" wrapText="1"/>
    </xf>
    <xf numFmtId="0" fontId="193" fillId="0" borderId="87" xfId="0" applyFont="1" applyBorder="1" applyAlignment="1">
      <alignment horizontal="left" vertical="center" wrapText="1"/>
    </xf>
    <xf numFmtId="0" fontId="193" fillId="0" borderId="89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87" fillId="84" borderId="7" xfId="0" applyFont="1" applyFill="1" applyBorder="1" applyAlignment="1">
      <alignment horizontal="center" vertical="center" wrapText="1"/>
    </xf>
    <xf numFmtId="0" fontId="187" fillId="84" borderId="10" xfId="0" applyFont="1" applyFill="1" applyBorder="1" applyAlignment="1">
      <alignment horizontal="center" vertical="center" wrapText="1"/>
    </xf>
    <xf numFmtId="0" fontId="187" fillId="84" borderId="8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63" fillId="84" borderId="44" xfId="0" applyFont="1" applyFill="1" applyBorder="1" applyAlignment="1">
      <alignment horizontal="center" vertical="center" wrapText="1"/>
    </xf>
    <xf numFmtId="0" fontId="119" fillId="83" borderId="10" xfId="0" applyFont="1" applyFill="1" applyBorder="1" applyAlignment="1">
      <alignment horizontal="center" vertical="center"/>
    </xf>
    <xf numFmtId="0" fontId="190" fillId="83" borderId="10" xfId="0" applyFont="1" applyFill="1" applyBorder="1" applyAlignment="1">
      <alignment horizontal="center" vertical="center" wrapText="1"/>
    </xf>
    <xf numFmtId="0" fontId="190" fillId="83" borderId="8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177" fillId="0" borderId="1" xfId="0" applyFont="1" applyBorder="1" applyAlignment="1">
      <alignment horizontal="left" vertical="center"/>
    </xf>
    <xf numFmtId="2" fontId="190" fillId="68" borderId="11" xfId="0" applyNumberFormat="1" applyFont="1" applyFill="1" applyBorder="1" applyAlignment="1">
      <alignment horizontal="center" vertical="center"/>
    </xf>
    <xf numFmtId="0" fontId="194" fillId="68" borderId="11" xfId="0" applyFont="1" applyFill="1" applyBorder="1" applyAlignment="1">
      <alignment horizontal="center" vertical="center" wrapText="1"/>
    </xf>
    <xf numFmtId="0" fontId="196" fillId="68" borderId="11" xfId="0" applyFont="1" applyFill="1" applyBorder="1" applyAlignment="1">
      <alignment horizontal="center" vertical="center" wrapText="1"/>
    </xf>
    <xf numFmtId="0" fontId="196" fillId="68" borderId="42" xfId="0" applyFont="1" applyFill="1" applyBorder="1" applyAlignment="1">
      <alignment horizontal="center" vertical="center" wrapText="1"/>
    </xf>
    <xf numFmtId="0" fontId="177" fillId="0" borderId="0" xfId="0" applyFont="1" applyAlignment="1">
      <alignment horizontal="left" vertical="center"/>
    </xf>
    <xf numFmtId="0" fontId="190" fillId="68" borderId="11" xfId="0" applyFont="1" applyFill="1" applyBorder="1" applyAlignment="1">
      <alignment horizontal="center" vertical="center"/>
    </xf>
    <xf numFmtId="0" fontId="188" fillId="0" borderId="21" xfId="1777" applyFont="1" applyBorder="1" applyAlignment="1" applyProtection="1">
      <alignment horizontal="center"/>
      <protection hidden="1"/>
    </xf>
    <xf numFmtId="0" fontId="188" fillId="0" borderId="22" xfId="1777" applyFont="1" applyBorder="1" applyAlignment="1" applyProtection="1">
      <alignment horizontal="center"/>
      <protection hidden="1"/>
    </xf>
    <xf numFmtId="0" fontId="188" fillId="0" borderId="23" xfId="1777" applyFont="1" applyBorder="1" applyAlignment="1" applyProtection="1">
      <alignment horizontal="center"/>
      <protection hidden="1"/>
    </xf>
    <xf numFmtId="0" fontId="119" fillId="71" borderId="1" xfId="0" applyFont="1" applyFill="1" applyBorder="1" applyAlignment="1">
      <alignment horizontal="center" vertical="center"/>
    </xf>
    <xf numFmtId="0" fontId="190" fillId="71" borderId="1" xfId="0" applyFont="1" applyFill="1" applyBorder="1" applyAlignment="1">
      <alignment horizontal="center" vertical="center"/>
    </xf>
    <xf numFmtId="0" fontId="122" fillId="84" borderId="108" xfId="0" applyFont="1" applyFill="1" applyBorder="1" applyAlignment="1">
      <alignment horizontal="center" vertical="center" wrapText="1"/>
    </xf>
    <xf numFmtId="0" fontId="122" fillId="84" borderId="109" xfId="0" applyFont="1" applyFill="1" applyBorder="1" applyAlignment="1">
      <alignment horizontal="center" vertical="center" wrapText="1"/>
    </xf>
    <xf numFmtId="0" fontId="122" fillId="84" borderId="18" xfId="0" applyFont="1" applyFill="1" applyBorder="1" applyAlignment="1">
      <alignment horizontal="center" vertical="center" wrapText="1"/>
    </xf>
    <xf numFmtId="0" fontId="198" fillId="71" borderId="1" xfId="0" applyFont="1" applyFill="1" applyBorder="1" applyAlignment="1">
      <alignment horizontal="center" vertical="center" wrapText="1"/>
    </xf>
    <xf numFmtId="0" fontId="187" fillId="84" borderId="21" xfId="0" applyFont="1" applyFill="1" applyBorder="1" applyAlignment="1">
      <alignment horizontal="center" vertical="center" wrapText="1"/>
    </xf>
    <xf numFmtId="0" fontId="187" fillId="84" borderId="22" xfId="0" applyFont="1" applyFill="1" applyBorder="1" applyAlignment="1">
      <alignment horizontal="center" vertical="center" wrapText="1"/>
    </xf>
    <xf numFmtId="0" fontId="187" fillId="84" borderId="23" xfId="0" applyFont="1" applyFill="1" applyBorder="1" applyAlignment="1">
      <alignment horizontal="center" vertical="center" wrapText="1"/>
    </xf>
    <xf numFmtId="0" fontId="142" fillId="71" borderId="112" xfId="0" applyFont="1" applyFill="1" applyBorder="1" applyAlignment="1">
      <alignment horizontal="center" vertical="center" wrapText="1"/>
    </xf>
    <xf numFmtId="0" fontId="142" fillId="71" borderId="22" xfId="0" applyFont="1" applyFill="1" applyBorder="1" applyAlignment="1">
      <alignment horizontal="center" vertical="center" wrapText="1"/>
    </xf>
    <xf numFmtId="0" fontId="142" fillId="71" borderId="113" xfId="0" applyFont="1" applyFill="1" applyBorder="1" applyAlignment="1">
      <alignment horizontal="center" vertical="center" wrapText="1"/>
    </xf>
    <xf numFmtId="0" fontId="195" fillId="0" borderId="0" xfId="0" applyFont="1" applyAlignment="1">
      <alignment horizontal="left" vertical="center"/>
    </xf>
    <xf numFmtId="0" fontId="177" fillId="0" borderId="7" xfId="0" applyFont="1" applyBorder="1" applyAlignment="1">
      <alignment horizontal="left" vertical="top" wrapText="1"/>
    </xf>
    <xf numFmtId="0" fontId="177" fillId="0" borderId="10" xfId="0" applyFont="1" applyBorder="1" applyAlignment="1">
      <alignment horizontal="left" vertical="top" wrapText="1"/>
    </xf>
    <xf numFmtId="0" fontId="177" fillId="0" borderId="8" xfId="0" applyFont="1" applyBorder="1" applyAlignment="1">
      <alignment horizontal="left" vertical="top" wrapText="1"/>
    </xf>
    <xf numFmtId="0" fontId="177" fillId="0" borderId="6" xfId="0" applyFont="1" applyBorder="1" applyAlignment="1">
      <alignment horizontal="left" vertical="top" wrapText="1"/>
    </xf>
    <xf numFmtId="0" fontId="177" fillId="0" borderId="1" xfId="0" applyFont="1" applyBorder="1" applyAlignment="1">
      <alignment horizontal="left" vertical="top" wrapText="1"/>
    </xf>
    <xf numFmtId="0" fontId="177" fillId="0" borderId="9" xfId="0" applyFont="1" applyBorder="1" applyAlignment="1">
      <alignment horizontal="left" vertical="top" wrapText="1"/>
    </xf>
    <xf numFmtId="0" fontId="177" fillId="0" borderId="41" xfId="0" applyFont="1" applyBorder="1" applyAlignment="1">
      <alignment horizontal="left" vertical="top" wrapText="1"/>
    </xf>
    <xf numFmtId="0" fontId="177" fillId="0" borderId="11" xfId="0" applyFont="1" applyBorder="1" applyAlignment="1">
      <alignment horizontal="left" vertical="top" wrapText="1"/>
    </xf>
    <xf numFmtId="0" fontId="177" fillId="0" borderId="42" xfId="0" applyFont="1" applyBorder="1" applyAlignment="1">
      <alignment horizontal="left" vertical="top" wrapText="1"/>
    </xf>
    <xf numFmtId="0" fontId="122" fillId="84" borderId="12" xfId="0" applyFont="1" applyFill="1" applyBorder="1" applyAlignment="1">
      <alignment horizontal="center" vertical="center" wrapText="1"/>
    </xf>
    <xf numFmtId="0" fontId="122" fillId="84" borderId="13" xfId="0" applyFont="1" applyFill="1" applyBorder="1" applyAlignment="1">
      <alignment horizontal="center" vertical="center" wrapText="1"/>
    </xf>
    <xf numFmtId="0" fontId="190" fillId="68" borderId="1" xfId="0" applyFont="1" applyFill="1" applyBorder="1" applyAlignment="1">
      <alignment horizontal="center" vertical="center"/>
    </xf>
    <xf numFmtId="2" fontId="190" fillId="68" borderId="1" xfId="0" applyNumberFormat="1" applyFont="1" applyFill="1" applyBorder="1" applyAlignment="1">
      <alignment horizontal="center" vertical="center"/>
    </xf>
    <xf numFmtId="0" fontId="187" fillId="84" borderId="1" xfId="0" applyFont="1" applyFill="1" applyBorder="1" applyAlignment="1">
      <alignment horizontal="center" vertical="center" wrapText="1"/>
    </xf>
    <xf numFmtId="0" fontId="126" fillId="84" borderId="1" xfId="0" applyFont="1" applyFill="1" applyBorder="1" applyAlignment="1">
      <alignment horizontal="center" vertical="center" wrapText="1"/>
    </xf>
    <xf numFmtId="0" fontId="140" fillId="3" borderId="1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175" fillId="3" borderId="1" xfId="0" applyFont="1" applyFill="1" applyBorder="1" applyAlignment="1">
      <alignment horizontal="center" vertical="center" wrapText="1"/>
    </xf>
    <xf numFmtId="0" fontId="173" fillId="3" borderId="1" xfId="0" applyFont="1" applyFill="1" applyBorder="1" applyAlignment="1">
      <alignment horizontal="center" vertical="center" wrapText="1"/>
    </xf>
    <xf numFmtId="0" fontId="170" fillId="3" borderId="1" xfId="0" applyFont="1" applyFill="1" applyBorder="1" applyAlignment="1">
      <alignment horizontal="center" vertical="center" wrapText="1"/>
    </xf>
    <xf numFmtId="0" fontId="148" fillId="57" borderId="45" xfId="0" applyFont="1" applyFill="1" applyBorder="1" applyAlignment="1">
      <alignment horizontal="center" vertical="center" wrapText="1"/>
    </xf>
    <xf numFmtId="0" fontId="148" fillId="57" borderId="31" xfId="0" applyFont="1" applyFill="1" applyBorder="1" applyAlignment="1">
      <alignment horizontal="center" vertical="center" wrapText="1"/>
    </xf>
    <xf numFmtId="0" fontId="148" fillId="57" borderId="49" xfId="0" applyFont="1" applyFill="1" applyBorder="1" applyAlignment="1">
      <alignment horizontal="center" vertical="center" wrapText="1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6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71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29" fillId="64" borderId="87" xfId="0" applyFont="1" applyFill="1" applyBorder="1" applyAlignment="1">
      <alignment horizontal="center" vertical="center"/>
    </xf>
    <xf numFmtId="0" fontId="129" fillId="64" borderId="88" xfId="0" applyFont="1" applyFill="1" applyBorder="1" applyAlignment="1">
      <alignment horizontal="center" vertical="center"/>
    </xf>
    <xf numFmtId="0" fontId="129" fillId="64" borderId="89" xfId="0" applyFont="1" applyFill="1" applyBorder="1" applyAlignment="1">
      <alignment horizontal="center" vertical="center"/>
    </xf>
    <xf numFmtId="0" fontId="120" fillId="0" borderId="1" xfId="0" applyFont="1" applyBorder="1" applyAlignment="1">
      <alignment horizontal="center" vertical="center" wrapText="1"/>
    </xf>
    <xf numFmtId="0" fontId="120" fillId="0" borderId="1" xfId="0" applyFont="1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18" fillId="68" borderId="1" xfId="0" applyFont="1" applyFill="1" applyBorder="1" applyAlignment="1">
      <alignment horizontal="left" vertical="center" wrapText="1"/>
    </xf>
    <xf numFmtId="0" fontId="129" fillId="64" borderId="45" xfId="0" applyFont="1" applyFill="1" applyBorder="1" applyAlignment="1">
      <alignment horizontal="center" vertical="center" wrapText="1"/>
    </xf>
    <xf numFmtId="0" fontId="129" fillId="64" borderId="31" xfId="0" applyFont="1" applyFill="1" applyBorder="1" applyAlignment="1">
      <alignment horizontal="center" vertical="center" wrapText="1"/>
    </xf>
    <xf numFmtId="0" fontId="129" fillId="64" borderId="49" xfId="0" applyFont="1" applyFill="1" applyBorder="1" applyAlignment="1">
      <alignment horizontal="center" vertical="center" wrapText="1"/>
    </xf>
    <xf numFmtId="0" fontId="122" fillId="64" borderId="1" xfId="0" applyFont="1" applyFill="1" applyBorder="1" applyAlignment="1">
      <alignment horizontal="center" vertical="center" wrapText="1"/>
    </xf>
    <xf numFmtId="0" fontId="123" fillId="0" borderId="95" xfId="0" applyFont="1" applyBorder="1" applyAlignment="1">
      <alignment horizontal="left" vertical="center" wrapText="1"/>
    </xf>
    <xf numFmtId="0" fontId="123" fillId="0" borderId="102" xfId="0" applyFont="1" applyBorder="1" applyAlignment="1">
      <alignment horizontal="left" vertical="center" wrapText="1"/>
    </xf>
    <xf numFmtId="0" fontId="123" fillId="0" borderId="87" xfId="0" applyFont="1" applyBorder="1" applyAlignment="1">
      <alignment horizontal="left" vertical="center" wrapText="1"/>
    </xf>
    <xf numFmtId="0" fontId="123" fillId="0" borderId="89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172" fillId="3" borderId="1" xfId="0" applyFont="1" applyFill="1" applyBorder="1" applyAlignment="1">
      <alignment horizontal="center" vertical="center" wrapText="1"/>
    </xf>
    <xf numFmtId="0" fontId="162" fillId="3" borderId="1" xfId="0" applyFont="1" applyFill="1" applyBorder="1" applyAlignment="1">
      <alignment horizontal="center" vertical="center"/>
    </xf>
    <xf numFmtId="0" fontId="119" fillId="68" borderId="1" xfId="0" applyFont="1" applyFill="1" applyBorder="1" applyAlignment="1">
      <alignment horizontal="left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85" fillId="3" borderId="1" xfId="0" applyFont="1" applyFill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19" fillId="68" borderId="45" xfId="0" applyFont="1" applyFill="1" applyBorder="1" applyAlignment="1">
      <alignment horizontal="left" vertical="center" wrapText="1"/>
    </xf>
    <xf numFmtId="0" fontId="119" fillId="68" borderId="31" xfId="0" applyFont="1" applyFill="1" applyBorder="1" applyAlignment="1">
      <alignment horizontal="left" vertical="center" wrapText="1"/>
    </xf>
    <xf numFmtId="0" fontId="119" fillId="68" borderId="49" xfId="0" applyFont="1" applyFill="1" applyBorder="1" applyAlignment="1">
      <alignment horizontal="left" vertical="center" wrapText="1"/>
    </xf>
    <xf numFmtId="0" fontId="133" fillId="0" borderId="1" xfId="0" applyFont="1" applyBorder="1" applyAlignment="1">
      <alignment horizontal="center" vertical="center" wrapText="1"/>
    </xf>
    <xf numFmtId="0" fontId="179" fillId="3" borderId="1" xfId="0" applyFont="1" applyFill="1" applyBorder="1" applyAlignment="1">
      <alignment horizontal="center" vertical="center" wrapText="1"/>
    </xf>
    <xf numFmtId="0" fontId="119" fillId="68" borderId="21" xfId="0" applyFont="1" applyFill="1" applyBorder="1" applyAlignment="1">
      <alignment horizontal="center" vertical="center" wrapText="1"/>
    </xf>
    <xf numFmtId="0" fontId="119" fillId="68" borderId="22" xfId="0" applyFont="1" applyFill="1" applyBorder="1" applyAlignment="1">
      <alignment horizontal="center" vertical="center" wrapText="1"/>
    </xf>
    <xf numFmtId="0" fontId="119" fillId="68" borderId="23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81" fillId="3" borderId="1" xfId="0" applyFont="1" applyFill="1" applyBorder="1" applyAlignment="1">
      <alignment horizontal="center" vertical="center" wrapText="1"/>
    </xf>
    <xf numFmtId="0" fontId="117" fillId="64" borderId="114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15" xfId="0" applyFont="1" applyFill="1" applyBorder="1" applyAlignment="1">
      <alignment horizontal="center" vertical="center" wrapText="1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0" fontId="113" fillId="3" borderId="0" xfId="0" applyFont="1" applyFill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3" fillId="0" borderId="19" xfId="0" applyFont="1" applyBorder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113" fillId="3" borderId="19" xfId="0" applyFont="1" applyFill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4" fillId="0" borderId="12" xfId="0" applyFont="1" applyBorder="1" applyAlignment="1">
      <alignment horizontal="center"/>
    </xf>
    <xf numFmtId="0" fontId="134" fillId="0" borderId="18" xfId="0" applyFont="1" applyBorder="1" applyAlignment="1">
      <alignment horizont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9" xfId="0" applyNumberFormat="1" applyFont="1" applyBorder="1" applyAlignment="1">
      <alignment horizontal="center" vertical="center"/>
    </xf>
    <xf numFmtId="0" fontId="184" fillId="86" borderId="52" xfId="0" quotePrefix="1" applyFont="1" applyFill="1" applyBorder="1" applyAlignment="1">
      <alignment horizontal="center"/>
    </xf>
    <xf numFmtId="0" fontId="184" fillId="86" borderId="25" xfId="0" quotePrefix="1" applyFont="1" applyFill="1" applyBorder="1" applyAlignment="1">
      <alignment horizontal="center"/>
    </xf>
    <xf numFmtId="0" fontId="184" fillId="86" borderId="56" xfId="0" quotePrefix="1" applyFont="1" applyFill="1" applyBorder="1" applyAlignment="1">
      <alignment horizontal="center"/>
    </xf>
    <xf numFmtId="0" fontId="184" fillId="86" borderId="58" xfId="0" applyFont="1" applyFill="1" applyBorder="1" applyAlignment="1">
      <alignment horizontal="center" vertical="center"/>
    </xf>
    <xf numFmtId="0" fontId="184" fillId="86" borderId="59" xfId="0" applyFont="1" applyFill="1" applyBorder="1" applyAlignment="1">
      <alignment horizontal="center" vertical="center"/>
    </xf>
    <xf numFmtId="0" fontId="184" fillId="86" borderId="60" xfId="0" applyFont="1" applyFill="1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5" fillId="74" borderId="43" xfId="0" applyFont="1" applyFill="1" applyBorder="1" applyAlignment="1">
      <alignment horizontal="center" vertical="center" wrapText="1"/>
    </xf>
    <xf numFmtId="0" fontId="165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4" fillId="74" borderId="1" xfId="0" applyFont="1" applyFill="1" applyBorder="1" applyAlignment="1">
      <alignment horizontal="center" vertical="center" wrapText="1"/>
    </xf>
    <xf numFmtId="0" fontId="164" fillId="74" borderId="9" xfId="0" applyFont="1" applyFill="1" applyBorder="1" applyAlignment="1">
      <alignment horizontal="center" vertical="center" wrapText="1"/>
    </xf>
    <xf numFmtId="0" fontId="166" fillId="0" borderId="41" xfId="0" applyFont="1" applyBorder="1" applyAlignment="1">
      <alignment horizontal="center" vertical="center" wrapText="1"/>
    </xf>
    <xf numFmtId="0" fontId="166" fillId="0" borderId="11" xfId="0" applyFont="1" applyBorder="1" applyAlignment="1">
      <alignment horizontal="center" vertical="center" wrapText="1"/>
    </xf>
    <xf numFmtId="0" fontId="164" fillId="74" borderId="6" xfId="0" applyFont="1" applyFill="1" applyBorder="1" applyAlignment="1">
      <alignment horizontal="center" vertical="center" wrapText="1"/>
    </xf>
    <xf numFmtId="0" fontId="144" fillId="0" borderId="54" xfId="1777" applyFont="1" applyBorder="1" applyAlignment="1">
      <alignment horizontal="center" vertical="center"/>
    </xf>
    <xf numFmtId="0" fontId="144" fillId="0" borderId="53" xfId="1777" applyFont="1" applyBorder="1" applyAlignment="1">
      <alignment horizontal="center" vertical="center"/>
    </xf>
    <xf numFmtId="0" fontId="144" fillId="0" borderId="91" xfId="1777" applyFont="1" applyBorder="1" applyAlignment="1">
      <alignment horizontal="left" vertical="center" wrapText="1"/>
    </xf>
    <xf numFmtId="0" fontId="144" fillId="0" borderId="31" xfId="1777" applyFont="1" applyBorder="1" applyAlignment="1">
      <alignment horizontal="left" vertical="center" wrapText="1"/>
    </xf>
    <xf numFmtId="0" fontId="144" fillId="0" borderId="49" xfId="1777" applyFont="1" applyBorder="1" applyAlignment="1">
      <alignment horizontal="left" vertical="center" wrapText="1"/>
    </xf>
    <xf numFmtId="0" fontId="152" fillId="74" borderId="21" xfId="219" applyFont="1" applyFill="1" applyBorder="1" applyAlignment="1" applyProtection="1">
      <alignment horizontal="center" vertical="center" wrapText="1"/>
      <protection locked="0"/>
    </xf>
    <xf numFmtId="0" fontId="152" fillId="74" borderId="22" xfId="219" applyFont="1" applyFill="1" applyBorder="1" applyAlignment="1" applyProtection="1">
      <alignment horizontal="center" vertical="center" wrapText="1"/>
      <protection locked="0"/>
    </xf>
    <xf numFmtId="0" fontId="152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  <xf numFmtId="0" fontId="200" fillId="71" borderId="1" xfId="0" applyFont="1" applyFill="1" applyBorder="1" applyAlignment="1">
      <alignment horizontal="center" vertical="center"/>
    </xf>
    <xf numFmtId="0" fontId="177" fillId="68" borderId="1" xfId="0" applyFont="1" applyFill="1" applyBorder="1" applyAlignment="1">
      <alignment horizontal="center" vertical="center" wrapText="1"/>
    </xf>
    <xf numFmtId="0" fontId="202" fillId="68" borderId="1" xfId="0" applyFont="1" applyFill="1" applyBorder="1" applyAlignment="1">
      <alignment horizontal="center" vertical="center" wrapText="1"/>
    </xf>
    <xf numFmtId="0" fontId="202" fillId="68" borderId="9" xfId="0" applyFont="1" applyFill="1" applyBorder="1" applyAlignment="1">
      <alignment horizontal="center" vertical="center" wrapText="1"/>
    </xf>
    <xf numFmtId="0" fontId="114" fillId="57" borderId="1" xfId="0" applyFont="1" applyFill="1" applyBorder="1" applyAlignment="1">
      <alignment horizontal="center" vertical="center" wrapText="1"/>
    </xf>
    <xf numFmtId="0" fontId="186" fillId="5" borderId="1" xfId="0" applyFont="1" applyFill="1" applyBorder="1" applyAlignment="1">
      <alignment horizontal="center" vertical="center" wrapText="1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6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B7ECF5"/>
      <color rgb="FF00FFFF"/>
      <color rgb="FFFF7A5B"/>
      <color rgb="FFFF0000"/>
      <color rgb="FFFF5399"/>
      <color rgb="FFFF0066"/>
      <color rgb="FFAE85FF"/>
      <color rgb="FF996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="" xmlns:a16="http://schemas.microsoft.com/office/drawing/2014/main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="" xmlns:a16="http://schemas.microsoft.com/office/drawing/2014/main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="" xmlns:a16="http://schemas.microsoft.com/office/drawing/2014/main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="" xmlns:a16="http://schemas.microsoft.com/office/drawing/2014/main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="" xmlns:a16="http://schemas.microsoft.com/office/drawing/2014/main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="" xmlns:a16="http://schemas.microsoft.com/office/drawing/2014/main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="" xmlns:a16="http://schemas.microsoft.com/office/drawing/2014/main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="" xmlns:a16="http://schemas.microsoft.com/office/drawing/2014/main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="" xmlns:a16="http://schemas.microsoft.com/office/drawing/2014/main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="" xmlns:a16="http://schemas.microsoft.com/office/drawing/2014/main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="" xmlns:a16="http://schemas.microsoft.com/office/drawing/2014/main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="" xmlns:a16="http://schemas.microsoft.com/office/drawing/2014/main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="" xmlns:a16="http://schemas.microsoft.com/office/drawing/2014/main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="" xmlns:a16="http://schemas.microsoft.com/office/drawing/2014/main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="" xmlns:a16="http://schemas.microsoft.com/office/drawing/2014/main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="" xmlns:a16="http://schemas.microsoft.com/office/drawing/2014/main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="" xmlns:a16="http://schemas.microsoft.com/office/drawing/2014/main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="" xmlns:a16="http://schemas.microsoft.com/office/drawing/2014/main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="" xmlns:a16="http://schemas.microsoft.com/office/drawing/2014/main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="" xmlns:a16="http://schemas.microsoft.com/office/drawing/2014/main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="" xmlns:a16="http://schemas.microsoft.com/office/drawing/2014/main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="" xmlns:a16="http://schemas.microsoft.com/office/drawing/2014/main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="" xmlns:a16="http://schemas.microsoft.com/office/drawing/2014/main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="" xmlns:a16="http://schemas.microsoft.com/office/drawing/2014/main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="" xmlns:a16="http://schemas.microsoft.com/office/drawing/2014/main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="" xmlns:a16="http://schemas.microsoft.com/office/drawing/2014/main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="" xmlns:a16="http://schemas.microsoft.com/office/drawing/2014/main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="" xmlns:a16="http://schemas.microsoft.com/office/drawing/2014/main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="" xmlns:a16="http://schemas.microsoft.com/office/drawing/2014/main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="" xmlns:a16="http://schemas.microsoft.com/office/drawing/2014/main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="" xmlns:a16="http://schemas.microsoft.com/office/drawing/2014/main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="" xmlns:a16="http://schemas.microsoft.com/office/drawing/2014/main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="" xmlns:a16="http://schemas.microsoft.com/office/drawing/2014/main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="" xmlns:a16="http://schemas.microsoft.com/office/drawing/2014/main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="" xmlns:a16="http://schemas.microsoft.com/office/drawing/2014/main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="" xmlns:a16="http://schemas.microsoft.com/office/drawing/2014/main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="" xmlns:a16="http://schemas.microsoft.com/office/drawing/2014/main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="" xmlns:a16="http://schemas.microsoft.com/office/drawing/2014/main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="" xmlns:a16="http://schemas.microsoft.com/office/drawing/2014/main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="" xmlns:a16="http://schemas.microsoft.com/office/drawing/2014/main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="" xmlns:a16="http://schemas.microsoft.com/office/drawing/2014/main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="" xmlns:a16="http://schemas.microsoft.com/office/drawing/2014/main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="" xmlns:a16="http://schemas.microsoft.com/office/drawing/2014/main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="" xmlns:a16="http://schemas.microsoft.com/office/drawing/2014/main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="" xmlns:a16="http://schemas.microsoft.com/office/drawing/2014/main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="" xmlns:a16="http://schemas.microsoft.com/office/drawing/2014/main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="" xmlns:a16="http://schemas.microsoft.com/office/drawing/2014/main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="" xmlns:a16="http://schemas.microsoft.com/office/drawing/2014/main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="" xmlns:a16="http://schemas.microsoft.com/office/drawing/2014/main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="" xmlns:a16="http://schemas.microsoft.com/office/drawing/2014/main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="" xmlns:a16="http://schemas.microsoft.com/office/drawing/2014/main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="" xmlns:a16="http://schemas.microsoft.com/office/drawing/2014/main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="" xmlns:a16="http://schemas.microsoft.com/office/drawing/2014/main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="" xmlns:a16="http://schemas.microsoft.com/office/drawing/2014/main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="" xmlns:a16="http://schemas.microsoft.com/office/drawing/2014/main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="" xmlns:a16="http://schemas.microsoft.com/office/drawing/2014/main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="" xmlns:a16="http://schemas.microsoft.com/office/drawing/2014/main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="" xmlns:a16="http://schemas.microsoft.com/office/drawing/2014/main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="" xmlns:a16="http://schemas.microsoft.com/office/drawing/2014/main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="" xmlns:a16="http://schemas.microsoft.com/office/drawing/2014/main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="" xmlns:a16="http://schemas.microsoft.com/office/drawing/2014/main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="" xmlns:a16="http://schemas.microsoft.com/office/drawing/2014/main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="" xmlns:a16="http://schemas.microsoft.com/office/drawing/2014/main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="" xmlns:a16="http://schemas.microsoft.com/office/drawing/2014/main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="" xmlns:a16="http://schemas.microsoft.com/office/drawing/2014/main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="" xmlns:a16="http://schemas.microsoft.com/office/drawing/2014/main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="" xmlns:a16="http://schemas.microsoft.com/office/drawing/2014/main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="" xmlns:a16="http://schemas.microsoft.com/office/drawing/2014/main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="" xmlns:a16="http://schemas.microsoft.com/office/drawing/2014/main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="" xmlns:a16="http://schemas.microsoft.com/office/drawing/2014/main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="" xmlns:a16="http://schemas.microsoft.com/office/drawing/2014/main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="" xmlns:a16="http://schemas.microsoft.com/office/drawing/2014/main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="" xmlns:a16="http://schemas.microsoft.com/office/drawing/2014/main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="" xmlns:a16="http://schemas.microsoft.com/office/drawing/2014/main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="" xmlns:a16="http://schemas.microsoft.com/office/drawing/2014/main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="" xmlns:a16="http://schemas.microsoft.com/office/drawing/2014/main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="" xmlns:a16="http://schemas.microsoft.com/office/drawing/2014/main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="" xmlns:a16="http://schemas.microsoft.com/office/drawing/2014/main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="" xmlns:a16="http://schemas.microsoft.com/office/drawing/2014/main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="" xmlns:a16="http://schemas.microsoft.com/office/drawing/2014/main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="" xmlns:a16="http://schemas.microsoft.com/office/drawing/2014/main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="" xmlns:a16="http://schemas.microsoft.com/office/drawing/2014/main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="" xmlns:a16="http://schemas.microsoft.com/office/drawing/2014/main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="" xmlns:a16="http://schemas.microsoft.com/office/drawing/2014/main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="" xmlns:a16="http://schemas.microsoft.com/office/drawing/2014/main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="" xmlns:a16="http://schemas.microsoft.com/office/drawing/2014/main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="" xmlns:a16="http://schemas.microsoft.com/office/drawing/2014/main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="" xmlns:a16="http://schemas.microsoft.com/office/drawing/2014/main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="" xmlns:a16="http://schemas.microsoft.com/office/drawing/2014/main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="" xmlns:a16="http://schemas.microsoft.com/office/drawing/2014/main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="" xmlns:a16="http://schemas.microsoft.com/office/drawing/2014/main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="" xmlns:a16="http://schemas.microsoft.com/office/drawing/2014/main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="" xmlns:a16="http://schemas.microsoft.com/office/drawing/2014/main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="" xmlns:a16="http://schemas.microsoft.com/office/drawing/2014/main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="" xmlns:a16="http://schemas.microsoft.com/office/drawing/2014/main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="" xmlns:a16="http://schemas.microsoft.com/office/drawing/2014/main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="" xmlns:a16="http://schemas.microsoft.com/office/drawing/2014/main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="" xmlns:a16="http://schemas.microsoft.com/office/drawing/2014/main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="" xmlns:a16="http://schemas.microsoft.com/office/drawing/2014/main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="" xmlns:a16="http://schemas.microsoft.com/office/drawing/2014/main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="" xmlns:a16="http://schemas.microsoft.com/office/drawing/2014/main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="" xmlns:a16="http://schemas.microsoft.com/office/drawing/2014/main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="" xmlns:a16="http://schemas.microsoft.com/office/drawing/2014/main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="" xmlns:a16="http://schemas.microsoft.com/office/drawing/2014/main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="" xmlns:a16="http://schemas.microsoft.com/office/drawing/2014/main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="" xmlns:a16="http://schemas.microsoft.com/office/drawing/2014/main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="" xmlns:a16="http://schemas.microsoft.com/office/drawing/2014/main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="" xmlns:a16="http://schemas.microsoft.com/office/drawing/2014/main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="" xmlns:a16="http://schemas.microsoft.com/office/drawing/2014/main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="" xmlns:a16="http://schemas.microsoft.com/office/drawing/2014/main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="" xmlns:a16="http://schemas.microsoft.com/office/drawing/2014/main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="" xmlns:a16="http://schemas.microsoft.com/office/drawing/2014/main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="" xmlns:a16="http://schemas.microsoft.com/office/drawing/2014/main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="" xmlns:a16="http://schemas.microsoft.com/office/drawing/2014/main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="" xmlns:a16="http://schemas.microsoft.com/office/drawing/2014/main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="" xmlns:a16="http://schemas.microsoft.com/office/drawing/2014/main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="" xmlns:a16="http://schemas.microsoft.com/office/drawing/2014/main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="" xmlns:a16="http://schemas.microsoft.com/office/drawing/2014/main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="" xmlns:a16="http://schemas.microsoft.com/office/drawing/2014/main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="" xmlns:a16="http://schemas.microsoft.com/office/drawing/2014/main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="" xmlns:a16="http://schemas.microsoft.com/office/drawing/2014/main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="" xmlns:a16="http://schemas.microsoft.com/office/drawing/2014/main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="" xmlns:a16="http://schemas.microsoft.com/office/drawing/2014/main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="" xmlns:a16="http://schemas.microsoft.com/office/drawing/2014/main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="" xmlns:a16="http://schemas.microsoft.com/office/drawing/2014/main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="" xmlns:a16="http://schemas.microsoft.com/office/drawing/2014/main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="" xmlns:a16="http://schemas.microsoft.com/office/drawing/2014/main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="" xmlns:a16="http://schemas.microsoft.com/office/drawing/2014/main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="" xmlns:a16="http://schemas.microsoft.com/office/drawing/2014/main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="" xmlns:a16="http://schemas.microsoft.com/office/drawing/2014/main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="" xmlns:a16="http://schemas.microsoft.com/office/drawing/2014/main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="" xmlns:a16="http://schemas.microsoft.com/office/drawing/2014/main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="" xmlns:a16="http://schemas.microsoft.com/office/drawing/2014/main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="" xmlns:a16="http://schemas.microsoft.com/office/drawing/2014/main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="" xmlns:a16="http://schemas.microsoft.com/office/drawing/2014/main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="" xmlns:a16="http://schemas.microsoft.com/office/drawing/2014/main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="" xmlns:a16="http://schemas.microsoft.com/office/drawing/2014/main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="" xmlns:a16="http://schemas.microsoft.com/office/drawing/2014/main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="" xmlns:a16="http://schemas.microsoft.com/office/drawing/2014/main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="" xmlns:a16="http://schemas.microsoft.com/office/drawing/2014/main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="" xmlns:a16="http://schemas.microsoft.com/office/drawing/2014/main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="" xmlns:a16="http://schemas.microsoft.com/office/drawing/2014/main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="" xmlns:a16="http://schemas.microsoft.com/office/drawing/2014/main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="" xmlns:a16="http://schemas.microsoft.com/office/drawing/2014/main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="" xmlns:a16="http://schemas.microsoft.com/office/drawing/2014/main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="" xmlns:a16="http://schemas.microsoft.com/office/drawing/2014/main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="" xmlns:a16="http://schemas.microsoft.com/office/drawing/2014/main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="" xmlns:a16="http://schemas.microsoft.com/office/drawing/2014/main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="" xmlns:a16="http://schemas.microsoft.com/office/drawing/2014/main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="" xmlns:a16="http://schemas.microsoft.com/office/drawing/2014/main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="" xmlns:a16="http://schemas.microsoft.com/office/drawing/2014/main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="" xmlns:a16="http://schemas.microsoft.com/office/drawing/2014/main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="" xmlns:a16="http://schemas.microsoft.com/office/drawing/2014/main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="" xmlns:a16="http://schemas.microsoft.com/office/drawing/2014/main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="" xmlns:a16="http://schemas.microsoft.com/office/drawing/2014/main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="" xmlns:a16="http://schemas.microsoft.com/office/drawing/2014/main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="" xmlns:a16="http://schemas.microsoft.com/office/drawing/2014/main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="" xmlns:a16="http://schemas.microsoft.com/office/drawing/2014/main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="" xmlns:a16="http://schemas.microsoft.com/office/drawing/2014/main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="" xmlns:a16="http://schemas.microsoft.com/office/drawing/2014/main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="" xmlns:a16="http://schemas.microsoft.com/office/drawing/2014/main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="" xmlns:a16="http://schemas.microsoft.com/office/drawing/2014/main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="" xmlns:a16="http://schemas.microsoft.com/office/drawing/2014/main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="" xmlns:a16="http://schemas.microsoft.com/office/drawing/2014/main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="" xmlns:a16="http://schemas.microsoft.com/office/drawing/2014/main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="" xmlns:a16="http://schemas.microsoft.com/office/drawing/2014/main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="" xmlns:a16="http://schemas.microsoft.com/office/drawing/2014/main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="" xmlns:a16="http://schemas.microsoft.com/office/drawing/2014/main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="" xmlns:a16="http://schemas.microsoft.com/office/drawing/2014/main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="" xmlns:a16="http://schemas.microsoft.com/office/drawing/2014/main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="" xmlns:a16="http://schemas.microsoft.com/office/drawing/2014/main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="" xmlns:a16="http://schemas.microsoft.com/office/drawing/2014/main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="" xmlns:a16="http://schemas.microsoft.com/office/drawing/2014/main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="" xmlns:a16="http://schemas.microsoft.com/office/drawing/2014/main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="" xmlns:a16="http://schemas.microsoft.com/office/drawing/2014/main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="" xmlns:a16="http://schemas.microsoft.com/office/drawing/2014/main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="" xmlns:a16="http://schemas.microsoft.com/office/drawing/2014/main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="" xmlns:a16="http://schemas.microsoft.com/office/drawing/2014/main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="" xmlns:a16="http://schemas.microsoft.com/office/drawing/2014/main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="" xmlns:a16="http://schemas.microsoft.com/office/drawing/2014/main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="" xmlns:a16="http://schemas.microsoft.com/office/drawing/2014/main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="" xmlns:a16="http://schemas.microsoft.com/office/drawing/2014/main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="" xmlns:a16="http://schemas.microsoft.com/office/drawing/2014/main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="" xmlns:a16="http://schemas.microsoft.com/office/drawing/2014/main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="" xmlns:a16="http://schemas.microsoft.com/office/drawing/2014/main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="" xmlns:a16="http://schemas.microsoft.com/office/drawing/2014/main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="" xmlns:a16="http://schemas.microsoft.com/office/drawing/2014/main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="" xmlns:a16="http://schemas.microsoft.com/office/drawing/2014/main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="" xmlns:a16="http://schemas.microsoft.com/office/drawing/2014/main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="" xmlns:a16="http://schemas.microsoft.com/office/drawing/2014/main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="" xmlns:a16="http://schemas.microsoft.com/office/drawing/2014/main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="" xmlns:a16="http://schemas.microsoft.com/office/drawing/2014/main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="" xmlns:a16="http://schemas.microsoft.com/office/drawing/2014/main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="" xmlns:a16="http://schemas.microsoft.com/office/drawing/2014/main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="" xmlns:a16="http://schemas.microsoft.com/office/drawing/2014/main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="" xmlns:a16="http://schemas.microsoft.com/office/drawing/2014/main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="" xmlns:a16="http://schemas.microsoft.com/office/drawing/2014/main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="" xmlns:a16="http://schemas.microsoft.com/office/drawing/2014/main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="" xmlns:a16="http://schemas.microsoft.com/office/drawing/2014/main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="" xmlns:a16="http://schemas.microsoft.com/office/drawing/2014/main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="" xmlns:a16="http://schemas.microsoft.com/office/drawing/2014/main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="" xmlns:a16="http://schemas.microsoft.com/office/drawing/2014/main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="" xmlns:a16="http://schemas.microsoft.com/office/drawing/2014/main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="" xmlns:a16="http://schemas.microsoft.com/office/drawing/2014/main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="" xmlns:a16="http://schemas.microsoft.com/office/drawing/2014/main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="" xmlns:a16="http://schemas.microsoft.com/office/drawing/2014/main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="" xmlns:a16="http://schemas.microsoft.com/office/drawing/2014/main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="" xmlns:a16="http://schemas.microsoft.com/office/drawing/2014/main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="" xmlns:a16="http://schemas.microsoft.com/office/drawing/2014/main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="" xmlns:a16="http://schemas.microsoft.com/office/drawing/2014/main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="" xmlns:a16="http://schemas.microsoft.com/office/drawing/2014/main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="" xmlns:a16="http://schemas.microsoft.com/office/drawing/2014/main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="" xmlns:a16="http://schemas.microsoft.com/office/drawing/2014/main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="" xmlns:a16="http://schemas.microsoft.com/office/drawing/2014/main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="" xmlns:a16="http://schemas.microsoft.com/office/drawing/2014/main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="" xmlns:a16="http://schemas.microsoft.com/office/drawing/2014/main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="" xmlns:a16="http://schemas.microsoft.com/office/drawing/2014/main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="" xmlns:a16="http://schemas.microsoft.com/office/drawing/2014/main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="" xmlns:a16="http://schemas.microsoft.com/office/drawing/2014/main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="" xmlns:a16="http://schemas.microsoft.com/office/drawing/2014/main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="" xmlns:a16="http://schemas.microsoft.com/office/drawing/2014/main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="" xmlns:a16="http://schemas.microsoft.com/office/drawing/2014/main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="" xmlns:a16="http://schemas.microsoft.com/office/drawing/2014/main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="" xmlns:a16="http://schemas.microsoft.com/office/drawing/2014/main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="" xmlns:a16="http://schemas.microsoft.com/office/drawing/2014/main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="" xmlns:a16="http://schemas.microsoft.com/office/drawing/2014/main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="" xmlns:a16="http://schemas.microsoft.com/office/drawing/2014/main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="" xmlns:a16="http://schemas.microsoft.com/office/drawing/2014/main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="" xmlns:a16="http://schemas.microsoft.com/office/drawing/2014/main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="" xmlns:a16="http://schemas.microsoft.com/office/drawing/2014/main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="" xmlns:a16="http://schemas.microsoft.com/office/drawing/2014/main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="" xmlns:a16="http://schemas.microsoft.com/office/drawing/2014/main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="" xmlns:a16="http://schemas.microsoft.com/office/drawing/2014/main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="" xmlns:a16="http://schemas.microsoft.com/office/drawing/2014/main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="" xmlns:a16="http://schemas.microsoft.com/office/drawing/2014/main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="" xmlns:a16="http://schemas.microsoft.com/office/drawing/2014/main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="" xmlns:a16="http://schemas.microsoft.com/office/drawing/2014/main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="" xmlns:a16="http://schemas.microsoft.com/office/drawing/2014/main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="" xmlns:a16="http://schemas.microsoft.com/office/drawing/2014/main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="" xmlns:a16="http://schemas.microsoft.com/office/drawing/2014/main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="" xmlns:a16="http://schemas.microsoft.com/office/drawing/2014/main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="" xmlns:a16="http://schemas.microsoft.com/office/drawing/2014/main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="" xmlns:a16="http://schemas.microsoft.com/office/drawing/2014/main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="" xmlns:a16="http://schemas.microsoft.com/office/drawing/2014/main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="" xmlns:a16="http://schemas.microsoft.com/office/drawing/2014/main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="" xmlns:a16="http://schemas.microsoft.com/office/drawing/2014/main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="" xmlns:a16="http://schemas.microsoft.com/office/drawing/2014/main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="" xmlns:a16="http://schemas.microsoft.com/office/drawing/2014/main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="" xmlns:a16="http://schemas.microsoft.com/office/drawing/2014/main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="" xmlns:a16="http://schemas.microsoft.com/office/drawing/2014/main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="" xmlns:a16="http://schemas.microsoft.com/office/drawing/2014/main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="" xmlns:a16="http://schemas.microsoft.com/office/drawing/2014/main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="" xmlns:a16="http://schemas.microsoft.com/office/drawing/2014/main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="" xmlns:a16="http://schemas.microsoft.com/office/drawing/2014/main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="" xmlns:a16="http://schemas.microsoft.com/office/drawing/2014/main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="" xmlns:a16="http://schemas.microsoft.com/office/drawing/2014/main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="" xmlns:a16="http://schemas.microsoft.com/office/drawing/2014/main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="" xmlns:a16="http://schemas.microsoft.com/office/drawing/2014/main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="" xmlns:a16="http://schemas.microsoft.com/office/drawing/2014/main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="" xmlns:a16="http://schemas.microsoft.com/office/drawing/2014/main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="" xmlns:a16="http://schemas.microsoft.com/office/drawing/2014/main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="" xmlns:a16="http://schemas.microsoft.com/office/drawing/2014/main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="" xmlns:a16="http://schemas.microsoft.com/office/drawing/2014/main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="" xmlns:a16="http://schemas.microsoft.com/office/drawing/2014/main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="" xmlns:a16="http://schemas.microsoft.com/office/drawing/2014/main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="" xmlns:a16="http://schemas.microsoft.com/office/drawing/2014/main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="" xmlns:a16="http://schemas.microsoft.com/office/drawing/2014/main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="" xmlns:a16="http://schemas.microsoft.com/office/drawing/2014/main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="" xmlns:a16="http://schemas.microsoft.com/office/drawing/2014/main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="" xmlns:a16="http://schemas.microsoft.com/office/drawing/2014/main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="" xmlns:a16="http://schemas.microsoft.com/office/drawing/2014/main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="" xmlns:a16="http://schemas.microsoft.com/office/drawing/2014/main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="" xmlns:a16="http://schemas.microsoft.com/office/drawing/2014/main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="" xmlns:a16="http://schemas.microsoft.com/office/drawing/2014/main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="" xmlns:a16="http://schemas.microsoft.com/office/drawing/2014/main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="" xmlns:a16="http://schemas.microsoft.com/office/drawing/2014/main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="" xmlns:a16="http://schemas.microsoft.com/office/drawing/2014/main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="" xmlns:a16="http://schemas.microsoft.com/office/drawing/2014/main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="" xmlns:a16="http://schemas.microsoft.com/office/drawing/2014/main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="" xmlns:a16="http://schemas.microsoft.com/office/drawing/2014/main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="" xmlns:a16="http://schemas.microsoft.com/office/drawing/2014/main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="" xmlns:a16="http://schemas.microsoft.com/office/drawing/2014/main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="" xmlns:a16="http://schemas.microsoft.com/office/drawing/2014/main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="" xmlns:a16="http://schemas.microsoft.com/office/drawing/2014/main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="" xmlns:a16="http://schemas.microsoft.com/office/drawing/2014/main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="" xmlns:a16="http://schemas.microsoft.com/office/drawing/2014/main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="" xmlns:a16="http://schemas.microsoft.com/office/drawing/2014/main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="" xmlns:a16="http://schemas.microsoft.com/office/drawing/2014/main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="" xmlns:a16="http://schemas.microsoft.com/office/drawing/2014/main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="" xmlns:a16="http://schemas.microsoft.com/office/drawing/2014/main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="" xmlns:a16="http://schemas.microsoft.com/office/drawing/2014/main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="" xmlns:a16="http://schemas.microsoft.com/office/drawing/2014/main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="" xmlns:a16="http://schemas.microsoft.com/office/drawing/2014/main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="" xmlns:a16="http://schemas.microsoft.com/office/drawing/2014/main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="" xmlns:a16="http://schemas.microsoft.com/office/drawing/2014/main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="" xmlns:a16="http://schemas.microsoft.com/office/drawing/2014/main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="" xmlns:a16="http://schemas.microsoft.com/office/drawing/2014/main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="" xmlns:a16="http://schemas.microsoft.com/office/drawing/2014/main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="" xmlns:a16="http://schemas.microsoft.com/office/drawing/2014/main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="" xmlns:a16="http://schemas.microsoft.com/office/drawing/2014/main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="" xmlns:a16="http://schemas.microsoft.com/office/drawing/2014/main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="" xmlns:a16="http://schemas.microsoft.com/office/drawing/2014/main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="" xmlns:a16="http://schemas.microsoft.com/office/drawing/2014/main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="" xmlns:a16="http://schemas.microsoft.com/office/drawing/2014/main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="" xmlns:a16="http://schemas.microsoft.com/office/drawing/2014/main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="" xmlns:a16="http://schemas.microsoft.com/office/drawing/2014/main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="" xmlns:a16="http://schemas.microsoft.com/office/drawing/2014/main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="" xmlns:a16="http://schemas.microsoft.com/office/drawing/2014/main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="" xmlns:a16="http://schemas.microsoft.com/office/drawing/2014/main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="" xmlns:a16="http://schemas.microsoft.com/office/drawing/2014/main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="" xmlns:a16="http://schemas.microsoft.com/office/drawing/2014/main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="" xmlns:a16="http://schemas.microsoft.com/office/drawing/2014/main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="" xmlns:a16="http://schemas.microsoft.com/office/drawing/2014/main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="" xmlns:a16="http://schemas.microsoft.com/office/drawing/2014/main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="" xmlns:a16="http://schemas.microsoft.com/office/drawing/2014/main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="" xmlns:a16="http://schemas.microsoft.com/office/drawing/2014/main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="" xmlns:a16="http://schemas.microsoft.com/office/drawing/2014/main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="" xmlns:a16="http://schemas.microsoft.com/office/drawing/2014/main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="" xmlns:a16="http://schemas.microsoft.com/office/drawing/2014/main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="" xmlns:a16="http://schemas.microsoft.com/office/drawing/2014/main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="" xmlns:a16="http://schemas.microsoft.com/office/drawing/2014/main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="" xmlns:a16="http://schemas.microsoft.com/office/drawing/2014/main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="" xmlns:a16="http://schemas.microsoft.com/office/drawing/2014/main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="" xmlns:a16="http://schemas.microsoft.com/office/drawing/2014/main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="" xmlns:a16="http://schemas.microsoft.com/office/drawing/2014/main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="" xmlns:a16="http://schemas.microsoft.com/office/drawing/2014/main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="" xmlns:a16="http://schemas.microsoft.com/office/drawing/2014/main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="" xmlns:a16="http://schemas.microsoft.com/office/drawing/2014/main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="" xmlns:a16="http://schemas.microsoft.com/office/drawing/2014/main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="" xmlns:a16="http://schemas.microsoft.com/office/drawing/2014/main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="" xmlns:a16="http://schemas.microsoft.com/office/drawing/2014/main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="" xmlns:a16="http://schemas.microsoft.com/office/drawing/2014/main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="" xmlns:a16="http://schemas.microsoft.com/office/drawing/2014/main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="" xmlns:a16="http://schemas.microsoft.com/office/drawing/2014/main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="" xmlns:a16="http://schemas.microsoft.com/office/drawing/2014/main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="" xmlns:a16="http://schemas.microsoft.com/office/drawing/2014/main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="" xmlns:a16="http://schemas.microsoft.com/office/drawing/2014/main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="" xmlns:a16="http://schemas.microsoft.com/office/drawing/2014/main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="" xmlns:a16="http://schemas.microsoft.com/office/drawing/2014/main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="" xmlns:a16="http://schemas.microsoft.com/office/drawing/2014/main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="" xmlns:a16="http://schemas.microsoft.com/office/drawing/2014/main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="" xmlns:a16="http://schemas.microsoft.com/office/drawing/2014/main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="" xmlns:a16="http://schemas.microsoft.com/office/drawing/2014/main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="" xmlns:a16="http://schemas.microsoft.com/office/drawing/2014/main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="" xmlns:a16="http://schemas.microsoft.com/office/drawing/2014/main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="" xmlns:a16="http://schemas.microsoft.com/office/drawing/2014/main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="" xmlns:a16="http://schemas.microsoft.com/office/drawing/2014/main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="" xmlns:a16="http://schemas.microsoft.com/office/drawing/2014/main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="" xmlns:a16="http://schemas.microsoft.com/office/drawing/2014/main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="" xmlns:a16="http://schemas.microsoft.com/office/drawing/2014/main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="" xmlns:a16="http://schemas.microsoft.com/office/drawing/2014/main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="" xmlns:a16="http://schemas.microsoft.com/office/drawing/2014/main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="" xmlns:a16="http://schemas.microsoft.com/office/drawing/2014/main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="" xmlns:a16="http://schemas.microsoft.com/office/drawing/2014/main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="" xmlns:a16="http://schemas.microsoft.com/office/drawing/2014/main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="" xmlns:a16="http://schemas.microsoft.com/office/drawing/2014/main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="" xmlns:a16="http://schemas.microsoft.com/office/drawing/2014/main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="" xmlns:a16="http://schemas.microsoft.com/office/drawing/2014/main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="" xmlns:a16="http://schemas.microsoft.com/office/drawing/2014/main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="" xmlns:a16="http://schemas.microsoft.com/office/drawing/2014/main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="" xmlns:a16="http://schemas.microsoft.com/office/drawing/2014/main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="" xmlns:a16="http://schemas.microsoft.com/office/drawing/2014/main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="" xmlns:a16="http://schemas.microsoft.com/office/drawing/2014/main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="" xmlns:a16="http://schemas.microsoft.com/office/drawing/2014/main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="" xmlns:a16="http://schemas.microsoft.com/office/drawing/2014/main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="" xmlns:a16="http://schemas.microsoft.com/office/drawing/2014/main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="" xmlns:a16="http://schemas.microsoft.com/office/drawing/2014/main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="" xmlns:a16="http://schemas.microsoft.com/office/drawing/2014/main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="" xmlns:a16="http://schemas.microsoft.com/office/drawing/2014/main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="" xmlns:a16="http://schemas.microsoft.com/office/drawing/2014/main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="" xmlns:a16="http://schemas.microsoft.com/office/drawing/2014/main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="" xmlns:a16="http://schemas.microsoft.com/office/drawing/2014/main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="" xmlns:a16="http://schemas.microsoft.com/office/drawing/2014/main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="" xmlns:a16="http://schemas.microsoft.com/office/drawing/2014/main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="" xmlns:a16="http://schemas.microsoft.com/office/drawing/2014/main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="" xmlns:a16="http://schemas.microsoft.com/office/drawing/2014/main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="" xmlns:a16="http://schemas.microsoft.com/office/drawing/2014/main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="" xmlns:a16="http://schemas.microsoft.com/office/drawing/2014/main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="" xmlns:a16="http://schemas.microsoft.com/office/drawing/2014/main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="" xmlns:a16="http://schemas.microsoft.com/office/drawing/2014/main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="" xmlns:a16="http://schemas.microsoft.com/office/drawing/2014/main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="" xmlns:a16="http://schemas.microsoft.com/office/drawing/2014/main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="" xmlns:a16="http://schemas.microsoft.com/office/drawing/2014/main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="" xmlns:a16="http://schemas.microsoft.com/office/drawing/2014/main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="" xmlns:a16="http://schemas.microsoft.com/office/drawing/2014/main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="" xmlns:a16="http://schemas.microsoft.com/office/drawing/2014/main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="" xmlns:a16="http://schemas.microsoft.com/office/drawing/2014/main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="" xmlns:a16="http://schemas.microsoft.com/office/drawing/2014/main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="" xmlns:a16="http://schemas.microsoft.com/office/drawing/2014/main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="" xmlns:a16="http://schemas.microsoft.com/office/drawing/2014/main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="" xmlns:a16="http://schemas.microsoft.com/office/drawing/2014/main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="" xmlns:a16="http://schemas.microsoft.com/office/drawing/2014/main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="" xmlns:a16="http://schemas.microsoft.com/office/drawing/2014/main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="" xmlns:a16="http://schemas.microsoft.com/office/drawing/2014/main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="" xmlns:a16="http://schemas.microsoft.com/office/drawing/2014/main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="" xmlns:a16="http://schemas.microsoft.com/office/drawing/2014/main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="" xmlns:a16="http://schemas.microsoft.com/office/drawing/2014/main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="" xmlns:a16="http://schemas.microsoft.com/office/drawing/2014/main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="" xmlns:a16="http://schemas.microsoft.com/office/drawing/2014/main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="" xmlns:a16="http://schemas.microsoft.com/office/drawing/2014/main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="" xmlns:a16="http://schemas.microsoft.com/office/drawing/2014/main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="" xmlns:a16="http://schemas.microsoft.com/office/drawing/2014/main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="" xmlns:a16="http://schemas.microsoft.com/office/drawing/2014/main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="" xmlns:a16="http://schemas.microsoft.com/office/drawing/2014/main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="" xmlns:a16="http://schemas.microsoft.com/office/drawing/2014/main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="" xmlns:a16="http://schemas.microsoft.com/office/drawing/2014/main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="" xmlns:a16="http://schemas.microsoft.com/office/drawing/2014/main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="" xmlns:a16="http://schemas.microsoft.com/office/drawing/2014/main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="" xmlns:a16="http://schemas.microsoft.com/office/drawing/2014/main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="" xmlns:a16="http://schemas.microsoft.com/office/drawing/2014/main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="" xmlns:a16="http://schemas.microsoft.com/office/drawing/2014/main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="" xmlns:a16="http://schemas.microsoft.com/office/drawing/2014/main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="" xmlns:a16="http://schemas.microsoft.com/office/drawing/2014/main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="" xmlns:a16="http://schemas.microsoft.com/office/drawing/2014/main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="" xmlns:a16="http://schemas.microsoft.com/office/drawing/2014/main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="" xmlns:a16="http://schemas.microsoft.com/office/drawing/2014/main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="" xmlns:a16="http://schemas.microsoft.com/office/drawing/2014/main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="" xmlns:a16="http://schemas.microsoft.com/office/drawing/2014/main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="" xmlns:a16="http://schemas.microsoft.com/office/drawing/2014/main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="" xmlns:a16="http://schemas.microsoft.com/office/drawing/2014/main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="" xmlns:a16="http://schemas.microsoft.com/office/drawing/2014/main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="" xmlns:a16="http://schemas.microsoft.com/office/drawing/2014/main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="" xmlns:a16="http://schemas.microsoft.com/office/drawing/2014/main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="" xmlns:a16="http://schemas.microsoft.com/office/drawing/2014/main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="" xmlns:a16="http://schemas.microsoft.com/office/drawing/2014/main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="" xmlns:a16="http://schemas.microsoft.com/office/drawing/2014/main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="" xmlns:a16="http://schemas.microsoft.com/office/drawing/2014/main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="" xmlns:a16="http://schemas.microsoft.com/office/drawing/2014/main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="" xmlns:a16="http://schemas.microsoft.com/office/drawing/2014/main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="" xmlns:a16="http://schemas.microsoft.com/office/drawing/2014/main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="" xmlns:a16="http://schemas.microsoft.com/office/drawing/2014/main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="" xmlns:a16="http://schemas.microsoft.com/office/drawing/2014/main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="" xmlns:a16="http://schemas.microsoft.com/office/drawing/2014/main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="" xmlns:a16="http://schemas.microsoft.com/office/drawing/2014/main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="" xmlns:a16="http://schemas.microsoft.com/office/drawing/2014/main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="" xmlns:a16="http://schemas.microsoft.com/office/drawing/2014/main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="" xmlns:a16="http://schemas.microsoft.com/office/drawing/2014/main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="" xmlns:a16="http://schemas.microsoft.com/office/drawing/2014/main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="" xmlns:a16="http://schemas.microsoft.com/office/drawing/2014/main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="" xmlns:a16="http://schemas.microsoft.com/office/drawing/2014/main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="" xmlns:a16="http://schemas.microsoft.com/office/drawing/2014/main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="" xmlns:a16="http://schemas.microsoft.com/office/drawing/2014/main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="" xmlns:a16="http://schemas.microsoft.com/office/drawing/2014/main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="" xmlns:a16="http://schemas.microsoft.com/office/drawing/2014/main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="" xmlns:a16="http://schemas.microsoft.com/office/drawing/2014/main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="" xmlns:a16="http://schemas.microsoft.com/office/drawing/2014/main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="" xmlns:a16="http://schemas.microsoft.com/office/drawing/2014/main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="" xmlns:a16="http://schemas.microsoft.com/office/drawing/2014/main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="" xmlns:a16="http://schemas.microsoft.com/office/drawing/2014/main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="" xmlns:a16="http://schemas.microsoft.com/office/drawing/2014/main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="" xmlns:a16="http://schemas.microsoft.com/office/drawing/2014/main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="" xmlns:a16="http://schemas.microsoft.com/office/drawing/2014/main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="" xmlns:a16="http://schemas.microsoft.com/office/drawing/2014/main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="" xmlns:a16="http://schemas.microsoft.com/office/drawing/2014/main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="" xmlns:a16="http://schemas.microsoft.com/office/drawing/2014/main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="" xmlns:a16="http://schemas.microsoft.com/office/drawing/2014/main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="" xmlns:a16="http://schemas.microsoft.com/office/drawing/2014/main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="" xmlns:a16="http://schemas.microsoft.com/office/drawing/2014/main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="" xmlns:a16="http://schemas.microsoft.com/office/drawing/2014/main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="" xmlns:a16="http://schemas.microsoft.com/office/drawing/2014/main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="" xmlns:a16="http://schemas.microsoft.com/office/drawing/2014/main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="" xmlns:a16="http://schemas.microsoft.com/office/drawing/2014/main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="" xmlns:a16="http://schemas.microsoft.com/office/drawing/2014/main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="" xmlns:a16="http://schemas.microsoft.com/office/drawing/2014/main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="" xmlns:a16="http://schemas.microsoft.com/office/drawing/2014/main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="" xmlns:a16="http://schemas.microsoft.com/office/drawing/2014/main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="" xmlns:a16="http://schemas.microsoft.com/office/drawing/2014/main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="" xmlns:a16="http://schemas.microsoft.com/office/drawing/2014/main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="" xmlns:a16="http://schemas.microsoft.com/office/drawing/2014/main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="" xmlns:a16="http://schemas.microsoft.com/office/drawing/2014/main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="" xmlns:a16="http://schemas.microsoft.com/office/drawing/2014/main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="" xmlns:a16="http://schemas.microsoft.com/office/drawing/2014/main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="" xmlns:a16="http://schemas.microsoft.com/office/drawing/2014/main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="" xmlns:a16="http://schemas.microsoft.com/office/drawing/2014/main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="" xmlns:a16="http://schemas.microsoft.com/office/drawing/2014/main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="" xmlns:a16="http://schemas.microsoft.com/office/drawing/2014/main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="" xmlns:a16="http://schemas.microsoft.com/office/drawing/2014/main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="" xmlns:a16="http://schemas.microsoft.com/office/drawing/2014/main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="" xmlns:a16="http://schemas.microsoft.com/office/drawing/2014/main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="" xmlns:a16="http://schemas.microsoft.com/office/drawing/2014/main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="" xmlns:a16="http://schemas.microsoft.com/office/drawing/2014/main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="" xmlns:a16="http://schemas.microsoft.com/office/drawing/2014/main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="" xmlns:a16="http://schemas.microsoft.com/office/drawing/2014/main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="" xmlns:a16="http://schemas.microsoft.com/office/drawing/2014/main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="" xmlns:a16="http://schemas.microsoft.com/office/drawing/2014/main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="" xmlns:a16="http://schemas.microsoft.com/office/drawing/2014/main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="" xmlns:a16="http://schemas.microsoft.com/office/drawing/2014/main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="" xmlns:a16="http://schemas.microsoft.com/office/drawing/2014/main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="" xmlns:a16="http://schemas.microsoft.com/office/drawing/2014/main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="" xmlns:a16="http://schemas.microsoft.com/office/drawing/2014/main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="" xmlns:a16="http://schemas.microsoft.com/office/drawing/2014/main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="" xmlns:a16="http://schemas.microsoft.com/office/drawing/2014/main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="" xmlns:a16="http://schemas.microsoft.com/office/drawing/2014/main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="" xmlns:a16="http://schemas.microsoft.com/office/drawing/2014/main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="" xmlns:a16="http://schemas.microsoft.com/office/drawing/2014/main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="" xmlns:a16="http://schemas.microsoft.com/office/drawing/2014/main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="" xmlns:a16="http://schemas.microsoft.com/office/drawing/2014/main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="" xmlns:a16="http://schemas.microsoft.com/office/drawing/2014/main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="" xmlns:a16="http://schemas.microsoft.com/office/drawing/2014/main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="" xmlns:a16="http://schemas.microsoft.com/office/drawing/2014/main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="" xmlns:a16="http://schemas.microsoft.com/office/drawing/2014/main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="" xmlns:a16="http://schemas.microsoft.com/office/drawing/2014/main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="" xmlns:a16="http://schemas.microsoft.com/office/drawing/2014/main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="" xmlns:a16="http://schemas.microsoft.com/office/drawing/2014/main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="" xmlns:a16="http://schemas.microsoft.com/office/drawing/2014/main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="" xmlns:a16="http://schemas.microsoft.com/office/drawing/2014/main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="" xmlns:a16="http://schemas.microsoft.com/office/drawing/2014/main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="" xmlns:a16="http://schemas.microsoft.com/office/drawing/2014/main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="" xmlns:a16="http://schemas.microsoft.com/office/drawing/2014/main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="" xmlns:a16="http://schemas.microsoft.com/office/drawing/2014/main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="" xmlns:a16="http://schemas.microsoft.com/office/drawing/2014/main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="" xmlns:a16="http://schemas.microsoft.com/office/drawing/2014/main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="" xmlns:a16="http://schemas.microsoft.com/office/drawing/2014/main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="" xmlns:a16="http://schemas.microsoft.com/office/drawing/2014/main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="" xmlns:a16="http://schemas.microsoft.com/office/drawing/2014/main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="" xmlns:a16="http://schemas.microsoft.com/office/drawing/2014/main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="" xmlns:a16="http://schemas.microsoft.com/office/drawing/2014/main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="" xmlns:a16="http://schemas.microsoft.com/office/drawing/2014/main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="" xmlns:a16="http://schemas.microsoft.com/office/drawing/2014/main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="" xmlns:a16="http://schemas.microsoft.com/office/drawing/2014/main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="" xmlns:a16="http://schemas.microsoft.com/office/drawing/2014/main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="" xmlns:a16="http://schemas.microsoft.com/office/drawing/2014/main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="" xmlns:a16="http://schemas.microsoft.com/office/drawing/2014/main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="" xmlns:a16="http://schemas.microsoft.com/office/drawing/2014/main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="" xmlns:a16="http://schemas.microsoft.com/office/drawing/2014/main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="" xmlns:a16="http://schemas.microsoft.com/office/drawing/2014/main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="" xmlns:a16="http://schemas.microsoft.com/office/drawing/2014/main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="" xmlns:a16="http://schemas.microsoft.com/office/drawing/2014/main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="" xmlns:a16="http://schemas.microsoft.com/office/drawing/2014/main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="" xmlns:a16="http://schemas.microsoft.com/office/drawing/2014/main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="" xmlns:a16="http://schemas.microsoft.com/office/drawing/2014/main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="" xmlns:a16="http://schemas.microsoft.com/office/drawing/2014/main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="" xmlns:a16="http://schemas.microsoft.com/office/drawing/2014/main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="" xmlns:a16="http://schemas.microsoft.com/office/drawing/2014/main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="" xmlns:a16="http://schemas.microsoft.com/office/drawing/2014/main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="" xmlns:a16="http://schemas.microsoft.com/office/drawing/2014/main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="" xmlns:a16="http://schemas.microsoft.com/office/drawing/2014/main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="" xmlns:a16="http://schemas.microsoft.com/office/drawing/2014/main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="" xmlns:a16="http://schemas.microsoft.com/office/drawing/2014/main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="" xmlns:a16="http://schemas.microsoft.com/office/drawing/2014/main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="" xmlns:a16="http://schemas.microsoft.com/office/drawing/2014/main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="" xmlns:a16="http://schemas.microsoft.com/office/drawing/2014/main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="" xmlns:a16="http://schemas.microsoft.com/office/drawing/2014/main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="" xmlns:a16="http://schemas.microsoft.com/office/drawing/2014/main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="" xmlns:a16="http://schemas.microsoft.com/office/drawing/2014/main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="" xmlns:a16="http://schemas.microsoft.com/office/drawing/2014/main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="" xmlns:a16="http://schemas.microsoft.com/office/drawing/2014/main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="" xmlns:a16="http://schemas.microsoft.com/office/drawing/2014/main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="" xmlns:a16="http://schemas.microsoft.com/office/drawing/2014/main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="" xmlns:a16="http://schemas.microsoft.com/office/drawing/2014/main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="" xmlns:a16="http://schemas.microsoft.com/office/drawing/2014/main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="" xmlns:a16="http://schemas.microsoft.com/office/drawing/2014/main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="" xmlns:a16="http://schemas.microsoft.com/office/drawing/2014/main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="" xmlns:a16="http://schemas.microsoft.com/office/drawing/2014/main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="" xmlns:a16="http://schemas.microsoft.com/office/drawing/2014/main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="" xmlns:a16="http://schemas.microsoft.com/office/drawing/2014/main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="" xmlns:a16="http://schemas.microsoft.com/office/drawing/2014/main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="" xmlns:a16="http://schemas.microsoft.com/office/drawing/2014/main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="" xmlns:a16="http://schemas.microsoft.com/office/drawing/2014/main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="" xmlns:a16="http://schemas.microsoft.com/office/drawing/2014/main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="" xmlns:a16="http://schemas.microsoft.com/office/drawing/2014/main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="" xmlns:a16="http://schemas.microsoft.com/office/drawing/2014/main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="" xmlns:a16="http://schemas.microsoft.com/office/drawing/2014/main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="" xmlns:a16="http://schemas.microsoft.com/office/drawing/2014/main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="" xmlns:a16="http://schemas.microsoft.com/office/drawing/2014/main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="" xmlns:a16="http://schemas.microsoft.com/office/drawing/2014/main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="" xmlns:a16="http://schemas.microsoft.com/office/drawing/2014/main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="" xmlns:a16="http://schemas.microsoft.com/office/drawing/2014/main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="" xmlns:a16="http://schemas.microsoft.com/office/drawing/2014/main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="" xmlns:a16="http://schemas.microsoft.com/office/drawing/2014/main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="" xmlns:a16="http://schemas.microsoft.com/office/drawing/2014/main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="" xmlns:a16="http://schemas.microsoft.com/office/drawing/2014/main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="" xmlns:a16="http://schemas.microsoft.com/office/drawing/2014/main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="" xmlns:a16="http://schemas.microsoft.com/office/drawing/2014/main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="" xmlns:a16="http://schemas.microsoft.com/office/drawing/2014/main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="" xmlns:a16="http://schemas.microsoft.com/office/drawing/2014/main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="" xmlns:a16="http://schemas.microsoft.com/office/drawing/2014/main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="" xmlns:a16="http://schemas.microsoft.com/office/drawing/2014/main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="" xmlns:a16="http://schemas.microsoft.com/office/drawing/2014/main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="" xmlns:a16="http://schemas.microsoft.com/office/drawing/2014/main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="" xmlns:a16="http://schemas.microsoft.com/office/drawing/2014/main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="" xmlns:a16="http://schemas.microsoft.com/office/drawing/2014/main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="" xmlns:a16="http://schemas.microsoft.com/office/drawing/2014/main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="" xmlns:a16="http://schemas.microsoft.com/office/drawing/2014/main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="" xmlns:a16="http://schemas.microsoft.com/office/drawing/2014/main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="" xmlns:a16="http://schemas.microsoft.com/office/drawing/2014/main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="" xmlns:a16="http://schemas.microsoft.com/office/drawing/2014/main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="" xmlns:a16="http://schemas.microsoft.com/office/drawing/2014/main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="" xmlns:a16="http://schemas.microsoft.com/office/drawing/2014/main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="" xmlns:a16="http://schemas.microsoft.com/office/drawing/2014/main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="" xmlns:a16="http://schemas.microsoft.com/office/drawing/2014/main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="" xmlns:a16="http://schemas.microsoft.com/office/drawing/2014/main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="" xmlns:a16="http://schemas.microsoft.com/office/drawing/2014/main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="" xmlns:a16="http://schemas.microsoft.com/office/drawing/2014/main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="" xmlns:a16="http://schemas.microsoft.com/office/drawing/2014/main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="" xmlns:a16="http://schemas.microsoft.com/office/drawing/2014/main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="" xmlns:a16="http://schemas.microsoft.com/office/drawing/2014/main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="" xmlns:a16="http://schemas.microsoft.com/office/drawing/2014/main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="" xmlns:a16="http://schemas.microsoft.com/office/drawing/2014/main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="" xmlns:a16="http://schemas.microsoft.com/office/drawing/2014/main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="" xmlns:a16="http://schemas.microsoft.com/office/drawing/2014/main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="" xmlns:a16="http://schemas.microsoft.com/office/drawing/2014/main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="" xmlns:a16="http://schemas.microsoft.com/office/drawing/2014/main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="" xmlns:a16="http://schemas.microsoft.com/office/drawing/2014/main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="" xmlns:a16="http://schemas.microsoft.com/office/drawing/2014/main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="" xmlns:a16="http://schemas.microsoft.com/office/drawing/2014/main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="" xmlns:a16="http://schemas.microsoft.com/office/drawing/2014/main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="" xmlns:a16="http://schemas.microsoft.com/office/drawing/2014/main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="" xmlns:a16="http://schemas.microsoft.com/office/drawing/2014/main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="" xmlns:a16="http://schemas.microsoft.com/office/drawing/2014/main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="" xmlns:a16="http://schemas.microsoft.com/office/drawing/2014/main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="" xmlns:a16="http://schemas.microsoft.com/office/drawing/2014/main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="" xmlns:a16="http://schemas.microsoft.com/office/drawing/2014/main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="" xmlns:a16="http://schemas.microsoft.com/office/drawing/2014/main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="" xmlns:a16="http://schemas.microsoft.com/office/drawing/2014/main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="" xmlns:a16="http://schemas.microsoft.com/office/drawing/2014/main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="" xmlns:a16="http://schemas.microsoft.com/office/drawing/2014/main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="" xmlns:a16="http://schemas.microsoft.com/office/drawing/2014/main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="" xmlns:a16="http://schemas.microsoft.com/office/drawing/2014/main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="" xmlns:a16="http://schemas.microsoft.com/office/drawing/2014/main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="" xmlns:a16="http://schemas.microsoft.com/office/drawing/2014/main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="" xmlns:a16="http://schemas.microsoft.com/office/drawing/2014/main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="" xmlns:a16="http://schemas.microsoft.com/office/drawing/2014/main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="" xmlns:a16="http://schemas.microsoft.com/office/drawing/2014/main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="" xmlns:a16="http://schemas.microsoft.com/office/drawing/2014/main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="" xmlns:a16="http://schemas.microsoft.com/office/drawing/2014/main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="" xmlns:a16="http://schemas.microsoft.com/office/drawing/2014/main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="" xmlns:a16="http://schemas.microsoft.com/office/drawing/2014/main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="" xmlns:a16="http://schemas.microsoft.com/office/drawing/2014/main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="" xmlns:a16="http://schemas.microsoft.com/office/drawing/2014/main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="" xmlns:a16="http://schemas.microsoft.com/office/drawing/2014/main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="" xmlns:a16="http://schemas.microsoft.com/office/drawing/2014/main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="" xmlns:a16="http://schemas.microsoft.com/office/drawing/2014/main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="" xmlns:a16="http://schemas.microsoft.com/office/drawing/2014/main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="" xmlns:a16="http://schemas.microsoft.com/office/drawing/2014/main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="" xmlns:a16="http://schemas.microsoft.com/office/drawing/2014/main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="" xmlns:a16="http://schemas.microsoft.com/office/drawing/2014/main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="" xmlns:a16="http://schemas.microsoft.com/office/drawing/2014/main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="" xmlns:a16="http://schemas.microsoft.com/office/drawing/2014/main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="" xmlns:a16="http://schemas.microsoft.com/office/drawing/2014/main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="" xmlns:a16="http://schemas.microsoft.com/office/drawing/2014/main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="" xmlns:a16="http://schemas.microsoft.com/office/drawing/2014/main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="" xmlns:a16="http://schemas.microsoft.com/office/drawing/2014/main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="" xmlns:a16="http://schemas.microsoft.com/office/drawing/2014/main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="" xmlns:a16="http://schemas.microsoft.com/office/drawing/2014/main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="" xmlns:a16="http://schemas.microsoft.com/office/drawing/2014/main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="" xmlns:a16="http://schemas.microsoft.com/office/drawing/2014/main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="" xmlns:a16="http://schemas.microsoft.com/office/drawing/2014/main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="" xmlns:a16="http://schemas.microsoft.com/office/drawing/2014/main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="" xmlns:a16="http://schemas.microsoft.com/office/drawing/2014/main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="" xmlns:a16="http://schemas.microsoft.com/office/drawing/2014/main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="" xmlns:a16="http://schemas.microsoft.com/office/drawing/2014/main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="" xmlns:a16="http://schemas.microsoft.com/office/drawing/2014/main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="" xmlns:a16="http://schemas.microsoft.com/office/drawing/2014/main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="" xmlns:a16="http://schemas.microsoft.com/office/drawing/2014/main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="" xmlns:a16="http://schemas.microsoft.com/office/drawing/2014/main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="" xmlns:a16="http://schemas.microsoft.com/office/drawing/2014/main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="" xmlns:a16="http://schemas.microsoft.com/office/drawing/2014/main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="" xmlns:a16="http://schemas.microsoft.com/office/drawing/2014/main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="" xmlns:a16="http://schemas.microsoft.com/office/drawing/2014/main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="" xmlns:a16="http://schemas.microsoft.com/office/drawing/2014/main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="" xmlns:a16="http://schemas.microsoft.com/office/drawing/2014/main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="" xmlns:a16="http://schemas.microsoft.com/office/drawing/2014/main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="" xmlns:a16="http://schemas.microsoft.com/office/drawing/2014/main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="" xmlns:a16="http://schemas.microsoft.com/office/drawing/2014/main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="" xmlns:a16="http://schemas.microsoft.com/office/drawing/2014/main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="" xmlns:a16="http://schemas.microsoft.com/office/drawing/2014/main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="" xmlns:a16="http://schemas.microsoft.com/office/drawing/2014/main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="" xmlns:a16="http://schemas.microsoft.com/office/drawing/2014/main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="" xmlns:a16="http://schemas.microsoft.com/office/drawing/2014/main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="" xmlns:a16="http://schemas.microsoft.com/office/drawing/2014/main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="" xmlns:a16="http://schemas.microsoft.com/office/drawing/2014/main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="" xmlns:a16="http://schemas.microsoft.com/office/drawing/2014/main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="" xmlns:a16="http://schemas.microsoft.com/office/drawing/2014/main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="" xmlns:a16="http://schemas.microsoft.com/office/drawing/2014/main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="" xmlns:a16="http://schemas.microsoft.com/office/drawing/2014/main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="" xmlns:a16="http://schemas.microsoft.com/office/drawing/2014/main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="" xmlns:a16="http://schemas.microsoft.com/office/drawing/2014/main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="" xmlns:a16="http://schemas.microsoft.com/office/drawing/2014/main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="" xmlns:a16="http://schemas.microsoft.com/office/drawing/2014/main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="" xmlns:a16="http://schemas.microsoft.com/office/drawing/2014/main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="" xmlns:a16="http://schemas.microsoft.com/office/drawing/2014/main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="" xmlns:a16="http://schemas.microsoft.com/office/drawing/2014/main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="" xmlns:a16="http://schemas.microsoft.com/office/drawing/2014/main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="" xmlns:a16="http://schemas.microsoft.com/office/drawing/2014/main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="" xmlns:a16="http://schemas.microsoft.com/office/drawing/2014/main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="" xmlns:a16="http://schemas.microsoft.com/office/drawing/2014/main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="" xmlns:a16="http://schemas.microsoft.com/office/drawing/2014/main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="" xmlns:a16="http://schemas.microsoft.com/office/drawing/2014/main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="" xmlns:a16="http://schemas.microsoft.com/office/drawing/2014/main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127</xdr:row>
      <xdr:rowOff>38766</xdr:rowOff>
    </xdr:from>
    <xdr:to>
      <xdr:col>2</xdr:col>
      <xdr:colOff>647700</xdr:colOff>
      <xdr:row>128</xdr:row>
      <xdr:rowOff>149962</xdr:rowOff>
    </xdr:to>
    <xdr:sp macro="" textlink="">
      <xdr:nvSpPr>
        <xdr:cNvPr id="818" name="Isosceles Triangle 817">
          <a:extLst>
            <a:ext uri="{FF2B5EF4-FFF2-40B4-BE49-F238E27FC236}">
              <a16:creationId xmlns="" xmlns:a16="http://schemas.microsoft.com/office/drawing/2014/main" id="{81A368AA-3A9B-43B3-9DD4-4C8614ADD0B2}"/>
            </a:ext>
          </a:extLst>
        </xdr:cNvPr>
        <xdr:cNvSpPr/>
      </xdr:nvSpPr>
      <xdr:spPr>
        <a:xfrm>
          <a:off x="571500" y="23089266"/>
          <a:ext cx="666750" cy="396946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="" xmlns:a16="http://schemas.microsoft.com/office/drawing/2014/main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="" xmlns:a16="http://schemas.microsoft.com/office/drawing/2014/main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="" xmlns:a16="http://schemas.microsoft.com/office/drawing/2014/main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="" xmlns:a16="http://schemas.microsoft.com/office/drawing/2014/main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="" xmlns:a16="http://schemas.microsoft.com/office/drawing/2014/main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="" xmlns:a16="http://schemas.microsoft.com/office/drawing/2014/main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="" xmlns:a16="http://schemas.microsoft.com/office/drawing/2014/main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="" xmlns:a16="http://schemas.microsoft.com/office/drawing/2014/main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="" xmlns:a16="http://schemas.microsoft.com/office/drawing/2014/main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="" xmlns:a16="http://schemas.microsoft.com/office/drawing/2014/main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="" xmlns:a16="http://schemas.microsoft.com/office/drawing/2014/main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="" xmlns:a16="http://schemas.microsoft.com/office/drawing/2014/main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="" xmlns:a16="http://schemas.microsoft.com/office/drawing/2014/main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="" xmlns:a16="http://schemas.microsoft.com/office/drawing/2014/main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="" xmlns:a16="http://schemas.microsoft.com/office/drawing/2014/main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="" xmlns:a16="http://schemas.microsoft.com/office/drawing/2014/main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="" xmlns:a16="http://schemas.microsoft.com/office/drawing/2014/main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="" xmlns:a16="http://schemas.microsoft.com/office/drawing/2014/main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="" xmlns:a16="http://schemas.microsoft.com/office/drawing/2014/main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="" xmlns:a16="http://schemas.microsoft.com/office/drawing/2014/main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="" xmlns:a16="http://schemas.microsoft.com/office/drawing/2014/main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="" xmlns:a16="http://schemas.microsoft.com/office/drawing/2014/main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="" xmlns:a16="http://schemas.microsoft.com/office/drawing/2014/main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="" xmlns:a16="http://schemas.microsoft.com/office/drawing/2014/main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="" xmlns:a16="http://schemas.microsoft.com/office/drawing/2014/main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="" xmlns:a16="http://schemas.microsoft.com/office/drawing/2014/main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="" xmlns:a16="http://schemas.microsoft.com/office/drawing/2014/main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="" xmlns:a16="http://schemas.microsoft.com/office/drawing/2014/main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="" xmlns:a16="http://schemas.microsoft.com/office/drawing/2014/main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="" xmlns:a16="http://schemas.microsoft.com/office/drawing/2014/main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="" xmlns:a16="http://schemas.microsoft.com/office/drawing/2014/main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="" xmlns:a16="http://schemas.microsoft.com/office/drawing/2014/main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="" xmlns:a16="http://schemas.microsoft.com/office/drawing/2014/main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="" xmlns:a16="http://schemas.microsoft.com/office/drawing/2014/main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="" xmlns:a16="http://schemas.microsoft.com/office/drawing/2014/main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="" xmlns:a16="http://schemas.microsoft.com/office/drawing/2014/main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="" xmlns:a16="http://schemas.microsoft.com/office/drawing/2014/main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="" xmlns:a16="http://schemas.microsoft.com/office/drawing/2014/main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="" xmlns:a16="http://schemas.microsoft.com/office/drawing/2014/main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="" xmlns:a16="http://schemas.microsoft.com/office/drawing/2014/main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="" xmlns:a16="http://schemas.microsoft.com/office/drawing/2014/main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="" xmlns:a16="http://schemas.microsoft.com/office/drawing/2014/main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="" xmlns:a16="http://schemas.microsoft.com/office/drawing/2014/main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="" xmlns:a16="http://schemas.microsoft.com/office/drawing/2014/main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="" xmlns:a16="http://schemas.microsoft.com/office/drawing/2014/main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="" xmlns:a16="http://schemas.microsoft.com/office/drawing/2014/main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="" xmlns:a16="http://schemas.microsoft.com/office/drawing/2014/main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="" xmlns:a16="http://schemas.microsoft.com/office/drawing/2014/main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="" xmlns:a16="http://schemas.microsoft.com/office/drawing/2014/main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="" xmlns:a16="http://schemas.microsoft.com/office/drawing/2014/main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="" xmlns:a16="http://schemas.microsoft.com/office/drawing/2014/main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="" xmlns:a16="http://schemas.microsoft.com/office/drawing/2014/main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="" xmlns:a16="http://schemas.microsoft.com/office/drawing/2014/main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="" xmlns:a16="http://schemas.microsoft.com/office/drawing/2014/main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="" xmlns:a16="http://schemas.microsoft.com/office/drawing/2014/main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="" xmlns:a16="http://schemas.microsoft.com/office/drawing/2014/main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="" xmlns:a16="http://schemas.microsoft.com/office/drawing/2014/main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="" xmlns:a16="http://schemas.microsoft.com/office/drawing/2014/main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="" xmlns:a16="http://schemas.microsoft.com/office/drawing/2014/main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="" xmlns:a16="http://schemas.microsoft.com/office/drawing/2014/main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="" xmlns:a16="http://schemas.microsoft.com/office/drawing/2014/main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="" xmlns:a16="http://schemas.microsoft.com/office/drawing/2014/main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="" xmlns:a16="http://schemas.microsoft.com/office/drawing/2014/main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="" xmlns:a16="http://schemas.microsoft.com/office/drawing/2014/main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="" xmlns:a16="http://schemas.microsoft.com/office/drawing/2014/main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="" xmlns:a16="http://schemas.microsoft.com/office/drawing/2014/main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="" xmlns:a16="http://schemas.microsoft.com/office/drawing/2014/main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="" xmlns:a16="http://schemas.microsoft.com/office/drawing/2014/main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="" xmlns:a16="http://schemas.microsoft.com/office/drawing/2014/main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="" xmlns:a16="http://schemas.microsoft.com/office/drawing/2014/main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="" xmlns:a16="http://schemas.microsoft.com/office/drawing/2014/main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="" xmlns:a16="http://schemas.microsoft.com/office/drawing/2014/main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="" xmlns:a16="http://schemas.microsoft.com/office/drawing/2014/main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="" xmlns:a16="http://schemas.microsoft.com/office/drawing/2014/main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="" xmlns:a16="http://schemas.microsoft.com/office/drawing/2014/main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="" xmlns:a16="http://schemas.microsoft.com/office/drawing/2014/main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="" xmlns:a16="http://schemas.microsoft.com/office/drawing/2014/main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="" xmlns:a16="http://schemas.microsoft.com/office/drawing/2014/main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="" xmlns:a16="http://schemas.microsoft.com/office/drawing/2014/main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="" xmlns:a16="http://schemas.microsoft.com/office/drawing/2014/main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="" xmlns:a16="http://schemas.microsoft.com/office/drawing/2014/main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="" xmlns:a16="http://schemas.microsoft.com/office/drawing/2014/main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="" xmlns:a16="http://schemas.microsoft.com/office/drawing/2014/main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="" xmlns:a16="http://schemas.microsoft.com/office/drawing/2014/main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="" xmlns:a16="http://schemas.microsoft.com/office/drawing/2014/main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="" xmlns:a16="http://schemas.microsoft.com/office/drawing/2014/main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="" xmlns:a16="http://schemas.microsoft.com/office/drawing/2014/main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="" xmlns:a16="http://schemas.microsoft.com/office/drawing/2014/main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="" xmlns:a16="http://schemas.microsoft.com/office/drawing/2014/main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="" xmlns:a16="http://schemas.microsoft.com/office/drawing/2014/main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="" xmlns:a16="http://schemas.microsoft.com/office/drawing/2014/main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="" xmlns:a16="http://schemas.microsoft.com/office/drawing/2014/main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="" xmlns:a16="http://schemas.microsoft.com/office/drawing/2014/main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="" xmlns:a16="http://schemas.microsoft.com/office/drawing/2014/main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="" xmlns:a16="http://schemas.microsoft.com/office/drawing/2014/main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="" xmlns:a16="http://schemas.microsoft.com/office/drawing/2014/main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="" xmlns:a16="http://schemas.microsoft.com/office/drawing/2014/main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="" xmlns:a16="http://schemas.microsoft.com/office/drawing/2014/main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="" xmlns:a16="http://schemas.microsoft.com/office/drawing/2014/main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="" xmlns:a16="http://schemas.microsoft.com/office/drawing/2014/main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="" xmlns:a16="http://schemas.microsoft.com/office/drawing/2014/main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="" xmlns:a16="http://schemas.microsoft.com/office/drawing/2014/main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="" xmlns:a16="http://schemas.microsoft.com/office/drawing/2014/main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="" xmlns:a16="http://schemas.microsoft.com/office/drawing/2014/main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="" xmlns:a16="http://schemas.microsoft.com/office/drawing/2014/main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="" xmlns:a16="http://schemas.microsoft.com/office/drawing/2014/main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="" xmlns:a16="http://schemas.microsoft.com/office/drawing/2014/main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="" xmlns:a16="http://schemas.microsoft.com/office/drawing/2014/main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="" xmlns:a16="http://schemas.microsoft.com/office/drawing/2014/main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="" xmlns:a16="http://schemas.microsoft.com/office/drawing/2014/main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="" xmlns:a16="http://schemas.microsoft.com/office/drawing/2014/main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="" xmlns:a16="http://schemas.microsoft.com/office/drawing/2014/main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="" xmlns:a16="http://schemas.microsoft.com/office/drawing/2014/main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="" xmlns:a16="http://schemas.microsoft.com/office/drawing/2014/main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="" xmlns:a16="http://schemas.microsoft.com/office/drawing/2014/main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="" xmlns:a16="http://schemas.microsoft.com/office/drawing/2014/main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="" xmlns:a16="http://schemas.microsoft.com/office/drawing/2014/main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="" xmlns:a16="http://schemas.microsoft.com/office/drawing/2014/main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="" xmlns:a16="http://schemas.microsoft.com/office/drawing/2014/main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="" xmlns:a16="http://schemas.microsoft.com/office/drawing/2014/main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="" xmlns:a16="http://schemas.microsoft.com/office/drawing/2014/main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="" xmlns:a16="http://schemas.microsoft.com/office/drawing/2014/main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="" xmlns:a16="http://schemas.microsoft.com/office/drawing/2014/main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="" xmlns:a16="http://schemas.microsoft.com/office/drawing/2014/main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="" xmlns:a16="http://schemas.microsoft.com/office/drawing/2014/main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="" xmlns:a16="http://schemas.microsoft.com/office/drawing/2014/main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="" xmlns:a16="http://schemas.microsoft.com/office/drawing/2014/main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="" xmlns:a16="http://schemas.microsoft.com/office/drawing/2014/main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="" xmlns:a16="http://schemas.microsoft.com/office/drawing/2014/main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="" xmlns:a16="http://schemas.microsoft.com/office/drawing/2014/main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="" xmlns:a16="http://schemas.microsoft.com/office/drawing/2014/main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="" xmlns:a16="http://schemas.microsoft.com/office/drawing/2014/main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="" xmlns:a16="http://schemas.microsoft.com/office/drawing/2014/main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="" xmlns:a16="http://schemas.microsoft.com/office/drawing/2014/main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="" xmlns:a16="http://schemas.microsoft.com/office/drawing/2014/main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="" xmlns:a16="http://schemas.microsoft.com/office/drawing/2014/main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="" xmlns:a16="http://schemas.microsoft.com/office/drawing/2014/main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="" xmlns:a16="http://schemas.microsoft.com/office/drawing/2014/main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="" xmlns:a16="http://schemas.microsoft.com/office/drawing/2014/main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="" xmlns:a16="http://schemas.microsoft.com/office/drawing/2014/main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="" xmlns:a16="http://schemas.microsoft.com/office/drawing/2014/main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="" xmlns:a16="http://schemas.microsoft.com/office/drawing/2014/main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="" xmlns:a16="http://schemas.microsoft.com/office/drawing/2014/main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="" xmlns:a16="http://schemas.microsoft.com/office/drawing/2014/main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="" xmlns:a16="http://schemas.microsoft.com/office/drawing/2014/main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="" xmlns:a16="http://schemas.microsoft.com/office/drawing/2014/main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="" xmlns:a16="http://schemas.microsoft.com/office/drawing/2014/main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="" xmlns:a16="http://schemas.microsoft.com/office/drawing/2014/main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="" xmlns:a16="http://schemas.microsoft.com/office/drawing/2014/main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="" xmlns:a16="http://schemas.microsoft.com/office/drawing/2014/main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="" xmlns:a16="http://schemas.microsoft.com/office/drawing/2014/main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="" xmlns:a16="http://schemas.microsoft.com/office/drawing/2014/main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="" xmlns:a16="http://schemas.microsoft.com/office/drawing/2014/main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="" xmlns:a16="http://schemas.microsoft.com/office/drawing/2014/main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="" xmlns:a16="http://schemas.microsoft.com/office/drawing/2014/main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="" xmlns:a16="http://schemas.microsoft.com/office/drawing/2014/main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="" xmlns:a16="http://schemas.microsoft.com/office/drawing/2014/main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="" xmlns:a16="http://schemas.microsoft.com/office/drawing/2014/main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="" xmlns:a16="http://schemas.microsoft.com/office/drawing/2014/main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="" xmlns:a16="http://schemas.microsoft.com/office/drawing/2014/main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="" xmlns:a16="http://schemas.microsoft.com/office/drawing/2014/main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="" xmlns:a16="http://schemas.microsoft.com/office/drawing/2014/main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="" xmlns:a16="http://schemas.microsoft.com/office/drawing/2014/main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="" xmlns:a16="http://schemas.microsoft.com/office/drawing/2014/main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="" xmlns:a16="http://schemas.microsoft.com/office/drawing/2014/main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="" xmlns:a16="http://schemas.microsoft.com/office/drawing/2014/main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="" xmlns:a16="http://schemas.microsoft.com/office/drawing/2014/main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="" xmlns:a16="http://schemas.microsoft.com/office/drawing/2014/main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="" xmlns:a16="http://schemas.microsoft.com/office/drawing/2014/main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="" xmlns:a16="http://schemas.microsoft.com/office/drawing/2014/main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="" xmlns:a16="http://schemas.microsoft.com/office/drawing/2014/main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="" xmlns:a16="http://schemas.microsoft.com/office/drawing/2014/main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="" xmlns:a16="http://schemas.microsoft.com/office/drawing/2014/main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="" xmlns:a16="http://schemas.microsoft.com/office/drawing/2014/main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="" xmlns:a16="http://schemas.microsoft.com/office/drawing/2014/main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="" xmlns:a16="http://schemas.microsoft.com/office/drawing/2014/main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="" xmlns:a16="http://schemas.microsoft.com/office/drawing/2014/main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="" xmlns:a16="http://schemas.microsoft.com/office/drawing/2014/main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="" xmlns:a16="http://schemas.microsoft.com/office/drawing/2014/main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="" xmlns:a16="http://schemas.microsoft.com/office/drawing/2014/main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="" xmlns:a16="http://schemas.microsoft.com/office/drawing/2014/main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="" xmlns:a16="http://schemas.microsoft.com/office/drawing/2014/main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="" xmlns:a16="http://schemas.microsoft.com/office/drawing/2014/main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="" xmlns:a16="http://schemas.microsoft.com/office/drawing/2014/main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="" xmlns:a16="http://schemas.microsoft.com/office/drawing/2014/main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="" xmlns:a16="http://schemas.microsoft.com/office/drawing/2014/main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="" xmlns:a16="http://schemas.microsoft.com/office/drawing/2014/main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="" xmlns:a16="http://schemas.microsoft.com/office/drawing/2014/main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="" xmlns:a16="http://schemas.microsoft.com/office/drawing/2014/main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="" xmlns:a16="http://schemas.microsoft.com/office/drawing/2014/main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="" xmlns:a16="http://schemas.microsoft.com/office/drawing/2014/main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="" xmlns:a16="http://schemas.microsoft.com/office/drawing/2014/main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="" xmlns:a16="http://schemas.microsoft.com/office/drawing/2014/main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="" xmlns:a16="http://schemas.microsoft.com/office/drawing/2014/main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="" xmlns:a16="http://schemas.microsoft.com/office/drawing/2014/main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="" xmlns:a16="http://schemas.microsoft.com/office/drawing/2014/main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="" xmlns:a16="http://schemas.microsoft.com/office/drawing/2014/main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="" xmlns:a16="http://schemas.microsoft.com/office/drawing/2014/main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="" xmlns:a16="http://schemas.microsoft.com/office/drawing/2014/main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="" xmlns:a16="http://schemas.microsoft.com/office/drawing/2014/main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="" xmlns:a16="http://schemas.microsoft.com/office/drawing/2014/main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/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/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/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/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342900</xdr:colOff>
      <xdr:row>15</xdr:row>
      <xdr:rowOff>95250</xdr:rowOff>
    </xdr:from>
    <xdr:to>
      <xdr:col>18</xdr:col>
      <xdr:colOff>309281</xdr:colOff>
      <xdr:row>15</xdr:row>
      <xdr:rowOff>207844</xdr:rowOff>
    </xdr:to>
    <xdr:sp macro="" textlink="">
      <xdr:nvSpPr>
        <xdr:cNvPr id="1172" name="Moon 1136"/>
        <xdr:cNvSpPr/>
      </xdr:nvSpPr>
      <xdr:spPr>
        <a:xfrm>
          <a:off x="9782175" y="2581275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342900</xdr:colOff>
      <xdr:row>15</xdr:row>
      <xdr:rowOff>66675</xdr:rowOff>
    </xdr:from>
    <xdr:to>
      <xdr:col>20</xdr:col>
      <xdr:colOff>309281</xdr:colOff>
      <xdr:row>15</xdr:row>
      <xdr:rowOff>179269</xdr:rowOff>
    </xdr:to>
    <xdr:sp macro="" textlink="">
      <xdr:nvSpPr>
        <xdr:cNvPr id="1173" name="Moon 1136"/>
        <xdr:cNvSpPr/>
      </xdr:nvSpPr>
      <xdr:spPr>
        <a:xfrm>
          <a:off x="11039475" y="2552700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390525</xdr:colOff>
      <xdr:row>24</xdr:row>
      <xdr:rowOff>95250</xdr:rowOff>
    </xdr:from>
    <xdr:to>
      <xdr:col>4</xdr:col>
      <xdr:colOff>309281</xdr:colOff>
      <xdr:row>24</xdr:row>
      <xdr:rowOff>207844</xdr:rowOff>
    </xdr:to>
    <xdr:sp macro="" textlink="">
      <xdr:nvSpPr>
        <xdr:cNvPr id="1174" name="Moon 1136"/>
        <xdr:cNvSpPr/>
      </xdr:nvSpPr>
      <xdr:spPr>
        <a:xfrm>
          <a:off x="981075" y="4162425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314325</xdr:colOff>
      <xdr:row>24</xdr:row>
      <xdr:rowOff>95250</xdr:rowOff>
    </xdr:from>
    <xdr:to>
      <xdr:col>6</xdr:col>
      <xdr:colOff>280706</xdr:colOff>
      <xdr:row>24</xdr:row>
      <xdr:rowOff>207844</xdr:rowOff>
    </xdr:to>
    <xdr:sp macro="" textlink="">
      <xdr:nvSpPr>
        <xdr:cNvPr id="1175" name="Moon 1136"/>
        <xdr:cNvSpPr/>
      </xdr:nvSpPr>
      <xdr:spPr>
        <a:xfrm>
          <a:off x="2209800" y="4162425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323850</xdr:colOff>
      <xdr:row>24</xdr:row>
      <xdr:rowOff>85725</xdr:rowOff>
    </xdr:from>
    <xdr:to>
      <xdr:col>8</xdr:col>
      <xdr:colOff>290231</xdr:colOff>
      <xdr:row>24</xdr:row>
      <xdr:rowOff>198319</xdr:rowOff>
    </xdr:to>
    <xdr:sp macro="" textlink="">
      <xdr:nvSpPr>
        <xdr:cNvPr id="1176" name="Moon 1136"/>
        <xdr:cNvSpPr/>
      </xdr:nvSpPr>
      <xdr:spPr>
        <a:xfrm>
          <a:off x="3476625" y="4152900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342900</xdr:colOff>
      <xdr:row>24</xdr:row>
      <xdr:rowOff>85725</xdr:rowOff>
    </xdr:from>
    <xdr:to>
      <xdr:col>10</xdr:col>
      <xdr:colOff>309281</xdr:colOff>
      <xdr:row>24</xdr:row>
      <xdr:rowOff>198319</xdr:rowOff>
    </xdr:to>
    <xdr:sp macro="" textlink="">
      <xdr:nvSpPr>
        <xdr:cNvPr id="1177" name="Moon 1136"/>
        <xdr:cNvSpPr/>
      </xdr:nvSpPr>
      <xdr:spPr>
        <a:xfrm>
          <a:off x="4752975" y="4152900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5"/>
  <sheetViews>
    <sheetView tabSelected="1" zoomScale="70" zoomScaleNormal="70" workbookViewId="0">
      <selection activeCell="C84" sqref="C84:E84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744" t="s">
        <v>487</v>
      </c>
      <c r="B1" s="172" t="s">
        <v>406</v>
      </c>
      <c r="C1" s="725" t="s">
        <v>407</v>
      </c>
      <c r="D1" s="173" t="s">
        <v>408</v>
      </c>
      <c r="E1" s="174">
        <v>46042</v>
      </c>
      <c r="F1" s="172"/>
      <c r="G1" s="171"/>
      <c r="H1" s="172" t="s">
        <v>409</v>
      </c>
      <c r="I1" s="175" t="s">
        <v>410</v>
      </c>
    </row>
    <row r="2" spans="1:16" ht="30.6" customHeight="1" thickTop="1" thickBot="1">
      <c r="A2" s="745"/>
      <c r="B2" s="172" t="s">
        <v>411</v>
      </c>
      <c r="C2" s="747" t="s">
        <v>412</v>
      </c>
      <c r="D2" s="748"/>
      <c r="E2" s="749"/>
      <c r="F2" s="172" t="s">
        <v>477</v>
      </c>
      <c r="G2" s="175" t="s">
        <v>478</v>
      </c>
      <c r="H2" s="172" t="s">
        <v>413</v>
      </c>
      <c r="I2" s="175" t="s">
        <v>798</v>
      </c>
      <c r="M2" s="165"/>
      <c r="N2" s="165"/>
      <c r="O2" s="165"/>
    </row>
    <row r="3" spans="1:16" ht="31.95" customHeight="1" thickTop="1" thickBot="1">
      <c r="A3" s="745"/>
      <c r="B3" s="172" t="s">
        <v>414</v>
      </c>
      <c r="C3" s="747" t="s">
        <v>415</v>
      </c>
      <c r="D3" s="748"/>
      <c r="E3" s="749"/>
      <c r="F3" s="172" t="s">
        <v>479</v>
      </c>
      <c r="G3" s="175" t="s">
        <v>416</v>
      </c>
      <c r="H3" s="172" t="s">
        <v>417</v>
      </c>
      <c r="I3" s="175" t="s">
        <v>418</v>
      </c>
      <c r="M3" s="165"/>
      <c r="N3" s="165"/>
      <c r="O3" s="165"/>
    </row>
    <row r="4" spans="1:16" ht="32.4" thickTop="1" thickBot="1">
      <c r="A4" s="746"/>
      <c r="B4" s="172" t="s">
        <v>397</v>
      </c>
      <c r="C4" s="750" t="s">
        <v>416</v>
      </c>
      <c r="D4" s="751"/>
      <c r="E4" s="752"/>
      <c r="F4" s="172" t="s">
        <v>419</v>
      </c>
      <c r="G4" s="175" t="s">
        <v>420</v>
      </c>
      <c r="H4" s="172" t="s">
        <v>421</v>
      </c>
      <c r="I4" s="175" t="s">
        <v>422</v>
      </c>
      <c r="K4" s="166"/>
      <c r="M4" s="165"/>
      <c r="N4" s="165"/>
      <c r="O4" s="165"/>
    </row>
    <row r="5" spans="1:16" ht="15" thickTop="1">
      <c r="M5" s="176"/>
      <c r="O5" s="167"/>
      <c r="P5" s="167"/>
    </row>
    <row r="6" spans="1:16" ht="15" thickBot="1">
      <c r="O6" s="167"/>
      <c r="P6" s="167"/>
    </row>
    <row r="7" spans="1:16" ht="18" customHeight="1" thickTop="1" thickBot="1">
      <c r="A7" s="756" t="s">
        <v>370</v>
      </c>
      <c r="B7" s="757"/>
      <c r="C7" s="757"/>
      <c r="D7" s="757"/>
      <c r="E7" s="757"/>
      <c r="F7" s="757"/>
      <c r="G7" s="757"/>
      <c r="H7" s="757"/>
      <c r="I7" s="757"/>
      <c r="J7" s="757"/>
      <c r="K7" s="757"/>
      <c r="L7" s="758"/>
      <c r="O7" s="167"/>
      <c r="P7" s="167"/>
    </row>
    <row r="8" spans="1:16" ht="28.8" thickTop="1" thickBot="1">
      <c r="A8" s="172" t="s">
        <v>371</v>
      </c>
      <c r="B8" s="172" t="s">
        <v>372</v>
      </c>
      <c r="C8" s="172" t="s">
        <v>373</v>
      </c>
      <c r="D8" s="172" t="s">
        <v>374</v>
      </c>
      <c r="E8" s="172" t="s">
        <v>375</v>
      </c>
      <c r="F8" s="172" t="s">
        <v>499</v>
      </c>
      <c r="G8" s="172" t="s">
        <v>376</v>
      </c>
      <c r="H8" s="172" t="s">
        <v>377</v>
      </c>
      <c r="I8" s="172" t="s">
        <v>378</v>
      </c>
      <c r="J8" s="172" t="s">
        <v>379</v>
      </c>
      <c r="K8" s="172" t="s">
        <v>790</v>
      </c>
      <c r="L8" s="172" t="s">
        <v>113</v>
      </c>
      <c r="O8" s="379"/>
      <c r="P8" s="167"/>
    </row>
    <row r="9" spans="1:16" ht="33" customHeight="1" thickTop="1" thickBot="1">
      <c r="A9" s="376" t="s">
        <v>381</v>
      </c>
      <c r="B9" s="376" t="s">
        <v>382</v>
      </c>
      <c r="C9" s="377">
        <v>127</v>
      </c>
      <c r="D9" s="377">
        <v>127</v>
      </c>
      <c r="E9" s="377">
        <v>127</v>
      </c>
      <c r="F9" s="377">
        <f>C9-D9</f>
        <v>0</v>
      </c>
      <c r="G9" s="377">
        <v>0</v>
      </c>
      <c r="H9" s="377">
        <v>0</v>
      </c>
      <c r="I9" s="377">
        <v>0</v>
      </c>
      <c r="J9" s="377">
        <f>E9+I9</f>
        <v>127</v>
      </c>
      <c r="K9" s="377">
        <f>D9+G9-J9</f>
        <v>0</v>
      </c>
      <c r="L9" s="435"/>
      <c r="M9" s="176"/>
      <c r="O9" s="167"/>
      <c r="P9" s="167"/>
    </row>
    <row r="10" spans="1:16" ht="45.6" customHeight="1" thickTop="1" thickBot="1">
      <c r="A10" s="376" t="s">
        <v>10</v>
      </c>
      <c r="B10" s="376" t="s">
        <v>382</v>
      </c>
      <c r="C10" s="377">
        <v>127</v>
      </c>
      <c r="D10" s="377">
        <v>127</v>
      </c>
      <c r="E10" s="377">
        <v>127</v>
      </c>
      <c r="F10" s="377">
        <f>C10-D10</f>
        <v>0</v>
      </c>
      <c r="G10" s="377">
        <v>0</v>
      </c>
      <c r="H10" s="377">
        <v>0</v>
      </c>
      <c r="I10" s="377">
        <v>0</v>
      </c>
      <c r="J10" s="377">
        <v>127</v>
      </c>
      <c r="K10" s="377">
        <f>D10+G10-J10</f>
        <v>0</v>
      </c>
      <c r="L10" s="435"/>
      <c r="M10" s="176"/>
      <c r="O10" s="167"/>
      <c r="P10" s="167"/>
    </row>
    <row r="11" spans="1:16" ht="15" thickTop="1">
      <c r="M11" s="176"/>
      <c r="O11" s="167"/>
      <c r="P11" s="167"/>
    </row>
    <row r="12" spans="1:16" ht="15" thickBot="1">
      <c r="O12" s="167"/>
      <c r="P12" s="167"/>
    </row>
    <row r="13" spans="1:16" ht="22.2" customHeight="1" thickBot="1">
      <c r="A13" s="761" t="s">
        <v>383</v>
      </c>
      <c r="B13" s="762"/>
      <c r="C13" s="762"/>
      <c r="D13" s="762"/>
      <c r="E13" s="762"/>
      <c r="F13" s="762"/>
      <c r="G13" s="762"/>
      <c r="H13" s="762"/>
      <c r="I13" s="762"/>
      <c r="J13" s="762"/>
      <c r="K13" s="762"/>
      <c r="L13" s="762"/>
      <c r="M13" s="762"/>
      <c r="N13" s="763"/>
      <c r="O13" s="167"/>
      <c r="P13" s="167"/>
    </row>
    <row r="14" spans="1:16" ht="47.55" customHeight="1" thickBot="1">
      <c r="A14" s="450" t="s">
        <v>371</v>
      </c>
      <c r="B14" s="451" t="s">
        <v>372</v>
      </c>
      <c r="C14" s="451" t="s">
        <v>373</v>
      </c>
      <c r="D14" s="451" t="s">
        <v>374</v>
      </c>
      <c r="E14" s="451" t="s">
        <v>384</v>
      </c>
      <c r="F14" s="451" t="s">
        <v>385</v>
      </c>
      <c r="G14" s="451" t="s">
        <v>386</v>
      </c>
      <c r="H14" s="451" t="s">
        <v>387</v>
      </c>
      <c r="I14" s="451" t="s">
        <v>388</v>
      </c>
      <c r="J14" s="451" t="s">
        <v>389</v>
      </c>
      <c r="K14" s="451" t="s">
        <v>390</v>
      </c>
      <c r="L14" s="452" t="s">
        <v>391</v>
      </c>
      <c r="M14" s="759" t="s">
        <v>113</v>
      </c>
      <c r="N14" s="760"/>
      <c r="O14" s="167"/>
      <c r="P14" s="167"/>
    </row>
    <row r="15" spans="1:16" s="664" customFormat="1" ht="66.599999999999994" customHeight="1" thickBot="1">
      <c r="A15" s="659" t="s">
        <v>392</v>
      </c>
      <c r="B15" s="659" t="s">
        <v>393</v>
      </c>
      <c r="C15" s="660">
        <v>47.84</v>
      </c>
      <c r="D15" s="661">
        <v>47.84</v>
      </c>
      <c r="E15" s="662">
        <v>47.84</v>
      </c>
      <c r="F15" s="662">
        <f>43.9+3.94</f>
        <v>47.839999999999996</v>
      </c>
      <c r="G15" s="660">
        <v>0</v>
      </c>
      <c r="H15" s="660">
        <v>0</v>
      </c>
      <c r="I15" s="660">
        <v>0</v>
      </c>
      <c r="J15" s="661">
        <v>0</v>
      </c>
      <c r="K15" s="662">
        <v>0</v>
      </c>
      <c r="L15" s="662">
        <f>E15+K15</f>
        <v>47.84</v>
      </c>
      <c r="M15" s="764"/>
      <c r="N15" s="765"/>
      <c r="O15" s="663"/>
    </row>
    <row r="16" spans="1:16" s="664" customFormat="1" ht="39.6" customHeight="1" thickTop="1" thickBot="1">
      <c r="A16" s="376" t="s">
        <v>237</v>
      </c>
      <c r="B16" s="376" t="s">
        <v>393</v>
      </c>
      <c r="C16" s="665">
        <v>47.84</v>
      </c>
      <c r="D16" s="377">
        <v>47.84</v>
      </c>
      <c r="E16" s="666">
        <v>47.84</v>
      </c>
      <c r="F16" s="662">
        <f>43.9+3.94</f>
        <v>47.839999999999996</v>
      </c>
      <c r="G16" s="665">
        <v>0</v>
      </c>
      <c r="H16" s="665">
        <v>0</v>
      </c>
      <c r="I16" s="665">
        <v>0</v>
      </c>
      <c r="J16" s="377">
        <v>0</v>
      </c>
      <c r="K16" s="666">
        <v>0</v>
      </c>
      <c r="L16" s="666">
        <f>E16+K16</f>
        <v>47.84</v>
      </c>
      <c r="M16" s="766"/>
      <c r="N16" s="767"/>
    </row>
    <row r="17" spans="1:16" ht="15.6" thickTop="1" thickBot="1">
      <c r="P17" s="168"/>
    </row>
    <row r="18" spans="1:16" s="169" customFormat="1" ht="22.2" customHeight="1" thickTop="1" thickBot="1">
      <c r="A18" s="753" t="s">
        <v>423</v>
      </c>
      <c r="B18" s="754"/>
      <c r="C18" s="754"/>
      <c r="D18" s="754"/>
      <c r="E18" s="754"/>
      <c r="F18" s="754"/>
      <c r="G18" s="754"/>
      <c r="H18" s="754"/>
      <c r="I18" s="754"/>
      <c r="J18" s="754"/>
      <c r="K18" s="754"/>
      <c r="L18" s="754"/>
      <c r="M18" s="754"/>
      <c r="N18" s="754"/>
      <c r="O18" s="755"/>
    </row>
    <row r="19" spans="1:16" s="169" customFormat="1" ht="42.6" thickTop="1" thickBot="1">
      <c r="A19" s="172" t="s">
        <v>371</v>
      </c>
      <c r="B19" s="172" t="s">
        <v>372</v>
      </c>
      <c r="C19" s="172" t="s">
        <v>424</v>
      </c>
      <c r="D19" s="172" t="s">
        <v>425</v>
      </c>
      <c r="E19" s="172" t="s">
        <v>426</v>
      </c>
      <c r="F19" s="172" t="s">
        <v>427</v>
      </c>
      <c r="G19" s="172" t="s">
        <v>428</v>
      </c>
      <c r="H19" s="172" t="s">
        <v>236</v>
      </c>
      <c r="I19" s="172" t="s">
        <v>429</v>
      </c>
      <c r="J19" s="172" t="s">
        <v>430</v>
      </c>
      <c r="K19" s="172" t="s">
        <v>431</v>
      </c>
      <c r="L19" s="172" t="s">
        <v>432</v>
      </c>
      <c r="M19" s="172" t="s">
        <v>433</v>
      </c>
      <c r="N19" s="172" t="s">
        <v>434</v>
      </c>
      <c r="O19" s="172" t="s">
        <v>113</v>
      </c>
      <c r="P19" s="164"/>
    </row>
    <row r="20" spans="1:16" s="657" customFormat="1" ht="37.200000000000003" customHeight="1" thickTop="1" thickBot="1">
      <c r="A20" s="652" t="s">
        <v>101</v>
      </c>
      <c r="B20" s="652" t="s">
        <v>107</v>
      </c>
      <c r="C20" s="652">
        <v>127</v>
      </c>
      <c r="D20" s="652">
        <v>127</v>
      </c>
      <c r="E20" s="653">
        <v>125</v>
      </c>
      <c r="F20" s="652">
        <v>0</v>
      </c>
      <c r="G20" s="652">
        <v>2</v>
      </c>
      <c r="H20" s="654">
        <v>0</v>
      </c>
      <c r="I20" s="654">
        <v>1</v>
      </c>
      <c r="J20" s="652">
        <f>D20+F20</f>
        <v>127</v>
      </c>
      <c r="K20" s="653">
        <f>E20+I20</f>
        <v>126</v>
      </c>
      <c r="L20" s="652">
        <f>+C20-K20</f>
        <v>1</v>
      </c>
      <c r="M20" s="652">
        <v>0</v>
      </c>
      <c r="N20" s="652">
        <v>1</v>
      </c>
      <c r="O20" s="655"/>
      <c r="P20" s="656"/>
    </row>
    <row r="21" spans="1:16" s="656" customFormat="1" ht="37.200000000000003" customHeight="1" thickTop="1" thickBot="1">
      <c r="A21" s="652" t="s">
        <v>102</v>
      </c>
      <c r="B21" s="652" t="s">
        <v>107</v>
      </c>
      <c r="C21" s="652">
        <v>127</v>
      </c>
      <c r="D21" s="652"/>
      <c r="E21" s="653">
        <v>123</v>
      </c>
      <c r="F21" s="652">
        <v>0</v>
      </c>
      <c r="G21" s="652">
        <v>4</v>
      </c>
      <c r="H21" s="654">
        <v>0</v>
      </c>
      <c r="I21" s="654">
        <v>1</v>
      </c>
      <c r="J21" s="652">
        <f>D21+F21</f>
        <v>0</v>
      </c>
      <c r="K21" s="653">
        <f>E21+I21</f>
        <v>124</v>
      </c>
      <c r="L21" s="652">
        <f t="shared" ref="L21:L22" si="0">+C21-K21</f>
        <v>3</v>
      </c>
      <c r="M21" s="652">
        <v>0</v>
      </c>
      <c r="N21" s="652">
        <v>0</v>
      </c>
      <c r="O21" s="652"/>
    </row>
    <row r="22" spans="1:16" s="656" customFormat="1" ht="45.6" customHeight="1" thickTop="1" thickBot="1">
      <c r="A22" s="652" t="s">
        <v>105</v>
      </c>
      <c r="B22" s="652" t="s">
        <v>107</v>
      </c>
      <c r="C22" s="652">
        <v>127</v>
      </c>
      <c r="D22" s="652">
        <v>127</v>
      </c>
      <c r="E22" s="653">
        <v>108</v>
      </c>
      <c r="F22" s="652">
        <v>0</v>
      </c>
      <c r="G22" s="652">
        <v>17</v>
      </c>
      <c r="H22" s="654">
        <v>1</v>
      </c>
      <c r="I22" s="654">
        <v>7</v>
      </c>
      <c r="J22" s="652">
        <v>127</v>
      </c>
      <c r="K22" s="653">
        <f>E22+I22</f>
        <v>115</v>
      </c>
      <c r="L22" s="652">
        <f t="shared" si="0"/>
        <v>12</v>
      </c>
      <c r="M22" s="652">
        <v>1</v>
      </c>
      <c r="N22" s="652">
        <v>3</v>
      </c>
      <c r="O22" s="655"/>
    </row>
    <row r="23" spans="1:16" s="656" customFormat="1" ht="42" customHeight="1" thickTop="1" thickBot="1">
      <c r="A23" s="652" t="s">
        <v>852</v>
      </c>
      <c r="B23" s="652" t="s">
        <v>493</v>
      </c>
      <c r="C23" s="652">
        <v>47.84</v>
      </c>
      <c r="D23" s="652">
        <f>C23</f>
        <v>47.84</v>
      </c>
      <c r="E23" s="658">
        <v>12.95</v>
      </c>
      <c r="F23" s="652">
        <v>0</v>
      </c>
      <c r="G23" s="652">
        <v>13.28</v>
      </c>
      <c r="H23" s="654">
        <v>0</v>
      </c>
      <c r="I23" s="654">
        <v>0</v>
      </c>
      <c r="J23" s="652">
        <v>47.84</v>
      </c>
      <c r="K23" s="681">
        <f>E23+I23</f>
        <v>12.95</v>
      </c>
      <c r="L23" s="652">
        <f t="shared" ref="L23" si="1">+C23-K23</f>
        <v>34.89</v>
      </c>
      <c r="M23" s="652">
        <v>2.5369999999999999</v>
      </c>
      <c r="N23" s="652">
        <v>3</v>
      </c>
      <c r="O23" s="655" t="s">
        <v>889</v>
      </c>
    </row>
    <row r="24" spans="1:16" s="371" customFormat="1" ht="38.4" customHeight="1" thickTop="1" thickBot="1">
      <c r="A24" s="586"/>
      <c r="B24" s="586"/>
      <c r="C24" s="586"/>
      <c r="D24" s="586"/>
      <c r="E24" s="587"/>
      <c r="F24" s="586"/>
      <c r="G24" s="586"/>
      <c r="H24" s="586"/>
      <c r="I24" s="586"/>
      <c r="J24" s="586"/>
      <c r="K24" s="586"/>
      <c r="L24" s="586"/>
      <c r="M24" s="586"/>
      <c r="N24" s="586"/>
      <c r="O24" s="586"/>
    </row>
    <row r="25" spans="1:16" s="371" customFormat="1" ht="19.8" customHeight="1">
      <c r="A25" s="770" t="s">
        <v>823</v>
      </c>
      <c r="B25" s="771"/>
      <c r="C25" s="771"/>
      <c r="D25" s="771"/>
      <c r="E25" s="771"/>
      <c r="F25" s="771"/>
      <c r="G25" s="771"/>
      <c r="H25" s="771"/>
      <c r="I25" s="772"/>
      <c r="J25" s="586"/>
      <c r="K25" s="586"/>
      <c r="L25" s="586"/>
      <c r="M25" s="586"/>
      <c r="N25" s="586"/>
      <c r="O25" s="586"/>
    </row>
    <row r="26" spans="1:16" s="651" customFormat="1" ht="32.4" customHeight="1" thickBot="1">
      <c r="A26" s="672" t="s">
        <v>12</v>
      </c>
      <c r="B26" s="673" t="s">
        <v>671</v>
      </c>
      <c r="C26" s="673" t="s">
        <v>672</v>
      </c>
      <c r="D26" s="773" t="s">
        <v>673</v>
      </c>
      <c r="E26" s="773"/>
      <c r="F26" s="773" t="s">
        <v>691</v>
      </c>
      <c r="G26" s="773"/>
      <c r="H26" s="773" t="s">
        <v>636</v>
      </c>
      <c r="I26" s="774"/>
      <c r="J26" s="586"/>
      <c r="K26" s="586"/>
      <c r="L26" s="586"/>
      <c r="M26" s="586"/>
      <c r="N26" s="586"/>
      <c r="O26" s="586"/>
    </row>
    <row r="27" spans="1:16" s="371" customFormat="1" ht="42" customHeight="1">
      <c r="A27" s="674">
        <v>1</v>
      </c>
      <c r="B27" s="675" t="s">
        <v>811</v>
      </c>
      <c r="C27" s="676" t="s">
        <v>888</v>
      </c>
      <c r="D27" s="775" t="s">
        <v>789</v>
      </c>
      <c r="E27" s="775"/>
      <c r="F27" s="775" t="s">
        <v>789</v>
      </c>
      <c r="G27" s="775"/>
      <c r="H27" s="776" t="s">
        <v>885</v>
      </c>
      <c r="I27" s="777"/>
      <c r="J27" s="586"/>
      <c r="K27" s="586"/>
      <c r="L27" s="586"/>
      <c r="M27" s="586"/>
      <c r="N27" s="586"/>
      <c r="O27" s="586"/>
    </row>
    <row r="28" spans="1:16" ht="29.4" customHeight="1">
      <c r="A28" s="170"/>
      <c r="G28" s="164" t="s">
        <v>794</v>
      </c>
      <c r="N28" s="586"/>
      <c r="O28" s="586"/>
    </row>
    <row r="29" spans="1:16" ht="21" customHeight="1">
      <c r="A29" s="815" t="s">
        <v>788</v>
      </c>
      <c r="B29" s="815"/>
      <c r="C29" s="815"/>
      <c r="D29" s="815"/>
      <c r="E29" s="815"/>
      <c r="F29" s="815"/>
      <c r="G29" s="815"/>
      <c r="H29" s="815"/>
      <c r="I29" s="815"/>
    </row>
    <row r="30" spans="1:16" s="645" customFormat="1" ht="40.799999999999997" customHeight="1">
      <c r="A30" s="650" t="s">
        <v>12</v>
      </c>
      <c r="B30" s="650" t="s">
        <v>671</v>
      </c>
      <c r="C30" s="650" t="s">
        <v>672</v>
      </c>
      <c r="D30" s="816" t="s">
        <v>673</v>
      </c>
      <c r="E30" s="816"/>
      <c r="F30" s="816" t="s">
        <v>691</v>
      </c>
      <c r="G30" s="816"/>
      <c r="H30" s="816" t="s">
        <v>636</v>
      </c>
      <c r="I30" s="816"/>
    </row>
    <row r="31" spans="1:16" ht="42.6" customHeight="1">
      <c r="A31" s="647">
        <v>1</v>
      </c>
      <c r="B31" s="648" t="s">
        <v>105</v>
      </c>
      <c r="C31" s="649" t="s">
        <v>697</v>
      </c>
      <c r="D31" s="789" t="s">
        <v>789</v>
      </c>
      <c r="E31" s="789"/>
      <c r="F31" s="789" t="s">
        <v>789</v>
      </c>
      <c r="G31" s="789"/>
      <c r="H31" s="794" t="s">
        <v>890</v>
      </c>
      <c r="I31" s="794"/>
    </row>
    <row r="32" spans="1:16" ht="42.6" customHeight="1">
      <c r="A32" s="647">
        <v>2</v>
      </c>
      <c r="B32" s="648" t="s">
        <v>105</v>
      </c>
      <c r="C32" s="678" t="s">
        <v>698</v>
      </c>
      <c r="D32" s="990" t="s">
        <v>892</v>
      </c>
      <c r="E32" s="789"/>
      <c r="F32" s="789" t="s">
        <v>789</v>
      </c>
      <c r="G32" s="789"/>
      <c r="H32" s="794" t="s">
        <v>891</v>
      </c>
      <c r="I32" s="794"/>
    </row>
    <row r="33" spans="1:15" ht="42.6" customHeight="1">
      <c r="A33" s="647">
        <v>3</v>
      </c>
      <c r="B33" s="648" t="s">
        <v>105</v>
      </c>
      <c r="C33" s="649" t="s">
        <v>699</v>
      </c>
      <c r="D33" s="790" t="s">
        <v>560</v>
      </c>
      <c r="E33" s="790"/>
      <c r="F33" s="789" t="s">
        <v>789</v>
      </c>
      <c r="G33" s="789"/>
      <c r="H33" s="794"/>
      <c r="I33" s="794"/>
    </row>
    <row r="34" spans="1:15" ht="30" customHeight="1" thickBot="1"/>
    <row r="35" spans="1:15" ht="21.6" customHeight="1" thickBot="1">
      <c r="A35" s="795" t="s">
        <v>780</v>
      </c>
      <c r="B35" s="796"/>
      <c r="C35" s="796"/>
      <c r="D35" s="796"/>
      <c r="E35" s="796"/>
      <c r="F35" s="796"/>
      <c r="G35" s="796"/>
      <c r="H35" s="796"/>
      <c r="I35" s="796"/>
      <c r="J35" s="796"/>
      <c r="K35" s="797"/>
    </row>
    <row r="36" spans="1:15" ht="30" customHeight="1">
      <c r="A36" s="588" t="s">
        <v>12</v>
      </c>
      <c r="B36" s="589" t="s">
        <v>671</v>
      </c>
      <c r="C36" s="589" t="s">
        <v>672</v>
      </c>
      <c r="D36" s="791" t="s">
        <v>514</v>
      </c>
      <c r="E36" s="792"/>
      <c r="F36" s="791" t="s">
        <v>784</v>
      </c>
      <c r="G36" s="793"/>
      <c r="H36" s="791" t="s">
        <v>783</v>
      </c>
      <c r="I36" s="793"/>
      <c r="J36" s="811" t="s">
        <v>636</v>
      </c>
      <c r="K36" s="812"/>
    </row>
    <row r="37" spans="1:15" ht="46.8" customHeight="1">
      <c r="A37" s="726">
        <v>1</v>
      </c>
      <c r="B37" s="738" t="s">
        <v>781</v>
      </c>
      <c r="C37" s="736" t="s">
        <v>782</v>
      </c>
      <c r="D37" s="813" t="s">
        <v>848</v>
      </c>
      <c r="E37" s="813"/>
      <c r="F37" s="814">
        <v>2.5369999999999999</v>
      </c>
      <c r="G37" s="814"/>
      <c r="H37" s="991" t="s">
        <v>56</v>
      </c>
      <c r="I37" s="991"/>
      <c r="J37" s="992" t="s">
        <v>893</v>
      </c>
      <c r="K37" s="993"/>
    </row>
    <row r="38" spans="1:15" ht="46.8" customHeight="1" thickBot="1">
      <c r="A38" s="727">
        <v>2</v>
      </c>
      <c r="B38" s="739" t="s">
        <v>781</v>
      </c>
      <c r="C38" s="737" t="s">
        <v>830</v>
      </c>
      <c r="D38" s="785" t="s">
        <v>851</v>
      </c>
      <c r="E38" s="785"/>
      <c r="F38" s="780">
        <v>2.0150000000000001</v>
      </c>
      <c r="G38" s="780"/>
      <c r="H38" s="781" t="s">
        <v>858</v>
      </c>
      <c r="I38" s="781"/>
      <c r="J38" s="782" t="s">
        <v>816</v>
      </c>
      <c r="K38" s="783"/>
    </row>
    <row r="39" spans="1:15" ht="30" customHeight="1">
      <c r="A39" s="170"/>
    </row>
    <row r="40" spans="1:15" s="460" customFormat="1" ht="28.2" customHeight="1">
      <c r="A40" s="684" t="s">
        <v>668</v>
      </c>
    </row>
    <row r="41" spans="1:15" s="458" customFormat="1" ht="9" customHeight="1">
      <c r="A41" s="459"/>
      <c r="B41" s="784"/>
      <c r="C41" s="784"/>
      <c r="D41" s="784"/>
      <c r="E41" s="784"/>
      <c r="F41" s="784"/>
      <c r="G41" s="784"/>
    </row>
    <row r="42" spans="1:15" s="458" customFormat="1" ht="24.6" customHeight="1">
      <c r="A42" s="682" t="s">
        <v>670</v>
      </c>
      <c r="B42" s="779" t="s">
        <v>807</v>
      </c>
      <c r="C42" s="779"/>
      <c r="D42" s="779"/>
      <c r="E42" s="779"/>
      <c r="F42" s="779"/>
      <c r="G42" s="779"/>
      <c r="H42" s="779"/>
      <c r="I42" s="779"/>
      <c r="J42" s="779"/>
      <c r="K42" s="457"/>
      <c r="L42" s="457"/>
      <c r="M42" s="475"/>
      <c r="N42" s="475"/>
      <c r="O42" s="475"/>
    </row>
    <row r="43" spans="1:15" s="458" customFormat="1" ht="24.6" customHeight="1">
      <c r="A43" s="682" t="s">
        <v>670</v>
      </c>
      <c r="B43" s="779" t="s">
        <v>705</v>
      </c>
      <c r="C43" s="779"/>
      <c r="D43" s="779"/>
      <c r="E43" s="779"/>
      <c r="F43" s="779"/>
      <c r="G43" s="779"/>
      <c r="H43" s="779"/>
      <c r="I43" s="779"/>
      <c r="J43" s="779"/>
      <c r="K43" s="457"/>
      <c r="L43" s="457"/>
      <c r="M43" s="464"/>
      <c r="N43" s="464"/>
      <c r="O43" s="464"/>
    </row>
    <row r="44" spans="1:15" s="458" customFormat="1" ht="24.6" customHeight="1">
      <c r="A44" s="682" t="s">
        <v>670</v>
      </c>
      <c r="B44" s="779" t="s">
        <v>791</v>
      </c>
      <c r="C44" s="779"/>
      <c r="D44" s="779"/>
      <c r="E44" s="779"/>
      <c r="F44" s="779"/>
      <c r="G44" s="779"/>
      <c r="H44" s="779"/>
      <c r="I44" s="779"/>
      <c r="J44" s="779"/>
      <c r="K44" s="457"/>
      <c r="L44" s="457"/>
      <c r="M44" s="475"/>
      <c r="N44" s="475"/>
      <c r="O44" s="475"/>
    </row>
    <row r="45" spans="1:15" s="458" customFormat="1" ht="24.6" customHeight="1">
      <c r="A45" s="459"/>
      <c r="B45" s="679"/>
      <c r="C45" s="679"/>
      <c r="D45" s="679"/>
      <c r="E45" s="679"/>
      <c r="F45" s="679"/>
      <c r="G45" s="679"/>
      <c r="H45" s="679"/>
      <c r="I45" s="679"/>
      <c r="J45" s="679"/>
      <c r="K45" s="457"/>
      <c r="L45" s="457"/>
      <c r="M45" s="475"/>
      <c r="N45" s="475"/>
      <c r="O45" s="475"/>
    </row>
    <row r="46" spans="1:15" s="458" customFormat="1" ht="39" customHeight="1" thickBot="1">
      <c r="A46" s="801" t="s">
        <v>895</v>
      </c>
      <c r="B46" s="801"/>
      <c r="C46" s="801"/>
      <c r="D46" s="801"/>
      <c r="E46" s="801"/>
      <c r="F46" s="801"/>
      <c r="G46" s="801"/>
      <c r="H46" s="801"/>
      <c r="I46" s="679"/>
      <c r="J46" s="679"/>
      <c r="K46" s="457"/>
      <c r="L46" s="457"/>
      <c r="M46" s="475"/>
      <c r="N46" s="475"/>
      <c r="O46" s="475"/>
    </row>
    <row r="47" spans="1:15" s="458" customFormat="1" ht="24.6" customHeight="1">
      <c r="A47" s="459"/>
      <c r="B47" s="802" t="s">
        <v>894</v>
      </c>
      <c r="C47" s="803"/>
      <c r="D47" s="803"/>
      <c r="E47" s="803"/>
      <c r="F47" s="803"/>
      <c r="G47" s="803"/>
      <c r="H47" s="803"/>
      <c r="I47" s="803"/>
      <c r="J47" s="804"/>
      <c r="K47" s="457"/>
      <c r="L47" s="457"/>
      <c r="M47" s="475"/>
      <c r="N47" s="475"/>
      <c r="O47" s="475"/>
    </row>
    <row r="48" spans="1:15" s="458" customFormat="1" ht="24.6" customHeight="1">
      <c r="A48" s="459"/>
      <c r="B48" s="805"/>
      <c r="C48" s="806"/>
      <c r="D48" s="806"/>
      <c r="E48" s="806"/>
      <c r="F48" s="806"/>
      <c r="G48" s="806"/>
      <c r="H48" s="806"/>
      <c r="I48" s="806"/>
      <c r="J48" s="807"/>
      <c r="K48" s="457"/>
      <c r="L48" s="457"/>
      <c r="M48" s="475"/>
      <c r="N48" s="475"/>
      <c r="O48" s="475"/>
    </row>
    <row r="49" spans="1:95" s="458" customFormat="1" ht="19.2" customHeight="1">
      <c r="A49" s="459"/>
      <c r="B49" s="805"/>
      <c r="C49" s="806"/>
      <c r="D49" s="806"/>
      <c r="E49" s="806"/>
      <c r="F49" s="806"/>
      <c r="G49" s="806"/>
      <c r="H49" s="806"/>
      <c r="I49" s="806"/>
      <c r="J49" s="807"/>
      <c r="K49" s="457"/>
      <c r="L49" s="457"/>
      <c r="M49" s="475"/>
      <c r="N49" s="475"/>
      <c r="O49" s="475"/>
    </row>
    <row r="50" spans="1:95" s="458" customFormat="1" ht="19.2" customHeight="1">
      <c r="A50" s="459"/>
      <c r="B50" s="805"/>
      <c r="C50" s="806"/>
      <c r="D50" s="806"/>
      <c r="E50" s="806"/>
      <c r="F50" s="806"/>
      <c r="G50" s="806"/>
      <c r="H50" s="806"/>
      <c r="I50" s="806"/>
      <c r="J50" s="807"/>
      <c r="K50" s="457"/>
      <c r="L50" s="457"/>
      <c r="M50" s="475"/>
      <c r="N50" s="475"/>
      <c r="O50" s="475"/>
    </row>
    <row r="51" spans="1:95" s="458" customFormat="1" ht="19.2" customHeight="1">
      <c r="A51" s="459"/>
      <c r="B51" s="805"/>
      <c r="C51" s="806"/>
      <c r="D51" s="806"/>
      <c r="E51" s="806"/>
      <c r="F51" s="806"/>
      <c r="G51" s="806"/>
      <c r="H51" s="806"/>
      <c r="I51" s="806"/>
      <c r="J51" s="807"/>
      <c r="K51" s="457"/>
      <c r="L51" s="457"/>
      <c r="M51" s="475"/>
      <c r="N51" s="475"/>
      <c r="O51" s="475"/>
    </row>
    <row r="52" spans="1:95" s="458" customFormat="1" ht="19.2" customHeight="1">
      <c r="A52" s="459"/>
      <c r="B52" s="805"/>
      <c r="C52" s="806"/>
      <c r="D52" s="806"/>
      <c r="E52" s="806"/>
      <c r="F52" s="806"/>
      <c r="G52" s="806"/>
      <c r="H52" s="806"/>
      <c r="I52" s="806"/>
      <c r="J52" s="807"/>
      <c r="K52" s="457"/>
      <c r="L52" s="457"/>
      <c r="M52" s="475"/>
      <c r="N52" s="475"/>
      <c r="O52" s="475"/>
    </row>
    <row r="53" spans="1:95" s="458" customFormat="1" ht="19.2" customHeight="1">
      <c r="A53" s="459"/>
      <c r="B53" s="805"/>
      <c r="C53" s="806"/>
      <c r="D53" s="806"/>
      <c r="E53" s="806"/>
      <c r="F53" s="806"/>
      <c r="G53" s="806"/>
      <c r="H53" s="806"/>
      <c r="I53" s="806"/>
      <c r="J53" s="807"/>
      <c r="K53" s="457"/>
      <c r="L53" s="457"/>
      <c r="M53" s="475"/>
      <c r="N53" s="475"/>
      <c r="O53" s="475"/>
    </row>
    <row r="54" spans="1:95" s="458" customFormat="1" ht="23.4" customHeight="1" thickBot="1">
      <c r="A54" s="459"/>
      <c r="B54" s="808"/>
      <c r="C54" s="809"/>
      <c r="D54" s="809"/>
      <c r="E54" s="809"/>
      <c r="F54" s="809"/>
      <c r="G54" s="809"/>
      <c r="H54" s="809"/>
      <c r="I54" s="809"/>
      <c r="J54" s="810"/>
      <c r="K54" s="457"/>
      <c r="L54" s="457"/>
      <c r="M54" s="475"/>
      <c r="N54" s="475"/>
      <c r="O54" s="475"/>
    </row>
    <row r="55" spans="1:95" s="252" customFormat="1" ht="17.399999999999999" customHeight="1">
      <c r="A55" s="459"/>
      <c r="B55" s="784"/>
      <c r="C55" s="784"/>
      <c r="D55" s="784"/>
      <c r="E55" s="784"/>
      <c r="F55" s="784"/>
      <c r="G55" s="784"/>
      <c r="H55" s="784"/>
      <c r="I55" s="784"/>
      <c r="J55" s="784"/>
      <c r="K55" s="457"/>
      <c r="L55" s="457"/>
      <c r="M55" s="456"/>
      <c r="N55" s="456"/>
      <c r="O55" s="456"/>
    </row>
    <row r="56" spans="1:95" ht="15" thickBot="1"/>
    <row r="57" spans="1:95" ht="25.8" thickBot="1">
      <c r="A57" s="786" t="s">
        <v>480</v>
      </c>
      <c r="B57" s="787"/>
      <c r="C57" s="787"/>
      <c r="D57" s="787"/>
      <c r="E57" s="787"/>
      <c r="F57" s="787"/>
      <c r="G57" s="787"/>
      <c r="H57" s="787"/>
      <c r="I57" s="787"/>
      <c r="J57" s="788"/>
    </row>
    <row r="58" spans="1:95" s="646" customFormat="1" ht="66.599999999999994" customHeight="1" thickBot="1">
      <c r="A58" s="641" t="s">
        <v>760</v>
      </c>
      <c r="B58" s="642" t="s">
        <v>761</v>
      </c>
      <c r="C58" s="798" t="s">
        <v>762</v>
      </c>
      <c r="D58" s="799"/>
      <c r="E58" s="800"/>
      <c r="F58" s="642" t="s">
        <v>372</v>
      </c>
      <c r="G58" s="642" t="s">
        <v>481</v>
      </c>
      <c r="H58" s="643" t="s">
        <v>773</v>
      </c>
      <c r="I58" s="644" t="s">
        <v>763</v>
      </c>
      <c r="J58" s="644" t="s">
        <v>113</v>
      </c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45"/>
      <c r="AB58" s="645"/>
      <c r="AC58" s="645"/>
      <c r="AD58" s="645"/>
      <c r="AE58" s="645"/>
      <c r="AF58" s="645"/>
      <c r="AG58" s="645"/>
      <c r="AH58" s="645"/>
      <c r="AI58" s="645"/>
      <c r="AJ58" s="645"/>
      <c r="AK58" s="645"/>
      <c r="AL58" s="645"/>
      <c r="AM58" s="645"/>
      <c r="AN58" s="645"/>
      <c r="AO58" s="645"/>
      <c r="AP58" s="645"/>
      <c r="AQ58" s="645"/>
      <c r="AR58" s="645"/>
      <c r="AS58" s="645"/>
      <c r="AT58" s="645"/>
      <c r="AU58" s="645"/>
      <c r="AV58" s="645"/>
      <c r="AW58" s="645"/>
      <c r="AX58" s="645"/>
      <c r="AY58" s="645"/>
      <c r="AZ58" s="645"/>
      <c r="BA58" s="645"/>
      <c r="BB58" s="645"/>
      <c r="BC58" s="645"/>
      <c r="BD58" s="645"/>
      <c r="BE58" s="645"/>
      <c r="BF58" s="645"/>
      <c r="BG58" s="645"/>
      <c r="BH58" s="645"/>
      <c r="BI58" s="645"/>
      <c r="BJ58" s="645"/>
      <c r="BK58" s="645"/>
      <c r="BL58" s="645"/>
      <c r="BM58" s="645"/>
      <c r="BN58" s="645"/>
      <c r="BO58" s="645"/>
      <c r="BP58" s="645"/>
      <c r="BQ58" s="645"/>
      <c r="BR58" s="645"/>
      <c r="BS58" s="645"/>
      <c r="BT58" s="645"/>
      <c r="BU58" s="645"/>
      <c r="BV58" s="645"/>
      <c r="BW58" s="645"/>
      <c r="BX58" s="645"/>
      <c r="BY58" s="645"/>
      <c r="BZ58" s="645"/>
      <c r="CA58" s="645"/>
      <c r="CB58" s="645"/>
      <c r="CC58" s="645"/>
      <c r="CD58" s="645"/>
      <c r="CE58" s="645"/>
      <c r="CF58" s="645"/>
      <c r="CG58" s="645"/>
      <c r="CH58" s="645"/>
      <c r="CI58" s="645"/>
      <c r="CJ58" s="645"/>
      <c r="CK58" s="645"/>
      <c r="CL58" s="645"/>
      <c r="CM58" s="645"/>
      <c r="CN58" s="645"/>
      <c r="CO58" s="645"/>
      <c r="CP58" s="645"/>
      <c r="CQ58" s="645"/>
    </row>
    <row r="59" spans="1:95" s="518" customFormat="1" ht="33.6" customHeight="1">
      <c r="A59" s="548">
        <v>1</v>
      </c>
      <c r="B59" s="549" t="s">
        <v>482</v>
      </c>
      <c r="C59" s="778" t="s">
        <v>729</v>
      </c>
      <c r="D59" s="778"/>
      <c r="E59" s="778"/>
      <c r="F59" s="550" t="s">
        <v>483</v>
      </c>
      <c r="G59" s="551">
        <v>127</v>
      </c>
      <c r="H59" s="552">
        <v>127</v>
      </c>
      <c r="I59" s="553">
        <f>G59-H59</f>
        <v>0</v>
      </c>
      <c r="J59" s="55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18" customFormat="1" ht="33.6" customHeight="1">
      <c r="A60" s="519">
        <f>A59+1</f>
        <v>2</v>
      </c>
      <c r="B60" s="546" t="s">
        <v>484</v>
      </c>
      <c r="C60" s="768" t="s">
        <v>730</v>
      </c>
      <c r="D60" s="768"/>
      <c r="E60" s="768"/>
      <c r="F60" s="391" t="s">
        <v>483</v>
      </c>
      <c r="G60" s="529">
        <v>127</v>
      </c>
      <c r="H60" s="530">
        <v>127</v>
      </c>
      <c r="I60" s="536">
        <f t="shared" ref="I60:I94" si="2">G60-H60</f>
        <v>0</v>
      </c>
      <c r="J60" s="520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18" customFormat="1" ht="33.6" customHeight="1">
      <c r="A61" s="519">
        <f t="shared" ref="A61:A93" si="3">A60+1</f>
        <v>3</v>
      </c>
      <c r="B61" s="546" t="s">
        <v>485</v>
      </c>
      <c r="C61" s="768" t="s">
        <v>731</v>
      </c>
      <c r="D61" s="768"/>
      <c r="E61" s="768"/>
      <c r="F61" s="391" t="s">
        <v>486</v>
      </c>
      <c r="G61" s="529">
        <v>127</v>
      </c>
      <c r="H61" s="530">
        <v>127</v>
      </c>
      <c r="I61" s="536">
        <f t="shared" si="2"/>
        <v>0</v>
      </c>
      <c r="J61" s="520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21" customFormat="1" ht="33.6" customHeight="1">
      <c r="A62" s="519">
        <f t="shared" si="3"/>
        <v>4</v>
      </c>
      <c r="B62" s="546" t="s">
        <v>764</v>
      </c>
      <c r="C62" s="768" t="s">
        <v>732</v>
      </c>
      <c r="D62" s="768"/>
      <c r="E62" s="768"/>
      <c r="F62" s="391" t="s">
        <v>733</v>
      </c>
      <c r="G62" s="531">
        <v>49.5</v>
      </c>
      <c r="H62" s="532">
        <f>46.875+3.5</f>
        <v>50.375</v>
      </c>
      <c r="I62" s="537">
        <f t="shared" si="2"/>
        <v>-0.875</v>
      </c>
      <c r="J62" s="528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21" customFormat="1" ht="33.6" customHeight="1">
      <c r="A63" s="519">
        <f t="shared" si="3"/>
        <v>5</v>
      </c>
      <c r="B63" s="546" t="s">
        <v>765</v>
      </c>
      <c r="C63" s="768" t="s">
        <v>734</v>
      </c>
      <c r="D63" s="768"/>
      <c r="E63" s="768"/>
      <c r="F63" s="391" t="s">
        <v>733</v>
      </c>
      <c r="G63" s="531">
        <v>1740</v>
      </c>
      <c r="H63" s="532">
        <f>1601.411+138</f>
        <v>1739.4110000000001</v>
      </c>
      <c r="I63" s="537">
        <f t="shared" si="2"/>
        <v>0.58899999999994179</v>
      </c>
      <c r="J63" s="528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21" customFormat="1" ht="33.6" customHeight="1">
      <c r="A64" s="519">
        <f t="shared" si="3"/>
        <v>6</v>
      </c>
      <c r="B64" s="546" t="s">
        <v>766</v>
      </c>
      <c r="C64" s="768" t="s">
        <v>775</v>
      </c>
      <c r="D64" s="768"/>
      <c r="E64" s="768"/>
      <c r="F64" s="391" t="s">
        <v>735</v>
      </c>
      <c r="G64" s="531">
        <v>2224</v>
      </c>
      <c r="H64" s="533">
        <v>2224</v>
      </c>
      <c r="I64" s="536">
        <f t="shared" si="2"/>
        <v>0</v>
      </c>
      <c r="J64" s="520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21" customFormat="1" ht="33.6" customHeight="1">
      <c r="A65" s="519">
        <f t="shared" si="3"/>
        <v>7</v>
      </c>
      <c r="B65" s="546" t="s">
        <v>766</v>
      </c>
      <c r="C65" s="768" t="s">
        <v>776</v>
      </c>
      <c r="D65" s="768"/>
      <c r="E65" s="768"/>
      <c r="F65" s="391" t="s">
        <v>735</v>
      </c>
      <c r="G65" s="531">
        <v>3781</v>
      </c>
      <c r="H65" s="533">
        <v>3781</v>
      </c>
      <c r="I65" s="536">
        <f t="shared" si="2"/>
        <v>0</v>
      </c>
      <c r="J65" s="520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21" customFormat="1" ht="33.6" customHeight="1">
      <c r="A66" s="519">
        <f t="shared" si="3"/>
        <v>8</v>
      </c>
      <c r="B66" s="546" t="s">
        <v>767</v>
      </c>
      <c r="C66" s="768" t="s">
        <v>777</v>
      </c>
      <c r="D66" s="768"/>
      <c r="E66" s="768"/>
      <c r="F66" s="391" t="s">
        <v>736</v>
      </c>
      <c r="G66" s="531">
        <v>528</v>
      </c>
      <c r="H66" s="533">
        <v>528</v>
      </c>
      <c r="I66" s="536">
        <f t="shared" si="2"/>
        <v>0</v>
      </c>
      <c r="J66" s="520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21" customFormat="1" ht="33.6" customHeight="1">
      <c r="A67" s="519">
        <f t="shared" si="3"/>
        <v>9</v>
      </c>
      <c r="B67" s="546" t="s">
        <v>767</v>
      </c>
      <c r="C67" s="768" t="s">
        <v>778</v>
      </c>
      <c r="D67" s="768"/>
      <c r="E67" s="768"/>
      <c r="F67" s="391" t="s">
        <v>736</v>
      </c>
      <c r="G67" s="531">
        <v>45</v>
      </c>
      <c r="H67" s="533">
        <v>45</v>
      </c>
      <c r="I67" s="536">
        <f t="shared" si="2"/>
        <v>0</v>
      </c>
      <c r="J67" s="520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21" customFormat="1" ht="33.6" customHeight="1">
      <c r="A68" s="519">
        <f t="shared" si="3"/>
        <v>10</v>
      </c>
      <c r="B68" s="546" t="s">
        <v>767</v>
      </c>
      <c r="C68" s="768" t="s">
        <v>779</v>
      </c>
      <c r="D68" s="768"/>
      <c r="E68" s="768"/>
      <c r="F68" s="391" t="s">
        <v>736</v>
      </c>
      <c r="G68" s="531">
        <v>468</v>
      </c>
      <c r="H68" s="533">
        <v>468</v>
      </c>
      <c r="I68" s="536">
        <f t="shared" si="2"/>
        <v>0</v>
      </c>
      <c r="J68" s="520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21" customFormat="1" ht="33.6" customHeight="1">
      <c r="A69" s="519">
        <f t="shared" si="3"/>
        <v>11</v>
      </c>
      <c r="B69" s="546" t="s">
        <v>768</v>
      </c>
      <c r="C69" s="768" t="s">
        <v>737</v>
      </c>
      <c r="D69" s="768"/>
      <c r="E69" s="768"/>
      <c r="F69" s="391" t="s">
        <v>735</v>
      </c>
      <c r="G69" s="531">
        <v>828</v>
      </c>
      <c r="H69" s="533">
        <v>828</v>
      </c>
      <c r="I69" s="536">
        <f t="shared" si="2"/>
        <v>0</v>
      </c>
      <c r="J69" s="520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21" customFormat="1" ht="33.6" customHeight="1">
      <c r="A70" s="519">
        <f t="shared" si="3"/>
        <v>12</v>
      </c>
      <c r="B70" s="546" t="s">
        <v>768</v>
      </c>
      <c r="C70" s="768" t="s">
        <v>738</v>
      </c>
      <c r="D70" s="768"/>
      <c r="E70" s="768"/>
      <c r="F70" s="391" t="s">
        <v>735</v>
      </c>
      <c r="G70" s="531">
        <v>338</v>
      </c>
      <c r="H70" s="533">
        <v>338</v>
      </c>
      <c r="I70" s="536">
        <f t="shared" si="2"/>
        <v>0</v>
      </c>
      <c r="J70" s="520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21" customFormat="1" ht="33.6" customHeight="1">
      <c r="A71" s="519">
        <f t="shared" si="3"/>
        <v>13</v>
      </c>
      <c r="B71" s="546" t="s">
        <v>768</v>
      </c>
      <c r="C71" s="768" t="s">
        <v>739</v>
      </c>
      <c r="D71" s="768"/>
      <c r="E71" s="768"/>
      <c r="F71" s="391" t="s">
        <v>735</v>
      </c>
      <c r="G71" s="531">
        <v>5628</v>
      </c>
      <c r="H71" s="533">
        <f>4992+468</f>
        <v>5460</v>
      </c>
      <c r="I71" s="536">
        <f t="shared" si="2"/>
        <v>168</v>
      </c>
      <c r="J71" s="528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21" customFormat="1" ht="33.6" customHeight="1">
      <c r="A72" s="519">
        <f t="shared" si="3"/>
        <v>14</v>
      </c>
      <c r="B72" s="546" t="s">
        <v>768</v>
      </c>
      <c r="C72" s="768" t="s">
        <v>740</v>
      </c>
      <c r="D72" s="768"/>
      <c r="E72" s="768"/>
      <c r="F72" s="391" t="s">
        <v>735</v>
      </c>
      <c r="G72" s="531">
        <v>1170</v>
      </c>
      <c r="H72" s="533">
        <v>1170</v>
      </c>
      <c r="I72" s="536">
        <f t="shared" si="2"/>
        <v>0</v>
      </c>
      <c r="J72" s="520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21" customFormat="1" ht="33.6" customHeight="1">
      <c r="A73" s="519">
        <f t="shared" si="3"/>
        <v>15</v>
      </c>
      <c r="B73" s="546" t="s">
        <v>769</v>
      </c>
      <c r="C73" s="768" t="s">
        <v>741</v>
      </c>
      <c r="D73" s="768"/>
      <c r="E73" s="768"/>
      <c r="F73" s="391" t="s">
        <v>735</v>
      </c>
      <c r="G73" s="531">
        <v>26</v>
      </c>
      <c r="H73" s="533">
        <v>26</v>
      </c>
      <c r="I73" s="536">
        <f t="shared" si="2"/>
        <v>0</v>
      </c>
      <c r="J73" s="520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21" customFormat="1" ht="33.6" customHeight="1">
      <c r="A74" s="519">
        <f t="shared" si="3"/>
        <v>16</v>
      </c>
      <c r="B74" s="546" t="s">
        <v>769</v>
      </c>
      <c r="C74" s="768" t="s">
        <v>742</v>
      </c>
      <c r="D74" s="768"/>
      <c r="E74" s="768"/>
      <c r="F74" s="391" t="s">
        <v>735</v>
      </c>
      <c r="G74" s="531">
        <v>169</v>
      </c>
      <c r="H74" s="533">
        <v>169</v>
      </c>
      <c r="I74" s="536">
        <f t="shared" si="2"/>
        <v>0</v>
      </c>
      <c r="J74" s="520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21" customFormat="1" ht="33.6" customHeight="1">
      <c r="A75" s="519">
        <f t="shared" si="3"/>
        <v>17</v>
      </c>
      <c r="B75" s="546" t="s">
        <v>769</v>
      </c>
      <c r="C75" s="768" t="s">
        <v>743</v>
      </c>
      <c r="D75" s="768"/>
      <c r="E75" s="768"/>
      <c r="F75" s="391" t="s">
        <v>735</v>
      </c>
      <c r="G75" s="531">
        <v>340</v>
      </c>
      <c r="H75" s="533">
        <v>340</v>
      </c>
      <c r="I75" s="536">
        <f t="shared" si="2"/>
        <v>0</v>
      </c>
      <c r="J75" s="520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21" customFormat="1" ht="33.6" customHeight="1">
      <c r="A76" s="519">
        <f t="shared" si="3"/>
        <v>18</v>
      </c>
      <c r="B76" s="546" t="s">
        <v>769</v>
      </c>
      <c r="C76" s="768" t="s">
        <v>744</v>
      </c>
      <c r="D76" s="768"/>
      <c r="E76" s="768"/>
      <c r="F76" s="391" t="s">
        <v>735</v>
      </c>
      <c r="G76" s="531">
        <v>88</v>
      </c>
      <c r="H76" s="533">
        <v>88</v>
      </c>
      <c r="I76" s="536">
        <f t="shared" si="2"/>
        <v>0</v>
      </c>
      <c r="J76" s="520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21" customFormat="1" ht="33.6" customHeight="1">
      <c r="A77" s="519">
        <f t="shared" si="3"/>
        <v>19</v>
      </c>
      <c r="B77" s="546" t="s">
        <v>769</v>
      </c>
      <c r="C77" s="768" t="s">
        <v>745</v>
      </c>
      <c r="D77" s="768"/>
      <c r="E77" s="768"/>
      <c r="F77" s="391" t="s">
        <v>735</v>
      </c>
      <c r="G77" s="531">
        <v>81</v>
      </c>
      <c r="H77" s="533">
        <v>81</v>
      </c>
      <c r="I77" s="536">
        <f t="shared" si="2"/>
        <v>0</v>
      </c>
      <c r="J77" s="520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21" customFormat="1" ht="33.6" customHeight="1">
      <c r="A78" s="519">
        <f t="shared" si="3"/>
        <v>20</v>
      </c>
      <c r="B78" s="546" t="s">
        <v>770</v>
      </c>
      <c r="C78" s="768" t="s">
        <v>746</v>
      </c>
      <c r="D78" s="768"/>
      <c r="E78" s="768"/>
      <c r="F78" s="391" t="s">
        <v>733</v>
      </c>
      <c r="G78" s="531">
        <v>50.48</v>
      </c>
      <c r="H78" s="532">
        <v>50.223999999999997</v>
      </c>
      <c r="I78" s="538">
        <f t="shared" si="2"/>
        <v>0.25600000000000023</v>
      </c>
      <c r="J78" s="522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21" customFormat="1" ht="33.6" customHeight="1">
      <c r="A79" s="519">
        <f t="shared" si="3"/>
        <v>21</v>
      </c>
      <c r="B79" s="546" t="s">
        <v>770</v>
      </c>
      <c r="C79" s="768" t="s">
        <v>747</v>
      </c>
      <c r="D79" s="768"/>
      <c r="E79" s="768"/>
      <c r="F79" s="391" t="s">
        <v>735</v>
      </c>
      <c r="G79" s="531">
        <v>88</v>
      </c>
      <c r="H79" s="533">
        <v>88</v>
      </c>
      <c r="I79" s="536">
        <f t="shared" si="2"/>
        <v>0</v>
      </c>
      <c r="J79" s="520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21" customFormat="1" ht="33.6" customHeight="1">
      <c r="A80" s="519">
        <f t="shared" si="3"/>
        <v>22</v>
      </c>
      <c r="B80" s="546" t="s">
        <v>770</v>
      </c>
      <c r="C80" s="768" t="s">
        <v>748</v>
      </c>
      <c r="D80" s="768"/>
      <c r="E80" s="768"/>
      <c r="F80" s="391" t="s">
        <v>736</v>
      </c>
      <c r="G80" s="531">
        <v>2</v>
      </c>
      <c r="H80" s="533">
        <v>2</v>
      </c>
      <c r="I80" s="536">
        <f t="shared" si="2"/>
        <v>0</v>
      </c>
      <c r="J80" s="520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21" customFormat="1" ht="33.6" customHeight="1">
      <c r="A81" s="519">
        <f t="shared" si="3"/>
        <v>23</v>
      </c>
      <c r="B81" s="546" t="s">
        <v>770</v>
      </c>
      <c r="C81" s="768" t="s">
        <v>749</v>
      </c>
      <c r="D81" s="768"/>
      <c r="E81" s="768"/>
      <c r="F81" s="391" t="s">
        <v>736</v>
      </c>
      <c r="G81" s="531">
        <v>11</v>
      </c>
      <c r="H81" s="533">
        <v>11</v>
      </c>
      <c r="I81" s="536">
        <f t="shared" si="2"/>
        <v>0</v>
      </c>
      <c r="J81" s="520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21" customFormat="1" ht="33.6" customHeight="1">
      <c r="A82" s="519">
        <f t="shared" si="3"/>
        <v>24</v>
      </c>
      <c r="B82" s="546" t="s">
        <v>770</v>
      </c>
      <c r="C82" s="768" t="s">
        <v>750</v>
      </c>
      <c r="D82" s="768"/>
      <c r="E82" s="768"/>
      <c r="F82" s="391" t="s">
        <v>736</v>
      </c>
      <c r="G82" s="531">
        <v>27</v>
      </c>
      <c r="H82" s="533">
        <v>27</v>
      </c>
      <c r="I82" s="536">
        <f t="shared" si="2"/>
        <v>0</v>
      </c>
      <c r="J82" s="520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  <row r="83" spans="1:95" s="521" customFormat="1" ht="43.2" customHeight="1">
      <c r="A83" s="519">
        <f t="shared" si="3"/>
        <v>25</v>
      </c>
      <c r="B83" s="546" t="s">
        <v>770</v>
      </c>
      <c r="C83" s="768" t="s">
        <v>787</v>
      </c>
      <c r="D83" s="768"/>
      <c r="E83" s="768"/>
      <c r="F83" s="391" t="s">
        <v>736</v>
      </c>
      <c r="G83" s="531">
        <v>0</v>
      </c>
      <c r="H83" s="533">
        <v>0</v>
      </c>
      <c r="I83" s="536">
        <f t="shared" si="2"/>
        <v>0</v>
      </c>
      <c r="J83" s="520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64"/>
      <c r="CG83" s="164"/>
      <c r="CH83" s="164"/>
      <c r="CI83" s="164"/>
      <c r="CJ83" s="164"/>
      <c r="CK83" s="164"/>
      <c r="CL83" s="164"/>
      <c r="CM83" s="164"/>
      <c r="CN83" s="164"/>
      <c r="CO83" s="164"/>
      <c r="CP83" s="164"/>
      <c r="CQ83" s="164"/>
    </row>
    <row r="84" spans="1:95" s="521" customFormat="1" ht="33.6" customHeight="1">
      <c r="A84" s="519">
        <f t="shared" si="3"/>
        <v>26</v>
      </c>
      <c r="B84" s="546" t="s">
        <v>770</v>
      </c>
      <c r="C84" s="768" t="s">
        <v>751</v>
      </c>
      <c r="D84" s="768"/>
      <c r="E84" s="768"/>
      <c r="F84" s="391" t="s">
        <v>735</v>
      </c>
      <c r="G84" s="531">
        <v>489</v>
      </c>
      <c r="H84" s="533">
        <v>489</v>
      </c>
      <c r="I84" s="536">
        <f t="shared" si="2"/>
        <v>0</v>
      </c>
      <c r="J84" s="528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64"/>
      <c r="CG84" s="164"/>
      <c r="CH84" s="164"/>
      <c r="CI84" s="164"/>
      <c r="CJ84" s="164"/>
      <c r="CK84" s="164"/>
      <c r="CL84" s="164"/>
      <c r="CM84" s="164"/>
      <c r="CN84" s="164"/>
      <c r="CO84" s="164"/>
      <c r="CP84" s="164"/>
      <c r="CQ84" s="164"/>
    </row>
    <row r="85" spans="1:95" s="521" customFormat="1" ht="33.6" customHeight="1">
      <c r="A85" s="519">
        <f t="shared" si="3"/>
        <v>27</v>
      </c>
      <c r="B85" s="546" t="s">
        <v>770</v>
      </c>
      <c r="C85" s="768" t="s">
        <v>752</v>
      </c>
      <c r="D85" s="768"/>
      <c r="E85" s="768"/>
      <c r="F85" s="391" t="s">
        <v>735</v>
      </c>
      <c r="G85" s="531">
        <v>457</v>
      </c>
      <c r="H85" s="533">
        <v>457</v>
      </c>
      <c r="I85" s="536">
        <f t="shared" si="2"/>
        <v>0</v>
      </c>
      <c r="J85" s="528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4"/>
      <c r="CL85" s="164"/>
      <c r="CM85" s="164"/>
      <c r="CN85" s="164"/>
      <c r="CO85" s="164"/>
      <c r="CP85" s="164"/>
      <c r="CQ85" s="164"/>
    </row>
    <row r="86" spans="1:95" s="521" customFormat="1" ht="33.6" customHeight="1">
      <c r="A86" s="519">
        <f t="shared" si="3"/>
        <v>28</v>
      </c>
      <c r="B86" s="546" t="s">
        <v>770</v>
      </c>
      <c r="C86" s="768" t="s">
        <v>753</v>
      </c>
      <c r="D86" s="768"/>
      <c r="E86" s="768"/>
      <c r="F86" s="391" t="s">
        <v>735</v>
      </c>
      <c r="G86" s="531">
        <v>13</v>
      </c>
      <c r="H86" s="533">
        <v>13</v>
      </c>
      <c r="I86" s="536">
        <f t="shared" si="2"/>
        <v>0</v>
      </c>
      <c r="J86" s="520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4"/>
      <c r="CD86" s="164"/>
      <c r="CE86" s="164"/>
      <c r="CF86" s="164"/>
      <c r="CG86" s="164"/>
      <c r="CH86" s="164"/>
      <c r="CI86" s="164"/>
      <c r="CJ86" s="164"/>
      <c r="CK86" s="164"/>
      <c r="CL86" s="164"/>
      <c r="CM86" s="164"/>
      <c r="CN86" s="164"/>
      <c r="CO86" s="164"/>
      <c r="CP86" s="164"/>
      <c r="CQ86" s="164"/>
    </row>
    <row r="87" spans="1:95" s="521" customFormat="1" ht="33.6" customHeight="1">
      <c r="A87" s="519">
        <f t="shared" si="3"/>
        <v>29</v>
      </c>
      <c r="B87" s="546" t="s">
        <v>771</v>
      </c>
      <c r="C87" s="768" t="s">
        <v>786</v>
      </c>
      <c r="D87" s="768"/>
      <c r="E87" s="768"/>
      <c r="F87" s="391" t="s">
        <v>735</v>
      </c>
      <c r="G87" s="531">
        <v>0</v>
      </c>
      <c r="H87" s="533">
        <v>0</v>
      </c>
      <c r="I87" s="536">
        <f t="shared" si="2"/>
        <v>0</v>
      </c>
      <c r="J87" s="520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64"/>
      <c r="CF87" s="164"/>
      <c r="CG87" s="164"/>
      <c r="CH87" s="164"/>
      <c r="CI87" s="164"/>
      <c r="CJ87" s="164"/>
      <c r="CK87" s="164"/>
      <c r="CL87" s="164"/>
      <c r="CM87" s="164"/>
      <c r="CN87" s="164"/>
      <c r="CO87" s="164"/>
      <c r="CP87" s="164"/>
      <c r="CQ87" s="164"/>
    </row>
    <row r="88" spans="1:95" s="521" customFormat="1" ht="39.6" customHeight="1">
      <c r="A88" s="519">
        <f t="shared" si="3"/>
        <v>30</v>
      </c>
      <c r="B88" s="546" t="s">
        <v>771</v>
      </c>
      <c r="C88" s="768" t="s">
        <v>785</v>
      </c>
      <c r="D88" s="768"/>
      <c r="E88" s="768"/>
      <c r="F88" s="391" t="s">
        <v>735</v>
      </c>
      <c r="G88" s="531">
        <v>7</v>
      </c>
      <c r="H88" s="533">
        <v>0</v>
      </c>
      <c r="I88" s="536">
        <f t="shared" si="2"/>
        <v>7</v>
      </c>
      <c r="J88" s="528" t="s">
        <v>896</v>
      </c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64"/>
      <c r="CG88" s="164"/>
      <c r="CH88" s="164"/>
      <c r="CI88" s="164"/>
      <c r="CJ88" s="164"/>
      <c r="CK88" s="164"/>
      <c r="CL88" s="164"/>
      <c r="CM88" s="164"/>
      <c r="CN88" s="164"/>
      <c r="CO88" s="164"/>
      <c r="CP88" s="164"/>
      <c r="CQ88" s="164"/>
    </row>
    <row r="89" spans="1:95" s="521" customFormat="1" ht="33.6" customHeight="1">
      <c r="A89" s="519">
        <f t="shared" si="3"/>
        <v>31</v>
      </c>
      <c r="B89" s="546" t="s">
        <v>772</v>
      </c>
      <c r="C89" s="768" t="s">
        <v>754</v>
      </c>
      <c r="D89" s="768"/>
      <c r="E89" s="768"/>
      <c r="F89" s="391" t="s">
        <v>735</v>
      </c>
      <c r="G89" s="531">
        <v>127</v>
      </c>
      <c r="H89" s="533">
        <v>127</v>
      </c>
      <c r="I89" s="536">
        <f t="shared" si="2"/>
        <v>0</v>
      </c>
      <c r="J89" s="520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4"/>
      <c r="CD89" s="164"/>
      <c r="CE89" s="164"/>
      <c r="CF89" s="164"/>
      <c r="CG89" s="164"/>
      <c r="CH89" s="164"/>
      <c r="CI89" s="164"/>
      <c r="CJ89" s="164"/>
      <c r="CK89" s="164"/>
      <c r="CL89" s="164"/>
      <c r="CM89" s="164"/>
      <c r="CN89" s="164"/>
      <c r="CO89" s="164"/>
      <c r="CP89" s="164"/>
      <c r="CQ89" s="164"/>
    </row>
    <row r="90" spans="1:95" s="521" customFormat="1" ht="33.6" customHeight="1">
      <c r="A90" s="519">
        <f t="shared" si="3"/>
        <v>32</v>
      </c>
      <c r="B90" s="546" t="s">
        <v>772</v>
      </c>
      <c r="C90" s="768" t="s">
        <v>755</v>
      </c>
      <c r="D90" s="768"/>
      <c r="E90" s="768"/>
      <c r="F90" s="391" t="s">
        <v>735</v>
      </c>
      <c r="G90" s="531">
        <v>127</v>
      </c>
      <c r="H90" s="533">
        <v>127</v>
      </c>
      <c r="I90" s="536">
        <f t="shared" si="2"/>
        <v>0</v>
      </c>
      <c r="J90" s="520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L90" s="164"/>
      <c r="CM90" s="164"/>
      <c r="CN90" s="164"/>
      <c r="CO90" s="164"/>
      <c r="CP90" s="164"/>
      <c r="CQ90" s="164"/>
    </row>
    <row r="91" spans="1:95" s="521" customFormat="1" ht="33.6" customHeight="1">
      <c r="A91" s="519">
        <f t="shared" si="3"/>
        <v>33</v>
      </c>
      <c r="B91" s="546" t="s">
        <v>772</v>
      </c>
      <c r="C91" s="768" t="s">
        <v>756</v>
      </c>
      <c r="D91" s="768"/>
      <c r="E91" s="768"/>
      <c r="F91" s="391" t="s">
        <v>736</v>
      </c>
      <c r="G91" s="531">
        <v>254</v>
      </c>
      <c r="H91" s="533">
        <v>254</v>
      </c>
      <c r="I91" s="536">
        <f t="shared" si="2"/>
        <v>0</v>
      </c>
      <c r="J91" s="520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  <c r="BQ91" s="164"/>
      <c r="BR91" s="164"/>
      <c r="BS91" s="164"/>
      <c r="BT91" s="164"/>
      <c r="BU91" s="164"/>
      <c r="BV91" s="164"/>
      <c r="BW91" s="164"/>
      <c r="BX91" s="164"/>
      <c r="BY91" s="164"/>
      <c r="BZ91" s="164"/>
      <c r="CA91" s="164"/>
      <c r="CB91" s="164"/>
      <c r="CC91" s="164"/>
      <c r="CD91" s="164"/>
      <c r="CE91" s="164"/>
      <c r="CF91" s="164"/>
      <c r="CG91" s="164"/>
      <c r="CH91" s="164"/>
      <c r="CI91" s="164"/>
      <c r="CJ91" s="164"/>
      <c r="CK91" s="164"/>
      <c r="CL91" s="164"/>
      <c r="CM91" s="164"/>
      <c r="CN91" s="164"/>
      <c r="CO91" s="164"/>
      <c r="CP91" s="164"/>
      <c r="CQ91" s="164"/>
    </row>
    <row r="92" spans="1:95" s="521" customFormat="1" ht="33.6" customHeight="1">
      <c r="A92" s="519">
        <f t="shared" si="3"/>
        <v>34</v>
      </c>
      <c r="B92" s="546" t="s">
        <v>772</v>
      </c>
      <c r="C92" s="768" t="s">
        <v>757</v>
      </c>
      <c r="D92" s="768"/>
      <c r="E92" s="768"/>
      <c r="F92" s="391" t="s">
        <v>736</v>
      </c>
      <c r="G92" s="531">
        <v>127</v>
      </c>
      <c r="H92" s="533">
        <v>127</v>
      </c>
      <c r="I92" s="536">
        <f t="shared" si="2"/>
        <v>0</v>
      </c>
      <c r="J92" s="520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164"/>
      <c r="BV92" s="164"/>
      <c r="BW92" s="164"/>
      <c r="BX92" s="164"/>
      <c r="BY92" s="164"/>
      <c r="BZ92" s="164"/>
      <c r="CA92" s="164"/>
      <c r="CB92" s="164"/>
      <c r="CC92" s="164"/>
      <c r="CD92" s="164"/>
      <c r="CE92" s="164"/>
      <c r="CF92" s="164"/>
      <c r="CG92" s="164"/>
      <c r="CH92" s="164"/>
      <c r="CI92" s="164"/>
      <c r="CJ92" s="164"/>
      <c r="CK92" s="164"/>
      <c r="CL92" s="164"/>
      <c r="CM92" s="164"/>
      <c r="CN92" s="164"/>
      <c r="CO92" s="164"/>
      <c r="CP92" s="164"/>
      <c r="CQ92" s="164"/>
    </row>
    <row r="93" spans="1:95" s="521" customFormat="1" ht="33.6" customHeight="1">
      <c r="A93" s="519">
        <f t="shared" si="3"/>
        <v>35</v>
      </c>
      <c r="B93" s="546" t="s">
        <v>772</v>
      </c>
      <c r="C93" s="768" t="s">
        <v>758</v>
      </c>
      <c r="D93" s="768"/>
      <c r="E93" s="768"/>
      <c r="F93" s="391" t="s">
        <v>736</v>
      </c>
      <c r="G93" s="531">
        <v>127</v>
      </c>
      <c r="H93" s="533">
        <v>127</v>
      </c>
      <c r="I93" s="536">
        <f t="shared" si="2"/>
        <v>0</v>
      </c>
      <c r="J93" s="520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164"/>
      <c r="BK93" s="164"/>
      <c r="BL93" s="164"/>
      <c r="BM93" s="164"/>
      <c r="BN93" s="164"/>
      <c r="BO93" s="164"/>
      <c r="BP93" s="164"/>
      <c r="BQ93" s="164"/>
      <c r="BR93" s="164"/>
      <c r="BS93" s="164"/>
      <c r="BT93" s="164"/>
      <c r="BU93" s="164"/>
      <c r="BV93" s="164"/>
      <c r="BW93" s="164"/>
      <c r="BX93" s="164"/>
      <c r="BY93" s="164"/>
      <c r="BZ93" s="164"/>
      <c r="CA93" s="164"/>
      <c r="CB93" s="164"/>
      <c r="CC93" s="164"/>
      <c r="CD93" s="164"/>
      <c r="CE93" s="164"/>
      <c r="CF93" s="164"/>
      <c r="CG93" s="164"/>
      <c r="CH93" s="164"/>
      <c r="CI93" s="164"/>
      <c r="CJ93" s="164"/>
      <c r="CK93" s="164"/>
      <c r="CL93" s="164"/>
      <c r="CM93" s="164"/>
      <c r="CN93" s="164"/>
      <c r="CO93" s="164"/>
      <c r="CP93" s="164"/>
      <c r="CQ93" s="164"/>
    </row>
    <row r="94" spans="1:95" s="521" customFormat="1" ht="33.6" customHeight="1" thickBot="1">
      <c r="A94" s="523">
        <f t="shared" ref="A94" si="4">A93+1</f>
        <v>36</v>
      </c>
      <c r="B94" s="547" t="s">
        <v>772</v>
      </c>
      <c r="C94" s="769" t="s">
        <v>759</v>
      </c>
      <c r="D94" s="769"/>
      <c r="E94" s="769"/>
      <c r="F94" s="517" t="s">
        <v>736</v>
      </c>
      <c r="G94" s="534">
        <v>176</v>
      </c>
      <c r="H94" s="535">
        <v>176</v>
      </c>
      <c r="I94" s="539">
        <f t="shared" si="2"/>
        <v>0</v>
      </c>
      <c r="J94" s="52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  <c r="BJ94" s="164"/>
      <c r="BK94" s="164"/>
      <c r="BL94" s="164"/>
      <c r="BM94" s="164"/>
      <c r="BN94" s="164"/>
      <c r="BO94" s="164"/>
      <c r="BP94" s="164"/>
      <c r="BQ94" s="164"/>
      <c r="BR94" s="164"/>
      <c r="BS94" s="164"/>
      <c r="BT94" s="164"/>
      <c r="BU94" s="164"/>
      <c r="BV94" s="164"/>
      <c r="BW94" s="164"/>
      <c r="BX94" s="164"/>
      <c r="BY94" s="164"/>
      <c r="BZ94" s="164"/>
      <c r="CA94" s="164"/>
      <c r="CB94" s="164"/>
      <c r="CC94" s="164"/>
      <c r="CD94" s="164"/>
      <c r="CE94" s="164"/>
      <c r="CF94" s="164"/>
      <c r="CG94" s="164"/>
      <c r="CH94" s="164"/>
      <c r="CI94" s="164"/>
      <c r="CJ94" s="164"/>
      <c r="CK94" s="164"/>
      <c r="CL94" s="164"/>
      <c r="CM94" s="164"/>
      <c r="CN94" s="164"/>
      <c r="CO94" s="164"/>
      <c r="CP94" s="164"/>
      <c r="CQ94" s="164"/>
    </row>
    <row r="95" spans="1:95" s="521" customFormat="1">
      <c r="B95" s="525"/>
      <c r="C95" s="526"/>
      <c r="D95" s="527"/>
      <c r="E95" s="527"/>
      <c r="F95" s="527"/>
      <c r="G95" s="527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  <c r="BJ95" s="164"/>
      <c r="BK95" s="164"/>
      <c r="BL95" s="164"/>
      <c r="BM95" s="164"/>
      <c r="BN95" s="164"/>
      <c r="BO95" s="164"/>
      <c r="BP95" s="164"/>
      <c r="BQ95" s="164"/>
      <c r="BR95" s="164"/>
      <c r="BS95" s="164"/>
      <c r="BT95" s="164"/>
      <c r="BU95" s="164"/>
      <c r="BV95" s="164"/>
      <c r="BW95" s="164"/>
      <c r="BX95" s="164"/>
      <c r="BY95" s="164"/>
      <c r="BZ95" s="164"/>
      <c r="CA95" s="164"/>
      <c r="CB95" s="164"/>
      <c r="CC95" s="164"/>
      <c r="CD95" s="164"/>
      <c r="CE95" s="164"/>
      <c r="CF95" s="164"/>
      <c r="CG95" s="164"/>
      <c r="CH95" s="164"/>
      <c r="CI95" s="164"/>
      <c r="CJ95" s="164"/>
      <c r="CK95" s="164"/>
      <c r="CL95" s="164"/>
      <c r="CM95" s="164"/>
      <c r="CN95" s="164"/>
      <c r="CO95" s="164"/>
      <c r="CP95" s="164"/>
      <c r="CQ95" s="164"/>
    </row>
  </sheetData>
  <mergeCells count="88">
    <mergeCell ref="J37:K37"/>
    <mergeCell ref="D37:E37"/>
    <mergeCell ref="F37:G37"/>
    <mergeCell ref="H37:I37"/>
    <mergeCell ref="A29:I29"/>
    <mergeCell ref="D32:E32"/>
    <mergeCell ref="F32:G32"/>
    <mergeCell ref="H32:I32"/>
    <mergeCell ref="F30:G30"/>
    <mergeCell ref="H31:I31"/>
    <mergeCell ref="H30:I30"/>
    <mergeCell ref="D31:E31"/>
    <mergeCell ref="F31:G31"/>
    <mergeCell ref="D30:E30"/>
    <mergeCell ref="F33:G33"/>
    <mergeCell ref="D33:E33"/>
    <mergeCell ref="D36:E36"/>
    <mergeCell ref="F36:G36"/>
    <mergeCell ref="H36:I36"/>
    <mergeCell ref="H33:I33"/>
    <mergeCell ref="A35:K35"/>
    <mergeCell ref="J36:K36"/>
    <mergeCell ref="C59:E59"/>
    <mergeCell ref="B42:J42"/>
    <mergeCell ref="F38:G38"/>
    <mergeCell ref="H38:I38"/>
    <mergeCell ref="J38:K38"/>
    <mergeCell ref="B41:G41"/>
    <mergeCell ref="D38:E38"/>
    <mergeCell ref="A57:J57"/>
    <mergeCell ref="B43:J43"/>
    <mergeCell ref="B44:J44"/>
    <mergeCell ref="C58:E58"/>
    <mergeCell ref="B55:J55"/>
    <mergeCell ref="A46:H46"/>
    <mergeCell ref="B47:J54"/>
    <mergeCell ref="A25:I25"/>
    <mergeCell ref="D26:E26"/>
    <mergeCell ref="F26:G26"/>
    <mergeCell ref="H26:I26"/>
    <mergeCell ref="D27:E27"/>
    <mergeCell ref="F27:G27"/>
    <mergeCell ref="H27:I27"/>
    <mergeCell ref="C64:E64"/>
    <mergeCell ref="C63:E63"/>
    <mergeCell ref="C62:E62"/>
    <mergeCell ref="C61:E61"/>
    <mergeCell ref="C60:E60"/>
    <mergeCell ref="C89:E89"/>
    <mergeCell ref="C94:E94"/>
    <mergeCell ref="C93:E93"/>
    <mergeCell ref="C92:E92"/>
    <mergeCell ref="C91:E91"/>
    <mergeCell ref="C90:E90"/>
    <mergeCell ref="C85:E85"/>
    <mergeCell ref="C84:E84"/>
    <mergeCell ref="C88:E88"/>
    <mergeCell ref="C87:E87"/>
    <mergeCell ref="C86:E86"/>
    <mergeCell ref="C83:E83"/>
    <mergeCell ref="C82:E82"/>
    <mergeCell ref="C72:E72"/>
    <mergeCell ref="C71:E71"/>
    <mergeCell ref="C70:E70"/>
    <mergeCell ref="C78:E78"/>
    <mergeCell ref="C77:E77"/>
    <mergeCell ref="C81:E81"/>
    <mergeCell ref="C80:E80"/>
    <mergeCell ref="C79:E79"/>
    <mergeCell ref="C67:E67"/>
    <mergeCell ref="C66:E66"/>
    <mergeCell ref="C65:E65"/>
    <mergeCell ref="C76:E76"/>
    <mergeCell ref="C75:E75"/>
    <mergeCell ref="C74:E74"/>
    <mergeCell ref="C73:E73"/>
    <mergeCell ref="C69:E69"/>
    <mergeCell ref="C68:E68"/>
    <mergeCell ref="A1:A4"/>
    <mergeCell ref="C2:E2"/>
    <mergeCell ref="C3:E3"/>
    <mergeCell ref="C4:E4"/>
    <mergeCell ref="A18:O18"/>
    <mergeCell ref="A7:L7"/>
    <mergeCell ref="M14:N14"/>
    <mergeCell ref="A13:N13"/>
    <mergeCell ref="M15:N15"/>
    <mergeCell ref="M16:N16"/>
  </mergeCells>
  <phoneticPr fontId="93" type="noConversion"/>
  <conditionalFormatting sqref="D39:D40 C9:K10 D56 D95:D167">
    <cfRule type="cellIs" dxfId="56" priority="6" stopIfTrue="1" operator="greaterThan">
      <formula>600</formula>
    </cfRule>
  </conditionalFormatting>
  <conditionalFormatting sqref="D12">
    <cfRule type="cellIs" dxfId="55" priority="7" stopIfTrue="1" operator="greaterThan">
      <formula>600</formula>
    </cfRule>
  </conditionalFormatting>
  <conditionalFormatting sqref="D15:D17">
    <cfRule type="cellIs" dxfId="54" priority="3" stopIfTrue="1" operator="greaterThan">
      <formula>600</formula>
    </cfRule>
  </conditionalFormatting>
  <conditionalFormatting sqref="D28">
    <cfRule type="cellIs" dxfId="53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9"/>
  <sheetViews>
    <sheetView view="pageBreakPreview" topLeftCell="A250" zoomScale="70" zoomScaleNormal="70" zoomScaleSheetLayoutView="70" workbookViewId="0">
      <selection activeCell="E256" sqref="E256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9" customWidth="1"/>
    <col min="15" max="15" width="16.5546875" customWidth="1"/>
    <col min="16" max="16" width="24.109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838" t="s">
        <v>370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40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79"/>
      <c r="P2" s="167"/>
    </row>
    <row r="3" spans="1:16" s="164" customFormat="1" ht="30.6" customHeight="1" thickTop="1" thickBot="1">
      <c r="A3" s="376" t="s">
        <v>381</v>
      </c>
      <c r="B3" s="376" t="s">
        <v>382</v>
      </c>
      <c r="C3" s="377">
        <v>127</v>
      </c>
      <c r="D3" s="377">
        <v>127</v>
      </c>
      <c r="E3" s="377">
        <v>127</v>
      </c>
      <c r="F3" s="377">
        <f>C3-D3</f>
        <v>0</v>
      </c>
      <c r="G3" s="377">
        <v>0</v>
      </c>
      <c r="H3" s="377">
        <v>0</v>
      </c>
      <c r="I3" s="377">
        <v>0</v>
      </c>
      <c r="J3" s="377">
        <f>E3+I3</f>
        <v>127</v>
      </c>
      <c r="K3" s="377">
        <f>D3+G3-J3</f>
        <v>0</v>
      </c>
      <c r="L3" s="435"/>
      <c r="M3" s="176"/>
      <c r="O3" s="167"/>
      <c r="P3" s="167"/>
    </row>
    <row r="4" spans="1:16" s="164" customFormat="1" ht="43.95" customHeight="1" thickTop="1" thickBot="1">
      <c r="A4" s="376" t="s">
        <v>10</v>
      </c>
      <c r="B4" s="376" t="s">
        <v>382</v>
      </c>
      <c r="C4" s="377">
        <v>127</v>
      </c>
      <c r="D4" s="377">
        <v>127</v>
      </c>
      <c r="E4" s="377">
        <v>122</v>
      </c>
      <c r="F4" s="377">
        <f>C4-D4</f>
        <v>0</v>
      </c>
      <c r="G4" s="377">
        <v>0</v>
      </c>
      <c r="H4" s="377">
        <v>5</v>
      </c>
      <c r="I4" s="377">
        <v>5</v>
      </c>
      <c r="J4" s="377">
        <v>127</v>
      </c>
      <c r="K4" s="377">
        <f>D4+G4-J4</f>
        <v>0</v>
      </c>
      <c r="L4" s="435"/>
      <c r="M4" s="176"/>
      <c r="O4" s="167"/>
      <c r="P4" s="167"/>
    </row>
    <row r="5" spans="1:16" s="164" customFormat="1" ht="15" thickTop="1">
      <c r="M5" s="176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847" t="s">
        <v>383</v>
      </c>
      <c r="B7" s="848"/>
      <c r="C7" s="848"/>
      <c r="D7" s="848"/>
      <c r="E7" s="848"/>
      <c r="F7" s="848"/>
      <c r="G7" s="848"/>
      <c r="H7" s="848"/>
      <c r="I7" s="848"/>
      <c r="J7" s="848"/>
      <c r="K7" s="848"/>
      <c r="L7" s="848"/>
      <c r="M7" s="848"/>
      <c r="N7" s="849"/>
      <c r="O7" s="167"/>
      <c r="P7" s="167"/>
    </row>
    <row r="8" spans="1:16" s="164" customFormat="1" ht="43.2" customHeight="1" thickBot="1">
      <c r="A8" s="353" t="s">
        <v>371</v>
      </c>
      <c r="B8" s="353" t="s">
        <v>372</v>
      </c>
      <c r="C8" s="353" t="s">
        <v>373</v>
      </c>
      <c r="D8" s="353" t="s">
        <v>374</v>
      </c>
      <c r="E8" s="353" t="s">
        <v>384</v>
      </c>
      <c r="F8" s="353" t="s">
        <v>385</v>
      </c>
      <c r="G8" s="353" t="s">
        <v>386</v>
      </c>
      <c r="H8" s="353" t="s">
        <v>387</v>
      </c>
      <c r="I8" s="353" t="s">
        <v>388</v>
      </c>
      <c r="J8" s="353" t="s">
        <v>389</v>
      </c>
      <c r="K8" s="353" t="s">
        <v>390</v>
      </c>
      <c r="L8" s="354" t="s">
        <v>391</v>
      </c>
      <c r="M8" s="850" t="s">
        <v>113</v>
      </c>
      <c r="N8" s="850"/>
      <c r="O8" s="167"/>
      <c r="P8" s="167"/>
    </row>
    <row r="9" spans="1:16" s="164" customFormat="1" ht="66.599999999999994" customHeight="1" thickTop="1" thickBot="1">
      <c r="A9" s="372" t="s">
        <v>392</v>
      </c>
      <c r="B9" s="372" t="s">
        <v>393</v>
      </c>
      <c r="C9" s="373">
        <v>47.84</v>
      </c>
      <c r="D9" s="374">
        <v>47.84</v>
      </c>
      <c r="E9" s="375">
        <v>47.84</v>
      </c>
      <c r="F9" s="375">
        <f>43.9+3.94</f>
        <v>47.839999999999996</v>
      </c>
      <c r="G9" s="373">
        <v>0</v>
      </c>
      <c r="H9" s="373">
        <v>0</v>
      </c>
      <c r="I9" s="373">
        <v>0</v>
      </c>
      <c r="J9" s="374">
        <v>0</v>
      </c>
      <c r="K9" s="375">
        <v>0</v>
      </c>
      <c r="L9" s="375">
        <f>E9+K9</f>
        <v>47.84</v>
      </c>
      <c r="M9" s="851"/>
      <c r="N9" s="852"/>
      <c r="O9" s="166"/>
    </row>
    <row r="10" spans="1:16" s="164" customFormat="1" ht="39.6" customHeight="1" thickTop="1" thickBot="1">
      <c r="A10" s="372" t="s">
        <v>237</v>
      </c>
      <c r="B10" s="372" t="s">
        <v>393</v>
      </c>
      <c r="C10" s="373">
        <v>47.84</v>
      </c>
      <c r="D10" s="374">
        <v>47.84</v>
      </c>
      <c r="E10" s="375">
        <v>47.84</v>
      </c>
      <c r="F10" s="375">
        <f>43.9+3.94</f>
        <v>47.839999999999996</v>
      </c>
      <c r="G10" s="373">
        <v>0</v>
      </c>
      <c r="H10" s="373">
        <v>0</v>
      </c>
      <c r="I10" s="373">
        <v>0</v>
      </c>
      <c r="J10" s="374">
        <v>0</v>
      </c>
      <c r="K10" s="375">
        <v>0</v>
      </c>
      <c r="L10" s="375">
        <f>E10+K10</f>
        <v>47.84</v>
      </c>
      <c r="M10" s="853"/>
      <c r="N10" s="854"/>
    </row>
    <row r="11" spans="1:16" ht="21" customHeight="1" thickTop="1">
      <c r="A11" s="846" t="s">
        <v>101</v>
      </c>
      <c r="B11" s="846"/>
      <c r="C11" s="846"/>
      <c r="D11" s="846"/>
      <c r="E11" s="846"/>
      <c r="F11" s="846"/>
      <c r="G11" s="846"/>
      <c r="H11" s="846"/>
      <c r="I11" s="846"/>
      <c r="J11" s="846"/>
      <c r="K11" s="846"/>
      <c r="L11" s="846"/>
      <c r="M11" s="846"/>
      <c r="N11" s="846"/>
      <c r="O11" s="846"/>
      <c r="P11" s="846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843" t="s">
        <v>112</v>
      </c>
      <c r="H12" s="844"/>
      <c r="I12" s="844"/>
      <c r="J12" s="845"/>
      <c r="K12" s="162" t="s">
        <v>397</v>
      </c>
      <c r="L12" s="162" t="s">
        <v>398</v>
      </c>
      <c r="M12" s="162" t="s">
        <v>399</v>
      </c>
      <c r="N12" s="843" t="s">
        <v>400</v>
      </c>
      <c r="O12" s="844"/>
      <c r="P12" s="845"/>
    </row>
    <row r="13" spans="1:16" s="32" customFormat="1" ht="33" customHeight="1">
      <c r="A13" s="177">
        <f>1</f>
        <v>1</v>
      </c>
      <c r="B13" s="178" t="s">
        <v>51</v>
      </c>
      <c r="C13" s="177" t="s">
        <v>401</v>
      </c>
      <c r="D13" s="177" t="s">
        <v>239</v>
      </c>
      <c r="E13" s="179">
        <v>45452</v>
      </c>
      <c r="F13" s="180">
        <v>11.42</v>
      </c>
      <c r="G13" s="841" t="s">
        <v>402</v>
      </c>
      <c r="H13" s="842"/>
      <c r="I13" s="842"/>
      <c r="J13" s="842"/>
      <c r="K13" s="179">
        <v>45465</v>
      </c>
      <c r="L13" s="181" t="s">
        <v>446</v>
      </c>
      <c r="M13" s="177"/>
      <c r="N13" s="832"/>
      <c r="O13" s="832"/>
      <c r="P13" s="832"/>
    </row>
    <row r="14" spans="1:16" s="32" customFormat="1" ht="33" customHeight="1">
      <c r="A14" s="177">
        <f t="shared" ref="A14:A64" si="0">A13+1</f>
        <v>2</v>
      </c>
      <c r="B14" s="180" t="s">
        <v>52</v>
      </c>
      <c r="C14" s="180" t="s">
        <v>401</v>
      </c>
      <c r="D14" s="180" t="s">
        <v>239</v>
      </c>
      <c r="E14" s="179">
        <v>45453</v>
      </c>
      <c r="F14" s="180">
        <v>11.42</v>
      </c>
      <c r="G14" s="841" t="s">
        <v>402</v>
      </c>
      <c r="H14" s="842"/>
      <c r="I14" s="842"/>
      <c r="J14" s="842"/>
      <c r="K14" s="179">
        <v>45472</v>
      </c>
      <c r="L14" s="181" t="s">
        <v>446</v>
      </c>
      <c r="M14" s="177"/>
      <c r="N14" s="832"/>
      <c r="O14" s="832"/>
      <c r="P14" s="832"/>
    </row>
    <row r="15" spans="1:16" s="32" customFormat="1" ht="33" customHeight="1">
      <c r="A15" s="177">
        <f t="shared" si="0"/>
        <v>3</v>
      </c>
      <c r="B15" s="182" t="s">
        <v>176</v>
      </c>
      <c r="C15" s="181" t="s">
        <v>401</v>
      </c>
      <c r="D15" s="181" t="s">
        <v>445</v>
      </c>
      <c r="E15" s="183">
        <v>45472</v>
      </c>
      <c r="F15" s="184">
        <v>16.7</v>
      </c>
      <c r="G15" s="841" t="s">
        <v>402</v>
      </c>
      <c r="H15" s="842"/>
      <c r="I15" s="842"/>
      <c r="J15" s="842"/>
      <c r="K15" s="179">
        <v>45484</v>
      </c>
      <c r="L15" s="181" t="s">
        <v>446</v>
      </c>
      <c r="M15" s="177"/>
      <c r="N15" s="832"/>
      <c r="O15" s="832"/>
      <c r="P15" s="832"/>
    </row>
    <row r="16" spans="1:16" s="32" customFormat="1" ht="33" customHeight="1">
      <c r="A16" s="177">
        <f t="shared" si="0"/>
        <v>4</v>
      </c>
      <c r="B16" s="182" t="s">
        <v>177</v>
      </c>
      <c r="C16" s="181" t="s">
        <v>444</v>
      </c>
      <c r="D16" s="181" t="s">
        <v>239</v>
      </c>
      <c r="E16" s="183">
        <v>45472</v>
      </c>
      <c r="F16" s="184">
        <v>11.73</v>
      </c>
      <c r="G16" s="841" t="s">
        <v>402</v>
      </c>
      <c r="H16" s="842"/>
      <c r="I16" s="842"/>
      <c r="J16" s="842"/>
      <c r="K16" s="183">
        <v>45489</v>
      </c>
      <c r="L16" s="181" t="s">
        <v>447</v>
      </c>
      <c r="M16" s="181"/>
      <c r="N16" s="832"/>
      <c r="O16" s="832"/>
      <c r="P16" s="832"/>
    </row>
    <row r="17" spans="1:16" s="32" customFormat="1" ht="33" customHeight="1">
      <c r="A17" s="177">
        <f t="shared" si="0"/>
        <v>5</v>
      </c>
      <c r="B17" s="182" t="s">
        <v>2</v>
      </c>
      <c r="C17" s="181" t="s">
        <v>401</v>
      </c>
      <c r="D17" s="181" t="s">
        <v>239</v>
      </c>
      <c r="E17" s="183">
        <v>45474</v>
      </c>
      <c r="F17" s="184">
        <v>11.42</v>
      </c>
      <c r="G17" s="841" t="s">
        <v>402</v>
      </c>
      <c r="H17" s="842"/>
      <c r="I17" s="842"/>
      <c r="J17" s="842"/>
      <c r="K17" s="183">
        <v>45489</v>
      </c>
      <c r="L17" s="181" t="s">
        <v>443</v>
      </c>
      <c r="M17" s="181"/>
      <c r="N17" s="832"/>
      <c r="O17" s="832"/>
      <c r="P17" s="832"/>
    </row>
    <row r="18" spans="1:16" s="32" customFormat="1" ht="35.549999999999997" customHeight="1">
      <c r="A18" s="177">
        <f t="shared" si="0"/>
        <v>6</v>
      </c>
      <c r="B18" s="182" t="s">
        <v>178</v>
      </c>
      <c r="C18" s="181" t="s">
        <v>401</v>
      </c>
      <c r="D18" s="181" t="s">
        <v>239</v>
      </c>
      <c r="E18" s="183">
        <v>45475</v>
      </c>
      <c r="F18" s="184">
        <v>11.42</v>
      </c>
      <c r="G18" s="841" t="s">
        <v>402</v>
      </c>
      <c r="H18" s="842"/>
      <c r="I18" s="842"/>
      <c r="J18" s="842"/>
      <c r="K18" s="183">
        <v>45496</v>
      </c>
      <c r="L18" s="181" t="s">
        <v>449</v>
      </c>
      <c r="M18" s="181"/>
      <c r="N18" s="832"/>
      <c r="O18" s="832"/>
      <c r="P18" s="832"/>
    </row>
    <row r="19" spans="1:16" s="32" customFormat="1" ht="35.549999999999997" customHeight="1">
      <c r="A19" s="177">
        <f t="shared" si="0"/>
        <v>7</v>
      </c>
      <c r="B19" s="182" t="s">
        <v>147</v>
      </c>
      <c r="C19" s="181" t="s">
        <v>401</v>
      </c>
      <c r="D19" s="181" t="s">
        <v>239</v>
      </c>
      <c r="E19" s="183">
        <v>45476</v>
      </c>
      <c r="F19" s="184">
        <v>11.42</v>
      </c>
      <c r="G19" s="841" t="s">
        <v>402</v>
      </c>
      <c r="H19" s="842"/>
      <c r="I19" s="842"/>
      <c r="J19" s="842"/>
      <c r="K19" s="183">
        <v>45485</v>
      </c>
      <c r="L19" s="181" t="s">
        <v>443</v>
      </c>
      <c r="M19" s="181"/>
      <c r="N19" s="832"/>
      <c r="O19" s="832"/>
      <c r="P19" s="832"/>
    </row>
    <row r="20" spans="1:16" s="32" customFormat="1" ht="35.549999999999997" customHeight="1">
      <c r="A20" s="177">
        <f t="shared" si="0"/>
        <v>8</v>
      </c>
      <c r="B20" s="182" t="s">
        <v>146</v>
      </c>
      <c r="C20" s="181" t="s">
        <v>444</v>
      </c>
      <c r="D20" s="181" t="s">
        <v>239</v>
      </c>
      <c r="E20" s="183">
        <v>45480</v>
      </c>
      <c r="F20" s="184">
        <v>11.73</v>
      </c>
      <c r="G20" s="841" t="s">
        <v>402</v>
      </c>
      <c r="H20" s="842"/>
      <c r="I20" s="842"/>
      <c r="J20" s="842"/>
      <c r="K20" s="183">
        <v>45496</v>
      </c>
      <c r="L20" s="181" t="s">
        <v>443</v>
      </c>
      <c r="M20" s="181"/>
      <c r="N20" s="832"/>
      <c r="O20" s="832"/>
      <c r="P20" s="832"/>
    </row>
    <row r="21" spans="1:16" s="32" customFormat="1" ht="35.549999999999997" customHeight="1">
      <c r="A21" s="177">
        <f t="shared" si="0"/>
        <v>9</v>
      </c>
      <c r="B21" s="182" t="s">
        <v>144</v>
      </c>
      <c r="C21" s="181" t="s">
        <v>448</v>
      </c>
      <c r="D21" s="181" t="s">
        <v>239</v>
      </c>
      <c r="E21" s="183">
        <v>45483</v>
      </c>
      <c r="F21" s="184">
        <v>11.42</v>
      </c>
      <c r="G21" s="841" t="s">
        <v>402</v>
      </c>
      <c r="H21" s="842"/>
      <c r="I21" s="842"/>
      <c r="J21" s="842"/>
      <c r="K21" s="183">
        <v>45499</v>
      </c>
      <c r="L21" s="181" t="s">
        <v>450</v>
      </c>
      <c r="M21" s="181"/>
      <c r="N21" s="832"/>
      <c r="O21" s="832"/>
      <c r="P21" s="832"/>
    </row>
    <row r="22" spans="1:16" s="32" customFormat="1" ht="35.549999999999997" customHeight="1">
      <c r="A22" s="177">
        <f t="shared" si="0"/>
        <v>10</v>
      </c>
      <c r="B22" s="182" t="s">
        <v>49</v>
      </c>
      <c r="C22" s="181" t="s">
        <v>401</v>
      </c>
      <c r="D22" s="181" t="s">
        <v>239</v>
      </c>
      <c r="E22" s="183">
        <v>45487</v>
      </c>
      <c r="F22" s="184">
        <v>11.42</v>
      </c>
      <c r="G22" s="841" t="s">
        <v>402</v>
      </c>
      <c r="H22" s="842"/>
      <c r="I22" s="842"/>
      <c r="J22" s="842"/>
      <c r="K22" s="183">
        <v>45504</v>
      </c>
      <c r="L22" s="181" t="s">
        <v>451</v>
      </c>
      <c r="M22" s="181"/>
      <c r="N22" s="832"/>
      <c r="O22" s="832"/>
      <c r="P22" s="832"/>
    </row>
    <row r="23" spans="1:16" s="32" customFormat="1" ht="35.549999999999997" customHeight="1">
      <c r="A23" s="177">
        <f t="shared" si="0"/>
        <v>11</v>
      </c>
      <c r="B23" s="182" t="s">
        <v>132</v>
      </c>
      <c r="C23" s="181" t="s">
        <v>448</v>
      </c>
      <c r="D23" s="181" t="s">
        <v>239</v>
      </c>
      <c r="E23" s="183">
        <v>45491</v>
      </c>
      <c r="F23" s="184">
        <v>11.42</v>
      </c>
      <c r="G23" s="820" t="s">
        <v>402</v>
      </c>
      <c r="H23" s="821"/>
      <c r="I23" s="821"/>
      <c r="J23" s="821"/>
      <c r="K23" s="183">
        <v>45515</v>
      </c>
      <c r="L23" s="181" t="s">
        <v>450</v>
      </c>
      <c r="M23" s="181"/>
      <c r="N23" s="855"/>
      <c r="O23" s="832"/>
      <c r="P23" s="832"/>
    </row>
    <row r="24" spans="1:16" s="32" customFormat="1" ht="35.549999999999997" customHeight="1">
      <c r="A24" s="177">
        <f t="shared" si="0"/>
        <v>12</v>
      </c>
      <c r="B24" s="182" t="s">
        <v>133</v>
      </c>
      <c r="C24" s="181" t="s">
        <v>401</v>
      </c>
      <c r="D24" s="181" t="s">
        <v>239</v>
      </c>
      <c r="E24" s="183">
        <v>45491</v>
      </c>
      <c r="F24" s="184">
        <v>11.42</v>
      </c>
      <c r="G24" s="820" t="s">
        <v>402</v>
      </c>
      <c r="H24" s="821"/>
      <c r="I24" s="821"/>
      <c r="J24" s="821"/>
      <c r="K24" s="183">
        <v>45510</v>
      </c>
      <c r="L24" s="181" t="s">
        <v>450</v>
      </c>
      <c r="M24" s="181"/>
      <c r="N24" s="832"/>
      <c r="O24" s="832"/>
      <c r="P24" s="832"/>
    </row>
    <row r="25" spans="1:16" s="32" customFormat="1" ht="33" customHeight="1">
      <c r="A25" s="177">
        <f t="shared" si="0"/>
        <v>13</v>
      </c>
      <c r="B25" s="182" t="s">
        <v>50</v>
      </c>
      <c r="C25" s="181" t="s">
        <v>444</v>
      </c>
      <c r="D25" s="181" t="s">
        <v>239</v>
      </c>
      <c r="E25" s="183">
        <v>45493</v>
      </c>
      <c r="F25" s="184">
        <v>11.73</v>
      </c>
      <c r="G25" s="820" t="s">
        <v>402</v>
      </c>
      <c r="H25" s="821"/>
      <c r="I25" s="821"/>
      <c r="J25" s="821"/>
      <c r="K25" s="183">
        <v>45507</v>
      </c>
      <c r="L25" s="181" t="s">
        <v>451</v>
      </c>
      <c r="M25" s="181"/>
      <c r="N25" s="832"/>
      <c r="O25" s="832"/>
      <c r="P25" s="832"/>
    </row>
    <row r="26" spans="1:16" s="32" customFormat="1" ht="33" customHeight="1">
      <c r="A26" s="177">
        <f t="shared" si="0"/>
        <v>14</v>
      </c>
      <c r="B26" s="182" t="s">
        <v>175</v>
      </c>
      <c r="C26" s="181" t="s">
        <v>444</v>
      </c>
      <c r="D26" s="181" t="s">
        <v>239</v>
      </c>
      <c r="E26" s="183">
        <v>45497</v>
      </c>
      <c r="F26" s="184">
        <v>11.73</v>
      </c>
      <c r="G26" s="820" t="s">
        <v>402</v>
      </c>
      <c r="H26" s="821"/>
      <c r="I26" s="821"/>
      <c r="J26" s="821"/>
      <c r="K26" s="183">
        <v>45506</v>
      </c>
      <c r="L26" s="181" t="s">
        <v>449</v>
      </c>
      <c r="M26" s="181"/>
      <c r="N26" s="832"/>
      <c r="O26" s="832"/>
      <c r="P26" s="832"/>
    </row>
    <row r="27" spans="1:16" s="32" customFormat="1" ht="33" customHeight="1">
      <c r="A27" s="177">
        <f t="shared" si="0"/>
        <v>15</v>
      </c>
      <c r="B27" s="182" t="s">
        <v>148</v>
      </c>
      <c r="C27" s="181" t="s">
        <v>444</v>
      </c>
      <c r="D27" s="181" t="s">
        <v>239</v>
      </c>
      <c r="E27" s="183">
        <v>45500</v>
      </c>
      <c r="F27" s="184">
        <v>11.73</v>
      </c>
      <c r="G27" s="820" t="s">
        <v>402</v>
      </c>
      <c r="H27" s="821"/>
      <c r="I27" s="821"/>
      <c r="J27" s="821"/>
      <c r="K27" s="183">
        <v>45514</v>
      </c>
      <c r="L27" s="181" t="s">
        <v>451</v>
      </c>
      <c r="M27" s="181"/>
      <c r="N27" s="832"/>
      <c r="O27" s="832"/>
      <c r="P27" s="832"/>
    </row>
    <row r="28" spans="1:16" s="32" customFormat="1" ht="33" customHeight="1">
      <c r="A28" s="177">
        <f t="shared" si="0"/>
        <v>16</v>
      </c>
      <c r="B28" s="182" t="s">
        <v>179</v>
      </c>
      <c r="C28" s="181" t="s">
        <v>444</v>
      </c>
      <c r="D28" s="181" t="s">
        <v>239</v>
      </c>
      <c r="E28" s="183">
        <v>45502</v>
      </c>
      <c r="F28" s="184">
        <v>11.73</v>
      </c>
      <c r="G28" s="820" t="s">
        <v>402</v>
      </c>
      <c r="H28" s="821"/>
      <c r="I28" s="821"/>
      <c r="J28" s="821"/>
      <c r="K28" s="183">
        <v>45514</v>
      </c>
      <c r="L28" s="181" t="s">
        <v>449</v>
      </c>
      <c r="M28" s="181"/>
      <c r="N28" s="832"/>
      <c r="O28" s="832"/>
      <c r="P28" s="832"/>
    </row>
    <row r="29" spans="1:16" s="32" customFormat="1" ht="33" customHeight="1">
      <c r="A29" s="177">
        <f t="shared" si="0"/>
        <v>17</v>
      </c>
      <c r="B29" s="182" t="s">
        <v>145</v>
      </c>
      <c r="C29" s="181" t="s">
        <v>452</v>
      </c>
      <c r="D29" s="181" t="s">
        <v>239</v>
      </c>
      <c r="E29" s="183">
        <v>45507</v>
      </c>
      <c r="F29" s="184">
        <v>11.73</v>
      </c>
      <c r="G29" s="820" t="s">
        <v>402</v>
      </c>
      <c r="H29" s="821"/>
      <c r="I29" s="821"/>
      <c r="J29" s="821"/>
      <c r="K29" s="183">
        <v>45530</v>
      </c>
      <c r="L29" s="181" t="s">
        <v>451</v>
      </c>
      <c r="M29" s="181"/>
      <c r="N29" s="832"/>
      <c r="O29" s="832"/>
      <c r="P29" s="832"/>
    </row>
    <row r="30" spans="1:16" s="32" customFormat="1" ht="33" customHeight="1">
      <c r="A30" s="177">
        <f t="shared" si="0"/>
        <v>18</v>
      </c>
      <c r="B30" s="182" t="s">
        <v>135</v>
      </c>
      <c r="C30" s="181" t="s">
        <v>401</v>
      </c>
      <c r="D30" s="181" t="s">
        <v>239</v>
      </c>
      <c r="E30" s="183">
        <v>45511</v>
      </c>
      <c r="F30" s="184">
        <v>11.42</v>
      </c>
      <c r="G30" s="820" t="s">
        <v>402</v>
      </c>
      <c r="H30" s="821"/>
      <c r="I30" s="821"/>
      <c r="J30" s="821"/>
      <c r="K30" s="183">
        <v>45525</v>
      </c>
      <c r="L30" s="181" t="s">
        <v>450</v>
      </c>
      <c r="M30" s="181"/>
      <c r="N30" s="832"/>
      <c r="O30" s="832"/>
      <c r="P30" s="832"/>
    </row>
    <row r="31" spans="1:16" s="32" customFormat="1" ht="33" customHeight="1">
      <c r="A31" s="177">
        <f t="shared" si="0"/>
        <v>19</v>
      </c>
      <c r="B31" s="182" t="s">
        <v>136</v>
      </c>
      <c r="C31" s="181" t="s">
        <v>453</v>
      </c>
      <c r="D31" s="181" t="s">
        <v>239</v>
      </c>
      <c r="E31" s="183">
        <v>45513</v>
      </c>
      <c r="F31" s="184">
        <v>11.73</v>
      </c>
      <c r="G31" s="820" t="s">
        <v>402</v>
      </c>
      <c r="H31" s="821"/>
      <c r="I31" s="821"/>
      <c r="J31" s="821"/>
      <c r="K31" s="183">
        <v>45531</v>
      </c>
      <c r="L31" s="181" t="s">
        <v>450</v>
      </c>
      <c r="M31" s="181"/>
      <c r="N31" s="832"/>
      <c r="O31" s="832"/>
      <c r="P31" s="832"/>
    </row>
    <row r="32" spans="1:16" s="153" customFormat="1" ht="33" customHeight="1">
      <c r="A32" s="181">
        <f t="shared" si="0"/>
        <v>20</v>
      </c>
      <c r="B32" s="182" t="s">
        <v>171</v>
      </c>
      <c r="C32" s="181" t="s">
        <v>448</v>
      </c>
      <c r="D32" s="181" t="s">
        <v>239</v>
      </c>
      <c r="E32" s="370" t="s">
        <v>679</v>
      </c>
      <c r="F32" s="184">
        <v>11.42</v>
      </c>
      <c r="G32" s="820" t="s">
        <v>402</v>
      </c>
      <c r="H32" s="821"/>
      <c r="I32" s="821"/>
      <c r="J32" s="821"/>
      <c r="K32" s="183">
        <v>45843</v>
      </c>
      <c r="L32" s="181" t="s">
        <v>599</v>
      </c>
      <c r="M32" s="181"/>
      <c r="N32" s="831"/>
      <c r="O32" s="831"/>
      <c r="P32" s="831"/>
    </row>
    <row r="33" spans="1:16" s="32" customFormat="1" ht="33" customHeight="1">
      <c r="A33" s="177">
        <f t="shared" si="0"/>
        <v>21</v>
      </c>
      <c r="B33" s="182" t="s">
        <v>143</v>
      </c>
      <c r="C33" s="181" t="s">
        <v>401</v>
      </c>
      <c r="D33" s="181" t="s">
        <v>239</v>
      </c>
      <c r="E33" s="183">
        <v>45518</v>
      </c>
      <c r="F33" s="184">
        <v>11.42</v>
      </c>
      <c r="G33" s="820" t="s">
        <v>402</v>
      </c>
      <c r="H33" s="821"/>
      <c r="I33" s="821"/>
      <c r="J33" s="821"/>
      <c r="K33" s="183">
        <v>45544</v>
      </c>
      <c r="L33" s="181" t="s">
        <v>451</v>
      </c>
      <c r="M33" s="181"/>
      <c r="N33" s="832"/>
      <c r="O33" s="832"/>
      <c r="P33" s="832"/>
    </row>
    <row r="34" spans="1:16" s="32" customFormat="1" ht="33" customHeight="1">
      <c r="A34" s="177">
        <f t="shared" si="0"/>
        <v>22</v>
      </c>
      <c r="B34" s="182" t="s">
        <v>137</v>
      </c>
      <c r="C34" s="181" t="s">
        <v>444</v>
      </c>
      <c r="D34" s="181" t="s">
        <v>239</v>
      </c>
      <c r="E34" s="183">
        <v>45529</v>
      </c>
      <c r="F34" s="184">
        <v>11.73</v>
      </c>
      <c r="G34" s="820" t="s">
        <v>402</v>
      </c>
      <c r="H34" s="821"/>
      <c r="I34" s="821"/>
      <c r="J34" s="821"/>
      <c r="K34" s="183">
        <v>45538</v>
      </c>
      <c r="L34" s="183" t="s">
        <v>450</v>
      </c>
      <c r="M34" s="181"/>
      <c r="N34" s="832"/>
      <c r="O34" s="832"/>
      <c r="P34" s="832"/>
    </row>
    <row r="35" spans="1:16" s="32" customFormat="1" ht="33" customHeight="1">
      <c r="A35" s="177">
        <f t="shared" si="0"/>
        <v>23</v>
      </c>
      <c r="B35" s="182" t="s">
        <v>140</v>
      </c>
      <c r="C35" s="181" t="s">
        <v>444</v>
      </c>
      <c r="D35" s="181" t="s">
        <v>239</v>
      </c>
      <c r="E35" s="183">
        <v>45537</v>
      </c>
      <c r="F35" s="184">
        <v>11.73</v>
      </c>
      <c r="G35" s="820" t="s">
        <v>402</v>
      </c>
      <c r="H35" s="821"/>
      <c r="I35" s="821"/>
      <c r="J35" s="821"/>
      <c r="K35" s="183">
        <v>45545</v>
      </c>
      <c r="L35" s="181" t="s">
        <v>450</v>
      </c>
      <c r="M35" s="181"/>
      <c r="N35" s="832"/>
      <c r="O35" s="832"/>
      <c r="P35" s="832"/>
    </row>
    <row r="36" spans="1:16" s="32" customFormat="1" ht="33" customHeight="1">
      <c r="A36" s="177">
        <f t="shared" si="0"/>
        <v>24</v>
      </c>
      <c r="B36" s="182" t="s">
        <v>18</v>
      </c>
      <c r="C36" s="181" t="s">
        <v>401</v>
      </c>
      <c r="D36" s="181" t="s">
        <v>239</v>
      </c>
      <c r="E36" s="183">
        <v>45537</v>
      </c>
      <c r="F36" s="184">
        <v>11.42</v>
      </c>
      <c r="G36" s="820" t="s">
        <v>402</v>
      </c>
      <c r="H36" s="821"/>
      <c r="I36" s="821"/>
      <c r="J36" s="821"/>
      <c r="K36" s="183">
        <v>45543</v>
      </c>
      <c r="L36" s="181" t="s">
        <v>475</v>
      </c>
      <c r="M36" s="181"/>
      <c r="N36" s="832"/>
      <c r="O36" s="832"/>
      <c r="P36" s="832"/>
    </row>
    <row r="37" spans="1:16" s="32" customFormat="1" ht="33" customHeight="1">
      <c r="A37" s="177">
        <f t="shared" si="0"/>
        <v>25</v>
      </c>
      <c r="B37" s="182" t="s">
        <v>129</v>
      </c>
      <c r="C37" s="181" t="s">
        <v>444</v>
      </c>
      <c r="D37" s="181" t="s">
        <v>239</v>
      </c>
      <c r="E37" s="183">
        <v>45537</v>
      </c>
      <c r="F37" s="184">
        <v>11.73</v>
      </c>
      <c r="G37" s="820" t="s">
        <v>402</v>
      </c>
      <c r="H37" s="821"/>
      <c r="I37" s="821"/>
      <c r="J37" s="821"/>
      <c r="K37" s="183">
        <v>45547</v>
      </c>
      <c r="L37" s="181" t="s">
        <v>475</v>
      </c>
      <c r="M37" s="181"/>
      <c r="N37" s="832"/>
      <c r="O37" s="832"/>
      <c r="P37" s="832"/>
    </row>
    <row r="38" spans="1:16" s="32" customFormat="1" ht="33" customHeight="1">
      <c r="A38" s="177">
        <f t="shared" si="0"/>
        <v>26</v>
      </c>
      <c r="B38" s="182" t="s">
        <v>16</v>
      </c>
      <c r="C38" s="181" t="s">
        <v>401</v>
      </c>
      <c r="D38" s="181" t="s">
        <v>239</v>
      </c>
      <c r="E38" s="183">
        <v>45540</v>
      </c>
      <c r="F38" s="184">
        <v>11.42</v>
      </c>
      <c r="G38" s="820" t="s">
        <v>402</v>
      </c>
      <c r="H38" s="821"/>
      <c r="I38" s="821"/>
      <c r="J38" s="821"/>
      <c r="K38" s="183">
        <v>45551</v>
      </c>
      <c r="L38" s="181" t="s">
        <v>475</v>
      </c>
      <c r="M38" s="181"/>
      <c r="N38" s="832"/>
      <c r="O38" s="832"/>
      <c r="P38" s="832"/>
    </row>
    <row r="39" spans="1:16" s="32" customFormat="1" ht="33" customHeight="1">
      <c r="A39" s="177">
        <f t="shared" si="0"/>
        <v>27</v>
      </c>
      <c r="B39" s="182" t="s">
        <v>172</v>
      </c>
      <c r="C39" s="181" t="s">
        <v>448</v>
      </c>
      <c r="D39" s="181" t="s">
        <v>239</v>
      </c>
      <c r="E39" s="183">
        <v>45547</v>
      </c>
      <c r="F39" s="184">
        <v>11.42</v>
      </c>
      <c r="G39" s="820" t="s">
        <v>402</v>
      </c>
      <c r="H39" s="821"/>
      <c r="I39" s="821"/>
      <c r="J39" s="821"/>
      <c r="K39" s="183">
        <v>45554</v>
      </c>
      <c r="L39" s="181" t="s">
        <v>475</v>
      </c>
      <c r="M39" s="181"/>
      <c r="N39" s="832"/>
      <c r="O39" s="832"/>
      <c r="P39" s="832"/>
    </row>
    <row r="40" spans="1:16" s="153" customFormat="1" ht="33" customHeight="1">
      <c r="A40" s="181">
        <f t="shared" si="0"/>
        <v>28</v>
      </c>
      <c r="B40" s="182" t="s">
        <v>161</v>
      </c>
      <c r="C40" s="181" t="s">
        <v>401</v>
      </c>
      <c r="D40" s="181" t="s">
        <v>239</v>
      </c>
      <c r="E40" s="183">
        <v>45555</v>
      </c>
      <c r="F40" s="184">
        <v>11.42</v>
      </c>
      <c r="G40" s="820" t="s">
        <v>402</v>
      </c>
      <c r="H40" s="821"/>
      <c r="I40" s="821"/>
      <c r="J40" s="821"/>
      <c r="K40" s="183">
        <v>45680</v>
      </c>
      <c r="L40" s="181" t="s">
        <v>592</v>
      </c>
      <c r="M40" s="181"/>
      <c r="N40" s="831"/>
      <c r="O40" s="831"/>
      <c r="P40" s="831"/>
    </row>
    <row r="41" spans="1:16" s="153" customFormat="1" ht="33" customHeight="1">
      <c r="A41" s="177">
        <f t="shared" si="0"/>
        <v>29</v>
      </c>
      <c r="B41" s="182" t="s">
        <v>128</v>
      </c>
      <c r="C41" s="181" t="s">
        <v>401</v>
      </c>
      <c r="D41" s="181" t="s">
        <v>239</v>
      </c>
      <c r="E41" s="183">
        <v>45557</v>
      </c>
      <c r="F41" s="184">
        <v>11.42</v>
      </c>
      <c r="G41" s="820" t="s">
        <v>402</v>
      </c>
      <c r="H41" s="821"/>
      <c r="I41" s="821"/>
      <c r="J41" s="821"/>
      <c r="K41" s="183">
        <v>45563</v>
      </c>
      <c r="L41" s="181" t="s">
        <v>475</v>
      </c>
      <c r="M41" s="181"/>
      <c r="N41" s="831"/>
      <c r="O41" s="831"/>
      <c r="P41" s="831"/>
    </row>
    <row r="42" spans="1:16" s="153" customFormat="1" ht="33" customHeight="1">
      <c r="A42" s="177">
        <f t="shared" si="0"/>
        <v>30</v>
      </c>
      <c r="B42" s="182" t="s">
        <v>166</v>
      </c>
      <c r="C42" s="181" t="s">
        <v>401</v>
      </c>
      <c r="D42" s="181" t="s">
        <v>239</v>
      </c>
      <c r="E42" s="183">
        <v>45559</v>
      </c>
      <c r="F42" s="184">
        <v>11.42</v>
      </c>
      <c r="G42" s="820" t="s">
        <v>402</v>
      </c>
      <c r="H42" s="821"/>
      <c r="I42" s="821"/>
      <c r="J42" s="821"/>
      <c r="K42" s="183">
        <v>45576</v>
      </c>
      <c r="L42" s="181" t="s">
        <v>475</v>
      </c>
      <c r="M42" s="181"/>
      <c r="N42" s="831"/>
      <c r="O42" s="831"/>
      <c r="P42" s="831"/>
    </row>
    <row r="43" spans="1:16" s="153" customFormat="1" ht="33" customHeight="1">
      <c r="A43" s="177">
        <f t="shared" si="0"/>
        <v>31</v>
      </c>
      <c r="B43" s="182" t="s">
        <v>127</v>
      </c>
      <c r="C43" s="181" t="s">
        <v>448</v>
      </c>
      <c r="D43" s="181" t="s">
        <v>488</v>
      </c>
      <c r="E43" s="183">
        <v>45559</v>
      </c>
      <c r="F43" s="184">
        <v>17.649999999999999</v>
      </c>
      <c r="G43" s="820" t="s">
        <v>402</v>
      </c>
      <c r="H43" s="821"/>
      <c r="I43" s="821"/>
      <c r="J43" s="821"/>
      <c r="K43" s="183">
        <v>45568</v>
      </c>
      <c r="L43" s="181" t="s">
        <v>475</v>
      </c>
      <c r="M43" s="181"/>
      <c r="N43" s="831"/>
      <c r="O43" s="831"/>
      <c r="P43" s="831"/>
    </row>
    <row r="44" spans="1:16" s="153" customFormat="1" ht="33" customHeight="1">
      <c r="A44" s="177">
        <f t="shared" si="0"/>
        <v>32</v>
      </c>
      <c r="B44" s="182" t="s">
        <v>126</v>
      </c>
      <c r="C44" s="181" t="s">
        <v>401</v>
      </c>
      <c r="D44" s="181" t="s">
        <v>239</v>
      </c>
      <c r="E44" s="183">
        <v>45562</v>
      </c>
      <c r="F44" s="184">
        <v>11.42</v>
      </c>
      <c r="G44" s="820" t="s">
        <v>402</v>
      </c>
      <c r="H44" s="821"/>
      <c r="I44" s="821"/>
      <c r="J44" s="821"/>
      <c r="K44" s="183">
        <v>45615</v>
      </c>
      <c r="L44" s="181" t="s">
        <v>492</v>
      </c>
      <c r="M44" s="181"/>
      <c r="N44" s="831"/>
      <c r="O44" s="831"/>
      <c r="P44" s="831"/>
    </row>
    <row r="45" spans="1:16" s="153" customFormat="1" ht="33" customHeight="1">
      <c r="A45" s="177">
        <f t="shared" si="0"/>
        <v>33</v>
      </c>
      <c r="B45" s="182" t="s">
        <v>125</v>
      </c>
      <c r="C45" s="181" t="s">
        <v>448</v>
      </c>
      <c r="D45" s="181" t="s">
        <v>239</v>
      </c>
      <c r="E45" s="183">
        <v>45564</v>
      </c>
      <c r="F45" s="184">
        <v>11.42</v>
      </c>
      <c r="G45" s="820" t="s">
        <v>402</v>
      </c>
      <c r="H45" s="821"/>
      <c r="I45" s="821"/>
      <c r="J45" s="821"/>
      <c r="K45" s="183">
        <v>45607</v>
      </c>
      <c r="L45" s="181" t="s">
        <v>495</v>
      </c>
      <c r="M45" s="181"/>
      <c r="N45" s="831"/>
      <c r="O45" s="831"/>
      <c r="P45" s="831"/>
    </row>
    <row r="46" spans="1:16" s="153" customFormat="1" ht="33" customHeight="1">
      <c r="A46" s="177">
        <f t="shared" si="0"/>
        <v>34</v>
      </c>
      <c r="B46" s="182" t="s">
        <v>160</v>
      </c>
      <c r="C46" s="181" t="s">
        <v>444</v>
      </c>
      <c r="D46" s="181" t="s">
        <v>239</v>
      </c>
      <c r="E46" s="183">
        <v>45573</v>
      </c>
      <c r="F46" s="184">
        <v>11.73</v>
      </c>
      <c r="G46" s="820" t="s">
        <v>402</v>
      </c>
      <c r="H46" s="821"/>
      <c r="I46" s="821"/>
      <c r="J46" s="821"/>
      <c r="K46" s="183">
        <v>45584</v>
      </c>
      <c r="L46" s="181" t="s">
        <v>475</v>
      </c>
      <c r="M46" s="181"/>
      <c r="N46" s="270"/>
      <c r="O46" s="270"/>
      <c r="P46" s="270"/>
    </row>
    <row r="47" spans="1:16" s="32" customFormat="1" ht="33" customHeight="1">
      <c r="A47" s="177">
        <f t="shared" si="0"/>
        <v>35</v>
      </c>
      <c r="B47" s="182" t="s">
        <v>489</v>
      </c>
      <c r="C47" s="181" t="s">
        <v>476</v>
      </c>
      <c r="D47" s="181" t="s">
        <v>239</v>
      </c>
      <c r="E47" s="183">
        <v>45584</v>
      </c>
      <c r="F47" s="184">
        <v>32.22</v>
      </c>
      <c r="G47" s="820" t="s">
        <v>402</v>
      </c>
      <c r="H47" s="821"/>
      <c r="I47" s="821"/>
      <c r="J47" s="821"/>
      <c r="K47" s="183">
        <v>45594</v>
      </c>
      <c r="L47" s="181" t="s">
        <v>491</v>
      </c>
      <c r="M47" s="181"/>
      <c r="N47" s="832"/>
      <c r="O47" s="832"/>
      <c r="P47" s="832"/>
    </row>
    <row r="48" spans="1:16" s="32" customFormat="1" ht="33" customHeight="1">
      <c r="A48" s="177">
        <f t="shared" si="0"/>
        <v>36</v>
      </c>
      <c r="B48" s="182" t="s">
        <v>123</v>
      </c>
      <c r="C48" s="181" t="s">
        <v>448</v>
      </c>
      <c r="D48" s="181" t="s">
        <v>239</v>
      </c>
      <c r="E48" s="183">
        <v>45592</v>
      </c>
      <c r="F48" s="184">
        <v>11.42</v>
      </c>
      <c r="G48" s="820" t="s">
        <v>402</v>
      </c>
      <c r="H48" s="821"/>
      <c r="I48" s="821"/>
      <c r="J48" s="821"/>
      <c r="K48" s="183">
        <v>45600</v>
      </c>
      <c r="L48" s="181" t="s">
        <v>492</v>
      </c>
      <c r="M48" s="181"/>
      <c r="N48" s="832"/>
      <c r="O48" s="832"/>
      <c r="P48" s="832"/>
    </row>
    <row r="49" spans="1:16" s="153" customFormat="1" ht="33" customHeight="1">
      <c r="A49" s="177">
        <f t="shared" si="0"/>
        <v>37</v>
      </c>
      <c r="B49" s="182" t="s">
        <v>159</v>
      </c>
      <c r="C49" s="181" t="s">
        <v>476</v>
      </c>
      <c r="D49" s="181" t="s">
        <v>239</v>
      </c>
      <c r="E49" s="183">
        <v>45595</v>
      </c>
      <c r="F49" s="184">
        <v>32.22</v>
      </c>
      <c r="G49" s="820" t="s">
        <v>402</v>
      </c>
      <c r="H49" s="821"/>
      <c r="I49" s="821"/>
      <c r="J49" s="821"/>
      <c r="K49" s="183">
        <v>45618</v>
      </c>
      <c r="L49" s="181" t="s">
        <v>498</v>
      </c>
      <c r="M49" s="181"/>
      <c r="N49" s="831"/>
      <c r="O49" s="831"/>
      <c r="P49" s="831"/>
    </row>
    <row r="50" spans="1:16" s="153" customFormat="1" ht="33" customHeight="1">
      <c r="A50" s="177">
        <f t="shared" si="0"/>
        <v>38</v>
      </c>
      <c r="B50" s="182" t="s">
        <v>124</v>
      </c>
      <c r="C50" s="181" t="s">
        <v>448</v>
      </c>
      <c r="D50" s="181" t="s">
        <v>239</v>
      </c>
      <c r="E50" s="183">
        <v>45604</v>
      </c>
      <c r="F50" s="184">
        <v>11.42</v>
      </c>
      <c r="G50" s="820" t="s">
        <v>402</v>
      </c>
      <c r="H50" s="821"/>
      <c r="I50" s="821"/>
      <c r="J50" s="821"/>
      <c r="K50" s="183">
        <v>45623</v>
      </c>
      <c r="L50" s="181" t="s">
        <v>491</v>
      </c>
      <c r="M50" s="181"/>
      <c r="N50" s="831"/>
      <c r="O50" s="831"/>
      <c r="P50" s="831"/>
    </row>
    <row r="51" spans="1:16" s="153" customFormat="1" ht="33" customHeight="1">
      <c r="A51" s="177">
        <f t="shared" si="0"/>
        <v>39</v>
      </c>
      <c r="B51" s="182" t="s">
        <v>17</v>
      </c>
      <c r="C51" s="181" t="s">
        <v>401</v>
      </c>
      <c r="D51" s="181" t="s">
        <v>239</v>
      </c>
      <c r="E51" s="183">
        <v>45609</v>
      </c>
      <c r="F51" s="184">
        <v>11.42</v>
      </c>
      <c r="G51" s="820" t="s">
        <v>402</v>
      </c>
      <c r="H51" s="821"/>
      <c r="I51" s="821"/>
      <c r="J51" s="821"/>
      <c r="K51" s="183">
        <v>45652</v>
      </c>
      <c r="L51" s="181" t="s">
        <v>491</v>
      </c>
      <c r="M51" s="181"/>
      <c r="N51" s="831"/>
      <c r="O51" s="831"/>
      <c r="P51" s="831"/>
    </row>
    <row r="52" spans="1:16" s="153" customFormat="1" ht="33" customHeight="1">
      <c r="A52" s="181">
        <f t="shared" si="0"/>
        <v>40</v>
      </c>
      <c r="B52" s="182" t="s">
        <v>157</v>
      </c>
      <c r="C52" s="181" t="s">
        <v>452</v>
      </c>
      <c r="D52" s="181" t="s">
        <v>239</v>
      </c>
      <c r="E52" s="183">
        <v>45611</v>
      </c>
      <c r="F52" s="184">
        <v>11.73</v>
      </c>
      <c r="G52" s="820" t="s">
        <v>402</v>
      </c>
      <c r="H52" s="821"/>
      <c r="I52" s="821"/>
      <c r="J52" s="821"/>
      <c r="K52" s="183">
        <v>45698</v>
      </c>
      <c r="L52" s="181" t="s">
        <v>599</v>
      </c>
      <c r="M52" s="181"/>
      <c r="N52" s="831"/>
      <c r="O52" s="831"/>
      <c r="P52" s="831"/>
    </row>
    <row r="53" spans="1:16" s="153" customFormat="1" ht="33" customHeight="1">
      <c r="A53" s="177">
        <f t="shared" si="0"/>
        <v>41</v>
      </c>
      <c r="B53" s="182" t="s">
        <v>156</v>
      </c>
      <c r="C53" s="181" t="s">
        <v>401</v>
      </c>
      <c r="D53" s="181" t="s">
        <v>239</v>
      </c>
      <c r="E53" s="183">
        <v>45611</v>
      </c>
      <c r="F53" s="184">
        <v>11.42</v>
      </c>
      <c r="G53" s="820" t="s">
        <v>402</v>
      </c>
      <c r="H53" s="821"/>
      <c r="I53" s="821"/>
      <c r="J53" s="821"/>
      <c r="K53" s="183">
        <v>45650</v>
      </c>
      <c r="L53" s="181" t="s">
        <v>498</v>
      </c>
      <c r="M53" s="181"/>
      <c r="N53" s="831"/>
      <c r="O53" s="831"/>
      <c r="P53" s="831"/>
    </row>
    <row r="54" spans="1:16" s="153" customFormat="1" ht="33" customHeight="1">
      <c r="A54" s="177">
        <f t="shared" si="0"/>
        <v>42</v>
      </c>
      <c r="B54" s="182" t="s">
        <v>496</v>
      </c>
      <c r="C54" s="181" t="s">
        <v>476</v>
      </c>
      <c r="D54" s="181" t="s">
        <v>239</v>
      </c>
      <c r="E54" s="183">
        <v>45615</v>
      </c>
      <c r="F54" s="184">
        <v>32.22</v>
      </c>
      <c r="G54" s="820" t="s">
        <v>402</v>
      </c>
      <c r="H54" s="821"/>
      <c r="I54" s="821"/>
      <c r="J54" s="821"/>
      <c r="K54" s="183">
        <v>45631</v>
      </c>
      <c r="L54" s="181" t="s">
        <v>498</v>
      </c>
      <c r="M54" s="181"/>
      <c r="N54" s="831"/>
      <c r="O54" s="831"/>
      <c r="P54" s="831"/>
    </row>
    <row r="55" spans="1:16" s="153" customFormat="1" ht="33" customHeight="1">
      <c r="A55" s="177">
        <f t="shared" si="0"/>
        <v>43</v>
      </c>
      <c r="B55" s="182" t="s">
        <v>497</v>
      </c>
      <c r="C55" s="181" t="s">
        <v>476</v>
      </c>
      <c r="D55" s="181" t="s">
        <v>239</v>
      </c>
      <c r="E55" s="183">
        <v>45620</v>
      </c>
      <c r="F55" s="184">
        <v>32.22</v>
      </c>
      <c r="G55" s="820" t="s">
        <v>402</v>
      </c>
      <c r="H55" s="821"/>
      <c r="I55" s="821"/>
      <c r="J55" s="821"/>
      <c r="K55" s="183">
        <v>45644</v>
      </c>
      <c r="L55" s="181" t="s">
        <v>491</v>
      </c>
      <c r="M55" s="181"/>
      <c r="N55" s="831"/>
      <c r="O55" s="831"/>
      <c r="P55" s="831"/>
    </row>
    <row r="56" spans="1:16" s="153" customFormat="1" ht="33" customHeight="1">
      <c r="A56" s="177">
        <f t="shared" si="0"/>
        <v>44</v>
      </c>
      <c r="B56" s="182" t="s">
        <v>502</v>
      </c>
      <c r="C56" s="181" t="s">
        <v>401</v>
      </c>
      <c r="D56" s="181" t="s">
        <v>239</v>
      </c>
      <c r="E56" s="183">
        <v>45630</v>
      </c>
      <c r="F56" s="184">
        <v>11.42</v>
      </c>
      <c r="G56" s="820" t="s">
        <v>402</v>
      </c>
      <c r="H56" s="821"/>
      <c r="I56" s="821"/>
      <c r="J56" s="821"/>
      <c r="K56" s="183">
        <v>45646</v>
      </c>
      <c r="L56" s="181" t="s">
        <v>491</v>
      </c>
      <c r="M56" s="181"/>
      <c r="N56" s="831"/>
      <c r="O56" s="831"/>
      <c r="P56" s="831"/>
    </row>
    <row r="57" spans="1:16" s="153" customFormat="1" ht="33" customHeight="1">
      <c r="A57" s="177">
        <f t="shared" si="0"/>
        <v>45</v>
      </c>
      <c r="B57" s="182" t="s">
        <v>503</v>
      </c>
      <c r="C57" s="181" t="s">
        <v>504</v>
      </c>
      <c r="D57" s="181" t="s">
        <v>239</v>
      </c>
      <c r="E57" s="183">
        <v>45635</v>
      </c>
      <c r="F57" s="184">
        <v>28.1</v>
      </c>
      <c r="G57" s="820" t="s">
        <v>402</v>
      </c>
      <c r="H57" s="821"/>
      <c r="I57" s="821"/>
      <c r="J57" s="821"/>
      <c r="K57" s="183">
        <v>45656</v>
      </c>
      <c r="L57" s="181" t="s">
        <v>507</v>
      </c>
      <c r="M57" s="181"/>
      <c r="N57" s="831"/>
      <c r="O57" s="831"/>
      <c r="P57" s="831"/>
    </row>
    <row r="58" spans="1:16" s="153" customFormat="1" ht="33" customHeight="1">
      <c r="A58" s="181">
        <f t="shared" si="0"/>
        <v>46</v>
      </c>
      <c r="B58" s="182" t="s">
        <v>4</v>
      </c>
      <c r="C58" s="181" t="s">
        <v>506</v>
      </c>
      <c r="D58" s="181" t="s">
        <v>239</v>
      </c>
      <c r="E58" s="183">
        <v>45636</v>
      </c>
      <c r="F58" s="184">
        <v>32.22</v>
      </c>
      <c r="G58" s="820" t="s">
        <v>402</v>
      </c>
      <c r="H58" s="821"/>
      <c r="I58" s="821"/>
      <c r="J58" s="821"/>
      <c r="K58" s="183">
        <v>45678</v>
      </c>
      <c r="L58" s="181" t="s">
        <v>552</v>
      </c>
      <c r="M58" s="181"/>
      <c r="N58" s="831"/>
      <c r="O58" s="831"/>
      <c r="P58" s="831"/>
    </row>
    <row r="59" spans="1:16" s="153" customFormat="1" ht="33" customHeight="1">
      <c r="A59" s="181">
        <f t="shared" si="0"/>
        <v>47</v>
      </c>
      <c r="B59" s="182" t="s">
        <v>505</v>
      </c>
      <c r="C59" s="181" t="s">
        <v>476</v>
      </c>
      <c r="D59" s="181" t="s">
        <v>239</v>
      </c>
      <c r="E59" s="183">
        <v>45637</v>
      </c>
      <c r="F59" s="184">
        <v>32.22</v>
      </c>
      <c r="G59" s="820" t="s">
        <v>402</v>
      </c>
      <c r="H59" s="821"/>
      <c r="I59" s="821"/>
      <c r="J59" s="821"/>
      <c r="K59" s="183">
        <v>45668</v>
      </c>
      <c r="L59" s="181" t="s">
        <v>552</v>
      </c>
      <c r="M59" s="181"/>
      <c r="N59" s="831"/>
      <c r="O59" s="831"/>
      <c r="P59" s="831"/>
    </row>
    <row r="60" spans="1:16" s="153" customFormat="1" ht="33" customHeight="1">
      <c r="A60" s="181">
        <f t="shared" si="0"/>
        <v>48</v>
      </c>
      <c r="B60" s="182" t="s">
        <v>512</v>
      </c>
      <c r="C60" s="181" t="s">
        <v>476</v>
      </c>
      <c r="D60" s="181" t="s">
        <v>239</v>
      </c>
      <c r="E60" s="183">
        <v>45648</v>
      </c>
      <c r="F60" s="184">
        <v>32.22</v>
      </c>
      <c r="G60" s="820" t="s">
        <v>402</v>
      </c>
      <c r="H60" s="821"/>
      <c r="I60" s="821"/>
      <c r="J60" s="821"/>
      <c r="K60" s="183">
        <v>45670</v>
      </c>
      <c r="L60" s="181" t="s">
        <v>580</v>
      </c>
      <c r="M60" s="181"/>
      <c r="N60" s="831"/>
      <c r="O60" s="831"/>
      <c r="P60" s="831"/>
    </row>
    <row r="61" spans="1:16" s="153" customFormat="1" ht="33" customHeight="1">
      <c r="A61" s="181">
        <f t="shared" si="0"/>
        <v>49</v>
      </c>
      <c r="B61" s="182" t="s">
        <v>37</v>
      </c>
      <c r="C61" s="181" t="s">
        <v>401</v>
      </c>
      <c r="D61" s="181" t="s">
        <v>445</v>
      </c>
      <c r="E61" s="183">
        <v>45658</v>
      </c>
      <c r="F61" s="184">
        <v>16.7</v>
      </c>
      <c r="G61" s="820" t="s">
        <v>402</v>
      </c>
      <c r="H61" s="821"/>
      <c r="I61" s="821"/>
      <c r="J61" s="821"/>
      <c r="K61" s="183">
        <v>45737</v>
      </c>
      <c r="L61" s="181" t="s">
        <v>581</v>
      </c>
      <c r="M61" s="181"/>
      <c r="N61" s="831"/>
      <c r="O61" s="831"/>
      <c r="P61" s="831"/>
    </row>
    <row r="62" spans="1:16" s="153" customFormat="1" ht="33" customHeight="1">
      <c r="A62" s="181">
        <f t="shared" si="0"/>
        <v>50</v>
      </c>
      <c r="B62" s="182" t="s">
        <v>167</v>
      </c>
      <c r="C62" s="181" t="s">
        <v>453</v>
      </c>
      <c r="D62" s="181" t="s">
        <v>239</v>
      </c>
      <c r="E62" s="183">
        <v>45660</v>
      </c>
      <c r="F62" s="184">
        <v>11.73</v>
      </c>
      <c r="G62" s="820" t="s">
        <v>402</v>
      </c>
      <c r="H62" s="821"/>
      <c r="I62" s="821"/>
      <c r="J62" s="821"/>
      <c r="K62" s="183">
        <v>45670</v>
      </c>
      <c r="L62" s="181" t="s">
        <v>498</v>
      </c>
      <c r="M62" s="181"/>
      <c r="N62" s="831"/>
      <c r="O62" s="831"/>
      <c r="P62" s="831"/>
    </row>
    <row r="63" spans="1:16" s="153" customFormat="1" ht="33" customHeight="1">
      <c r="A63" s="181">
        <f t="shared" si="0"/>
        <v>51</v>
      </c>
      <c r="B63" s="182" t="s">
        <v>122</v>
      </c>
      <c r="C63" s="181" t="s">
        <v>589</v>
      </c>
      <c r="D63" s="181" t="s">
        <v>239</v>
      </c>
      <c r="E63" s="453" t="s">
        <v>657</v>
      </c>
      <c r="F63" s="184">
        <v>32.22</v>
      </c>
      <c r="G63" s="820" t="s">
        <v>402</v>
      </c>
      <c r="H63" s="821"/>
      <c r="I63" s="821"/>
      <c r="J63" s="821"/>
      <c r="K63" s="183">
        <v>45810</v>
      </c>
      <c r="L63" s="181" t="s">
        <v>599</v>
      </c>
      <c r="M63" s="181"/>
      <c r="N63" s="837"/>
      <c r="O63" s="837"/>
      <c r="P63" s="837"/>
    </row>
    <row r="64" spans="1:16" s="153" customFormat="1" ht="33" customHeight="1">
      <c r="A64" s="181">
        <f t="shared" si="0"/>
        <v>52</v>
      </c>
      <c r="B64" s="182" t="s">
        <v>121</v>
      </c>
      <c r="C64" s="181" t="s">
        <v>589</v>
      </c>
      <c r="D64" s="181" t="s">
        <v>239</v>
      </c>
      <c r="E64" s="183">
        <v>45667</v>
      </c>
      <c r="F64" s="184">
        <v>32.22</v>
      </c>
      <c r="G64" s="820" t="s">
        <v>402</v>
      </c>
      <c r="H64" s="821"/>
      <c r="I64" s="821"/>
      <c r="J64" s="821"/>
      <c r="K64" s="183">
        <v>45681</v>
      </c>
      <c r="L64" s="181" t="s">
        <v>580</v>
      </c>
      <c r="M64" s="181"/>
      <c r="N64" s="831"/>
      <c r="O64" s="831"/>
      <c r="P64" s="831"/>
    </row>
    <row r="65" spans="1:16" s="153" customFormat="1" ht="33" customHeight="1">
      <c r="A65" s="181">
        <v>53</v>
      </c>
      <c r="B65" s="182" t="s">
        <v>591</v>
      </c>
      <c r="C65" s="181" t="s">
        <v>590</v>
      </c>
      <c r="D65" s="181" t="s">
        <v>239</v>
      </c>
      <c r="E65" s="183">
        <v>45674</v>
      </c>
      <c r="F65" s="184">
        <v>27.5</v>
      </c>
      <c r="G65" s="820" t="s">
        <v>402</v>
      </c>
      <c r="H65" s="821"/>
      <c r="I65" s="821"/>
      <c r="J65" s="821"/>
      <c r="K65" s="183">
        <v>45691</v>
      </c>
      <c r="L65" s="181" t="s">
        <v>552</v>
      </c>
      <c r="M65" s="181"/>
      <c r="N65" s="831"/>
      <c r="O65" s="831"/>
      <c r="P65" s="831"/>
    </row>
    <row r="66" spans="1:16" s="153" customFormat="1" ht="33" customHeight="1">
      <c r="A66" s="181">
        <v>54</v>
      </c>
      <c r="B66" s="182" t="s">
        <v>117</v>
      </c>
      <c r="C66" s="181" t="s">
        <v>448</v>
      </c>
      <c r="D66" s="181" t="s">
        <v>239</v>
      </c>
      <c r="E66" s="183">
        <v>45680</v>
      </c>
      <c r="F66" s="184">
        <v>11.42</v>
      </c>
      <c r="G66" s="820" t="s">
        <v>402</v>
      </c>
      <c r="H66" s="821"/>
      <c r="I66" s="821"/>
      <c r="J66" s="821"/>
      <c r="K66" s="183">
        <v>45689</v>
      </c>
      <c r="L66" s="181" t="s">
        <v>580</v>
      </c>
      <c r="M66" s="181"/>
      <c r="N66" s="831"/>
      <c r="O66" s="831"/>
      <c r="P66" s="831"/>
    </row>
    <row r="67" spans="1:16" s="153" customFormat="1" ht="33" customHeight="1">
      <c r="A67" s="181">
        <f t="shared" ref="A67:A138" si="1">A66+1</f>
        <v>55</v>
      </c>
      <c r="B67" s="182" t="s">
        <v>593</v>
      </c>
      <c r="C67" s="181" t="s">
        <v>594</v>
      </c>
      <c r="D67" s="181" t="s">
        <v>239</v>
      </c>
      <c r="E67" s="183">
        <v>45685</v>
      </c>
      <c r="F67" s="184">
        <v>27.5</v>
      </c>
      <c r="G67" s="820" t="s">
        <v>402</v>
      </c>
      <c r="H67" s="821"/>
      <c r="I67" s="821"/>
      <c r="J67" s="821"/>
      <c r="K67" s="183">
        <v>45707</v>
      </c>
      <c r="L67" s="181" t="s">
        <v>599</v>
      </c>
      <c r="M67" s="181"/>
      <c r="N67" s="831"/>
      <c r="O67" s="831"/>
      <c r="P67" s="831"/>
    </row>
    <row r="68" spans="1:16" s="153" customFormat="1" ht="33" customHeight="1">
      <c r="A68" s="181">
        <f t="shared" si="1"/>
        <v>56</v>
      </c>
      <c r="B68" s="182" t="s">
        <v>596</v>
      </c>
      <c r="C68" s="181" t="s">
        <v>595</v>
      </c>
      <c r="D68" s="181" t="s">
        <v>239</v>
      </c>
      <c r="E68" s="183">
        <v>45687</v>
      </c>
      <c r="F68" s="184">
        <v>27.5</v>
      </c>
      <c r="G68" s="820" t="s">
        <v>402</v>
      </c>
      <c r="H68" s="821"/>
      <c r="I68" s="821"/>
      <c r="J68" s="821"/>
      <c r="K68" s="183">
        <v>45708</v>
      </c>
      <c r="L68" s="181" t="s">
        <v>552</v>
      </c>
      <c r="M68" s="181"/>
      <c r="N68" s="831"/>
      <c r="O68" s="831"/>
      <c r="P68" s="831"/>
    </row>
    <row r="69" spans="1:16" s="153" customFormat="1" ht="33" customHeight="1">
      <c r="A69" s="181">
        <f t="shared" si="1"/>
        <v>57</v>
      </c>
      <c r="B69" s="182" t="s">
        <v>597</v>
      </c>
      <c r="C69" s="181" t="s">
        <v>598</v>
      </c>
      <c r="D69" s="181" t="s">
        <v>239</v>
      </c>
      <c r="E69" s="183">
        <v>45688</v>
      </c>
      <c r="F69" s="184">
        <v>28.1</v>
      </c>
      <c r="G69" s="820" t="s">
        <v>402</v>
      </c>
      <c r="H69" s="821"/>
      <c r="I69" s="821"/>
      <c r="J69" s="821"/>
      <c r="K69" s="183">
        <v>45704</v>
      </c>
      <c r="L69" s="181" t="s">
        <v>580</v>
      </c>
      <c r="M69" s="181"/>
      <c r="N69" s="831"/>
      <c r="O69" s="831"/>
      <c r="P69" s="831"/>
    </row>
    <row r="70" spans="1:16" s="153" customFormat="1" ht="33" customHeight="1">
      <c r="A70" s="181">
        <f t="shared" si="1"/>
        <v>58</v>
      </c>
      <c r="B70" s="182" t="s">
        <v>180</v>
      </c>
      <c r="C70" s="181" t="s">
        <v>444</v>
      </c>
      <c r="D70" s="181" t="s">
        <v>239</v>
      </c>
      <c r="E70" s="183">
        <v>45700</v>
      </c>
      <c r="F70" s="184">
        <v>11.73</v>
      </c>
      <c r="G70" s="820" t="s">
        <v>402</v>
      </c>
      <c r="H70" s="821"/>
      <c r="I70" s="821"/>
      <c r="J70" s="821"/>
      <c r="K70" s="183">
        <v>45712</v>
      </c>
      <c r="L70" s="181" t="s">
        <v>599</v>
      </c>
      <c r="M70" s="181"/>
      <c r="N70" s="831"/>
      <c r="O70" s="831"/>
      <c r="P70" s="831"/>
    </row>
    <row r="71" spans="1:16" s="153" customFormat="1" ht="33" customHeight="1">
      <c r="A71" s="181">
        <f t="shared" si="1"/>
        <v>59</v>
      </c>
      <c r="B71" s="182" t="s">
        <v>518</v>
      </c>
      <c r="C71" s="181" t="s">
        <v>590</v>
      </c>
      <c r="D71" s="181" t="s">
        <v>239</v>
      </c>
      <c r="E71" s="183">
        <v>45703</v>
      </c>
      <c r="F71" s="184">
        <v>27.5</v>
      </c>
      <c r="G71" s="820" t="s">
        <v>402</v>
      </c>
      <c r="H71" s="821"/>
      <c r="I71" s="821"/>
      <c r="J71" s="821"/>
      <c r="K71" s="183">
        <v>45717</v>
      </c>
      <c r="L71" s="181" t="s">
        <v>580</v>
      </c>
      <c r="M71" s="181"/>
      <c r="N71" s="831"/>
      <c r="O71" s="831"/>
      <c r="P71" s="831"/>
    </row>
    <row r="72" spans="1:16" s="32" customFormat="1" ht="33" customHeight="1">
      <c r="A72" s="181">
        <f t="shared" si="1"/>
        <v>60</v>
      </c>
      <c r="B72" s="182" t="s">
        <v>20</v>
      </c>
      <c r="C72" s="181" t="s">
        <v>444</v>
      </c>
      <c r="D72" s="181" t="s">
        <v>239</v>
      </c>
      <c r="E72" s="183">
        <v>45703</v>
      </c>
      <c r="F72" s="184">
        <v>11.73</v>
      </c>
      <c r="G72" s="820" t="s">
        <v>402</v>
      </c>
      <c r="H72" s="821"/>
      <c r="I72" s="821"/>
      <c r="J72" s="821"/>
      <c r="K72" s="183">
        <v>45718</v>
      </c>
      <c r="L72" s="181" t="s">
        <v>552</v>
      </c>
      <c r="M72" s="181"/>
      <c r="N72" s="831"/>
      <c r="O72" s="831"/>
      <c r="P72" s="831"/>
    </row>
    <row r="73" spans="1:16" s="153" customFormat="1" ht="33" customHeight="1">
      <c r="A73" s="181">
        <f t="shared" si="1"/>
        <v>61</v>
      </c>
      <c r="B73" s="182" t="s">
        <v>605</v>
      </c>
      <c r="C73" s="181" t="s">
        <v>629</v>
      </c>
      <c r="D73" s="181" t="s">
        <v>239</v>
      </c>
      <c r="E73" s="183">
        <v>45711</v>
      </c>
      <c r="F73" s="184">
        <v>28.1</v>
      </c>
      <c r="G73" s="820" t="s">
        <v>402</v>
      </c>
      <c r="H73" s="821"/>
      <c r="I73" s="821"/>
      <c r="J73" s="821"/>
      <c r="K73" s="183">
        <v>45721</v>
      </c>
      <c r="L73" s="181" t="s">
        <v>599</v>
      </c>
      <c r="M73" s="181"/>
      <c r="N73" s="831"/>
      <c r="O73" s="831"/>
      <c r="P73" s="831"/>
    </row>
    <row r="74" spans="1:16" s="153" customFormat="1" ht="33" customHeight="1">
      <c r="A74" s="181">
        <f t="shared" si="1"/>
        <v>62</v>
      </c>
      <c r="B74" s="182" t="s">
        <v>142</v>
      </c>
      <c r="C74" s="181" t="s">
        <v>453</v>
      </c>
      <c r="D74" s="181" t="s">
        <v>239</v>
      </c>
      <c r="E74" s="183">
        <v>45712</v>
      </c>
      <c r="F74" s="184">
        <v>11.73</v>
      </c>
      <c r="G74" s="820" t="s">
        <v>402</v>
      </c>
      <c r="H74" s="821"/>
      <c r="I74" s="821"/>
      <c r="J74" s="821"/>
      <c r="K74" s="183">
        <v>45740</v>
      </c>
      <c r="L74" s="181" t="s">
        <v>552</v>
      </c>
      <c r="M74" s="181"/>
      <c r="N74" s="833"/>
      <c r="O74" s="833"/>
      <c r="P74" s="833"/>
    </row>
    <row r="75" spans="1:16" s="153" customFormat="1" ht="33" customHeight="1">
      <c r="A75" s="181">
        <f t="shared" si="1"/>
        <v>63</v>
      </c>
      <c r="B75" s="182" t="s">
        <v>630</v>
      </c>
      <c r="C75" s="181" t="s">
        <v>631</v>
      </c>
      <c r="D75" s="181" t="s">
        <v>239</v>
      </c>
      <c r="E75" s="183">
        <v>45715</v>
      </c>
      <c r="F75" s="184">
        <v>32.22</v>
      </c>
      <c r="G75" s="820" t="s">
        <v>402</v>
      </c>
      <c r="H75" s="821"/>
      <c r="I75" s="821"/>
      <c r="J75" s="821"/>
      <c r="K75" s="183">
        <v>45788</v>
      </c>
      <c r="L75" s="181" t="s">
        <v>646</v>
      </c>
      <c r="M75" s="181"/>
      <c r="N75" s="833"/>
      <c r="O75" s="833"/>
      <c r="P75" s="833"/>
    </row>
    <row r="76" spans="1:16" s="153" customFormat="1" ht="33" customHeight="1">
      <c r="A76" s="181">
        <f t="shared" si="1"/>
        <v>64</v>
      </c>
      <c r="B76" s="182" t="s">
        <v>561</v>
      </c>
      <c r="C76" s="181" t="s">
        <v>401</v>
      </c>
      <c r="D76" s="181" t="s">
        <v>239</v>
      </c>
      <c r="E76" s="183">
        <v>45717</v>
      </c>
      <c r="F76" s="184">
        <v>11.42</v>
      </c>
      <c r="G76" s="820" t="s">
        <v>402</v>
      </c>
      <c r="H76" s="821"/>
      <c r="I76" s="821"/>
      <c r="J76" s="821"/>
      <c r="K76" s="183">
        <v>45726</v>
      </c>
      <c r="L76" s="181" t="s">
        <v>599</v>
      </c>
      <c r="M76" s="181"/>
      <c r="N76" s="831"/>
      <c r="O76" s="831"/>
      <c r="P76" s="831"/>
    </row>
    <row r="77" spans="1:16" s="153" customFormat="1" ht="33" customHeight="1">
      <c r="A77" s="181">
        <f t="shared" si="1"/>
        <v>65</v>
      </c>
      <c r="B77" s="182" t="s">
        <v>21</v>
      </c>
      <c r="C77" s="181" t="s">
        <v>401</v>
      </c>
      <c r="D77" s="181" t="s">
        <v>239</v>
      </c>
      <c r="E77" s="183">
        <v>45717</v>
      </c>
      <c r="F77" s="184">
        <v>11.42</v>
      </c>
      <c r="G77" s="820" t="s">
        <v>402</v>
      </c>
      <c r="H77" s="821"/>
      <c r="I77" s="821"/>
      <c r="J77" s="821"/>
      <c r="K77" s="183">
        <v>45728</v>
      </c>
      <c r="L77" s="181" t="s">
        <v>552</v>
      </c>
      <c r="M77" s="181"/>
      <c r="N77" s="831"/>
      <c r="O77" s="831"/>
      <c r="P77" s="831"/>
    </row>
    <row r="78" spans="1:16" s="153" customFormat="1" ht="33" customHeight="1">
      <c r="A78" s="181">
        <f t="shared" si="1"/>
        <v>66</v>
      </c>
      <c r="B78" s="182" t="s">
        <v>615</v>
      </c>
      <c r="C78" s="181" t="s">
        <v>401</v>
      </c>
      <c r="D78" s="181" t="s">
        <v>239</v>
      </c>
      <c r="E78" s="183">
        <v>45726</v>
      </c>
      <c r="F78" s="184">
        <v>11.42</v>
      </c>
      <c r="G78" s="820" t="s">
        <v>402</v>
      </c>
      <c r="H78" s="821"/>
      <c r="I78" s="821"/>
      <c r="J78" s="821"/>
      <c r="K78" s="183">
        <v>45751</v>
      </c>
      <c r="L78" s="181" t="s">
        <v>644</v>
      </c>
      <c r="M78" s="181"/>
      <c r="N78" s="833"/>
      <c r="O78" s="833"/>
      <c r="P78" s="833"/>
    </row>
    <row r="79" spans="1:16" s="153" customFormat="1" ht="33" customHeight="1">
      <c r="A79" s="181">
        <f t="shared" si="1"/>
        <v>67</v>
      </c>
      <c r="B79" s="182" t="s">
        <v>168</v>
      </c>
      <c r="C79" s="181" t="s">
        <v>444</v>
      </c>
      <c r="D79" s="181" t="s">
        <v>239</v>
      </c>
      <c r="E79" s="183">
        <v>45729</v>
      </c>
      <c r="F79" s="184">
        <v>11.73</v>
      </c>
      <c r="G79" s="820" t="s">
        <v>402</v>
      </c>
      <c r="H79" s="821"/>
      <c r="I79" s="821"/>
      <c r="J79" s="821"/>
      <c r="K79" s="183">
        <v>45735</v>
      </c>
      <c r="L79" s="181" t="s">
        <v>599</v>
      </c>
      <c r="M79" s="181"/>
      <c r="N79" s="833"/>
      <c r="O79" s="833"/>
      <c r="P79" s="833"/>
    </row>
    <row r="80" spans="1:16" s="153" customFormat="1" ht="33" customHeight="1">
      <c r="A80" s="181">
        <f t="shared" si="1"/>
        <v>68</v>
      </c>
      <c r="B80" s="182" t="s">
        <v>174</v>
      </c>
      <c r="C80" s="181" t="s">
        <v>448</v>
      </c>
      <c r="D80" s="181" t="s">
        <v>239</v>
      </c>
      <c r="E80" s="183">
        <v>45729</v>
      </c>
      <c r="F80" s="184">
        <v>11.42</v>
      </c>
      <c r="G80" s="820" t="s">
        <v>402</v>
      </c>
      <c r="H80" s="821"/>
      <c r="I80" s="821"/>
      <c r="J80" s="821"/>
      <c r="K80" s="183">
        <v>45740</v>
      </c>
      <c r="L80" s="181" t="s">
        <v>599</v>
      </c>
      <c r="M80" s="181"/>
      <c r="N80" s="833"/>
      <c r="O80" s="833"/>
      <c r="P80" s="833"/>
    </row>
    <row r="81" spans="1:16" s="153" customFormat="1" ht="33" customHeight="1">
      <c r="A81" s="181">
        <f t="shared" si="1"/>
        <v>69</v>
      </c>
      <c r="B81" s="182" t="s">
        <v>562</v>
      </c>
      <c r="C81" s="181" t="s">
        <v>643</v>
      </c>
      <c r="D81" s="181" t="s">
        <v>239</v>
      </c>
      <c r="E81" s="183">
        <v>45736</v>
      </c>
      <c r="F81" s="184">
        <v>28.1</v>
      </c>
      <c r="G81" s="820" t="s">
        <v>402</v>
      </c>
      <c r="H81" s="821"/>
      <c r="I81" s="821"/>
      <c r="J81" s="821"/>
      <c r="K81" s="183">
        <v>45751</v>
      </c>
      <c r="L81" s="181" t="s">
        <v>599</v>
      </c>
      <c r="M81" s="183"/>
      <c r="N81" s="833"/>
      <c r="O81" s="833"/>
      <c r="P81" s="833"/>
    </row>
    <row r="82" spans="1:16" s="153" customFormat="1" ht="33" customHeight="1">
      <c r="A82" s="181">
        <f t="shared" si="1"/>
        <v>70</v>
      </c>
      <c r="B82" s="182" t="s">
        <v>173</v>
      </c>
      <c r="C82" s="181" t="s">
        <v>448</v>
      </c>
      <c r="D82" s="181" t="s">
        <v>651</v>
      </c>
      <c r="E82" s="183">
        <v>45744</v>
      </c>
      <c r="F82" s="184">
        <v>11.42</v>
      </c>
      <c r="G82" s="820" t="s">
        <v>402</v>
      </c>
      <c r="H82" s="821"/>
      <c r="I82" s="821"/>
      <c r="J82" s="821"/>
      <c r="K82" s="183">
        <v>45758</v>
      </c>
      <c r="L82" s="181" t="s">
        <v>599</v>
      </c>
      <c r="M82" s="181"/>
      <c r="N82" s="833"/>
      <c r="O82" s="833"/>
      <c r="P82" s="833"/>
    </row>
    <row r="83" spans="1:16" s="153" customFormat="1" ht="33" customHeight="1">
      <c r="A83" s="181">
        <f t="shared" si="1"/>
        <v>71</v>
      </c>
      <c r="B83" s="182" t="s">
        <v>165</v>
      </c>
      <c r="C83" s="181" t="s">
        <v>647</v>
      </c>
      <c r="D83" s="181" t="s">
        <v>239</v>
      </c>
      <c r="E83" s="183">
        <v>45749</v>
      </c>
      <c r="F83" s="184">
        <v>11.42</v>
      </c>
      <c r="G83" s="820" t="s">
        <v>402</v>
      </c>
      <c r="H83" s="821"/>
      <c r="I83" s="821"/>
      <c r="J83" s="821"/>
      <c r="K83" s="183">
        <v>45782</v>
      </c>
      <c r="L83" s="181" t="s">
        <v>644</v>
      </c>
      <c r="M83" s="181"/>
      <c r="N83" s="833"/>
      <c r="O83" s="833"/>
      <c r="P83" s="833"/>
    </row>
    <row r="84" spans="1:16" s="153" customFormat="1" ht="33" customHeight="1">
      <c r="A84" s="181">
        <f t="shared" si="1"/>
        <v>72</v>
      </c>
      <c r="B84" s="182" t="s">
        <v>645</v>
      </c>
      <c r="C84" s="181" t="s">
        <v>476</v>
      </c>
      <c r="D84" s="181" t="s">
        <v>239</v>
      </c>
      <c r="E84" s="183">
        <v>45755</v>
      </c>
      <c r="F84" s="184">
        <v>32.22</v>
      </c>
      <c r="G84" s="820" t="s">
        <v>402</v>
      </c>
      <c r="H84" s="821"/>
      <c r="I84" s="821"/>
      <c r="J84" s="821"/>
      <c r="K84" s="183">
        <v>45778</v>
      </c>
      <c r="L84" s="181" t="s">
        <v>599</v>
      </c>
      <c r="M84" s="181"/>
      <c r="N84" s="834"/>
      <c r="O84" s="834"/>
      <c r="P84" s="834"/>
    </row>
    <row r="85" spans="1:16" s="153" customFormat="1" ht="33" customHeight="1">
      <c r="A85" s="181">
        <f t="shared" si="1"/>
        <v>73</v>
      </c>
      <c r="B85" s="182" t="s">
        <v>559</v>
      </c>
      <c r="C85" s="181" t="s">
        <v>401</v>
      </c>
      <c r="D85" s="181" t="s">
        <v>239</v>
      </c>
      <c r="E85" s="183">
        <v>45758</v>
      </c>
      <c r="F85" s="184">
        <v>11.42</v>
      </c>
      <c r="G85" s="820" t="s">
        <v>402</v>
      </c>
      <c r="H85" s="821"/>
      <c r="I85" s="821"/>
      <c r="J85" s="821"/>
      <c r="K85" s="183">
        <v>45765</v>
      </c>
      <c r="L85" s="181" t="s">
        <v>599</v>
      </c>
      <c r="M85" s="181"/>
      <c r="N85" s="833"/>
      <c r="O85" s="833"/>
      <c r="P85" s="833"/>
    </row>
    <row r="86" spans="1:16" s="153" customFormat="1" ht="33" customHeight="1">
      <c r="A86" s="181">
        <f t="shared" si="1"/>
        <v>74</v>
      </c>
      <c r="B86" s="182" t="s">
        <v>154</v>
      </c>
      <c r="C86" s="181" t="s">
        <v>648</v>
      </c>
      <c r="D86" s="181" t="s">
        <v>239</v>
      </c>
      <c r="E86" s="183">
        <v>45760</v>
      </c>
      <c r="F86" s="184">
        <v>11.73</v>
      </c>
      <c r="G86" s="820" t="s">
        <v>402</v>
      </c>
      <c r="H86" s="821"/>
      <c r="I86" s="821"/>
      <c r="J86" s="821"/>
      <c r="K86" s="183">
        <v>45800</v>
      </c>
      <c r="L86" s="181" t="s">
        <v>644</v>
      </c>
      <c r="M86" s="448"/>
      <c r="N86" s="833"/>
      <c r="O86" s="833"/>
      <c r="P86" s="833"/>
    </row>
    <row r="87" spans="1:16" s="153" customFormat="1" ht="33" customHeight="1">
      <c r="A87" s="181">
        <f t="shared" si="1"/>
        <v>75</v>
      </c>
      <c r="B87" s="182" t="s">
        <v>164</v>
      </c>
      <c r="C87" s="181" t="s">
        <v>647</v>
      </c>
      <c r="D87" s="181" t="s">
        <v>239</v>
      </c>
      <c r="E87" s="183">
        <v>45762</v>
      </c>
      <c r="F87" s="184">
        <v>11.42</v>
      </c>
      <c r="G87" s="820" t="s">
        <v>402</v>
      </c>
      <c r="H87" s="821"/>
      <c r="I87" s="821"/>
      <c r="J87" s="821"/>
      <c r="K87" s="183">
        <v>45792</v>
      </c>
      <c r="L87" s="181" t="s">
        <v>644</v>
      </c>
      <c r="M87" s="181"/>
      <c r="N87" s="833"/>
      <c r="O87" s="833"/>
      <c r="P87" s="833"/>
    </row>
    <row r="88" spans="1:16" s="153" customFormat="1" ht="33" customHeight="1">
      <c r="A88" s="181">
        <f t="shared" si="1"/>
        <v>76</v>
      </c>
      <c r="B88" s="182" t="s">
        <v>151</v>
      </c>
      <c r="C88" s="181" t="s">
        <v>647</v>
      </c>
      <c r="D88" s="181" t="s">
        <v>239</v>
      </c>
      <c r="E88" s="183">
        <v>45763</v>
      </c>
      <c r="F88" s="184">
        <v>11.42</v>
      </c>
      <c r="G88" s="820" t="s">
        <v>402</v>
      </c>
      <c r="H88" s="821"/>
      <c r="I88" s="821"/>
      <c r="J88" s="821"/>
      <c r="K88" s="183">
        <v>45796</v>
      </c>
      <c r="L88" s="181" t="s">
        <v>644</v>
      </c>
      <c r="M88" s="181"/>
      <c r="N88" s="835"/>
      <c r="O88" s="836"/>
      <c r="P88" s="836"/>
    </row>
    <row r="89" spans="1:16" s="153" customFormat="1" ht="33" customHeight="1">
      <c r="A89" s="181">
        <f t="shared" si="1"/>
        <v>77</v>
      </c>
      <c r="B89" s="182" t="s">
        <v>557</v>
      </c>
      <c r="C89" s="181" t="s">
        <v>643</v>
      </c>
      <c r="D89" s="181" t="s">
        <v>239</v>
      </c>
      <c r="E89" s="183">
        <v>45764</v>
      </c>
      <c r="F89" s="184">
        <v>11.42</v>
      </c>
      <c r="G89" s="820" t="s">
        <v>402</v>
      </c>
      <c r="H89" s="821"/>
      <c r="I89" s="821"/>
      <c r="J89" s="821"/>
      <c r="K89" s="183">
        <v>45772</v>
      </c>
      <c r="L89" s="181" t="s">
        <v>599</v>
      </c>
      <c r="M89" s="181"/>
      <c r="N89" s="835"/>
      <c r="O89" s="836"/>
      <c r="P89" s="836"/>
    </row>
    <row r="90" spans="1:16" s="153" customFormat="1" ht="33" customHeight="1">
      <c r="A90" s="181">
        <f t="shared" si="1"/>
        <v>78</v>
      </c>
      <c r="B90" s="182" t="s">
        <v>555</v>
      </c>
      <c r="C90" s="181" t="s">
        <v>652</v>
      </c>
      <c r="D90" s="181" t="s">
        <v>239</v>
      </c>
      <c r="E90" s="183">
        <v>45779</v>
      </c>
      <c r="F90" s="184">
        <v>72.2</v>
      </c>
      <c r="G90" s="820" t="s">
        <v>402</v>
      </c>
      <c r="H90" s="821"/>
      <c r="I90" s="821"/>
      <c r="J90" s="821"/>
      <c r="K90" s="183">
        <v>45791</v>
      </c>
      <c r="L90" s="181" t="s">
        <v>599</v>
      </c>
      <c r="M90" s="181"/>
      <c r="N90" s="835"/>
      <c r="O90" s="836"/>
      <c r="P90" s="836"/>
    </row>
    <row r="91" spans="1:16" s="153" customFormat="1" ht="33" customHeight="1">
      <c r="A91" s="181">
        <f t="shared" si="1"/>
        <v>79</v>
      </c>
      <c r="B91" s="182" t="s">
        <v>654</v>
      </c>
      <c r="C91" s="181" t="s">
        <v>643</v>
      </c>
      <c r="D91" s="181" t="s">
        <v>239</v>
      </c>
      <c r="E91" s="183">
        <v>45787</v>
      </c>
      <c r="F91" s="184">
        <v>28.1</v>
      </c>
      <c r="G91" s="820" t="s">
        <v>402</v>
      </c>
      <c r="H91" s="821"/>
      <c r="I91" s="821"/>
      <c r="J91" s="821"/>
      <c r="K91" s="183">
        <v>45803</v>
      </c>
      <c r="L91" s="181" t="s">
        <v>646</v>
      </c>
      <c r="M91" s="181"/>
      <c r="N91" s="835"/>
      <c r="O91" s="836"/>
      <c r="P91" s="836"/>
    </row>
    <row r="92" spans="1:16" s="153" customFormat="1" ht="33" customHeight="1">
      <c r="A92" s="181">
        <f t="shared" si="1"/>
        <v>80</v>
      </c>
      <c r="B92" s="182" t="s">
        <v>8</v>
      </c>
      <c r="C92" s="181" t="s">
        <v>452</v>
      </c>
      <c r="D92" s="181" t="s">
        <v>239</v>
      </c>
      <c r="E92" s="183">
        <v>45788</v>
      </c>
      <c r="F92" s="184">
        <v>11.73</v>
      </c>
      <c r="G92" s="820" t="s">
        <v>402</v>
      </c>
      <c r="H92" s="821"/>
      <c r="I92" s="821"/>
      <c r="J92" s="821"/>
      <c r="K92" s="183">
        <v>45800</v>
      </c>
      <c r="L92" s="181" t="s">
        <v>599</v>
      </c>
      <c r="M92" s="181"/>
      <c r="N92" s="835"/>
      <c r="O92" s="836"/>
      <c r="P92" s="836"/>
    </row>
    <row r="93" spans="1:16" s="153" customFormat="1" ht="33" customHeight="1">
      <c r="A93" s="181">
        <f t="shared" si="1"/>
        <v>81</v>
      </c>
      <c r="B93" s="182" t="s">
        <v>130</v>
      </c>
      <c r="C93" s="181" t="s">
        <v>656</v>
      </c>
      <c r="D93" s="181" t="s">
        <v>239</v>
      </c>
      <c r="E93" s="183">
        <v>45788</v>
      </c>
      <c r="F93" s="184">
        <v>11.73</v>
      </c>
      <c r="G93" s="820" t="s">
        <v>402</v>
      </c>
      <c r="H93" s="821"/>
      <c r="I93" s="821"/>
      <c r="J93" s="821"/>
      <c r="K93" s="183">
        <v>45811</v>
      </c>
      <c r="L93" s="181" t="s">
        <v>646</v>
      </c>
      <c r="M93" s="181"/>
      <c r="N93" s="833"/>
      <c r="O93" s="833"/>
      <c r="P93" s="833"/>
    </row>
    <row r="94" spans="1:16" s="153" customFormat="1" ht="33" customHeight="1">
      <c r="A94" s="181">
        <f t="shared" si="1"/>
        <v>82</v>
      </c>
      <c r="B94" s="182" t="s">
        <v>40</v>
      </c>
      <c r="C94" s="181" t="s">
        <v>444</v>
      </c>
      <c r="D94" s="181" t="s">
        <v>239</v>
      </c>
      <c r="E94" s="183">
        <v>45791</v>
      </c>
      <c r="F94" s="184">
        <v>11.73</v>
      </c>
      <c r="G94" s="820" t="s">
        <v>402</v>
      </c>
      <c r="H94" s="821"/>
      <c r="I94" s="821"/>
      <c r="J94" s="821"/>
      <c r="K94" s="183">
        <v>45801</v>
      </c>
      <c r="L94" s="181" t="s">
        <v>599</v>
      </c>
      <c r="M94" s="181"/>
      <c r="N94" s="835"/>
      <c r="O94" s="836"/>
      <c r="P94" s="836"/>
    </row>
    <row r="95" spans="1:16" s="153" customFormat="1" ht="33" customHeight="1">
      <c r="A95" s="181">
        <f t="shared" si="1"/>
        <v>83</v>
      </c>
      <c r="B95" s="182" t="s">
        <v>131</v>
      </c>
      <c r="C95" s="181" t="s">
        <v>656</v>
      </c>
      <c r="D95" s="181" t="s">
        <v>239</v>
      </c>
      <c r="E95" s="183">
        <v>45803</v>
      </c>
      <c r="F95" s="184">
        <v>11.73</v>
      </c>
      <c r="G95" s="820" t="s">
        <v>402</v>
      </c>
      <c r="H95" s="821"/>
      <c r="I95" s="821"/>
      <c r="J95" s="821"/>
      <c r="K95" s="183">
        <v>45817</v>
      </c>
      <c r="L95" s="181" t="s">
        <v>646</v>
      </c>
      <c r="M95" s="181"/>
      <c r="N95" s="833"/>
      <c r="O95" s="833"/>
      <c r="P95" s="833"/>
    </row>
    <row r="96" spans="1:16" s="153" customFormat="1" ht="33" customHeight="1">
      <c r="A96" s="181">
        <f t="shared" si="1"/>
        <v>84</v>
      </c>
      <c r="B96" s="182" t="s">
        <v>149</v>
      </c>
      <c r="C96" s="181" t="s">
        <v>656</v>
      </c>
      <c r="D96" s="181" t="s">
        <v>239</v>
      </c>
      <c r="E96" s="183">
        <v>45802</v>
      </c>
      <c r="F96" s="184">
        <v>11.73</v>
      </c>
      <c r="G96" s="820" t="s">
        <v>402</v>
      </c>
      <c r="H96" s="821"/>
      <c r="I96" s="821"/>
      <c r="J96" s="821"/>
      <c r="K96" s="183">
        <v>45809</v>
      </c>
      <c r="L96" s="181" t="s">
        <v>644</v>
      </c>
      <c r="M96" s="181"/>
      <c r="N96" s="833"/>
      <c r="O96" s="833"/>
      <c r="P96" s="833"/>
    </row>
    <row r="97" spans="1:16" s="153" customFormat="1" ht="33" customHeight="1">
      <c r="A97" s="181">
        <f t="shared" si="1"/>
        <v>85</v>
      </c>
      <c r="B97" s="182" t="s">
        <v>134</v>
      </c>
      <c r="C97" s="181" t="s">
        <v>647</v>
      </c>
      <c r="D97" s="181" t="s">
        <v>239</v>
      </c>
      <c r="E97" s="183">
        <v>45810</v>
      </c>
      <c r="F97" s="184">
        <v>11.42</v>
      </c>
      <c r="G97" s="820" t="s">
        <v>402</v>
      </c>
      <c r="H97" s="821"/>
      <c r="I97" s="821"/>
      <c r="J97" s="821"/>
      <c r="K97" s="183">
        <v>45819</v>
      </c>
      <c r="L97" s="181" t="s">
        <v>644</v>
      </c>
      <c r="M97" s="181"/>
      <c r="N97" s="443"/>
      <c r="O97" s="443"/>
      <c r="P97" s="443"/>
    </row>
    <row r="98" spans="1:16" s="153" customFormat="1" ht="33" customHeight="1">
      <c r="A98" s="181">
        <f t="shared" si="1"/>
        <v>86</v>
      </c>
      <c r="B98" s="182" t="s">
        <v>658</v>
      </c>
      <c r="C98" s="181" t="s">
        <v>116</v>
      </c>
      <c r="D98" s="181" t="s">
        <v>239</v>
      </c>
      <c r="E98" s="183">
        <v>45810</v>
      </c>
      <c r="F98" s="184">
        <v>49.3</v>
      </c>
      <c r="G98" s="820" t="s">
        <v>402</v>
      </c>
      <c r="H98" s="821"/>
      <c r="I98" s="821"/>
      <c r="J98" s="821"/>
      <c r="K98" s="183">
        <v>45824</v>
      </c>
      <c r="L98" s="181" t="s">
        <v>599</v>
      </c>
      <c r="M98" s="181"/>
      <c r="N98" s="443"/>
      <c r="O98" s="443"/>
      <c r="P98" s="443"/>
    </row>
    <row r="99" spans="1:16" s="153" customFormat="1" ht="33" customHeight="1">
      <c r="A99" s="181">
        <f t="shared" si="1"/>
        <v>87</v>
      </c>
      <c r="B99" s="182" t="s">
        <v>138</v>
      </c>
      <c r="C99" s="181" t="s">
        <v>453</v>
      </c>
      <c r="D99" s="181" t="s">
        <v>239</v>
      </c>
      <c r="E99" s="183">
        <v>45810</v>
      </c>
      <c r="F99" s="184">
        <v>11.73</v>
      </c>
      <c r="G99" s="820" t="s">
        <v>402</v>
      </c>
      <c r="H99" s="821"/>
      <c r="I99" s="821"/>
      <c r="J99" s="821"/>
      <c r="K99" s="183">
        <v>45828</v>
      </c>
      <c r="L99" s="181" t="s">
        <v>644</v>
      </c>
      <c r="M99" s="181"/>
      <c r="N99" s="443"/>
      <c r="O99" s="443"/>
      <c r="P99" s="443"/>
    </row>
    <row r="100" spans="1:16" s="153" customFormat="1" ht="33" customHeight="1">
      <c r="A100" s="181">
        <f t="shared" si="1"/>
        <v>88</v>
      </c>
      <c r="B100" s="182" t="s">
        <v>139</v>
      </c>
      <c r="C100" s="181" t="s">
        <v>453</v>
      </c>
      <c r="D100" s="181" t="s">
        <v>239</v>
      </c>
      <c r="E100" s="183">
        <v>45811</v>
      </c>
      <c r="F100" s="184">
        <v>11.73</v>
      </c>
      <c r="G100" s="820" t="s">
        <v>402</v>
      </c>
      <c r="H100" s="821"/>
      <c r="I100" s="821"/>
      <c r="J100" s="821"/>
      <c r="K100" s="183">
        <v>45818</v>
      </c>
      <c r="L100" s="181" t="s">
        <v>659</v>
      </c>
      <c r="M100" s="181"/>
      <c r="N100" s="443"/>
      <c r="O100" s="443"/>
      <c r="P100" s="443"/>
    </row>
    <row r="101" spans="1:16" s="153" customFormat="1" ht="33" customHeight="1">
      <c r="A101" s="181">
        <f t="shared" si="1"/>
        <v>89</v>
      </c>
      <c r="B101" s="182" t="s">
        <v>118</v>
      </c>
      <c r="C101" s="181" t="s">
        <v>648</v>
      </c>
      <c r="D101" s="181" t="s">
        <v>239</v>
      </c>
      <c r="E101" s="183">
        <v>45814</v>
      </c>
      <c r="F101" s="184">
        <v>11.73</v>
      </c>
      <c r="G101" s="820" t="s">
        <v>402</v>
      </c>
      <c r="H101" s="821"/>
      <c r="I101" s="821"/>
      <c r="J101" s="821"/>
      <c r="K101" s="183">
        <v>45829</v>
      </c>
      <c r="L101" s="181" t="s">
        <v>661</v>
      </c>
      <c r="M101" s="181"/>
      <c r="N101" s="443"/>
      <c r="O101" s="443"/>
      <c r="P101" s="443"/>
    </row>
    <row r="102" spans="1:16" s="153" customFormat="1" ht="33" customHeight="1">
      <c r="A102" s="181">
        <f t="shared" si="1"/>
        <v>90</v>
      </c>
      <c r="B102" s="182" t="s">
        <v>19</v>
      </c>
      <c r="C102" s="181" t="s">
        <v>660</v>
      </c>
      <c r="D102" s="181" t="s">
        <v>239</v>
      </c>
      <c r="E102" s="183">
        <v>45817</v>
      </c>
      <c r="F102" s="184">
        <v>34</v>
      </c>
      <c r="G102" s="820" t="s">
        <v>402</v>
      </c>
      <c r="H102" s="821"/>
      <c r="I102" s="821"/>
      <c r="J102" s="821"/>
      <c r="K102" s="183">
        <v>45828</v>
      </c>
      <c r="L102" s="181" t="s">
        <v>646</v>
      </c>
      <c r="M102" s="181"/>
      <c r="N102" s="443"/>
      <c r="O102" s="443"/>
      <c r="P102" s="443"/>
    </row>
    <row r="103" spans="1:16" s="153" customFormat="1" ht="33" customHeight="1">
      <c r="A103" s="181">
        <f t="shared" si="1"/>
        <v>91</v>
      </c>
      <c r="B103" s="182" t="s">
        <v>120</v>
      </c>
      <c r="C103" s="181" t="s">
        <v>656</v>
      </c>
      <c r="D103" s="181" t="s">
        <v>239</v>
      </c>
      <c r="E103" s="183">
        <v>45818</v>
      </c>
      <c r="F103" s="184">
        <v>11.73</v>
      </c>
      <c r="G103" s="820" t="s">
        <v>402</v>
      </c>
      <c r="H103" s="821"/>
      <c r="I103" s="821"/>
      <c r="J103" s="821"/>
      <c r="K103" s="183">
        <v>45840</v>
      </c>
      <c r="L103" s="181" t="s">
        <v>675</v>
      </c>
      <c r="M103" s="181"/>
      <c r="N103" s="443"/>
      <c r="O103" s="443"/>
      <c r="P103" s="443"/>
    </row>
    <row r="104" spans="1:16" s="153" customFormat="1" ht="33" customHeight="1">
      <c r="A104" s="181">
        <f t="shared" si="1"/>
        <v>92</v>
      </c>
      <c r="B104" s="182" t="s">
        <v>119</v>
      </c>
      <c r="C104" s="181" t="s">
        <v>648</v>
      </c>
      <c r="D104" s="181" t="s">
        <v>239</v>
      </c>
      <c r="E104" s="183">
        <v>45820</v>
      </c>
      <c r="F104" s="184">
        <v>11.73</v>
      </c>
      <c r="G104" s="820" t="s">
        <v>402</v>
      </c>
      <c r="H104" s="821"/>
      <c r="I104" s="821"/>
      <c r="J104" s="821"/>
      <c r="K104" s="183">
        <v>45838</v>
      </c>
      <c r="L104" s="181" t="s">
        <v>599</v>
      </c>
      <c r="M104" s="181"/>
      <c r="N104" s="443"/>
      <c r="O104" s="443"/>
      <c r="P104" s="443"/>
    </row>
    <row r="105" spans="1:16" s="153" customFormat="1" ht="33" customHeight="1">
      <c r="A105" s="181">
        <f t="shared" si="1"/>
        <v>93</v>
      </c>
      <c r="B105" s="182" t="s">
        <v>150</v>
      </c>
      <c r="C105" s="181" t="s">
        <v>647</v>
      </c>
      <c r="D105" s="181" t="s">
        <v>239</v>
      </c>
      <c r="E105" s="183">
        <v>45820</v>
      </c>
      <c r="F105" s="184">
        <v>11.42</v>
      </c>
      <c r="G105" s="820" t="s">
        <v>402</v>
      </c>
      <c r="H105" s="821"/>
      <c r="I105" s="821"/>
      <c r="J105" s="821"/>
      <c r="K105" s="183">
        <v>45826</v>
      </c>
      <c r="L105" s="181" t="s">
        <v>659</v>
      </c>
      <c r="M105" s="181"/>
      <c r="N105" s="443"/>
      <c r="O105" s="443"/>
      <c r="P105" s="443"/>
    </row>
    <row r="106" spans="1:16" s="153" customFormat="1" ht="33" customHeight="1">
      <c r="A106" s="181">
        <f t="shared" si="1"/>
        <v>94</v>
      </c>
      <c r="B106" s="182" t="s">
        <v>607</v>
      </c>
      <c r="C106" s="181" t="s">
        <v>652</v>
      </c>
      <c r="D106" s="181" t="s">
        <v>239</v>
      </c>
      <c r="E106" s="183">
        <v>45824</v>
      </c>
      <c r="F106" s="184">
        <v>99.27</v>
      </c>
      <c r="G106" s="820" t="s">
        <v>402</v>
      </c>
      <c r="H106" s="821"/>
      <c r="I106" s="821"/>
      <c r="J106" s="821"/>
      <c r="K106" s="183">
        <v>45833</v>
      </c>
      <c r="L106" s="181" t="s">
        <v>659</v>
      </c>
      <c r="M106" s="181"/>
      <c r="N106" s="443"/>
      <c r="O106" s="443"/>
      <c r="P106" s="443"/>
    </row>
    <row r="107" spans="1:16" s="153" customFormat="1" ht="33" customHeight="1">
      <c r="A107" s="181">
        <f t="shared" si="1"/>
        <v>95</v>
      </c>
      <c r="B107" s="182" t="s">
        <v>663</v>
      </c>
      <c r="C107" s="181" t="s">
        <v>116</v>
      </c>
      <c r="D107" s="181" t="s">
        <v>239</v>
      </c>
      <c r="E107" s="183">
        <v>45826</v>
      </c>
      <c r="F107" s="184">
        <v>49.3</v>
      </c>
      <c r="G107" s="820" t="s">
        <v>402</v>
      </c>
      <c r="H107" s="821"/>
      <c r="I107" s="821"/>
      <c r="J107" s="821"/>
      <c r="K107" s="183">
        <v>45839</v>
      </c>
      <c r="L107" s="181" t="s">
        <v>646</v>
      </c>
      <c r="M107" s="181"/>
      <c r="N107" s="443"/>
      <c r="O107" s="443"/>
      <c r="P107" s="443"/>
    </row>
    <row r="108" spans="1:16" s="153" customFormat="1" ht="33" customHeight="1">
      <c r="A108" s="181">
        <f t="shared" si="1"/>
        <v>96</v>
      </c>
      <c r="B108" s="182" t="s">
        <v>153</v>
      </c>
      <c r="C108" s="181" t="s">
        <v>647</v>
      </c>
      <c r="D108" s="181" t="s">
        <v>239</v>
      </c>
      <c r="E108" s="183">
        <v>45826</v>
      </c>
      <c r="F108" s="184">
        <v>11.42</v>
      </c>
      <c r="G108" s="820" t="s">
        <v>402</v>
      </c>
      <c r="H108" s="821"/>
      <c r="I108" s="821"/>
      <c r="J108" s="821"/>
      <c r="K108" s="183">
        <v>45832</v>
      </c>
      <c r="L108" s="181" t="s">
        <v>659</v>
      </c>
      <c r="M108" s="181"/>
      <c r="N108" s="443"/>
      <c r="O108" s="443"/>
      <c r="P108" s="443"/>
    </row>
    <row r="109" spans="1:16" s="153" customFormat="1" ht="33" customHeight="1">
      <c r="A109" s="181">
        <f t="shared" si="1"/>
        <v>97</v>
      </c>
      <c r="B109" s="182" t="s">
        <v>187</v>
      </c>
      <c r="C109" s="181" t="s">
        <v>664</v>
      </c>
      <c r="D109" s="181" t="s">
        <v>239</v>
      </c>
      <c r="E109" s="183">
        <v>45831</v>
      </c>
      <c r="F109" s="184">
        <v>11.42</v>
      </c>
      <c r="G109" s="820" t="s">
        <v>402</v>
      </c>
      <c r="H109" s="821"/>
      <c r="I109" s="821"/>
      <c r="J109" s="821"/>
      <c r="K109" s="183">
        <v>45835</v>
      </c>
      <c r="L109" s="181" t="s">
        <v>661</v>
      </c>
      <c r="M109" s="181"/>
      <c r="N109" s="443"/>
      <c r="O109" s="443"/>
      <c r="P109" s="443"/>
    </row>
    <row r="110" spans="1:16" s="153" customFormat="1" ht="33" customHeight="1">
      <c r="A110" s="181">
        <f t="shared" si="1"/>
        <v>98</v>
      </c>
      <c r="B110" s="182" t="s">
        <v>158</v>
      </c>
      <c r="C110" s="181" t="s">
        <v>647</v>
      </c>
      <c r="D110" s="181" t="s">
        <v>239</v>
      </c>
      <c r="E110" s="183">
        <v>45832</v>
      </c>
      <c r="F110" s="184">
        <v>11.42</v>
      </c>
      <c r="G110" s="820" t="s">
        <v>402</v>
      </c>
      <c r="H110" s="821"/>
      <c r="I110" s="821"/>
      <c r="J110" s="821"/>
      <c r="K110" s="183">
        <v>45847</v>
      </c>
      <c r="L110" s="181" t="s">
        <v>676</v>
      </c>
      <c r="M110" s="181"/>
      <c r="N110" s="443"/>
      <c r="O110" s="443"/>
      <c r="P110" s="443"/>
    </row>
    <row r="111" spans="1:16" s="153" customFormat="1" ht="33" customHeight="1">
      <c r="A111" s="181">
        <f t="shared" si="1"/>
        <v>99</v>
      </c>
      <c r="B111" s="182" t="s">
        <v>155</v>
      </c>
      <c r="C111" s="181" t="s">
        <v>647</v>
      </c>
      <c r="D111" s="181" t="s">
        <v>239</v>
      </c>
      <c r="E111" s="183">
        <v>45832</v>
      </c>
      <c r="F111" s="184">
        <v>11.42</v>
      </c>
      <c r="G111" s="820" t="s">
        <v>402</v>
      </c>
      <c r="H111" s="821"/>
      <c r="I111" s="821"/>
      <c r="J111" s="821"/>
      <c r="K111" s="183">
        <v>45841</v>
      </c>
      <c r="L111" s="181" t="s">
        <v>667</v>
      </c>
      <c r="M111" s="181"/>
      <c r="N111" s="443"/>
      <c r="O111" s="443"/>
      <c r="P111" s="443"/>
    </row>
    <row r="112" spans="1:16" s="153" customFormat="1" ht="33" customHeight="1">
      <c r="A112" s="181">
        <f t="shared" si="1"/>
        <v>100</v>
      </c>
      <c r="B112" s="182" t="s">
        <v>6</v>
      </c>
      <c r="C112" s="181" t="s">
        <v>448</v>
      </c>
      <c r="D112" s="181" t="s">
        <v>239</v>
      </c>
      <c r="E112" s="183">
        <v>45833</v>
      </c>
      <c r="F112" s="184">
        <v>11.42</v>
      </c>
      <c r="G112" s="820" t="s">
        <v>402</v>
      </c>
      <c r="H112" s="821"/>
      <c r="I112" s="821"/>
      <c r="J112" s="821"/>
      <c r="K112" s="183">
        <v>45838</v>
      </c>
      <c r="L112" s="181" t="s">
        <v>661</v>
      </c>
      <c r="M112" s="181"/>
      <c r="N112" s="443"/>
      <c r="O112" s="443"/>
      <c r="P112" s="443"/>
    </row>
    <row r="113" spans="1:16" s="153" customFormat="1" ht="33" customHeight="1">
      <c r="A113" s="181">
        <f t="shared" si="1"/>
        <v>101</v>
      </c>
      <c r="B113" s="182" t="s">
        <v>665</v>
      </c>
      <c r="C113" s="181" t="s">
        <v>666</v>
      </c>
      <c r="D113" s="181" t="s">
        <v>239</v>
      </c>
      <c r="E113" s="183">
        <v>45833</v>
      </c>
      <c r="F113" s="184">
        <v>28.1</v>
      </c>
      <c r="G113" s="820" t="s">
        <v>402</v>
      </c>
      <c r="H113" s="821"/>
      <c r="I113" s="821"/>
      <c r="J113" s="821"/>
      <c r="K113" s="183">
        <v>45858</v>
      </c>
      <c r="L113" s="181" t="s">
        <v>676</v>
      </c>
      <c r="M113" s="181"/>
      <c r="N113" s="443"/>
      <c r="O113" s="443"/>
      <c r="P113" s="443"/>
    </row>
    <row r="114" spans="1:16" s="153" customFormat="1" ht="33" customHeight="1">
      <c r="A114" s="181">
        <f t="shared" si="1"/>
        <v>102</v>
      </c>
      <c r="B114" s="182" t="s">
        <v>162</v>
      </c>
      <c r="C114" s="181" t="s">
        <v>401</v>
      </c>
      <c r="D114" s="181" t="s">
        <v>239</v>
      </c>
      <c r="E114" s="183">
        <v>45835</v>
      </c>
      <c r="F114" s="184">
        <v>11.42</v>
      </c>
      <c r="G114" s="820" t="s">
        <v>402</v>
      </c>
      <c r="H114" s="821"/>
      <c r="I114" s="821"/>
      <c r="J114" s="821"/>
      <c r="K114" s="183">
        <v>45843</v>
      </c>
      <c r="L114" s="181" t="s">
        <v>667</v>
      </c>
      <c r="M114" s="181"/>
      <c r="N114" s="443"/>
      <c r="O114" s="443"/>
      <c r="P114" s="443"/>
    </row>
    <row r="115" spans="1:16" s="153" customFormat="1" ht="33" customHeight="1">
      <c r="A115" s="181">
        <f t="shared" si="1"/>
        <v>103</v>
      </c>
      <c r="B115" s="182" t="s">
        <v>163</v>
      </c>
      <c r="C115" s="181" t="s">
        <v>669</v>
      </c>
      <c r="D115" s="181" t="s">
        <v>239</v>
      </c>
      <c r="E115" s="183">
        <v>45836</v>
      </c>
      <c r="F115" s="184">
        <v>11.42</v>
      </c>
      <c r="G115" s="820" t="s">
        <v>402</v>
      </c>
      <c r="H115" s="821"/>
      <c r="I115" s="821"/>
      <c r="J115" s="821"/>
      <c r="K115" s="183">
        <v>45861</v>
      </c>
      <c r="L115" s="181" t="s">
        <v>675</v>
      </c>
      <c r="M115" s="181"/>
      <c r="N115" s="443"/>
      <c r="O115" s="443"/>
      <c r="P115" s="443"/>
    </row>
    <row r="116" spans="1:16" s="153" customFormat="1" ht="33" customHeight="1">
      <c r="A116" s="181">
        <f t="shared" si="1"/>
        <v>104</v>
      </c>
      <c r="B116" s="182" t="s">
        <v>674</v>
      </c>
      <c r="C116" s="181" t="s">
        <v>594</v>
      </c>
      <c r="D116" s="181" t="s">
        <v>239</v>
      </c>
      <c r="E116" s="183">
        <v>45838</v>
      </c>
      <c r="F116" s="184">
        <v>27.5</v>
      </c>
      <c r="G116" s="820" t="s">
        <v>402</v>
      </c>
      <c r="H116" s="821"/>
      <c r="I116" s="821"/>
      <c r="J116" s="821"/>
      <c r="K116" s="183">
        <v>45846</v>
      </c>
      <c r="L116" s="181" t="s">
        <v>599</v>
      </c>
      <c r="M116" s="181"/>
      <c r="N116" s="443"/>
      <c r="O116" s="443"/>
      <c r="P116" s="443"/>
    </row>
    <row r="117" spans="1:16" s="153" customFormat="1" ht="33" customHeight="1">
      <c r="A117" s="181">
        <f t="shared" si="1"/>
        <v>105</v>
      </c>
      <c r="B117" s="182" t="s">
        <v>186</v>
      </c>
      <c r="C117" s="181" t="s">
        <v>669</v>
      </c>
      <c r="D117" s="181" t="s">
        <v>239</v>
      </c>
      <c r="E117" s="183">
        <v>45837</v>
      </c>
      <c r="F117" s="184">
        <v>11.42</v>
      </c>
      <c r="G117" s="820" t="s">
        <v>402</v>
      </c>
      <c r="H117" s="821"/>
      <c r="I117" s="821"/>
      <c r="J117" s="821"/>
      <c r="K117" s="183">
        <v>45840</v>
      </c>
      <c r="L117" s="181" t="s">
        <v>677</v>
      </c>
      <c r="M117" s="181"/>
      <c r="N117" s="443"/>
      <c r="O117" s="443"/>
      <c r="P117" s="443"/>
    </row>
    <row r="118" spans="1:16" s="153" customFormat="1" ht="33" customHeight="1">
      <c r="A118" s="181">
        <f t="shared" si="1"/>
        <v>106</v>
      </c>
      <c r="B118" s="182" t="s">
        <v>678</v>
      </c>
      <c r="C118" s="181" t="s">
        <v>629</v>
      </c>
      <c r="D118" s="181" t="s">
        <v>239</v>
      </c>
      <c r="E118" s="183">
        <v>45841</v>
      </c>
      <c r="F118" s="184">
        <v>28.1</v>
      </c>
      <c r="G118" s="820" t="s">
        <v>402</v>
      </c>
      <c r="H118" s="821"/>
      <c r="I118" s="821"/>
      <c r="J118" s="821"/>
      <c r="K118" s="183">
        <v>45851</v>
      </c>
      <c r="L118" s="181" t="s">
        <v>646</v>
      </c>
      <c r="M118" s="181"/>
      <c r="N118" s="443"/>
      <c r="O118" s="443"/>
      <c r="P118" s="443"/>
    </row>
    <row r="119" spans="1:16" s="153" customFormat="1" ht="33" customHeight="1">
      <c r="A119" s="181">
        <f t="shared" si="1"/>
        <v>107</v>
      </c>
      <c r="B119" s="182" t="s">
        <v>553</v>
      </c>
      <c r="C119" s="181" t="s">
        <v>652</v>
      </c>
      <c r="D119" s="181" t="s">
        <v>239</v>
      </c>
      <c r="E119" s="183">
        <v>45841</v>
      </c>
      <c r="F119" s="184">
        <v>99.27</v>
      </c>
      <c r="G119" s="820" t="s">
        <v>402</v>
      </c>
      <c r="H119" s="821"/>
      <c r="I119" s="821"/>
      <c r="J119" s="821"/>
      <c r="K119" s="183">
        <v>45854</v>
      </c>
      <c r="L119" s="181" t="s">
        <v>681</v>
      </c>
      <c r="M119" s="181"/>
      <c r="N119" s="443"/>
      <c r="O119" s="443"/>
      <c r="P119" s="443"/>
    </row>
    <row r="120" spans="1:16" s="153" customFormat="1" ht="33" customHeight="1">
      <c r="A120" s="181">
        <f t="shared" si="1"/>
        <v>108</v>
      </c>
      <c r="B120" s="182" t="s">
        <v>680</v>
      </c>
      <c r="C120" s="181" t="s">
        <v>598</v>
      </c>
      <c r="D120" s="181" t="s">
        <v>239</v>
      </c>
      <c r="E120" s="183">
        <v>45842</v>
      </c>
      <c r="F120" s="184">
        <v>28.1</v>
      </c>
      <c r="G120" s="820" t="s">
        <v>402</v>
      </c>
      <c r="H120" s="821"/>
      <c r="I120" s="821"/>
      <c r="J120" s="821"/>
      <c r="K120" s="183">
        <v>45852</v>
      </c>
      <c r="L120" s="181" t="s">
        <v>599</v>
      </c>
      <c r="M120" s="181"/>
      <c r="N120" s="443"/>
      <c r="O120" s="443"/>
      <c r="P120" s="443"/>
    </row>
    <row r="121" spans="1:16" s="153" customFormat="1" ht="33" customHeight="1">
      <c r="A121" s="181">
        <f t="shared" si="1"/>
        <v>109</v>
      </c>
      <c r="B121" s="182" t="s">
        <v>558</v>
      </c>
      <c r="C121" s="181" t="s">
        <v>452</v>
      </c>
      <c r="D121" s="181" t="s">
        <v>239</v>
      </c>
      <c r="E121" s="183">
        <v>45842</v>
      </c>
      <c r="F121" s="184">
        <v>11.73</v>
      </c>
      <c r="G121" s="820" t="s">
        <v>402</v>
      </c>
      <c r="H121" s="821"/>
      <c r="I121" s="821"/>
      <c r="J121" s="821"/>
      <c r="K121" s="183">
        <v>45848</v>
      </c>
      <c r="L121" s="181" t="s">
        <v>667</v>
      </c>
      <c r="M121" s="181"/>
      <c r="N121" s="443"/>
      <c r="O121" s="443"/>
      <c r="P121" s="443"/>
    </row>
    <row r="122" spans="1:16" s="153" customFormat="1" ht="33" customHeight="1">
      <c r="A122" s="181">
        <f t="shared" si="1"/>
        <v>110</v>
      </c>
      <c r="B122" s="182" t="s">
        <v>152</v>
      </c>
      <c r="C122" s="181" t="s">
        <v>448</v>
      </c>
      <c r="D122" s="181" t="s">
        <v>239</v>
      </c>
      <c r="E122" s="183">
        <v>45848</v>
      </c>
      <c r="F122" s="184">
        <v>11.42</v>
      </c>
      <c r="G122" s="820" t="s">
        <v>402</v>
      </c>
      <c r="H122" s="821"/>
      <c r="I122" s="821"/>
      <c r="J122" s="821"/>
      <c r="K122" s="183">
        <v>45854</v>
      </c>
      <c r="L122" s="181" t="s">
        <v>675</v>
      </c>
      <c r="M122" s="181"/>
      <c r="N122" s="443"/>
      <c r="O122" s="443"/>
      <c r="P122" s="443"/>
    </row>
    <row r="123" spans="1:16" s="153" customFormat="1" ht="33" customHeight="1">
      <c r="A123" s="181">
        <f t="shared" si="1"/>
        <v>111</v>
      </c>
      <c r="B123" s="182" t="s">
        <v>183</v>
      </c>
      <c r="C123" s="181" t="s">
        <v>452</v>
      </c>
      <c r="D123" s="181" t="s">
        <v>239</v>
      </c>
      <c r="E123" s="453" t="s">
        <v>682</v>
      </c>
      <c r="F123" s="184">
        <v>11.73</v>
      </c>
      <c r="G123" s="820" t="s">
        <v>402</v>
      </c>
      <c r="H123" s="821"/>
      <c r="I123" s="821"/>
      <c r="J123" s="821"/>
      <c r="K123" s="183">
        <v>45867</v>
      </c>
      <c r="L123" s="181" t="s">
        <v>661</v>
      </c>
      <c r="M123" s="181"/>
      <c r="N123" s="443"/>
      <c r="O123" s="443"/>
      <c r="P123" s="443"/>
    </row>
    <row r="124" spans="1:16" s="153" customFormat="1" ht="33" customHeight="1">
      <c r="A124" s="181">
        <f t="shared" si="1"/>
        <v>112</v>
      </c>
      <c r="B124" s="182" t="s">
        <v>188</v>
      </c>
      <c r="C124" s="181" t="s">
        <v>448</v>
      </c>
      <c r="D124" s="181" t="s">
        <v>239</v>
      </c>
      <c r="E124" s="183">
        <v>45853</v>
      </c>
      <c r="F124" s="184">
        <v>11.42</v>
      </c>
      <c r="G124" s="820" t="s">
        <v>402</v>
      </c>
      <c r="H124" s="821"/>
      <c r="I124" s="821"/>
      <c r="J124" s="821"/>
      <c r="K124" s="183">
        <v>45856</v>
      </c>
      <c r="L124" s="181" t="s">
        <v>599</v>
      </c>
      <c r="M124" s="181"/>
      <c r="N124" s="443"/>
      <c r="O124" s="443"/>
      <c r="P124" s="443"/>
    </row>
    <row r="125" spans="1:16" s="153" customFormat="1" ht="33" customHeight="1">
      <c r="A125" s="181">
        <f t="shared" si="1"/>
        <v>113</v>
      </c>
      <c r="B125" s="182" t="s">
        <v>184</v>
      </c>
      <c r="C125" s="181" t="s">
        <v>448</v>
      </c>
      <c r="D125" s="181" t="s">
        <v>239</v>
      </c>
      <c r="E125" s="183">
        <v>45870</v>
      </c>
      <c r="F125" s="184">
        <v>11.42</v>
      </c>
      <c r="G125" s="820" t="s">
        <v>402</v>
      </c>
      <c r="H125" s="821"/>
      <c r="I125" s="821"/>
      <c r="J125" s="821"/>
      <c r="K125" s="183">
        <v>45872</v>
      </c>
      <c r="L125" s="181" t="s">
        <v>793</v>
      </c>
      <c r="M125" s="181"/>
      <c r="N125" s="443"/>
      <c r="O125" s="443"/>
      <c r="P125" s="443"/>
    </row>
    <row r="126" spans="1:16" s="153" customFormat="1" ht="33" customHeight="1">
      <c r="A126" s="181">
        <f t="shared" si="1"/>
        <v>114</v>
      </c>
      <c r="B126" s="182" t="s">
        <v>185</v>
      </c>
      <c r="C126" s="181" t="s">
        <v>506</v>
      </c>
      <c r="D126" s="181" t="s">
        <v>239</v>
      </c>
      <c r="E126" s="183">
        <v>45871</v>
      </c>
      <c r="F126" s="184">
        <v>11.42</v>
      </c>
      <c r="G126" s="820" t="s">
        <v>402</v>
      </c>
      <c r="H126" s="821"/>
      <c r="I126" s="821"/>
      <c r="J126" s="821"/>
      <c r="K126" s="183">
        <v>45875</v>
      </c>
      <c r="L126" s="181" t="s">
        <v>683</v>
      </c>
      <c r="M126" s="181"/>
      <c r="N126" s="443"/>
      <c r="O126" s="443"/>
      <c r="P126" s="443"/>
    </row>
    <row r="127" spans="1:16" s="153" customFormat="1" ht="33" customHeight="1">
      <c r="A127" s="181">
        <f t="shared" si="1"/>
        <v>115</v>
      </c>
      <c r="B127" s="182" t="s">
        <v>689</v>
      </c>
      <c r="C127" s="181" t="s">
        <v>690</v>
      </c>
      <c r="D127" s="181" t="s">
        <v>239</v>
      </c>
      <c r="E127" s="183">
        <v>45892</v>
      </c>
      <c r="F127" s="184">
        <v>28.1</v>
      </c>
      <c r="G127" s="820" t="s">
        <v>402</v>
      </c>
      <c r="H127" s="821"/>
      <c r="I127" s="821"/>
      <c r="J127" s="821"/>
      <c r="K127" s="183">
        <v>45898</v>
      </c>
      <c r="L127" s="181" t="s">
        <v>683</v>
      </c>
      <c r="M127" s="181"/>
      <c r="N127" s="443"/>
      <c r="O127" s="443"/>
      <c r="P127" s="443"/>
    </row>
    <row r="128" spans="1:16" s="153" customFormat="1" ht="33" customHeight="1">
      <c r="A128" s="181">
        <f t="shared" si="1"/>
        <v>116</v>
      </c>
      <c r="B128" s="182" t="s">
        <v>182</v>
      </c>
      <c r="C128" s="181" t="s">
        <v>448</v>
      </c>
      <c r="D128" s="181" t="s">
        <v>239</v>
      </c>
      <c r="E128" s="183">
        <v>45963</v>
      </c>
      <c r="F128" s="184">
        <v>11.42</v>
      </c>
      <c r="G128" s="820" t="s">
        <v>402</v>
      </c>
      <c r="H128" s="821"/>
      <c r="I128" s="821"/>
      <c r="J128" s="821"/>
      <c r="K128" s="183">
        <v>45971</v>
      </c>
      <c r="L128" s="181" t="s">
        <v>796</v>
      </c>
      <c r="M128" s="181"/>
      <c r="N128" s="443"/>
      <c r="O128" s="443"/>
      <c r="P128" s="443"/>
    </row>
    <row r="129" spans="1:16" s="153" customFormat="1" ht="33" customHeight="1">
      <c r="A129" s="181">
        <f t="shared" si="1"/>
        <v>117</v>
      </c>
      <c r="B129" s="182" t="s">
        <v>181</v>
      </c>
      <c r="C129" s="181" t="s">
        <v>401</v>
      </c>
      <c r="D129" s="181" t="s">
        <v>239</v>
      </c>
      <c r="E129" s="183">
        <v>45965</v>
      </c>
      <c r="F129" s="184">
        <v>11.42</v>
      </c>
      <c r="G129" s="820" t="s">
        <v>402</v>
      </c>
      <c r="H129" s="821"/>
      <c r="I129" s="821"/>
      <c r="J129" s="821"/>
      <c r="K129" s="183">
        <v>45976</v>
      </c>
      <c r="L129" s="181" t="s">
        <v>797</v>
      </c>
      <c r="M129" s="181"/>
      <c r="N129" s="443"/>
      <c r="O129" s="443"/>
      <c r="P129" s="443"/>
    </row>
    <row r="130" spans="1:16" s="153" customFormat="1" ht="33" customHeight="1">
      <c r="A130" s="181">
        <f t="shared" si="1"/>
        <v>118</v>
      </c>
      <c r="B130" s="182" t="s">
        <v>799</v>
      </c>
      <c r="C130" s="181" t="s">
        <v>801</v>
      </c>
      <c r="D130" s="181" t="s">
        <v>239</v>
      </c>
      <c r="E130" s="183">
        <v>45973</v>
      </c>
      <c r="F130" s="184">
        <v>32.22</v>
      </c>
      <c r="G130" s="820" t="s">
        <v>402</v>
      </c>
      <c r="H130" s="821"/>
      <c r="I130" s="821"/>
      <c r="J130" s="821"/>
      <c r="K130" s="183">
        <v>45982</v>
      </c>
      <c r="L130" s="181" t="s">
        <v>796</v>
      </c>
      <c r="M130" s="573"/>
      <c r="N130" s="443"/>
      <c r="O130" s="443"/>
      <c r="P130" s="443"/>
    </row>
    <row r="131" spans="1:16" s="153" customFormat="1" ht="33" customHeight="1">
      <c r="A131" s="181">
        <f t="shared" si="1"/>
        <v>119</v>
      </c>
      <c r="B131" s="182" t="s">
        <v>800</v>
      </c>
      <c r="C131" s="181" t="s">
        <v>629</v>
      </c>
      <c r="D131" s="181" t="s">
        <v>239</v>
      </c>
      <c r="E131" s="183">
        <v>45974</v>
      </c>
      <c r="F131" s="184">
        <v>28.1</v>
      </c>
      <c r="G131" s="820" t="s">
        <v>402</v>
      </c>
      <c r="H131" s="821"/>
      <c r="I131" s="821"/>
      <c r="J131" s="821"/>
      <c r="K131" s="183">
        <v>45986</v>
      </c>
      <c r="L131" s="181" t="s">
        <v>797</v>
      </c>
      <c r="M131" s="574"/>
      <c r="N131" s="443"/>
      <c r="O131" s="443"/>
      <c r="P131" s="443"/>
    </row>
    <row r="132" spans="1:16" s="153" customFormat="1" ht="33" customHeight="1">
      <c r="A132" s="181">
        <f t="shared" si="1"/>
        <v>120</v>
      </c>
      <c r="B132" s="182" t="s">
        <v>616</v>
      </c>
      <c r="C132" s="181" t="s">
        <v>453</v>
      </c>
      <c r="D132" s="181" t="s">
        <v>809</v>
      </c>
      <c r="E132" s="183">
        <v>45985</v>
      </c>
      <c r="F132" s="184">
        <v>12.1</v>
      </c>
      <c r="G132" s="820" t="s">
        <v>402</v>
      </c>
      <c r="H132" s="821"/>
      <c r="I132" s="821"/>
      <c r="J132" s="821"/>
      <c r="K132" s="183">
        <v>45988</v>
      </c>
      <c r="L132" s="181" t="s">
        <v>796</v>
      </c>
      <c r="M132" s="577"/>
      <c r="N132" s="443"/>
      <c r="O132" s="443"/>
      <c r="P132" s="443"/>
    </row>
    <row r="133" spans="1:16" s="153" customFormat="1" ht="33" customHeight="1">
      <c r="A133" s="181">
        <f t="shared" si="1"/>
        <v>121</v>
      </c>
      <c r="B133" s="182" t="s">
        <v>606</v>
      </c>
      <c r="C133" s="181" t="s">
        <v>504</v>
      </c>
      <c r="D133" s="181" t="s">
        <v>239</v>
      </c>
      <c r="E133" s="183">
        <v>45994</v>
      </c>
      <c r="F133" s="184">
        <v>28.1</v>
      </c>
      <c r="G133" s="820" t="s">
        <v>402</v>
      </c>
      <c r="H133" s="821"/>
      <c r="I133" s="821"/>
      <c r="J133" s="821"/>
      <c r="K133" s="183">
        <v>46001</v>
      </c>
      <c r="L133" s="181" t="s">
        <v>796</v>
      </c>
      <c r="M133" s="577"/>
      <c r="N133" s="443"/>
      <c r="O133" s="443"/>
      <c r="P133" s="443"/>
    </row>
    <row r="134" spans="1:16" s="153" customFormat="1" ht="33" customHeight="1">
      <c r="A134" s="181">
        <f t="shared" si="1"/>
        <v>122</v>
      </c>
      <c r="B134" s="182" t="s">
        <v>617</v>
      </c>
      <c r="C134" s="181" t="s">
        <v>669</v>
      </c>
      <c r="D134" s="181" t="s">
        <v>239</v>
      </c>
      <c r="E134" s="183">
        <v>46001</v>
      </c>
      <c r="F134" s="184">
        <v>11.42</v>
      </c>
      <c r="G134" s="820" t="s">
        <v>402</v>
      </c>
      <c r="H134" s="821"/>
      <c r="I134" s="821"/>
      <c r="J134" s="821"/>
      <c r="K134" s="183">
        <v>46004</v>
      </c>
      <c r="L134" s="181" t="s">
        <v>828</v>
      </c>
      <c r="M134" s="577"/>
      <c r="N134" s="443"/>
      <c r="O134" s="443"/>
      <c r="P134" s="443"/>
    </row>
    <row r="135" spans="1:16" s="153" customFormat="1" ht="33" customHeight="1">
      <c r="A135" s="181">
        <f t="shared" si="1"/>
        <v>123</v>
      </c>
      <c r="B135" s="182" t="s">
        <v>556</v>
      </c>
      <c r="C135" s="181" t="s">
        <v>448</v>
      </c>
      <c r="D135" s="181" t="s">
        <v>809</v>
      </c>
      <c r="E135" s="183">
        <v>46003</v>
      </c>
      <c r="F135" s="184">
        <v>11.42</v>
      </c>
      <c r="G135" s="820" t="s">
        <v>402</v>
      </c>
      <c r="H135" s="821"/>
      <c r="I135" s="821"/>
      <c r="J135" s="821"/>
      <c r="K135" s="183">
        <v>46007</v>
      </c>
      <c r="L135" s="181" t="s">
        <v>797</v>
      </c>
      <c r="M135" s="577"/>
      <c r="N135" s="443"/>
      <c r="O135" s="443"/>
      <c r="P135" s="443"/>
    </row>
    <row r="136" spans="1:16" s="153" customFormat="1" ht="33" customHeight="1">
      <c r="A136" s="181">
        <f t="shared" si="1"/>
        <v>124</v>
      </c>
      <c r="B136" s="182" t="s">
        <v>519</v>
      </c>
      <c r="C136" s="181" t="s">
        <v>690</v>
      </c>
      <c r="D136" s="181" t="s">
        <v>239</v>
      </c>
      <c r="E136" s="183">
        <v>46004</v>
      </c>
      <c r="F136" s="184">
        <v>28.1</v>
      </c>
      <c r="G136" s="820" t="s">
        <v>402</v>
      </c>
      <c r="H136" s="821"/>
      <c r="I136" s="821"/>
      <c r="J136" s="821"/>
      <c r="K136" s="183">
        <v>46011</v>
      </c>
      <c r="L136" s="181" t="s">
        <v>828</v>
      </c>
      <c r="M136" s="577"/>
      <c r="N136" s="443"/>
      <c r="O136" s="443"/>
      <c r="P136" s="443"/>
    </row>
    <row r="137" spans="1:16" s="153" customFormat="1" ht="33" customHeight="1">
      <c r="A137" s="181">
        <f t="shared" si="1"/>
        <v>125</v>
      </c>
      <c r="B137" s="182" t="s">
        <v>560</v>
      </c>
      <c r="C137" s="181" t="s">
        <v>401</v>
      </c>
      <c r="D137" s="181" t="s">
        <v>239</v>
      </c>
      <c r="E137" s="183">
        <v>46009</v>
      </c>
      <c r="F137" s="184">
        <v>11.42</v>
      </c>
      <c r="G137" s="820" t="s">
        <v>402</v>
      </c>
      <c r="H137" s="821"/>
      <c r="I137" s="821"/>
      <c r="J137" s="821"/>
      <c r="K137" s="183">
        <v>46014</v>
      </c>
      <c r="L137" s="181" t="s">
        <v>797</v>
      </c>
      <c r="M137" s="577"/>
      <c r="N137" s="443"/>
      <c r="O137" s="443"/>
      <c r="P137" s="443"/>
    </row>
    <row r="138" spans="1:16" s="153" customFormat="1" ht="33" customHeight="1">
      <c r="A138" s="181">
        <f t="shared" si="1"/>
        <v>126</v>
      </c>
      <c r="B138" s="182" t="s">
        <v>608</v>
      </c>
      <c r="C138" s="181" t="s">
        <v>695</v>
      </c>
      <c r="D138" s="181" t="s">
        <v>239</v>
      </c>
      <c r="E138" s="183">
        <v>46025</v>
      </c>
      <c r="F138" s="184">
        <v>99.27</v>
      </c>
      <c r="G138" s="820" t="s">
        <v>402</v>
      </c>
      <c r="H138" s="821"/>
      <c r="I138" s="821"/>
      <c r="J138" s="821"/>
      <c r="K138" s="183">
        <v>46031</v>
      </c>
      <c r="L138" s="181" t="s">
        <v>797</v>
      </c>
      <c r="M138" s="181">
        <v>21</v>
      </c>
      <c r="N138" s="443"/>
      <c r="O138" s="443"/>
      <c r="P138" s="443"/>
    </row>
    <row r="139" spans="1:16" s="153" customFormat="1" ht="21" customHeight="1">
      <c r="A139" s="282"/>
      <c r="B139" s="182"/>
      <c r="C139" s="181"/>
      <c r="D139" s="181"/>
      <c r="E139" s="283"/>
      <c r="F139" s="445"/>
      <c r="G139" s="446"/>
      <c r="H139" s="446"/>
      <c r="I139" s="446"/>
      <c r="J139" s="283"/>
      <c r="K139" s="181"/>
      <c r="L139" s="282"/>
      <c r="M139" s="154"/>
    </row>
    <row r="140" spans="1:16" ht="21" customHeight="1">
      <c r="A140" s="858" t="s">
        <v>103</v>
      </c>
      <c r="B140" s="858"/>
      <c r="C140" s="858"/>
      <c r="D140" s="858"/>
      <c r="E140" s="858"/>
      <c r="F140" s="858"/>
      <c r="G140" s="858"/>
      <c r="H140" s="858"/>
      <c r="I140" s="858"/>
      <c r="J140" s="858"/>
      <c r="K140" s="858"/>
      <c r="L140" s="858"/>
      <c r="M140" s="858"/>
      <c r="N140" s="858"/>
      <c r="O140" s="858"/>
      <c r="P140" s="858"/>
    </row>
    <row r="141" spans="1:16" s="45" customFormat="1" ht="28.95" customHeight="1" thickBot="1">
      <c r="A141" s="162" t="s">
        <v>403</v>
      </c>
      <c r="B141" s="162" t="s">
        <v>82</v>
      </c>
      <c r="C141" s="162" t="s">
        <v>60</v>
      </c>
      <c r="D141" s="162" t="s">
        <v>238</v>
      </c>
      <c r="E141" s="162" t="s">
        <v>707</v>
      </c>
      <c r="F141" s="162" t="s">
        <v>709</v>
      </c>
      <c r="G141" s="843" t="s">
        <v>112</v>
      </c>
      <c r="H141" s="844"/>
      <c r="I141" s="844"/>
      <c r="J141" s="845"/>
      <c r="K141" s="162" t="s">
        <v>708</v>
      </c>
      <c r="L141" s="162" t="s">
        <v>398</v>
      </c>
      <c r="M141" s="162" t="s">
        <v>399</v>
      </c>
      <c r="N141" s="843" t="s">
        <v>400</v>
      </c>
      <c r="O141" s="844"/>
      <c r="P141" s="845"/>
    </row>
    <row r="142" spans="1:16" s="270" customFormat="1" ht="21" customHeight="1">
      <c r="A142" s="282">
        <v>1</v>
      </c>
      <c r="B142" s="182" t="s">
        <v>16</v>
      </c>
      <c r="C142" s="181" t="s">
        <v>401</v>
      </c>
      <c r="D142" s="282" t="s">
        <v>239</v>
      </c>
      <c r="E142" s="283">
        <v>45574</v>
      </c>
      <c r="F142" s="284">
        <v>27.96</v>
      </c>
      <c r="G142" s="817" t="s">
        <v>402</v>
      </c>
      <c r="H142" s="817"/>
      <c r="I142" s="817"/>
      <c r="J142" s="817"/>
      <c r="K142" s="283">
        <v>45592</v>
      </c>
      <c r="L142" s="282" t="s">
        <v>490</v>
      </c>
      <c r="M142" s="282"/>
      <c r="N142" s="831"/>
      <c r="O142" s="831"/>
      <c r="P142" s="831"/>
    </row>
    <row r="143" spans="1:16" s="45" customFormat="1" ht="21" customHeight="1">
      <c r="A143" s="282">
        <v>2</v>
      </c>
      <c r="B143" s="182" t="s">
        <v>128</v>
      </c>
      <c r="C143" s="181" t="s">
        <v>401</v>
      </c>
      <c r="D143" s="282" t="s">
        <v>239</v>
      </c>
      <c r="E143" s="283">
        <v>45593</v>
      </c>
      <c r="F143" s="284">
        <v>27.96</v>
      </c>
      <c r="G143" s="817" t="s">
        <v>402</v>
      </c>
      <c r="H143" s="817"/>
      <c r="I143" s="817"/>
      <c r="J143" s="817"/>
      <c r="K143" s="283">
        <v>45601</v>
      </c>
      <c r="L143" s="282" t="s">
        <v>490</v>
      </c>
      <c r="M143" s="282"/>
      <c r="N143" s="832"/>
      <c r="O143" s="832"/>
      <c r="P143" s="832"/>
    </row>
    <row r="144" spans="1:16" s="270" customFormat="1" ht="21" customHeight="1">
      <c r="A144" s="282">
        <v>3</v>
      </c>
      <c r="B144" s="285" t="s">
        <v>494</v>
      </c>
      <c r="C144" s="181" t="s">
        <v>401</v>
      </c>
      <c r="D144" s="282" t="s">
        <v>239</v>
      </c>
      <c r="E144" s="283">
        <v>45601</v>
      </c>
      <c r="F144" s="284">
        <v>27.96</v>
      </c>
      <c r="G144" s="817" t="s">
        <v>402</v>
      </c>
      <c r="H144" s="817"/>
      <c r="I144" s="817"/>
      <c r="J144" s="817"/>
      <c r="K144" s="283">
        <v>45609</v>
      </c>
      <c r="L144" s="282" t="s">
        <v>490</v>
      </c>
      <c r="M144" s="282"/>
      <c r="N144" s="831"/>
      <c r="O144" s="831"/>
      <c r="P144" s="831"/>
    </row>
    <row r="145" spans="1:16" s="270" customFormat="1" ht="21" customHeight="1">
      <c r="A145" s="282">
        <v>4</v>
      </c>
      <c r="B145" s="285" t="s">
        <v>18</v>
      </c>
      <c r="C145" s="181" t="s">
        <v>401</v>
      </c>
      <c r="D145" s="282" t="s">
        <v>239</v>
      </c>
      <c r="E145" s="283">
        <v>45610</v>
      </c>
      <c r="F145" s="284">
        <v>27.96</v>
      </c>
      <c r="G145" s="817" t="s">
        <v>402</v>
      </c>
      <c r="H145" s="817"/>
      <c r="I145" s="817"/>
      <c r="J145" s="817"/>
      <c r="K145" s="283">
        <v>45615</v>
      </c>
      <c r="L145" s="282" t="s">
        <v>490</v>
      </c>
      <c r="M145" s="282"/>
      <c r="N145" s="831" t="s">
        <v>501</v>
      </c>
      <c r="O145" s="831"/>
      <c r="P145" s="831"/>
    </row>
    <row r="146" spans="1:16" s="270" customFormat="1" ht="21" customHeight="1">
      <c r="A146" s="282">
        <v>5</v>
      </c>
      <c r="B146" s="285" t="s">
        <v>133</v>
      </c>
      <c r="C146" s="181" t="s">
        <v>401</v>
      </c>
      <c r="D146" s="282" t="s">
        <v>239</v>
      </c>
      <c r="E146" s="283">
        <v>45615</v>
      </c>
      <c r="F146" s="284">
        <v>27.96</v>
      </c>
      <c r="G146" s="817" t="s">
        <v>402</v>
      </c>
      <c r="H146" s="817"/>
      <c r="I146" s="817"/>
      <c r="J146" s="817"/>
      <c r="K146" s="283">
        <v>45620</v>
      </c>
      <c r="L146" s="282" t="s">
        <v>490</v>
      </c>
      <c r="M146" s="282"/>
      <c r="N146" s="831" t="s">
        <v>109</v>
      </c>
      <c r="O146" s="831"/>
      <c r="P146" s="831"/>
    </row>
    <row r="147" spans="1:16" s="270" customFormat="1" ht="21" customHeight="1">
      <c r="A147" s="282">
        <v>6</v>
      </c>
      <c r="B147" s="285" t="s">
        <v>2</v>
      </c>
      <c r="C147" s="181" t="s">
        <v>401</v>
      </c>
      <c r="D147" s="282" t="s">
        <v>239</v>
      </c>
      <c r="E147" s="283">
        <v>45622</v>
      </c>
      <c r="F147" s="284">
        <v>27.96</v>
      </c>
      <c r="G147" s="817" t="s">
        <v>402</v>
      </c>
      <c r="H147" s="817"/>
      <c r="I147" s="817"/>
      <c r="J147" s="817"/>
      <c r="K147" s="283">
        <v>45627</v>
      </c>
      <c r="L147" s="282" t="s">
        <v>490</v>
      </c>
      <c r="M147" s="282"/>
      <c r="N147" s="831"/>
      <c r="O147" s="831"/>
      <c r="P147" s="831"/>
    </row>
    <row r="148" spans="1:16" s="270" customFormat="1" ht="21" customHeight="1">
      <c r="A148" s="282">
        <v>7</v>
      </c>
      <c r="B148" s="285" t="s">
        <v>49</v>
      </c>
      <c r="C148" s="181" t="s">
        <v>401</v>
      </c>
      <c r="D148" s="282" t="s">
        <v>239</v>
      </c>
      <c r="E148" s="283">
        <v>45628</v>
      </c>
      <c r="F148" s="284">
        <v>27.96</v>
      </c>
      <c r="G148" s="817" t="s">
        <v>402</v>
      </c>
      <c r="H148" s="817"/>
      <c r="I148" s="817"/>
      <c r="J148" s="817"/>
      <c r="K148" s="283">
        <v>45632</v>
      </c>
      <c r="L148" s="282" t="s">
        <v>490</v>
      </c>
      <c r="M148" s="282"/>
      <c r="N148" s="831"/>
      <c r="O148" s="831"/>
      <c r="P148" s="831"/>
    </row>
    <row r="149" spans="1:16" s="270" customFormat="1" ht="21" customHeight="1">
      <c r="A149" s="282">
        <v>8</v>
      </c>
      <c r="B149" s="285" t="s">
        <v>52</v>
      </c>
      <c r="C149" s="181" t="s">
        <v>401</v>
      </c>
      <c r="D149" s="282" t="s">
        <v>239</v>
      </c>
      <c r="E149" s="283">
        <v>45629</v>
      </c>
      <c r="F149" s="284">
        <v>27.96</v>
      </c>
      <c r="G149" s="817" t="s">
        <v>402</v>
      </c>
      <c r="H149" s="817"/>
      <c r="I149" s="817"/>
      <c r="J149" s="817"/>
      <c r="K149" s="283">
        <v>45637</v>
      </c>
      <c r="L149" s="282" t="s">
        <v>500</v>
      </c>
      <c r="M149" s="282"/>
      <c r="N149" s="831" t="s">
        <v>501</v>
      </c>
      <c r="O149" s="831"/>
      <c r="P149" s="831"/>
    </row>
    <row r="150" spans="1:16" s="270" customFormat="1" ht="21" customHeight="1">
      <c r="A150" s="282">
        <v>9</v>
      </c>
      <c r="B150" s="285" t="s">
        <v>147</v>
      </c>
      <c r="C150" s="181" t="s">
        <v>401</v>
      </c>
      <c r="D150" s="282" t="s">
        <v>239</v>
      </c>
      <c r="E150" s="283">
        <v>45632</v>
      </c>
      <c r="F150" s="284">
        <v>27.96</v>
      </c>
      <c r="G150" s="817" t="s">
        <v>402</v>
      </c>
      <c r="H150" s="817"/>
      <c r="I150" s="817"/>
      <c r="J150" s="817"/>
      <c r="K150" s="283">
        <v>45637</v>
      </c>
      <c r="L150" s="282" t="s">
        <v>490</v>
      </c>
      <c r="M150" s="282"/>
      <c r="N150" s="831"/>
      <c r="O150" s="831"/>
      <c r="P150" s="831"/>
    </row>
    <row r="151" spans="1:16" s="270" customFormat="1" ht="21" customHeight="1">
      <c r="A151" s="282">
        <v>10</v>
      </c>
      <c r="B151" s="285" t="s">
        <v>148</v>
      </c>
      <c r="C151" s="181" t="s">
        <v>444</v>
      </c>
      <c r="D151" s="282" t="s">
        <v>239</v>
      </c>
      <c r="E151" s="283">
        <v>45638</v>
      </c>
      <c r="F151" s="284">
        <v>29.12</v>
      </c>
      <c r="G151" s="817" t="s">
        <v>402</v>
      </c>
      <c r="H151" s="817"/>
      <c r="I151" s="817"/>
      <c r="J151" s="817"/>
      <c r="K151" s="370">
        <v>45644</v>
      </c>
      <c r="L151" s="282" t="s">
        <v>490</v>
      </c>
      <c r="M151" s="282"/>
      <c r="N151" s="831"/>
      <c r="O151" s="831"/>
      <c r="P151" s="831"/>
    </row>
    <row r="152" spans="1:16" s="270" customFormat="1" ht="21" customHeight="1">
      <c r="A152" s="282">
        <v>11</v>
      </c>
      <c r="B152" s="285" t="s">
        <v>51</v>
      </c>
      <c r="C152" s="181" t="s">
        <v>401</v>
      </c>
      <c r="D152" s="282" t="s">
        <v>239</v>
      </c>
      <c r="E152" s="283">
        <v>45638</v>
      </c>
      <c r="F152" s="284">
        <v>27.96</v>
      </c>
      <c r="G152" s="817" t="s">
        <v>402</v>
      </c>
      <c r="H152" s="817"/>
      <c r="I152" s="817"/>
      <c r="J152" s="817"/>
      <c r="K152" s="283">
        <v>45644</v>
      </c>
      <c r="L152" s="282" t="s">
        <v>500</v>
      </c>
      <c r="M152" s="282"/>
      <c r="N152" s="831"/>
      <c r="O152" s="831"/>
      <c r="P152" s="831"/>
    </row>
    <row r="153" spans="1:16" s="270" customFormat="1" ht="21" customHeight="1">
      <c r="A153" s="282">
        <v>12</v>
      </c>
      <c r="B153" s="285" t="s">
        <v>140</v>
      </c>
      <c r="C153" s="181" t="s">
        <v>444</v>
      </c>
      <c r="D153" s="282" t="s">
        <v>239</v>
      </c>
      <c r="E153" s="283">
        <v>45645</v>
      </c>
      <c r="F153" s="284">
        <v>29.12</v>
      </c>
      <c r="G153" s="817" t="s">
        <v>402</v>
      </c>
      <c r="H153" s="817"/>
      <c r="I153" s="817"/>
      <c r="J153" s="817"/>
      <c r="K153" s="283">
        <v>45653</v>
      </c>
      <c r="L153" s="282" t="s">
        <v>490</v>
      </c>
      <c r="M153" s="282"/>
      <c r="N153" s="831"/>
      <c r="O153" s="831"/>
      <c r="P153" s="831"/>
    </row>
    <row r="154" spans="1:16" s="270" customFormat="1" ht="21" customHeight="1">
      <c r="A154" s="282">
        <v>13</v>
      </c>
      <c r="B154" s="285" t="s">
        <v>136</v>
      </c>
      <c r="C154" s="181" t="s">
        <v>453</v>
      </c>
      <c r="D154" s="282" t="s">
        <v>239</v>
      </c>
      <c r="E154" s="283">
        <v>45645</v>
      </c>
      <c r="F154" s="284">
        <v>34.630000000000003</v>
      </c>
      <c r="G154" s="817" t="s">
        <v>402</v>
      </c>
      <c r="H154" s="817"/>
      <c r="I154" s="817"/>
      <c r="J154" s="817"/>
      <c r="K154" s="283">
        <v>45655</v>
      </c>
      <c r="L154" s="282" t="s">
        <v>500</v>
      </c>
      <c r="M154" s="282"/>
      <c r="N154" s="831"/>
      <c r="O154" s="831"/>
      <c r="P154" s="831"/>
    </row>
    <row r="155" spans="1:16" s="270" customFormat="1" ht="21" customHeight="1">
      <c r="A155" s="282">
        <v>14</v>
      </c>
      <c r="B155" s="285" t="s">
        <v>126</v>
      </c>
      <c r="C155" s="181" t="s">
        <v>401</v>
      </c>
      <c r="D155" s="282" t="s">
        <v>239</v>
      </c>
      <c r="E155" s="283">
        <v>45655</v>
      </c>
      <c r="F155" s="284">
        <v>27.96</v>
      </c>
      <c r="G155" s="817" t="s">
        <v>402</v>
      </c>
      <c r="H155" s="817"/>
      <c r="I155" s="817"/>
      <c r="J155" s="817"/>
      <c r="K155" s="283">
        <v>45296</v>
      </c>
      <c r="L155" s="282" t="s">
        <v>490</v>
      </c>
      <c r="M155" s="282"/>
      <c r="N155" s="831"/>
      <c r="O155" s="831"/>
      <c r="P155" s="831"/>
    </row>
    <row r="156" spans="1:16" s="270" customFormat="1" ht="21" customHeight="1">
      <c r="A156" s="282">
        <v>15</v>
      </c>
      <c r="B156" s="285" t="s">
        <v>143</v>
      </c>
      <c r="C156" s="181" t="s">
        <v>401</v>
      </c>
      <c r="D156" s="282" t="s">
        <v>239</v>
      </c>
      <c r="E156" s="283">
        <v>45656</v>
      </c>
      <c r="F156" s="284">
        <v>27.96</v>
      </c>
      <c r="G156" s="817" t="s">
        <v>402</v>
      </c>
      <c r="H156" s="817"/>
      <c r="I156" s="817"/>
      <c r="J156" s="817"/>
      <c r="K156" s="283">
        <v>45298</v>
      </c>
      <c r="L156" s="282" t="s">
        <v>500</v>
      </c>
      <c r="M156" s="282"/>
      <c r="N156" s="831"/>
      <c r="O156" s="831"/>
      <c r="P156" s="831"/>
    </row>
    <row r="157" spans="1:16" s="270" customFormat="1" ht="21" customHeight="1">
      <c r="A157" s="282">
        <v>16</v>
      </c>
      <c r="B157" s="285" t="s">
        <v>166</v>
      </c>
      <c r="C157" s="181" t="s">
        <v>401</v>
      </c>
      <c r="D157" s="282" t="s">
        <v>239</v>
      </c>
      <c r="E157" s="283">
        <v>45298</v>
      </c>
      <c r="F157" s="284">
        <v>27.96</v>
      </c>
      <c r="G157" s="817" t="s">
        <v>402</v>
      </c>
      <c r="H157" s="817"/>
      <c r="I157" s="817"/>
      <c r="J157" s="817"/>
      <c r="K157" s="283">
        <v>45668</v>
      </c>
      <c r="L157" s="282" t="s">
        <v>490</v>
      </c>
      <c r="M157" s="282"/>
      <c r="N157" s="831"/>
      <c r="O157" s="831"/>
      <c r="P157" s="831"/>
    </row>
    <row r="158" spans="1:16" s="270" customFormat="1" ht="21" customHeight="1">
      <c r="A158" s="282">
        <f t="shared" ref="A158:A163" si="2">A157+1</f>
        <v>17</v>
      </c>
      <c r="B158" s="285" t="s">
        <v>176</v>
      </c>
      <c r="C158" s="181" t="s">
        <v>401</v>
      </c>
      <c r="D158" s="282" t="s">
        <v>239</v>
      </c>
      <c r="E158" s="283">
        <v>45300</v>
      </c>
      <c r="F158" s="284">
        <v>27.96</v>
      </c>
      <c r="G158" s="817" t="s">
        <v>402</v>
      </c>
      <c r="H158" s="817"/>
      <c r="I158" s="817"/>
      <c r="J158" s="817"/>
      <c r="K158" s="283">
        <v>45672</v>
      </c>
      <c r="L158" s="282" t="s">
        <v>500</v>
      </c>
      <c r="M158" s="282"/>
      <c r="N158" s="831"/>
      <c r="O158" s="831"/>
      <c r="P158" s="831"/>
    </row>
    <row r="159" spans="1:16" s="270" customFormat="1" ht="21" customHeight="1">
      <c r="A159" s="282">
        <f t="shared" si="2"/>
        <v>18</v>
      </c>
      <c r="B159" s="285" t="s">
        <v>160</v>
      </c>
      <c r="C159" s="181" t="s">
        <v>444</v>
      </c>
      <c r="D159" s="282" t="s">
        <v>239</v>
      </c>
      <c r="E159" s="283">
        <v>45670</v>
      </c>
      <c r="F159" s="284">
        <v>29</v>
      </c>
      <c r="G159" s="817" t="s">
        <v>402</v>
      </c>
      <c r="H159" s="817"/>
      <c r="I159" s="817"/>
      <c r="J159" s="817"/>
      <c r="K159" s="283">
        <v>45675</v>
      </c>
      <c r="L159" s="282" t="s">
        <v>490</v>
      </c>
      <c r="M159" s="282"/>
      <c r="N159" s="831"/>
      <c r="O159" s="831"/>
      <c r="P159" s="831"/>
    </row>
    <row r="160" spans="1:16" s="270" customFormat="1" ht="21" customHeight="1">
      <c r="A160" s="282">
        <f t="shared" si="2"/>
        <v>19</v>
      </c>
      <c r="B160" s="285" t="s">
        <v>177</v>
      </c>
      <c r="C160" s="181" t="s">
        <v>444</v>
      </c>
      <c r="D160" s="282" t="s">
        <v>239</v>
      </c>
      <c r="E160" s="283">
        <v>45673</v>
      </c>
      <c r="F160" s="284">
        <v>29</v>
      </c>
      <c r="G160" s="817" t="s">
        <v>402</v>
      </c>
      <c r="H160" s="817"/>
      <c r="I160" s="817"/>
      <c r="J160" s="817"/>
      <c r="K160" s="283">
        <v>45680</v>
      </c>
      <c r="L160" s="282" t="s">
        <v>500</v>
      </c>
      <c r="M160" s="282"/>
      <c r="N160" s="831"/>
      <c r="O160" s="831"/>
      <c r="P160" s="831"/>
    </row>
    <row r="161" spans="1:16" s="270" customFormat="1" ht="21" customHeight="1">
      <c r="A161" s="282">
        <f t="shared" si="2"/>
        <v>20</v>
      </c>
      <c r="B161" s="285" t="s">
        <v>156</v>
      </c>
      <c r="C161" s="181" t="s">
        <v>401</v>
      </c>
      <c r="D161" s="282" t="s">
        <v>239</v>
      </c>
      <c r="E161" s="283">
        <v>45673</v>
      </c>
      <c r="F161" s="284">
        <v>28</v>
      </c>
      <c r="G161" s="817" t="s">
        <v>402</v>
      </c>
      <c r="H161" s="817"/>
      <c r="I161" s="817"/>
      <c r="J161" s="817"/>
      <c r="K161" s="283">
        <v>45680</v>
      </c>
      <c r="L161" s="282" t="s">
        <v>490</v>
      </c>
      <c r="M161" s="282"/>
      <c r="N161" s="831"/>
      <c r="O161" s="831"/>
      <c r="P161" s="831"/>
    </row>
    <row r="162" spans="1:16" s="270" customFormat="1" ht="27.6" customHeight="1">
      <c r="A162" s="282">
        <f t="shared" si="2"/>
        <v>21</v>
      </c>
      <c r="B162" s="285" t="s">
        <v>179</v>
      </c>
      <c r="C162" s="181" t="s">
        <v>444</v>
      </c>
      <c r="D162" s="282" t="s">
        <v>239</v>
      </c>
      <c r="E162" s="283">
        <v>45681</v>
      </c>
      <c r="F162" s="284">
        <v>29</v>
      </c>
      <c r="G162" s="817" t="s">
        <v>402</v>
      </c>
      <c r="H162" s="817"/>
      <c r="I162" s="817"/>
      <c r="J162" s="817"/>
      <c r="K162" s="283">
        <v>45699</v>
      </c>
      <c r="L162" s="282" t="s">
        <v>500</v>
      </c>
      <c r="M162" s="282"/>
      <c r="N162" s="830"/>
      <c r="O162" s="830"/>
      <c r="P162" s="830"/>
    </row>
    <row r="163" spans="1:16" s="270" customFormat="1" ht="21" customHeight="1">
      <c r="A163" s="282">
        <f t="shared" si="2"/>
        <v>22</v>
      </c>
      <c r="B163" s="285" t="s">
        <v>17</v>
      </c>
      <c r="C163" s="181" t="s">
        <v>401</v>
      </c>
      <c r="D163" s="282" t="s">
        <v>239</v>
      </c>
      <c r="E163" s="283">
        <v>45681</v>
      </c>
      <c r="F163" s="284">
        <v>28</v>
      </c>
      <c r="G163" s="817" t="s">
        <v>402</v>
      </c>
      <c r="H163" s="817"/>
      <c r="I163" s="817"/>
      <c r="J163" s="817"/>
      <c r="K163" s="283">
        <v>45687</v>
      </c>
      <c r="L163" s="282" t="s">
        <v>490</v>
      </c>
      <c r="M163" s="282"/>
      <c r="N163" s="857"/>
      <c r="O163" s="857"/>
      <c r="P163" s="857"/>
    </row>
    <row r="164" spans="1:16" s="270" customFormat="1" ht="21" customHeight="1">
      <c r="A164" s="282">
        <f t="shared" ref="A164:A206" si="3">A163+1</f>
        <v>23</v>
      </c>
      <c r="B164" s="285" t="s">
        <v>178</v>
      </c>
      <c r="C164" s="181" t="s">
        <v>401</v>
      </c>
      <c r="D164" s="282" t="s">
        <v>239</v>
      </c>
      <c r="E164" s="283">
        <v>45682</v>
      </c>
      <c r="F164" s="284">
        <v>28</v>
      </c>
      <c r="G164" s="817" t="s">
        <v>402</v>
      </c>
      <c r="H164" s="817"/>
      <c r="I164" s="817"/>
      <c r="J164" s="817"/>
      <c r="K164" s="283">
        <v>45690</v>
      </c>
      <c r="L164" s="282" t="s">
        <v>500</v>
      </c>
      <c r="M164" s="282"/>
      <c r="N164" s="831"/>
      <c r="O164" s="831"/>
      <c r="P164" s="831"/>
    </row>
    <row r="165" spans="1:16" s="270" customFormat="1" ht="21" customHeight="1">
      <c r="A165" s="282">
        <f t="shared" si="3"/>
        <v>24</v>
      </c>
      <c r="B165" s="285" t="s">
        <v>137</v>
      </c>
      <c r="C165" s="181" t="s">
        <v>444</v>
      </c>
      <c r="D165" s="282" t="s">
        <v>239</v>
      </c>
      <c r="E165" s="283">
        <v>45688</v>
      </c>
      <c r="F165" s="284">
        <v>29</v>
      </c>
      <c r="G165" s="817" t="s">
        <v>402</v>
      </c>
      <c r="H165" s="817"/>
      <c r="I165" s="817"/>
      <c r="J165" s="817"/>
      <c r="K165" s="283">
        <v>45693</v>
      </c>
      <c r="L165" s="282" t="s">
        <v>490</v>
      </c>
      <c r="M165" s="282"/>
      <c r="N165" s="831"/>
      <c r="O165" s="831"/>
      <c r="P165" s="831"/>
    </row>
    <row r="166" spans="1:16" s="270" customFormat="1" ht="27.6" customHeight="1">
      <c r="A166" s="282">
        <f t="shared" si="3"/>
        <v>25</v>
      </c>
      <c r="B166" s="285" t="s">
        <v>145</v>
      </c>
      <c r="C166" s="181" t="s">
        <v>452</v>
      </c>
      <c r="D166" s="282" t="s">
        <v>239</v>
      </c>
      <c r="E166" s="283">
        <v>45694</v>
      </c>
      <c r="F166" s="284">
        <v>33</v>
      </c>
      <c r="G166" s="817" t="s">
        <v>402</v>
      </c>
      <c r="H166" s="817"/>
      <c r="I166" s="817"/>
      <c r="J166" s="817"/>
      <c r="K166" s="283">
        <v>45699</v>
      </c>
      <c r="L166" s="282" t="s">
        <v>490</v>
      </c>
      <c r="M166" s="282"/>
      <c r="N166" s="830"/>
      <c r="O166" s="830"/>
      <c r="P166" s="830"/>
    </row>
    <row r="167" spans="1:16" s="270" customFormat="1" ht="27.6" customHeight="1">
      <c r="A167" s="282">
        <f t="shared" si="3"/>
        <v>26</v>
      </c>
      <c r="B167" s="285" t="s">
        <v>146</v>
      </c>
      <c r="C167" s="181" t="s">
        <v>444</v>
      </c>
      <c r="D167" s="282" t="s">
        <v>239</v>
      </c>
      <c r="E167" s="283">
        <v>45700</v>
      </c>
      <c r="F167" s="284">
        <v>29</v>
      </c>
      <c r="G167" s="817" t="s">
        <v>402</v>
      </c>
      <c r="H167" s="817"/>
      <c r="I167" s="817"/>
      <c r="J167" s="817"/>
      <c r="K167" s="283">
        <v>45705</v>
      </c>
      <c r="L167" s="282" t="s">
        <v>490</v>
      </c>
      <c r="M167" s="282"/>
      <c r="N167" s="830"/>
      <c r="O167" s="830"/>
      <c r="P167" s="830"/>
    </row>
    <row r="168" spans="1:16" s="270" customFormat="1" ht="27.6" customHeight="1">
      <c r="A168" s="282">
        <f t="shared" si="3"/>
        <v>27</v>
      </c>
      <c r="B168" s="285" t="s">
        <v>175</v>
      </c>
      <c r="C168" s="181" t="s">
        <v>444</v>
      </c>
      <c r="D168" s="282" t="s">
        <v>239</v>
      </c>
      <c r="E168" s="283">
        <v>45700</v>
      </c>
      <c r="F168" s="284">
        <v>29</v>
      </c>
      <c r="G168" s="817" t="s">
        <v>402</v>
      </c>
      <c r="H168" s="817"/>
      <c r="I168" s="817"/>
      <c r="J168" s="817"/>
      <c r="K168" s="283">
        <v>45708</v>
      </c>
      <c r="L168" s="282" t="s">
        <v>490</v>
      </c>
      <c r="M168" s="282"/>
      <c r="N168" s="830"/>
      <c r="O168" s="830"/>
      <c r="P168" s="830"/>
    </row>
    <row r="169" spans="1:16" s="270" customFormat="1" ht="27.6" customHeight="1">
      <c r="A169" s="282">
        <f t="shared" si="3"/>
        <v>28</v>
      </c>
      <c r="B169" s="285" t="s">
        <v>496</v>
      </c>
      <c r="C169" s="181" t="s">
        <v>476</v>
      </c>
      <c r="D169" s="282" t="s">
        <v>239</v>
      </c>
      <c r="E169" s="283">
        <v>45709</v>
      </c>
      <c r="F169" s="284">
        <v>45</v>
      </c>
      <c r="G169" s="817" t="s">
        <v>402</v>
      </c>
      <c r="H169" s="817"/>
      <c r="I169" s="817"/>
      <c r="J169" s="817"/>
      <c r="K169" s="283">
        <v>45714</v>
      </c>
      <c r="L169" s="282" t="s">
        <v>490</v>
      </c>
      <c r="M169" s="282"/>
      <c r="N169" s="830"/>
      <c r="O169" s="830"/>
      <c r="P169" s="830"/>
    </row>
    <row r="170" spans="1:16" s="270" customFormat="1" ht="27.6" customHeight="1">
      <c r="A170" s="282">
        <f t="shared" si="3"/>
        <v>29</v>
      </c>
      <c r="B170" s="285" t="s">
        <v>497</v>
      </c>
      <c r="C170" s="181" t="s">
        <v>476</v>
      </c>
      <c r="D170" s="282" t="s">
        <v>239</v>
      </c>
      <c r="E170" s="283">
        <v>45714</v>
      </c>
      <c r="F170" s="284">
        <v>45</v>
      </c>
      <c r="G170" s="817" t="s">
        <v>402</v>
      </c>
      <c r="H170" s="817"/>
      <c r="I170" s="817"/>
      <c r="J170" s="817"/>
      <c r="K170" s="283">
        <v>45719</v>
      </c>
      <c r="L170" s="282" t="s">
        <v>490</v>
      </c>
      <c r="M170" s="282"/>
      <c r="N170" s="830"/>
      <c r="O170" s="830"/>
      <c r="P170" s="830"/>
    </row>
    <row r="171" spans="1:16" s="270" customFormat="1" ht="27.6" customHeight="1">
      <c r="A171" s="282">
        <f t="shared" si="3"/>
        <v>30</v>
      </c>
      <c r="B171" s="285" t="s">
        <v>505</v>
      </c>
      <c r="C171" s="181" t="s">
        <v>476</v>
      </c>
      <c r="D171" s="282" t="s">
        <v>239</v>
      </c>
      <c r="E171" s="283">
        <v>45719</v>
      </c>
      <c r="F171" s="284">
        <v>45</v>
      </c>
      <c r="G171" s="817" t="s">
        <v>402</v>
      </c>
      <c r="H171" s="817"/>
      <c r="I171" s="817"/>
      <c r="J171" s="817"/>
      <c r="K171" s="283">
        <v>45724</v>
      </c>
      <c r="L171" s="282" t="s">
        <v>490</v>
      </c>
      <c r="M171" s="282"/>
      <c r="N171" s="830"/>
      <c r="O171" s="830"/>
      <c r="P171" s="830"/>
    </row>
    <row r="172" spans="1:16" s="270" customFormat="1" ht="27.6" customHeight="1">
      <c r="A172" s="282">
        <f t="shared" si="3"/>
        <v>31</v>
      </c>
      <c r="B172" s="285" t="s">
        <v>161</v>
      </c>
      <c r="C172" s="181" t="s">
        <v>401</v>
      </c>
      <c r="D172" s="282" t="s">
        <v>239</v>
      </c>
      <c r="E172" s="283">
        <v>45722</v>
      </c>
      <c r="F172" s="284">
        <v>28</v>
      </c>
      <c r="G172" s="817" t="s">
        <v>402</v>
      </c>
      <c r="H172" s="817"/>
      <c r="I172" s="817"/>
      <c r="J172" s="817"/>
      <c r="K172" s="283">
        <v>45727</v>
      </c>
      <c r="L172" s="282" t="s">
        <v>500</v>
      </c>
      <c r="M172" s="282"/>
      <c r="N172" s="830"/>
      <c r="O172" s="830"/>
      <c r="P172" s="830"/>
    </row>
    <row r="173" spans="1:16" s="270" customFormat="1" ht="27.6" customHeight="1">
      <c r="A173" s="282">
        <f t="shared" si="3"/>
        <v>32</v>
      </c>
      <c r="B173" s="285" t="s">
        <v>159</v>
      </c>
      <c r="C173" s="181" t="s">
        <v>476</v>
      </c>
      <c r="D173" s="282" t="s">
        <v>239</v>
      </c>
      <c r="E173" s="283">
        <v>45728</v>
      </c>
      <c r="F173" s="284">
        <v>45</v>
      </c>
      <c r="G173" s="817" t="s">
        <v>402</v>
      </c>
      <c r="H173" s="817"/>
      <c r="I173" s="817"/>
      <c r="J173" s="817"/>
      <c r="K173" s="283">
        <v>45733</v>
      </c>
      <c r="L173" s="282" t="s">
        <v>500</v>
      </c>
      <c r="M173" s="282"/>
      <c r="N173" s="830"/>
      <c r="O173" s="830"/>
      <c r="P173" s="830"/>
    </row>
    <row r="174" spans="1:16" s="270" customFormat="1" ht="27.6" customHeight="1">
      <c r="A174" s="282">
        <f t="shared" si="3"/>
        <v>33</v>
      </c>
      <c r="B174" s="285" t="s">
        <v>503</v>
      </c>
      <c r="C174" s="181" t="s">
        <v>504</v>
      </c>
      <c r="D174" s="282" t="s">
        <v>239</v>
      </c>
      <c r="E174" s="283">
        <v>45734</v>
      </c>
      <c r="F174" s="284">
        <v>54</v>
      </c>
      <c r="G174" s="817" t="s">
        <v>402</v>
      </c>
      <c r="H174" s="817"/>
      <c r="I174" s="817"/>
      <c r="J174" s="817"/>
      <c r="K174" s="283">
        <v>45739</v>
      </c>
      <c r="L174" s="282" t="s">
        <v>500</v>
      </c>
      <c r="M174" s="282"/>
      <c r="N174" s="830"/>
      <c r="O174" s="830"/>
      <c r="P174" s="830"/>
    </row>
    <row r="175" spans="1:16" s="270" customFormat="1" ht="27.6" customHeight="1">
      <c r="A175" s="282">
        <f t="shared" si="3"/>
        <v>34</v>
      </c>
      <c r="B175" s="285" t="s">
        <v>4</v>
      </c>
      <c r="C175" s="181" t="s">
        <v>506</v>
      </c>
      <c r="D175" s="282" t="s">
        <v>239</v>
      </c>
      <c r="E175" s="283">
        <v>45734</v>
      </c>
      <c r="F175" s="284">
        <v>52</v>
      </c>
      <c r="G175" s="817" t="s">
        <v>402</v>
      </c>
      <c r="H175" s="817"/>
      <c r="I175" s="817"/>
      <c r="J175" s="817"/>
      <c r="K175" s="283">
        <v>45744</v>
      </c>
      <c r="L175" s="282" t="s">
        <v>500</v>
      </c>
      <c r="M175" s="282"/>
      <c r="N175" s="830"/>
      <c r="O175" s="830"/>
      <c r="P175" s="830"/>
    </row>
    <row r="176" spans="1:16" s="270" customFormat="1" ht="27.6" customHeight="1">
      <c r="A176" s="282">
        <f t="shared" si="3"/>
        <v>35</v>
      </c>
      <c r="B176" s="285" t="s">
        <v>5</v>
      </c>
      <c r="C176" s="181" t="s">
        <v>401</v>
      </c>
      <c r="D176" s="282" t="s">
        <v>239</v>
      </c>
      <c r="E176" s="283">
        <v>45744</v>
      </c>
      <c r="F176" s="284">
        <v>28</v>
      </c>
      <c r="G176" s="817" t="s">
        <v>402</v>
      </c>
      <c r="H176" s="817"/>
      <c r="I176" s="817"/>
      <c r="J176" s="817"/>
      <c r="K176" s="283">
        <v>45748</v>
      </c>
      <c r="L176" s="282" t="s">
        <v>500</v>
      </c>
      <c r="M176" s="282"/>
      <c r="N176" s="830"/>
      <c r="O176" s="830"/>
      <c r="P176" s="830"/>
    </row>
    <row r="177" spans="1:16" s="270" customFormat="1" ht="27.6" customHeight="1">
      <c r="A177" s="282">
        <f t="shared" si="3"/>
        <v>36</v>
      </c>
      <c r="B177" s="285" t="s">
        <v>50</v>
      </c>
      <c r="C177" s="181" t="s">
        <v>444</v>
      </c>
      <c r="D177" s="282" t="s">
        <v>239</v>
      </c>
      <c r="E177" s="283">
        <v>45749</v>
      </c>
      <c r="F177" s="284">
        <v>29</v>
      </c>
      <c r="G177" s="817" t="s">
        <v>402</v>
      </c>
      <c r="H177" s="817"/>
      <c r="I177" s="817"/>
      <c r="J177" s="817"/>
      <c r="K177" s="283">
        <v>45752</v>
      </c>
      <c r="L177" s="282" t="s">
        <v>500</v>
      </c>
      <c r="M177" s="282"/>
      <c r="N177" s="830"/>
      <c r="O177" s="830"/>
      <c r="P177" s="830"/>
    </row>
    <row r="178" spans="1:16" s="270" customFormat="1" ht="27.6" customHeight="1">
      <c r="A178" s="282">
        <f t="shared" si="3"/>
        <v>37</v>
      </c>
      <c r="B178" s="285" t="s">
        <v>591</v>
      </c>
      <c r="C178" s="181" t="s">
        <v>590</v>
      </c>
      <c r="D178" s="282" t="s">
        <v>239</v>
      </c>
      <c r="E178" s="283">
        <v>45752</v>
      </c>
      <c r="F178" s="284">
        <v>47</v>
      </c>
      <c r="G178" s="817" t="s">
        <v>402</v>
      </c>
      <c r="H178" s="817"/>
      <c r="I178" s="817"/>
      <c r="J178" s="817"/>
      <c r="K178" s="283">
        <v>45757</v>
      </c>
      <c r="L178" s="282" t="s">
        <v>500</v>
      </c>
      <c r="M178" s="282"/>
      <c r="N178" s="830"/>
      <c r="O178" s="830"/>
      <c r="P178" s="830"/>
    </row>
    <row r="179" spans="1:16" s="270" customFormat="1" ht="27.6" customHeight="1">
      <c r="A179" s="282">
        <f t="shared" si="3"/>
        <v>38</v>
      </c>
      <c r="B179" s="285" t="s">
        <v>121</v>
      </c>
      <c r="C179" s="181" t="s">
        <v>595</v>
      </c>
      <c r="D179" s="282" t="s">
        <v>239</v>
      </c>
      <c r="E179" s="283">
        <v>45758</v>
      </c>
      <c r="F179" s="284">
        <v>54</v>
      </c>
      <c r="G179" s="817" t="s">
        <v>402</v>
      </c>
      <c r="H179" s="817"/>
      <c r="I179" s="817"/>
      <c r="J179" s="817"/>
      <c r="K179" s="283">
        <v>45768</v>
      </c>
      <c r="L179" s="282" t="s">
        <v>490</v>
      </c>
      <c r="M179" s="282"/>
      <c r="N179" s="830"/>
      <c r="O179" s="830"/>
      <c r="P179" s="830"/>
    </row>
    <row r="180" spans="1:16" s="270" customFormat="1" ht="27.6" customHeight="1">
      <c r="A180" s="282">
        <f t="shared" si="3"/>
        <v>39</v>
      </c>
      <c r="B180" s="285" t="s">
        <v>180</v>
      </c>
      <c r="C180" s="181" t="s">
        <v>444</v>
      </c>
      <c r="D180" s="282" t="s">
        <v>239</v>
      </c>
      <c r="E180" s="283">
        <v>45759</v>
      </c>
      <c r="F180" s="284">
        <v>29</v>
      </c>
      <c r="G180" s="817" t="s">
        <v>402</v>
      </c>
      <c r="H180" s="817"/>
      <c r="I180" s="817"/>
      <c r="J180" s="817"/>
      <c r="K180" s="283">
        <v>45765</v>
      </c>
      <c r="L180" s="282" t="s">
        <v>500</v>
      </c>
      <c r="M180" s="282"/>
      <c r="N180" s="830"/>
      <c r="O180" s="830"/>
      <c r="P180" s="830"/>
    </row>
    <row r="181" spans="1:16" s="270" customFormat="1" ht="27.6" customHeight="1">
      <c r="A181" s="282">
        <f t="shared" si="3"/>
        <v>40</v>
      </c>
      <c r="B181" s="285" t="s">
        <v>593</v>
      </c>
      <c r="C181" s="181" t="s">
        <v>594</v>
      </c>
      <c r="D181" s="282" t="s">
        <v>239</v>
      </c>
      <c r="E181" s="283">
        <v>45765</v>
      </c>
      <c r="F181" s="284">
        <v>45</v>
      </c>
      <c r="G181" s="817" t="s">
        <v>402</v>
      </c>
      <c r="H181" s="817"/>
      <c r="I181" s="817"/>
      <c r="J181" s="817"/>
      <c r="K181" s="283">
        <v>45773</v>
      </c>
      <c r="L181" s="282" t="s">
        <v>649</v>
      </c>
      <c r="M181" s="282"/>
      <c r="N181" s="856" t="s">
        <v>109</v>
      </c>
      <c r="O181" s="856"/>
      <c r="P181" s="856"/>
    </row>
    <row r="182" spans="1:16" s="270" customFormat="1" ht="27.6" customHeight="1">
      <c r="A182" s="282">
        <f t="shared" si="3"/>
        <v>41</v>
      </c>
      <c r="B182" s="285" t="s">
        <v>489</v>
      </c>
      <c r="C182" s="181" t="s">
        <v>476</v>
      </c>
      <c r="D182" s="282" t="s">
        <v>239</v>
      </c>
      <c r="E182" s="283">
        <v>45769</v>
      </c>
      <c r="F182" s="284">
        <v>45</v>
      </c>
      <c r="G182" s="817" t="s">
        <v>402</v>
      </c>
      <c r="H182" s="817"/>
      <c r="I182" s="817"/>
      <c r="J182" s="817"/>
      <c r="K182" s="283">
        <v>45776</v>
      </c>
      <c r="L182" s="282" t="s">
        <v>650</v>
      </c>
      <c r="M182" s="282"/>
      <c r="N182" s="824"/>
      <c r="O182" s="824"/>
      <c r="P182" s="824"/>
    </row>
    <row r="183" spans="1:16" s="270" customFormat="1" ht="27.6" customHeight="1">
      <c r="A183" s="282">
        <f t="shared" si="3"/>
        <v>42</v>
      </c>
      <c r="B183" s="285" t="s">
        <v>167</v>
      </c>
      <c r="C183" s="181" t="s">
        <v>453</v>
      </c>
      <c r="D183" s="282" t="s">
        <v>239</v>
      </c>
      <c r="E183" s="283">
        <v>45774</v>
      </c>
      <c r="F183" s="284">
        <v>34.630000000000003</v>
      </c>
      <c r="G183" s="817" t="s">
        <v>402</v>
      </c>
      <c r="H183" s="817"/>
      <c r="I183" s="817"/>
      <c r="J183" s="817"/>
      <c r="K183" s="283">
        <v>45780</v>
      </c>
      <c r="L183" s="282" t="s">
        <v>649</v>
      </c>
      <c r="M183" s="282"/>
      <c r="N183" s="824"/>
      <c r="O183" s="824"/>
      <c r="P183" s="824"/>
    </row>
    <row r="184" spans="1:16" s="270" customFormat="1" ht="27.6" customHeight="1">
      <c r="A184" s="282">
        <f t="shared" si="3"/>
        <v>43</v>
      </c>
      <c r="B184" s="285" t="s">
        <v>20</v>
      </c>
      <c r="C184" s="181" t="s">
        <v>444</v>
      </c>
      <c r="D184" s="282" t="s">
        <v>239</v>
      </c>
      <c r="E184" s="283">
        <v>45776</v>
      </c>
      <c r="F184" s="284">
        <v>29</v>
      </c>
      <c r="G184" s="817" t="s">
        <v>402</v>
      </c>
      <c r="H184" s="817"/>
      <c r="I184" s="817"/>
      <c r="J184" s="817"/>
      <c r="K184" s="283">
        <v>45784</v>
      </c>
      <c r="L184" s="282" t="s">
        <v>650</v>
      </c>
      <c r="M184" s="282"/>
      <c r="N184" s="824"/>
      <c r="O184" s="824"/>
      <c r="P184" s="824"/>
    </row>
    <row r="185" spans="1:16" s="270" customFormat="1" ht="27.6" customHeight="1">
      <c r="A185" s="282">
        <f t="shared" si="3"/>
        <v>44</v>
      </c>
      <c r="B185" s="285" t="s">
        <v>37</v>
      </c>
      <c r="C185" s="181" t="s">
        <v>401</v>
      </c>
      <c r="D185" s="282" t="s">
        <v>239</v>
      </c>
      <c r="E185" s="283">
        <v>45782</v>
      </c>
      <c r="F185" s="284">
        <v>28</v>
      </c>
      <c r="G185" s="817" t="s">
        <v>402</v>
      </c>
      <c r="H185" s="817"/>
      <c r="I185" s="817"/>
      <c r="J185" s="817"/>
      <c r="K185" s="283">
        <v>45787</v>
      </c>
      <c r="L185" s="282" t="s">
        <v>649</v>
      </c>
      <c r="M185" s="282"/>
      <c r="N185" s="823" t="s">
        <v>109</v>
      </c>
      <c r="O185" s="823"/>
      <c r="P185" s="823"/>
    </row>
    <row r="186" spans="1:16" s="270" customFormat="1" ht="27.6" customHeight="1">
      <c r="A186" s="282">
        <f t="shared" si="3"/>
        <v>45</v>
      </c>
      <c r="B186" s="285" t="s">
        <v>512</v>
      </c>
      <c r="C186" s="181" t="s">
        <v>476</v>
      </c>
      <c r="D186" s="282" t="s">
        <v>239</v>
      </c>
      <c r="E186" s="283">
        <v>45785</v>
      </c>
      <c r="F186" s="284">
        <v>45</v>
      </c>
      <c r="G186" s="817" t="s">
        <v>402</v>
      </c>
      <c r="H186" s="817"/>
      <c r="I186" s="817"/>
      <c r="J186" s="817"/>
      <c r="K186" s="283">
        <v>45794</v>
      </c>
      <c r="L186" s="282" t="s">
        <v>649</v>
      </c>
      <c r="M186" s="282"/>
      <c r="N186" s="823"/>
      <c r="O186" s="823"/>
      <c r="P186" s="823"/>
    </row>
    <row r="187" spans="1:16" s="270" customFormat="1" ht="27.6" customHeight="1">
      <c r="A187" s="282">
        <f t="shared" si="3"/>
        <v>46</v>
      </c>
      <c r="B187" s="285" t="s">
        <v>157</v>
      </c>
      <c r="C187" s="181" t="s">
        <v>452</v>
      </c>
      <c r="D187" s="282" t="s">
        <v>239</v>
      </c>
      <c r="E187" s="283">
        <v>45788</v>
      </c>
      <c r="F187" s="284">
        <v>33</v>
      </c>
      <c r="G187" s="817" t="s">
        <v>402</v>
      </c>
      <c r="H187" s="817"/>
      <c r="I187" s="817"/>
      <c r="J187" s="817"/>
      <c r="K187" s="283">
        <v>45796</v>
      </c>
      <c r="L187" s="282" t="s">
        <v>650</v>
      </c>
      <c r="M187" s="282"/>
      <c r="N187" s="823"/>
      <c r="O187" s="823"/>
      <c r="P187" s="823"/>
    </row>
    <row r="188" spans="1:16" s="270" customFormat="1" ht="27.6" customHeight="1">
      <c r="A188" s="282">
        <f t="shared" si="3"/>
        <v>47</v>
      </c>
      <c r="B188" s="285" t="s">
        <v>127</v>
      </c>
      <c r="C188" s="181" t="s">
        <v>448</v>
      </c>
      <c r="D188" s="282" t="s">
        <v>239</v>
      </c>
      <c r="E188" s="283">
        <v>45788</v>
      </c>
      <c r="F188" s="284">
        <v>27</v>
      </c>
      <c r="G188" s="817" t="s">
        <v>402</v>
      </c>
      <c r="H188" s="817"/>
      <c r="I188" s="817"/>
      <c r="J188" s="817"/>
      <c r="K188" s="283">
        <v>45803</v>
      </c>
      <c r="L188" s="282" t="s">
        <v>649</v>
      </c>
      <c r="M188" s="282"/>
      <c r="N188" s="823"/>
      <c r="O188" s="823"/>
      <c r="P188" s="823"/>
    </row>
    <row r="189" spans="1:16" s="270" customFormat="1" ht="27.6" customHeight="1">
      <c r="A189" s="282">
        <f t="shared" si="3"/>
        <v>48</v>
      </c>
      <c r="B189" s="285" t="s">
        <v>129</v>
      </c>
      <c r="C189" s="181" t="s">
        <v>444</v>
      </c>
      <c r="D189" s="282" t="s">
        <v>239</v>
      </c>
      <c r="E189" s="283">
        <v>45799</v>
      </c>
      <c r="F189" s="284">
        <v>29</v>
      </c>
      <c r="G189" s="817" t="s">
        <v>402</v>
      </c>
      <c r="H189" s="817"/>
      <c r="I189" s="817"/>
      <c r="J189" s="817"/>
      <c r="K189" s="283">
        <v>45805</v>
      </c>
      <c r="L189" s="282" t="s">
        <v>650</v>
      </c>
      <c r="M189" s="282"/>
      <c r="N189" s="823"/>
      <c r="O189" s="823"/>
      <c r="P189" s="823"/>
    </row>
    <row r="190" spans="1:16" s="270" customFormat="1" ht="27.6" customHeight="1">
      <c r="A190" s="282">
        <f t="shared" si="3"/>
        <v>49</v>
      </c>
      <c r="B190" s="285" t="s">
        <v>132</v>
      </c>
      <c r="C190" s="181" t="s">
        <v>448</v>
      </c>
      <c r="D190" s="282" t="s">
        <v>239</v>
      </c>
      <c r="E190" s="283">
        <v>45807</v>
      </c>
      <c r="F190" s="284">
        <v>27</v>
      </c>
      <c r="G190" s="817" t="s">
        <v>402</v>
      </c>
      <c r="H190" s="817"/>
      <c r="I190" s="817"/>
      <c r="J190" s="817"/>
      <c r="K190" s="283">
        <v>45812</v>
      </c>
      <c r="L190" s="282" t="s">
        <v>649</v>
      </c>
      <c r="M190" s="282"/>
      <c r="N190" s="822"/>
      <c r="O190" s="822"/>
      <c r="P190" s="822"/>
    </row>
    <row r="191" spans="1:16" s="270" customFormat="1" ht="27.6" customHeight="1">
      <c r="A191" s="282">
        <f t="shared" si="3"/>
        <v>50</v>
      </c>
      <c r="B191" s="285" t="s">
        <v>144</v>
      </c>
      <c r="C191" s="181" t="s">
        <v>448</v>
      </c>
      <c r="D191" s="282" t="s">
        <v>239</v>
      </c>
      <c r="E191" s="283">
        <v>45806</v>
      </c>
      <c r="F191" s="284">
        <v>27</v>
      </c>
      <c r="G191" s="817" t="s">
        <v>402</v>
      </c>
      <c r="H191" s="817"/>
      <c r="I191" s="817"/>
      <c r="J191" s="817"/>
      <c r="K191" s="283">
        <v>45810</v>
      </c>
      <c r="L191" s="282" t="s">
        <v>650</v>
      </c>
      <c r="M191" s="282"/>
      <c r="N191" s="822"/>
      <c r="O191" s="822"/>
      <c r="P191" s="822"/>
    </row>
    <row r="192" spans="1:16" s="270" customFormat="1" ht="27.6" customHeight="1">
      <c r="A192" s="282">
        <f t="shared" si="3"/>
        <v>51</v>
      </c>
      <c r="B192" s="285" t="s">
        <v>123</v>
      </c>
      <c r="C192" s="181" t="s">
        <v>448</v>
      </c>
      <c r="D192" s="282" t="s">
        <v>239</v>
      </c>
      <c r="E192" s="283">
        <v>45811</v>
      </c>
      <c r="F192" s="284">
        <v>27</v>
      </c>
      <c r="G192" s="817" t="s">
        <v>402</v>
      </c>
      <c r="H192" s="817"/>
      <c r="I192" s="817"/>
      <c r="J192" s="817"/>
      <c r="K192" s="283">
        <v>45816</v>
      </c>
      <c r="L192" s="282" t="s">
        <v>649</v>
      </c>
      <c r="M192" s="282"/>
      <c r="N192" s="822"/>
      <c r="O192" s="822"/>
      <c r="P192" s="822"/>
    </row>
    <row r="193" spans="1:16" s="270" customFormat="1" ht="27.6" customHeight="1">
      <c r="A193" s="282">
        <f t="shared" si="3"/>
        <v>52</v>
      </c>
      <c r="B193" s="285" t="s">
        <v>124</v>
      </c>
      <c r="C193" s="181" t="s">
        <v>448</v>
      </c>
      <c r="D193" s="282" t="s">
        <v>239</v>
      </c>
      <c r="E193" s="283">
        <v>45817</v>
      </c>
      <c r="F193" s="284">
        <v>27</v>
      </c>
      <c r="G193" s="817" t="s">
        <v>402</v>
      </c>
      <c r="H193" s="817"/>
      <c r="I193" s="817"/>
      <c r="J193" s="817"/>
      <c r="K193" s="283">
        <v>45820</v>
      </c>
      <c r="L193" s="282" t="s">
        <v>649</v>
      </c>
      <c r="M193" s="282"/>
      <c r="N193" s="822"/>
      <c r="O193" s="822"/>
      <c r="P193" s="822"/>
    </row>
    <row r="194" spans="1:16" s="270" customFormat="1" ht="27.6" customHeight="1">
      <c r="A194" s="282">
        <f t="shared" si="3"/>
        <v>53</v>
      </c>
      <c r="B194" s="285" t="s">
        <v>125</v>
      </c>
      <c r="C194" s="181" t="s">
        <v>448</v>
      </c>
      <c r="D194" s="282" t="s">
        <v>239</v>
      </c>
      <c r="E194" s="283">
        <v>45820</v>
      </c>
      <c r="F194" s="284">
        <v>27</v>
      </c>
      <c r="G194" s="817" t="s">
        <v>402</v>
      </c>
      <c r="H194" s="817"/>
      <c r="I194" s="817"/>
      <c r="J194" s="817"/>
      <c r="K194" s="283">
        <v>45825</v>
      </c>
      <c r="L194" s="282" t="s">
        <v>650</v>
      </c>
      <c r="M194" s="282"/>
      <c r="N194" s="822"/>
      <c r="O194" s="822"/>
      <c r="P194" s="822"/>
    </row>
    <row r="195" spans="1:16" s="270" customFormat="1" ht="27.6" customHeight="1">
      <c r="A195" s="282">
        <f t="shared" si="3"/>
        <v>54</v>
      </c>
      <c r="B195" s="455" t="s">
        <v>122</v>
      </c>
      <c r="C195" s="181" t="s">
        <v>662</v>
      </c>
      <c r="D195" s="282" t="s">
        <v>239</v>
      </c>
      <c r="E195" s="283">
        <v>45822</v>
      </c>
      <c r="F195" s="284">
        <v>56</v>
      </c>
      <c r="G195" s="817" t="s">
        <v>402</v>
      </c>
      <c r="H195" s="817"/>
      <c r="I195" s="817"/>
      <c r="J195" s="817"/>
      <c r="K195" s="183">
        <v>45832</v>
      </c>
      <c r="L195" s="282" t="s">
        <v>649</v>
      </c>
      <c r="M195" s="282"/>
      <c r="N195" s="822"/>
      <c r="O195" s="822"/>
      <c r="P195" s="822"/>
    </row>
    <row r="196" spans="1:16" s="270" customFormat="1" ht="27.6" customHeight="1">
      <c r="A196" s="282">
        <f t="shared" si="3"/>
        <v>55</v>
      </c>
      <c r="B196" s="455" t="s">
        <v>630</v>
      </c>
      <c r="C196" s="181" t="s">
        <v>631</v>
      </c>
      <c r="D196" s="282" t="s">
        <v>239</v>
      </c>
      <c r="E196" s="283">
        <v>45827</v>
      </c>
      <c r="F196" s="284">
        <v>47</v>
      </c>
      <c r="G196" s="817" t="s">
        <v>402</v>
      </c>
      <c r="H196" s="817"/>
      <c r="I196" s="817"/>
      <c r="J196" s="817"/>
      <c r="K196" s="183">
        <v>45839</v>
      </c>
      <c r="L196" s="282" t="s">
        <v>650</v>
      </c>
      <c r="M196" s="282"/>
      <c r="N196" s="822"/>
      <c r="O196" s="822"/>
      <c r="P196" s="822"/>
    </row>
    <row r="197" spans="1:16" s="270" customFormat="1" ht="27.6" customHeight="1">
      <c r="A197" s="282">
        <f t="shared" si="3"/>
        <v>56</v>
      </c>
      <c r="B197" s="455" t="s">
        <v>615</v>
      </c>
      <c r="C197" s="181" t="s">
        <v>401</v>
      </c>
      <c r="D197" s="282" t="s">
        <v>239</v>
      </c>
      <c r="E197" s="283">
        <v>45841</v>
      </c>
      <c r="F197" s="284">
        <v>28</v>
      </c>
      <c r="G197" s="817" t="s">
        <v>402</v>
      </c>
      <c r="H197" s="817"/>
      <c r="I197" s="817"/>
      <c r="J197" s="817"/>
      <c r="K197" s="183">
        <v>45850</v>
      </c>
      <c r="L197" s="463" t="s">
        <v>686</v>
      </c>
      <c r="M197" s="282"/>
      <c r="N197" s="822"/>
      <c r="O197" s="822"/>
      <c r="P197" s="822"/>
    </row>
    <row r="198" spans="1:16" s="270" customFormat="1" ht="27.6" customHeight="1">
      <c r="A198" s="282">
        <f t="shared" si="3"/>
        <v>57</v>
      </c>
      <c r="B198" s="455" t="s">
        <v>596</v>
      </c>
      <c r="C198" s="181" t="s">
        <v>595</v>
      </c>
      <c r="D198" s="282" t="s">
        <v>239</v>
      </c>
      <c r="E198" s="283">
        <v>45841</v>
      </c>
      <c r="F198" s="284">
        <v>54</v>
      </c>
      <c r="G198" s="817" t="s">
        <v>402</v>
      </c>
      <c r="H198" s="817"/>
      <c r="I198" s="817"/>
      <c r="J198" s="817"/>
      <c r="K198" s="183">
        <v>45859</v>
      </c>
      <c r="L198" s="282" t="s">
        <v>649</v>
      </c>
      <c r="M198" s="282"/>
      <c r="N198" s="822"/>
      <c r="O198" s="822"/>
      <c r="P198" s="822"/>
    </row>
    <row r="199" spans="1:16" s="270" customFormat="1" ht="27.6" customHeight="1">
      <c r="A199" s="282">
        <f t="shared" si="3"/>
        <v>58</v>
      </c>
      <c r="B199" s="455" t="s">
        <v>518</v>
      </c>
      <c r="C199" s="181" t="s">
        <v>590</v>
      </c>
      <c r="D199" s="282" t="s">
        <v>239</v>
      </c>
      <c r="E199" s="283">
        <v>45841</v>
      </c>
      <c r="F199" s="284">
        <v>47</v>
      </c>
      <c r="G199" s="817" t="s">
        <v>402</v>
      </c>
      <c r="H199" s="817"/>
      <c r="I199" s="817"/>
      <c r="J199" s="817"/>
      <c r="K199" s="183">
        <v>45852</v>
      </c>
      <c r="L199" s="282" t="s">
        <v>687</v>
      </c>
      <c r="M199" s="282"/>
      <c r="N199" s="822"/>
      <c r="O199" s="822"/>
      <c r="P199" s="822"/>
    </row>
    <row r="200" spans="1:16" s="270" customFormat="1" ht="27.6" customHeight="1">
      <c r="A200" s="282">
        <f t="shared" si="3"/>
        <v>59</v>
      </c>
      <c r="B200" s="455" t="s">
        <v>21</v>
      </c>
      <c r="C200" s="181" t="s">
        <v>401</v>
      </c>
      <c r="D200" s="282" t="s">
        <v>239</v>
      </c>
      <c r="E200" s="283">
        <v>45852</v>
      </c>
      <c r="F200" s="284">
        <v>28</v>
      </c>
      <c r="G200" s="817" t="s">
        <v>402</v>
      </c>
      <c r="H200" s="817"/>
      <c r="I200" s="817"/>
      <c r="J200" s="817"/>
      <c r="K200" s="183">
        <v>45858</v>
      </c>
      <c r="L200" s="463" t="s">
        <v>686</v>
      </c>
      <c r="M200" s="282"/>
      <c r="N200" s="822"/>
      <c r="O200" s="822"/>
      <c r="P200" s="822"/>
    </row>
    <row r="201" spans="1:16" s="270" customFormat="1" ht="27.6" customHeight="1">
      <c r="A201" s="282">
        <f t="shared" si="3"/>
        <v>60</v>
      </c>
      <c r="B201" s="455" t="s">
        <v>142</v>
      </c>
      <c r="C201" s="181" t="s">
        <v>453</v>
      </c>
      <c r="D201" s="282" t="s">
        <v>239</v>
      </c>
      <c r="E201" s="283">
        <v>45853</v>
      </c>
      <c r="F201" s="284">
        <v>34.6</v>
      </c>
      <c r="G201" s="817" t="s">
        <v>402</v>
      </c>
      <c r="H201" s="817"/>
      <c r="I201" s="817"/>
      <c r="J201" s="817"/>
      <c r="K201" s="183">
        <v>45861</v>
      </c>
      <c r="L201" s="463" t="s">
        <v>687</v>
      </c>
      <c r="M201" s="282"/>
      <c r="N201" s="822"/>
      <c r="O201" s="822"/>
      <c r="P201" s="822"/>
    </row>
    <row r="202" spans="1:16" s="270" customFormat="1" ht="27.6" customHeight="1">
      <c r="A202" s="282">
        <f t="shared" si="3"/>
        <v>61</v>
      </c>
      <c r="B202" s="455" t="s">
        <v>138</v>
      </c>
      <c r="C202" s="181" t="s">
        <v>453</v>
      </c>
      <c r="D202" s="282" t="s">
        <v>239</v>
      </c>
      <c r="E202" s="283">
        <v>45859</v>
      </c>
      <c r="F202" s="284">
        <v>34.6</v>
      </c>
      <c r="G202" s="817" t="s">
        <v>402</v>
      </c>
      <c r="H202" s="817"/>
      <c r="I202" s="817"/>
      <c r="J202" s="817"/>
      <c r="K202" s="183">
        <v>45869</v>
      </c>
      <c r="L202" s="463" t="s">
        <v>687</v>
      </c>
      <c r="M202" s="282"/>
      <c r="N202" s="822"/>
      <c r="O202" s="822"/>
      <c r="P202" s="822"/>
    </row>
    <row r="203" spans="1:16" s="270" customFormat="1" ht="27.6" customHeight="1">
      <c r="A203" s="282">
        <f t="shared" si="3"/>
        <v>62</v>
      </c>
      <c r="B203" s="455" t="s">
        <v>134</v>
      </c>
      <c r="C203" s="181" t="s">
        <v>401</v>
      </c>
      <c r="D203" s="282" t="s">
        <v>239</v>
      </c>
      <c r="E203" s="283">
        <v>45860</v>
      </c>
      <c r="F203" s="284">
        <v>28</v>
      </c>
      <c r="G203" s="817" t="s">
        <v>402</v>
      </c>
      <c r="H203" s="817"/>
      <c r="I203" s="817"/>
      <c r="J203" s="817"/>
      <c r="K203" s="183">
        <v>45868</v>
      </c>
      <c r="L203" s="463" t="s">
        <v>686</v>
      </c>
      <c r="M203" s="282"/>
      <c r="N203" s="822"/>
      <c r="O203" s="822"/>
      <c r="P203" s="822"/>
    </row>
    <row r="204" spans="1:16" s="270" customFormat="1" ht="27.6" customHeight="1">
      <c r="A204" s="282">
        <f t="shared" si="3"/>
        <v>63</v>
      </c>
      <c r="B204" s="455" t="s">
        <v>130</v>
      </c>
      <c r="C204" s="181" t="s">
        <v>444</v>
      </c>
      <c r="D204" s="282" t="s">
        <v>239</v>
      </c>
      <c r="E204" s="283">
        <v>45859</v>
      </c>
      <c r="F204" s="284">
        <v>29</v>
      </c>
      <c r="G204" s="817" t="s">
        <v>402</v>
      </c>
      <c r="H204" s="817"/>
      <c r="I204" s="817"/>
      <c r="J204" s="817"/>
      <c r="K204" s="183">
        <v>45876</v>
      </c>
      <c r="L204" s="282" t="s">
        <v>685</v>
      </c>
      <c r="M204" s="282"/>
      <c r="N204" s="822"/>
      <c r="O204" s="822"/>
      <c r="P204" s="822"/>
    </row>
    <row r="205" spans="1:16" s="270" customFormat="1" ht="27.6" customHeight="1">
      <c r="A205" s="282">
        <f t="shared" si="3"/>
        <v>64</v>
      </c>
      <c r="B205" s="455" t="s">
        <v>149</v>
      </c>
      <c r="C205" s="181" t="s">
        <v>444</v>
      </c>
      <c r="D205" s="282" t="s">
        <v>239</v>
      </c>
      <c r="E205" s="283">
        <v>45862</v>
      </c>
      <c r="F205" s="284">
        <v>29</v>
      </c>
      <c r="G205" s="817" t="s">
        <v>402</v>
      </c>
      <c r="H205" s="817"/>
      <c r="I205" s="817"/>
      <c r="J205" s="817"/>
      <c r="K205" s="183">
        <v>45875</v>
      </c>
      <c r="L205" s="282" t="s">
        <v>688</v>
      </c>
      <c r="M205" s="282"/>
      <c r="N205" s="874"/>
      <c r="O205" s="874"/>
      <c r="P205" s="874"/>
    </row>
    <row r="206" spans="1:16" s="270" customFormat="1" ht="27.6" customHeight="1">
      <c r="A206" s="282">
        <f t="shared" si="3"/>
        <v>65</v>
      </c>
      <c r="B206" s="455" t="s">
        <v>131</v>
      </c>
      <c r="C206" s="181" t="s">
        <v>444</v>
      </c>
      <c r="D206" s="282" t="s">
        <v>239</v>
      </c>
      <c r="E206" s="283">
        <v>45837</v>
      </c>
      <c r="F206" s="284">
        <v>29</v>
      </c>
      <c r="G206" s="817" t="s">
        <v>402</v>
      </c>
      <c r="H206" s="817"/>
      <c r="I206" s="817"/>
      <c r="J206" s="817"/>
      <c r="K206" s="183">
        <v>45876</v>
      </c>
      <c r="L206" s="463" t="s">
        <v>686</v>
      </c>
      <c r="M206" s="282"/>
      <c r="N206" s="874"/>
      <c r="O206" s="874"/>
      <c r="P206" s="874"/>
    </row>
    <row r="207" spans="1:16" s="422" customFormat="1" ht="27.6" customHeight="1">
      <c r="A207" s="462">
        <f>A206+1</f>
        <v>66</v>
      </c>
      <c r="B207" s="455" t="s">
        <v>19</v>
      </c>
      <c r="C207" s="429" t="s">
        <v>589</v>
      </c>
      <c r="D207" s="462" t="s">
        <v>239</v>
      </c>
      <c r="E207" s="283">
        <v>45875</v>
      </c>
      <c r="F207" s="284">
        <v>54</v>
      </c>
      <c r="G207" s="817" t="s">
        <v>402</v>
      </c>
      <c r="H207" s="817"/>
      <c r="I207" s="817"/>
      <c r="J207" s="817"/>
      <c r="K207" s="183">
        <v>45888</v>
      </c>
      <c r="L207" s="463" t="s">
        <v>687</v>
      </c>
      <c r="M207" s="462"/>
      <c r="N207" s="822"/>
      <c r="O207" s="822"/>
      <c r="P207" s="822"/>
    </row>
    <row r="208" spans="1:16" s="422" customFormat="1" ht="27.6" customHeight="1">
      <c r="A208" s="462">
        <f t="shared" ref="A208:A259" si="4">A207+1</f>
        <v>67</v>
      </c>
      <c r="B208" s="455" t="s">
        <v>139</v>
      </c>
      <c r="C208" s="181" t="s">
        <v>453</v>
      </c>
      <c r="D208" s="462" t="s">
        <v>239</v>
      </c>
      <c r="E208" s="283">
        <v>45876</v>
      </c>
      <c r="F208" s="284">
        <v>34.630000000000003</v>
      </c>
      <c r="G208" s="817" t="s">
        <v>402</v>
      </c>
      <c r="H208" s="817"/>
      <c r="I208" s="817"/>
      <c r="J208" s="817"/>
      <c r="K208" s="183">
        <v>45886</v>
      </c>
      <c r="L208" s="463" t="s">
        <v>686</v>
      </c>
      <c r="M208" s="462"/>
      <c r="N208" s="822"/>
      <c r="O208" s="822"/>
      <c r="P208" s="822"/>
    </row>
    <row r="209" spans="1:16" s="422" customFormat="1" ht="27.6" customHeight="1">
      <c r="A209" s="462">
        <f t="shared" si="4"/>
        <v>68</v>
      </c>
      <c r="B209" s="455" t="s">
        <v>605</v>
      </c>
      <c r="C209" s="181" t="s">
        <v>629</v>
      </c>
      <c r="D209" s="462" t="s">
        <v>239</v>
      </c>
      <c r="E209" s="283">
        <v>45876</v>
      </c>
      <c r="F209" s="284">
        <v>51.6</v>
      </c>
      <c r="G209" s="817" t="s">
        <v>402</v>
      </c>
      <c r="H209" s="817"/>
      <c r="I209" s="817"/>
      <c r="J209" s="817"/>
      <c r="K209" s="183">
        <v>45885</v>
      </c>
      <c r="L209" s="462" t="s">
        <v>684</v>
      </c>
      <c r="M209" s="462"/>
      <c r="N209" s="822"/>
      <c r="O209" s="822"/>
      <c r="P209" s="822"/>
    </row>
    <row r="210" spans="1:16" s="270" customFormat="1" ht="27.6" customHeight="1">
      <c r="A210" s="463">
        <f t="shared" si="4"/>
        <v>69</v>
      </c>
      <c r="B210" s="455" t="s">
        <v>165</v>
      </c>
      <c r="C210" s="181" t="s">
        <v>401</v>
      </c>
      <c r="D210" s="463" t="s">
        <v>239</v>
      </c>
      <c r="E210" s="283">
        <v>45878</v>
      </c>
      <c r="F210" s="284">
        <v>28</v>
      </c>
      <c r="G210" s="817" t="s">
        <v>402</v>
      </c>
      <c r="H210" s="817"/>
      <c r="I210" s="817"/>
      <c r="J210" s="817"/>
      <c r="K210" s="183">
        <v>45891</v>
      </c>
      <c r="L210" s="463" t="s">
        <v>685</v>
      </c>
      <c r="M210" s="463"/>
      <c r="N210" s="822"/>
      <c r="O210" s="822"/>
      <c r="P210" s="822"/>
    </row>
    <row r="211" spans="1:16" s="270" customFormat="1" ht="27.6" customHeight="1">
      <c r="A211" s="468">
        <f t="shared" si="4"/>
        <v>70</v>
      </c>
      <c r="B211" s="455" t="s">
        <v>8</v>
      </c>
      <c r="C211" s="181" t="s">
        <v>452</v>
      </c>
      <c r="D211" s="468" t="s">
        <v>239</v>
      </c>
      <c r="E211" s="283">
        <v>45885</v>
      </c>
      <c r="F211" s="284">
        <v>33</v>
      </c>
      <c r="G211" s="817" t="s">
        <v>402</v>
      </c>
      <c r="H211" s="817"/>
      <c r="I211" s="817"/>
      <c r="J211" s="817"/>
      <c r="K211" s="183">
        <v>45901</v>
      </c>
      <c r="L211" s="468" t="s">
        <v>684</v>
      </c>
      <c r="M211" s="468"/>
      <c r="N211" s="467"/>
      <c r="O211" s="467"/>
      <c r="P211" s="467"/>
    </row>
    <row r="212" spans="1:16" s="270" customFormat="1" ht="27.6" customHeight="1">
      <c r="A212" s="466">
        <f t="shared" si="4"/>
        <v>71</v>
      </c>
      <c r="B212" s="455" t="s">
        <v>150</v>
      </c>
      <c r="C212" s="181" t="s">
        <v>401</v>
      </c>
      <c r="D212" s="466" t="s">
        <v>239</v>
      </c>
      <c r="E212" s="283">
        <v>45887</v>
      </c>
      <c r="F212" s="284">
        <v>28</v>
      </c>
      <c r="G212" s="817" t="s">
        <v>402</v>
      </c>
      <c r="H212" s="817"/>
      <c r="I212" s="817"/>
      <c r="J212" s="817"/>
      <c r="K212" s="183">
        <v>45895</v>
      </c>
      <c r="L212" s="466" t="s">
        <v>686</v>
      </c>
      <c r="M212" s="466"/>
      <c r="N212" s="467"/>
      <c r="O212" s="467"/>
      <c r="P212" s="467"/>
    </row>
    <row r="213" spans="1:16" s="270" customFormat="1" ht="27.6" customHeight="1">
      <c r="A213" s="466">
        <f t="shared" si="4"/>
        <v>72</v>
      </c>
      <c r="B213" s="455" t="s">
        <v>654</v>
      </c>
      <c r="C213" s="181" t="s">
        <v>643</v>
      </c>
      <c r="D213" s="466" t="s">
        <v>239</v>
      </c>
      <c r="E213" s="283">
        <v>45888</v>
      </c>
      <c r="F213" s="284">
        <v>51.6</v>
      </c>
      <c r="G213" s="817" t="s">
        <v>402</v>
      </c>
      <c r="H213" s="817"/>
      <c r="I213" s="817"/>
      <c r="J213" s="817"/>
      <c r="K213" s="183">
        <v>45895</v>
      </c>
      <c r="L213" s="466" t="s">
        <v>684</v>
      </c>
      <c r="M213" s="466"/>
      <c r="N213" s="822"/>
      <c r="O213" s="822"/>
      <c r="P213" s="822"/>
    </row>
    <row r="214" spans="1:16" s="270" customFormat="1" ht="27.6" customHeight="1">
      <c r="A214" s="466">
        <f t="shared" si="4"/>
        <v>73</v>
      </c>
      <c r="B214" s="455" t="s">
        <v>155</v>
      </c>
      <c r="C214" s="181" t="s">
        <v>401</v>
      </c>
      <c r="D214" s="466" t="s">
        <v>239</v>
      </c>
      <c r="E214" s="283">
        <v>45891</v>
      </c>
      <c r="F214" s="284">
        <v>28</v>
      </c>
      <c r="G214" s="817" t="s">
        <v>402</v>
      </c>
      <c r="H214" s="817"/>
      <c r="I214" s="817"/>
      <c r="J214" s="817"/>
      <c r="K214" s="183">
        <v>45895</v>
      </c>
      <c r="L214" s="466" t="s">
        <v>687</v>
      </c>
      <c r="M214" s="466"/>
      <c r="N214" s="822"/>
      <c r="O214" s="822"/>
      <c r="P214" s="822"/>
    </row>
    <row r="215" spans="1:16" s="270" customFormat="1" ht="27.6" customHeight="1">
      <c r="A215" s="516">
        <f t="shared" si="4"/>
        <v>74</v>
      </c>
      <c r="B215" s="455" t="s">
        <v>559</v>
      </c>
      <c r="C215" s="181" t="s">
        <v>401</v>
      </c>
      <c r="D215" s="516" t="s">
        <v>239</v>
      </c>
      <c r="E215" s="283">
        <v>45895</v>
      </c>
      <c r="F215" s="284">
        <v>28</v>
      </c>
      <c r="G215" s="817" t="s">
        <v>402</v>
      </c>
      <c r="H215" s="817"/>
      <c r="I215" s="817"/>
      <c r="J215" s="817"/>
      <c r="K215" s="183">
        <v>45947</v>
      </c>
      <c r="L215" s="516" t="s">
        <v>687</v>
      </c>
      <c r="M215" s="516"/>
      <c r="N215" s="467"/>
      <c r="O215" s="467"/>
      <c r="P215" s="467"/>
    </row>
    <row r="216" spans="1:16" s="270" customFormat="1" ht="27.6" customHeight="1">
      <c r="A216" s="477">
        <f t="shared" si="4"/>
        <v>75</v>
      </c>
      <c r="B216" s="455" t="s">
        <v>119</v>
      </c>
      <c r="C216" s="181" t="s">
        <v>453</v>
      </c>
      <c r="D216" s="477" t="s">
        <v>239</v>
      </c>
      <c r="E216" s="283">
        <v>45900</v>
      </c>
      <c r="F216" s="284">
        <v>35</v>
      </c>
      <c r="G216" s="817" t="s">
        <v>402</v>
      </c>
      <c r="H216" s="817"/>
      <c r="I216" s="817"/>
      <c r="J216" s="817"/>
      <c r="K216" s="183">
        <v>45910</v>
      </c>
      <c r="L216" s="477" t="s">
        <v>686</v>
      </c>
      <c r="M216" s="477"/>
      <c r="N216" s="467"/>
      <c r="O216" s="467"/>
      <c r="P216" s="467"/>
    </row>
    <row r="217" spans="1:16" s="270" customFormat="1" ht="27.6" customHeight="1">
      <c r="A217" s="478">
        <f t="shared" si="4"/>
        <v>76</v>
      </c>
      <c r="B217" s="455" t="s">
        <v>607</v>
      </c>
      <c r="C217" s="181" t="s">
        <v>695</v>
      </c>
      <c r="D217" s="478" t="s">
        <v>239</v>
      </c>
      <c r="E217" s="283">
        <v>45901</v>
      </c>
      <c r="F217" s="284">
        <v>63</v>
      </c>
      <c r="G217" s="817" t="s">
        <v>402</v>
      </c>
      <c r="H217" s="817"/>
      <c r="I217" s="817"/>
      <c r="J217" s="817"/>
      <c r="K217" s="183">
        <v>45912</v>
      </c>
      <c r="L217" s="478" t="s">
        <v>687</v>
      </c>
      <c r="M217" s="478"/>
      <c r="N217" s="467"/>
      <c r="O217" s="467"/>
      <c r="P217" s="467"/>
    </row>
    <row r="218" spans="1:16" s="270" customFormat="1" ht="27.6" customHeight="1">
      <c r="A218" s="476">
        <f t="shared" si="4"/>
        <v>77</v>
      </c>
      <c r="B218" s="455" t="s">
        <v>164</v>
      </c>
      <c r="C218" s="181" t="s">
        <v>401</v>
      </c>
      <c r="D218" s="476" t="s">
        <v>239</v>
      </c>
      <c r="E218" s="283">
        <v>45903</v>
      </c>
      <c r="F218" s="284">
        <v>27.9</v>
      </c>
      <c r="G218" s="817" t="s">
        <v>402</v>
      </c>
      <c r="H218" s="817"/>
      <c r="I218" s="817"/>
      <c r="J218" s="817"/>
      <c r="K218" s="183">
        <v>45907</v>
      </c>
      <c r="L218" s="476" t="s">
        <v>684</v>
      </c>
      <c r="M218" s="476"/>
      <c r="N218" s="467"/>
      <c r="O218" s="467"/>
      <c r="P218" s="467"/>
    </row>
    <row r="219" spans="1:16" s="270" customFormat="1" ht="43.2" customHeight="1">
      <c r="A219" s="491">
        <f t="shared" si="4"/>
        <v>78</v>
      </c>
      <c r="B219" s="455" t="s">
        <v>645</v>
      </c>
      <c r="C219" s="181" t="s">
        <v>476</v>
      </c>
      <c r="D219" s="491" t="s">
        <v>239</v>
      </c>
      <c r="E219" s="283">
        <v>45905</v>
      </c>
      <c r="F219" s="284">
        <v>45</v>
      </c>
      <c r="G219" s="817" t="s">
        <v>402</v>
      </c>
      <c r="H219" s="817"/>
      <c r="I219" s="817"/>
      <c r="J219" s="817"/>
      <c r="K219" s="183">
        <v>45933</v>
      </c>
      <c r="L219" s="491" t="s">
        <v>685</v>
      </c>
      <c r="M219" s="491"/>
      <c r="N219" s="818"/>
      <c r="O219" s="819"/>
      <c r="P219" s="819"/>
    </row>
    <row r="220" spans="1:16" s="270" customFormat="1" ht="27.6" customHeight="1">
      <c r="A220" s="613">
        <f t="shared" si="4"/>
        <v>79</v>
      </c>
      <c r="B220" s="455" t="s">
        <v>40</v>
      </c>
      <c r="C220" s="181" t="s">
        <v>444</v>
      </c>
      <c r="D220" s="479" t="s">
        <v>239</v>
      </c>
      <c r="E220" s="283">
        <v>45909</v>
      </c>
      <c r="F220" s="284">
        <v>29</v>
      </c>
      <c r="G220" s="817" t="s">
        <v>402</v>
      </c>
      <c r="H220" s="817"/>
      <c r="I220" s="817"/>
      <c r="J220" s="817"/>
      <c r="K220" s="183">
        <v>45913</v>
      </c>
      <c r="L220" s="479" t="s">
        <v>684</v>
      </c>
      <c r="M220" s="479"/>
      <c r="N220" s="467"/>
      <c r="O220" s="467"/>
      <c r="P220" s="467"/>
    </row>
    <row r="221" spans="1:16" s="270" customFormat="1" ht="27.6" customHeight="1">
      <c r="A221" s="491">
        <f t="shared" si="4"/>
        <v>80</v>
      </c>
      <c r="B221" s="455" t="s">
        <v>154</v>
      </c>
      <c r="C221" s="181" t="s">
        <v>452</v>
      </c>
      <c r="D221" s="491" t="s">
        <v>239</v>
      </c>
      <c r="E221" s="283">
        <v>45909</v>
      </c>
      <c r="F221" s="284">
        <v>33.299999999999997</v>
      </c>
      <c r="G221" s="817" t="s">
        <v>402</v>
      </c>
      <c r="H221" s="817"/>
      <c r="I221" s="817"/>
      <c r="J221" s="817"/>
      <c r="K221" s="183">
        <v>45930</v>
      </c>
      <c r="L221" s="491" t="s">
        <v>696</v>
      </c>
      <c r="M221" s="491"/>
      <c r="N221" s="467"/>
      <c r="O221" s="467"/>
      <c r="P221" s="467"/>
    </row>
    <row r="222" spans="1:16" s="270" customFormat="1" ht="27.6" customHeight="1">
      <c r="A222" s="485">
        <f t="shared" si="4"/>
        <v>81</v>
      </c>
      <c r="B222" s="455" t="s">
        <v>118</v>
      </c>
      <c r="C222" s="181" t="s">
        <v>452</v>
      </c>
      <c r="D222" s="485" t="s">
        <v>239</v>
      </c>
      <c r="E222" s="283">
        <v>45912</v>
      </c>
      <c r="F222" s="284">
        <v>33.299999999999997</v>
      </c>
      <c r="G222" s="817" t="s">
        <v>402</v>
      </c>
      <c r="H222" s="817"/>
      <c r="I222" s="817"/>
      <c r="J222" s="817"/>
      <c r="K222" s="183">
        <v>45922</v>
      </c>
      <c r="L222" s="485" t="s">
        <v>699</v>
      </c>
      <c r="M222" s="485"/>
      <c r="N222" s="467"/>
      <c r="O222" s="467"/>
      <c r="P222" s="467"/>
    </row>
    <row r="223" spans="1:16" s="270" customFormat="1" ht="27.6" customHeight="1">
      <c r="A223" s="487">
        <f t="shared" si="4"/>
        <v>82</v>
      </c>
      <c r="B223" s="455" t="s">
        <v>562</v>
      </c>
      <c r="C223" s="181" t="s">
        <v>643</v>
      </c>
      <c r="D223" s="487" t="s">
        <v>239</v>
      </c>
      <c r="E223" s="283">
        <v>45914</v>
      </c>
      <c r="F223" s="284">
        <v>51.7</v>
      </c>
      <c r="G223" s="817" t="s">
        <v>402</v>
      </c>
      <c r="H223" s="817"/>
      <c r="I223" s="817"/>
      <c r="J223" s="817"/>
      <c r="K223" s="183">
        <v>45925</v>
      </c>
      <c r="L223" s="487" t="s">
        <v>687</v>
      </c>
      <c r="M223" s="487"/>
      <c r="N223" s="467"/>
      <c r="O223" s="467"/>
      <c r="P223" s="467"/>
    </row>
    <row r="224" spans="1:16" s="270" customFormat="1" ht="34.799999999999997" customHeight="1">
      <c r="A224" s="486">
        <f t="shared" si="4"/>
        <v>83</v>
      </c>
      <c r="B224" s="455" t="s">
        <v>680</v>
      </c>
      <c r="C224" s="181" t="s">
        <v>598</v>
      </c>
      <c r="D224" s="486" t="s">
        <v>239</v>
      </c>
      <c r="E224" s="283">
        <v>45916</v>
      </c>
      <c r="F224" s="284">
        <v>60</v>
      </c>
      <c r="G224" s="817" t="s">
        <v>402</v>
      </c>
      <c r="H224" s="817"/>
      <c r="I224" s="817"/>
      <c r="J224" s="817"/>
      <c r="K224" s="183">
        <v>45923</v>
      </c>
      <c r="L224" s="486" t="s">
        <v>684</v>
      </c>
      <c r="M224" s="486"/>
      <c r="N224" s="818"/>
      <c r="O224" s="819"/>
      <c r="P224" s="819"/>
    </row>
    <row r="225" spans="1:16" s="270" customFormat="1" ht="34.799999999999997" customHeight="1">
      <c r="A225" s="491">
        <f t="shared" si="4"/>
        <v>84</v>
      </c>
      <c r="B225" s="455" t="s">
        <v>117</v>
      </c>
      <c r="C225" s="181" t="s">
        <v>448</v>
      </c>
      <c r="D225" s="491" t="s">
        <v>239</v>
      </c>
      <c r="E225" s="283">
        <v>45922</v>
      </c>
      <c r="F225" s="284">
        <v>27</v>
      </c>
      <c r="G225" s="817" t="s">
        <v>402</v>
      </c>
      <c r="H225" s="817"/>
      <c r="I225" s="817"/>
      <c r="J225" s="817"/>
      <c r="K225" s="183">
        <v>45930</v>
      </c>
      <c r="L225" s="491" t="s">
        <v>699</v>
      </c>
      <c r="M225" s="491"/>
      <c r="N225" s="818"/>
      <c r="O225" s="819"/>
      <c r="P225" s="819"/>
    </row>
    <row r="226" spans="1:16" s="270" customFormat="1" ht="34.799999999999997" customHeight="1">
      <c r="A226" s="491">
        <f t="shared" si="4"/>
        <v>85</v>
      </c>
      <c r="B226" s="455" t="s">
        <v>665</v>
      </c>
      <c r="C226" s="181" t="s">
        <v>666</v>
      </c>
      <c r="D226" s="491" t="s">
        <v>239</v>
      </c>
      <c r="E226" s="283">
        <v>45925</v>
      </c>
      <c r="F226" s="284">
        <v>50</v>
      </c>
      <c r="G226" s="817" t="s">
        <v>402</v>
      </c>
      <c r="H226" s="817"/>
      <c r="I226" s="817"/>
      <c r="J226" s="817"/>
      <c r="K226" s="183">
        <v>45931</v>
      </c>
      <c r="L226" s="491" t="s">
        <v>684</v>
      </c>
      <c r="M226" s="491"/>
      <c r="N226" s="818"/>
      <c r="O226" s="819"/>
      <c r="P226" s="819"/>
    </row>
    <row r="227" spans="1:16" s="270" customFormat="1" ht="34.799999999999997" customHeight="1">
      <c r="A227" s="507">
        <f t="shared" si="4"/>
        <v>86</v>
      </c>
      <c r="B227" s="455" t="s">
        <v>173</v>
      </c>
      <c r="C227" s="181" t="s">
        <v>448</v>
      </c>
      <c r="D227" s="507" t="s">
        <v>239</v>
      </c>
      <c r="E227" s="283">
        <v>45928</v>
      </c>
      <c r="F227" s="284">
        <v>27</v>
      </c>
      <c r="G227" s="817" t="s">
        <v>402</v>
      </c>
      <c r="H227" s="817"/>
      <c r="I227" s="817"/>
      <c r="J227" s="817"/>
      <c r="K227" s="183">
        <v>45935</v>
      </c>
      <c r="L227" s="507" t="s">
        <v>687</v>
      </c>
      <c r="M227" s="507"/>
      <c r="N227" s="818"/>
      <c r="O227" s="819"/>
      <c r="P227" s="819"/>
    </row>
    <row r="228" spans="1:16" s="270" customFormat="1" ht="34.799999999999997" customHeight="1">
      <c r="A228" s="516">
        <f t="shared" si="4"/>
        <v>87</v>
      </c>
      <c r="B228" s="455" t="s">
        <v>689</v>
      </c>
      <c r="C228" s="181" t="s">
        <v>690</v>
      </c>
      <c r="D228" s="516" t="s">
        <v>239</v>
      </c>
      <c r="E228" s="283">
        <v>45929</v>
      </c>
      <c r="F228" s="284">
        <v>60</v>
      </c>
      <c r="G228" s="817" t="s">
        <v>402</v>
      </c>
      <c r="H228" s="817"/>
      <c r="I228" s="817"/>
      <c r="J228" s="817"/>
      <c r="K228" s="183">
        <v>45947</v>
      </c>
      <c r="L228" s="516" t="s">
        <v>696</v>
      </c>
      <c r="M228" s="516"/>
      <c r="N228" s="818"/>
      <c r="O228" s="819"/>
      <c r="P228" s="819"/>
    </row>
    <row r="229" spans="1:16" s="270" customFormat="1" ht="34.799999999999997" customHeight="1">
      <c r="A229" s="516">
        <f t="shared" si="4"/>
        <v>88</v>
      </c>
      <c r="B229" s="455" t="s">
        <v>597</v>
      </c>
      <c r="C229" s="181" t="s">
        <v>598</v>
      </c>
      <c r="D229" s="516" t="s">
        <v>239</v>
      </c>
      <c r="E229" s="283">
        <v>45934</v>
      </c>
      <c r="F229" s="284">
        <v>60</v>
      </c>
      <c r="G229" s="817" t="s">
        <v>402</v>
      </c>
      <c r="H229" s="817"/>
      <c r="I229" s="817"/>
      <c r="J229" s="817"/>
      <c r="K229" s="183">
        <v>45947</v>
      </c>
      <c r="L229" s="516" t="s">
        <v>699</v>
      </c>
      <c r="M229" s="516"/>
      <c r="N229" s="818"/>
      <c r="O229" s="819"/>
      <c r="P229" s="819"/>
    </row>
    <row r="230" spans="1:16" s="270" customFormat="1" ht="34.799999999999997" customHeight="1">
      <c r="A230" s="566">
        <f t="shared" si="4"/>
        <v>89</v>
      </c>
      <c r="B230" s="455" t="s">
        <v>658</v>
      </c>
      <c r="C230" s="181" t="s">
        <v>116</v>
      </c>
      <c r="D230" s="566" t="s">
        <v>239</v>
      </c>
      <c r="E230" s="283">
        <v>45946</v>
      </c>
      <c r="F230" s="284">
        <v>89</v>
      </c>
      <c r="G230" s="817" t="s">
        <v>402</v>
      </c>
      <c r="H230" s="817"/>
      <c r="I230" s="817"/>
      <c r="J230" s="817"/>
      <c r="K230" s="183">
        <v>45968</v>
      </c>
      <c r="L230" s="566" t="s">
        <v>699</v>
      </c>
      <c r="M230" s="566"/>
      <c r="N230" s="818"/>
      <c r="O230" s="819"/>
      <c r="P230" s="819"/>
    </row>
    <row r="231" spans="1:16" s="270" customFormat="1" ht="34.799999999999997" customHeight="1">
      <c r="A231" s="576">
        <f t="shared" si="4"/>
        <v>90</v>
      </c>
      <c r="B231" s="455" t="s">
        <v>663</v>
      </c>
      <c r="C231" s="181" t="s">
        <v>116</v>
      </c>
      <c r="D231" s="576" t="s">
        <v>239</v>
      </c>
      <c r="E231" s="283">
        <v>45946</v>
      </c>
      <c r="F231" s="284">
        <v>89</v>
      </c>
      <c r="G231" s="817" t="s">
        <v>402</v>
      </c>
      <c r="H231" s="817"/>
      <c r="I231" s="817"/>
      <c r="J231" s="817"/>
      <c r="K231" s="183">
        <v>45990</v>
      </c>
      <c r="L231" s="576" t="s">
        <v>696</v>
      </c>
      <c r="M231" s="576"/>
      <c r="N231" s="818"/>
      <c r="O231" s="819"/>
      <c r="P231" s="819"/>
    </row>
    <row r="232" spans="1:16" s="270" customFormat="1" ht="34.799999999999997" customHeight="1">
      <c r="A232" s="555">
        <f t="shared" si="4"/>
        <v>91</v>
      </c>
      <c r="B232" s="455" t="s">
        <v>561</v>
      </c>
      <c r="C232" s="181" t="s">
        <v>401</v>
      </c>
      <c r="D232" s="555" t="s">
        <v>239</v>
      </c>
      <c r="E232" s="283">
        <v>45948</v>
      </c>
      <c r="F232" s="284">
        <v>28</v>
      </c>
      <c r="G232" s="817" t="s">
        <v>402</v>
      </c>
      <c r="H232" s="817"/>
      <c r="I232" s="817"/>
      <c r="J232" s="817"/>
      <c r="K232" s="183">
        <v>45957</v>
      </c>
      <c r="L232" s="555" t="s">
        <v>687</v>
      </c>
      <c r="M232" s="555"/>
      <c r="N232" s="818"/>
      <c r="O232" s="819"/>
      <c r="P232" s="819"/>
    </row>
    <row r="233" spans="1:16" s="270" customFormat="1" ht="34.799999999999997" customHeight="1">
      <c r="A233" s="564">
        <f t="shared" si="4"/>
        <v>92</v>
      </c>
      <c r="B233" s="455" t="s">
        <v>162</v>
      </c>
      <c r="C233" s="181" t="s">
        <v>401</v>
      </c>
      <c r="D233" s="564" t="s">
        <v>239</v>
      </c>
      <c r="E233" s="283">
        <v>45959</v>
      </c>
      <c r="F233" s="284">
        <v>28</v>
      </c>
      <c r="G233" s="817" t="s">
        <v>402</v>
      </c>
      <c r="H233" s="817"/>
      <c r="I233" s="817"/>
      <c r="J233" s="817"/>
      <c r="K233" s="183">
        <v>45967</v>
      </c>
      <c r="L233" s="564" t="s">
        <v>687</v>
      </c>
      <c r="M233" s="564"/>
      <c r="N233" s="818"/>
      <c r="O233" s="819"/>
      <c r="P233" s="819"/>
    </row>
    <row r="234" spans="1:16" s="270" customFormat="1" ht="34.799999999999997" customHeight="1">
      <c r="A234" s="567">
        <f t="shared" si="4"/>
        <v>93</v>
      </c>
      <c r="B234" s="455" t="s">
        <v>158</v>
      </c>
      <c r="C234" s="181" t="s">
        <v>401</v>
      </c>
      <c r="D234" s="567" t="s">
        <v>239</v>
      </c>
      <c r="E234" s="283">
        <v>45965</v>
      </c>
      <c r="F234" s="284">
        <v>28</v>
      </c>
      <c r="G234" s="817" t="s">
        <v>402</v>
      </c>
      <c r="H234" s="817"/>
      <c r="I234" s="817"/>
      <c r="J234" s="817"/>
      <c r="K234" s="183">
        <v>45973</v>
      </c>
      <c r="L234" s="567" t="s">
        <v>687</v>
      </c>
      <c r="M234" s="567"/>
      <c r="N234" s="818"/>
      <c r="O234" s="819"/>
      <c r="P234" s="819"/>
    </row>
    <row r="235" spans="1:16" s="270" customFormat="1" ht="34.799999999999997" customHeight="1">
      <c r="A235" s="567">
        <f t="shared" si="4"/>
        <v>94</v>
      </c>
      <c r="B235" s="455" t="s">
        <v>151</v>
      </c>
      <c r="C235" s="181" t="s">
        <v>401</v>
      </c>
      <c r="D235" s="567" t="s">
        <v>239</v>
      </c>
      <c r="E235" s="283">
        <v>45967</v>
      </c>
      <c r="F235" s="284">
        <v>28</v>
      </c>
      <c r="G235" s="817" t="s">
        <v>402</v>
      </c>
      <c r="H235" s="817"/>
      <c r="I235" s="817"/>
      <c r="J235" s="817"/>
      <c r="K235" s="183">
        <v>45974</v>
      </c>
      <c r="L235" s="567" t="s">
        <v>696</v>
      </c>
      <c r="M235" s="567"/>
      <c r="N235" s="818"/>
      <c r="O235" s="819"/>
      <c r="P235" s="819"/>
    </row>
    <row r="236" spans="1:16" s="270" customFormat="1" ht="34.799999999999997" customHeight="1">
      <c r="A236" s="572">
        <f t="shared" si="4"/>
        <v>95</v>
      </c>
      <c r="B236" s="455" t="s">
        <v>674</v>
      </c>
      <c r="C236" s="181" t="s">
        <v>594</v>
      </c>
      <c r="D236" s="572" t="s">
        <v>239</v>
      </c>
      <c r="E236" s="283">
        <v>45972</v>
      </c>
      <c r="F236" s="284">
        <v>45</v>
      </c>
      <c r="G236" s="817" t="s">
        <v>402</v>
      </c>
      <c r="H236" s="817"/>
      <c r="I236" s="817"/>
      <c r="J236" s="817"/>
      <c r="K236" s="183">
        <v>45979</v>
      </c>
      <c r="L236" s="572" t="s">
        <v>699</v>
      </c>
      <c r="M236" s="572"/>
      <c r="N236" s="818"/>
      <c r="O236" s="819"/>
      <c r="P236" s="819"/>
    </row>
    <row r="237" spans="1:16" s="270" customFormat="1" ht="34.799999999999997" customHeight="1">
      <c r="A237" s="572">
        <f t="shared" si="4"/>
        <v>96</v>
      </c>
      <c r="B237" s="455" t="s">
        <v>120</v>
      </c>
      <c r="C237" s="181" t="s">
        <v>444</v>
      </c>
      <c r="D237" s="572" t="s">
        <v>239</v>
      </c>
      <c r="E237" s="283">
        <v>45973</v>
      </c>
      <c r="F237" s="284">
        <v>29</v>
      </c>
      <c r="G237" s="817" t="s">
        <v>402</v>
      </c>
      <c r="H237" s="817"/>
      <c r="I237" s="817"/>
      <c r="J237" s="817"/>
      <c r="K237" s="183">
        <v>45982</v>
      </c>
      <c r="L237" s="572" t="s">
        <v>687</v>
      </c>
      <c r="M237" s="572"/>
      <c r="N237" s="818"/>
      <c r="O237" s="819"/>
      <c r="P237" s="819"/>
    </row>
    <row r="238" spans="1:16" s="270" customFormat="1" ht="34.799999999999997" customHeight="1">
      <c r="A238" s="576">
        <f t="shared" si="4"/>
        <v>97</v>
      </c>
      <c r="B238" s="455" t="s">
        <v>168</v>
      </c>
      <c r="C238" s="181" t="s">
        <v>444</v>
      </c>
      <c r="D238" s="576" t="s">
        <v>239</v>
      </c>
      <c r="E238" s="283">
        <v>45982</v>
      </c>
      <c r="F238" s="284">
        <v>29</v>
      </c>
      <c r="G238" s="817" t="s">
        <v>402</v>
      </c>
      <c r="H238" s="817"/>
      <c r="I238" s="817"/>
      <c r="J238" s="817"/>
      <c r="K238" s="183">
        <v>45988</v>
      </c>
      <c r="L238" s="576" t="s">
        <v>699</v>
      </c>
      <c r="M238" s="576"/>
      <c r="N238" s="818"/>
      <c r="O238" s="819"/>
      <c r="P238" s="819"/>
    </row>
    <row r="239" spans="1:16" s="270" customFormat="1" ht="34.799999999999997" customHeight="1">
      <c r="A239" s="578">
        <f t="shared" si="4"/>
        <v>98</v>
      </c>
      <c r="B239" s="455" t="s">
        <v>153</v>
      </c>
      <c r="C239" s="181" t="s">
        <v>401</v>
      </c>
      <c r="D239" s="578" t="s">
        <v>239</v>
      </c>
      <c r="E239" s="283">
        <v>45984</v>
      </c>
      <c r="F239" s="284">
        <v>28</v>
      </c>
      <c r="G239" s="817" t="s">
        <v>402</v>
      </c>
      <c r="H239" s="817"/>
      <c r="I239" s="817"/>
      <c r="J239" s="817"/>
      <c r="K239" s="183">
        <v>45993</v>
      </c>
      <c r="L239" s="578" t="s">
        <v>687</v>
      </c>
      <c r="M239" s="578"/>
      <c r="N239" s="818"/>
      <c r="O239" s="819"/>
      <c r="P239" s="819"/>
    </row>
    <row r="240" spans="1:16" s="270" customFormat="1" ht="34.799999999999997" customHeight="1">
      <c r="A240" s="579">
        <f t="shared" si="4"/>
        <v>99</v>
      </c>
      <c r="B240" s="455" t="s">
        <v>557</v>
      </c>
      <c r="C240" s="181" t="s">
        <v>643</v>
      </c>
      <c r="D240" s="579" t="s">
        <v>239</v>
      </c>
      <c r="E240" s="283">
        <v>45991</v>
      </c>
      <c r="F240" s="284">
        <v>52</v>
      </c>
      <c r="G240" s="817" t="s">
        <v>402</v>
      </c>
      <c r="H240" s="817"/>
      <c r="I240" s="817"/>
      <c r="J240" s="817"/>
      <c r="K240" s="183">
        <v>45998</v>
      </c>
      <c r="L240" s="579" t="s">
        <v>699</v>
      </c>
      <c r="M240" s="579"/>
      <c r="N240" s="818"/>
      <c r="O240" s="819"/>
      <c r="P240" s="819"/>
    </row>
    <row r="241" spans="1:16" s="270" customFormat="1" ht="34.799999999999997" customHeight="1">
      <c r="A241" s="580">
        <f t="shared" si="4"/>
        <v>100</v>
      </c>
      <c r="B241" s="455" t="s">
        <v>678</v>
      </c>
      <c r="C241" s="181" t="s">
        <v>629</v>
      </c>
      <c r="D241" s="580" t="s">
        <v>239</v>
      </c>
      <c r="E241" s="283">
        <v>45992</v>
      </c>
      <c r="F241" s="284">
        <v>52</v>
      </c>
      <c r="G241" s="817" t="s">
        <v>402</v>
      </c>
      <c r="H241" s="817"/>
      <c r="I241" s="817"/>
      <c r="J241" s="817"/>
      <c r="K241" s="183">
        <v>46001</v>
      </c>
      <c r="L241" s="580" t="s">
        <v>696</v>
      </c>
      <c r="M241" s="580"/>
      <c r="N241" s="818"/>
      <c r="O241" s="819"/>
      <c r="P241" s="819"/>
    </row>
    <row r="242" spans="1:16" s="270" customFormat="1" ht="34.799999999999997" customHeight="1">
      <c r="A242" s="593">
        <f t="shared" si="4"/>
        <v>101</v>
      </c>
      <c r="B242" s="455" t="s">
        <v>163</v>
      </c>
      <c r="C242" s="181" t="s">
        <v>669</v>
      </c>
      <c r="D242" s="593" t="s">
        <v>239</v>
      </c>
      <c r="E242" s="283">
        <v>45995</v>
      </c>
      <c r="F242" s="284">
        <v>27</v>
      </c>
      <c r="G242" s="817" t="s">
        <v>402</v>
      </c>
      <c r="H242" s="817"/>
      <c r="I242" s="817"/>
      <c r="J242" s="817"/>
      <c r="K242" s="183">
        <v>46005</v>
      </c>
      <c r="L242" s="593" t="s">
        <v>687</v>
      </c>
      <c r="M242" s="593"/>
      <c r="N242" s="818"/>
      <c r="O242" s="819"/>
      <c r="P242" s="819"/>
    </row>
    <row r="243" spans="1:16" s="270" customFormat="1" ht="34.799999999999997" customHeight="1">
      <c r="A243" s="593">
        <f t="shared" si="4"/>
        <v>102</v>
      </c>
      <c r="B243" s="455" t="s">
        <v>183</v>
      </c>
      <c r="C243" s="181" t="s">
        <v>452</v>
      </c>
      <c r="D243" s="593" t="s">
        <v>239</v>
      </c>
      <c r="E243" s="283">
        <v>45998</v>
      </c>
      <c r="F243" s="284">
        <v>33</v>
      </c>
      <c r="G243" s="817" t="s">
        <v>402</v>
      </c>
      <c r="H243" s="817"/>
      <c r="I243" s="817"/>
      <c r="J243" s="817"/>
      <c r="K243" s="183">
        <v>46005</v>
      </c>
      <c r="L243" s="593" t="s">
        <v>699</v>
      </c>
      <c r="M243" s="593"/>
      <c r="N243" s="818"/>
      <c r="O243" s="819"/>
      <c r="P243" s="819"/>
    </row>
    <row r="244" spans="1:16" s="270" customFormat="1" ht="34.799999999999997" customHeight="1">
      <c r="A244" s="593">
        <f t="shared" si="4"/>
        <v>103</v>
      </c>
      <c r="B244" s="455" t="s">
        <v>171</v>
      </c>
      <c r="C244" s="181" t="s">
        <v>448</v>
      </c>
      <c r="D244" s="593" t="s">
        <v>239</v>
      </c>
      <c r="E244" s="283">
        <v>46001</v>
      </c>
      <c r="F244" s="284">
        <v>27</v>
      </c>
      <c r="G244" s="817" t="s">
        <v>402</v>
      </c>
      <c r="H244" s="817"/>
      <c r="I244" s="817"/>
      <c r="J244" s="817"/>
      <c r="K244" s="183">
        <v>46006</v>
      </c>
      <c r="L244" s="593" t="s">
        <v>696</v>
      </c>
      <c r="M244" s="593"/>
      <c r="N244" s="818"/>
      <c r="O244" s="819"/>
      <c r="P244" s="819"/>
    </row>
    <row r="245" spans="1:16" s="270" customFormat="1" ht="34.799999999999997" customHeight="1">
      <c r="A245" s="613">
        <f t="shared" si="4"/>
        <v>104</v>
      </c>
      <c r="B245" s="455" t="s">
        <v>184</v>
      </c>
      <c r="C245" s="181" t="s">
        <v>448</v>
      </c>
      <c r="D245" s="613" t="s">
        <v>239</v>
      </c>
      <c r="E245" s="283">
        <v>46006</v>
      </c>
      <c r="F245" s="284">
        <v>27</v>
      </c>
      <c r="G245" s="817" t="s">
        <v>402</v>
      </c>
      <c r="H245" s="817"/>
      <c r="I245" s="817"/>
      <c r="J245" s="817"/>
      <c r="K245" s="183">
        <v>46010</v>
      </c>
      <c r="L245" s="613" t="s">
        <v>699</v>
      </c>
      <c r="M245" s="613"/>
      <c r="N245" s="818"/>
      <c r="O245" s="819"/>
      <c r="P245" s="819"/>
    </row>
    <row r="246" spans="1:16" s="270" customFormat="1" ht="34.799999999999997" customHeight="1">
      <c r="A246" s="637">
        <f t="shared" si="4"/>
        <v>105</v>
      </c>
      <c r="B246" s="455" t="s">
        <v>172</v>
      </c>
      <c r="C246" s="181" t="s">
        <v>448</v>
      </c>
      <c r="D246" s="637" t="s">
        <v>239</v>
      </c>
      <c r="E246" s="283">
        <v>46008</v>
      </c>
      <c r="F246" s="284">
        <v>27</v>
      </c>
      <c r="G246" s="817" t="s">
        <v>402</v>
      </c>
      <c r="H246" s="817"/>
      <c r="I246" s="817"/>
      <c r="J246" s="817"/>
      <c r="K246" s="183">
        <v>46013</v>
      </c>
      <c r="L246" s="637" t="s">
        <v>696</v>
      </c>
      <c r="M246" s="637"/>
      <c r="N246" s="818"/>
      <c r="O246" s="819"/>
      <c r="P246" s="819"/>
    </row>
    <row r="247" spans="1:16" s="270" customFormat="1" ht="34.799999999999997" customHeight="1">
      <c r="A247" s="677">
        <f t="shared" si="4"/>
        <v>106</v>
      </c>
      <c r="B247" s="455" t="s">
        <v>558</v>
      </c>
      <c r="C247" s="181" t="s">
        <v>452</v>
      </c>
      <c r="D247" s="677" t="s">
        <v>239</v>
      </c>
      <c r="E247" s="283">
        <v>46007</v>
      </c>
      <c r="F247" s="284">
        <v>33</v>
      </c>
      <c r="G247" s="817" t="s">
        <v>402</v>
      </c>
      <c r="H247" s="817"/>
      <c r="I247" s="817"/>
      <c r="J247" s="817"/>
      <c r="K247" s="183">
        <v>46016</v>
      </c>
      <c r="L247" s="677" t="s">
        <v>687</v>
      </c>
      <c r="M247" s="677"/>
      <c r="N247" s="818"/>
      <c r="O247" s="819"/>
      <c r="P247" s="819"/>
    </row>
    <row r="248" spans="1:16" s="270" customFormat="1" ht="34.799999999999997" customHeight="1">
      <c r="A248" s="677">
        <f t="shared" si="4"/>
        <v>107</v>
      </c>
      <c r="B248" s="455" t="s">
        <v>185</v>
      </c>
      <c r="C248" s="181" t="s">
        <v>506</v>
      </c>
      <c r="D248" s="677" t="s">
        <v>239</v>
      </c>
      <c r="E248" s="283">
        <v>46011</v>
      </c>
      <c r="F248" s="284">
        <v>51</v>
      </c>
      <c r="G248" s="817" t="s">
        <v>402</v>
      </c>
      <c r="H248" s="817"/>
      <c r="I248" s="817"/>
      <c r="J248" s="817"/>
      <c r="K248" s="183">
        <v>46017</v>
      </c>
      <c r="L248" s="677" t="s">
        <v>699</v>
      </c>
      <c r="M248" s="677"/>
      <c r="N248" s="818"/>
      <c r="O248" s="819"/>
      <c r="P248" s="819"/>
    </row>
    <row r="249" spans="1:16" s="270" customFormat="1" ht="34.799999999999997" customHeight="1">
      <c r="A249" s="683">
        <f t="shared" si="4"/>
        <v>108</v>
      </c>
      <c r="B249" s="455" t="s">
        <v>616</v>
      </c>
      <c r="C249" s="181" t="s">
        <v>453</v>
      </c>
      <c r="D249" s="683" t="s">
        <v>809</v>
      </c>
      <c r="E249" s="283">
        <v>46014</v>
      </c>
      <c r="F249" s="284">
        <v>35</v>
      </c>
      <c r="G249" s="817" t="s">
        <v>402</v>
      </c>
      <c r="H249" s="817"/>
      <c r="I249" s="817"/>
      <c r="J249" s="817"/>
      <c r="K249" s="183">
        <v>46021</v>
      </c>
      <c r="L249" s="683" t="s">
        <v>696</v>
      </c>
      <c r="M249" s="683"/>
      <c r="N249" s="818"/>
      <c r="O249" s="819"/>
      <c r="P249" s="819"/>
    </row>
    <row r="250" spans="1:16" s="270" customFormat="1" ht="34.799999999999997" customHeight="1">
      <c r="A250" s="711">
        <f t="shared" si="4"/>
        <v>109</v>
      </c>
      <c r="B250" s="455" t="s">
        <v>553</v>
      </c>
      <c r="C250" s="181" t="s">
        <v>652</v>
      </c>
      <c r="D250" s="711" t="s">
        <v>239</v>
      </c>
      <c r="E250" s="283">
        <v>46017</v>
      </c>
      <c r="F250" s="284">
        <v>73</v>
      </c>
      <c r="G250" s="817" t="s">
        <v>402</v>
      </c>
      <c r="H250" s="817"/>
      <c r="I250" s="817"/>
      <c r="J250" s="817"/>
      <c r="K250" s="183">
        <v>46030</v>
      </c>
      <c r="L250" s="711" t="s">
        <v>699</v>
      </c>
      <c r="M250" s="711"/>
      <c r="N250" s="818"/>
      <c r="O250" s="819"/>
      <c r="P250" s="819"/>
    </row>
    <row r="251" spans="1:16" s="270" customFormat="1" ht="34.799999999999997" customHeight="1">
      <c r="A251" s="711">
        <f t="shared" si="4"/>
        <v>110</v>
      </c>
      <c r="B251" s="455" t="s">
        <v>186</v>
      </c>
      <c r="C251" s="181" t="s">
        <v>669</v>
      </c>
      <c r="D251" s="711" t="s">
        <v>239</v>
      </c>
      <c r="E251" s="283">
        <v>46017</v>
      </c>
      <c r="F251" s="284">
        <v>27</v>
      </c>
      <c r="G251" s="817" t="s">
        <v>402</v>
      </c>
      <c r="H251" s="817"/>
      <c r="I251" s="817"/>
      <c r="J251" s="817"/>
      <c r="K251" s="183">
        <v>46029</v>
      </c>
      <c r="L251" s="711" t="s">
        <v>687</v>
      </c>
      <c r="M251" s="711"/>
      <c r="N251" s="818"/>
      <c r="O251" s="819"/>
      <c r="P251" s="819"/>
    </row>
    <row r="252" spans="1:16" s="422" customFormat="1" ht="34.799999999999997" customHeight="1">
      <c r="A252" s="465">
        <f t="shared" si="4"/>
        <v>111</v>
      </c>
      <c r="B252" s="454" t="s">
        <v>556</v>
      </c>
      <c r="C252" s="640" t="s">
        <v>448</v>
      </c>
      <c r="D252" s="465" t="s">
        <v>239</v>
      </c>
      <c r="E252" s="421">
        <v>46021</v>
      </c>
      <c r="F252" s="420">
        <v>27</v>
      </c>
      <c r="G252" s="825" t="s">
        <v>886</v>
      </c>
      <c r="H252" s="826"/>
      <c r="I252" s="826"/>
      <c r="J252" s="827"/>
      <c r="K252" s="562"/>
      <c r="L252" s="465" t="s">
        <v>863</v>
      </c>
      <c r="M252" s="465"/>
      <c r="N252" s="828"/>
      <c r="O252" s="829"/>
      <c r="P252" s="829"/>
    </row>
    <row r="253" spans="1:16" s="270" customFormat="1" ht="34.799999999999997" customHeight="1">
      <c r="A253" s="708">
        <f t="shared" si="4"/>
        <v>112</v>
      </c>
      <c r="B253" s="455" t="s">
        <v>617</v>
      </c>
      <c r="C253" s="181" t="s">
        <v>669</v>
      </c>
      <c r="D253" s="708" t="s">
        <v>239</v>
      </c>
      <c r="E253" s="283">
        <v>46022</v>
      </c>
      <c r="F253" s="284">
        <v>27</v>
      </c>
      <c r="G253" s="817" t="s">
        <v>402</v>
      </c>
      <c r="H253" s="817"/>
      <c r="I253" s="817"/>
      <c r="J253" s="817"/>
      <c r="K253" s="183">
        <v>46028</v>
      </c>
      <c r="L253" s="708" t="s">
        <v>696</v>
      </c>
      <c r="M253" s="708"/>
      <c r="N253" s="818"/>
      <c r="O253" s="819"/>
      <c r="P253" s="819"/>
    </row>
    <row r="254" spans="1:16" s="270" customFormat="1" ht="34.799999999999997" customHeight="1">
      <c r="A254" s="742">
        <f t="shared" si="4"/>
        <v>113</v>
      </c>
      <c r="B254" s="455" t="s">
        <v>555</v>
      </c>
      <c r="C254" s="181" t="s">
        <v>652</v>
      </c>
      <c r="D254" s="742" t="s">
        <v>239</v>
      </c>
      <c r="E254" s="283">
        <v>46029</v>
      </c>
      <c r="F254" s="284">
        <v>73</v>
      </c>
      <c r="G254" s="817" t="s">
        <v>402</v>
      </c>
      <c r="H254" s="817"/>
      <c r="I254" s="817"/>
      <c r="J254" s="817"/>
      <c r="K254" s="183">
        <v>46040</v>
      </c>
      <c r="L254" s="742" t="s">
        <v>696</v>
      </c>
      <c r="M254" s="742"/>
      <c r="N254" s="818"/>
      <c r="O254" s="819"/>
      <c r="P254" s="819"/>
    </row>
    <row r="255" spans="1:16" s="270" customFormat="1" ht="34.799999999999997" customHeight="1">
      <c r="A255" s="742">
        <f t="shared" si="4"/>
        <v>114</v>
      </c>
      <c r="B255" s="455" t="s">
        <v>182</v>
      </c>
      <c r="C255" s="181" t="s">
        <v>448</v>
      </c>
      <c r="D255" s="742" t="s">
        <v>239</v>
      </c>
      <c r="E255" s="283">
        <v>46030</v>
      </c>
      <c r="F255" s="284">
        <v>27</v>
      </c>
      <c r="G255" s="817" t="s">
        <v>402</v>
      </c>
      <c r="H255" s="817"/>
      <c r="I255" s="817"/>
      <c r="J255" s="817"/>
      <c r="K255" s="183">
        <v>46037</v>
      </c>
      <c r="L255" s="742" t="s">
        <v>699</v>
      </c>
      <c r="M255" s="742"/>
      <c r="N255" s="818"/>
      <c r="O255" s="819"/>
      <c r="P255" s="819"/>
    </row>
    <row r="256" spans="1:16" s="270" customFormat="1" ht="34.799999999999997" customHeight="1">
      <c r="A256" s="742">
        <f t="shared" si="4"/>
        <v>115</v>
      </c>
      <c r="B256" s="455" t="s">
        <v>188</v>
      </c>
      <c r="C256" s="181" t="s">
        <v>448</v>
      </c>
      <c r="D256" s="742" t="s">
        <v>239</v>
      </c>
      <c r="E256" s="283">
        <v>46030</v>
      </c>
      <c r="F256" s="284">
        <v>27</v>
      </c>
      <c r="G256" s="817" t="s">
        <v>402</v>
      </c>
      <c r="H256" s="817"/>
      <c r="I256" s="817"/>
      <c r="J256" s="817"/>
      <c r="K256" s="183">
        <v>46037</v>
      </c>
      <c r="L256" s="742" t="s">
        <v>687</v>
      </c>
      <c r="M256" s="742"/>
      <c r="N256" s="818"/>
      <c r="O256" s="819"/>
      <c r="P256" s="819"/>
    </row>
    <row r="257" spans="1:16" s="270" customFormat="1" ht="34.799999999999997" customHeight="1">
      <c r="A257" s="742">
        <f t="shared" si="4"/>
        <v>116</v>
      </c>
      <c r="B257" s="455" t="s">
        <v>560</v>
      </c>
      <c r="C257" s="181" t="s">
        <v>401</v>
      </c>
      <c r="D257" s="742" t="s">
        <v>239</v>
      </c>
      <c r="E257" s="283">
        <v>46038</v>
      </c>
      <c r="F257" s="284">
        <v>29</v>
      </c>
      <c r="G257" s="817" t="s">
        <v>402</v>
      </c>
      <c r="H257" s="817"/>
      <c r="I257" s="817"/>
      <c r="J257" s="817"/>
      <c r="K257" s="183">
        <v>46042</v>
      </c>
      <c r="L257" s="742" t="s">
        <v>699</v>
      </c>
      <c r="M257" s="742">
        <v>33</v>
      </c>
      <c r="N257" s="818"/>
      <c r="O257" s="819"/>
      <c r="P257" s="819"/>
    </row>
    <row r="258" spans="1:16" s="422" customFormat="1" ht="34.799999999999997" customHeight="1">
      <c r="A258" s="465">
        <f t="shared" si="4"/>
        <v>117</v>
      </c>
      <c r="B258" s="454" t="s">
        <v>519</v>
      </c>
      <c r="C258" s="640" t="s">
        <v>690</v>
      </c>
      <c r="D258" s="465" t="s">
        <v>239</v>
      </c>
      <c r="E258" s="421">
        <v>45673</v>
      </c>
      <c r="F258" s="420">
        <v>60</v>
      </c>
      <c r="G258" s="825" t="s">
        <v>886</v>
      </c>
      <c r="H258" s="826"/>
      <c r="I258" s="826"/>
      <c r="J258" s="827"/>
      <c r="K258" s="562"/>
      <c r="L258" s="465" t="s">
        <v>687</v>
      </c>
      <c r="M258" s="465">
        <v>29</v>
      </c>
      <c r="N258" s="828"/>
      <c r="O258" s="829"/>
      <c r="P258" s="829"/>
    </row>
    <row r="259" spans="1:16" s="422" customFormat="1" ht="34.799999999999997" customHeight="1">
      <c r="A259" s="465">
        <f t="shared" si="4"/>
        <v>118</v>
      </c>
      <c r="B259" s="454" t="s">
        <v>181</v>
      </c>
      <c r="C259" s="640" t="s">
        <v>401</v>
      </c>
      <c r="D259" s="465" t="s">
        <v>239</v>
      </c>
      <c r="E259" s="421">
        <v>46042</v>
      </c>
      <c r="F259" s="420">
        <v>27</v>
      </c>
      <c r="G259" s="825" t="s">
        <v>899</v>
      </c>
      <c r="H259" s="826"/>
      <c r="I259" s="826"/>
      <c r="J259" s="827"/>
      <c r="K259" s="562"/>
      <c r="L259" s="465" t="s">
        <v>696</v>
      </c>
      <c r="M259" s="465">
        <v>30</v>
      </c>
      <c r="N259" s="828"/>
      <c r="O259" s="829"/>
      <c r="P259" s="829"/>
    </row>
    <row r="260" spans="1:16" s="2" customFormat="1" ht="21" customHeight="1" thickBot="1">
      <c r="A260" s="45"/>
      <c r="B260" s="151"/>
      <c r="F260" s="152"/>
      <c r="G260" s="878"/>
      <c r="H260" s="878"/>
      <c r="I260" s="878"/>
      <c r="J260" s="878"/>
      <c r="N260" s="878"/>
      <c r="O260" s="878"/>
      <c r="P260" s="878"/>
    </row>
    <row r="261" spans="1:16" ht="21" customHeight="1" thickBot="1">
      <c r="A261" s="875" t="s">
        <v>104</v>
      </c>
      <c r="B261" s="876"/>
      <c r="C261" s="876"/>
      <c r="D261" s="876"/>
      <c r="E261" s="876"/>
      <c r="F261" s="876"/>
      <c r="G261" s="876"/>
      <c r="H261" s="876"/>
      <c r="I261" s="876"/>
      <c r="J261" s="876"/>
      <c r="K261" s="876"/>
      <c r="L261" s="876"/>
      <c r="M261" s="876"/>
      <c r="N261" s="876"/>
      <c r="O261" s="876"/>
      <c r="P261" s="877"/>
    </row>
    <row r="262" spans="1:16" ht="52.2" customHeight="1">
      <c r="A262" s="569" t="s">
        <v>394</v>
      </c>
      <c r="B262" s="667" t="s">
        <v>110</v>
      </c>
      <c r="C262" s="668" t="s">
        <v>404</v>
      </c>
      <c r="D262" s="862" t="s">
        <v>112</v>
      </c>
      <c r="E262" s="862"/>
      <c r="F262" s="862"/>
      <c r="G262" s="862"/>
      <c r="H262" s="668" t="s">
        <v>398</v>
      </c>
      <c r="I262" s="668" t="s">
        <v>808</v>
      </c>
      <c r="J262" s="668" t="s">
        <v>802</v>
      </c>
      <c r="K262" s="668" t="s">
        <v>803</v>
      </c>
      <c r="L262" s="668" t="s">
        <v>804</v>
      </c>
      <c r="M262" s="668" t="s">
        <v>805</v>
      </c>
      <c r="N262" s="668" t="s">
        <v>806</v>
      </c>
      <c r="O262" s="668" t="s">
        <v>399</v>
      </c>
      <c r="P262" s="669" t="s">
        <v>113</v>
      </c>
    </row>
    <row r="263" spans="1:16" s="270" customFormat="1" ht="27.6" customHeight="1">
      <c r="A263" s="638">
        <v>1</v>
      </c>
      <c r="B263" s="150" t="s">
        <v>701</v>
      </c>
      <c r="C263" s="89">
        <v>1.1060000000000001</v>
      </c>
      <c r="D263" s="863" t="s">
        <v>822</v>
      </c>
      <c r="E263" s="863"/>
      <c r="F263" s="863"/>
      <c r="G263" s="863"/>
      <c r="H263" s="47" t="s">
        <v>702</v>
      </c>
      <c r="I263" s="283">
        <v>45920</v>
      </c>
      <c r="J263" s="283">
        <v>45925</v>
      </c>
      <c r="K263" s="283">
        <v>45928</v>
      </c>
      <c r="L263" s="283">
        <v>45943</v>
      </c>
      <c r="M263" s="283">
        <v>45945</v>
      </c>
      <c r="N263" s="283">
        <v>45949</v>
      </c>
      <c r="O263" s="638"/>
      <c r="P263" s="637"/>
    </row>
    <row r="264" spans="1:16" s="270" customFormat="1" ht="30" customHeight="1">
      <c r="A264" s="638">
        <v>2</v>
      </c>
      <c r="B264" s="150" t="s">
        <v>704</v>
      </c>
      <c r="C264" s="89">
        <v>2.4729999999999999</v>
      </c>
      <c r="D264" s="863" t="s">
        <v>822</v>
      </c>
      <c r="E264" s="863"/>
      <c r="F264" s="863"/>
      <c r="G264" s="863"/>
      <c r="H264" s="47" t="s">
        <v>702</v>
      </c>
      <c r="I264" s="283">
        <v>45930</v>
      </c>
      <c r="J264" s="283">
        <v>45933</v>
      </c>
      <c r="K264" s="283">
        <v>45936</v>
      </c>
      <c r="L264" s="283">
        <v>46013</v>
      </c>
      <c r="M264" s="283">
        <v>46017</v>
      </c>
      <c r="N264" s="710">
        <v>46024</v>
      </c>
      <c r="O264" s="154"/>
      <c r="P264" s="670" t="s">
        <v>873</v>
      </c>
    </row>
    <row r="265" spans="1:16" s="270" customFormat="1" ht="35.4" customHeight="1">
      <c r="A265" s="638">
        <v>3</v>
      </c>
      <c r="B265" s="150" t="s">
        <v>706</v>
      </c>
      <c r="C265" s="89">
        <v>2.4260000000000002</v>
      </c>
      <c r="D265" s="863" t="s">
        <v>822</v>
      </c>
      <c r="E265" s="863"/>
      <c r="F265" s="863"/>
      <c r="G265" s="863"/>
      <c r="H265" s="47" t="s">
        <v>702</v>
      </c>
      <c r="I265" s="283">
        <v>45940</v>
      </c>
      <c r="J265" s="283">
        <v>46011</v>
      </c>
      <c r="K265" s="283">
        <v>46017</v>
      </c>
      <c r="L265" s="283">
        <v>46021</v>
      </c>
      <c r="M265" s="283">
        <v>46024</v>
      </c>
      <c r="N265" s="710">
        <v>46027</v>
      </c>
      <c r="O265" s="634"/>
      <c r="P265" s="670"/>
    </row>
    <row r="266" spans="1:16" s="270" customFormat="1" ht="35.4" customHeight="1">
      <c r="A266" s="638">
        <v>4</v>
      </c>
      <c r="B266" s="150" t="s">
        <v>774</v>
      </c>
      <c r="C266" s="89">
        <v>4.4800000000000004</v>
      </c>
      <c r="D266" s="863" t="s">
        <v>822</v>
      </c>
      <c r="E266" s="863"/>
      <c r="F266" s="863"/>
      <c r="G266" s="863"/>
      <c r="H266" s="47" t="s">
        <v>702</v>
      </c>
      <c r="I266" s="283">
        <v>45954</v>
      </c>
      <c r="J266" s="283">
        <v>45968</v>
      </c>
      <c r="K266" s="283">
        <v>45978</v>
      </c>
      <c r="L266" s="283">
        <v>45996</v>
      </c>
      <c r="M266" s="283">
        <v>46000</v>
      </c>
      <c r="N266" s="710">
        <v>46010</v>
      </c>
      <c r="O266" s="638"/>
      <c r="P266" s="670" t="s">
        <v>825</v>
      </c>
    </row>
    <row r="267" spans="1:16" s="270" customFormat="1" ht="35.4" customHeight="1">
      <c r="A267" s="638">
        <v>5</v>
      </c>
      <c r="B267" s="150" t="s">
        <v>792</v>
      </c>
      <c r="C267" s="89">
        <v>1.98</v>
      </c>
      <c r="D267" s="863" t="s">
        <v>822</v>
      </c>
      <c r="E267" s="863"/>
      <c r="F267" s="863"/>
      <c r="G267" s="863"/>
      <c r="H267" s="47" t="s">
        <v>702</v>
      </c>
      <c r="I267" s="283">
        <v>45959</v>
      </c>
      <c r="J267" s="283">
        <v>45987</v>
      </c>
      <c r="K267" s="283">
        <v>45991</v>
      </c>
      <c r="L267" s="283">
        <v>45996</v>
      </c>
      <c r="M267" s="283">
        <v>46000</v>
      </c>
      <c r="N267" s="639">
        <v>46004</v>
      </c>
      <c r="O267" s="638"/>
      <c r="P267" s="670" t="s">
        <v>824</v>
      </c>
    </row>
    <row r="268" spans="1:16" s="270" customFormat="1" ht="35.4" customHeight="1">
      <c r="A268" s="638">
        <v>6</v>
      </c>
      <c r="B268" s="150" t="s">
        <v>795</v>
      </c>
      <c r="C268" s="89">
        <v>0.48</v>
      </c>
      <c r="D268" s="863" t="s">
        <v>822</v>
      </c>
      <c r="E268" s="863"/>
      <c r="F268" s="863"/>
      <c r="G268" s="863"/>
      <c r="H268" s="47" t="s">
        <v>702</v>
      </c>
      <c r="I268" s="283">
        <v>45954</v>
      </c>
      <c r="J268" s="283">
        <v>45962</v>
      </c>
      <c r="K268" s="283">
        <v>45964</v>
      </c>
      <c r="L268" s="283">
        <v>45971</v>
      </c>
      <c r="M268" s="283">
        <v>45978</v>
      </c>
      <c r="N268" s="638"/>
      <c r="O268" s="671"/>
      <c r="P268" s="671"/>
    </row>
    <row r="269" spans="1:16" s="270" customFormat="1" ht="35.4" customHeight="1">
      <c r="A269" s="638">
        <v>7</v>
      </c>
      <c r="B269" s="150" t="s">
        <v>848</v>
      </c>
      <c r="C269" s="89">
        <v>2.54</v>
      </c>
      <c r="D269" s="873" t="s">
        <v>897</v>
      </c>
      <c r="E269" s="873"/>
      <c r="F269" s="873"/>
      <c r="G269" s="873"/>
      <c r="H269" s="47" t="s">
        <v>702</v>
      </c>
      <c r="I269" s="283">
        <v>46012</v>
      </c>
      <c r="J269" s="283">
        <v>46040</v>
      </c>
      <c r="K269" s="283"/>
      <c r="L269" s="283"/>
      <c r="M269" s="283"/>
      <c r="N269" s="638"/>
      <c r="O269" s="671"/>
      <c r="P269" s="671"/>
    </row>
    <row r="270" spans="1:16" s="270" customFormat="1" ht="35.4" customHeight="1">
      <c r="A270" s="638">
        <v>8</v>
      </c>
      <c r="B270" s="150" t="s">
        <v>851</v>
      </c>
      <c r="C270" s="89">
        <v>2.02</v>
      </c>
      <c r="D270" s="873" t="s">
        <v>898</v>
      </c>
      <c r="E270" s="873"/>
      <c r="F270" s="873"/>
      <c r="G270" s="873"/>
      <c r="H270" s="47" t="s">
        <v>853</v>
      </c>
      <c r="I270" s="283"/>
      <c r="J270" s="283"/>
      <c r="K270" s="283"/>
      <c r="L270" s="283"/>
      <c r="M270" s="283"/>
      <c r="N270" s="638"/>
      <c r="O270" s="671"/>
      <c r="P270" s="671"/>
    </row>
    <row r="271" spans="1:16" s="153" customFormat="1" ht="35.4" customHeight="1">
      <c r="A271" s="557"/>
      <c r="B271" s="558"/>
      <c r="C271" s="559"/>
      <c r="D271" s="560"/>
      <c r="E271" s="560"/>
      <c r="F271" s="560"/>
      <c r="G271" s="560"/>
      <c r="H271" s="560"/>
      <c r="I271" s="557"/>
      <c r="J271" s="561"/>
      <c r="K271" s="561"/>
    </row>
    <row r="272" spans="1:16" ht="21" customHeight="1"/>
    <row r="273" spans="1:16" ht="21" customHeight="1"/>
    <row r="274" spans="1:16" ht="21" customHeight="1">
      <c r="A274" s="870" t="s">
        <v>405</v>
      </c>
      <c r="B274" s="871"/>
      <c r="C274" s="871"/>
      <c r="D274" s="871"/>
      <c r="E274" s="871"/>
      <c r="F274" s="871"/>
      <c r="G274" s="871"/>
      <c r="H274" s="871"/>
      <c r="I274" s="871"/>
      <c r="J274" s="872"/>
    </row>
    <row r="275" spans="1:16" ht="28.95" customHeight="1" thickBot="1">
      <c r="A275" s="162" t="s">
        <v>394</v>
      </c>
      <c r="B275" s="162" t="s">
        <v>110</v>
      </c>
      <c r="C275" s="162" t="s">
        <v>404</v>
      </c>
      <c r="D275" s="864" t="s">
        <v>112</v>
      </c>
      <c r="E275" s="865"/>
      <c r="F275" s="865"/>
      <c r="G275" s="866"/>
      <c r="H275" s="162" t="s">
        <v>398</v>
      </c>
      <c r="I275" s="162" t="s">
        <v>399</v>
      </c>
      <c r="J275" s="162" t="s">
        <v>113</v>
      </c>
      <c r="K275" s="153"/>
      <c r="L275" s="153"/>
      <c r="M275" s="153"/>
      <c r="N275" s="153"/>
      <c r="O275" s="153"/>
      <c r="P275" s="153"/>
    </row>
    <row r="276" spans="1:16" ht="21" customHeight="1">
      <c r="A276" s="43"/>
      <c r="B276" s="150"/>
      <c r="C276" s="89"/>
      <c r="D276" s="867"/>
      <c r="E276" s="868"/>
      <c r="F276" s="868"/>
      <c r="G276" s="869"/>
      <c r="H276" s="47"/>
      <c r="I276" s="43"/>
      <c r="J276" s="154"/>
    </row>
    <row r="277" spans="1:16" ht="21" customHeight="1">
      <c r="A277" s="43"/>
      <c r="B277" s="150"/>
      <c r="C277" s="89"/>
      <c r="D277" s="859"/>
      <c r="E277" s="860"/>
      <c r="F277" s="860"/>
      <c r="G277" s="861"/>
      <c r="H277" s="47"/>
      <c r="I277" s="43"/>
      <c r="J277" s="154"/>
    </row>
    <row r="278" spans="1:16" ht="21" customHeight="1">
      <c r="A278" s="43"/>
      <c r="B278" s="150"/>
      <c r="C278" s="89"/>
      <c r="D278" s="859"/>
      <c r="E278" s="860"/>
      <c r="F278" s="860"/>
      <c r="G278" s="861"/>
      <c r="H278" s="47"/>
      <c r="I278" s="43"/>
      <c r="J278" s="154"/>
    </row>
    <row r="279" spans="1:16" ht="21" customHeight="1">
      <c r="A279" s="43"/>
      <c r="B279" s="155"/>
      <c r="C279" s="156"/>
      <c r="D279" s="859"/>
      <c r="E279" s="860"/>
      <c r="F279" s="860"/>
      <c r="G279" s="861"/>
      <c r="H279" s="157"/>
      <c r="I279" s="90"/>
      <c r="J279" s="158"/>
    </row>
  </sheetData>
  <autoFilter ref="A141:P223">
    <filterColumn colId="6" showButton="0"/>
    <filterColumn colId="7" showButton="0"/>
    <filterColumn colId="8" showButton="0"/>
    <filterColumn colId="13" showButton="0"/>
    <filterColumn colId="14" showButton="0"/>
  </autoFilter>
  <mergeCells count="464">
    <mergeCell ref="G257:J257"/>
    <mergeCell ref="N257:P257"/>
    <mergeCell ref="G258:J258"/>
    <mergeCell ref="N258:P258"/>
    <mergeCell ref="G259:J259"/>
    <mergeCell ref="N259:P259"/>
    <mergeCell ref="N201:P201"/>
    <mergeCell ref="N202:P202"/>
    <mergeCell ref="N206:P206"/>
    <mergeCell ref="N209:P209"/>
    <mergeCell ref="G249:J249"/>
    <mergeCell ref="N249:P249"/>
    <mergeCell ref="G226:J226"/>
    <mergeCell ref="N226:P226"/>
    <mergeCell ref="N225:P225"/>
    <mergeCell ref="G228:J228"/>
    <mergeCell ref="N213:P213"/>
    <mergeCell ref="G236:J236"/>
    <mergeCell ref="N242:P242"/>
    <mergeCell ref="G240:J240"/>
    <mergeCell ref="N240:P240"/>
    <mergeCell ref="G244:J244"/>
    <mergeCell ref="N244:P244"/>
    <mergeCell ref="G246:J246"/>
    <mergeCell ref="A261:P261"/>
    <mergeCell ref="N231:P231"/>
    <mergeCell ref="G230:J230"/>
    <mergeCell ref="G232:J232"/>
    <mergeCell ref="G234:J234"/>
    <mergeCell ref="G224:J224"/>
    <mergeCell ref="G225:J225"/>
    <mergeCell ref="N233:P233"/>
    <mergeCell ref="G217:J217"/>
    <mergeCell ref="G254:J254"/>
    <mergeCell ref="N236:P236"/>
    <mergeCell ref="G237:J237"/>
    <mergeCell ref="N237:P237"/>
    <mergeCell ref="N235:P235"/>
    <mergeCell ref="N234:P234"/>
    <mergeCell ref="N228:P228"/>
    <mergeCell ref="N254:P254"/>
    <mergeCell ref="G255:J255"/>
    <mergeCell ref="N255:P255"/>
    <mergeCell ref="G256:J256"/>
    <mergeCell ref="N256:P256"/>
    <mergeCell ref="N260:P260"/>
    <mergeCell ref="G260:J260"/>
    <mergeCell ref="G242:J242"/>
    <mergeCell ref="G136:J136"/>
    <mergeCell ref="G245:J245"/>
    <mergeCell ref="N245:P245"/>
    <mergeCell ref="G193:J193"/>
    <mergeCell ref="G231:J231"/>
    <mergeCell ref="G243:J243"/>
    <mergeCell ref="N243:P243"/>
    <mergeCell ref="G219:J219"/>
    <mergeCell ref="G209:J209"/>
    <mergeCell ref="G211:J211"/>
    <mergeCell ref="G212:J212"/>
    <mergeCell ref="G213:J213"/>
    <mergeCell ref="N198:P198"/>
    <mergeCell ref="N197:P197"/>
    <mergeCell ref="N210:P210"/>
    <mergeCell ref="N207:P207"/>
    <mergeCell ref="N203:P203"/>
    <mergeCell ref="N204:P204"/>
    <mergeCell ref="G195:J195"/>
    <mergeCell ref="N195:P195"/>
    <mergeCell ref="N205:P205"/>
    <mergeCell ref="N200:P200"/>
    <mergeCell ref="N224:P224"/>
    <mergeCell ref="N230:P230"/>
    <mergeCell ref="G134:J134"/>
    <mergeCell ref="G133:J133"/>
    <mergeCell ref="N166:P166"/>
    <mergeCell ref="N167:P167"/>
    <mergeCell ref="G241:J241"/>
    <mergeCell ref="N241:P241"/>
    <mergeCell ref="G201:J201"/>
    <mergeCell ref="N208:P208"/>
    <mergeCell ref="G220:J220"/>
    <mergeCell ref="G221:J221"/>
    <mergeCell ref="G216:J216"/>
    <mergeCell ref="N194:P194"/>
    <mergeCell ref="N192:P192"/>
    <mergeCell ref="N232:P232"/>
    <mergeCell ref="N229:P229"/>
    <mergeCell ref="N227:P227"/>
    <mergeCell ref="G227:J227"/>
    <mergeCell ref="G229:J229"/>
    <mergeCell ref="G192:J192"/>
    <mergeCell ref="G233:J233"/>
    <mergeCell ref="N196:P196"/>
    <mergeCell ref="N214:P214"/>
    <mergeCell ref="G199:J199"/>
    <mergeCell ref="N199:P199"/>
    <mergeCell ref="D279:G279"/>
    <mergeCell ref="D262:G262"/>
    <mergeCell ref="D263:G263"/>
    <mergeCell ref="D264:G264"/>
    <mergeCell ref="D265:G265"/>
    <mergeCell ref="D266:G266"/>
    <mergeCell ref="D275:G275"/>
    <mergeCell ref="D276:G276"/>
    <mergeCell ref="D277:G277"/>
    <mergeCell ref="D278:G278"/>
    <mergeCell ref="A274:J274"/>
    <mergeCell ref="D268:G268"/>
    <mergeCell ref="D267:G267"/>
    <mergeCell ref="D269:G269"/>
    <mergeCell ref="D270:G270"/>
    <mergeCell ref="G141:J141"/>
    <mergeCell ref="A140:P140"/>
    <mergeCell ref="N191:P191"/>
    <mergeCell ref="N145:P145"/>
    <mergeCell ref="N141:P141"/>
    <mergeCell ref="N149:P149"/>
    <mergeCell ref="G162:J162"/>
    <mergeCell ref="G163:J163"/>
    <mergeCell ref="G158:J158"/>
    <mergeCell ref="G165:J165"/>
    <mergeCell ref="G164:J164"/>
    <mergeCell ref="N171:P171"/>
    <mergeCell ref="G170:J170"/>
    <mergeCell ref="N170:P170"/>
    <mergeCell ref="N175:P175"/>
    <mergeCell ref="G180:J180"/>
    <mergeCell ref="N179:P179"/>
    <mergeCell ref="G178:J178"/>
    <mergeCell ref="G188:J188"/>
    <mergeCell ref="G166:J166"/>
    <mergeCell ref="N177:P177"/>
    <mergeCell ref="G187:J187"/>
    <mergeCell ref="G185:J185"/>
    <mergeCell ref="N178:P178"/>
    <mergeCell ref="G128:J128"/>
    <mergeCell ref="G129:J129"/>
    <mergeCell ref="G167:J167"/>
    <mergeCell ref="N181:P181"/>
    <mergeCell ref="G179:J179"/>
    <mergeCell ref="N180:P180"/>
    <mergeCell ref="N173:P173"/>
    <mergeCell ref="N176:P176"/>
    <mergeCell ref="G174:J174"/>
    <mergeCell ref="G173:J173"/>
    <mergeCell ref="G130:J130"/>
    <mergeCell ref="G131:J131"/>
    <mergeCell ref="G168:J168"/>
    <mergeCell ref="G169:J169"/>
    <mergeCell ref="G172:J172"/>
    <mergeCell ref="G157:J157"/>
    <mergeCell ref="G154:J154"/>
    <mergeCell ref="G155:J155"/>
    <mergeCell ref="N163:P163"/>
    <mergeCell ref="N155:P155"/>
    <mergeCell ref="N159:P159"/>
    <mergeCell ref="N157:P157"/>
    <mergeCell ref="G161:J161"/>
    <mergeCell ref="G156:J156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G24:J24"/>
    <mergeCell ref="N20:P20"/>
    <mergeCell ref="G26:J26"/>
    <mergeCell ref="G31:J31"/>
    <mergeCell ref="N31:P31"/>
    <mergeCell ref="N30:P30"/>
    <mergeCell ref="G23:J23"/>
    <mergeCell ref="N36:P36"/>
    <mergeCell ref="G21:J21"/>
    <mergeCell ref="G25:J25"/>
    <mergeCell ref="N21:P21"/>
    <mergeCell ref="N22:P22"/>
    <mergeCell ref="N25:P25"/>
    <mergeCell ref="G30:J30"/>
    <mergeCell ref="G35:J35"/>
    <mergeCell ref="N35:P35"/>
    <mergeCell ref="G33:J33"/>
    <mergeCell ref="G36:J36"/>
    <mergeCell ref="G28:J28"/>
    <mergeCell ref="G29:J29"/>
    <mergeCell ref="G44:J44"/>
    <mergeCell ref="G51:J51"/>
    <mergeCell ref="G32:J32"/>
    <mergeCell ref="N32:P32"/>
    <mergeCell ref="N33:P33"/>
    <mergeCell ref="G34:J34"/>
    <mergeCell ref="N34:P34"/>
    <mergeCell ref="N42:P42"/>
    <mergeCell ref="N37:P37"/>
    <mergeCell ref="N44:P44"/>
    <mergeCell ref="N63:P63"/>
    <mergeCell ref="N53:P53"/>
    <mergeCell ref="G55:J55"/>
    <mergeCell ref="G61:J61"/>
    <mergeCell ref="N43:P43"/>
    <mergeCell ref="G37:J3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G20:J20"/>
    <mergeCell ref="G22:J22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G58:J58"/>
    <mergeCell ref="N52:P52"/>
    <mergeCell ref="N57:P57"/>
    <mergeCell ref="G54:J54"/>
    <mergeCell ref="G52:J52"/>
    <mergeCell ref="N51:P51"/>
    <mergeCell ref="G46:J46"/>
    <mergeCell ref="G47:J47"/>
    <mergeCell ref="G45:J45"/>
    <mergeCell ref="N60:P60"/>
    <mergeCell ref="N61:P61"/>
    <mergeCell ref="N62:P62"/>
    <mergeCell ref="G57:J57"/>
    <mergeCell ref="G60:J60"/>
    <mergeCell ref="N55:P55"/>
    <mergeCell ref="N74:P74"/>
    <mergeCell ref="N75:P75"/>
    <mergeCell ref="G63:J63"/>
    <mergeCell ref="G69:J69"/>
    <mergeCell ref="G66:J66"/>
    <mergeCell ref="G67:J67"/>
    <mergeCell ref="G64:J64"/>
    <mergeCell ref="N73:P73"/>
    <mergeCell ref="N69:P69"/>
    <mergeCell ref="G71:J71"/>
    <mergeCell ref="G72:J72"/>
    <mergeCell ref="N64:P64"/>
    <mergeCell ref="N65:P65"/>
    <mergeCell ref="N66:P66"/>
    <mergeCell ref="N67:P67"/>
    <mergeCell ref="N68:P68"/>
    <mergeCell ref="G65:J65"/>
    <mergeCell ref="G70:J70"/>
    <mergeCell ref="G68:J68"/>
    <mergeCell ref="G62:J62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93:P93"/>
    <mergeCell ref="G92:J92"/>
    <mergeCell ref="G98:J98"/>
    <mergeCell ref="G99:J99"/>
    <mergeCell ref="G102:J102"/>
    <mergeCell ref="G103:J103"/>
    <mergeCell ref="N85:P85"/>
    <mergeCell ref="N95:P95"/>
    <mergeCell ref="G88:J88"/>
    <mergeCell ref="G89:J89"/>
    <mergeCell ref="G108:J108"/>
    <mergeCell ref="G114:J114"/>
    <mergeCell ref="G115:J115"/>
    <mergeCell ref="N86:P86"/>
    <mergeCell ref="G87:J87"/>
    <mergeCell ref="N87:P87"/>
    <mergeCell ref="G86:J86"/>
    <mergeCell ref="N84:P84"/>
    <mergeCell ref="G94:J94"/>
    <mergeCell ref="N94:P94"/>
    <mergeCell ref="G91:J91"/>
    <mergeCell ref="G93:J93"/>
    <mergeCell ref="G84:J84"/>
    <mergeCell ref="G109:J109"/>
    <mergeCell ref="G123:J123"/>
    <mergeCell ref="G101:J101"/>
    <mergeCell ref="G104:J104"/>
    <mergeCell ref="G105:J105"/>
    <mergeCell ref="G106:J106"/>
    <mergeCell ref="G107:J107"/>
    <mergeCell ref="G95:J95"/>
    <mergeCell ref="G85:J85"/>
    <mergeCell ref="G100:J100"/>
    <mergeCell ref="G97:J97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96:J96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N76:P76"/>
    <mergeCell ref="N80:P80"/>
    <mergeCell ref="G79:J79"/>
    <mergeCell ref="G82:J82"/>
    <mergeCell ref="N81:P81"/>
    <mergeCell ref="G78:J78"/>
    <mergeCell ref="G73:J73"/>
    <mergeCell ref="N77:P77"/>
    <mergeCell ref="N78:P78"/>
    <mergeCell ref="G77:J77"/>
    <mergeCell ref="G76:J76"/>
    <mergeCell ref="G83:J83"/>
    <mergeCell ref="G125:J125"/>
    <mergeCell ref="G118:J118"/>
    <mergeCell ref="N142:P142"/>
    <mergeCell ref="G177:J177"/>
    <mergeCell ref="G148:J148"/>
    <mergeCell ref="N148:P148"/>
    <mergeCell ref="N164:P164"/>
    <mergeCell ref="G160:J160"/>
    <mergeCell ref="N162:P162"/>
    <mergeCell ref="N160:P160"/>
    <mergeCell ref="N158:P158"/>
    <mergeCell ref="N172:P172"/>
    <mergeCell ref="N165:P165"/>
    <mergeCell ref="N161:P161"/>
    <mergeCell ref="N168:P168"/>
    <mergeCell ref="N169:P169"/>
    <mergeCell ref="G159:J159"/>
    <mergeCell ref="N150:P150"/>
    <mergeCell ref="G126:J126"/>
    <mergeCell ref="G127:J127"/>
    <mergeCell ref="G124:J124"/>
    <mergeCell ref="N147:P147"/>
    <mergeCell ref="N143:P143"/>
    <mergeCell ref="G137:J137"/>
    <mergeCell ref="N186:P186"/>
    <mergeCell ref="N174:P174"/>
    <mergeCell ref="G171:J171"/>
    <mergeCell ref="G145:J145"/>
    <mergeCell ref="G142:J142"/>
    <mergeCell ref="N156:P156"/>
    <mergeCell ref="G151:J151"/>
    <mergeCell ref="N153:P153"/>
    <mergeCell ref="G149:J149"/>
    <mergeCell ref="N151:P151"/>
    <mergeCell ref="N154:P154"/>
    <mergeCell ref="N152:P152"/>
    <mergeCell ref="G152:J152"/>
    <mergeCell ref="G150:J150"/>
    <mergeCell ref="G153:J153"/>
    <mergeCell ref="G146:J146"/>
    <mergeCell ref="G144:J144"/>
    <mergeCell ref="G147:J147"/>
    <mergeCell ref="N144:P144"/>
    <mergeCell ref="G143:J143"/>
    <mergeCell ref="N146:P146"/>
    <mergeCell ref="N185:P185"/>
    <mergeCell ref="G175:J175"/>
    <mergeCell ref="G218:J218"/>
    <mergeCell ref="G214:J214"/>
    <mergeCell ref="G205:J205"/>
    <mergeCell ref="G207:J207"/>
    <mergeCell ref="G203:J203"/>
    <mergeCell ref="G204:J204"/>
    <mergeCell ref="G202:J202"/>
    <mergeCell ref="G176:J176"/>
    <mergeCell ref="G183:J183"/>
    <mergeCell ref="G135:J135"/>
    <mergeCell ref="G132:J132"/>
    <mergeCell ref="G238:J238"/>
    <mergeCell ref="N238:P238"/>
    <mergeCell ref="G239:J239"/>
    <mergeCell ref="N239:P239"/>
    <mergeCell ref="N190:P190"/>
    <mergeCell ref="N193:P193"/>
    <mergeCell ref="N187:P187"/>
    <mergeCell ref="N184:P184"/>
    <mergeCell ref="N219:P219"/>
    <mergeCell ref="G222:J222"/>
    <mergeCell ref="G181:J181"/>
    <mergeCell ref="N189:P189"/>
    <mergeCell ref="G189:J189"/>
    <mergeCell ref="N183:P183"/>
    <mergeCell ref="N182:P182"/>
    <mergeCell ref="N188:P188"/>
    <mergeCell ref="G184:J184"/>
    <mergeCell ref="G190:J190"/>
    <mergeCell ref="G196:J196"/>
    <mergeCell ref="G194:J194"/>
    <mergeCell ref="G191:J191"/>
    <mergeCell ref="G200:J200"/>
    <mergeCell ref="G182:J182"/>
    <mergeCell ref="G186:J186"/>
    <mergeCell ref="G235:J235"/>
    <mergeCell ref="G206:J206"/>
    <mergeCell ref="G253:J253"/>
    <mergeCell ref="N253:P253"/>
    <mergeCell ref="G248:J248"/>
    <mergeCell ref="N248:P248"/>
    <mergeCell ref="G138:J138"/>
    <mergeCell ref="G250:J250"/>
    <mergeCell ref="N250:P250"/>
    <mergeCell ref="N246:P246"/>
    <mergeCell ref="G247:J247"/>
    <mergeCell ref="N247:P247"/>
    <mergeCell ref="G251:J251"/>
    <mergeCell ref="N251:P251"/>
    <mergeCell ref="G252:J252"/>
    <mergeCell ref="N252:P252"/>
    <mergeCell ref="G223:J223"/>
    <mergeCell ref="G210:J210"/>
    <mergeCell ref="G198:J198"/>
    <mergeCell ref="G197:J197"/>
    <mergeCell ref="G208:J208"/>
    <mergeCell ref="G215:J215"/>
  </mergeCells>
  <phoneticPr fontId="93" type="noConversion"/>
  <conditionalFormatting sqref="B13:B37 B40:B50">
    <cfRule type="duplicateValues" dxfId="52" priority="109"/>
  </conditionalFormatting>
  <conditionalFormatting sqref="B51:B70">
    <cfRule type="duplicateValues" dxfId="51" priority="111"/>
  </conditionalFormatting>
  <conditionalFormatting sqref="B71:B127">
    <cfRule type="duplicateValues" dxfId="50" priority="113"/>
  </conditionalFormatting>
  <conditionalFormatting sqref="B139">
    <cfRule type="duplicateValues" dxfId="49" priority="50"/>
  </conditionalFormatting>
  <conditionalFormatting sqref="B263:B265">
    <cfRule type="duplicateValues" dxfId="48" priority="105" stopIfTrue="1"/>
    <cfRule type="duplicateValues" dxfId="47" priority="106" stopIfTrue="1"/>
  </conditionalFormatting>
  <conditionalFormatting sqref="B276:B278">
    <cfRule type="duplicateValues" dxfId="46" priority="101" stopIfTrue="1"/>
    <cfRule type="duplicateValues" dxfId="45" priority="102" stopIfTrue="1"/>
  </conditionalFormatting>
  <conditionalFormatting sqref="B279">
    <cfRule type="duplicateValues" dxfId="44" priority="103" stopIfTrue="1"/>
    <cfRule type="duplicateValues" dxfId="43" priority="104" stopIfTrue="1"/>
  </conditionalFormatting>
  <conditionalFormatting sqref="D6">
    <cfRule type="cellIs" dxfId="42" priority="55" stopIfTrue="1" operator="greaterThan">
      <formula>600</formula>
    </cfRule>
  </conditionalFormatting>
  <conditionalFormatting sqref="D9:D10">
    <cfRule type="cellIs" dxfId="41" priority="46" stopIfTrue="1" operator="greaterThan">
      <formula>600</formula>
    </cfRule>
  </conditionalFormatting>
  <conditionalFormatting sqref="C3:K4">
    <cfRule type="cellIs" dxfId="40" priority="6" stopIfTrue="1" operator="greaterThan">
      <formula>600</formula>
    </cfRule>
  </conditionalFormatting>
  <conditionalFormatting sqref="B266:B271">
    <cfRule type="duplicateValues" dxfId="39" priority="4" stopIfTrue="1"/>
    <cfRule type="duplicateValues" dxfId="38" priority="5" stopIfTrue="1"/>
  </conditionalFormatting>
  <conditionalFormatting sqref="B128">
    <cfRule type="duplicateValues" dxfId="37" priority="3"/>
  </conditionalFormatting>
  <conditionalFormatting sqref="B129:B137">
    <cfRule type="duplicateValues" dxfId="36" priority="2"/>
  </conditionalFormatting>
  <conditionalFormatting sqref="B138">
    <cfRule type="duplicateValues" dxfId="35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"/>
  <sheetViews>
    <sheetView topLeftCell="A109" zoomScale="80" zoomScaleNormal="80" workbookViewId="0">
      <selection activeCell="G116" sqref="G116:J116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858" t="s">
        <v>103</v>
      </c>
      <c r="B1" s="858"/>
      <c r="C1" s="858"/>
      <c r="D1" s="858"/>
      <c r="E1" s="858"/>
      <c r="F1" s="858"/>
      <c r="G1" s="858"/>
      <c r="H1" s="858"/>
      <c r="I1" s="858"/>
      <c r="J1" s="858"/>
      <c r="K1" s="858"/>
      <c r="L1" s="858"/>
      <c r="M1" s="858"/>
      <c r="N1" s="858"/>
      <c r="O1" s="858"/>
      <c r="P1" s="858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707</v>
      </c>
      <c r="F2" s="162" t="s">
        <v>709</v>
      </c>
      <c r="G2" s="843" t="s">
        <v>112</v>
      </c>
      <c r="H2" s="844"/>
      <c r="I2" s="844"/>
      <c r="J2" s="845"/>
      <c r="K2" s="162" t="s">
        <v>708</v>
      </c>
      <c r="L2" s="162" t="s">
        <v>398</v>
      </c>
      <c r="M2" s="162" t="s">
        <v>399</v>
      </c>
      <c r="N2" s="880" t="s">
        <v>400</v>
      </c>
      <c r="O2" s="881"/>
      <c r="P2" s="882"/>
    </row>
    <row r="3" spans="1:16">
      <c r="A3" s="540">
        <v>1</v>
      </c>
      <c r="B3" s="541" t="s">
        <v>16</v>
      </c>
      <c r="C3" s="540" t="s">
        <v>401</v>
      </c>
      <c r="D3" s="540" t="s">
        <v>239</v>
      </c>
      <c r="E3" s="542">
        <v>45574</v>
      </c>
      <c r="F3" s="543">
        <v>27.96</v>
      </c>
      <c r="G3" s="879" t="s">
        <v>402</v>
      </c>
      <c r="H3" s="879"/>
      <c r="I3" s="879"/>
      <c r="J3" s="879"/>
      <c r="K3" s="542">
        <v>45592</v>
      </c>
      <c r="L3" s="540" t="s">
        <v>490</v>
      </c>
      <c r="M3" s="508"/>
      <c r="N3" s="831"/>
      <c r="O3" s="831"/>
      <c r="P3" s="831"/>
    </row>
    <row r="4" spans="1:16">
      <c r="A4" s="540">
        <v>2</v>
      </c>
      <c r="B4" s="541" t="s">
        <v>128</v>
      </c>
      <c r="C4" s="540" t="s">
        <v>401</v>
      </c>
      <c r="D4" s="540" t="s">
        <v>239</v>
      </c>
      <c r="E4" s="542">
        <v>45593</v>
      </c>
      <c r="F4" s="543">
        <v>27.96</v>
      </c>
      <c r="G4" s="879" t="s">
        <v>402</v>
      </c>
      <c r="H4" s="879"/>
      <c r="I4" s="879"/>
      <c r="J4" s="879"/>
      <c r="K4" s="542">
        <v>45601</v>
      </c>
      <c r="L4" s="540" t="s">
        <v>490</v>
      </c>
      <c r="M4" s="508"/>
      <c r="N4" s="832"/>
      <c r="O4" s="832"/>
      <c r="P4" s="832"/>
    </row>
    <row r="5" spans="1:16">
      <c r="A5" s="540">
        <v>3</v>
      </c>
      <c r="B5" s="544" t="s">
        <v>494</v>
      </c>
      <c r="C5" s="540" t="s">
        <v>401</v>
      </c>
      <c r="D5" s="540" t="s">
        <v>239</v>
      </c>
      <c r="E5" s="542">
        <v>45601</v>
      </c>
      <c r="F5" s="543">
        <v>27.96</v>
      </c>
      <c r="G5" s="879" t="s">
        <v>402</v>
      </c>
      <c r="H5" s="879"/>
      <c r="I5" s="879"/>
      <c r="J5" s="879"/>
      <c r="K5" s="542">
        <v>45609</v>
      </c>
      <c r="L5" s="540" t="s">
        <v>490</v>
      </c>
      <c r="M5" s="508"/>
      <c r="N5" s="831"/>
      <c r="O5" s="831"/>
      <c r="P5" s="831"/>
    </row>
    <row r="6" spans="1:16">
      <c r="A6" s="540">
        <v>4</v>
      </c>
      <c r="B6" s="544" t="s">
        <v>18</v>
      </c>
      <c r="C6" s="540" t="s">
        <v>401</v>
      </c>
      <c r="D6" s="540" t="s">
        <v>239</v>
      </c>
      <c r="E6" s="542">
        <v>45610</v>
      </c>
      <c r="F6" s="543">
        <v>27.96</v>
      </c>
      <c r="G6" s="879" t="s">
        <v>402</v>
      </c>
      <c r="H6" s="879"/>
      <c r="I6" s="879"/>
      <c r="J6" s="879"/>
      <c r="K6" s="542">
        <v>45615</v>
      </c>
      <c r="L6" s="540" t="s">
        <v>490</v>
      </c>
      <c r="M6" s="508"/>
      <c r="N6" s="831" t="s">
        <v>501</v>
      </c>
      <c r="O6" s="831"/>
      <c r="P6" s="831"/>
    </row>
    <row r="7" spans="1:16">
      <c r="A7" s="540">
        <v>5</v>
      </c>
      <c r="B7" s="544" t="s">
        <v>133</v>
      </c>
      <c r="C7" s="540" t="s">
        <v>401</v>
      </c>
      <c r="D7" s="540" t="s">
        <v>239</v>
      </c>
      <c r="E7" s="542">
        <v>45615</v>
      </c>
      <c r="F7" s="543">
        <v>27.96</v>
      </c>
      <c r="G7" s="879" t="s">
        <v>402</v>
      </c>
      <c r="H7" s="879"/>
      <c r="I7" s="879"/>
      <c r="J7" s="879"/>
      <c r="K7" s="542">
        <v>45620</v>
      </c>
      <c r="L7" s="540" t="s">
        <v>490</v>
      </c>
      <c r="M7" s="508"/>
      <c r="N7" s="831" t="s">
        <v>109</v>
      </c>
      <c r="O7" s="831"/>
      <c r="P7" s="831"/>
    </row>
    <row r="8" spans="1:16">
      <c r="A8" s="540">
        <v>6</v>
      </c>
      <c r="B8" s="544" t="s">
        <v>2</v>
      </c>
      <c r="C8" s="540" t="s">
        <v>401</v>
      </c>
      <c r="D8" s="540" t="s">
        <v>239</v>
      </c>
      <c r="E8" s="542">
        <v>45622</v>
      </c>
      <c r="F8" s="543">
        <v>27.96</v>
      </c>
      <c r="G8" s="879" t="s">
        <v>402</v>
      </c>
      <c r="H8" s="879"/>
      <c r="I8" s="879"/>
      <c r="J8" s="879"/>
      <c r="K8" s="542">
        <v>45627</v>
      </c>
      <c r="L8" s="540" t="s">
        <v>490</v>
      </c>
      <c r="M8" s="508"/>
      <c r="N8" s="831"/>
      <c r="O8" s="831"/>
      <c r="P8" s="831"/>
    </row>
    <row r="9" spans="1:16">
      <c r="A9" s="540">
        <v>7</v>
      </c>
      <c r="B9" s="544" t="s">
        <v>49</v>
      </c>
      <c r="C9" s="540" t="s">
        <v>401</v>
      </c>
      <c r="D9" s="540" t="s">
        <v>239</v>
      </c>
      <c r="E9" s="542">
        <v>45628</v>
      </c>
      <c r="F9" s="543">
        <v>27.96</v>
      </c>
      <c r="G9" s="879" t="s">
        <v>402</v>
      </c>
      <c r="H9" s="879"/>
      <c r="I9" s="879"/>
      <c r="J9" s="879"/>
      <c r="K9" s="542">
        <v>45632</v>
      </c>
      <c r="L9" s="540" t="s">
        <v>490</v>
      </c>
      <c r="M9" s="508"/>
      <c r="N9" s="831"/>
      <c r="O9" s="831"/>
      <c r="P9" s="831"/>
    </row>
    <row r="10" spans="1:16">
      <c r="A10" s="540">
        <v>8</v>
      </c>
      <c r="B10" s="544" t="s">
        <v>52</v>
      </c>
      <c r="C10" s="540" t="s">
        <v>401</v>
      </c>
      <c r="D10" s="540" t="s">
        <v>239</v>
      </c>
      <c r="E10" s="542">
        <v>45629</v>
      </c>
      <c r="F10" s="543">
        <v>27.96</v>
      </c>
      <c r="G10" s="879" t="s">
        <v>402</v>
      </c>
      <c r="H10" s="879"/>
      <c r="I10" s="879"/>
      <c r="J10" s="879"/>
      <c r="K10" s="542">
        <v>45637</v>
      </c>
      <c r="L10" s="540" t="s">
        <v>500</v>
      </c>
      <c r="M10" s="508"/>
      <c r="N10" s="831" t="s">
        <v>501</v>
      </c>
      <c r="O10" s="831"/>
      <c r="P10" s="831"/>
    </row>
    <row r="11" spans="1:16">
      <c r="A11" s="540">
        <v>9</v>
      </c>
      <c r="B11" s="544" t="s">
        <v>147</v>
      </c>
      <c r="C11" s="540" t="s">
        <v>401</v>
      </c>
      <c r="D11" s="540" t="s">
        <v>239</v>
      </c>
      <c r="E11" s="542">
        <v>45632</v>
      </c>
      <c r="F11" s="543">
        <v>27.96</v>
      </c>
      <c r="G11" s="879" t="s">
        <v>402</v>
      </c>
      <c r="H11" s="879"/>
      <c r="I11" s="879"/>
      <c r="J11" s="879"/>
      <c r="K11" s="542">
        <v>45637</v>
      </c>
      <c r="L11" s="540" t="s">
        <v>490</v>
      </c>
      <c r="M11" s="508"/>
      <c r="N11" s="831"/>
      <c r="O11" s="831"/>
      <c r="P11" s="831"/>
    </row>
    <row r="12" spans="1:16">
      <c r="A12" s="540">
        <v>10</v>
      </c>
      <c r="B12" s="544" t="s">
        <v>148</v>
      </c>
      <c r="C12" s="540" t="s">
        <v>444</v>
      </c>
      <c r="D12" s="540" t="s">
        <v>239</v>
      </c>
      <c r="E12" s="542">
        <v>45638</v>
      </c>
      <c r="F12" s="543">
        <v>29.12</v>
      </c>
      <c r="G12" s="879" t="s">
        <v>402</v>
      </c>
      <c r="H12" s="879"/>
      <c r="I12" s="879"/>
      <c r="J12" s="879"/>
      <c r="K12" s="545">
        <v>45644</v>
      </c>
      <c r="L12" s="540" t="s">
        <v>490</v>
      </c>
      <c r="M12" s="508"/>
      <c r="N12" s="831"/>
      <c r="O12" s="831"/>
      <c r="P12" s="831"/>
    </row>
    <row r="13" spans="1:16">
      <c r="A13" s="540">
        <v>11</v>
      </c>
      <c r="B13" s="544" t="s">
        <v>51</v>
      </c>
      <c r="C13" s="540" t="s">
        <v>401</v>
      </c>
      <c r="D13" s="540" t="s">
        <v>239</v>
      </c>
      <c r="E13" s="542">
        <v>45638</v>
      </c>
      <c r="F13" s="543">
        <v>27.96</v>
      </c>
      <c r="G13" s="879" t="s">
        <v>402</v>
      </c>
      <c r="H13" s="879"/>
      <c r="I13" s="879"/>
      <c r="J13" s="879"/>
      <c r="K13" s="542">
        <v>45644</v>
      </c>
      <c r="L13" s="540" t="s">
        <v>500</v>
      </c>
      <c r="M13" s="508"/>
      <c r="N13" s="831"/>
      <c r="O13" s="831"/>
      <c r="P13" s="831"/>
    </row>
    <row r="14" spans="1:16">
      <c r="A14" s="540">
        <v>12</v>
      </c>
      <c r="B14" s="544" t="s">
        <v>140</v>
      </c>
      <c r="C14" s="540" t="s">
        <v>444</v>
      </c>
      <c r="D14" s="540" t="s">
        <v>239</v>
      </c>
      <c r="E14" s="542">
        <v>45645</v>
      </c>
      <c r="F14" s="543">
        <v>29.12</v>
      </c>
      <c r="G14" s="879" t="s">
        <v>402</v>
      </c>
      <c r="H14" s="879"/>
      <c r="I14" s="879"/>
      <c r="J14" s="879"/>
      <c r="K14" s="542">
        <v>45653</v>
      </c>
      <c r="L14" s="540" t="s">
        <v>490</v>
      </c>
      <c r="M14" s="508"/>
      <c r="N14" s="831"/>
      <c r="O14" s="831"/>
      <c r="P14" s="831"/>
    </row>
    <row r="15" spans="1:16">
      <c r="A15" s="540">
        <v>13</v>
      </c>
      <c r="B15" s="544" t="s">
        <v>136</v>
      </c>
      <c r="C15" s="540" t="s">
        <v>453</v>
      </c>
      <c r="D15" s="540" t="s">
        <v>239</v>
      </c>
      <c r="E15" s="542">
        <v>45645</v>
      </c>
      <c r="F15" s="543">
        <v>34.630000000000003</v>
      </c>
      <c r="G15" s="879" t="s">
        <v>402</v>
      </c>
      <c r="H15" s="879"/>
      <c r="I15" s="879"/>
      <c r="J15" s="879"/>
      <c r="K15" s="542">
        <v>45655</v>
      </c>
      <c r="L15" s="540" t="s">
        <v>500</v>
      </c>
      <c r="M15" s="508"/>
      <c r="N15" s="831"/>
      <c r="O15" s="831"/>
      <c r="P15" s="831"/>
    </row>
    <row r="16" spans="1:16">
      <c r="A16" s="540">
        <v>14</v>
      </c>
      <c r="B16" s="544" t="s">
        <v>126</v>
      </c>
      <c r="C16" s="540" t="s">
        <v>401</v>
      </c>
      <c r="D16" s="540" t="s">
        <v>239</v>
      </c>
      <c r="E16" s="542">
        <v>45655</v>
      </c>
      <c r="F16" s="543">
        <v>27.96</v>
      </c>
      <c r="G16" s="879" t="s">
        <v>402</v>
      </c>
      <c r="H16" s="879"/>
      <c r="I16" s="879"/>
      <c r="J16" s="879"/>
      <c r="K16" s="542">
        <v>45662</v>
      </c>
      <c r="L16" s="540" t="s">
        <v>490</v>
      </c>
      <c r="M16" s="508"/>
      <c r="N16" s="831"/>
      <c r="O16" s="831"/>
      <c r="P16" s="831"/>
    </row>
    <row r="17" spans="1:16">
      <c r="A17" s="540">
        <v>15</v>
      </c>
      <c r="B17" s="544" t="s">
        <v>143</v>
      </c>
      <c r="C17" s="540" t="s">
        <v>401</v>
      </c>
      <c r="D17" s="540" t="s">
        <v>239</v>
      </c>
      <c r="E17" s="542">
        <v>45656</v>
      </c>
      <c r="F17" s="543">
        <v>27.96</v>
      </c>
      <c r="G17" s="879" t="s">
        <v>402</v>
      </c>
      <c r="H17" s="879"/>
      <c r="I17" s="879"/>
      <c r="J17" s="879"/>
      <c r="K17" s="542">
        <v>45664</v>
      </c>
      <c r="L17" s="540" t="s">
        <v>500</v>
      </c>
      <c r="M17" s="508"/>
      <c r="N17" s="831"/>
      <c r="O17" s="831"/>
      <c r="P17" s="831"/>
    </row>
    <row r="18" spans="1:16">
      <c r="A18" s="540">
        <v>16</v>
      </c>
      <c r="B18" s="544" t="s">
        <v>166</v>
      </c>
      <c r="C18" s="540" t="s">
        <v>401</v>
      </c>
      <c r="D18" s="540" t="s">
        <v>239</v>
      </c>
      <c r="E18" s="542">
        <v>45298</v>
      </c>
      <c r="F18" s="543">
        <v>27.96</v>
      </c>
      <c r="G18" s="879" t="s">
        <v>402</v>
      </c>
      <c r="H18" s="879"/>
      <c r="I18" s="879"/>
      <c r="J18" s="879"/>
      <c r="K18" s="542">
        <v>45668</v>
      </c>
      <c r="L18" s="540" t="s">
        <v>490</v>
      </c>
      <c r="M18" s="508"/>
      <c r="N18" s="831"/>
      <c r="O18" s="831"/>
      <c r="P18" s="831"/>
    </row>
    <row r="19" spans="1:16">
      <c r="A19" s="540">
        <f t="shared" ref="A19:A67" si="0">A18+1</f>
        <v>17</v>
      </c>
      <c r="B19" s="544" t="s">
        <v>176</v>
      </c>
      <c r="C19" s="540" t="s">
        <v>401</v>
      </c>
      <c r="D19" s="540" t="s">
        <v>239</v>
      </c>
      <c r="E19" s="542">
        <v>45300</v>
      </c>
      <c r="F19" s="543">
        <v>27.96</v>
      </c>
      <c r="G19" s="879" t="s">
        <v>402</v>
      </c>
      <c r="H19" s="879"/>
      <c r="I19" s="879"/>
      <c r="J19" s="879"/>
      <c r="K19" s="542">
        <v>45672</v>
      </c>
      <c r="L19" s="540" t="s">
        <v>500</v>
      </c>
      <c r="M19" s="508"/>
      <c r="N19" s="831"/>
      <c r="O19" s="831"/>
      <c r="P19" s="831"/>
    </row>
    <row r="20" spans="1:16">
      <c r="A20" s="540">
        <f t="shared" si="0"/>
        <v>18</v>
      </c>
      <c r="B20" s="544" t="s">
        <v>160</v>
      </c>
      <c r="C20" s="540" t="s">
        <v>444</v>
      </c>
      <c r="D20" s="540" t="s">
        <v>239</v>
      </c>
      <c r="E20" s="542">
        <v>45670</v>
      </c>
      <c r="F20" s="543">
        <v>29</v>
      </c>
      <c r="G20" s="879" t="s">
        <v>402</v>
      </c>
      <c r="H20" s="879"/>
      <c r="I20" s="879"/>
      <c r="J20" s="879"/>
      <c r="K20" s="542">
        <v>45675</v>
      </c>
      <c r="L20" s="540" t="s">
        <v>490</v>
      </c>
      <c r="M20" s="508"/>
      <c r="N20" s="831"/>
      <c r="O20" s="831"/>
      <c r="P20" s="831"/>
    </row>
    <row r="21" spans="1:16">
      <c r="A21" s="540">
        <f t="shared" si="0"/>
        <v>19</v>
      </c>
      <c r="B21" s="544" t="s">
        <v>177</v>
      </c>
      <c r="C21" s="540" t="s">
        <v>444</v>
      </c>
      <c r="D21" s="540" t="s">
        <v>239</v>
      </c>
      <c r="E21" s="542">
        <v>45673</v>
      </c>
      <c r="F21" s="543">
        <v>29</v>
      </c>
      <c r="G21" s="879" t="s">
        <v>402</v>
      </c>
      <c r="H21" s="879"/>
      <c r="I21" s="879"/>
      <c r="J21" s="879"/>
      <c r="K21" s="542">
        <v>45680</v>
      </c>
      <c r="L21" s="540" t="s">
        <v>500</v>
      </c>
      <c r="M21" s="508"/>
      <c r="N21" s="831"/>
      <c r="O21" s="831"/>
      <c r="P21" s="831"/>
    </row>
    <row r="22" spans="1:16">
      <c r="A22" s="540">
        <f t="shared" si="0"/>
        <v>20</v>
      </c>
      <c r="B22" s="544" t="s">
        <v>156</v>
      </c>
      <c r="C22" s="540" t="s">
        <v>401</v>
      </c>
      <c r="D22" s="540" t="s">
        <v>239</v>
      </c>
      <c r="E22" s="542">
        <v>45673</v>
      </c>
      <c r="F22" s="543">
        <v>28</v>
      </c>
      <c r="G22" s="879" t="s">
        <v>402</v>
      </c>
      <c r="H22" s="879"/>
      <c r="I22" s="879"/>
      <c r="J22" s="879"/>
      <c r="K22" s="542">
        <v>45680</v>
      </c>
      <c r="L22" s="540" t="s">
        <v>490</v>
      </c>
      <c r="M22" s="508"/>
      <c r="N22" s="831"/>
      <c r="O22" s="831"/>
      <c r="P22" s="831"/>
    </row>
    <row r="23" spans="1:16">
      <c r="A23" s="540">
        <f t="shared" si="0"/>
        <v>21</v>
      </c>
      <c r="B23" s="544" t="s">
        <v>179</v>
      </c>
      <c r="C23" s="540" t="s">
        <v>444</v>
      </c>
      <c r="D23" s="540" t="s">
        <v>239</v>
      </c>
      <c r="E23" s="542">
        <v>45681</v>
      </c>
      <c r="F23" s="543">
        <v>29</v>
      </c>
      <c r="G23" s="879" t="s">
        <v>402</v>
      </c>
      <c r="H23" s="879"/>
      <c r="I23" s="879"/>
      <c r="J23" s="879"/>
      <c r="K23" s="542">
        <v>45699</v>
      </c>
      <c r="L23" s="540" t="s">
        <v>500</v>
      </c>
      <c r="M23" s="508"/>
      <c r="N23" s="830"/>
      <c r="O23" s="830"/>
      <c r="P23" s="830"/>
    </row>
    <row r="24" spans="1:16">
      <c r="A24" s="540">
        <f t="shared" si="0"/>
        <v>22</v>
      </c>
      <c r="B24" s="544" t="s">
        <v>17</v>
      </c>
      <c r="C24" s="540" t="s">
        <v>401</v>
      </c>
      <c r="D24" s="540" t="s">
        <v>239</v>
      </c>
      <c r="E24" s="542">
        <v>45681</v>
      </c>
      <c r="F24" s="543">
        <v>28</v>
      </c>
      <c r="G24" s="879" t="s">
        <v>402</v>
      </c>
      <c r="H24" s="879"/>
      <c r="I24" s="879"/>
      <c r="J24" s="879"/>
      <c r="K24" s="542">
        <v>45687</v>
      </c>
      <c r="L24" s="540" t="s">
        <v>490</v>
      </c>
      <c r="M24" s="508"/>
      <c r="N24" s="857"/>
      <c r="O24" s="857"/>
      <c r="P24" s="857"/>
    </row>
    <row r="25" spans="1:16">
      <c r="A25" s="540">
        <f t="shared" si="0"/>
        <v>23</v>
      </c>
      <c r="B25" s="544" t="s">
        <v>178</v>
      </c>
      <c r="C25" s="540" t="s">
        <v>401</v>
      </c>
      <c r="D25" s="540" t="s">
        <v>239</v>
      </c>
      <c r="E25" s="542">
        <v>45682</v>
      </c>
      <c r="F25" s="543">
        <v>28</v>
      </c>
      <c r="G25" s="879" t="s">
        <v>402</v>
      </c>
      <c r="H25" s="879"/>
      <c r="I25" s="879"/>
      <c r="J25" s="879"/>
      <c r="K25" s="542">
        <v>45690</v>
      </c>
      <c r="L25" s="540" t="s">
        <v>500</v>
      </c>
      <c r="M25" s="508"/>
      <c r="N25" s="831"/>
      <c r="O25" s="831"/>
      <c r="P25" s="831"/>
    </row>
    <row r="26" spans="1:16">
      <c r="A26" s="540">
        <f t="shared" si="0"/>
        <v>24</v>
      </c>
      <c r="B26" s="544" t="s">
        <v>137</v>
      </c>
      <c r="C26" s="540" t="s">
        <v>444</v>
      </c>
      <c r="D26" s="540" t="s">
        <v>239</v>
      </c>
      <c r="E26" s="542">
        <v>45688</v>
      </c>
      <c r="F26" s="543">
        <v>29</v>
      </c>
      <c r="G26" s="879" t="s">
        <v>402</v>
      </c>
      <c r="H26" s="879"/>
      <c r="I26" s="879"/>
      <c r="J26" s="879"/>
      <c r="K26" s="542">
        <v>45693</v>
      </c>
      <c r="L26" s="540" t="s">
        <v>490</v>
      </c>
      <c r="M26" s="508"/>
      <c r="N26" s="831"/>
      <c r="O26" s="831"/>
      <c r="P26" s="831"/>
    </row>
    <row r="27" spans="1:16">
      <c r="A27" s="540">
        <f t="shared" si="0"/>
        <v>25</v>
      </c>
      <c r="B27" s="544" t="s">
        <v>145</v>
      </c>
      <c r="C27" s="540" t="s">
        <v>452</v>
      </c>
      <c r="D27" s="540" t="s">
        <v>239</v>
      </c>
      <c r="E27" s="542">
        <v>45694</v>
      </c>
      <c r="F27" s="543">
        <v>33</v>
      </c>
      <c r="G27" s="879" t="s">
        <v>402</v>
      </c>
      <c r="H27" s="879"/>
      <c r="I27" s="879"/>
      <c r="J27" s="879"/>
      <c r="K27" s="542">
        <v>45699</v>
      </c>
      <c r="L27" s="540" t="s">
        <v>490</v>
      </c>
      <c r="M27" s="508"/>
      <c r="N27" s="830"/>
      <c r="O27" s="830"/>
      <c r="P27" s="830"/>
    </row>
    <row r="28" spans="1:16">
      <c r="A28" s="540">
        <f t="shared" si="0"/>
        <v>26</v>
      </c>
      <c r="B28" s="544" t="s">
        <v>146</v>
      </c>
      <c r="C28" s="540" t="s">
        <v>444</v>
      </c>
      <c r="D28" s="540" t="s">
        <v>239</v>
      </c>
      <c r="E28" s="542">
        <v>45700</v>
      </c>
      <c r="F28" s="543">
        <v>29</v>
      </c>
      <c r="G28" s="879" t="s">
        <v>402</v>
      </c>
      <c r="H28" s="879"/>
      <c r="I28" s="879"/>
      <c r="J28" s="879"/>
      <c r="K28" s="542">
        <v>45705</v>
      </c>
      <c r="L28" s="540" t="s">
        <v>490</v>
      </c>
      <c r="M28" s="508"/>
      <c r="N28" s="830"/>
      <c r="O28" s="830"/>
      <c r="P28" s="830"/>
    </row>
    <row r="29" spans="1:16">
      <c r="A29" s="540">
        <f t="shared" si="0"/>
        <v>27</v>
      </c>
      <c r="B29" s="544" t="s">
        <v>175</v>
      </c>
      <c r="C29" s="540" t="s">
        <v>444</v>
      </c>
      <c r="D29" s="540" t="s">
        <v>239</v>
      </c>
      <c r="E29" s="542">
        <v>45700</v>
      </c>
      <c r="F29" s="543">
        <v>29</v>
      </c>
      <c r="G29" s="879" t="s">
        <v>402</v>
      </c>
      <c r="H29" s="879"/>
      <c r="I29" s="879"/>
      <c r="J29" s="879"/>
      <c r="K29" s="542">
        <v>45708</v>
      </c>
      <c r="L29" s="540" t="s">
        <v>490</v>
      </c>
      <c r="M29" s="508"/>
      <c r="N29" s="830"/>
      <c r="O29" s="830"/>
      <c r="P29" s="830"/>
    </row>
    <row r="30" spans="1:16">
      <c r="A30" s="540">
        <f t="shared" si="0"/>
        <v>28</v>
      </c>
      <c r="B30" s="544" t="s">
        <v>496</v>
      </c>
      <c r="C30" s="540" t="s">
        <v>476</v>
      </c>
      <c r="D30" s="540" t="s">
        <v>239</v>
      </c>
      <c r="E30" s="542">
        <v>45709</v>
      </c>
      <c r="F30" s="543">
        <v>45</v>
      </c>
      <c r="G30" s="879" t="s">
        <v>402</v>
      </c>
      <c r="H30" s="879"/>
      <c r="I30" s="879"/>
      <c r="J30" s="879"/>
      <c r="K30" s="542">
        <v>45714</v>
      </c>
      <c r="L30" s="540" t="s">
        <v>490</v>
      </c>
      <c r="M30" s="508"/>
      <c r="N30" s="830"/>
      <c r="O30" s="830"/>
      <c r="P30" s="830"/>
    </row>
    <row r="31" spans="1:16">
      <c r="A31" s="540">
        <f t="shared" si="0"/>
        <v>29</v>
      </c>
      <c r="B31" s="544" t="s">
        <v>497</v>
      </c>
      <c r="C31" s="540" t="s">
        <v>476</v>
      </c>
      <c r="D31" s="540" t="s">
        <v>239</v>
      </c>
      <c r="E31" s="542">
        <v>45714</v>
      </c>
      <c r="F31" s="543">
        <v>45</v>
      </c>
      <c r="G31" s="879" t="s">
        <v>402</v>
      </c>
      <c r="H31" s="879"/>
      <c r="I31" s="879"/>
      <c r="J31" s="879"/>
      <c r="K31" s="542">
        <v>45719</v>
      </c>
      <c r="L31" s="540" t="s">
        <v>490</v>
      </c>
      <c r="M31" s="508"/>
      <c r="N31" s="830"/>
      <c r="O31" s="830"/>
      <c r="P31" s="830"/>
    </row>
    <row r="32" spans="1:16">
      <c r="A32" s="540">
        <f t="shared" si="0"/>
        <v>30</v>
      </c>
      <c r="B32" s="544" t="s">
        <v>505</v>
      </c>
      <c r="C32" s="540" t="s">
        <v>476</v>
      </c>
      <c r="D32" s="540" t="s">
        <v>239</v>
      </c>
      <c r="E32" s="542">
        <v>45719</v>
      </c>
      <c r="F32" s="543">
        <v>45</v>
      </c>
      <c r="G32" s="879" t="s">
        <v>402</v>
      </c>
      <c r="H32" s="879"/>
      <c r="I32" s="879"/>
      <c r="J32" s="879"/>
      <c r="K32" s="542">
        <v>45724</v>
      </c>
      <c r="L32" s="540" t="s">
        <v>490</v>
      </c>
      <c r="M32" s="508"/>
      <c r="N32" s="830"/>
      <c r="O32" s="830"/>
      <c r="P32" s="830"/>
    </row>
    <row r="33" spans="1:16">
      <c r="A33" s="540">
        <f t="shared" si="0"/>
        <v>31</v>
      </c>
      <c r="B33" s="544" t="s">
        <v>161</v>
      </c>
      <c r="C33" s="540" t="s">
        <v>401</v>
      </c>
      <c r="D33" s="540" t="s">
        <v>239</v>
      </c>
      <c r="E33" s="542">
        <v>45722</v>
      </c>
      <c r="F33" s="543">
        <v>28</v>
      </c>
      <c r="G33" s="879" t="s">
        <v>402</v>
      </c>
      <c r="H33" s="879"/>
      <c r="I33" s="879"/>
      <c r="J33" s="879"/>
      <c r="K33" s="542">
        <v>45727</v>
      </c>
      <c r="L33" s="540" t="s">
        <v>500</v>
      </c>
      <c r="M33" s="508"/>
      <c r="N33" s="830"/>
      <c r="O33" s="830"/>
      <c r="P33" s="830"/>
    </row>
    <row r="34" spans="1:16">
      <c r="A34" s="540">
        <f t="shared" si="0"/>
        <v>32</v>
      </c>
      <c r="B34" s="544" t="s">
        <v>159</v>
      </c>
      <c r="C34" s="540" t="s">
        <v>476</v>
      </c>
      <c r="D34" s="540" t="s">
        <v>239</v>
      </c>
      <c r="E34" s="542">
        <v>45728</v>
      </c>
      <c r="F34" s="543">
        <v>45</v>
      </c>
      <c r="G34" s="879" t="s">
        <v>402</v>
      </c>
      <c r="H34" s="879"/>
      <c r="I34" s="879"/>
      <c r="J34" s="879"/>
      <c r="K34" s="542">
        <v>45733</v>
      </c>
      <c r="L34" s="540" t="s">
        <v>500</v>
      </c>
      <c r="M34" s="508"/>
      <c r="N34" s="830"/>
      <c r="O34" s="830"/>
      <c r="P34" s="830"/>
    </row>
    <row r="35" spans="1:16">
      <c r="A35" s="540">
        <f t="shared" si="0"/>
        <v>33</v>
      </c>
      <c r="B35" s="544" t="s">
        <v>503</v>
      </c>
      <c r="C35" s="540" t="s">
        <v>504</v>
      </c>
      <c r="D35" s="540" t="s">
        <v>239</v>
      </c>
      <c r="E35" s="542">
        <v>45734</v>
      </c>
      <c r="F35" s="543">
        <v>54</v>
      </c>
      <c r="G35" s="879" t="s">
        <v>402</v>
      </c>
      <c r="H35" s="879"/>
      <c r="I35" s="879"/>
      <c r="J35" s="879"/>
      <c r="K35" s="542">
        <v>45739</v>
      </c>
      <c r="L35" s="540" t="s">
        <v>500</v>
      </c>
      <c r="M35" s="508"/>
      <c r="N35" s="830"/>
      <c r="O35" s="830"/>
      <c r="P35" s="830"/>
    </row>
    <row r="36" spans="1:16">
      <c r="A36" s="540">
        <f t="shared" si="0"/>
        <v>34</v>
      </c>
      <c r="B36" s="544" t="s">
        <v>4</v>
      </c>
      <c r="C36" s="540" t="s">
        <v>506</v>
      </c>
      <c r="D36" s="540" t="s">
        <v>239</v>
      </c>
      <c r="E36" s="542">
        <v>45734</v>
      </c>
      <c r="F36" s="543">
        <v>52</v>
      </c>
      <c r="G36" s="879" t="s">
        <v>402</v>
      </c>
      <c r="H36" s="879"/>
      <c r="I36" s="879"/>
      <c r="J36" s="879"/>
      <c r="K36" s="542">
        <v>45744</v>
      </c>
      <c r="L36" s="540" t="s">
        <v>500</v>
      </c>
      <c r="M36" s="508"/>
      <c r="N36" s="830"/>
      <c r="O36" s="830"/>
      <c r="P36" s="830"/>
    </row>
    <row r="37" spans="1:16">
      <c r="A37" s="540">
        <f t="shared" si="0"/>
        <v>35</v>
      </c>
      <c r="B37" s="544" t="s">
        <v>5</v>
      </c>
      <c r="C37" s="540" t="s">
        <v>401</v>
      </c>
      <c r="D37" s="540" t="s">
        <v>239</v>
      </c>
      <c r="E37" s="542">
        <v>45744</v>
      </c>
      <c r="F37" s="543">
        <v>28</v>
      </c>
      <c r="G37" s="879" t="s">
        <v>402</v>
      </c>
      <c r="H37" s="879"/>
      <c r="I37" s="879"/>
      <c r="J37" s="879"/>
      <c r="K37" s="542">
        <v>45748</v>
      </c>
      <c r="L37" s="540" t="s">
        <v>500</v>
      </c>
      <c r="M37" s="508"/>
      <c r="N37" s="830"/>
      <c r="O37" s="830"/>
      <c r="P37" s="830"/>
    </row>
    <row r="38" spans="1:16">
      <c r="A38" s="540">
        <f t="shared" si="0"/>
        <v>36</v>
      </c>
      <c r="B38" s="544" t="s">
        <v>50</v>
      </c>
      <c r="C38" s="540" t="s">
        <v>444</v>
      </c>
      <c r="D38" s="540" t="s">
        <v>239</v>
      </c>
      <c r="E38" s="542">
        <v>45749</v>
      </c>
      <c r="F38" s="543">
        <v>29</v>
      </c>
      <c r="G38" s="879" t="s">
        <v>402</v>
      </c>
      <c r="H38" s="879"/>
      <c r="I38" s="879"/>
      <c r="J38" s="879"/>
      <c r="K38" s="542">
        <v>45752</v>
      </c>
      <c r="L38" s="540" t="s">
        <v>500</v>
      </c>
      <c r="M38" s="508"/>
      <c r="N38" s="830"/>
      <c r="O38" s="830"/>
      <c r="P38" s="830"/>
    </row>
    <row r="39" spans="1:16">
      <c r="A39" s="540">
        <f t="shared" si="0"/>
        <v>37</v>
      </c>
      <c r="B39" s="544" t="s">
        <v>591</v>
      </c>
      <c r="C39" s="540" t="s">
        <v>590</v>
      </c>
      <c r="D39" s="540" t="s">
        <v>239</v>
      </c>
      <c r="E39" s="542">
        <v>45752</v>
      </c>
      <c r="F39" s="543">
        <v>47</v>
      </c>
      <c r="G39" s="879" t="s">
        <v>402</v>
      </c>
      <c r="H39" s="879"/>
      <c r="I39" s="879"/>
      <c r="J39" s="879"/>
      <c r="K39" s="542">
        <v>45757</v>
      </c>
      <c r="L39" s="540" t="s">
        <v>500</v>
      </c>
      <c r="M39" s="508"/>
      <c r="N39" s="830"/>
      <c r="O39" s="830"/>
      <c r="P39" s="830"/>
    </row>
    <row r="40" spans="1:16">
      <c r="A40" s="540">
        <f t="shared" si="0"/>
        <v>38</v>
      </c>
      <c r="B40" s="544" t="s">
        <v>121</v>
      </c>
      <c r="C40" s="540" t="s">
        <v>595</v>
      </c>
      <c r="D40" s="540" t="s">
        <v>239</v>
      </c>
      <c r="E40" s="542">
        <v>45758</v>
      </c>
      <c r="F40" s="543">
        <v>54</v>
      </c>
      <c r="G40" s="879" t="s">
        <v>402</v>
      </c>
      <c r="H40" s="879"/>
      <c r="I40" s="879"/>
      <c r="J40" s="879"/>
      <c r="K40" s="542">
        <v>45768</v>
      </c>
      <c r="L40" s="540" t="s">
        <v>490</v>
      </c>
      <c r="M40" s="508"/>
      <c r="N40" s="830"/>
      <c r="O40" s="830"/>
      <c r="P40" s="830"/>
    </row>
    <row r="41" spans="1:16">
      <c r="A41" s="540">
        <f t="shared" si="0"/>
        <v>39</v>
      </c>
      <c r="B41" s="544" t="s">
        <v>180</v>
      </c>
      <c r="C41" s="540" t="s">
        <v>444</v>
      </c>
      <c r="D41" s="540" t="s">
        <v>239</v>
      </c>
      <c r="E41" s="542">
        <v>45759</v>
      </c>
      <c r="F41" s="543">
        <v>29</v>
      </c>
      <c r="G41" s="879" t="s">
        <v>402</v>
      </c>
      <c r="H41" s="879"/>
      <c r="I41" s="879"/>
      <c r="J41" s="879"/>
      <c r="K41" s="542">
        <v>45765</v>
      </c>
      <c r="L41" s="540" t="s">
        <v>500</v>
      </c>
      <c r="M41" s="508"/>
      <c r="N41" s="830"/>
      <c r="O41" s="830"/>
      <c r="P41" s="830"/>
    </row>
    <row r="42" spans="1:16" ht="18">
      <c r="A42" s="540">
        <f t="shared" si="0"/>
        <v>40</v>
      </c>
      <c r="B42" s="544" t="s">
        <v>593</v>
      </c>
      <c r="C42" s="540" t="s">
        <v>594</v>
      </c>
      <c r="D42" s="540" t="s">
        <v>239</v>
      </c>
      <c r="E42" s="542">
        <v>45765</v>
      </c>
      <c r="F42" s="543">
        <v>45</v>
      </c>
      <c r="G42" s="879" t="s">
        <v>402</v>
      </c>
      <c r="H42" s="879"/>
      <c r="I42" s="879"/>
      <c r="J42" s="879"/>
      <c r="K42" s="542">
        <v>45773</v>
      </c>
      <c r="L42" s="540" t="s">
        <v>649</v>
      </c>
      <c r="M42" s="508"/>
      <c r="N42" s="856" t="s">
        <v>109</v>
      </c>
      <c r="O42" s="856"/>
      <c r="P42" s="856"/>
    </row>
    <row r="43" spans="1:16" ht="28.8">
      <c r="A43" s="540">
        <f t="shared" si="0"/>
        <v>41</v>
      </c>
      <c r="B43" s="544" t="s">
        <v>489</v>
      </c>
      <c r="C43" s="540" t="s">
        <v>476</v>
      </c>
      <c r="D43" s="540" t="s">
        <v>239</v>
      </c>
      <c r="E43" s="542">
        <v>45769</v>
      </c>
      <c r="F43" s="543">
        <v>45</v>
      </c>
      <c r="G43" s="879" t="s">
        <v>402</v>
      </c>
      <c r="H43" s="879"/>
      <c r="I43" s="879"/>
      <c r="J43" s="879"/>
      <c r="K43" s="542">
        <v>45776</v>
      </c>
      <c r="L43" s="540" t="s">
        <v>650</v>
      </c>
      <c r="M43" s="508"/>
      <c r="N43" s="824"/>
      <c r="O43" s="824"/>
      <c r="P43" s="824"/>
    </row>
    <row r="44" spans="1:16" ht="28.8">
      <c r="A44" s="540">
        <f t="shared" si="0"/>
        <v>42</v>
      </c>
      <c r="B44" s="544" t="s">
        <v>167</v>
      </c>
      <c r="C44" s="540" t="s">
        <v>453</v>
      </c>
      <c r="D44" s="540" t="s">
        <v>239</v>
      </c>
      <c r="E44" s="542">
        <v>45774</v>
      </c>
      <c r="F44" s="543">
        <v>34.630000000000003</v>
      </c>
      <c r="G44" s="879" t="s">
        <v>402</v>
      </c>
      <c r="H44" s="879"/>
      <c r="I44" s="879"/>
      <c r="J44" s="879"/>
      <c r="K44" s="542">
        <v>45780</v>
      </c>
      <c r="L44" s="540" t="s">
        <v>649</v>
      </c>
      <c r="M44" s="508"/>
      <c r="N44" s="824"/>
      <c r="O44" s="824"/>
      <c r="P44" s="824"/>
    </row>
    <row r="45" spans="1:16" ht="28.8">
      <c r="A45" s="540">
        <f t="shared" si="0"/>
        <v>43</v>
      </c>
      <c r="B45" s="544" t="s">
        <v>20</v>
      </c>
      <c r="C45" s="540" t="s">
        <v>444</v>
      </c>
      <c r="D45" s="540" t="s">
        <v>239</v>
      </c>
      <c r="E45" s="542">
        <v>45776</v>
      </c>
      <c r="F45" s="543">
        <v>29</v>
      </c>
      <c r="G45" s="879" t="s">
        <v>402</v>
      </c>
      <c r="H45" s="879"/>
      <c r="I45" s="879"/>
      <c r="J45" s="879"/>
      <c r="K45" s="542">
        <v>45784</v>
      </c>
      <c r="L45" s="540" t="s">
        <v>650</v>
      </c>
      <c r="M45" s="508"/>
      <c r="N45" s="824"/>
      <c r="O45" s="824"/>
      <c r="P45" s="824"/>
    </row>
    <row r="46" spans="1:16" ht="21">
      <c r="A46" s="540">
        <f t="shared" si="0"/>
        <v>44</v>
      </c>
      <c r="B46" s="544" t="s">
        <v>37</v>
      </c>
      <c r="C46" s="540" t="s">
        <v>401</v>
      </c>
      <c r="D46" s="540" t="s">
        <v>239</v>
      </c>
      <c r="E46" s="542">
        <v>45782</v>
      </c>
      <c r="F46" s="543">
        <v>28</v>
      </c>
      <c r="G46" s="879" t="s">
        <v>402</v>
      </c>
      <c r="H46" s="879"/>
      <c r="I46" s="879"/>
      <c r="J46" s="879"/>
      <c r="K46" s="542">
        <v>45787</v>
      </c>
      <c r="L46" s="540" t="s">
        <v>649</v>
      </c>
      <c r="M46" s="508"/>
      <c r="N46" s="823" t="s">
        <v>109</v>
      </c>
      <c r="O46" s="823"/>
      <c r="P46" s="823"/>
    </row>
    <row r="47" spans="1:16" ht="21">
      <c r="A47" s="540">
        <f t="shared" si="0"/>
        <v>45</v>
      </c>
      <c r="B47" s="544" t="s">
        <v>512</v>
      </c>
      <c r="C47" s="540" t="s">
        <v>476</v>
      </c>
      <c r="D47" s="540" t="s">
        <v>239</v>
      </c>
      <c r="E47" s="542">
        <v>45785</v>
      </c>
      <c r="F47" s="543">
        <v>45</v>
      </c>
      <c r="G47" s="879" t="s">
        <v>402</v>
      </c>
      <c r="H47" s="879"/>
      <c r="I47" s="879"/>
      <c r="J47" s="879"/>
      <c r="K47" s="542">
        <v>45794</v>
      </c>
      <c r="L47" s="540" t="s">
        <v>649</v>
      </c>
      <c r="M47" s="508"/>
      <c r="N47" s="823"/>
      <c r="O47" s="823"/>
      <c r="P47" s="823"/>
    </row>
    <row r="48" spans="1:16" ht="21">
      <c r="A48" s="540">
        <f t="shared" si="0"/>
        <v>46</v>
      </c>
      <c r="B48" s="544" t="s">
        <v>157</v>
      </c>
      <c r="C48" s="540" t="s">
        <v>452</v>
      </c>
      <c r="D48" s="540" t="s">
        <v>239</v>
      </c>
      <c r="E48" s="542">
        <v>45788</v>
      </c>
      <c r="F48" s="543">
        <v>33</v>
      </c>
      <c r="G48" s="879" t="s">
        <v>402</v>
      </c>
      <c r="H48" s="879"/>
      <c r="I48" s="879"/>
      <c r="J48" s="879"/>
      <c r="K48" s="542">
        <v>45796</v>
      </c>
      <c r="L48" s="540" t="s">
        <v>650</v>
      </c>
      <c r="M48" s="508"/>
      <c r="N48" s="823"/>
      <c r="O48" s="823"/>
      <c r="P48" s="823"/>
    </row>
    <row r="49" spans="1:16" ht="21">
      <c r="A49" s="540">
        <f t="shared" si="0"/>
        <v>47</v>
      </c>
      <c r="B49" s="544" t="s">
        <v>127</v>
      </c>
      <c r="C49" s="540" t="s">
        <v>448</v>
      </c>
      <c r="D49" s="540" t="s">
        <v>239</v>
      </c>
      <c r="E49" s="542">
        <v>45788</v>
      </c>
      <c r="F49" s="543">
        <v>27</v>
      </c>
      <c r="G49" s="879" t="s">
        <v>402</v>
      </c>
      <c r="H49" s="879"/>
      <c r="I49" s="879"/>
      <c r="J49" s="879"/>
      <c r="K49" s="542">
        <v>45803</v>
      </c>
      <c r="L49" s="540" t="s">
        <v>649</v>
      </c>
      <c r="M49" s="508"/>
      <c r="N49" s="823"/>
      <c r="O49" s="823"/>
      <c r="P49" s="823"/>
    </row>
    <row r="50" spans="1:16" ht="21">
      <c r="A50" s="540">
        <f t="shared" si="0"/>
        <v>48</v>
      </c>
      <c r="B50" s="544" t="s">
        <v>129</v>
      </c>
      <c r="C50" s="540" t="s">
        <v>444</v>
      </c>
      <c r="D50" s="540" t="s">
        <v>239</v>
      </c>
      <c r="E50" s="542">
        <v>45799</v>
      </c>
      <c r="F50" s="543">
        <v>29</v>
      </c>
      <c r="G50" s="879" t="s">
        <v>402</v>
      </c>
      <c r="H50" s="879"/>
      <c r="I50" s="879"/>
      <c r="J50" s="879"/>
      <c r="K50" s="542">
        <v>45805</v>
      </c>
      <c r="L50" s="540" t="s">
        <v>650</v>
      </c>
      <c r="M50" s="508"/>
      <c r="N50" s="823"/>
      <c r="O50" s="823"/>
      <c r="P50" s="823"/>
    </row>
    <row r="51" spans="1:16" ht="25.8">
      <c r="A51" s="540">
        <f t="shared" si="0"/>
        <v>49</v>
      </c>
      <c r="B51" s="544" t="s">
        <v>132</v>
      </c>
      <c r="C51" s="540" t="s">
        <v>448</v>
      </c>
      <c r="D51" s="540" t="s">
        <v>239</v>
      </c>
      <c r="E51" s="542">
        <v>45807</v>
      </c>
      <c r="F51" s="543">
        <v>27</v>
      </c>
      <c r="G51" s="879" t="s">
        <v>402</v>
      </c>
      <c r="H51" s="879"/>
      <c r="I51" s="879"/>
      <c r="J51" s="879"/>
      <c r="K51" s="542">
        <v>45812</v>
      </c>
      <c r="L51" s="540" t="s">
        <v>649</v>
      </c>
      <c r="M51" s="508"/>
      <c r="N51" s="822"/>
      <c r="O51" s="822"/>
      <c r="P51" s="822"/>
    </row>
    <row r="52" spans="1:16" ht="25.8">
      <c r="A52" s="540">
        <f t="shared" si="0"/>
        <v>50</v>
      </c>
      <c r="B52" s="544" t="s">
        <v>144</v>
      </c>
      <c r="C52" s="540" t="s">
        <v>448</v>
      </c>
      <c r="D52" s="540" t="s">
        <v>239</v>
      </c>
      <c r="E52" s="542">
        <v>45806</v>
      </c>
      <c r="F52" s="543">
        <v>27</v>
      </c>
      <c r="G52" s="879" t="s">
        <v>402</v>
      </c>
      <c r="H52" s="879"/>
      <c r="I52" s="879"/>
      <c r="J52" s="879"/>
      <c r="K52" s="542">
        <v>45810</v>
      </c>
      <c r="L52" s="540" t="s">
        <v>650</v>
      </c>
      <c r="M52" s="508"/>
      <c r="N52" s="822"/>
      <c r="O52" s="822"/>
      <c r="P52" s="822"/>
    </row>
    <row r="53" spans="1:16" ht="25.8">
      <c r="A53" s="540">
        <f t="shared" si="0"/>
        <v>51</v>
      </c>
      <c r="B53" s="544" t="s">
        <v>123</v>
      </c>
      <c r="C53" s="540" t="s">
        <v>448</v>
      </c>
      <c r="D53" s="540" t="s">
        <v>239</v>
      </c>
      <c r="E53" s="542">
        <v>45811</v>
      </c>
      <c r="F53" s="543">
        <v>27</v>
      </c>
      <c r="G53" s="879" t="s">
        <v>402</v>
      </c>
      <c r="H53" s="879"/>
      <c r="I53" s="879"/>
      <c r="J53" s="879"/>
      <c r="K53" s="542">
        <v>45816</v>
      </c>
      <c r="L53" s="540" t="s">
        <v>649</v>
      </c>
      <c r="M53" s="508"/>
      <c r="N53" s="822"/>
      <c r="O53" s="822"/>
      <c r="P53" s="822"/>
    </row>
    <row r="54" spans="1:16" ht="25.8">
      <c r="A54" s="540">
        <f t="shared" si="0"/>
        <v>52</v>
      </c>
      <c r="B54" s="544" t="s">
        <v>124</v>
      </c>
      <c r="C54" s="540" t="s">
        <v>448</v>
      </c>
      <c r="D54" s="540" t="s">
        <v>239</v>
      </c>
      <c r="E54" s="542">
        <v>45817</v>
      </c>
      <c r="F54" s="543">
        <v>27</v>
      </c>
      <c r="G54" s="879" t="s">
        <v>402</v>
      </c>
      <c r="H54" s="879"/>
      <c r="I54" s="879"/>
      <c r="J54" s="879"/>
      <c r="K54" s="542">
        <v>45820</v>
      </c>
      <c r="L54" s="540" t="s">
        <v>649</v>
      </c>
      <c r="M54" s="508"/>
      <c r="N54" s="822"/>
      <c r="O54" s="822"/>
      <c r="P54" s="822"/>
    </row>
    <row r="55" spans="1:16" ht="25.8">
      <c r="A55" s="540">
        <f t="shared" si="0"/>
        <v>53</v>
      </c>
      <c r="B55" s="544" t="s">
        <v>125</v>
      </c>
      <c r="C55" s="540" t="s">
        <v>448</v>
      </c>
      <c r="D55" s="540" t="s">
        <v>239</v>
      </c>
      <c r="E55" s="542">
        <v>45820</v>
      </c>
      <c r="F55" s="543">
        <v>27</v>
      </c>
      <c r="G55" s="879" t="s">
        <v>402</v>
      </c>
      <c r="H55" s="879"/>
      <c r="I55" s="879"/>
      <c r="J55" s="879"/>
      <c r="K55" s="542">
        <v>45825</v>
      </c>
      <c r="L55" s="540" t="s">
        <v>650</v>
      </c>
      <c r="M55" s="508"/>
      <c r="N55" s="822"/>
      <c r="O55" s="822"/>
      <c r="P55" s="822"/>
    </row>
    <row r="56" spans="1:16" ht="25.8">
      <c r="A56" s="540">
        <f t="shared" si="0"/>
        <v>54</v>
      </c>
      <c r="B56" s="541" t="s">
        <v>122</v>
      </c>
      <c r="C56" s="540" t="s">
        <v>662</v>
      </c>
      <c r="D56" s="540" t="s">
        <v>239</v>
      </c>
      <c r="E56" s="542">
        <v>45822</v>
      </c>
      <c r="F56" s="543">
        <v>56</v>
      </c>
      <c r="G56" s="879" t="s">
        <v>402</v>
      </c>
      <c r="H56" s="879"/>
      <c r="I56" s="879"/>
      <c r="J56" s="879"/>
      <c r="K56" s="542">
        <v>45832</v>
      </c>
      <c r="L56" s="540" t="s">
        <v>649</v>
      </c>
      <c r="M56" s="508"/>
      <c r="N56" s="822"/>
      <c r="O56" s="822"/>
      <c r="P56" s="822"/>
    </row>
    <row r="57" spans="1:16" ht="25.8">
      <c r="A57" s="540">
        <f t="shared" si="0"/>
        <v>55</v>
      </c>
      <c r="B57" s="541" t="s">
        <v>630</v>
      </c>
      <c r="C57" s="540" t="s">
        <v>631</v>
      </c>
      <c r="D57" s="540" t="s">
        <v>239</v>
      </c>
      <c r="E57" s="542">
        <v>45827</v>
      </c>
      <c r="F57" s="543">
        <v>47</v>
      </c>
      <c r="G57" s="879" t="s">
        <v>402</v>
      </c>
      <c r="H57" s="879"/>
      <c r="I57" s="879"/>
      <c r="J57" s="879"/>
      <c r="K57" s="542">
        <v>45839</v>
      </c>
      <c r="L57" s="540" t="s">
        <v>650</v>
      </c>
      <c r="M57" s="508"/>
      <c r="N57" s="822"/>
      <c r="O57" s="822"/>
      <c r="P57" s="822"/>
    </row>
    <row r="58" spans="1:16" ht="25.8">
      <c r="A58" s="540">
        <f t="shared" si="0"/>
        <v>56</v>
      </c>
      <c r="B58" s="541" t="s">
        <v>615</v>
      </c>
      <c r="C58" s="540" t="s">
        <v>401</v>
      </c>
      <c r="D58" s="540" t="s">
        <v>239</v>
      </c>
      <c r="E58" s="542">
        <v>45841</v>
      </c>
      <c r="F58" s="543">
        <v>28</v>
      </c>
      <c r="G58" s="879" t="s">
        <v>402</v>
      </c>
      <c r="H58" s="879"/>
      <c r="I58" s="879"/>
      <c r="J58" s="879"/>
      <c r="K58" s="542">
        <v>45850</v>
      </c>
      <c r="L58" s="540" t="s">
        <v>686</v>
      </c>
      <c r="M58" s="508"/>
      <c r="N58" s="822"/>
      <c r="O58" s="822"/>
      <c r="P58" s="822"/>
    </row>
    <row r="59" spans="1:16" ht="25.8">
      <c r="A59" s="540">
        <f t="shared" si="0"/>
        <v>57</v>
      </c>
      <c r="B59" s="541" t="s">
        <v>596</v>
      </c>
      <c r="C59" s="540" t="s">
        <v>595</v>
      </c>
      <c r="D59" s="540" t="s">
        <v>239</v>
      </c>
      <c r="E59" s="542">
        <v>45841</v>
      </c>
      <c r="F59" s="543">
        <v>54</v>
      </c>
      <c r="G59" s="879" t="s">
        <v>402</v>
      </c>
      <c r="H59" s="879"/>
      <c r="I59" s="879"/>
      <c r="J59" s="879"/>
      <c r="K59" s="542">
        <v>45859</v>
      </c>
      <c r="L59" s="540" t="s">
        <v>649</v>
      </c>
      <c r="M59" s="508"/>
      <c r="N59" s="822"/>
      <c r="O59" s="822"/>
      <c r="P59" s="822"/>
    </row>
    <row r="60" spans="1:16" ht="25.8">
      <c r="A60" s="540">
        <f t="shared" si="0"/>
        <v>58</v>
      </c>
      <c r="B60" s="541" t="s">
        <v>518</v>
      </c>
      <c r="C60" s="540" t="s">
        <v>590</v>
      </c>
      <c r="D60" s="540" t="s">
        <v>239</v>
      </c>
      <c r="E60" s="542">
        <v>45841</v>
      </c>
      <c r="F60" s="543">
        <v>47</v>
      </c>
      <c r="G60" s="879" t="s">
        <v>402</v>
      </c>
      <c r="H60" s="879"/>
      <c r="I60" s="879"/>
      <c r="J60" s="879"/>
      <c r="K60" s="542">
        <v>45852</v>
      </c>
      <c r="L60" s="540" t="s">
        <v>687</v>
      </c>
      <c r="M60" s="508"/>
      <c r="N60" s="822"/>
      <c r="O60" s="822"/>
      <c r="P60" s="822"/>
    </row>
    <row r="61" spans="1:16" ht="25.8">
      <c r="A61" s="540">
        <f t="shared" si="0"/>
        <v>59</v>
      </c>
      <c r="B61" s="541" t="s">
        <v>21</v>
      </c>
      <c r="C61" s="540" t="s">
        <v>401</v>
      </c>
      <c r="D61" s="540" t="s">
        <v>239</v>
      </c>
      <c r="E61" s="542">
        <v>45852</v>
      </c>
      <c r="F61" s="543">
        <v>28</v>
      </c>
      <c r="G61" s="879" t="s">
        <v>402</v>
      </c>
      <c r="H61" s="879"/>
      <c r="I61" s="879"/>
      <c r="J61" s="879"/>
      <c r="K61" s="542">
        <v>45858</v>
      </c>
      <c r="L61" s="540" t="s">
        <v>686</v>
      </c>
      <c r="M61" s="508"/>
      <c r="N61" s="822"/>
      <c r="O61" s="822"/>
      <c r="P61" s="822"/>
    </row>
    <row r="62" spans="1:16" ht="25.8">
      <c r="A62" s="540">
        <f t="shared" si="0"/>
        <v>60</v>
      </c>
      <c r="B62" s="541" t="s">
        <v>142</v>
      </c>
      <c r="C62" s="540" t="s">
        <v>453</v>
      </c>
      <c r="D62" s="540" t="s">
        <v>239</v>
      </c>
      <c r="E62" s="542">
        <v>45853</v>
      </c>
      <c r="F62" s="543">
        <v>34.6</v>
      </c>
      <c r="G62" s="879" t="s">
        <v>402</v>
      </c>
      <c r="H62" s="879"/>
      <c r="I62" s="879"/>
      <c r="J62" s="879"/>
      <c r="K62" s="542">
        <v>45861</v>
      </c>
      <c r="L62" s="540" t="s">
        <v>687</v>
      </c>
      <c r="M62" s="508"/>
      <c r="N62" s="822"/>
      <c r="O62" s="822"/>
      <c r="P62" s="822"/>
    </row>
    <row r="63" spans="1:16" ht="25.8">
      <c r="A63" s="540">
        <f t="shared" si="0"/>
        <v>61</v>
      </c>
      <c r="B63" s="541" t="s">
        <v>138</v>
      </c>
      <c r="C63" s="540" t="s">
        <v>453</v>
      </c>
      <c r="D63" s="540" t="s">
        <v>239</v>
      </c>
      <c r="E63" s="542">
        <v>45859</v>
      </c>
      <c r="F63" s="543">
        <v>34.6</v>
      </c>
      <c r="G63" s="879" t="s">
        <v>402</v>
      </c>
      <c r="H63" s="879"/>
      <c r="I63" s="879"/>
      <c r="J63" s="879"/>
      <c r="K63" s="542">
        <v>45869</v>
      </c>
      <c r="L63" s="540" t="s">
        <v>687</v>
      </c>
      <c r="M63" s="508"/>
      <c r="N63" s="822"/>
      <c r="O63" s="822"/>
      <c r="P63" s="822"/>
    </row>
    <row r="64" spans="1:16" ht="25.8">
      <c r="A64" s="540">
        <f t="shared" si="0"/>
        <v>62</v>
      </c>
      <c r="B64" s="541" t="s">
        <v>134</v>
      </c>
      <c r="C64" s="540" t="s">
        <v>401</v>
      </c>
      <c r="D64" s="540" t="s">
        <v>239</v>
      </c>
      <c r="E64" s="542">
        <v>45860</v>
      </c>
      <c r="F64" s="543">
        <v>28</v>
      </c>
      <c r="G64" s="879" t="s">
        <v>402</v>
      </c>
      <c r="H64" s="879"/>
      <c r="I64" s="879"/>
      <c r="J64" s="879"/>
      <c r="K64" s="542">
        <v>45868</v>
      </c>
      <c r="L64" s="540" t="s">
        <v>686</v>
      </c>
      <c r="M64" s="508"/>
      <c r="N64" s="822"/>
      <c r="O64" s="822"/>
      <c r="P64" s="822"/>
    </row>
    <row r="65" spans="1:16" ht="25.8">
      <c r="A65" s="540">
        <f t="shared" si="0"/>
        <v>63</v>
      </c>
      <c r="B65" s="541" t="s">
        <v>130</v>
      </c>
      <c r="C65" s="540" t="s">
        <v>444</v>
      </c>
      <c r="D65" s="540" t="s">
        <v>239</v>
      </c>
      <c r="E65" s="542">
        <v>45859</v>
      </c>
      <c r="F65" s="543">
        <v>29</v>
      </c>
      <c r="G65" s="879" t="s">
        <v>402</v>
      </c>
      <c r="H65" s="879"/>
      <c r="I65" s="879"/>
      <c r="J65" s="879"/>
      <c r="K65" s="542">
        <v>45876</v>
      </c>
      <c r="L65" s="540" t="s">
        <v>685</v>
      </c>
      <c r="M65" s="508"/>
      <c r="N65" s="822"/>
      <c r="O65" s="822"/>
      <c r="P65" s="822"/>
    </row>
    <row r="66" spans="1:16" ht="15.6">
      <c r="A66" s="540">
        <f t="shared" si="0"/>
        <v>64</v>
      </c>
      <c r="B66" s="541" t="s">
        <v>149</v>
      </c>
      <c r="C66" s="540" t="s">
        <v>444</v>
      </c>
      <c r="D66" s="540" t="s">
        <v>239</v>
      </c>
      <c r="E66" s="542">
        <v>45862</v>
      </c>
      <c r="F66" s="543">
        <v>29</v>
      </c>
      <c r="G66" s="879" t="s">
        <v>402</v>
      </c>
      <c r="H66" s="879"/>
      <c r="I66" s="879"/>
      <c r="J66" s="879"/>
      <c r="K66" s="542">
        <v>45875</v>
      </c>
      <c r="L66" s="540" t="s">
        <v>688</v>
      </c>
      <c r="M66" s="508"/>
      <c r="N66" s="874"/>
      <c r="O66" s="874"/>
      <c r="P66" s="874"/>
    </row>
    <row r="67" spans="1:16" ht="15.6">
      <c r="A67" s="540">
        <f t="shared" si="0"/>
        <v>65</v>
      </c>
      <c r="B67" s="541" t="s">
        <v>131</v>
      </c>
      <c r="C67" s="540" t="s">
        <v>444</v>
      </c>
      <c r="D67" s="540" t="s">
        <v>239</v>
      </c>
      <c r="E67" s="542">
        <v>45837</v>
      </c>
      <c r="F67" s="543">
        <v>29</v>
      </c>
      <c r="G67" s="879" t="s">
        <v>402</v>
      </c>
      <c r="H67" s="879"/>
      <c r="I67" s="879"/>
      <c r="J67" s="879"/>
      <c r="K67" s="542">
        <v>45876</v>
      </c>
      <c r="L67" s="540" t="s">
        <v>686</v>
      </c>
      <c r="M67" s="508"/>
      <c r="N67" s="874"/>
      <c r="O67" s="874"/>
      <c r="P67" s="874"/>
    </row>
    <row r="68" spans="1:16" ht="25.8">
      <c r="A68" s="540">
        <f>A67+1</f>
        <v>66</v>
      </c>
      <c r="B68" s="541" t="s">
        <v>19</v>
      </c>
      <c r="C68" s="540" t="s">
        <v>589</v>
      </c>
      <c r="D68" s="540" t="s">
        <v>239</v>
      </c>
      <c r="E68" s="542">
        <v>45875</v>
      </c>
      <c r="F68" s="543">
        <v>54</v>
      </c>
      <c r="G68" s="879" t="s">
        <v>402</v>
      </c>
      <c r="H68" s="879"/>
      <c r="I68" s="879"/>
      <c r="J68" s="879"/>
      <c r="K68" s="542">
        <v>45888</v>
      </c>
      <c r="L68" s="540" t="s">
        <v>687</v>
      </c>
      <c r="M68" s="508"/>
      <c r="N68" s="822"/>
      <c r="O68" s="822"/>
      <c r="P68" s="822"/>
    </row>
    <row r="69" spans="1:16" ht="25.8">
      <c r="A69" s="540">
        <f t="shared" ref="A69:A120" si="1">A68+1</f>
        <v>67</v>
      </c>
      <c r="B69" s="541" t="s">
        <v>139</v>
      </c>
      <c r="C69" s="540" t="s">
        <v>453</v>
      </c>
      <c r="D69" s="540" t="s">
        <v>239</v>
      </c>
      <c r="E69" s="542">
        <v>45876</v>
      </c>
      <c r="F69" s="543">
        <v>34.630000000000003</v>
      </c>
      <c r="G69" s="879" t="s">
        <v>402</v>
      </c>
      <c r="H69" s="879"/>
      <c r="I69" s="879"/>
      <c r="J69" s="879"/>
      <c r="K69" s="542">
        <v>45886</v>
      </c>
      <c r="L69" s="540" t="s">
        <v>686</v>
      </c>
      <c r="M69" s="508"/>
      <c r="N69" s="822"/>
      <c r="O69" s="822"/>
      <c r="P69" s="822"/>
    </row>
    <row r="70" spans="1:16" ht="25.8">
      <c r="A70" s="540">
        <f t="shared" si="1"/>
        <v>68</v>
      </c>
      <c r="B70" s="541" t="s">
        <v>605</v>
      </c>
      <c r="C70" s="540" t="s">
        <v>629</v>
      </c>
      <c r="D70" s="540" t="s">
        <v>239</v>
      </c>
      <c r="E70" s="542">
        <v>45876</v>
      </c>
      <c r="F70" s="543">
        <v>51.6</v>
      </c>
      <c r="G70" s="879" t="s">
        <v>402</v>
      </c>
      <c r="H70" s="879"/>
      <c r="I70" s="879"/>
      <c r="J70" s="879"/>
      <c r="K70" s="542">
        <v>45885</v>
      </c>
      <c r="L70" s="540" t="s">
        <v>684</v>
      </c>
      <c r="M70" s="508"/>
      <c r="N70" s="822"/>
      <c r="O70" s="822"/>
      <c r="P70" s="822"/>
    </row>
    <row r="71" spans="1:16" ht="25.8">
      <c r="A71" s="540">
        <f t="shared" si="1"/>
        <v>69</v>
      </c>
      <c r="B71" s="541" t="s">
        <v>165</v>
      </c>
      <c r="C71" s="540" t="s">
        <v>401</v>
      </c>
      <c r="D71" s="540" t="s">
        <v>239</v>
      </c>
      <c r="E71" s="542">
        <v>45878</v>
      </c>
      <c r="F71" s="543">
        <v>28</v>
      </c>
      <c r="G71" s="879" t="s">
        <v>402</v>
      </c>
      <c r="H71" s="879"/>
      <c r="I71" s="879"/>
      <c r="J71" s="879"/>
      <c r="K71" s="542">
        <v>45891</v>
      </c>
      <c r="L71" s="540" t="s">
        <v>685</v>
      </c>
      <c r="M71" s="508"/>
      <c r="N71" s="822"/>
      <c r="O71" s="822"/>
      <c r="P71" s="822"/>
    </row>
    <row r="72" spans="1:16" ht="25.8">
      <c r="A72" s="540">
        <f t="shared" si="1"/>
        <v>70</v>
      </c>
      <c r="B72" s="541" t="s">
        <v>8</v>
      </c>
      <c r="C72" s="540" t="s">
        <v>452</v>
      </c>
      <c r="D72" s="540" t="s">
        <v>239</v>
      </c>
      <c r="E72" s="542">
        <v>45885</v>
      </c>
      <c r="F72" s="543">
        <v>33</v>
      </c>
      <c r="G72" s="879" t="s">
        <v>402</v>
      </c>
      <c r="H72" s="879"/>
      <c r="I72" s="879"/>
      <c r="J72" s="879"/>
      <c r="K72" s="542">
        <v>45901</v>
      </c>
      <c r="L72" s="540" t="s">
        <v>684</v>
      </c>
      <c r="M72" s="508"/>
      <c r="N72" s="822"/>
      <c r="O72" s="822"/>
      <c r="P72" s="822"/>
    </row>
    <row r="73" spans="1:16" ht="25.8">
      <c r="A73" s="540">
        <f t="shared" si="1"/>
        <v>71</v>
      </c>
      <c r="B73" s="541" t="s">
        <v>150</v>
      </c>
      <c r="C73" s="540" t="s">
        <v>401</v>
      </c>
      <c r="D73" s="540" t="s">
        <v>239</v>
      </c>
      <c r="E73" s="542">
        <v>45887</v>
      </c>
      <c r="F73" s="543">
        <v>28</v>
      </c>
      <c r="G73" s="879" t="s">
        <v>402</v>
      </c>
      <c r="H73" s="879"/>
      <c r="I73" s="879"/>
      <c r="J73" s="879"/>
      <c r="K73" s="542">
        <v>45895</v>
      </c>
      <c r="L73" s="540" t="s">
        <v>686</v>
      </c>
      <c r="M73" s="508"/>
      <c r="N73" s="822"/>
      <c r="O73" s="822"/>
      <c r="P73" s="822"/>
    </row>
    <row r="74" spans="1:16" ht="25.8">
      <c r="A74" s="540">
        <f t="shared" si="1"/>
        <v>72</v>
      </c>
      <c r="B74" s="541" t="s">
        <v>654</v>
      </c>
      <c r="C74" s="540" t="s">
        <v>643</v>
      </c>
      <c r="D74" s="540" t="s">
        <v>239</v>
      </c>
      <c r="E74" s="542">
        <v>45888</v>
      </c>
      <c r="F74" s="543">
        <v>51.6</v>
      </c>
      <c r="G74" s="879" t="s">
        <v>402</v>
      </c>
      <c r="H74" s="879"/>
      <c r="I74" s="879"/>
      <c r="J74" s="879"/>
      <c r="K74" s="542">
        <v>45895</v>
      </c>
      <c r="L74" s="540" t="s">
        <v>684</v>
      </c>
      <c r="M74" s="508"/>
      <c r="N74" s="822"/>
      <c r="O74" s="822"/>
      <c r="P74" s="822"/>
    </row>
    <row r="75" spans="1:16" ht="25.8">
      <c r="A75" s="540">
        <f t="shared" si="1"/>
        <v>73</v>
      </c>
      <c r="B75" s="541" t="s">
        <v>155</v>
      </c>
      <c r="C75" s="540" t="s">
        <v>401</v>
      </c>
      <c r="D75" s="540" t="s">
        <v>239</v>
      </c>
      <c r="E75" s="542">
        <v>45891</v>
      </c>
      <c r="F75" s="543">
        <v>28</v>
      </c>
      <c r="G75" s="879" t="s">
        <v>402</v>
      </c>
      <c r="H75" s="879"/>
      <c r="I75" s="879"/>
      <c r="J75" s="879"/>
      <c r="K75" s="542">
        <v>45895</v>
      </c>
      <c r="L75" s="540" t="s">
        <v>687</v>
      </c>
      <c r="M75" s="508"/>
      <c r="N75" s="822"/>
      <c r="O75" s="822"/>
      <c r="P75" s="822"/>
    </row>
    <row r="76" spans="1:16" s="270" customFormat="1" ht="27.6" customHeight="1">
      <c r="A76" s="516">
        <f t="shared" si="1"/>
        <v>74</v>
      </c>
      <c r="B76" s="455" t="s">
        <v>559</v>
      </c>
      <c r="C76" s="181" t="s">
        <v>401</v>
      </c>
      <c r="D76" s="516" t="s">
        <v>239</v>
      </c>
      <c r="E76" s="283">
        <v>45895</v>
      </c>
      <c r="F76" s="284">
        <v>28</v>
      </c>
      <c r="G76" s="817" t="s">
        <v>402</v>
      </c>
      <c r="H76" s="817"/>
      <c r="I76" s="817"/>
      <c r="J76" s="817"/>
      <c r="K76" s="183">
        <v>45947</v>
      </c>
      <c r="L76" s="516" t="s">
        <v>687</v>
      </c>
      <c r="M76" s="516"/>
      <c r="N76" s="822"/>
      <c r="O76" s="822"/>
      <c r="P76" s="822"/>
    </row>
    <row r="77" spans="1:16" s="270" customFormat="1" ht="27.6" customHeight="1">
      <c r="A77" s="555">
        <f t="shared" si="1"/>
        <v>75</v>
      </c>
      <c r="B77" s="455" t="s">
        <v>119</v>
      </c>
      <c r="C77" s="181" t="s">
        <v>453</v>
      </c>
      <c r="D77" s="555" t="s">
        <v>239</v>
      </c>
      <c r="E77" s="283">
        <v>45900</v>
      </c>
      <c r="F77" s="284">
        <v>35</v>
      </c>
      <c r="G77" s="817" t="s">
        <v>402</v>
      </c>
      <c r="H77" s="817"/>
      <c r="I77" s="817"/>
      <c r="J77" s="817"/>
      <c r="K77" s="183">
        <v>45910</v>
      </c>
      <c r="L77" s="555" t="s">
        <v>686</v>
      </c>
      <c r="M77" s="555"/>
      <c r="N77" s="565"/>
      <c r="O77" s="565"/>
      <c r="P77" s="565"/>
    </row>
    <row r="78" spans="1:16" s="270" customFormat="1" ht="27.6" customHeight="1">
      <c r="A78" s="555">
        <f t="shared" si="1"/>
        <v>76</v>
      </c>
      <c r="B78" s="455" t="s">
        <v>607</v>
      </c>
      <c r="C78" s="181" t="s">
        <v>695</v>
      </c>
      <c r="D78" s="555" t="s">
        <v>239</v>
      </c>
      <c r="E78" s="283">
        <v>45901</v>
      </c>
      <c r="F78" s="284">
        <v>63</v>
      </c>
      <c r="G78" s="817" t="s">
        <v>402</v>
      </c>
      <c r="H78" s="817"/>
      <c r="I78" s="817"/>
      <c r="J78" s="817"/>
      <c r="K78" s="183">
        <v>45912</v>
      </c>
      <c r="L78" s="555" t="s">
        <v>687</v>
      </c>
      <c r="M78" s="555"/>
      <c r="N78" s="565"/>
      <c r="O78" s="565"/>
      <c r="P78" s="565"/>
    </row>
    <row r="79" spans="1:16" s="270" customFormat="1" ht="27.6" customHeight="1">
      <c r="A79" s="555">
        <f t="shared" si="1"/>
        <v>77</v>
      </c>
      <c r="B79" s="455" t="s">
        <v>164</v>
      </c>
      <c r="C79" s="181" t="s">
        <v>401</v>
      </c>
      <c r="D79" s="555" t="s">
        <v>239</v>
      </c>
      <c r="E79" s="283">
        <v>45903</v>
      </c>
      <c r="F79" s="284">
        <v>27.9</v>
      </c>
      <c r="G79" s="817" t="s">
        <v>402</v>
      </c>
      <c r="H79" s="817"/>
      <c r="I79" s="817"/>
      <c r="J79" s="817"/>
      <c r="K79" s="183">
        <v>45907</v>
      </c>
      <c r="L79" s="555" t="s">
        <v>684</v>
      </c>
      <c r="M79" s="555"/>
      <c r="N79" s="565"/>
      <c r="O79" s="565"/>
      <c r="P79" s="565"/>
    </row>
    <row r="80" spans="1:16" s="270" customFormat="1" ht="43.2" customHeight="1">
      <c r="A80" s="555">
        <f t="shared" si="1"/>
        <v>78</v>
      </c>
      <c r="B80" s="455" t="s">
        <v>645</v>
      </c>
      <c r="C80" s="181" t="s">
        <v>476</v>
      </c>
      <c r="D80" s="555" t="s">
        <v>239</v>
      </c>
      <c r="E80" s="283">
        <v>45905</v>
      </c>
      <c r="F80" s="284">
        <v>45</v>
      </c>
      <c r="G80" s="817" t="s">
        <v>402</v>
      </c>
      <c r="H80" s="817"/>
      <c r="I80" s="817"/>
      <c r="J80" s="817"/>
      <c r="K80" s="183">
        <v>45933</v>
      </c>
      <c r="L80" s="555" t="s">
        <v>685</v>
      </c>
      <c r="M80" s="555"/>
      <c r="N80" s="768"/>
      <c r="O80" s="768"/>
      <c r="P80" s="768"/>
    </row>
    <row r="81" spans="1:16" s="270" customFormat="1" ht="27.6" customHeight="1">
      <c r="A81" s="613">
        <f t="shared" si="1"/>
        <v>79</v>
      </c>
      <c r="B81" s="455" t="s">
        <v>40</v>
      </c>
      <c r="C81" s="181" t="s">
        <v>444</v>
      </c>
      <c r="D81" s="555" t="s">
        <v>239</v>
      </c>
      <c r="E81" s="283">
        <v>45909</v>
      </c>
      <c r="F81" s="284">
        <v>29</v>
      </c>
      <c r="G81" s="817" t="s">
        <v>402</v>
      </c>
      <c r="H81" s="817"/>
      <c r="I81" s="817"/>
      <c r="J81" s="817"/>
      <c r="K81" s="183">
        <v>45913</v>
      </c>
      <c r="L81" s="555" t="s">
        <v>684</v>
      </c>
      <c r="M81" s="555"/>
      <c r="N81" s="565"/>
      <c r="O81" s="565"/>
      <c r="P81" s="565"/>
    </row>
    <row r="82" spans="1:16" s="270" customFormat="1" ht="27.6" customHeight="1">
      <c r="A82" s="555">
        <f t="shared" si="1"/>
        <v>80</v>
      </c>
      <c r="B82" s="455" t="s">
        <v>154</v>
      </c>
      <c r="C82" s="181" t="s">
        <v>452</v>
      </c>
      <c r="D82" s="555" t="s">
        <v>239</v>
      </c>
      <c r="E82" s="283">
        <v>45909</v>
      </c>
      <c r="F82" s="284">
        <v>33.299999999999997</v>
      </c>
      <c r="G82" s="817" t="s">
        <v>402</v>
      </c>
      <c r="H82" s="817"/>
      <c r="I82" s="817"/>
      <c r="J82" s="817"/>
      <c r="K82" s="183">
        <v>45930</v>
      </c>
      <c r="L82" s="555" t="s">
        <v>696</v>
      </c>
      <c r="M82" s="555"/>
      <c r="N82" s="565"/>
      <c r="O82" s="565"/>
      <c r="P82" s="565"/>
    </row>
    <row r="83" spans="1:16" s="270" customFormat="1" ht="27.6" customHeight="1">
      <c r="A83" s="555">
        <f t="shared" si="1"/>
        <v>81</v>
      </c>
      <c r="B83" s="455" t="s">
        <v>118</v>
      </c>
      <c r="C83" s="181" t="s">
        <v>452</v>
      </c>
      <c r="D83" s="555" t="s">
        <v>239</v>
      </c>
      <c r="E83" s="283">
        <v>45912</v>
      </c>
      <c r="F83" s="284">
        <v>33.299999999999997</v>
      </c>
      <c r="G83" s="817" t="s">
        <v>402</v>
      </c>
      <c r="H83" s="817"/>
      <c r="I83" s="817"/>
      <c r="J83" s="817"/>
      <c r="K83" s="183">
        <v>45922</v>
      </c>
      <c r="L83" s="555" t="s">
        <v>699</v>
      </c>
      <c r="M83" s="555"/>
      <c r="N83" s="565"/>
      <c r="O83" s="565"/>
      <c r="P83" s="565"/>
    </row>
    <row r="84" spans="1:16" s="270" customFormat="1" ht="27.6" customHeight="1">
      <c r="A84" s="555">
        <f t="shared" si="1"/>
        <v>82</v>
      </c>
      <c r="B84" s="455" t="s">
        <v>562</v>
      </c>
      <c r="C84" s="181" t="s">
        <v>643</v>
      </c>
      <c r="D84" s="555" t="s">
        <v>239</v>
      </c>
      <c r="E84" s="283">
        <v>45914</v>
      </c>
      <c r="F84" s="284">
        <v>51.7</v>
      </c>
      <c r="G84" s="817" t="s">
        <v>402</v>
      </c>
      <c r="H84" s="817"/>
      <c r="I84" s="817"/>
      <c r="J84" s="817"/>
      <c r="K84" s="183">
        <v>45925</v>
      </c>
      <c r="L84" s="555" t="s">
        <v>687</v>
      </c>
      <c r="M84" s="555"/>
      <c r="N84" s="565"/>
      <c r="O84" s="565"/>
      <c r="P84" s="565"/>
    </row>
    <row r="85" spans="1:16" s="270" customFormat="1" ht="34.799999999999997" customHeight="1">
      <c r="A85" s="555">
        <f t="shared" si="1"/>
        <v>83</v>
      </c>
      <c r="B85" s="455" t="s">
        <v>680</v>
      </c>
      <c r="C85" s="181" t="s">
        <v>598</v>
      </c>
      <c r="D85" s="555" t="s">
        <v>239</v>
      </c>
      <c r="E85" s="283">
        <v>45916</v>
      </c>
      <c r="F85" s="284">
        <v>60</v>
      </c>
      <c r="G85" s="817" t="s">
        <v>402</v>
      </c>
      <c r="H85" s="817"/>
      <c r="I85" s="817"/>
      <c r="J85" s="817"/>
      <c r="K85" s="183">
        <v>45923</v>
      </c>
      <c r="L85" s="555" t="s">
        <v>684</v>
      </c>
      <c r="M85" s="555"/>
      <c r="N85" s="768"/>
      <c r="O85" s="768"/>
      <c r="P85" s="768"/>
    </row>
    <row r="86" spans="1:16" s="270" customFormat="1" ht="34.799999999999997" customHeight="1">
      <c r="A86" s="555">
        <f t="shared" si="1"/>
        <v>84</v>
      </c>
      <c r="B86" s="455" t="s">
        <v>117</v>
      </c>
      <c r="C86" s="181" t="s">
        <v>448</v>
      </c>
      <c r="D86" s="555" t="s">
        <v>239</v>
      </c>
      <c r="E86" s="283">
        <v>45922</v>
      </c>
      <c r="F86" s="284">
        <v>27</v>
      </c>
      <c r="G86" s="817" t="s">
        <v>402</v>
      </c>
      <c r="H86" s="817"/>
      <c r="I86" s="817"/>
      <c r="J86" s="817"/>
      <c r="K86" s="183">
        <v>45930</v>
      </c>
      <c r="L86" s="555" t="s">
        <v>699</v>
      </c>
      <c r="M86" s="555"/>
      <c r="N86" s="768"/>
      <c r="O86" s="768"/>
      <c r="P86" s="768"/>
    </row>
    <row r="87" spans="1:16" s="270" customFormat="1" ht="34.799999999999997" customHeight="1">
      <c r="A87" s="555">
        <f t="shared" si="1"/>
        <v>85</v>
      </c>
      <c r="B87" s="455" t="s">
        <v>665</v>
      </c>
      <c r="C87" s="181" t="s">
        <v>666</v>
      </c>
      <c r="D87" s="555" t="s">
        <v>239</v>
      </c>
      <c r="E87" s="283">
        <v>45925</v>
      </c>
      <c r="F87" s="284">
        <v>50</v>
      </c>
      <c r="G87" s="817" t="s">
        <v>402</v>
      </c>
      <c r="H87" s="817"/>
      <c r="I87" s="817"/>
      <c r="J87" s="817"/>
      <c r="K87" s="183">
        <v>45931</v>
      </c>
      <c r="L87" s="555" t="s">
        <v>684</v>
      </c>
      <c r="M87" s="555"/>
      <c r="N87" s="768"/>
      <c r="O87" s="768"/>
      <c r="P87" s="768"/>
    </row>
    <row r="88" spans="1:16" s="270" customFormat="1" ht="34.799999999999997" customHeight="1">
      <c r="A88" s="555">
        <f t="shared" si="1"/>
        <v>86</v>
      </c>
      <c r="B88" s="455" t="s">
        <v>173</v>
      </c>
      <c r="C88" s="181" t="s">
        <v>448</v>
      </c>
      <c r="D88" s="555" t="s">
        <v>239</v>
      </c>
      <c r="E88" s="283">
        <v>45928</v>
      </c>
      <c r="F88" s="284">
        <v>27</v>
      </c>
      <c r="G88" s="817" t="s">
        <v>402</v>
      </c>
      <c r="H88" s="817"/>
      <c r="I88" s="817"/>
      <c r="J88" s="817"/>
      <c r="K88" s="183">
        <v>45935</v>
      </c>
      <c r="L88" s="555" t="s">
        <v>687</v>
      </c>
      <c r="M88" s="555"/>
      <c r="N88" s="768"/>
      <c r="O88" s="768"/>
      <c r="P88" s="768"/>
    </row>
    <row r="89" spans="1:16" s="270" customFormat="1" ht="34.799999999999997" customHeight="1">
      <c r="A89" s="555">
        <f t="shared" si="1"/>
        <v>87</v>
      </c>
      <c r="B89" s="455" t="s">
        <v>689</v>
      </c>
      <c r="C89" s="181" t="s">
        <v>690</v>
      </c>
      <c r="D89" s="555" t="s">
        <v>239</v>
      </c>
      <c r="E89" s="283">
        <v>45929</v>
      </c>
      <c r="F89" s="284">
        <v>60</v>
      </c>
      <c r="G89" s="817" t="s">
        <v>402</v>
      </c>
      <c r="H89" s="817"/>
      <c r="I89" s="817"/>
      <c r="J89" s="817"/>
      <c r="K89" s="183">
        <v>45947</v>
      </c>
      <c r="L89" s="555" t="s">
        <v>696</v>
      </c>
      <c r="M89" s="555"/>
      <c r="N89" s="768"/>
      <c r="O89" s="768"/>
      <c r="P89" s="768"/>
    </row>
    <row r="90" spans="1:16" s="270" customFormat="1" ht="34.799999999999997" customHeight="1">
      <c r="A90" s="555">
        <f t="shared" si="1"/>
        <v>88</v>
      </c>
      <c r="B90" s="455" t="s">
        <v>597</v>
      </c>
      <c r="C90" s="181" t="s">
        <v>598</v>
      </c>
      <c r="D90" s="555" t="s">
        <v>239</v>
      </c>
      <c r="E90" s="283">
        <v>45934</v>
      </c>
      <c r="F90" s="284">
        <v>60</v>
      </c>
      <c r="G90" s="817" t="s">
        <v>402</v>
      </c>
      <c r="H90" s="817"/>
      <c r="I90" s="817"/>
      <c r="J90" s="817"/>
      <c r="K90" s="183">
        <v>45947</v>
      </c>
      <c r="L90" s="555" t="s">
        <v>699</v>
      </c>
      <c r="M90" s="555"/>
      <c r="N90" s="768"/>
      <c r="O90" s="768"/>
      <c r="P90" s="768"/>
    </row>
    <row r="91" spans="1:16" s="270" customFormat="1" ht="34.799999999999997" customHeight="1">
      <c r="A91" s="566">
        <f t="shared" si="1"/>
        <v>89</v>
      </c>
      <c r="B91" s="455" t="s">
        <v>658</v>
      </c>
      <c r="C91" s="181" t="s">
        <v>116</v>
      </c>
      <c r="D91" s="566" t="s">
        <v>239</v>
      </c>
      <c r="E91" s="283">
        <v>45946</v>
      </c>
      <c r="F91" s="284">
        <v>89</v>
      </c>
      <c r="G91" s="817" t="s">
        <v>402</v>
      </c>
      <c r="H91" s="817"/>
      <c r="I91" s="817"/>
      <c r="J91" s="817"/>
      <c r="K91" s="183">
        <v>45968</v>
      </c>
      <c r="L91" s="566" t="s">
        <v>699</v>
      </c>
      <c r="M91" s="566"/>
      <c r="N91" s="768"/>
      <c r="O91" s="768"/>
      <c r="P91" s="768"/>
    </row>
    <row r="92" spans="1:16" s="270" customFormat="1" ht="34.799999999999997" customHeight="1">
      <c r="A92" s="576">
        <f t="shared" si="1"/>
        <v>90</v>
      </c>
      <c r="B92" s="455" t="s">
        <v>663</v>
      </c>
      <c r="C92" s="181" t="s">
        <v>116</v>
      </c>
      <c r="D92" s="576" t="s">
        <v>239</v>
      </c>
      <c r="E92" s="283">
        <v>45946</v>
      </c>
      <c r="F92" s="284">
        <v>89</v>
      </c>
      <c r="G92" s="817" t="s">
        <v>402</v>
      </c>
      <c r="H92" s="817"/>
      <c r="I92" s="817"/>
      <c r="J92" s="817"/>
      <c r="K92" s="183">
        <v>45990</v>
      </c>
      <c r="L92" s="576" t="s">
        <v>696</v>
      </c>
      <c r="M92" s="576"/>
      <c r="N92" s="818"/>
      <c r="O92" s="819"/>
      <c r="P92" s="819"/>
    </row>
    <row r="93" spans="1:16" s="270" customFormat="1" ht="34.799999999999997" customHeight="1">
      <c r="A93" s="576">
        <f t="shared" si="1"/>
        <v>91</v>
      </c>
      <c r="B93" s="455" t="s">
        <v>561</v>
      </c>
      <c r="C93" s="181" t="s">
        <v>401</v>
      </c>
      <c r="D93" s="576" t="s">
        <v>239</v>
      </c>
      <c r="E93" s="283">
        <v>45948</v>
      </c>
      <c r="F93" s="284">
        <v>28</v>
      </c>
      <c r="G93" s="817" t="s">
        <v>402</v>
      </c>
      <c r="H93" s="817"/>
      <c r="I93" s="817"/>
      <c r="J93" s="817"/>
      <c r="K93" s="183">
        <v>45957</v>
      </c>
      <c r="L93" s="576" t="s">
        <v>687</v>
      </c>
      <c r="M93" s="576"/>
      <c r="N93" s="818"/>
      <c r="O93" s="819"/>
      <c r="P93" s="819"/>
    </row>
    <row r="94" spans="1:16" s="270" customFormat="1" ht="34.799999999999997" customHeight="1">
      <c r="A94" s="576">
        <f t="shared" si="1"/>
        <v>92</v>
      </c>
      <c r="B94" s="455" t="s">
        <v>162</v>
      </c>
      <c r="C94" s="181" t="s">
        <v>401</v>
      </c>
      <c r="D94" s="576" t="s">
        <v>239</v>
      </c>
      <c r="E94" s="283">
        <v>45959</v>
      </c>
      <c r="F94" s="284">
        <v>28</v>
      </c>
      <c r="G94" s="817" t="s">
        <v>402</v>
      </c>
      <c r="H94" s="817"/>
      <c r="I94" s="817"/>
      <c r="J94" s="817"/>
      <c r="K94" s="183">
        <v>45967</v>
      </c>
      <c r="L94" s="576" t="s">
        <v>687</v>
      </c>
      <c r="M94" s="576"/>
      <c r="N94" s="818"/>
      <c r="O94" s="819"/>
      <c r="P94" s="819"/>
    </row>
    <row r="95" spans="1:16" s="270" customFormat="1" ht="34.799999999999997" customHeight="1">
      <c r="A95" s="576">
        <f t="shared" si="1"/>
        <v>93</v>
      </c>
      <c r="B95" s="455" t="s">
        <v>158</v>
      </c>
      <c r="C95" s="181" t="s">
        <v>401</v>
      </c>
      <c r="D95" s="576" t="s">
        <v>239</v>
      </c>
      <c r="E95" s="283">
        <v>45965</v>
      </c>
      <c r="F95" s="284">
        <v>28</v>
      </c>
      <c r="G95" s="817" t="s">
        <v>402</v>
      </c>
      <c r="H95" s="817"/>
      <c r="I95" s="817"/>
      <c r="J95" s="817"/>
      <c r="K95" s="183">
        <v>45973</v>
      </c>
      <c r="L95" s="576" t="s">
        <v>687</v>
      </c>
      <c r="M95" s="576"/>
      <c r="N95" s="818"/>
      <c r="O95" s="819"/>
      <c r="P95" s="819"/>
    </row>
    <row r="96" spans="1:16" s="270" customFormat="1" ht="34.799999999999997" customHeight="1">
      <c r="A96" s="576">
        <f t="shared" si="1"/>
        <v>94</v>
      </c>
      <c r="B96" s="455" t="s">
        <v>151</v>
      </c>
      <c r="C96" s="181" t="s">
        <v>401</v>
      </c>
      <c r="D96" s="576" t="s">
        <v>239</v>
      </c>
      <c r="E96" s="283">
        <v>45967</v>
      </c>
      <c r="F96" s="284">
        <v>28</v>
      </c>
      <c r="G96" s="817" t="s">
        <v>402</v>
      </c>
      <c r="H96" s="817"/>
      <c r="I96" s="817"/>
      <c r="J96" s="817"/>
      <c r="K96" s="183">
        <v>45974</v>
      </c>
      <c r="L96" s="576" t="s">
        <v>696</v>
      </c>
      <c r="M96" s="576"/>
      <c r="N96" s="818"/>
      <c r="O96" s="819"/>
      <c r="P96" s="819"/>
    </row>
    <row r="97" spans="1:16" s="270" customFormat="1" ht="34.799999999999997" customHeight="1">
      <c r="A97" s="578">
        <f t="shared" si="1"/>
        <v>95</v>
      </c>
      <c r="B97" s="455" t="s">
        <v>674</v>
      </c>
      <c r="C97" s="181" t="s">
        <v>594</v>
      </c>
      <c r="D97" s="578" t="s">
        <v>239</v>
      </c>
      <c r="E97" s="283">
        <v>45972</v>
      </c>
      <c r="F97" s="284">
        <v>45</v>
      </c>
      <c r="G97" s="817" t="s">
        <v>402</v>
      </c>
      <c r="H97" s="817"/>
      <c r="I97" s="817"/>
      <c r="J97" s="817"/>
      <c r="K97" s="183">
        <v>45979</v>
      </c>
      <c r="L97" s="578" t="s">
        <v>699</v>
      </c>
      <c r="M97" s="578"/>
      <c r="N97" s="818"/>
      <c r="O97" s="819"/>
      <c r="P97" s="819"/>
    </row>
    <row r="98" spans="1:16" s="270" customFormat="1" ht="34.799999999999997" customHeight="1">
      <c r="A98" s="578">
        <f t="shared" si="1"/>
        <v>96</v>
      </c>
      <c r="B98" s="455" t="s">
        <v>120</v>
      </c>
      <c r="C98" s="181" t="s">
        <v>444</v>
      </c>
      <c r="D98" s="578" t="s">
        <v>239</v>
      </c>
      <c r="E98" s="283">
        <v>45973</v>
      </c>
      <c r="F98" s="284">
        <v>29</v>
      </c>
      <c r="G98" s="817" t="s">
        <v>402</v>
      </c>
      <c r="H98" s="817"/>
      <c r="I98" s="817"/>
      <c r="J98" s="817"/>
      <c r="K98" s="183">
        <v>45982</v>
      </c>
      <c r="L98" s="578" t="s">
        <v>687</v>
      </c>
      <c r="M98" s="578"/>
      <c r="N98" s="818"/>
      <c r="O98" s="819"/>
      <c r="P98" s="819"/>
    </row>
    <row r="99" spans="1:16" s="270" customFormat="1" ht="34.799999999999997" customHeight="1">
      <c r="A99" s="578">
        <f t="shared" si="1"/>
        <v>97</v>
      </c>
      <c r="B99" s="455" t="s">
        <v>168</v>
      </c>
      <c r="C99" s="181" t="s">
        <v>444</v>
      </c>
      <c r="D99" s="578" t="s">
        <v>239</v>
      </c>
      <c r="E99" s="283">
        <v>45982</v>
      </c>
      <c r="F99" s="284">
        <v>29</v>
      </c>
      <c r="G99" s="817" t="s">
        <v>402</v>
      </c>
      <c r="H99" s="817"/>
      <c r="I99" s="817"/>
      <c r="J99" s="817"/>
      <c r="K99" s="183">
        <v>45988</v>
      </c>
      <c r="L99" s="578" t="s">
        <v>699</v>
      </c>
      <c r="M99" s="578"/>
      <c r="N99" s="818"/>
      <c r="O99" s="819"/>
      <c r="P99" s="819"/>
    </row>
    <row r="100" spans="1:16" s="270" customFormat="1" ht="34.799999999999997" customHeight="1">
      <c r="A100" s="578">
        <f t="shared" si="1"/>
        <v>98</v>
      </c>
      <c r="B100" s="455" t="s">
        <v>153</v>
      </c>
      <c r="C100" s="181" t="s">
        <v>401</v>
      </c>
      <c r="D100" s="578" t="s">
        <v>239</v>
      </c>
      <c r="E100" s="283">
        <v>45984</v>
      </c>
      <c r="F100" s="284">
        <v>28</v>
      </c>
      <c r="G100" s="817" t="s">
        <v>402</v>
      </c>
      <c r="H100" s="817"/>
      <c r="I100" s="817"/>
      <c r="J100" s="817"/>
      <c r="K100" s="183">
        <v>45993</v>
      </c>
      <c r="L100" s="578" t="s">
        <v>687</v>
      </c>
      <c r="M100" s="578"/>
      <c r="N100" s="818"/>
      <c r="O100" s="819"/>
      <c r="P100" s="819"/>
    </row>
    <row r="101" spans="1:16" s="270" customFormat="1" ht="34.799999999999997" customHeight="1">
      <c r="A101" s="579">
        <f t="shared" si="1"/>
        <v>99</v>
      </c>
      <c r="B101" s="455" t="s">
        <v>557</v>
      </c>
      <c r="C101" s="181" t="s">
        <v>643</v>
      </c>
      <c r="D101" s="579" t="s">
        <v>239</v>
      </c>
      <c r="E101" s="283">
        <v>45991</v>
      </c>
      <c r="F101" s="284">
        <v>52</v>
      </c>
      <c r="G101" s="817" t="s">
        <v>402</v>
      </c>
      <c r="H101" s="817"/>
      <c r="I101" s="817"/>
      <c r="J101" s="817"/>
      <c r="K101" s="183">
        <v>45998</v>
      </c>
      <c r="L101" s="579" t="s">
        <v>699</v>
      </c>
      <c r="M101" s="579"/>
      <c r="N101" s="818"/>
      <c r="O101" s="819"/>
      <c r="P101" s="819"/>
    </row>
    <row r="102" spans="1:16" s="270" customFormat="1" ht="34.799999999999997" customHeight="1">
      <c r="A102" s="613">
        <f t="shared" si="1"/>
        <v>100</v>
      </c>
      <c r="B102" s="455" t="s">
        <v>678</v>
      </c>
      <c r="C102" s="181" t="s">
        <v>629</v>
      </c>
      <c r="D102" s="613" t="s">
        <v>239</v>
      </c>
      <c r="E102" s="283">
        <v>45992</v>
      </c>
      <c r="F102" s="284">
        <v>52</v>
      </c>
      <c r="G102" s="817" t="s">
        <v>402</v>
      </c>
      <c r="H102" s="817"/>
      <c r="I102" s="817"/>
      <c r="J102" s="817"/>
      <c r="K102" s="183">
        <v>46001</v>
      </c>
      <c r="L102" s="613" t="s">
        <v>696</v>
      </c>
      <c r="M102" s="613"/>
      <c r="N102" s="818"/>
      <c r="O102" s="819"/>
      <c r="P102" s="819"/>
    </row>
    <row r="103" spans="1:16" s="270" customFormat="1" ht="34.799999999999997" customHeight="1">
      <c r="A103" s="613">
        <f t="shared" si="1"/>
        <v>101</v>
      </c>
      <c r="B103" s="455" t="s">
        <v>163</v>
      </c>
      <c r="C103" s="181" t="s">
        <v>669</v>
      </c>
      <c r="D103" s="613" t="s">
        <v>239</v>
      </c>
      <c r="E103" s="283">
        <v>45995</v>
      </c>
      <c r="F103" s="284">
        <v>27</v>
      </c>
      <c r="G103" s="817" t="s">
        <v>402</v>
      </c>
      <c r="H103" s="817"/>
      <c r="I103" s="817"/>
      <c r="J103" s="817"/>
      <c r="K103" s="183">
        <v>46005</v>
      </c>
      <c r="L103" s="613" t="s">
        <v>687</v>
      </c>
      <c r="M103" s="613"/>
      <c r="N103" s="818"/>
      <c r="O103" s="819"/>
      <c r="P103" s="819"/>
    </row>
    <row r="104" spans="1:16" s="270" customFormat="1" ht="34.799999999999997" customHeight="1">
      <c r="A104" s="613">
        <f t="shared" si="1"/>
        <v>102</v>
      </c>
      <c r="B104" s="455" t="s">
        <v>183</v>
      </c>
      <c r="C104" s="181" t="s">
        <v>452</v>
      </c>
      <c r="D104" s="613" t="s">
        <v>239</v>
      </c>
      <c r="E104" s="283">
        <v>45998</v>
      </c>
      <c r="F104" s="284">
        <v>33</v>
      </c>
      <c r="G104" s="817" t="s">
        <v>402</v>
      </c>
      <c r="H104" s="817"/>
      <c r="I104" s="817"/>
      <c r="J104" s="817"/>
      <c r="K104" s="183">
        <v>46005</v>
      </c>
      <c r="L104" s="613" t="s">
        <v>699</v>
      </c>
      <c r="M104" s="613"/>
      <c r="N104" s="818"/>
      <c r="O104" s="819"/>
      <c r="P104" s="819"/>
    </row>
    <row r="105" spans="1:16" s="270" customFormat="1" ht="34.799999999999997" customHeight="1">
      <c r="A105" s="613">
        <f t="shared" si="1"/>
        <v>103</v>
      </c>
      <c r="B105" s="455" t="s">
        <v>171</v>
      </c>
      <c r="C105" s="181" t="s">
        <v>448</v>
      </c>
      <c r="D105" s="613" t="s">
        <v>239</v>
      </c>
      <c r="E105" s="283">
        <v>46001</v>
      </c>
      <c r="F105" s="284">
        <v>27</v>
      </c>
      <c r="G105" s="817" t="s">
        <v>402</v>
      </c>
      <c r="H105" s="817"/>
      <c r="I105" s="817"/>
      <c r="J105" s="817"/>
      <c r="K105" s="183">
        <v>46006</v>
      </c>
      <c r="L105" s="613" t="s">
        <v>696</v>
      </c>
      <c r="M105" s="613"/>
      <c r="N105" s="818"/>
      <c r="O105" s="819"/>
      <c r="P105" s="819"/>
    </row>
    <row r="106" spans="1:16" s="270" customFormat="1" ht="34.799999999999997" customHeight="1">
      <c r="A106" s="613">
        <f t="shared" si="1"/>
        <v>104</v>
      </c>
      <c r="B106" s="455" t="s">
        <v>184</v>
      </c>
      <c r="C106" s="181" t="s">
        <v>448</v>
      </c>
      <c r="D106" s="613" t="s">
        <v>239</v>
      </c>
      <c r="E106" s="283">
        <v>46006</v>
      </c>
      <c r="F106" s="284">
        <v>27</v>
      </c>
      <c r="G106" s="817" t="s">
        <v>402</v>
      </c>
      <c r="H106" s="817"/>
      <c r="I106" s="817"/>
      <c r="J106" s="817"/>
      <c r="K106" s="183">
        <v>46010</v>
      </c>
      <c r="L106" s="613" t="s">
        <v>699</v>
      </c>
      <c r="M106" s="613"/>
      <c r="N106" s="818"/>
      <c r="O106" s="819"/>
      <c r="P106" s="819"/>
    </row>
    <row r="107" spans="1:16" s="270" customFormat="1" ht="34.799999999999997" customHeight="1">
      <c r="A107" s="637">
        <f t="shared" si="1"/>
        <v>105</v>
      </c>
      <c r="B107" s="455" t="s">
        <v>172</v>
      </c>
      <c r="C107" s="181" t="s">
        <v>448</v>
      </c>
      <c r="D107" s="637" t="s">
        <v>239</v>
      </c>
      <c r="E107" s="283">
        <v>46008</v>
      </c>
      <c r="F107" s="284">
        <v>27</v>
      </c>
      <c r="G107" s="817" t="s">
        <v>402</v>
      </c>
      <c r="H107" s="817"/>
      <c r="I107" s="817"/>
      <c r="J107" s="817"/>
      <c r="K107" s="183">
        <v>46013</v>
      </c>
      <c r="L107" s="637" t="s">
        <v>696</v>
      </c>
      <c r="M107" s="637"/>
      <c r="N107" s="818"/>
      <c r="O107" s="819"/>
      <c r="P107" s="819"/>
    </row>
    <row r="108" spans="1:16" s="270" customFormat="1" ht="34.799999999999997" customHeight="1">
      <c r="A108" s="677">
        <f t="shared" si="1"/>
        <v>106</v>
      </c>
      <c r="B108" s="455" t="s">
        <v>558</v>
      </c>
      <c r="C108" s="181" t="s">
        <v>452</v>
      </c>
      <c r="D108" s="677" t="s">
        <v>239</v>
      </c>
      <c r="E108" s="283">
        <v>46007</v>
      </c>
      <c r="F108" s="284">
        <v>33</v>
      </c>
      <c r="G108" s="817" t="s">
        <v>402</v>
      </c>
      <c r="H108" s="817"/>
      <c r="I108" s="817"/>
      <c r="J108" s="817"/>
      <c r="K108" s="183">
        <v>46016</v>
      </c>
      <c r="L108" s="677" t="s">
        <v>687</v>
      </c>
      <c r="M108" s="677"/>
      <c r="N108" s="818"/>
      <c r="O108" s="819"/>
      <c r="P108" s="819"/>
    </row>
    <row r="109" spans="1:16" s="270" customFormat="1" ht="34.799999999999997" customHeight="1">
      <c r="A109" s="711">
        <f t="shared" si="1"/>
        <v>107</v>
      </c>
      <c r="B109" s="455" t="s">
        <v>185</v>
      </c>
      <c r="C109" s="181" t="s">
        <v>506</v>
      </c>
      <c r="D109" s="711" t="s">
        <v>239</v>
      </c>
      <c r="E109" s="283">
        <v>46011</v>
      </c>
      <c r="F109" s="284">
        <v>51</v>
      </c>
      <c r="G109" s="817" t="s">
        <v>402</v>
      </c>
      <c r="H109" s="817"/>
      <c r="I109" s="817"/>
      <c r="J109" s="817"/>
      <c r="K109" s="183">
        <v>46017</v>
      </c>
      <c r="L109" s="711" t="s">
        <v>699</v>
      </c>
      <c r="M109" s="711"/>
      <c r="N109" s="818"/>
      <c r="O109" s="819"/>
      <c r="P109" s="819"/>
    </row>
    <row r="110" spans="1:16" s="270" customFormat="1" ht="34.799999999999997" customHeight="1">
      <c r="A110" s="711">
        <f t="shared" si="1"/>
        <v>108</v>
      </c>
      <c r="B110" s="455" t="s">
        <v>616</v>
      </c>
      <c r="C110" s="181" t="s">
        <v>453</v>
      </c>
      <c r="D110" s="711" t="s">
        <v>809</v>
      </c>
      <c r="E110" s="283">
        <v>46014</v>
      </c>
      <c r="F110" s="284">
        <v>35</v>
      </c>
      <c r="G110" s="817" t="s">
        <v>402</v>
      </c>
      <c r="H110" s="817"/>
      <c r="I110" s="817"/>
      <c r="J110" s="817"/>
      <c r="K110" s="183">
        <v>46021</v>
      </c>
      <c r="L110" s="711" t="s">
        <v>696</v>
      </c>
      <c r="M110" s="711"/>
      <c r="N110" s="818"/>
      <c r="O110" s="819"/>
      <c r="P110" s="819"/>
    </row>
    <row r="111" spans="1:16" s="270" customFormat="1" ht="34.799999999999997" customHeight="1">
      <c r="A111" s="711">
        <f t="shared" si="1"/>
        <v>109</v>
      </c>
      <c r="B111" s="455" t="s">
        <v>553</v>
      </c>
      <c r="C111" s="181" t="s">
        <v>652</v>
      </c>
      <c r="D111" s="711" t="s">
        <v>239</v>
      </c>
      <c r="E111" s="283">
        <v>46017</v>
      </c>
      <c r="F111" s="284">
        <v>73</v>
      </c>
      <c r="G111" s="817" t="s">
        <v>402</v>
      </c>
      <c r="H111" s="817"/>
      <c r="I111" s="817"/>
      <c r="J111" s="817"/>
      <c r="K111" s="183">
        <v>46030</v>
      </c>
      <c r="L111" s="711" t="s">
        <v>699</v>
      </c>
      <c r="M111" s="711"/>
      <c r="N111" s="818"/>
      <c r="O111" s="819"/>
      <c r="P111" s="819"/>
    </row>
    <row r="112" spans="1:16" s="270" customFormat="1" ht="34.799999999999997" customHeight="1">
      <c r="A112" s="711">
        <f t="shared" si="1"/>
        <v>110</v>
      </c>
      <c r="B112" s="455" t="s">
        <v>186</v>
      </c>
      <c r="C112" s="181" t="s">
        <v>669</v>
      </c>
      <c r="D112" s="711" t="s">
        <v>239</v>
      </c>
      <c r="E112" s="283">
        <v>46017</v>
      </c>
      <c r="F112" s="284">
        <v>27</v>
      </c>
      <c r="G112" s="817" t="s">
        <v>402</v>
      </c>
      <c r="H112" s="817"/>
      <c r="I112" s="817"/>
      <c r="J112" s="817"/>
      <c r="K112" s="183">
        <v>46029</v>
      </c>
      <c r="L112" s="711" t="s">
        <v>687</v>
      </c>
      <c r="M112" s="711"/>
      <c r="N112" s="818"/>
      <c r="O112" s="819"/>
      <c r="P112" s="819"/>
    </row>
    <row r="113" spans="1:16" s="422" customFormat="1" ht="34.799999999999997" customHeight="1">
      <c r="A113" s="465">
        <f t="shared" si="1"/>
        <v>111</v>
      </c>
      <c r="B113" s="454" t="s">
        <v>556</v>
      </c>
      <c r="C113" s="640" t="s">
        <v>448</v>
      </c>
      <c r="D113" s="465" t="s">
        <v>239</v>
      </c>
      <c r="E113" s="421">
        <v>46021</v>
      </c>
      <c r="F113" s="420">
        <v>27</v>
      </c>
      <c r="G113" s="825" t="s">
        <v>886</v>
      </c>
      <c r="H113" s="826"/>
      <c r="I113" s="826"/>
      <c r="J113" s="827"/>
      <c r="K113" s="562"/>
      <c r="L113" s="465" t="s">
        <v>863</v>
      </c>
      <c r="M113" s="465"/>
      <c r="N113" s="828"/>
      <c r="O113" s="829"/>
      <c r="P113" s="829"/>
    </row>
    <row r="114" spans="1:16" s="270" customFormat="1" ht="34.799999999999997" customHeight="1">
      <c r="A114" s="742">
        <f t="shared" si="1"/>
        <v>112</v>
      </c>
      <c r="B114" s="455" t="s">
        <v>617</v>
      </c>
      <c r="C114" s="181" t="s">
        <v>669</v>
      </c>
      <c r="D114" s="742" t="s">
        <v>239</v>
      </c>
      <c r="E114" s="283">
        <v>46022</v>
      </c>
      <c r="F114" s="284">
        <v>27</v>
      </c>
      <c r="G114" s="817" t="s">
        <v>402</v>
      </c>
      <c r="H114" s="817"/>
      <c r="I114" s="817"/>
      <c r="J114" s="817"/>
      <c r="K114" s="183">
        <v>46028</v>
      </c>
      <c r="L114" s="742" t="s">
        <v>696</v>
      </c>
      <c r="M114" s="742"/>
      <c r="N114" s="818"/>
      <c r="O114" s="819"/>
      <c r="P114" s="819"/>
    </row>
    <row r="115" spans="1:16" s="270" customFormat="1" ht="34.799999999999997" customHeight="1">
      <c r="A115" s="742">
        <f t="shared" si="1"/>
        <v>113</v>
      </c>
      <c r="B115" s="455" t="s">
        <v>555</v>
      </c>
      <c r="C115" s="181" t="s">
        <v>652</v>
      </c>
      <c r="D115" s="742" t="s">
        <v>239</v>
      </c>
      <c r="E115" s="283">
        <v>46029</v>
      </c>
      <c r="F115" s="284">
        <v>73</v>
      </c>
      <c r="G115" s="817" t="s">
        <v>402</v>
      </c>
      <c r="H115" s="817"/>
      <c r="I115" s="817"/>
      <c r="J115" s="817"/>
      <c r="K115" s="183">
        <v>46040</v>
      </c>
      <c r="L115" s="742" t="s">
        <v>696</v>
      </c>
      <c r="M115" s="742"/>
      <c r="N115" s="818"/>
      <c r="O115" s="819"/>
      <c r="P115" s="819"/>
    </row>
    <row r="116" spans="1:16" s="270" customFormat="1" ht="34.799999999999997" customHeight="1">
      <c r="A116" s="742">
        <f t="shared" si="1"/>
        <v>114</v>
      </c>
      <c r="B116" s="455" t="s">
        <v>182</v>
      </c>
      <c r="C116" s="181" t="s">
        <v>448</v>
      </c>
      <c r="D116" s="742" t="s">
        <v>239</v>
      </c>
      <c r="E116" s="283">
        <v>46030</v>
      </c>
      <c r="F116" s="284">
        <v>27</v>
      </c>
      <c r="G116" s="817" t="s">
        <v>402</v>
      </c>
      <c r="H116" s="817"/>
      <c r="I116" s="817"/>
      <c r="J116" s="817"/>
      <c r="K116" s="183">
        <v>46037</v>
      </c>
      <c r="L116" s="742" t="s">
        <v>699</v>
      </c>
      <c r="M116" s="742"/>
      <c r="N116" s="818"/>
      <c r="O116" s="819"/>
      <c r="P116" s="819"/>
    </row>
    <row r="117" spans="1:16" s="270" customFormat="1" ht="34.799999999999997" customHeight="1">
      <c r="A117" s="742">
        <f t="shared" si="1"/>
        <v>115</v>
      </c>
      <c r="B117" s="455" t="s">
        <v>188</v>
      </c>
      <c r="C117" s="181" t="s">
        <v>448</v>
      </c>
      <c r="D117" s="742" t="s">
        <v>239</v>
      </c>
      <c r="E117" s="283">
        <v>46030</v>
      </c>
      <c r="F117" s="284">
        <v>27</v>
      </c>
      <c r="G117" s="817" t="s">
        <v>402</v>
      </c>
      <c r="H117" s="817"/>
      <c r="I117" s="817"/>
      <c r="J117" s="817"/>
      <c r="K117" s="183">
        <v>46037</v>
      </c>
      <c r="L117" s="742" t="s">
        <v>687</v>
      </c>
      <c r="M117" s="742"/>
      <c r="N117" s="818"/>
      <c r="O117" s="819"/>
      <c r="P117" s="819"/>
    </row>
    <row r="118" spans="1:16" s="270" customFormat="1" ht="34.799999999999997" customHeight="1">
      <c r="A118" s="742">
        <f t="shared" si="1"/>
        <v>116</v>
      </c>
      <c r="B118" s="455" t="s">
        <v>560</v>
      </c>
      <c r="C118" s="181" t="s">
        <v>401</v>
      </c>
      <c r="D118" s="742" t="s">
        <v>239</v>
      </c>
      <c r="E118" s="283">
        <v>46038</v>
      </c>
      <c r="F118" s="284">
        <v>29</v>
      </c>
      <c r="G118" s="817" t="s">
        <v>402</v>
      </c>
      <c r="H118" s="817"/>
      <c r="I118" s="817"/>
      <c r="J118" s="817"/>
      <c r="K118" s="183">
        <v>46042</v>
      </c>
      <c r="L118" s="742" t="s">
        <v>699</v>
      </c>
      <c r="M118" s="742">
        <v>33</v>
      </c>
      <c r="N118" s="818"/>
      <c r="O118" s="819"/>
      <c r="P118" s="819"/>
    </row>
    <row r="119" spans="1:16" s="422" customFormat="1" ht="34.799999999999997" customHeight="1">
      <c r="A119" s="465">
        <f t="shared" si="1"/>
        <v>117</v>
      </c>
      <c r="B119" s="454" t="s">
        <v>519</v>
      </c>
      <c r="C119" s="640" t="s">
        <v>690</v>
      </c>
      <c r="D119" s="465" t="s">
        <v>239</v>
      </c>
      <c r="E119" s="421">
        <v>45673</v>
      </c>
      <c r="F119" s="420">
        <v>60</v>
      </c>
      <c r="G119" s="825" t="s">
        <v>886</v>
      </c>
      <c r="H119" s="826"/>
      <c r="I119" s="826"/>
      <c r="J119" s="827"/>
      <c r="K119" s="562"/>
      <c r="L119" s="465" t="s">
        <v>687</v>
      </c>
      <c r="M119" s="465">
        <v>29</v>
      </c>
      <c r="N119" s="828"/>
      <c r="O119" s="829"/>
      <c r="P119" s="829"/>
    </row>
    <row r="120" spans="1:16" s="422" customFormat="1" ht="34.799999999999997" customHeight="1">
      <c r="A120" s="465">
        <f t="shared" si="1"/>
        <v>118</v>
      </c>
      <c r="B120" s="454" t="s">
        <v>181</v>
      </c>
      <c r="C120" s="640" t="s">
        <v>401</v>
      </c>
      <c r="D120" s="465" t="s">
        <v>239</v>
      </c>
      <c r="E120" s="421">
        <v>46042</v>
      </c>
      <c r="F120" s="420">
        <v>27</v>
      </c>
      <c r="G120" s="825" t="s">
        <v>899</v>
      </c>
      <c r="H120" s="826"/>
      <c r="I120" s="826"/>
      <c r="J120" s="827"/>
      <c r="K120" s="562"/>
      <c r="L120" s="465" t="s">
        <v>696</v>
      </c>
      <c r="M120" s="465">
        <v>30</v>
      </c>
      <c r="N120" s="828"/>
      <c r="O120" s="829"/>
      <c r="P120" s="829"/>
    </row>
  </sheetData>
  <autoFilter ref="A2:P96">
    <filterColumn colId="6" showButton="0"/>
    <filterColumn colId="7" showButton="0"/>
    <filterColumn colId="8" showButton="0"/>
    <filterColumn colId="13" showButton="0"/>
    <filterColumn colId="14" showButton="0"/>
  </autoFilter>
  <mergeCells count="232">
    <mergeCell ref="G118:J118"/>
    <mergeCell ref="N118:P118"/>
    <mergeCell ref="G119:J119"/>
    <mergeCell ref="N119:P119"/>
    <mergeCell ref="G120:J120"/>
    <mergeCell ref="N120:P120"/>
    <mergeCell ref="G115:J115"/>
    <mergeCell ref="N115:P115"/>
    <mergeCell ref="G116:J116"/>
    <mergeCell ref="N116:P116"/>
    <mergeCell ref="G117:J117"/>
    <mergeCell ref="N117:P117"/>
    <mergeCell ref="N12:P12"/>
    <mergeCell ref="G106:J106"/>
    <mergeCell ref="N106:P106"/>
    <mergeCell ref="G105:J105"/>
    <mergeCell ref="N105:P105"/>
    <mergeCell ref="G104:J104"/>
    <mergeCell ref="N104:P104"/>
    <mergeCell ref="G102:J102"/>
    <mergeCell ref="N102:P102"/>
    <mergeCell ref="G26:J26"/>
    <mergeCell ref="N26:P26"/>
    <mergeCell ref="G27:J27"/>
    <mergeCell ref="N27:P27"/>
    <mergeCell ref="G99:J99"/>
    <mergeCell ref="N99:P99"/>
    <mergeCell ref="G97:J97"/>
    <mergeCell ref="N97:P97"/>
    <mergeCell ref="G98:J98"/>
    <mergeCell ref="G34:J34"/>
    <mergeCell ref="N34:P34"/>
    <mergeCell ref="G12:J12"/>
    <mergeCell ref="N14:P14"/>
    <mergeCell ref="G15:J15"/>
    <mergeCell ref="N15:P15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N7:P7"/>
    <mergeCell ref="G16:J16"/>
    <mergeCell ref="N16:P16"/>
    <mergeCell ref="G32:J32"/>
    <mergeCell ref="N32:P32"/>
    <mergeCell ref="G13:J13"/>
    <mergeCell ref="N13:P13"/>
    <mergeCell ref="G19:J19"/>
    <mergeCell ref="N19:P19"/>
    <mergeCell ref="G14:J14"/>
    <mergeCell ref="N21:P21"/>
    <mergeCell ref="G22:J22"/>
    <mergeCell ref="N22:P22"/>
    <mergeCell ref="G17:J17"/>
    <mergeCell ref="N17:P17"/>
    <mergeCell ref="G18:J18"/>
    <mergeCell ref="N18:P18"/>
    <mergeCell ref="G20:J20"/>
    <mergeCell ref="N20:P20"/>
    <mergeCell ref="G21:J21"/>
    <mergeCell ref="G33:J33"/>
    <mergeCell ref="N33:P33"/>
    <mergeCell ref="G25:J25"/>
    <mergeCell ref="N25:P25"/>
    <mergeCell ref="G24:J24"/>
    <mergeCell ref="N24:P24"/>
    <mergeCell ref="G23:J23"/>
    <mergeCell ref="G29:J29"/>
    <mergeCell ref="N29:P29"/>
    <mergeCell ref="G30:J30"/>
    <mergeCell ref="N30:P30"/>
    <mergeCell ref="G31:J31"/>
    <mergeCell ref="N31:P31"/>
    <mergeCell ref="G28:J28"/>
    <mergeCell ref="N28:P28"/>
    <mergeCell ref="N23:P23"/>
    <mergeCell ref="G40:J40"/>
    <mergeCell ref="N40:P40"/>
    <mergeCell ref="G35:J35"/>
    <mergeCell ref="N35:P35"/>
    <mergeCell ref="G36:J36"/>
    <mergeCell ref="N36:P36"/>
    <mergeCell ref="G37:J37"/>
    <mergeCell ref="N37:P37"/>
    <mergeCell ref="G44:J44"/>
    <mergeCell ref="N44:P44"/>
    <mergeCell ref="G39:J39"/>
    <mergeCell ref="N39:P39"/>
    <mergeCell ref="G38:J38"/>
    <mergeCell ref="N38:P38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83:J83"/>
    <mergeCell ref="G84:J84"/>
    <mergeCell ref="G85:J85"/>
    <mergeCell ref="N85:P85"/>
    <mergeCell ref="G86:J86"/>
    <mergeCell ref="N86:P86"/>
    <mergeCell ref="G82:J82"/>
    <mergeCell ref="G75:J75"/>
    <mergeCell ref="N75:P75"/>
    <mergeCell ref="G76:J76"/>
    <mergeCell ref="G77:J77"/>
    <mergeCell ref="G78:J78"/>
    <mergeCell ref="G79:J79"/>
    <mergeCell ref="G80:J80"/>
    <mergeCell ref="N80:P80"/>
    <mergeCell ref="G81:J81"/>
    <mergeCell ref="G90:J90"/>
    <mergeCell ref="N90:P90"/>
    <mergeCell ref="G100:J100"/>
    <mergeCell ref="N100:P100"/>
    <mergeCell ref="N96:P96"/>
    <mergeCell ref="N98:P98"/>
    <mergeCell ref="G96:J96"/>
    <mergeCell ref="G87:J87"/>
    <mergeCell ref="N87:P87"/>
    <mergeCell ref="G88:J88"/>
    <mergeCell ref="N88:P88"/>
    <mergeCell ref="G89:J89"/>
    <mergeCell ref="N89:P89"/>
    <mergeCell ref="G95:J95"/>
    <mergeCell ref="N95:P95"/>
    <mergeCell ref="G94:J94"/>
    <mergeCell ref="N94:P94"/>
    <mergeCell ref="G91:J91"/>
    <mergeCell ref="N91:P91"/>
    <mergeCell ref="G92:J92"/>
    <mergeCell ref="N92:P92"/>
    <mergeCell ref="G93:J93"/>
    <mergeCell ref="N93:P93"/>
    <mergeCell ref="G103:J103"/>
    <mergeCell ref="N103:P103"/>
    <mergeCell ref="G101:J101"/>
    <mergeCell ref="N101:P101"/>
    <mergeCell ref="G111:J111"/>
    <mergeCell ref="N111:P111"/>
    <mergeCell ref="G110:J110"/>
    <mergeCell ref="N110:P110"/>
    <mergeCell ref="G109:J109"/>
    <mergeCell ref="N109:P109"/>
    <mergeCell ref="G114:J114"/>
    <mergeCell ref="N114:P114"/>
    <mergeCell ref="G113:J113"/>
    <mergeCell ref="N113:P113"/>
    <mergeCell ref="G112:J112"/>
    <mergeCell ref="N112:P112"/>
    <mergeCell ref="G107:J107"/>
    <mergeCell ref="N107:P107"/>
    <mergeCell ref="G108:J108"/>
    <mergeCell ref="N108:P10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154" zoomScale="80" zoomScaleNormal="100" zoomScaleSheetLayoutView="80" workbookViewId="0">
      <selection activeCell="Z122" sqref="Z122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6"/>
      <c r="W1" s="38"/>
    </row>
    <row r="2" spans="1:37" s="46" customFormat="1" ht="23.4" thickBot="1">
      <c r="A2" s="127"/>
      <c r="B2" s="944" t="s">
        <v>235</v>
      </c>
      <c r="C2" s="945"/>
      <c r="D2" s="945"/>
      <c r="E2" s="945"/>
      <c r="F2" s="945"/>
      <c r="G2" s="945"/>
      <c r="H2" s="945"/>
      <c r="I2" s="945"/>
      <c r="J2" s="945"/>
      <c r="K2" s="945"/>
      <c r="L2" s="945"/>
      <c r="M2" s="945"/>
      <c r="N2" s="945"/>
      <c r="O2" s="945"/>
      <c r="P2" s="945"/>
      <c r="Q2" s="945"/>
      <c r="R2" s="945"/>
      <c r="S2" s="945"/>
      <c r="T2" s="945"/>
      <c r="U2" s="945"/>
      <c r="V2" s="945"/>
      <c r="W2" s="200"/>
    </row>
    <row r="3" spans="1:37" s="205" customFormat="1" ht="13.95" customHeight="1" thickBot="1">
      <c r="A3" s="368"/>
      <c r="B3" s="928" t="s">
        <v>435</v>
      </c>
      <c r="C3" s="929"/>
      <c r="D3" s="929"/>
      <c r="E3" s="929"/>
      <c r="F3" s="929"/>
      <c r="G3" s="929"/>
      <c r="H3" s="929"/>
      <c r="I3" s="929"/>
      <c r="J3" s="929"/>
      <c r="K3" s="929"/>
      <c r="L3" s="929"/>
      <c r="M3" s="929"/>
      <c r="N3" s="929"/>
      <c r="O3" s="929"/>
      <c r="P3" s="929"/>
      <c r="Q3" s="930"/>
      <c r="R3" s="128"/>
      <c r="S3" s="201"/>
      <c r="T3" s="202"/>
      <c r="U3" s="917"/>
      <c r="V3" s="917"/>
      <c r="W3" s="10"/>
      <c r="AA3" s="369"/>
    </row>
    <row r="4" spans="1:37" s="205" customFormat="1" ht="13.95" customHeight="1" thickBot="1">
      <c r="A4" s="368"/>
      <c r="B4" s="931" t="s">
        <v>436</v>
      </c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3"/>
      <c r="R4" s="128"/>
      <c r="S4" s="128"/>
      <c r="T4" s="128"/>
      <c r="U4" s="128"/>
      <c r="V4" s="203"/>
      <c r="W4" s="40"/>
    </row>
    <row r="5" spans="1:37" s="205" customFormat="1" ht="13.95" customHeight="1" thickBot="1">
      <c r="A5" s="368"/>
      <c r="B5" s="159" t="s">
        <v>437</v>
      </c>
      <c r="C5" s="934" t="s">
        <v>371</v>
      </c>
      <c r="D5" s="934"/>
      <c r="E5" s="934"/>
      <c r="F5" s="934"/>
      <c r="G5" s="934" t="s">
        <v>438</v>
      </c>
      <c r="H5" s="934"/>
      <c r="I5" s="934" t="s">
        <v>439</v>
      </c>
      <c r="J5" s="934"/>
      <c r="K5" s="934"/>
      <c r="L5" s="934" t="s">
        <v>55</v>
      </c>
      <c r="M5" s="934"/>
      <c r="N5" s="934"/>
      <c r="O5" s="934" t="s">
        <v>57</v>
      </c>
      <c r="P5" s="934"/>
      <c r="Q5" s="935"/>
      <c r="R5" s="128"/>
      <c r="S5" s="201"/>
      <c r="T5" s="202"/>
      <c r="U5" s="917"/>
      <c r="V5" s="917"/>
      <c r="W5" s="10"/>
      <c r="AA5" s="369"/>
    </row>
    <row r="6" spans="1:37" s="205" customFormat="1" ht="13.95" customHeight="1">
      <c r="A6" s="368"/>
      <c r="B6" s="160">
        <v>1</v>
      </c>
      <c r="C6" s="936" t="s">
        <v>392</v>
      </c>
      <c r="D6" s="936"/>
      <c r="E6" s="936"/>
      <c r="F6" s="936"/>
      <c r="G6" s="936" t="s">
        <v>108</v>
      </c>
      <c r="H6" s="936"/>
      <c r="I6" s="936">
        <v>47.84</v>
      </c>
      <c r="J6" s="936"/>
      <c r="K6" s="936"/>
      <c r="L6" s="936">
        <v>47.84</v>
      </c>
      <c r="M6" s="936"/>
      <c r="N6" s="936"/>
      <c r="O6" s="936">
        <f t="shared" ref="O6:O12" si="0">I6-L6</f>
        <v>0</v>
      </c>
      <c r="P6" s="936"/>
      <c r="Q6" s="937"/>
      <c r="R6" s="128"/>
      <c r="S6" s="128"/>
      <c r="T6" s="128"/>
      <c r="U6" s="128"/>
      <c r="V6" s="203"/>
      <c r="W6" s="40"/>
    </row>
    <row r="7" spans="1:37" s="205" customFormat="1" ht="13.95" customHeight="1">
      <c r="A7" s="368"/>
      <c r="B7" s="161">
        <v>2</v>
      </c>
      <c r="C7" s="926" t="s">
        <v>237</v>
      </c>
      <c r="D7" s="926"/>
      <c r="E7" s="926"/>
      <c r="F7" s="926"/>
      <c r="G7" s="926" t="s">
        <v>108</v>
      </c>
      <c r="H7" s="926"/>
      <c r="I7" s="936">
        <v>47.84</v>
      </c>
      <c r="J7" s="936"/>
      <c r="K7" s="936"/>
      <c r="L7" s="936">
        <v>47.84</v>
      </c>
      <c r="M7" s="936"/>
      <c r="N7" s="936"/>
      <c r="O7" s="926">
        <f t="shared" si="0"/>
        <v>0</v>
      </c>
      <c r="P7" s="926"/>
      <c r="Q7" s="927"/>
      <c r="R7" s="128"/>
      <c r="S7" s="201"/>
      <c r="T7" s="202"/>
      <c r="U7" s="917"/>
      <c r="V7" s="917"/>
      <c r="W7" s="10"/>
      <c r="AA7" s="369"/>
    </row>
    <row r="8" spans="1:37" s="205" customFormat="1" ht="13.95" customHeight="1">
      <c r="A8" s="368"/>
      <c r="B8" s="161">
        <v>3</v>
      </c>
      <c r="C8" s="926" t="s">
        <v>101</v>
      </c>
      <c r="D8" s="926"/>
      <c r="E8" s="926"/>
      <c r="F8" s="926"/>
      <c r="G8" s="926" t="s">
        <v>107</v>
      </c>
      <c r="H8" s="926"/>
      <c r="I8" s="926">
        <v>127</v>
      </c>
      <c r="J8" s="926"/>
      <c r="K8" s="926"/>
      <c r="L8" s="926">
        <v>126</v>
      </c>
      <c r="M8" s="926"/>
      <c r="N8" s="926"/>
      <c r="O8" s="926">
        <f t="shared" si="0"/>
        <v>1</v>
      </c>
      <c r="P8" s="926"/>
      <c r="Q8" s="927"/>
      <c r="R8" s="128"/>
      <c r="S8" s="128" t="s">
        <v>857</v>
      </c>
      <c r="T8" s="938">
        <f>'MASTER SHEET'!E1</f>
        <v>46042</v>
      </c>
      <c r="U8" s="939"/>
      <c r="V8" s="203"/>
      <c r="W8" s="40"/>
    </row>
    <row r="9" spans="1:37" s="205" customFormat="1" ht="13.95" customHeight="1">
      <c r="A9" s="368"/>
      <c r="B9" s="161">
        <v>4</v>
      </c>
      <c r="C9" s="926" t="s">
        <v>102</v>
      </c>
      <c r="D9" s="926"/>
      <c r="E9" s="926"/>
      <c r="F9" s="926"/>
      <c r="G9" s="926" t="s">
        <v>107</v>
      </c>
      <c r="H9" s="926"/>
      <c r="I9" s="926">
        <v>127</v>
      </c>
      <c r="J9" s="926"/>
      <c r="K9" s="926"/>
      <c r="L9" s="926">
        <v>124</v>
      </c>
      <c r="M9" s="926"/>
      <c r="N9" s="926"/>
      <c r="O9" s="926">
        <f t="shared" si="0"/>
        <v>3</v>
      </c>
      <c r="P9" s="926"/>
      <c r="Q9" s="927"/>
      <c r="R9" s="128"/>
      <c r="S9" s="201"/>
      <c r="T9" s="202"/>
      <c r="U9" s="917"/>
      <c r="V9" s="917"/>
      <c r="W9" s="10"/>
      <c r="AA9" s="369"/>
    </row>
    <row r="10" spans="1:37" s="205" customFormat="1" ht="13.95" customHeight="1">
      <c r="A10" s="368"/>
      <c r="B10" s="161">
        <v>5</v>
      </c>
      <c r="C10" s="926" t="s">
        <v>103</v>
      </c>
      <c r="D10" s="926"/>
      <c r="E10" s="926"/>
      <c r="F10" s="926"/>
      <c r="G10" s="926" t="s">
        <v>107</v>
      </c>
      <c r="H10" s="926"/>
      <c r="I10" s="926">
        <v>127</v>
      </c>
      <c r="J10" s="926"/>
      <c r="K10" s="926"/>
      <c r="L10" s="926">
        <v>115</v>
      </c>
      <c r="M10" s="926"/>
      <c r="N10" s="926"/>
      <c r="O10" s="926">
        <f t="shared" si="0"/>
        <v>12</v>
      </c>
      <c r="P10" s="926"/>
      <c r="Q10" s="927"/>
      <c r="R10" s="128"/>
      <c r="S10" s="128"/>
      <c r="T10" s="128"/>
      <c r="U10" s="128"/>
      <c r="V10" s="203"/>
      <c r="W10" s="40"/>
    </row>
    <row r="11" spans="1:37" s="205" customFormat="1" ht="13.95" customHeight="1">
      <c r="A11" s="368"/>
      <c r="B11" s="161">
        <v>7</v>
      </c>
      <c r="C11" s="926" t="s">
        <v>440</v>
      </c>
      <c r="D11" s="926"/>
      <c r="E11" s="926"/>
      <c r="F11" s="926"/>
      <c r="G11" s="926" t="s">
        <v>108</v>
      </c>
      <c r="H11" s="926"/>
      <c r="I11" s="926">
        <v>47.84</v>
      </c>
      <c r="J11" s="926"/>
      <c r="K11" s="926"/>
      <c r="L11" s="946">
        <f>S175</f>
        <v>12.948920999999999</v>
      </c>
      <c r="M11" s="946"/>
      <c r="N11" s="946"/>
      <c r="O11" s="946">
        <f t="shared" si="0"/>
        <v>34.891079000000005</v>
      </c>
      <c r="P11" s="946"/>
      <c r="Q11" s="947"/>
      <c r="R11" s="128"/>
      <c r="T11" s="203" t="s">
        <v>441</v>
      </c>
      <c r="U11" s="417">
        <f>(W17+W26+W37+W46+W55+W65+W74+W83+W92+W101+W110+W119+W129+W139)/1000</f>
        <v>47.835704</v>
      </c>
      <c r="W11" s="40"/>
    </row>
    <row r="12" spans="1:37" s="205" customFormat="1" ht="13.95" customHeight="1" thickBot="1">
      <c r="A12" s="368"/>
      <c r="B12" s="149">
        <v>8</v>
      </c>
      <c r="C12" s="915" t="s">
        <v>442</v>
      </c>
      <c r="D12" s="915"/>
      <c r="E12" s="915"/>
      <c r="F12" s="915"/>
      <c r="G12" s="915" t="s">
        <v>107</v>
      </c>
      <c r="H12" s="915"/>
      <c r="I12" s="915">
        <v>47.84</v>
      </c>
      <c r="J12" s="915"/>
      <c r="K12" s="915"/>
      <c r="L12" s="915">
        <v>12.95</v>
      </c>
      <c r="M12" s="915"/>
      <c r="N12" s="915"/>
      <c r="O12" s="915">
        <f t="shared" si="0"/>
        <v>34.89</v>
      </c>
      <c r="P12" s="915"/>
      <c r="Q12" s="943"/>
      <c r="R12" s="128"/>
      <c r="S12" s="128"/>
      <c r="T12" s="128"/>
      <c r="U12" s="128"/>
      <c r="V12" s="203"/>
      <c r="W12" s="40"/>
    </row>
    <row r="13" spans="1:37" ht="2.5499999999999998" customHeight="1" thickBot="1">
      <c r="A13" s="11"/>
      <c r="B13" s="903"/>
      <c r="C13" s="904"/>
      <c r="D13" s="904"/>
      <c r="E13" s="904"/>
      <c r="F13" s="904"/>
      <c r="G13" s="904"/>
      <c r="H13" s="904"/>
      <c r="I13" s="904"/>
      <c r="J13" s="904"/>
      <c r="K13" s="904"/>
      <c r="L13" s="904"/>
      <c r="M13" s="904"/>
      <c r="N13" s="904"/>
      <c r="O13" s="904"/>
      <c r="P13" s="904"/>
      <c r="Q13" s="904"/>
      <c r="R13" s="904"/>
      <c r="S13" s="904"/>
      <c r="T13" s="904"/>
      <c r="U13" s="904"/>
      <c r="V13" s="904"/>
      <c r="W13" s="905"/>
      <c r="AK13" s="9" t="s">
        <v>98</v>
      </c>
    </row>
    <row r="14" spans="1:37" ht="13.8">
      <c r="A14" s="11"/>
      <c r="B14" s="903" t="s">
        <v>195</v>
      </c>
      <c r="C14" s="904"/>
      <c r="D14" s="904"/>
      <c r="E14" s="904"/>
      <c r="F14" s="904"/>
      <c r="G14" s="904"/>
      <c r="H14" s="904"/>
      <c r="I14" s="904"/>
      <c r="J14" s="904"/>
      <c r="K14" s="904"/>
      <c r="L14" s="904"/>
      <c r="M14" s="904"/>
      <c r="N14" s="904"/>
      <c r="O14" s="904"/>
      <c r="P14" s="904"/>
      <c r="Q14" s="904"/>
      <c r="R14" s="904"/>
      <c r="S14" s="904"/>
      <c r="T14" s="904"/>
      <c r="U14" s="904"/>
      <c r="V14" s="904"/>
      <c r="W14" s="905"/>
    </row>
    <row r="15" spans="1:37" ht="18" customHeight="1">
      <c r="A15" s="11"/>
      <c r="B15" s="11"/>
      <c r="D15" s="204" t="s">
        <v>205</v>
      </c>
      <c r="E15" s="205"/>
      <c r="F15" s="205"/>
      <c r="G15" s="206" t="s">
        <v>474</v>
      </c>
      <c r="H15" s="205"/>
      <c r="I15" s="206" t="s">
        <v>250</v>
      </c>
      <c r="K15" s="206" t="s">
        <v>251</v>
      </c>
      <c r="M15" s="206" t="s">
        <v>252</v>
      </c>
      <c r="P15" s="204" t="s">
        <v>206</v>
      </c>
      <c r="R15" s="207"/>
      <c r="S15" s="206" t="s">
        <v>255</v>
      </c>
      <c r="T15" s="207"/>
      <c r="U15" s="206" t="s">
        <v>256</v>
      </c>
      <c r="V15" s="208"/>
      <c r="W15" s="12"/>
    </row>
    <row r="16" spans="1:37" ht="16.2" customHeight="1">
      <c r="A16" s="11"/>
      <c r="B16" s="30"/>
      <c r="C16" s="209" t="s">
        <v>248</v>
      </c>
      <c r="E16" s="209" t="s">
        <v>249</v>
      </c>
      <c r="F16" s="210"/>
      <c r="G16" s="209"/>
      <c r="H16" s="210"/>
      <c r="I16" s="209"/>
      <c r="J16" s="210"/>
      <c r="K16" s="209"/>
      <c r="L16" s="210"/>
      <c r="M16" s="209"/>
      <c r="N16" s="210"/>
      <c r="O16" s="209" t="s">
        <v>253</v>
      </c>
      <c r="P16" s="210"/>
      <c r="Q16" s="209" t="s">
        <v>254</v>
      </c>
      <c r="R16" s="210" t="s">
        <v>240</v>
      </c>
      <c r="S16" s="209"/>
      <c r="T16" s="211"/>
      <c r="U16" s="212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3"/>
      <c r="F17" s="31">
        <f>VLOOKUP(E20,[18]TS!$B$10:$D$253,3,0)</f>
        <v>425</v>
      </c>
      <c r="G17" s="213"/>
      <c r="H17" s="31">
        <f>VLOOKUP(G20,[18]TS!$B$10:$D$253,3,0)</f>
        <v>425</v>
      </c>
      <c r="J17" s="31">
        <f>VLOOKUP(I20,[18]TS!$B$10:$D$253,3,0)</f>
        <v>390</v>
      </c>
      <c r="K17" s="213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4"/>
      <c r="G18" s="163" t="s">
        <v>239</v>
      </c>
      <c r="H18" s="214"/>
      <c r="I18" s="163" t="s">
        <v>655</v>
      </c>
      <c r="J18" s="214"/>
      <c r="K18" s="163" t="s">
        <v>655</v>
      </c>
      <c r="M18" s="163" t="s">
        <v>655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69"/>
      <c r="E19" s="192"/>
      <c r="G19" s="269"/>
      <c r="I19" s="192"/>
      <c r="K19" s="192"/>
      <c r="M19" s="192"/>
      <c r="O19" s="269"/>
      <c r="Q19" s="269"/>
      <c r="R19" s="121"/>
      <c r="S19" s="269"/>
      <c r="T19" s="121"/>
      <c r="U19" s="269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f>T17+R17+V17</f>
        <v>1100</v>
      </c>
      <c r="AC19" s="31" t="s">
        <v>56</v>
      </c>
    </row>
    <row r="20" spans="1:29" s="31" customFormat="1">
      <c r="A20" s="61"/>
      <c r="B20" s="61"/>
      <c r="C20" s="31" t="s">
        <v>23</v>
      </c>
      <c r="E20" s="215" t="s">
        <v>24</v>
      </c>
      <c r="F20" s="215"/>
      <c r="G20" s="215" t="s">
        <v>117</v>
      </c>
      <c r="H20" s="215"/>
      <c r="I20" s="215" t="s">
        <v>118</v>
      </c>
      <c r="J20" s="215"/>
      <c r="K20" s="215" t="s">
        <v>119</v>
      </c>
      <c r="L20" s="215"/>
      <c r="M20" s="215" t="s">
        <v>120</v>
      </c>
      <c r="N20" s="215"/>
      <c r="O20" s="215" t="s">
        <v>121</v>
      </c>
      <c r="P20" s="215"/>
      <c r="Q20" s="215" t="s">
        <v>122</v>
      </c>
      <c r="R20" s="215"/>
      <c r="S20" s="215" t="s">
        <v>123</v>
      </c>
      <c r="T20" s="215"/>
      <c r="U20" s="215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6" t="s">
        <v>115</v>
      </c>
      <c r="E21" s="216" t="s">
        <v>116</v>
      </c>
      <c r="G21" s="216" t="str">
        <f>VLOOKUP(G20,[18]TS!$B$10:$D$253,2,0)</f>
        <v>1DA-3</v>
      </c>
      <c r="I21" s="216" t="str">
        <f>VLOOKUP(I20,[18]TS!$B$10:$D$253,2,0)</f>
        <v>1DA+6</v>
      </c>
      <c r="K21" s="216" t="str">
        <f>VLOOKUP(K20,[18]TS!$B$10:$D$253,2,0)</f>
        <v>1DA+9</v>
      </c>
      <c r="M21" s="216" t="str">
        <f>VLOOKUP(M20,[18]TS!$B$10:$D$253,2,0)</f>
        <v>1DA+3</v>
      </c>
      <c r="O21" s="216" t="str">
        <f>VLOOKUP(O20,[18]TS!$B$10:$D$253,2,0)</f>
        <v>1DB1+9</v>
      </c>
      <c r="Q21" s="216" t="str">
        <f>VLOOKUP(Q20,[18]TS!$B$10:$D$253,2,0)</f>
        <v>1DB1+9</v>
      </c>
      <c r="S21" s="216" t="str">
        <f>VLOOKUP(S20,[18]TS!$B$10:$D$253,2,0)</f>
        <v>1DA-3</v>
      </c>
      <c r="U21" s="216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924">
        <f>(D17)/1000</f>
        <v>0.249635</v>
      </c>
      <c r="D22" s="924"/>
      <c r="E22" s="924"/>
      <c r="F22" s="908"/>
      <c r="G22" s="908"/>
      <c r="H22" s="908"/>
      <c r="I22" s="908"/>
      <c r="J22" s="908"/>
      <c r="K22" s="908"/>
      <c r="L22" s="908"/>
      <c r="M22" s="908"/>
      <c r="N22" s="908"/>
      <c r="O22" s="908"/>
      <c r="P22" s="908"/>
      <c r="Q22" s="908"/>
      <c r="R22" s="908"/>
      <c r="S22" s="908"/>
      <c r="T22" s="908"/>
      <c r="U22" s="908"/>
      <c r="V22" s="908"/>
      <c r="W22" s="129"/>
    </row>
    <row r="23" spans="1:29" s="31" customFormat="1" ht="11.55" customHeight="1">
      <c r="A23" s="61"/>
      <c r="B23" s="61"/>
      <c r="D23" s="906" t="s">
        <v>197</v>
      </c>
      <c r="E23" s="906"/>
      <c r="F23" s="906"/>
      <c r="G23" s="218"/>
      <c r="H23" s="218"/>
      <c r="J23" s="217" t="s">
        <v>198</v>
      </c>
      <c r="P23" s="218"/>
      <c r="Q23" s="218"/>
      <c r="R23" s="218"/>
      <c r="S23" s="919" t="s">
        <v>199</v>
      </c>
      <c r="T23" s="919"/>
      <c r="U23" s="919"/>
      <c r="W23" s="64"/>
    </row>
    <row r="24" spans="1:29" s="31" customFormat="1" ht="15.6" customHeight="1">
      <c r="A24" s="61"/>
      <c r="B24" s="65"/>
      <c r="C24" s="206" t="s">
        <v>257</v>
      </c>
      <c r="E24" s="206" t="s">
        <v>258</v>
      </c>
      <c r="G24" s="206" t="s">
        <v>259</v>
      </c>
      <c r="I24" s="206" t="s">
        <v>260</v>
      </c>
      <c r="K24" s="206" t="s">
        <v>261</v>
      </c>
      <c r="W24" s="64"/>
    </row>
    <row r="25" spans="1:29" s="31" customFormat="1" ht="16.95" customHeight="1">
      <c r="A25" s="61"/>
      <c r="B25" s="61"/>
      <c r="D25" s="210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3"/>
      <c r="D26" s="31">
        <f>VLOOKUP(C29,[18]TS!$B$10:$D$253,3,0)</f>
        <v>365</v>
      </c>
      <c r="F26" s="31">
        <f>VLOOKUP(E29,[18]TS!$B$10:$D$253,3,0)</f>
        <v>356</v>
      </c>
      <c r="G26" s="213"/>
      <c r="H26" s="31">
        <f>VLOOKUP(G29,[18]TS!$B$10:$D$253,3,0)</f>
        <v>332</v>
      </c>
      <c r="I26" s="213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8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385</v>
      </c>
      <c r="AC27" s="31" t="s">
        <v>65</v>
      </c>
    </row>
    <row r="28" spans="1:29" s="31" customFormat="1" ht="13.8" thickBot="1">
      <c r="A28" s="61"/>
      <c r="B28" s="61"/>
      <c r="C28" s="269"/>
      <c r="E28" s="269"/>
      <c r="G28" s="269"/>
      <c r="I28" s="269"/>
      <c r="K28" s="269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f>D26+F26+H26+J26</f>
        <v>1437.424</v>
      </c>
      <c r="AC28" s="31" t="s">
        <v>56</v>
      </c>
    </row>
    <row r="29" spans="1:29" s="31" customFormat="1">
      <c r="A29" s="61"/>
      <c r="B29" s="61"/>
      <c r="C29" s="215" t="s">
        <v>125</v>
      </c>
      <c r="D29" s="215"/>
      <c r="E29" s="215" t="s">
        <v>126</v>
      </c>
      <c r="F29" s="215"/>
      <c r="G29" s="215" t="s">
        <v>127</v>
      </c>
      <c r="H29" s="215"/>
      <c r="I29" s="215" t="s">
        <v>128</v>
      </c>
      <c r="J29" s="215"/>
      <c r="K29" s="215" t="s">
        <v>25</v>
      </c>
      <c r="L29" s="215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6" t="str">
        <f>VLOOKUP(C29,[18]TS!$B$10:$D$253,2,0)</f>
        <v>1DA-3</v>
      </c>
      <c r="E30" s="216" t="str">
        <f>VLOOKUP(E29,[18]TS!$B$10:$D$253,2,0)</f>
        <v>1DA+0</v>
      </c>
      <c r="G30" s="216" t="str">
        <f>VLOOKUP(G29,[18]TS!$B$10:$D$253,2,0)</f>
        <v>1DA-3</v>
      </c>
      <c r="I30" s="216" t="str">
        <f>VLOOKUP(I29,[18]TS!$B$10:$D$253,2,0)</f>
        <v>1DA+0</v>
      </c>
      <c r="K30" s="216" t="str">
        <f>VLOOKUP(K29,[18]TS!$B$10:$D$253,2,0)</f>
        <v>1DB1+0</v>
      </c>
      <c r="M30" s="216"/>
      <c r="O30" s="216"/>
      <c r="Q30" s="216"/>
      <c r="S30" s="216"/>
      <c r="U30" s="216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908">
        <f>(F17+H17+J17+L17+N17+P17+R17+T17+V17+D26+H26+F26+J26)/1000</f>
        <v>4.9324240000000001</v>
      </c>
      <c r="D31" s="908"/>
      <c r="E31" s="908"/>
      <c r="F31" s="908"/>
      <c r="G31" s="908"/>
      <c r="H31" s="908"/>
      <c r="I31" s="908"/>
      <c r="J31" s="908"/>
      <c r="K31" s="908"/>
      <c r="L31" s="109"/>
      <c r="M31" s="219"/>
      <c r="N31" s="219"/>
      <c r="O31" s="219"/>
      <c r="P31" s="923"/>
      <c r="Q31" s="923"/>
      <c r="R31" s="923"/>
      <c r="S31" s="923"/>
      <c r="T31" s="923"/>
      <c r="U31" s="923"/>
      <c r="V31" s="923"/>
      <c r="W31" s="110"/>
    </row>
    <row r="32" spans="1:29" s="31" customFormat="1" ht="15.75" customHeight="1">
      <c r="A32" s="61"/>
      <c r="B32" s="65"/>
      <c r="C32" s="906" t="s">
        <v>199</v>
      </c>
      <c r="D32" s="906"/>
      <c r="E32" s="906"/>
      <c r="O32" s="922"/>
      <c r="P32" s="922"/>
      <c r="Q32" s="922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1"/>
      <c r="D33" s="221"/>
      <c r="E33" s="221"/>
      <c r="O33" s="220"/>
      <c r="P33" s="220"/>
      <c r="Q33" s="220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385</v>
      </c>
      <c r="AC33" s="39" t="s">
        <v>93</v>
      </c>
    </row>
    <row r="34" spans="1:31" s="31" customFormat="1" ht="13.8">
      <c r="A34" s="61"/>
      <c r="B34" s="903" t="s">
        <v>194</v>
      </c>
      <c r="C34" s="904"/>
      <c r="D34" s="904"/>
      <c r="E34" s="904"/>
      <c r="F34" s="904"/>
      <c r="G34" s="904"/>
      <c r="H34" s="904"/>
      <c r="I34" s="904"/>
      <c r="J34" s="904"/>
      <c r="K34" s="904"/>
      <c r="L34" s="904"/>
      <c r="M34" s="904"/>
      <c r="N34" s="904"/>
      <c r="O34" s="904"/>
      <c r="P34" s="904"/>
      <c r="Q34" s="904"/>
      <c r="R34" s="904"/>
      <c r="S34" s="904"/>
      <c r="T34" s="904"/>
      <c r="U34" s="904"/>
      <c r="V34" s="904"/>
      <c r="W34" s="905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2537.424</v>
      </c>
      <c r="AC34" s="39" t="s">
        <v>56</v>
      </c>
      <c r="AE34" s="48" t="s">
        <v>196</v>
      </c>
    </row>
    <row r="35" spans="1:31" s="31" customFormat="1">
      <c r="A35" s="61"/>
      <c r="B35" s="65"/>
      <c r="C35" s="206" t="s">
        <v>262</v>
      </c>
      <c r="D35" s="210"/>
      <c r="E35" s="206" t="s">
        <v>263</v>
      </c>
      <c r="F35" s="210"/>
      <c r="G35" s="206" t="s">
        <v>264</v>
      </c>
      <c r="H35" s="210"/>
      <c r="I35" s="206" t="s">
        <v>265</v>
      </c>
      <c r="J35" s="210"/>
      <c r="K35" s="206" t="s">
        <v>266</v>
      </c>
      <c r="L35" s="210"/>
      <c r="M35" s="206" t="s">
        <v>267</v>
      </c>
      <c r="N35" s="210"/>
      <c r="O35" s="206" t="s">
        <v>268</v>
      </c>
      <c r="P35" s="210"/>
      <c r="Q35" s="206" t="s">
        <v>269</v>
      </c>
      <c r="R35" s="210"/>
      <c r="S35" s="206" t="s">
        <v>270</v>
      </c>
      <c r="U35" s="206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0"/>
      <c r="D36" s="210" t="s">
        <v>242</v>
      </c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3"/>
      <c r="H37" s="31">
        <f>VLOOKUP(G40,[18]TS!$B$10:$D$253,3,0)</f>
        <v>405</v>
      </c>
      <c r="I37" s="213"/>
      <c r="J37" s="31">
        <f>VLOOKUP(I40,[18]TS!$B$10:$D$253,3,0)</f>
        <v>388.45800000000003</v>
      </c>
      <c r="K37" s="213"/>
      <c r="L37" s="31">
        <f>VLOOKUP(K40,[18]TS!$B$10:$D$253,3,0)</f>
        <v>405</v>
      </c>
      <c r="M37" s="213"/>
      <c r="N37" s="31">
        <f>VLOOKUP(M40,[18]TS!$B$10:$D$253,3,0)</f>
        <v>360</v>
      </c>
      <c r="O37" s="213"/>
      <c r="P37" s="31">
        <f>VLOOKUP(O40,[18]TS!$B$10:$D$253,3,0)</f>
        <v>390</v>
      </c>
      <c r="Q37" s="213"/>
      <c r="R37" s="31">
        <f>VLOOKUP(Q40,[18]TS!$B$10:$D$253,3,0)</f>
        <v>325</v>
      </c>
      <c r="S37" s="213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655</v>
      </c>
      <c r="O38" s="163" t="s">
        <v>655</v>
      </c>
      <c r="Q38" s="163" t="s">
        <v>239</v>
      </c>
      <c r="S38" s="163" t="s">
        <v>239</v>
      </c>
      <c r="U38" s="163" t="s">
        <v>655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f>2208+1598.458</f>
        <v>3806.4580000000001</v>
      </c>
      <c r="AC38" s="31" t="s">
        <v>65</v>
      </c>
    </row>
    <row r="39" spans="1:31" s="31" customFormat="1" ht="13.8" thickBot="1">
      <c r="A39" s="61"/>
      <c r="B39" s="61"/>
      <c r="C39" s="192"/>
      <c r="E39" s="269"/>
      <c r="G39" s="192"/>
      <c r="I39" s="192"/>
      <c r="K39" s="269"/>
      <c r="M39" s="269"/>
      <c r="O39" s="269"/>
      <c r="Q39" s="192"/>
      <c r="S39" s="192"/>
      <c r="U39" s="192"/>
      <c r="W39" s="64"/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 t="s">
        <v>56</v>
      </c>
    </row>
    <row r="40" spans="1:31">
      <c r="A40" s="11"/>
      <c r="B40" s="11"/>
      <c r="C40" s="222" t="s">
        <v>16</v>
      </c>
      <c r="D40" s="222"/>
      <c r="E40" s="222" t="s">
        <v>17</v>
      </c>
      <c r="F40" s="222"/>
      <c r="G40" s="222" t="s">
        <v>18</v>
      </c>
      <c r="H40" s="222"/>
      <c r="I40" s="222" t="s">
        <v>129</v>
      </c>
      <c r="J40" s="222"/>
      <c r="K40" s="215" t="s">
        <v>26</v>
      </c>
      <c r="L40" s="222"/>
      <c r="M40" s="222" t="s">
        <v>130</v>
      </c>
      <c r="N40" s="222"/>
      <c r="O40" s="222" t="s">
        <v>131</v>
      </c>
      <c r="P40" s="222"/>
      <c r="Q40" s="222" t="s">
        <v>132</v>
      </c>
      <c r="R40" s="222"/>
      <c r="S40" s="222" t="s">
        <v>133</v>
      </c>
      <c r="T40" s="222"/>
      <c r="U40" s="222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3" t="str">
        <f>VLOOKUP(C40,[18]TS!$B$10:$D$253,2,0)</f>
        <v>1DA+0</v>
      </c>
      <c r="D41" s="31"/>
      <c r="E41" s="223" t="str">
        <f>VLOOKUP(E40,[18]TS!$B$10:$D$253,2,0)</f>
        <v>1DA+0</v>
      </c>
      <c r="G41" s="223" t="str">
        <f>VLOOKUP(G40,[18]TS!$B$10:$D$253,2,0)</f>
        <v>1DA+0</v>
      </c>
      <c r="I41" s="223" t="str">
        <f>VLOOKUP(I40,[18]TS!$B$10:$D$253,2,0)</f>
        <v>1DA+3</v>
      </c>
      <c r="K41" s="223" t="str">
        <f>VLOOKUP(K40,[18]TS!$B$10:$D$253,2,0)</f>
        <v>1DB1+0</v>
      </c>
      <c r="M41" s="223" t="str">
        <f>VLOOKUP(M40,[18]TS!$B$10:$D$253,2,0)</f>
        <v>1DA+3</v>
      </c>
      <c r="O41" s="223" t="str">
        <f>VLOOKUP(O40,[18]TS!$B$10:$D$253,2,0)</f>
        <v>1DA+3</v>
      </c>
      <c r="Q41" s="223" t="str">
        <f>VLOOKUP(Q40,[18]TS!$B$10:$D$253,2,0)</f>
        <v>1DA-3</v>
      </c>
      <c r="S41" s="223" t="str">
        <f>VLOOKUP(S40,[18]TS!$B$10:$D$253,2,0)</f>
        <v>1DA+0</v>
      </c>
      <c r="U41" s="223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920">
        <f>(L26+D37+F37+H37+J37)/1000</f>
        <v>1.9834580000000002</v>
      </c>
      <c r="D42" s="921"/>
      <c r="E42" s="920"/>
      <c r="F42" s="920"/>
      <c r="G42" s="920"/>
      <c r="H42" s="920"/>
      <c r="I42" s="920"/>
      <c r="J42" s="920"/>
      <c r="K42" s="920"/>
      <c r="L42" s="920"/>
      <c r="M42" s="920"/>
      <c r="N42" s="920"/>
      <c r="O42" s="920"/>
      <c r="P42" s="920"/>
      <c r="Q42" s="920"/>
      <c r="R42" s="920"/>
      <c r="S42" s="920"/>
      <c r="T42" s="920"/>
      <c r="U42" s="920"/>
      <c r="V42" s="920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911" t="s">
        <v>200</v>
      </c>
      <c r="H43" s="911"/>
      <c r="I43" s="118"/>
      <c r="J43" s="118"/>
      <c r="K43" s="118"/>
      <c r="L43" s="911"/>
      <c r="M43" s="911"/>
      <c r="N43" s="118"/>
      <c r="O43" s="118"/>
      <c r="P43" s="118"/>
      <c r="Q43" s="224"/>
      <c r="R43" s="224"/>
      <c r="S43" s="224"/>
      <c r="T43" s="911" t="s">
        <v>202</v>
      </c>
      <c r="U43" s="911"/>
      <c r="V43" s="118"/>
      <c r="W43" s="225"/>
    </row>
    <row r="44" spans="1:31" ht="10.95" customHeight="1">
      <c r="A44" s="11"/>
      <c r="B44" s="126"/>
      <c r="C44" s="226" t="s">
        <v>273</v>
      </c>
      <c r="D44" s="227"/>
      <c r="E44" s="226" t="s">
        <v>274</v>
      </c>
      <c r="F44" s="227"/>
      <c r="G44" s="226" t="s">
        <v>275</v>
      </c>
      <c r="H44" s="227"/>
      <c r="I44" s="226" t="s">
        <v>276</v>
      </c>
      <c r="J44" s="227"/>
      <c r="K44" s="226" t="s">
        <v>277</v>
      </c>
      <c r="L44" s="227"/>
      <c r="M44" s="226" t="s">
        <v>278</v>
      </c>
      <c r="N44" s="227"/>
      <c r="O44" s="226" t="s">
        <v>279</v>
      </c>
      <c r="P44" s="227"/>
      <c r="Q44" s="226" t="s">
        <v>280</v>
      </c>
      <c r="R44" s="227"/>
      <c r="S44" s="226" t="s">
        <v>281</v>
      </c>
      <c r="T44" s="227"/>
      <c r="U44" s="226" t="s">
        <v>282</v>
      </c>
      <c r="V44" s="227"/>
      <c r="W44" s="228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0" t="s">
        <v>241</v>
      </c>
      <c r="M45" s="210"/>
      <c r="N45" s="210" t="s">
        <v>242</v>
      </c>
      <c r="O45" s="31"/>
      <c r="P45" s="31"/>
      <c r="Q45" s="31"/>
      <c r="R45" s="204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3"/>
      <c r="D46" s="31">
        <f>VLOOKUP(C49,[18]TS!$B$10:$D$253,3,0)</f>
        <v>422</v>
      </c>
      <c r="E46" s="213"/>
      <c r="F46" s="31">
        <f>VLOOKUP(E49,[18]TS!$B$10:$D$253,3,0)</f>
        <v>345</v>
      </c>
      <c r="G46" s="213"/>
      <c r="H46" s="31">
        <f>VLOOKUP(G49,[18]TS!$B$10:$D$253,3,0)</f>
        <v>370</v>
      </c>
      <c r="I46" s="31"/>
      <c r="J46" s="31">
        <f>VLOOKUP(I49,[18]TS!$B$10:$D$253,3,0)</f>
        <v>320</v>
      </c>
      <c r="K46" s="213"/>
      <c r="L46" s="31">
        <f>VLOOKUP(K49,[18]TS!$B$10:$D$253,3,0)</f>
        <v>390</v>
      </c>
      <c r="M46" s="213"/>
      <c r="N46" s="31">
        <f>VLOOKUP(M49,[18]TS!$B$10:$D$253,3,0)</f>
        <v>425.02</v>
      </c>
      <c r="O46" s="213"/>
      <c r="P46" s="31">
        <f>VLOOKUP(O49,[18]TS!$B$10:$D$253,3,0)</f>
        <v>480</v>
      </c>
      <c r="Q46" s="213"/>
      <c r="R46" s="31">
        <f>VLOOKUP(Q49,[18]TS!$B$10:$D$253,3,0)</f>
        <v>297.315</v>
      </c>
      <c r="S46" s="213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655</v>
      </c>
      <c r="J47" s="229"/>
      <c r="K47" s="163" t="s">
        <v>655</v>
      </c>
      <c r="L47" s="31"/>
      <c r="M47" s="163" t="s">
        <v>239</v>
      </c>
      <c r="N47" s="31"/>
      <c r="O47" s="163" t="s">
        <v>239</v>
      </c>
      <c r="P47" s="31"/>
      <c r="Q47" s="163" t="s">
        <v>655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.8" thickBot="1">
      <c r="A48" s="11"/>
      <c r="B48" s="61"/>
      <c r="C48" s="192"/>
      <c r="D48" s="31"/>
      <c r="E48" s="192"/>
      <c r="F48" s="31"/>
      <c r="G48" s="192"/>
      <c r="H48" s="31"/>
      <c r="I48" s="192"/>
      <c r="J48" s="31"/>
      <c r="K48" s="269"/>
      <c r="L48" s="31"/>
      <c r="M48" s="192"/>
      <c r="N48" s="31"/>
      <c r="O48" s="192"/>
      <c r="P48" s="31"/>
      <c r="Q48" s="192"/>
      <c r="R48" s="31"/>
      <c r="S48" s="192"/>
      <c r="T48" s="31"/>
      <c r="U48" s="269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5" t="s">
        <v>135</v>
      </c>
      <c r="D49" s="215"/>
      <c r="E49" s="215" t="s">
        <v>136</v>
      </c>
      <c r="F49" s="215"/>
      <c r="G49" s="215" t="s">
        <v>137</v>
      </c>
      <c r="H49" s="215"/>
      <c r="I49" s="215" t="s">
        <v>138</v>
      </c>
      <c r="J49" s="215"/>
      <c r="K49" s="215" t="s">
        <v>139</v>
      </c>
      <c r="L49" s="215"/>
      <c r="M49" s="215" t="s">
        <v>140</v>
      </c>
      <c r="N49" s="215"/>
      <c r="O49" s="215" t="s">
        <v>27</v>
      </c>
      <c r="P49" s="215"/>
      <c r="Q49" s="215" t="s">
        <v>19</v>
      </c>
      <c r="R49" s="215"/>
      <c r="S49" s="215" t="s">
        <v>28</v>
      </c>
      <c r="T49" s="215"/>
      <c r="U49" s="215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6" t="str">
        <f>VLOOKUP(C49,[18]TS!$B$10:$D$253,2,0)</f>
        <v>1DA+0</v>
      </c>
      <c r="D50" s="31"/>
      <c r="E50" s="216" t="str">
        <f>VLOOKUP(E49,[18]TS!$B$10:$D$253,2,0)</f>
        <v>1DA+9</v>
      </c>
      <c r="F50" s="31"/>
      <c r="G50" s="216" t="str">
        <f>VLOOKUP(G49,[18]TS!$B$10:$D$253,2,0)</f>
        <v>1DA+3</v>
      </c>
      <c r="H50" s="31"/>
      <c r="I50" s="216" t="str">
        <f>VLOOKUP(I49,[18]TS!$B$10:$D$253,2,0)</f>
        <v>1DA+9</v>
      </c>
      <c r="J50" s="31"/>
      <c r="K50" s="216" t="str">
        <f>VLOOKUP(K49,[18]TS!$B$10:$D$253,2,0)</f>
        <v>1DA+9</v>
      </c>
      <c r="L50" s="31"/>
      <c r="M50" s="216" t="str">
        <f>VLOOKUP(M49,[18]TS!$B$10:$D$253,2,0)</f>
        <v>1DA+3</v>
      </c>
      <c r="N50" s="31"/>
      <c r="O50" s="216" t="str">
        <f>VLOOKUP(O49,[18]TS!$B$10:$D$253,2,0)</f>
        <v>1DB1+3</v>
      </c>
      <c r="P50" s="31"/>
      <c r="Q50" s="216" t="str">
        <f>VLOOKUP(Q49,[18]TS!$B$10:$D$253,2,0)</f>
        <v>1DB1+9</v>
      </c>
      <c r="R50" s="31"/>
      <c r="S50" s="216" t="str">
        <f>VLOOKUP(S49,[18]TS!$B$10:$D$253,2,0)</f>
        <v>1DB2+3</v>
      </c>
      <c r="T50" s="31"/>
      <c r="U50" s="216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908">
        <f>SUM(L37+N37+P37+R37+T37+H46+J46+L46+N46+D46+V37+F46)/1000</f>
        <v>4.4800200000000006</v>
      </c>
      <c r="D51" s="908"/>
      <c r="E51" s="908"/>
      <c r="F51" s="908"/>
      <c r="G51" s="908"/>
      <c r="H51" s="908"/>
      <c r="I51" s="908"/>
      <c r="J51" s="908"/>
      <c r="K51" s="908"/>
      <c r="L51" s="908"/>
      <c r="M51" s="908"/>
      <c r="N51" s="908"/>
      <c r="O51" s="908">
        <f>(P46+R46)/1000</f>
        <v>0.77731500000000009</v>
      </c>
      <c r="P51" s="908"/>
      <c r="Q51" s="908"/>
      <c r="R51" s="908"/>
      <c r="S51" s="908"/>
      <c r="T51" s="908"/>
      <c r="U51" s="908"/>
      <c r="V51" s="908"/>
      <c r="W51" s="106"/>
    </row>
    <row r="52" spans="1:29" s="99" customFormat="1" ht="12" customHeight="1">
      <c r="A52" s="102"/>
      <c r="B52" s="100"/>
      <c r="C52" s="906"/>
      <c r="D52" s="906"/>
      <c r="E52" s="906"/>
      <c r="F52" s="230"/>
      <c r="G52" s="230"/>
      <c r="H52" s="230"/>
      <c r="I52" s="230"/>
      <c r="J52" s="902" t="s">
        <v>203</v>
      </c>
      <c r="K52" s="902"/>
      <c r="L52" s="902"/>
      <c r="M52" s="230"/>
      <c r="N52" s="230"/>
      <c r="O52" s="912"/>
      <c r="P52" s="912"/>
      <c r="Q52" s="912"/>
      <c r="R52" s="231"/>
      <c r="S52" s="230"/>
      <c r="T52" s="230"/>
      <c r="U52" s="230"/>
      <c r="V52" s="230"/>
      <c r="W52" s="101"/>
    </row>
    <row r="53" spans="1:29">
      <c r="A53" s="11"/>
      <c r="B53" s="61"/>
      <c r="C53" s="206" t="s">
        <v>283</v>
      </c>
      <c r="D53" s="232"/>
      <c r="E53" s="206" t="s">
        <v>284</v>
      </c>
      <c r="F53" s="31"/>
      <c r="G53" s="206" t="s">
        <v>285</v>
      </c>
      <c r="H53" s="31"/>
      <c r="I53" s="206" t="s">
        <v>286</v>
      </c>
      <c r="J53" s="31"/>
      <c r="K53" s="206" t="s">
        <v>287</v>
      </c>
      <c r="L53" s="233" t="s">
        <v>207</v>
      </c>
      <c r="M53" s="206" t="s">
        <v>288</v>
      </c>
      <c r="N53" s="31"/>
      <c r="O53" s="206" t="s">
        <v>289</v>
      </c>
      <c r="P53" s="31"/>
      <c r="Q53" s="206" t="s">
        <v>290</v>
      </c>
      <c r="R53" s="31"/>
      <c r="S53" s="206" t="s">
        <v>291</v>
      </c>
      <c r="T53" s="31"/>
      <c r="U53" s="206" t="s">
        <v>292</v>
      </c>
      <c r="V53" s="234"/>
      <c r="W53" s="12"/>
    </row>
    <row r="54" spans="1:29" ht="13.95" customHeight="1">
      <c r="A54" s="11"/>
      <c r="B54" s="61"/>
      <c r="C54" s="31"/>
      <c r="D54" s="234"/>
      <c r="E54" s="31"/>
      <c r="F54" s="235" t="s">
        <v>619</v>
      </c>
      <c r="G54" s="31"/>
      <c r="H54" s="235" t="s">
        <v>240</v>
      </c>
      <c r="I54" s="210"/>
      <c r="J54" s="210"/>
      <c r="K54" s="210"/>
      <c r="L54" s="233" t="s">
        <v>207</v>
      </c>
      <c r="M54" s="210"/>
      <c r="N54" s="210"/>
      <c r="O54" s="210"/>
      <c r="P54" s="210"/>
      <c r="Q54" s="210"/>
      <c r="R54" s="210"/>
      <c r="S54" s="210"/>
      <c r="T54" s="210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3"/>
      <c r="D55" s="31">
        <f>VLOOKUP(C58,[18]TS!$B$10:$D$253,3,0)</f>
        <v>432.78199999999998</v>
      </c>
      <c r="E55" s="213"/>
      <c r="F55" s="31">
        <f>VLOOKUP(E58,[18]TS!$B$10:$D$253,3,0)</f>
        <v>469</v>
      </c>
      <c r="G55" s="213"/>
      <c r="H55" s="31">
        <f>VLOOKUP(G58,[18]TS!$B$10:$D$253,3,0)</f>
        <v>387</v>
      </c>
      <c r="I55" s="213"/>
      <c r="J55" s="31">
        <v>444.76</v>
      </c>
      <c r="K55" s="213"/>
      <c r="L55" s="31">
        <v>230.87</v>
      </c>
      <c r="M55" s="213"/>
      <c r="N55" s="31">
        <f>VLOOKUP(M58,[18]TS!$B$10:$D$253,3,0)</f>
        <v>430</v>
      </c>
      <c r="O55" s="213"/>
      <c r="P55" s="31">
        <f>VLOOKUP(O58,[18]TS!$B$10:$D$253,3,0)</f>
        <v>400</v>
      </c>
      <c r="Q55" s="213"/>
      <c r="R55" s="31">
        <f>VLOOKUP(Q58,[18]TS!$B$10:$D$253,3,0)</f>
        <v>410</v>
      </c>
      <c r="S55" s="213"/>
      <c r="T55" s="31">
        <f>VLOOKUP(S58,[18]TS!$B$10:$D$253,3,0)</f>
        <v>435</v>
      </c>
      <c r="U55" s="213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9</v>
      </c>
      <c r="AA56" s="9">
        <v>0</v>
      </c>
      <c r="AB56" s="9">
        <f>N55+P55+R55+T55+V55</f>
        <v>2035</v>
      </c>
      <c r="AC56" s="9" t="s">
        <v>65</v>
      </c>
    </row>
    <row r="57" spans="1:29" ht="13.8" thickBot="1">
      <c r="A57" s="11"/>
      <c r="B57" s="61"/>
      <c r="C57" s="269"/>
      <c r="D57" s="31"/>
      <c r="E57" s="72"/>
      <c r="F57" s="31"/>
      <c r="G57" s="269"/>
      <c r="H57" s="31"/>
      <c r="I57" s="269"/>
      <c r="J57" s="31"/>
      <c r="K57" s="192"/>
      <c r="L57" s="31"/>
      <c r="M57" s="269"/>
      <c r="N57" s="31"/>
      <c r="O57" s="192"/>
      <c r="P57" s="31"/>
      <c r="Q57" s="185"/>
      <c r="R57" s="31"/>
      <c r="S57" s="185"/>
      <c r="T57" s="31"/>
      <c r="U57" s="192"/>
      <c r="V57" s="31"/>
      <c r="W57" s="12"/>
      <c r="X57" s="9">
        <v>0</v>
      </c>
      <c r="Y57" s="9">
        <f>COUNTIF($B$57:$U$57,"WIP")</f>
        <v>0</v>
      </c>
      <c r="Z57" s="9">
        <v>0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5" t="s">
        <v>21</v>
      </c>
      <c r="D58" s="215"/>
      <c r="E58" s="215" t="s">
        <v>22</v>
      </c>
      <c r="F58" s="215"/>
      <c r="G58" s="215" t="s">
        <v>142</v>
      </c>
      <c r="H58" s="215"/>
      <c r="I58" s="361" t="s">
        <v>615</v>
      </c>
      <c r="J58" s="215"/>
      <c r="K58" s="215" t="s">
        <v>29</v>
      </c>
      <c r="L58" s="215"/>
      <c r="M58" s="215" t="s">
        <v>30</v>
      </c>
      <c r="N58" s="215"/>
      <c r="O58" s="215" t="s">
        <v>2</v>
      </c>
      <c r="P58" s="215"/>
      <c r="Q58" s="215" t="s">
        <v>49</v>
      </c>
      <c r="R58" s="215"/>
      <c r="S58" s="215" t="s">
        <v>50</v>
      </c>
      <c r="T58" s="215"/>
      <c r="U58" s="215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v>0</v>
      </c>
      <c r="AC58" s="9" t="s">
        <v>61</v>
      </c>
    </row>
    <row r="59" spans="1:29">
      <c r="A59" s="11"/>
      <c r="B59" s="61"/>
      <c r="C59" s="216" t="str">
        <f>VLOOKUP(C58,[18]TS!$B$10:$D$253,2,0)</f>
        <v>1DA+0</v>
      </c>
      <c r="D59" s="31"/>
      <c r="E59" s="216" t="str">
        <f>VLOOKUP(E58,[18]TS!$B$10:$D$253,2,0)</f>
        <v>1DD60+6</v>
      </c>
      <c r="F59" s="31"/>
      <c r="G59" s="216" t="str">
        <f>VLOOKUP(G58,[18]TS!$B$10:$D$253,2,0)</f>
        <v>1DA+9</v>
      </c>
      <c r="H59" s="31"/>
      <c r="I59" s="216" t="str">
        <f>VLOOKUP(I58,[18]TS!$B$10:$D$253,2,0)</f>
        <v>1DA+0</v>
      </c>
      <c r="J59" s="31"/>
      <c r="K59" s="216" t="s">
        <v>509</v>
      </c>
      <c r="L59" s="31"/>
      <c r="M59" s="216" t="str">
        <f>VLOOKUP(M58,[18]TS!$B$10:$D$253,2,0)</f>
        <v>1DB2+9</v>
      </c>
      <c r="N59" s="31"/>
      <c r="O59" s="216" t="str">
        <f>VLOOKUP(O58,[18]TS!$B$10:$D$253,2,0)</f>
        <v>1DA+0</v>
      </c>
      <c r="P59" s="31"/>
      <c r="Q59" s="216" t="str">
        <f>VLOOKUP(Q58,[18]TS!$B$10:$D$253,2,0)</f>
        <v>1DA+0</v>
      </c>
      <c r="R59" s="31"/>
      <c r="S59" s="216" t="str">
        <f>VLOOKUP(S58,[18]TS!$B$10:$D$253,2,0)</f>
        <v>1DA+3</v>
      </c>
      <c r="T59" s="31"/>
      <c r="U59" s="216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9</v>
      </c>
      <c r="AC59" s="9" t="s">
        <v>95</v>
      </c>
    </row>
    <row r="60" spans="1:29" s="103" customFormat="1" ht="13.5" customHeight="1">
      <c r="A60" s="107"/>
      <c r="B60" s="104"/>
      <c r="C60" s="908">
        <f>SUM(T46+V46+D55+F55)/1000</f>
        <v>1.7277819999999999</v>
      </c>
      <c r="D60" s="908"/>
      <c r="E60" s="908"/>
      <c r="F60" s="908"/>
      <c r="G60" s="908">
        <f>SUM(H55+J55)/1000</f>
        <v>0.83175999999999994</v>
      </c>
      <c r="H60" s="908"/>
      <c r="I60" s="908"/>
      <c r="J60" s="908"/>
      <c r="K60" s="908">
        <f>SUM(L55)/1000</f>
        <v>0.23086999999999999</v>
      </c>
      <c r="L60" s="908"/>
      <c r="M60" s="908"/>
      <c r="N60" s="908"/>
      <c r="O60" s="908"/>
      <c r="P60" s="908"/>
      <c r="Q60" s="908"/>
      <c r="R60" s="908"/>
      <c r="S60" s="908"/>
      <c r="T60" s="908"/>
      <c r="U60" s="908"/>
      <c r="V60" s="105"/>
      <c r="W60" s="106"/>
    </row>
    <row r="61" spans="1:29" s="99" customFormat="1" ht="12">
      <c r="A61" s="102"/>
      <c r="B61" s="100"/>
      <c r="C61" s="230"/>
      <c r="D61" s="217" t="s">
        <v>204</v>
      </c>
      <c r="E61" s="217"/>
      <c r="F61" s="217"/>
      <c r="I61" s="230"/>
      <c r="J61" s="906"/>
      <c r="K61" s="906"/>
      <c r="L61" s="906"/>
      <c r="M61" s="230"/>
      <c r="N61" s="230"/>
      <c r="O61" s="230"/>
      <c r="P61" s="230"/>
      <c r="Q61" s="230"/>
      <c r="R61" s="925" t="s">
        <v>211</v>
      </c>
      <c r="S61" s="925"/>
      <c r="T61" s="230"/>
      <c r="U61" s="230"/>
      <c r="V61" s="230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6" t="s">
        <v>293</v>
      </c>
      <c r="D63" s="232"/>
      <c r="E63" s="206" t="s">
        <v>294</v>
      </c>
      <c r="F63" s="31"/>
      <c r="G63" s="206" t="s">
        <v>295</v>
      </c>
      <c r="H63" s="31"/>
      <c r="I63" s="206" t="s">
        <v>296</v>
      </c>
      <c r="J63" s="31"/>
      <c r="K63" s="206" t="s">
        <v>297</v>
      </c>
      <c r="L63" s="31"/>
      <c r="M63" s="206" t="s">
        <v>298</v>
      </c>
      <c r="N63" s="31"/>
      <c r="O63" s="206" t="s">
        <v>299</v>
      </c>
      <c r="P63" s="31"/>
      <c r="Q63" s="206" t="s">
        <v>300</v>
      </c>
      <c r="R63" s="31"/>
      <c r="S63" s="206" t="s">
        <v>301</v>
      </c>
      <c r="T63" s="31"/>
      <c r="U63" s="206" t="s">
        <v>302</v>
      </c>
      <c r="V63" s="31"/>
      <c r="W63" s="12"/>
    </row>
    <row r="64" spans="1:29">
      <c r="A64" s="11"/>
      <c r="B64" s="61"/>
      <c r="C64" s="31"/>
      <c r="D64" s="234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0"/>
      <c r="R64" s="210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0">
        <f>VLOOKUP(C68,[18]TS!$B$10:$D$253,3,0)</f>
        <v>391.45100000000002</v>
      </c>
      <c r="E65" s="490"/>
      <c r="F65" s="230">
        <f>VLOOKUP(E68,[18]TS!$B$10:$D$253,3,0)</f>
        <v>380</v>
      </c>
      <c r="G65" s="230"/>
      <c r="H65" s="230">
        <f>VLOOKUP(G68,[18]TS!$B$10:$D$253,3,0)</f>
        <v>475</v>
      </c>
      <c r="I65" s="490"/>
      <c r="J65" s="230">
        <f>VLOOKUP(I68,[18]TS!$B$10:$D$253,3,0)</f>
        <v>380</v>
      </c>
      <c r="K65" s="490"/>
      <c r="L65" s="230">
        <f>VLOOKUP(K68,[18]TS!$B$10:$D$253,3,0)</f>
        <v>390</v>
      </c>
      <c r="M65" s="490"/>
      <c r="N65" s="230">
        <f>VLOOKUP(M68,[18]TS!$B$10:$D$253,3,0)</f>
        <v>465</v>
      </c>
      <c r="O65" s="490"/>
      <c r="P65" s="230">
        <f>VLOOKUP(O68,[18]TS!$B$10:$D$253,3,0)</f>
        <v>383.20800000000003</v>
      </c>
      <c r="Q65" s="213"/>
      <c r="R65" s="488">
        <f>VLOOKUP(Q68,[18]TS!$B$10:$D$253,3,0)</f>
        <v>380</v>
      </c>
      <c r="S65" s="489"/>
      <c r="T65" s="488">
        <f>VLOOKUP(S68,[18]TS!$B$10:$D$253,3,0)</f>
        <v>348</v>
      </c>
      <c r="U65" s="489"/>
      <c r="V65" s="488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655</v>
      </c>
      <c r="P66" s="31"/>
      <c r="Q66" s="378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R65+V65+T65+P65+N65+L65+J65+H65+F65+D65</f>
        <v>3970.4430000000002</v>
      </c>
      <c r="AC66" s="9" t="s">
        <v>65</v>
      </c>
    </row>
    <row r="67" spans="1:35" ht="13.8" thickBot="1">
      <c r="A67" s="11"/>
      <c r="B67" s="61"/>
      <c r="C67" s="193"/>
      <c r="D67" s="31"/>
      <c r="E67" s="269"/>
      <c r="F67" s="31"/>
      <c r="G67" s="192"/>
      <c r="H67" s="31"/>
      <c r="I67" s="192"/>
      <c r="J67" s="31"/>
      <c r="K67" s="185"/>
      <c r="L67" s="31"/>
      <c r="M67" s="192"/>
      <c r="N67" s="31"/>
      <c r="O67" s="269"/>
      <c r="P67" s="31"/>
      <c r="Q67" s="269"/>
      <c r="R67" s="31"/>
      <c r="S67" s="192"/>
      <c r="T67" s="31"/>
      <c r="U67" s="269"/>
      <c r="V67" s="31"/>
      <c r="W67" s="12"/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 t="s">
        <v>56</v>
      </c>
    </row>
    <row r="68" spans="1:35" ht="16.5" customHeight="1">
      <c r="A68" s="11"/>
      <c r="B68" s="61"/>
      <c r="C68" s="236" t="s">
        <v>144</v>
      </c>
      <c r="D68" s="236"/>
      <c r="E68" s="236" t="s">
        <v>31</v>
      </c>
      <c r="F68" s="236"/>
      <c r="G68" s="236" t="s">
        <v>145</v>
      </c>
      <c r="H68" s="236"/>
      <c r="I68" s="236" t="s">
        <v>146</v>
      </c>
      <c r="J68" s="236"/>
      <c r="K68" s="236" t="s">
        <v>147</v>
      </c>
      <c r="L68" s="236"/>
      <c r="M68" s="236" t="s">
        <v>148</v>
      </c>
      <c r="N68" s="236"/>
      <c r="O68" s="236" t="s">
        <v>149</v>
      </c>
      <c r="P68" s="236"/>
      <c r="Q68" s="236" t="s">
        <v>32</v>
      </c>
      <c r="R68" s="236"/>
      <c r="S68" s="236" t="s">
        <v>51</v>
      </c>
      <c r="T68" s="236"/>
      <c r="U68" s="236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v>0</v>
      </c>
      <c r="AC68" s="9" t="s">
        <v>61</v>
      </c>
    </row>
    <row r="69" spans="1:35" ht="16.5" customHeight="1">
      <c r="A69" s="11"/>
      <c r="B69" s="61"/>
      <c r="C69" s="237" t="str">
        <f>VLOOKUP(C68,[18]TS!$B$10:$D$253,2,0)</f>
        <v>1DA-3</v>
      </c>
      <c r="D69" s="31"/>
      <c r="E69" s="237" t="str">
        <f>VLOOKUP(E68,[18]TS!$B$10:$D$253,2,0)</f>
        <v>1DB1+0</v>
      </c>
      <c r="F69" s="31"/>
      <c r="G69" s="237" t="str">
        <f>VLOOKUP(G68,[18]TS!$B$10:$D$253,2,0)</f>
        <v>1DA+6</v>
      </c>
      <c r="H69" s="31"/>
      <c r="I69" s="237" t="str">
        <f>VLOOKUP(I68,[18]TS!$B$10:$D$253,2,0)</f>
        <v>1DA+3</v>
      </c>
      <c r="J69" s="31"/>
      <c r="K69" s="237" t="str">
        <f>VLOOKUP(K68,[18]TS!$B$10:$D$253,2,0)</f>
        <v>1DA+0</v>
      </c>
      <c r="L69" s="31"/>
      <c r="M69" s="237" t="str">
        <f>VLOOKUP(M68,[18]TS!$B$10:$D$253,2,0)</f>
        <v>1DA+3</v>
      </c>
      <c r="N69" s="31"/>
      <c r="O69" s="237" t="str">
        <f>VLOOKUP(O68,[18]TS!$B$10:$D$253,2,0)</f>
        <v>1DA+3</v>
      </c>
      <c r="P69" s="31"/>
      <c r="Q69" s="237" t="str">
        <f>VLOOKUP(Q68,[18]TS!$B$10:$D$253,2,0)</f>
        <v>1DB2+3</v>
      </c>
      <c r="R69" s="31"/>
      <c r="S69" s="237" t="str">
        <f>VLOOKUP(S68,[18]TS!$B$10:$D$253,2,0)</f>
        <v>1DA+0</v>
      </c>
      <c r="T69" s="31"/>
      <c r="U69" s="237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908">
        <f>SUM(N55+P55+R55+T55+V55+D65)/1000</f>
        <v>2.4264510000000001</v>
      </c>
      <c r="D70" s="908"/>
      <c r="E70" s="908">
        <f>SUM(F65+H65+J65+L65+N65+P65)/1000</f>
        <v>2.4732080000000001</v>
      </c>
      <c r="F70" s="908"/>
      <c r="G70" s="908"/>
      <c r="H70" s="908"/>
      <c r="I70" s="908"/>
      <c r="J70" s="908"/>
      <c r="K70" s="908"/>
      <c r="L70" s="908"/>
      <c r="M70" s="908"/>
      <c r="N70" s="908"/>
      <c r="O70" s="908"/>
      <c r="P70" s="908"/>
      <c r="Q70" s="908"/>
      <c r="R70" s="908">
        <f>SUM(R65+T65+V65)/1000</f>
        <v>1.1057840000000001</v>
      </c>
      <c r="S70" s="908"/>
      <c r="T70" s="908"/>
      <c r="U70" s="908"/>
      <c r="V70" s="908"/>
      <c r="W70" s="98"/>
    </row>
    <row r="71" spans="1:35" s="99" customFormat="1" ht="16.5" customHeight="1">
      <c r="A71" s="102"/>
      <c r="B71" s="100"/>
      <c r="C71" s="230"/>
      <c r="D71" s="230"/>
      <c r="E71" s="238" t="s">
        <v>212</v>
      </c>
      <c r="F71" s="230"/>
      <c r="G71" s="230"/>
      <c r="H71" s="230"/>
      <c r="I71" s="230"/>
      <c r="J71" s="230"/>
      <c r="K71" s="230"/>
      <c r="L71" s="217"/>
      <c r="M71" s="230"/>
      <c r="N71" s="230"/>
      <c r="O71" s="230"/>
      <c r="P71" s="230"/>
      <c r="Q71" s="230"/>
      <c r="R71" s="230"/>
      <c r="S71" s="230"/>
      <c r="T71" s="906" t="s">
        <v>213</v>
      </c>
      <c r="U71" s="906"/>
      <c r="V71" s="230"/>
      <c r="W71" s="101"/>
    </row>
    <row r="72" spans="1:35">
      <c r="A72" s="11"/>
      <c r="B72" s="61"/>
      <c r="C72" s="206" t="s">
        <v>303</v>
      </c>
      <c r="D72" s="31"/>
      <c r="E72" s="206" t="s">
        <v>304</v>
      </c>
      <c r="F72" s="31"/>
      <c r="G72" s="206" t="s">
        <v>305</v>
      </c>
      <c r="H72" s="31"/>
      <c r="I72" s="206" t="s">
        <v>306</v>
      </c>
      <c r="J72" s="31"/>
      <c r="K72" s="206" t="s">
        <v>307</v>
      </c>
      <c r="L72" s="31"/>
      <c r="M72" s="206" t="s">
        <v>308</v>
      </c>
      <c r="N72" s="31"/>
      <c r="O72" s="206" t="s">
        <v>309</v>
      </c>
      <c r="Q72" s="206" t="s">
        <v>310</v>
      </c>
      <c r="R72" s="31"/>
      <c r="S72" s="206" t="s">
        <v>311</v>
      </c>
      <c r="T72" s="31"/>
      <c r="U72" s="206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0" t="s">
        <v>242</v>
      </c>
      <c r="K73" s="31"/>
      <c r="L73" s="31"/>
      <c r="M73" s="31"/>
      <c r="N73" s="31"/>
      <c r="O73" s="31"/>
      <c r="P73" s="239" t="s">
        <v>206</v>
      </c>
      <c r="Q73" s="31"/>
      <c r="R73" s="210" t="s">
        <v>241</v>
      </c>
      <c r="S73" s="31"/>
      <c r="T73" s="210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3"/>
      <c r="D74" s="31">
        <f>VLOOKUP(C77,[18]TS!$B$10:$D$253,3,0)</f>
        <v>410</v>
      </c>
      <c r="E74" s="213"/>
      <c r="F74" s="31">
        <f>VLOOKUP(E77,[18]TS!$B$10:$D$253,3,0)</f>
        <v>380</v>
      </c>
      <c r="G74" s="213"/>
      <c r="H74" s="31">
        <f>VLOOKUP(G77,[18]TS!$B$10:$D$253,3,0)</f>
        <v>325</v>
      </c>
      <c r="I74" s="213"/>
      <c r="J74" s="31">
        <f>VLOOKUP(I77,[18]TS!$B$10:$D$253,3,0)</f>
        <v>329.8</v>
      </c>
      <c r="K74" s="213"/>
      <c r="L74" s="31">
        <f>VLOOKUP(K77,[18]TS!$B$10:$D$253,3,0)</f>
        <v>385</v>
      </c>
      <c r="M74" s="213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3"/>
      <c r="T74" s="31">
        <f>VLOOKUP(S77,[18]TS!$B$10:$D$253,3,0)</f>
        <v>391</v>
      </c>
      <c r="U74" s="213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655</v>
      </c>
      <c r="F75" s="31"/>
      <c r="G75" s="163" t="s">
        <v>655</v>
      </c>
      <c r="H75" s="31"/>
      <c r="I75" s="163" t="s">
        <v>655</v>
      </c>
      <c r="J75" s="31"/>
      <c r="K75" s="163" t="s">
        <v>655</v>
      </c>
      <c r="L75" s="31"/>
      <c r="M75" s="163" t="s">
        <v>655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655</v>
      </c>
      <c r="V75" s="31"/>
      <c r="W75" s="12"/>
      <c r="X75" s="9">
        <v>10</v>
      </c>
      <c r="Y75" s="9">
        <v>10</v>
      </c>
      <c r="Z75" s="9">
        <v>9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69"/>
      <c r="D76" s="31"/>
      <c r="E76" s="192"/>
      <c r="F76" s="31"/>
      <c r="G76" s="192"/>
      <c r="H76" s="31"/>
      <c r="I76" s="192"/>
      <c r="J76" s="31"/>
      <c r="K76" s="192"/>
      <c r="L76" s="31"/>
      <c r="M76" s="192"/>
      <c r="N76" s="31"/>
      <c r="O76" s="419"/>
      <c r="P76" s="31"/>
      <c r="Q76" s="269"/>
      <c r="R76" s="31"/>
      <c r="S76" s="269"/>
      <c r="T76" s="31"/>
      <c r="U76" s="185"/>
      <c r="V76" s="31"/>
      <c r="W76" s="12"/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5" t="s">
        <v>33</v>
      </c>
      <c r="D77" s="215"/>
      <c r="E77" s="215" t="s">
        <v>150</v>
      </c>
      <c r="F77" s="215"/>
      <c r="G77" s="215" t="s">
        <v>151</v>
      </c>
      <c r="H77" s="215"/>
      <c r="I77" s="215" t="s">
        <v>152</v>
      </c>
      <c r="J77" s="215"/>
      <c r="K77" s="215" t="s">
        <v>34</v>
      </c>
      <c r="L77" s="215"/>
      <c r="M77" s="215" t="s">
        <v>153</v>
      </c>
      <c r="N77" s="215"/>
      <c r="O77" s="215" t="s">
        <v>35</v>
      </c>
      <c r="P77" s="215"/>
      <c r="Q77" s="215" t="s">
        <v>4</v>
      </c>
      <c r="R77" s="215"/>
      <c r="S77" s="215" t="s">
        <v>5</v>
      </c>
      <c r="T77" s="215"/>
      <c r="U77" s="215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7" t="str">
        <f>VLOOKUP(C77,[18]TS!$B$10:$D$253,2,0)</f>
        <v>1DB1+0</v>
      </c>
      <c r="D78" s="31"/>
      <c r="E78" s="237" t="str">
        <f>VLOOKUP(E77,[18]TS!$B$10:$D$253,2,0)</f>
        <v>1DA+0</v>
      </c>
      <c r="F78" s="31"/>
      <c r="G78" s="237" t="str">
        <f>VLOOKUP(G77,[18]TS!$B$10:$D$253,2,0)</f>
        <v>1DA+0</v>
      </c>
      <c r="H78" s="31"/>
      <c r="I78" s="237" t="str">
        <f>VLOOKUP(I77,[18]TS!$B$10:$D$253,2,0)</f>
        <v>1DA-3</v>
      </c>
      <c r="J78" s="31"/>
      <c r="K78" s="237" t="str">
        <f>VLOOKUP(K77,[18]TS!$B$10:$D$253,2,0)</f>
        <v>1DC1-3</v>
      </c>
      <c r="L78" s="240"/>
      <c r="M78" s="237" t="str">
        <f>VLOOKUP(M77,[18]TS!$B$10:$D$253,2,0)</f>
        <v>1DA+0</v>
      </c>
      <c r="N78" s="31"/>
      <c r="O78" s="237" t="str">
        <f>VLOOKUP(O77,[18]TS!$B$10:$D$253,2,0)</f>
        <v>1DC1+3</v>
      </c>
      <c r="P78" s="31"/>
      <c r="Q78" s="237" t="str">
        <f>VLOOKUP(Q77,[18]TS!$B$10:$D$253,2,0)</f>
        <v>1DB1+6</v>
      </c>
      <c r="R78" s="31"/>
      <c r="S78" s="237" t="str">
        <f>VLOOKUP(S77,[18]TS!$B$10:$D$253,2,0)</f>
        <v>1DA+0</v>
      </c>
      <c r="T78" s="31"/>
      <c r="U78" s="237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9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908">
        <f>SUM(D74+F74+H74+J74)/1000</f>
        <v>1.4447999999999999</v>
      </c>
      <c r="D79" s="908"/>
      <c r="E79" s="908"/>
      <c r="F79" s="908"/>
      <c r="G79" s="908"/>
      <c r="H79" s="908"/>
      <c r="I79" s="908"/>
      <c r="J79" s="908"/>
      <c r="K79" s="908"/>
      <c r="L79" s="908">
        <f>SUM(N74+L74)/1000</f>
        <v>0.69755800000000001</v>
      </c>
      <c r="M79" s="908"/>
      <c r="N79" s="908"/>
      <c r="O79" s="908"/>
      <c r="P79" s="908">
        <f>SUM(P74+R74+T74+V74)/1000</f>
        <v>1.514518</v>
      </c>
      <c r="Q79" s="908"/>
      <c r="R79" s="908"/>
      <c r="S79" s="908"/>
      <c r="T79" s="908"/>
      <c r="U79" s="908"/>
      <c r="V79" s="908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48</v>
      </c>
      <c r="AA79" s="96">
        <f t="shared" si="2"/>
        <v>0</v>
      </c>
      <c r="AB79" s="96">
        <f t="shared" si="2"/>
        <v>12563.920999999998</v>
      </c>
      <c r="AC79" s="97" t="s">
        <v>93</v>
      </c>
    </row>
    <row r="80" spans="1:35" s="99" customFormat="1" ht="17.25" customHeight="1">
      <c r="A80" s="102"/>
      <c r="B80" s="100"/>
      <c r="C80" s="906" t="s">
        <v>213</v>
      </c>
      <c r="D80" s="906"/>
      <c r="E80" s="230"/>
      <c r="F80" s="230"/>
      <c r="G80" s="230"/>
      <c r="H80" s="230"/>
      <c r="I80" s="230"/>
      <c r="J80" s="238" t="s">
        <v>214</v>
      </c>
      <c r="K80" s="230"/>
      <c r="L80" s="230"/>
      <c r="M80" s="241"/>
      <c r="N80" s="241"/>
      <c r="O80" s="241"/>
      <c r="P80" s="241"/>
      <c r="Q80" s="230"/>
      <c r="R80" s="230"/>
      <c r="S80" s="230"/>
      <c r="T80" s="906" t="s">
        <v>215</v>
      </c>
      <c r="U80" s="906"/>
      <c r="V80" s="230"/>
      <c r="W80" s="111"/>
      <c r="X80" s="94">
        <f>X39+X48+X57+X67+X76</f>
        <v>0</v>
      </c>
      <c r="Y80" s="94">
        <f t="shared" si="2"/>
        <v>0</v>
      </c>
      <c r="Z80" s="94">
        <f t="shared" si="2"/>
        <v>0</v>
      </c>
      <c r="AA80" s="94">
        <f t="shared" si="2"/>
        <v>0</v>
      </c>
      <c r="AB80" s="94">
        <f t="shared" si="2"/>
        <v>0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6" t="s">
        <v>313</v>
      </c>
      <c r="D81" s="31"/>
      <c r="E81" s="206" t="s">
        <v>314</v>
      </c>
      <c r="F81" s="232"/>
      <c r="G81" s="206" t="s">
        <v>315</v>
      </c>
      <c r="H81" s="232"/>
      <c r="I81" s="206" t="s">
        <v>316</v>
      </c>
      <c r="J81" s="232"/>
      <c r="K81" s="206" t="s">
        <v>317</v>
      </c>
      <c r="L81" s="232"/>
      <c r="M81" s="206" t="s">
        <v>318</v>
      </c>
      <c r="N81" s="232"/>
      <c r="O81" s="206" t="s">
        <v>320</v>
      </c>
      <c r="P81" s="31"/>
      <c r="Q81" s="206" t="s">
        <v>321</v>
      </c>
      <c r="R81" s="31"/>
      <c r="S81" s="206" t="s">
        <v>322</v>
      </c>
      <c r="T81" s="31"/>
      <c r="U81" s="206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0</v>
      </c>
      <c r="AC81" s="75" t="s">
        <v>61</v>
      </c>
    </row>
    <row r="82" spans="1:29" ht="20.399999999999999">
      <c r="A82" s="11"/>
      <c r="B82" s="61"/>
      <c r="C82" s="31"/>
      <c r="D82" s="210" t="s">
        <v>243</v>
      </c>
      <c r="E82" s="210"/>
      <c r="F82" s="210" t="s">
        <v>628</v>
      </c>
      <c r="G82" s="31"/>
      <c r="H82" s="234"/>
      <c r="I82" s="31"/>
      <c r="J82" s="31"/>
      <c r="K82" s="31"/>
      <c r="L82" s="234"/>
      <c r="M82" s="31"/>
      <c r="N82" s="234"/>
      <c r="O82" s="31"/>
      <c r="P82" s="31"/>
      <c r="Q82" s="31"/>
      <c r="R82" s="31"/>
      <c r="S82" s="31"/>
      <c r="T82" s="234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48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3"/>
      <c r="D83" s="31">
        <f>VLOOKUP(C86,[18]TS!$B$10:$D$253,3,0)</f>
        <v>315</v>
      </c>
      <c r="E83" s="213"/>
      <c r="F83" s="31">
        <f>VLOOKUP(E86,[18]TS!$B$10:$D$253,3,0)</f>
        <v>375</v>
      </c>
      <c r="G83" s="213"/>
      <c r="H83" s="31">
        <f>VLOOKUP(G86,[18]TS!$B$10:$D$253,3,0)</f>
        <v>416</v>
      </c>
      <c r="I83" s="213"/>
      <c r="J83" s="31">
        <f>VLOOKUP(I86,[18]TS!$B$10:$D$253,3,0)</f>
        <v>422</v>
      </c>
      <c r="K83" s="213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3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655</v>
      </c>
      <c r="J84" s="31"/>
      <c r="K84" s="163" t="s">
        <v>239</v>
      </c>
      <c r="L84" s="31"/>
      <c r="M84" s="163" t="s">
        <v>239</v>
      </c>
      <c r="N84" s="31"/>
      <c r="O84" s="163" t="s">
        <v>653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69"/>
      <c r="D85" s="31"/>
      <c r="E85" s="192"/>
      <c r="F85" s="31"/>
      <c r="G85" s="269"/>
      <c r="H85" s="31"/>
      <c r="I85" s="192"/>
      <c r="J85" s="31"/>
      <c r="K85" s="269"/>
      <c r="L85" s="31"/>
      <c r="M85" s="269"/>
      <c r="N85" s="31"/>
      <c r="O85" s="192"/>
      <c r="P85" s="31"/>
      <c r="Q85" s="269"/>
      <c r="R85" s="31"/>
      <c r="S85" s="269"/>
      <c r="T85" s="31"/>
      <c r="U85" s="269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5" t="s">
        <v>36</v>
      </c>
      <c r="D86" s="215"/>
      <c r="E86" s="215" t="s">
        <v>6</v>
      </c>
      <c r="F86" s="215"/>
      <c r="G86" s="215" t="s">
        <v>37</v>
      </c>
      <c r="H86" s="215"/>
      <c r="I86" s="215" t="s">
        <v>155</v>
      </c>
      <c r="J86" s="215"/>
      <c r="K86" s="215" t="s">
        <v>156</v>
      </c>
      <c r="L86" s="215"/>
      <c r="M86" s="215" t="s">
        <v>157</v>
      </c>
      <c r="N86" s="215"/>
      <c r="O86" s="215" t="s">
        <v>158</v>
      </c>
      <c r="P86" s="215"/>
      <c r="Q86" s="215" t="s">
        <v>159</v>
      </c>
      <c r="R86" s="215"/>
      <c r="S86" s="215" t="s">
        <v>160</v>
      </c>
      <c r="T86" s="215"/>
      <c r="U86" s="215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7" t="str">
        <f>VLOOKUP(C86,[18]TS!$B$10:$D$253,2,0)</f>
        <v>1DB1+0</v>
      </c>
      <c r="D87" s="31"/>
      <c r="E87" s="237" t="str">
        <f>VLOOKUP(E86,[18]TS!$B$10:$D$253,2,0)</f>
        <v>1DA-3</v>
      </c>
      <c r="F87" s="31"/>
      <c r="G87" s="237" t="str">
        <f>VLOOKUP(G86,[18]TS!$B$10:$D$253,2,0)</f>
        <v>1DA+0</v>
      </c>
      <c r="H87" s="31"/>
      <c r="I87" s="237" t="str">
        <f>VLOOKUP(I86,[18]TS!$B$10:$D$253,2,0)</f>
        <v>1DA+0</v>
      </c>
      <c r="J87" s="31"/>
      <c r="K87" s="237" t="str">
        <f>VLOOKUP(K86,[18]TS!$B$10:$D$253,2,0)</f>
        <v>1DA+0</v>
      </c>
      <c r="L87" s="31"/>
      <c r="M87" s="237" t="str">
        <f>VLOOKUP(M86,[18]TS!$B$10:$D$253,2,0)</f>
        <v>1DA+6</v>
      </c>
      <c r="N87" s="31"/>
      <c r="O87" s="237" t="str">
        <f>VLOOKUP(O86,[18]TS!$B$10:$D$253,2,0)</f>
        <v>1DA+0</v>
      </c>
      <c r="P87" s="31"/>
      <c r="Q87" s="237" t="str">
        <f>VLOOKUP(Q86,[18]TS!$B$10:$D$253,2,0)</f>
        <v>1DB1+0</v>
      </c>
      <c r="R87" s="240"/>
      <c r="S87" s="237" t="str">
        <f>VLOOKUP(S86,[18]TS!$B$10:$D$253,2,0)</f>
        <v>1DA+3</v>
      </c>
      <c r="T87" s="31"/>
      <c r="U87" s="237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908"/>
      <c r="D88" s="908"/>
      <c r="E88" s="908"/>
      <c r="F88" s="908"/>
      <c r="G88" s="908"/>
      <c r="H88" s="908"/>
      <c r="I88" s="908"/>
      <c r="J88" s="908"/>
      <c r="K88" s="908"/>
      <c r="L88" s="908"/>
      <c r="M88" s="908"/>
      <c r="N88" s="908"/>
      <c r="O88" s="908"/>
      <c r="P88" s="908"/>
      <c r="Q88" s="908"/>
      <c r="R88" s="908"/>
      <c r="S88" s="908"/>
      <c r="T88" s="908"/>
      <c r="U88" s="908"/>
      <c r="V88" s="908"/>
      <c r="W88" s="93"/>
    </row>
    <row r="89" spans="1:29" s="99" customFormat="1" ht="17.25" customHeight="1" thickBot="1">
      <c r="A89" s="102"/>
      <c r="B89" s="113"/>
      <c r="C89" s="918" t="s">
        <v>215</v>
      </c>
      <c r="D89" s="918"/>
      <c r="E89" s="918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918" t="s">
        <v>217</v>
      </c>
      <c r="V89" s="918"/>
      <c r="W89" s="116"/>
    </row>
    <row r="90" spans="1:29" ht="12.6" customHeight="1">
      <c r="A90" s="11"/>
      <c r="B90" s="242"/>
      <c r="C90" s="226" t="s">
        <v>324</v>
      </c>
      <c r="D90" s="243"/>
      <c r="E90" s="226" t="s">
        <v>325</v>
      </c>
      <c r="F90" s="243"/>
      <c r="G90" s="226" t="s">
        <v>326</v>
      </c>
      <c r="H90" s="243"/>
      <c r="I90" s="226" t="s">
        <v>327</v>
      </c>
      <c r="J90" s="243"/>
      <c r="K90" s="226" t="s">
        <v>328</v>
      </c>
      <c r="L90" s="243"/>
      <c r="M90" s="226" t="s">
        <v>329</v>
      </c>
      <c r="N90" s="243"/>
      <c r="O90" s="226" t="s">
        <v>330</v>
      </c>
      <c r="P90" s="243"/>
      <c r="Q90" s="226" t="s">
        <v>331</v>
      </c>
      <c r="R90" s="243"/>
      <c r="S90" s="226" t="s">
        <v>332</v>
      </c>
      <c r="T90" s="243"/>
      <c r="U90" s="226" t="s">
        <v>333</v>
      </c>
      <c r="V90" s="243"/>
      <c r="W90" s="244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0" t="s">
        <v>242</v>
      </c>
      <c r="K91" s="210"/>
      <c r="L91" s="210"/>
      <c r="M91" s="210"/>
      <c r="N91" s="210" t="s">
        <v>241</v>
      </c>
      <c r="O91" s="210"/>
      <c r="P91" s="210" t="s">
        <v>242</v>
      </c>
      <c r="Q91" s="210"/>
      <c r="R91" s="210" t="s">
        <v>242</v>
      </c>
      <c r="S91" s="210"/>
      <c r="T91" s="210" t="s">
        <v>621</v>
      </c>
      <c r="U91" s="31"/>
      <c r="V91" s="210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3"/>
      <c r="F92" s="31">
        <f>VLOOKUP(E95,[18]TS!$B$10:$D$253,3,0)</f>
        <v>433</v>
      </c>
      <c r="G92" s="213"/>
      <c r="H92" s="31">
        <f>VLOOKUP(G95,[18]TS!$B$10:$D$253,3,0)</f>
        <v>415</v>
      </c>
      <c r="I92" s="31"/>
      <c r="J92" s="31">
        <f>VLOOKUP(I95,[18]TS!$B$10:$D$253,3,0)</f>
        <v>430</v>
      </c>
      <c r="K92" s="213"/>
      <c r="L92" s="31">
        <f>VLOOKUP(K95,[18]TS!$B$10:$D$253,3,0)</f>
        <v>314</v>
      </c>
      <c r="M92" s="213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653</v>
      </c>
      <c r="D93" s="31"/>
      <c r="E93" s="163" t="s">
        <v>653</v>
      </c>
      <c r="F93" s="31"/>
      <c r="G93" s="163" t="s">
        <v>653</v>
      </c>
      <c r="H93" s="31"/>
      <c r="I93" s="163" t="s">
        <v>653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653</v>
      </c>
      <c r="V93" s="31"/>
      <c r="W93" s="14"/>
      <c r="X93" s="9">
        <v>10</v>
      </c>
      <c r="Y93" s="9">
        <v>10</v>
      </c>
      <c r="Z93" s="9">
        <v>10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7"/>
      <c r="D94" s="31"/>
      <c r="E94" s="267"/>
      <c r="F94" s="31"/>
      <c r="G94" s="267"/>
      <c r="H94" s="31"/>
      <c r="I94" s="267"/>
      <c r="J94" s="31"/>
      <c r="K94" s="437"/>
      <c r="L94" s="31"/>
      <c r="M94" s="267"/>
      <c r="N94" s="31"/>
      <c r="O94" s="267"/>
      <c r="P94" s="31"/>
      <c r="Q94" s="439"/>
      <c r="R94" s="31"/>
      <c r="S94" s="267"/>
      <c r="T94" s="31"/>
      <c r="U94" s="267"/>
      <c r="V94" s="31"/>
      <c r="W94" s="14"/>
      <c r="X94" s="9">
        <v>0</v>
      </c>
      <c r="Y94" s="9">
        <f>COUNTIF($B$94:$U$94,"WIP")</f>
        <v>0</v>
      </c>
      <c r="Z94" s="9">
        <v>0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5" t="s">
        <v>162</v>
      </c>
      <c r="D95" s="215"/>
      <c r="E95" s="215" t="s">
        <v>163</v>
      </c>
      <c r="F95" s="215"/>
      <c r="G95" s="215" t="s">
        <v>164</v>
      </c>
      <c r="H95" s="215"/>
      <c r="I95" s="215" t="s">
        <v>165</v>
      </c>
      <c r="J95" s="215"/>
      <c r="K95" s="215" t="s">
        <v>166</v>
      </c>
      <c r="L95" s="215"/>
      <c r="M95" s="215" t="s">
        <v>167</v>
      </c>
      <c r="N95" s="215"/>
      <c r="O95" s="215" t="s">
        <v>38</v>
      </c>
      <c r="P95" s="215"/>
      <c r="Q95" s="215" t="s">
        <v>168</v>
      </c>
      <c r="R95" s="215"/>
      <c r="S95" s="215" t="s">
        <v>39</v>
      </c>
      <c r="T95" s="215"/>
      <c r="U95" s="215" t="s">
        <v>8</v>
      </c>
      <c r="V95" s="31"/>
      <c r="W95" s="14"/>
      <c r="X95" s="9">
        <v>0</v>
      </c>
      <c r="Y95" s="9">
        <f>COUNTIF($B$94:$U$94,"ROW")</f>
        <v>0</v>
      </c>
      <c r="Z95" s="9">
        <v>0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7" t="str">
        <f>VLOOKUP(C95,[18]TS!$B$10:$D$253,2,0)</f>
        <v>1DA+0</v>
      </c>
      <c r="D96" s="31"/>
      <c r="E96" s="237" t="str">
        <f>VLOOKUP(E95,[18]TS!$B$10:$D$253,2,0)</f>
        <v>1DA-1.5</v>
      </c>
      <c r="F96" s="31"/>
      <c r="G96" s="237" t="str">
        <f>VLOOKUP(G95,[18]TS!$B$10:$D$253,2,0)</f>
        <v>1DA+0</v>
      </c>
      <c r="H96" s="31"/>
      <c r="I96" s="237" t="str">
        <f>VLOOKUP(I95,[18]TS!$B$10:$D$253,2,0)</f>
        <v>1DA+0</v>
      </c>
      <c r="J96" s="31"/>
      <c r="K96" s="237" t="str">
        <f>VLOOKUP(K95,[18]TS!$B$10:$D$253,2,0)</f>
        <v>1DA+0</v>
      </c>
      <c r="L96" s="31"/>
      <c r="M96" s="237" t="str">
        <f>VLOOKUP(M95,[18]TS!$B$10:$D$253,2,0)</f>
        <v>1DA+9</v>
      </c>
      <c r="N96" s="240"/>
      <c r="O96" s="237" t="str">
        <f>VLOOKUP(O95,[18]TS!$B$10:$D$253,2,0)</f>
        <v>1DC1+0</v>
      </c>
      <c r="P96" s="31"/>
      <c r="Q96" s="237" t="str">
        <f>VLOOKUP(Q95,[18]TS!$B$10:$D$253,2,0)</f>
        <v>1DA+3</v>
      </c>
      <c r="R96" s="31"/>
      <c r="S96" s="237" t="str">
        <f>VLOOKUP(S95,[18]TS!$B$10:$D$253,2,0)</f>
        <v>1DB2+0</v>
      </c>
      <c r="T96" s="31"/>
      <c r="U96" s="237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0</v>
      </c>
      <c r="AA96" s="9">
        <f>Z93-AA94-AA95-AA93</f>
        <v>10</v>
      </c>
      <c r="AC96" s="9" t="s">
        <v>95</v>
      </c>
    </row>
    <row r="97" spans="1:33" s="91" customFormat="1" ht="16.5" customHeight="1">
      <c r="A97" s="130"/>
      <c r="B97" s="92"/>
      <c r="C97" s="908">
        <f>SUM(D83+F83+H83+J83+L83+N83+P83+R83+T83+V83+D92+F92+H92+J92+L92+N92)/1000</f>
        <v>6.292249</v>
      </c>
      <c r="D97" s="908"/>
      <c r="E97" s="908"/>
      <c r="F97" s="908"/>
      <c r="G97" s="908"/>
      <c r="H97" s="908"/>
      <c r="I97" s="908"/>
      <c r="J97" s="908"/>
      <c r="K97" s="908"/>
      <c r="L97" s="908"/>
      <c r="M97" s="908"/>
      <c r="N97" s="908"/>
      <c r="O97" s="908">
        <f>(P92+R92)/1000</f>
        <v>0.81344499999999997</v>
      </c>
      <c r="P97" s="908"/>
      <c r="Q97" s="908"/>
      <c r="R97" s="908"/>
      <c r="S97" s="908"/>
      <c r="T97" s="908"/>
      <c r="U97" s="908"/>
      <c r="V97" s="908"/>
      <c r="W97" s="93"/>
    </row>
    <row r="98" spans="1:33" s="99" customFormat="1" ht="19.5" customHeight="1">
      <c r="A98" s="102"/>
      <c r="B98" s="100"/>
      <c r="C98" s="230"/>
      <c r="D98" s="230"/>
      <c r="E98" s="230"/>
      <c r="F98" s="230"/>
      <c r="G98" s="230"/>
      <c r="H98" s="230"/>
      <c r="J98" s="906" t="s">
        <v>218</v>
      </c>
      <c r="K98" s="906"/>
      <c r="L98" s="230"/>
      <c r="M98" s="230"/>
      <c r="N98" s="245" t="s">
        <v>210</v>
      </c>
      <c r="O98" s="230"/>
      <c r="P98" s="230"/>
      <c r="Q98" s="230"/>
      <c r="R98" s="230"/>
      <c r="S98" s="230"/>
      <c r="T98" s="906" t="s">
        <v>219</v>
      </c>
      <c r="U98" s="906"/>
      <c r="V98" s="906"/>
      <c r="W98" s="111"/>
    </row>
    <row r="99" spans="1:33" ht="15" customHeight="1">
      <c r="A99" s="11"/>
      <c r="B99" s="61"/>
      <c r="C99" s="206" t="s">
        <v>334</v>
      </c>
      <c r="D99" s="31"/>
      <c r="E99" s="206" t="s">
        <v>335</v>
      </c>
      <c r="F99" s="31"/>
      <c r="G99" s="206" t="s">
        <v>336</v>
      </c>
      <c r="H99" s="31"/>
      <c r="I99" s="206" t="s">
        <v>337</v>
      </c>
      <c r="J99" s="31"/>
      <c r="K99" s="206" t="s">
        <v>338</v>
      </c>
      <c r="L99" s="31"/>
      <c r="M99" s="206" t="s">
        <v>339</v>
      </c>
      <c r="O99" s="206" t="s">
        <v>319</v>
      </c>
      <c r="P99" s="31"/>
      <c r="Q99" s="206" t="s">
        <v>340</v>
      </c>
      <c r="R99" s="31"/>
      <c r="S99" s="206" t="s">
        <v>341</v>
      </c>
      <c r="T99" s="31"/>
      <c r="U99" s="206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0" t="s">
        <v>242</v>
      </c>
      <c r="E100" s="31"/>
      <c r="F100" s="210" t="s">
        <v>242</v>
      </c>
      <c r="G100" s="31"/>
      <c r="H100" s="31"/>
      <c r="I100" s="31"/>
      <c r="J100" s="31"/>
      <c r="K100" s="31"/>
      <c r="L100" s="210" t="s">
        <v>242</v>
      </c>
      <c r="M100" s="210"/>
      <c r="N100" s="210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3"/>
      <c r="F101" s="31">
        <f>VLOOKUP(E104,[18]TS!$B$10:$D$253,3,0)</f>
        <v>336</v>
      </c>
      <c r="G101" s="213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3"/>
      <c r="L101" s="31">
        <f>VLOOKUP(K104,[18]TS!$B$10:$D$253,3,0)</f>
        <v>417.21899999999999</v>
      </c>
      <c r="M101" s="213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3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653</v>
      </c>
      <c r="D102" s="31"/>
      <c r="E102" s="163" t="s">
        <v>239</v>
      </c>
      <c r="F102" s="31"/>
      <c r="G102" s="266" t="s">
        <v>809</v>
      </c>
      <c r="H102" s="31"/>
      <c r="I102" s="163" t="s">
        <v>239</v>
      </c>
      <c r="J102" s="63"/>
      <c r="K102" s="163" t="s">
        <v>239</v>
      </c>
      <c r="L102" s="31"/>
      <c r="M102" s="163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6" t="s">
        <v>239</v>
      </c>
      <c r="V102" s="31"/>
      <c r="W102" s="14"/>
      <c r="X102" s="9">
        <v>10</v>
      </c>
      <c r="Y102" s="9">
        <v>10</v>
      </c>
      <c r="Z102" s="9">
        <v>7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49"/>
      <c r="D103" s="31"/>
      <c r="E103" s="267"/>
      <c r="F103" s="31"/>
      <c r="G103" s="449"/>
      <c r="H103" s="31"/>
      <c r="I103" s="267"/>
      <c r="J103" s="31"/>
      <c r="K103" s="267"/>
      <c r="L103" s="31"/>
      <c r="M103" s="267"/>
      <c r="N103" s="31"/>
      <c r="O103" s="449"/>
      <c r="P103" s="31"/>
      <c r="Q103" s="267"/>
      <c r="R103" s="31"/>
      <c r="S103" s="267"/>
      <c r="T103" s="31"/>
      <c r="U103" s="267"/>
      <c r="V103" s="31"/>
      <c r="W103" s="14"/>
      <c r="X103" s="9">
        <v>0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5" t="s">
        <v>40</v>
      </c>
      <c r="D104" s="215"/>
      <c r="E104" s="215" t="s">
        <v>620</v>
      </c>
      <c r="F104" s="215"/>
      <c r="G104" s="215" t="s">
        <v>616</v>
      </c>
      <c r="H104" s="215"/>
      <c r="I104" s="215" t="s">
        <v>617</v>
      </c>
      <c r="J104" s="215"/>
      <c r="K104" s="215" t="s">
        <v>41</v>
      </c>
      <c r="L104" s="215"/>
      <c r="M104" s="215" t="s">
        <v>42</v>
      </c>
      <c r="N104" s="215"/>
      <c r="O104" s="215" t="s">
        <v>43</v>
      </c>
      <c r="P104" s="215"/>
      <c r="Q104" s="215" t="s">
        <v>44</v>
      </c>
      <c r="R104" s="215"/>
      <c r="S104" s="215" t="s">
        <v>171</v>
      </c>
      <c r="T104" s="215"/>
      <c r="U104" s="215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7" t="str">
        <f>VLOOKUP(C104,[18]TS!$B$10:$D$253,2,0)</f>
        <v>1DA+3</v>
      </c>
      <c r="D105" s="31"/>
      <c r="E105" s="237" t="str">
        <f>VLOOKUP(E104,[18]TS!$B$10:$D$253,2,0)</f>
        <v>1DC1+0</v>
      </c>
      <c r="F105" s="240"/>
      <c r="G105" s="237" t="str">
        <f>VLOOKUP(G104,[18]TS!$B$10:$D$253,2,0)</f>
        <v>1DA+9</v>
      </c>
      <c r="H105" s="31"/>
      <c r="I105" s="237" t="str">
        <f>VLOOKUP(I104,[18]TS!$B$10:$D$253,2,0)</f>
        <v>1DA-1.5</v>
      </c>
      <c r="J105" s="31"/>
      <c r="K105" s="237" t="str">
        <f>VLOOKUP(K104,[18]TS!$B$10:$D$253,2,0)</f>
        <v>1DC1+3</v>
      </c>
      <c r="L105" s="246"/>
      <c r="M105" s="237" t="str">
        <f>VLOOKUP(M104,[18]TS!$B$10:$D$253,2,0)</f>
        <v>1DC1+0</v>
      </c>
      <c r="N105" s="31"/>
      <c r="O105" s="237" t="str">
        <f>VLOOKUP(O104,[18]TS!$B$10:$D$253,2,0)</f>
        <v>1DB1-3</v>
      </c>
      <c r="P105" s="31"/>
      <c r="Q105" s="237" t="str">
        <f>VLOOKUP(Q104,[18]TS!$B$10:$D$253,2,0)</f>
        <v>1DC2+0</v>
      </c>
      <c r="R105" s="31"/>
      <c r="S105" s="237" t="str">
        <f>VLOOKUP(S104,[18]TS!$B$10:$D$253,2,0)</f>
        <v>1DA-3</v>
      </c>
      <c r="T105" s="31"/>
      <c r="U105" s="237" t="str">
        <f>VLOOKUP(U104,[18]TS!$B$10:$D$253,2,0)</f>
        <v>1DA-3</v>
      </c>
      <c r="V105" s="31"/>
      <c r="W105" s="14"/>
      <c r="Y105" s="9">
        <f>X102-Y102-Y103-Y104</f>
        <v>0</v>
      </c>
      <c r="Z105" s="9">
        <f>X102-Z102-Z103-Z104</f>
        <v>3</v>
      </c>
      <c r="AA105" s="9">
        <f>Z102-AA103-AA104-AA102</f>
        <v>7</v>
      </c>
      <c r="AC105" s="9" t="s">
        <v>95</v>
      </c>
    </row>
    <row r="106" spans="1:33" s="56" customFormat="1" ht="16.5" customHeight="1">
      <c r="A106" s="131"/>
      <c r="B106" s="67"/>
      <c r="C106" s="908">
        <f>(T92+V92+D101+F101+H101+J101)/1000</f>
        <v>2.3581080000000001</v>
      </c>
      <c r="D106" s="908"/>
      <c r="E106" s="908"/>
      <c r="F106" s="908"/>
      <c r="G106" s="908"/>
      <c r="H106" s="908"/>
      <c r="I106" s="908"/>
      <c r="J106" s="908"/>
      <c r="K106" s="908"/>
      <c r="L106" s="907">
        <f>L101/1000</f>
        <v>0.41721900000000001</v>
      </c>
      <c r="M106" s="907"/>
      <c r="N106" s="907">
        <f>N101/1000</f>
        <v>0.24960199999999999</v>
      </c>
      <c r="O106" s="907"/>
      <c r="P106" s="907">
        <f>P101/1000</f>
        <v>0.33360199999999995</v>
      </c>
      <c r="Q106" s="907"/>
      <c r="R106" s="908">
        <f>SUM(R101+T101+V101)/1000</f>
        <v>1.034098</v>
      </c>
      <c r="S106" s="908"/>
      <c r="T106" s="908"/>
      <c r="U106" s="908"/>
      <c r="V106" s="908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910" t="s">
        <v>220</v>
      </c>
      <c r="U107" s="910"/>
      <c r="V107" s="114"/>
      <c r="W107" s="116"/>
    </row>
    <row r="108" spans="1:33" ht="21.6" customHeight="1">
      <c r="A108" s="11"/>
      <c r="B108" s="61"/>
      <c r="C108" s="206" t="s">
        <v>343</v>
      </c>
      <c r="D108" s="247" t="s">
        <v>245</v>
      </c>
      <c r="E108" s="206" t="s">
        <v>344</v>
      </c>
      <c r="F108" s="31"/>
      <c r="G108" s="206" t="s">
        <v>345</v>
      </c>
      <c r="H108" s="31"/>
      <c r="I108" s="206" t="s">
        <v>346</v>
      </c>
      <c r="J108" s="31"/>
      <c r="K108" s="206" t="s">
        <v>347</v>
      </c>
      <c r="L108" s="232"/>
      <c r="M108" s="206" t="s">
        <v>348</v>
      </c>
      <c r="N108" s="232"/>
      <c r="O108" s="206" t="s">
        <v>349</v>
      </c>
      <c r="P108" s="248"/>
      <c r="Q108" s="206" t="s">
        <v>350</v>
      </c>
      <c r="R108" s="249"/>
      <c r="S108" s="206" t="s">
        <v>351</v>
      </c>
      <c r="T108" s="31"/>
      <c r="U108" s="206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0" t="s">
        <v>623</v>
      </c>
      <c r="G109" s="210"/>
      <c r="H109" s="210"/>
      <c r="I109" s="210"/>
      <c r="J109" s="210"/>
      <c r="K109" s="210"/>
      <c r="L109" s="210" t="s">
        <v>579</v>
      </c>
      <c r="M109" s="210"/>
      <c r="N109" s="210" t="s">
        <v>624</v>
      </c>
      <c r="O109" s="31"/>
      <c r="P109" s="234"/>
      <c r="Q109" s="31"/>
      <c r="R109" s="210" t="s">
        <v>241</v>
      </c>
      <c r="S109" s="210"/>
      <c r="T109" s="210" t="s">
        <v>242</v>
      </c>
      <c r="U109" s="31"/>
      <c r="V109" s="210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3"/>
      <c r="F110" s="31">
        <f>VLOOKUP(E113,[18]TS!$B$10:$D$253,3,0)</f>
        <v>390</v>
      </c>
      <c r="G110" s="213"/>
      <c r="H110" s="31">
        <f>VLOOKUP(G113,[18]TS!$B$10:$D$253,3,0)</f>
        <v>290</v>
      </c>
      <c r="I110" s="31"/>
      <c r="J110" s="31">
        <f>VLOOKUP(I113,[18]TS!$B$10:$D$253,3,0)</f>
        <v>345</v>
      </c>
      <c r="K110" s="213"/>
      <c r="L110" s="31">
        <f>VLOOKUP(K113,[18]TS!$B$10:$D$253,3,0)</f>
        <v>423</v>
      </c>
      <c r="M110" s="213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3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651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9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7"/>
      <c r="D112" s="31"/>
      <c r="E112" s="267"/>
      <c r="F112" s="31"/>
      <c r="G112" s="419"/>
      <c r="H112" s="31"/>
      <c r="I112" s="438"/>
      <c r="J112" s="31"/>
      <c r="K112" s="120"/>
      <c r="L112" s="31"/>
      <c r="M112" s="419"/>
      <c r="N112" s="31"/>
      <c r="O112" s="419"/>
      <c r="P112" s="31"/>
      <c r="Q112" s="419"/>
      <c r="R112" s="31"/>
      <c r="S112" s="419"/>
      <c r="T112" s="31"/>
      <c r="U112" s="442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5" t="s">
        <v>45</v>
      </c>
      <c r="D113" s="215"/>
      <c r="E113" s="215" t="s">
        <v>46</v>
      </c>
      <c r="F113" s="215"/>
      <c r="G113" s="215" t="s">
        <v>173</v>
      </c>
      <c r="H113" s="215"/>
      <c r="I113" s="215" t="s">
        <v>174</v>
      </c>
      <c r="J113" s="215"/>
      <c r="K113" s="215" t="s">
        <v>175</v>
      </c>
      <c r="L113" s="215"/>
      <c r="M113" s="215" t="s">
        <v>176</v>
      </c>
      <c r="N113" s="215"/>
      <c r="O113" s="215" t="s">
        <v>47</v>
      </c>
      <c r="P113" s="215"/>
      <c r="Q113" s="215" t="s">
        <v>177</v>
      </c>
      <c r="R113" s="215"/>
      <c r="S113" s="215" t="s">
        <v>178</v>
      </c>
      <c r="T113" s="215"/>
      <c r="U113" s="215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7" t="str">
        <f>VLOOKUP(C113,[18]TS!$B$10:$D$253,2,0)</f>
        <v>1DC2+6</v>
      </c>
      <c r="D114" s="31"/>
      <c r="E114" s="237" t="str">
        <f>VLOOKUP(E113,[18]TS!$B$10:$D$253,2,0)</f>
        <v>1DC1+6</v>
      </c>
      <c r="F114" s="240"/>
      <c r="G114" s="237" t="str">
        <f>VLOOKUP(G113,[18]TS!$B$10:$D$253,2,0)</f>
        <v>1DA-3</v>
      </c>
      <c r="H114" s="31"/>
      <c r="I114" s="237" t="str">
        <f>VLOOKUP(I113,[18]TS!$B$10:$D$253,2,0)</f>
        <v>1DA-3</v>
      </c>
      <c r="J114" s="31"/>
      <c r="K114" s="237" t="str">
        <f>VLOOKUP(K113,[18]TS!$B$10:$D$253,2,0)</f>
        <v>1DA+3</v>
      </c>
      <c r="L114" s="31"/>
      <c r="M114" s="237" t="str">
        <f>VLOOKUP(M113,[18]TS!$B$10:$D$253,2,0)</f>
        <v>1DA+0</v>
      </c>
      <c r="N114" s="31"/>
      <c r="O114" s="237" t="str">
        <f>VLOOKUP(O113,[18]TS!$B$10:$D$253,2,0)</f>
        <v>1DB2+0</v>
      </c>
      <c r="P114" s="31"/>
      <c r="Q114" s="237" t="str">
        <f>VLOOKUP(Q113,[18]TS!$B$10:$D$253,2,0)</f>
        <v>1DA+3</v>
      </c>
      <c r="R114" s="31"/>
      <c r="S114" s="237" t="str">
        <f>VLOOKUP(S113,[18]TS!$B$10:$D$253,2,0)</f>
        <v>1DA+0</v>
      </c>
      <c r="T114" s="31"/>
      <c r="U114" s="237" t="str">
        <f>VLOOKUP(U113,[18]TS!$B$10:$D$253,2,0)</f>
        <v>1DA+3</v>
      </c>
      <c r="V114" s="31"/>
      <c r="W114" s="14"/>
      <c r="Y114" s="9">
        <f>X111-Y111-Y112-Y113</f>
        <v>1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907">
        <f>D110/1000</f>
        <v>0.25861600000000001</v>
      </c>
      <c r="D115" s="907"/>
      <c r="E115" s="907"/>
      <c r="F115" s="907">
        <f>SUM(F110+H110+J110+L110+N110)/1000</f>
        <v>1.8366929999999999</v>
      </c>
      <c r="G115" s="907"/>
      <c r="H115" s="907"/>
      <c r="I115" s="907"/>
      <c r="J115" s="907"/>
      <c r="K115" s="907"/>
      <c r="L115" s="907"/>
      <c r="M115" s="907"/>
      <c r="N115" s="907"/>
      <c r="O115" s="907"/>
      <c r="P115" s="907"/>
      <c r="Q115" s="907"/>
      <c r="R115" s="907"/>
      <c r="S115" s="907"/>
      <c r="T115" s="907"/>
      <c r="U115" s="907"/>
      <c r="V115" s="907"/>
      <c r="W115" s="14"/>
    </row>
    <row r="116" spans="1:29" s="99" customFormat="1" ht="16.5" customHeight="1">
      <c r="A116" s="102"/>
      <c r="B116" s="100"/>
      <c r="C116" s="230"/>
      <c r="D116" s="230"/>
      <c r="E116" s="230"/>
      <c r="F116" s="230"/>
      <c r="G116" s="230"/>
      <c r="H116" s="217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U116" s="217" t="s">
        <v>221</v>
      </c>
      <c r="V116" s="230"/>
      <c r="W116" s="111"/>
    </row>
    <row r="117" spans="1:29" ht="21" customHeight="1">
      <c r="A117" s="11"/>
      <c r="B117" s="61"/>
      <c r="C117" s="206" t="s">
        <v>353</v>
      </c>
      <c r="D117" s="232"/>
      <c r="E117" s="206" t="s">
        <v>354</v>
      </c>
      <c r="F117" s="31"/>
      <c r="G117" s="206" t="s">
        <v>355</v>
      </c>
      <c r="H117" s="31"/>
      <c r="I117" s="206" t="s">
        <v>356</v>
      </c>
      <c r="J117" s="31"/>
      <c r="K117" s="206" t="s">
        <v>357</v>
      </c>
      <c r="L117" s="31"/>
      <c r="M117" s="206" t="s">
        <v>359</v>
      </c>
      <c r="N117" s="232"/>
      <c r="O117" s="206" t="s">
        <v>358</v>
      </c>
      <c r="P117" s="416" t="s">
        <v>247</v>
      </c>
      <c r="Q117" s="206" t="s">
        <v>360</v>
      </c>
      <c r="R117" s="31"/>
      <c r="S117" s="206" t="s">
        <v>361</v>
      </c>
      <c r="T117" s="31"/>
      <c r="U117" s="206" t="s">
        <v>362</v>
      </c>
      <c r="V117" s="250"/>
      <c r="W117" s="14"/>
    </row>
    <row r="118" spans="1:29">
      <c r="A118" s="11"/>
      <c r="B118" s="61"/>
      <c r="C118" s="31"/>
      <c r="D118" s="210" t="s">
        <v>242</v>
      </c>
      <c r="E118" s="31"/>
      <c r="F118" s="234"/>
      <c r="G118" s="31"/>
      <c r="H118" s="31"/>
      <c r="I118" s="31"/>
      <c r="J118" s="210" t="s">
        <v>240</v>
      </c>
      <c r="K118" s="31"/>
      <c r="L118" s="210" t="s">
        <v>241</v>
      </c>
      <c r="M118" s="31"/>
      <c r="N118" s="234"/>
      <c r="O118" s="31"/>
      <c r="P118" s="210" t="s">
        <v>622</v>
      </c>
      <c r="Q118" s="31"/>
      <c r="R118" s="210" t="s">
        <v>578</v>
      </c>
      <c r="S118" s="31"/>
      <c r="T118" s="210" t="s">
        <v>241</v>
      </c>
      <c r="U118" s="31"/>
      <c r="V118" s="210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6" t="s">
        <v>239</v>
      </c>
      <c r="D120" s="31"/>
      <c r="E120" s="266" t="s">
        <v>239</v>
      </c>
      <c r="F120" s="31"/>
      <c r="G120" s="266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266" t="s">
        <v>239</v>
      </c>
      <c r="R120" s="31"/>
      <c r="S120" s="163" t="s">
        <v>653</v>
      </c>
      <c r="T120" s="31"/>
      <c r="U120" s="163" t="s">
        <v>653</v>
      </c>
      <c r="V120" s="31"/>
      <c r="W120" s="14"/>
      <c r="X120" s="9">
        <v>10</v>
      </c>
      <c r="Y120" s="9">
        <v>10</v>
      </c>
      <c r="Z120" s="9">
        <v>7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36"/>
      <c r="D121" s="31"/>
      <c r="E121" s="419"/>
      <c r="F121" s="31"/>
      <c r="G121" s="419"/>
      <c r="H121" s="31"/>
      <c r="I121" s="447"/>
      <c r="J121" s="31"/>
      <c r="K121" s="419"/>
      <c r="L121" s="31"/>
      <c r="M121" s="419"/>
      <c r="N121" s="31"/>
      <c r="O121" s="419"/>
      <c r="P121" s="31"/>
      <c r="Q121" s="438"/>
      <c r="R121" s="31"/>
      <c r="S121" s="419"/>
      <c r="T121" s="31"/>
      <c r="U121" s="436"/>
      <c r="V121" s="31"/>
      <c r="W121" s="14"/>
      <c r="X121" s="9">
        <v>0</v>
      </c>
      <c r="Y121" s="9">
        <f>COUNTIF($B$121:$U$121,"WIP")</f>
        <v>0</v>
      </c>
      <c r="Z121" s="9">
        <v>1</v>
      </c>
      <c r="AA121" s="9">
        <v>0</v>
      </c>
      <c r="AC121" s="9" t="s">
        <v>56</v>
      </c>
    </row>
    <row r="122" spans="1:29" ht="16.5" customHeight="1">
      <c r="A122" s="11"/>
      <c r="B122" s="61"/>
      <c r="C122" s="215" t="s">
        <v>180</v>
      </c>
      <c r="D122" s="215"/>
      <c r="E122" s="215" t="s">
        <v>181</v>
      </c>
      <c r="F122" s="215"/>
      <c r="G122" s="215" t="s">
        <v>182</v>
      </c>
      <c r="H122" s="215"/>
      <c r="I122" s="215" t="s">
        <v>48</v>
      </c>
      <c r="J122" s="215"/>
      <c r="K122" s="215" t="s">
        <v>183</v>
      </c>
      <c r="L122" s="215"/>
      <c r="M122" s="215" t="s">
        <v>184</v>
      </c>
      <c r="N122" s="215"/>
      <c r="O122" s="215" t="s">
        <v>185</v>
      </c>
      <c r="P122" s="215"/>
      <c r="Q122" s="215" t="s">
        <v>54</v>
      </c>
      <c r="R122" s="215"/>
      <c r="S122" s="215" t="s">
        <v>186</v>
      </c>
      <c r="T122" s="215"/>
      <c r="U122" s="215" t="s">
        <v>187</v>
      </c>
      <c r="V122" s="31"/>
      <c r="W122" s="14"/>
      <c r="X122" s="9">
        <v>0</v>
      </c>
      <c r="Y122" s="9">
        <f>COUNTIF($B$121:$U$121,"ROW")</f>
        <v>0</v>
      </c>
      <c r="Z122" s="9">
        <v>1</v>
      </c>
      <c r="AA122" s="9">
        <v>0</v>
      </c>
      <c r="AC122" s="9" t="s">
        <v>61</v>
      </c>
    </row>
    <row r="123" spans="1:29" ht="16.5" customHeight="1">
      <c r="A123" s="11"/>
      <c r="B123" s="61"/>
      <c r="C123" s="237" t="str">
        <f>VLOOKUP(C122,[18]TS!$B$10:$D$253,2,0)</f>
        <v>1DA+3</v>
      </c>
      <c r="D123" s="240"/>
      <c r="E123" s="237" t="str">
        <f>VLOOKUP(E122,[18]TS!$B$10:$D$253,2,0)</f>
        <v>1DA+0</v>
      </c>
      <c r="F123" s="240"/>
      <c r="G123" s="237" t="str">
        <f>VLOOKUP(G122,[18]TS!$B$10:$D$253,2,0)</f>
        <v>1DA-3</v>
      </c>
      <c r="H123" s="240"/>
      <c r="I123" s="237" t="str">
        <f>VLOOKUP(I122,[18]TS!$B$10:$D$253,2,0)</f>
        <v>1DB1+0</v>
      </c>
      <c r="J123" s="31"/>
      <c r="K123" s="237" t="str">
        <f>VLOOKUP(K122,[18]TS!$B$10:$D$253,2,0)</f>
        <v>1DA+6</v>
      </c>
      <c r="L123" s="240"/>
      <c r="M123" s="237" t="str">
        <f>VLOOKUP(M122,[18]TS!$B$10:$D$253,2,0)</f>
        <v>1DA-3</v>
      </c>
      <c r="N123" s="31"/>
      <c r="O123" s="237" t="str">
        <f>VLOOKUP(O122,[18]TS!$B$10:$D$253,2,0)</f>
        <v>1DB1+6</v>
      </c>
      <c r="P123" s="31"/>
      <c r="Q123" s="237" t="str">
        <f>VLOOKUP(Q122,[18]TS!$B$10:$D$253,2,0)</f>
        <v>1DC1+6</v>
      </c>
      <c r="R123" s="31"/>
      <c r="S123" s="237" t="str">
        <f>VLOOKUP(S122,[18]TS!$B$10:$D$253,2,0)</f>
        <v>1DA-1.5</v>
      </c>
      <c r="T123" s="240"/>
      <c r="U123" s="237" t="str">
        <f>VLOOKUP(U122,[18]TS!$B$10:$D$253,2,0)</f>
        <v>1DA+0</v>
      </c>
      <c r="V123" s="240"/>
      <c r="W123" s="14"/>
      <c r="Y123" s="9">
        <f>X120-Y120-Y121-Y122</f>
        <v>0</v>
      </c>
      <c r="Z123" s="9">
        <f>X120-Z120-Z121-Z122</f>
        <v>1</v>
      </c>
      <c r="AA123" s="9">
        <f>Z120-AA121-AA122-AA120</f>
        <v>7</v>
      </c>
      <c r="AC123" s="9" t="s">
        <v>95</v>
      </c>
    </row>
    <row r="124" spans="1:29" ht="16.5" customHeight="1">
      <c r="A124" s="11"/>
      <c r="B124" s="61"/>
      <c r="C124" s="907">
        <f>SUM(P110+D119+R110+T110+V110+F119+H119)/1000</f>
        <v>2.7044899999999998</v>
      </c>
      <c r="D124" s="907"/>
      <c r="E124" s="907"/>
      <c r="F124" s="907"/>
      <c r="G124" s="907"/>
      <c r="H124" s="907"/>
      <c r="I124" s="907"/>
      <c r="J124" s="907">
        <f>(J119+L119+N119+P119)/1000</f>
        <v>1.5064919999999999</v>
      </c>
      <c r="K124" s="907"/>
      <c r="L124" s="907"/>
      <c r="M124" s="907"/>
      <c r="N124" s="907"/>
      <c r="O124" s="907"/>
      <c r="P124" s="907"/>
      <c r="Q124" s="907"/>
      <c r="R124" s="907"/>
      <c r="S124" s="907"/>
      <c r="T124" s="907"/>
      <c r="U124" s="907"/>
      <c r="V124" s="907"/>
      <c r="W124" s="14"/>
    </row>
    <row r="125" spans="1:29" s="99" customFormat="1" ht="13.95" customHeight="1">
      <c r="A125" s="102"/>
      <c r="B125" s="100"/>
      <c r="C125" s="217"/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906" t="s">
        <v>222</v>
      </c>
      <c r="O125" s="906"/>
      <c r="P125" s="230"/>
      <c r="Q125" s="230"/>
      <c r="R125" s="230"/>
      <c r="S125" s="906"/>
      <c r="T125" s="906"/>
      <c r="U125" s="230"/>
      <c r="V125" s="230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6" t="s">
        <v>363</v>
      </c>
      <c r="D127" s="31"/>
      <c r="E127" s="206" t="s">
        <v>364</v>
      </c>
      <c r="F127" s="31"/>
      <c r="G127" s="206" t="s">
        <v>365</v>
      </c>
      <c r="H127" s="232"/>
      <c r="I127" s="206" t="s">
        <v>366</v>
      </c>
      <c r="J127" s="251"/>
      <c r="K127" s="206" t="s">
        <v>367</v>
      </c>
      <c r="L127" s="31"/>
      <c r="M127" s="206" t="s">
        <v>368</v>
      </c>
      <c r="N127" s="31"/>
      <c r="O127" s="206" t="s">
        <v>570</v>
      </c>
      <c r="P127" s="31"/>
      <c r="Q127" s="206" t="s">
        <v>571</v>
      </c>
      <c r="S127" s="206" t="s">
        <v>572</v>
      </c>
      <c r="U127" s="206" t="s">
        <v>573</v>
      </c>
      <c r="W127" s="14"/>
    </row>
    <row r="128" spans="1:29" ht="22.95" customHeight="1">
      <c r="A128" s="11"/>
      <c r="B128" s="61"/>
      <c r="C128" s="31"/>
      <c r="D128" s="210" t="s">
        <v>576</v>
      </c>
      <c r="E128" s="31"/>
      <c r="F128" s="362" t="s">
        <v>577</v>
      </c>
      <c r="G128" s="210"/>
      <c r="H128" s="210" t="s">
        <v>578</v>
      </c>
      <c r="I128" s="210"/>
      <c r="J128" s="210" t="s">
        <v>242</v>
      </c>
      <c r="K128" s="31"/>
      <c r="L128" s="210" t="s">
        <v>241</v>
      </c>
      <c r="M128" s="31"/>
      <c r="N128" s="210" t="s">
        <v>241</v>
      </c>
      <c r="O128" s="31"/>
      <c r="P128" s="31"/>
      <c r="Q128" s="31"/>
      <c r="S128" s="31"/>
      <c r="T128" s="210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3"/>
      <c r="J129" s="31">
        <f>VLOOKUP(I132,[18]TS!$B$10:$D$253,3,0)</f>
        <v>320.79599999999999</v>
      </c>
      <c r="K129" s="213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266" t="s">
        <v>809</v>
      </c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266" t="s">
        <v>239</v>
      </c>
      <c r="S130" s="163" t="s">
        <v>239</v>
      </c>
      <c r="U130" s="163" t="s">
        <v>239</v>
      </c>
      <c r="W130" s="14"/>
      <c r="X130" s="9">
        <v>10</v>
      </c>
      <c r="Y130" s="9">
        <v>10</v>
      </c>
      <c r="Z130" s="9">
        <v>9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2"/>
      <c r="D131" s="31"/>
      <c r="E131" s="192"/>
      <c r="F131" s="31"/>
      <c r="G131" s="269"/>
      <c r="H131" s="31"/>
      <c r="I131" s="419"/>
      <c r="J131" s="31"/>
      <c r="K131" s="269"/>
      <c r="L131" s="31"/>
      <c r="M131" s="419"/>
      <c r="N131" s="31"/>
      <c r="O131" s="419"/>
      <c r="P131" s="31"/>
      <c r="Q131" s="419"/>
      <c r="S131" s="419"/>
      <c r="U131" s="442"/>
      <c r="W131" s="14"/>
      <c r="X131" s="9">
        <v>0</v>
      </c>
      <c r="Y131" s="9">
        <f>COUNTIF($B$131:$U$131,"WIP")</f>
        <v>0</v>
      </c>
      <c r="Z131" s="9">
        <v>0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5" t="s">
        <v>188</v>
      </c>
      <c r="D132" s="215"/>
      <c r="E132" s="215" t="s">
        <v>190</v>
      </c>
      <c r="F132" s="215"/>
      <c r="G132" s="215" t="s">
        <v>192</v>
      </c>
      <c r="H132" s="215"/>
      <c r="I132" s="361" t="s">
        <v>556</v>
      </c>
      <c r="J132" s="215"/>
      <c r="K132" s="215" t="s">
        <v>193</v>
      </c>
      <c r="L132" s="215"/>
      <c r="M132" s="361" t="s">
        <v>558</v>
      </c>
      <c r="N132" s="215"/>
      <c r="O132" s="361" t="s">
        <v>559</v>
      </c>
      <c r="P132" s="215"/>
      <c r="Q132" s="361" t="s">
        <v>560</v>
      </c>
      <c r="S132" s="361" t="s">
        <v>561</v>
      </c>
      <c r="U132" s="215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1</v>
      </c>
      <c r="AA132" s="9">
        <v>0</v>
      </c>
      <c r="AC132" s="9" t="s">
        <v>61</v>
      </c>
    </row>
    <row r="133" spans="1:29" ht="17.25" customHeight="1">
      <c r="A133" s="11"/>
      <c r="B133" s="61"/>
      <c r="C133" s="237" t="str">
        <f>VLOOKUP(C132,[18]TS!$B$10:$D$253,2,0)</f>
        <v>1DA-3</v>
      </c>
      <c r="D133" s="31"/>
      <c r="E133" s="237" t="str">
        <f>VLOOKUP(E132,[18]TS!$B$10:$D$253,2,0)</f>
        <v>1DD60+6</v>
      </c>
      <c r="F133" s="31"/>
      <c r="G133" s="237" t="str">
        <f>VLOOKUP(G132,[18]TS!$B$10:$D$253,2,0)</f>
        <v>1DD60+6</v>
      </c>
      <c r="H133" s="31"/>
      <c r="I133" s="237" t="str">
        <f>VLOOKUP(I132,[18]TS!$B$10:$D$253,2,0)</f>
        <v>1DA-3</v>
      </c>
      <c r="J133" s="31"/>
      <c r="K133" s="237" t="str">
        <f>VLOOKUP(K132,[18]TS!$B$10:$D$253,2,0)</f>
        <v>1DC2+0</v>
      </c>
      <c r="L133" s="31"/>
      <c r="M133" s="237" t="str">
        <f>VLOOKUP(M132,[18]TS!$B$10:$D$253,2,0)</f>
        <v>1DA+6</v>
      </c>
      <c r="N133" s="31"/>
      <c r="O133" s="237" t="str">
        <f>VLOOKUP(O132,[18]TS!$B$10:$D$253,2,0)</f>
        <v>1DA+0</v>
      </c>
      <c r="P133" s="31"/>
      <c r="Q133" s="237" t="str">
        <f>VLOOKUP(Q132,[18]TS!$B$10:$D$263,2,0)</f>
        <v>1DA+0</v>
      </c>
      <c r="R133" s="31"/>
      <c r="S133" s="237" t="str">
        <f>VLOOKUP(S132,[18]TS!$B$10:$D$263,2,0)</f>
        <v>1DA+0</v>
      </c>
      <c r="T133" s="31"/>
      <c r="U133" s="237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0</v>
      </c>
      <c r="AA133" s="9">
        <f>Z130-AA131-AA132-AA130</f>
        <v>9</v>
      </c>
      <c r="AC133" s="9" t="s">
        <v>95</v>
      </c>
    </row>
    <row r="134" spans="1:29" ht="17.25" customHeight="1">
      <c r="A134" s="11"/>
      <c r="B134" s="61"/>
      <c r="C134" s="940">
        <f>(R119+T119+V119+D129)/1000</f>
        <v>1.5358099999999999</v>
      </c>
      <c r="D134" s="941"/>
      <c r="E134" s="940">
        <f>F129/1000</f>
        <v>0.203902</v>
      </c>
      <c r="F134" s="942"/>
      <c r="G134" s="941"/>
      <c r="H134" s="907">
        <f>(H129+J129)/1000</f>
        <v>0.70279600000000009</v>
      </c>
      <c r="I134" s="907"/>
      <c r="J134" s="907"/>
      <c r="K134" s="907"/>
      <c r="L134" s="940">
        <f>(L129+N129+P129+R129+T129)/1000</f>
        <v>1.941201</v>
      </c>
      <c r="M134" s="942"/>
      <c r="N134" s="942"/>
      <c r="O134" s="942"/>
      <c r="P134" s="942"/>
      <c r="Q134" s="942"/>
      <c r="R134" s="942"/>
      <c r="S134" s="942"/>
      <c r="T134" s="942"/>
      <c r="U134" s="941"/>
      <c r="V134" s="940">
        <f>V129/1000</f>
        <v>0.35808600000000002</v>
      </c>
      <c r="W134" s="941"/>
    </row>
    <row r="135" spans="1:29" s="99" customFormat="1" ht="17.25" customHeight="1" thickBot="1">
      <c r="A135" s="132"/>
      <c r="B135" s="113"/>
      <c r="C135" s="918" t="s">
        <v>223</v>
      </c>
      <c r="D135" s="918"/>
      <c r="E135" s="918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7"/>
      <c r="D136" s="217"/>
      <c r="E136" s="217"/>
      <c r="F136" s="230"/>
      <c r="G136" s="230"/>
      <c r="K136" s="230"/>
      <c r="L136" s="230"/>
      <c r="M136" s="230"/>
      <c r="N136" s="230"/>
      <c r="O136" s="230"/>
      <c r="P136" s="217"/>
      <c r="Q136" s="230"/>
      <c r="R136" s="230"/>
      <c r="S136" s="230"/>
      <c r="T136" s="230"/>
      <c r="U136" s="230"/>
      <c r="V136" s="230"/>
      <c r="W136" s="111"/>
      <c r="AA136" s="8"/>
    </row>
    <row r="137" spans="1:29" s="99" customFormat="1" ht="17.25" customHeight="1">
      <c r="B137" s="100"/>
      <c r="C137" s="206" t="s">
        <v>574</v>
      </c>
      <c r="D137" s="31"/>
      <c r="E137" s="206" t="s">
        <v>575</v>
      </c>
      <c r="F137" s="230"/>
      <c r="G137" s="230"/>
      <c r="K137" s="230"/>
      <c r="L137" s="230"/>
      <c r="M137" s="230"/>
      <c r="N137" s="230"/>
      <c r="O137" s="230"/>
      <c r="P137" s="217"/>
      <c r="Q137" s="230"/>
      <c r="R137" s="230"/>
      <c r="S137" s="230"/>
      <c r="T137" s="230"/>
      <c r="U137" s="230"/>
      <c r="V137" s="230"/>
      <c r="W137" s="111"/>
      <c r="AA137" s="8"/>
    </row>
    <row r="138" spans="1:29" s="99" customFormat="1" ht="17.25" customHeight="1">
      <c r="B138" s="100"/>
      <c r="C138" s="31"/>
      <c r="D138" s="234"/>
      <c r="E138" s="31"/>
      <c r="F138" s="230"/>
      <c r="G138" s="230"/>
      <c r="K138" s="230"/>
      <c r="L138" s="230"/>
      <c r="M138" s="230"/>
      <c r="N138" s="230"/>
      <c r="O138" s="230"/>
      <c r="P138" s="217"/>
      <c r="Q138" s="230"/>
      <c r="R138" s="230"/>
      <c r="S138" s="230"/>
      <c r="T138" s="230"/>
      <c r="U138" s="230"/>
      <c r="V138" s="230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0"/>
      <c r="K139" s="230"/>
      <c r="L139" s="230"/>
      <c r="M139" s="230"/>
      <c r="N139" s="230"/>
      <c r="O139" s="230"/>
      <c r="P139" s="217"/>
      <c r="Q139" s="230"/>
      <c r="R139" s="230"/>
      <c r="S139" s="230"/>
      <c r="T139" s="230"/>
      <c r="U139" s="230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63" t="s">
        <v>239</v>
      </c>
      <c r="F140" s="230"/>
      <c r="G140" s="230"/>
      <c r="K140" s="230"/>
      <c r="L140" s="230"/>
      <c r="M140" s="230"/>
      <c r="N140" s="230"/>
      <c r="O140" s="230"/>
      <c r="P140" s="217"/>
      <c r="Q140" s="230"/>
      <c r="R140" s="230"/>
      <c r="S140" s="230"/>
      <c r="T140" s="230"/>
      <c r="U140" s="230"/>
      <c r="V140" s="230"/>
      <c r="W140" s="111"/>
      <c r="X140" s="9">
        <v>2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2"/>
      <c r="D141" s="31"/>
      <c r="E141" s="72"/>
      <c r="F141" s="230"/>
      <c r="G141" s="230"/>
      <c r="K141" s="230"/>
      <c r="L141" s="230"/>
      <c r="M141" s="230"/>
      <c r="N141" s="230"/>
      <c r="O141" s="230"/>
      <c r="P141" s="217"/>
      <c r="Q141" s="230"/>
      <c r="R141" s="230"/>
      <c r="S141" s="230"/>
      <c r="T141" s="230"/>
      <c r="U141" s="230"/>
      <c r="V141" s="230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5" t="s">
        <v>568</v>
      </c>
      <c r="D142" s="215"/>
      <c r="E142" s="215" t="s">
        <v>569</v>
      </c>
      <c r="F142" s="230"/>
      <c r="G142" s="215" t="s">
        <v>89</v>
      </c>
      <c r="K142" s="230"/>
      <c r="L142" s="230"/>
      <c r="M142" s="230"/>
      <c r="N142" s="230"/>
      <c r="O142" s="230"/>
      <c r="P142" s="217"/>
      <c r="Q142" s="230"/>
      <c r="R142" s="230"/>
      <c r="S142" s="230"/>
      <c r="T142" s="230"/>
      <c r="U142" s="230"/>
      <c r="V142" s="230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7" t="str">
        <f>VLOOKUP(C142,[18]TS!$B$10:$D$263,2,0)</f>
        <v>1DD60+0</v>
      </c>
      <c r="D143" s="31"/>
      <c r="E143" s="237" t="str">
        <f>VLOOKUP(E142,[18]TS!$B$10:$D$263,2,0)</f>
        <v>1DD60+0</v>
      </c>
      <c r="F143" s="230"/>
      <c r="G143" s="230"/>
      <c r="K143" s="230"/>
      <c r="L143" s="230"/>
      <c r="M143" s="230"/>
      <c r="N143" s="230"/>
      <c r="O143" s="230"/>
      <c r="P143" s="217"/>
      <c r="Q143" s="230"/>
      <c r="R143" s="230"/>
      <c r="S143" s="230"/>
      <c r="T143" s="230"/>
      <c r="U143" s="230"/>
      <c r="V143" s="230"/>
      <c r="W143" s="111"/>
      <c r="X143" s="9"/>
      <c r="Y143" s="9">
        <f>COUNTIF($B$141:$U$141,"ET")</f>
        <v>0</v>
      </c>
      <c r="Z143" s="9">
        <f>X140-Z140-Z141-Z142</f>
        <v>1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913" t="s">
        <v>625</v>
      </c>
      <c r="D144" s="914"/>
      <c r="E144" s="914"/>
      <c r="F144" s="914"/>
      <c r="G144" s="914"/>
      <c r="K144" s="230"/>
      <c r="L144" s="230"/>
      <c r="M144" s="230"/>
      <c r="N144" s="230"/>
      <c r="O144" s="230"/>
      <c r="P144" s="217"/>
      <c r="Q144" s="230"/>
      <c r="R144" s="230"/>
      <c r="S144" s="230"/>
      <c r="T144" s="230"/>
      <c r="U144" s="230"/>
      <c r="V144" s="230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7"/>
      <c r="D145" s="31"/>
      <c r="E145" s="237"/>
      <c r="F145" s="230"/>
      <c r="G145" s="230"/>
      <c r="K145" s="230"/>
      <c r="L145" s="230"/>
      <c r="M145" s="230"/>
      <c r="N145" s="230"/>
      <c r="O145" s="230"/>
      <c r="P145" s="217"/>
      <c r="Q145" s="230"/>
      <c r="R145" s="230"/>
      <c r="S145" s="230"/>
      <c r="T145" s="230"/>
      <c r="U145" s="230"/>
      <c r="V145" s="230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7"/>
      <c r="D146" s="31"/>
      <c r="E146" s="237"/>
      <c r="F146" s="230"/>
      <c r="G146" s="230"/>
      <c r="K146" s="230"/>
      <c r="L146" s="230"/>
      <c r="M146" s="230"/>
      <c r="N146" s="230"/>
      <c r="O146" s="230"/>
      <c r="P146" s="217"/>
      <c r="Q146" s="230"/>
      <c r="R146" s="230"/>
      <c r="S146" s="230"/>
      <c r="T146" s="230"/>
      <c r="U146" s="230"/>
      <c r="V146" s="230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62</v>
      </c>
      <c r="Y147" s="52">
        <f t="shared" si="3"/>
        <v>60</v>
      </c>
      <c r="Z147" s="52">
        <f t="shared" si="3"/>
        <v>52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0</v>
      </c>
      <c r="Y148" s="52">
        <f t="shared" si="3"/>
        <v>0</v>
      </c>
      <c r="Z148" s="52">
        <f t="shared" si="3"/>
        <v>1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703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2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1</v>
      </c>
      <c r="Z150" s="52">
        <f t="shared" si="3"/>
        <v>7</v>
      </c>
      <c r="AA150" s="52">
        <f t="shared" si="3"/>
        <v>52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126</v>
      </c>
      <c r="Y152" s="53">
        <f t="shared" si="4"/>
        <v>124</v>
      </c>
      <c r="Z152" s="53">
        <f t="shared" si="4"/>
        <v>115</v>
      </c>
      <c r="AA152" s="53">
        <f t="shared" si="4"/>
        <v>0</v>
      </c>
      <c r="AB152" s="53">
        <f t="shared" si="4"/>
        <v>12948.920999999998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0</v>
      </c>
      <c r="Y153" s="53">
        <f t="shared" si="4"/>
        <v>0</v>
      </c>
      <c r="Z153" s="53">
        <f t="shared" si="4"/>
        <v>1</v>
      </c>
      <c r="AA153" s="53">
        <f t="shared" si="4"/>
        <v>0</v>
      </c>
      <c r="AB153" s="53">
        <f t="shared" si="4"/>
        <v>2537.424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2</v>
      </c>
      <c r="AA154" s="53">
        <f t="shared" si="4"/>
        <v>0</v>
      </c>
      <c r="AB154" s="53">
        <f t="shared" si="4"/>
        <v>0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1</v>
      </c>
      <c r="Z155" s="53">
        <f t="shared" si="4"/>
        <v>8</v>
      </c>
      <c r="AA155" s="53">
        <f t="shared" si="4"/>
        <v>115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909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909"/>
      <c r="E159" s="137"/>
      <c r="F159" s="138" t="s">
        <v>78</v>
      </c>
      <c r="G159" s="135" t="s">
        <v>60</v>
      </c>
      <c r="H159" s="138"/>
      <c r="I159" s="87"/>
      <c r="J159" s="900" t="s">
        <v>208</v>
      </c>
      <c r="K159" s="901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18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883" t="s">
        <v>114</v>
      </c>
      <c r="C167" s="884"/>
      <c r="D167" s="884"/>
      <c r="E167" s="884"/>
      <c r="F167" s="884"/>
      <c r="G167" s="884"/>
      <c r="H167" s="884"/>
      <c r="I167" s="884"/>
      <c r="J167" s="884"/>
      <c r="K167" s="884"/>
      <c r="L167" s="884"/>
      <c r="M167" s="884"/>
      <c r="N167" s="884"/>
      <c r="O167" s="884"/>
      <c r="P167" s="884"/>
      <c r="Q167" s="884"/>
      <c r="R167" s="884"/>
      <c r="S167" s="884"/>
      <c r="T167" s="884"/>
      <c r="U167" s="884"/>
      <c r="V167" s="884"/>
      <c r="W167" s="885"/>
    </row>
    <row r="168" spans="2:23" ht="17.55" customHeight="1">
      <c r="B168" s="895" t="s">
        <v>99</v>
      </c>
      <c r="C168" s="886" t="s">
        <v>100</v>
      </c>
      <c r="D168" s="898" t="s">
        <v>97</v>
      </c>
      <c r="E168" s="898" t="s">
        <v>111</v>
      </c>
      <c r="F168" s="886" t="s">
        <v>101</v>
      </c>
      <c r="G168" s="886"/>
      <c r="H168" s="886"/>
      <c r="I168" s="886"/>
      <c r="J168" s="886"/>
      <c r="K168" s="886" t="s">
        <v>102</v>
      </c>
      <c r="L168" s="886"/>
      <c r="M168" s="886"/>
      <c r="N168" s="886" t="s">
        <v>103</v>
      </c>
      <c r="O168" s="886"/>
      <c r="P168" s="886"/>
      <c r="Q168" s="886"/>
      <c r="R168" s="886"/>
      <c r="S168" s="886" t="s">
        <v>104</v>
      </c>
      <c r="T168" s="886"/>
      <c r="U168" s="886"/>
      <c r="V168" s="886"/>
      <c r="W168" s="887"/>
    </row>
    <row r="169" spans="2:23" ht="21.75" customHeight="1">
      <c r="B169" s="896"/>
      <c r="C169" s="897"/>
      <c r="D169" s="899"/>
      <c r="E169" s="899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893" t="s">
        <v>225</v>
      </c>
      <c r="C170" s="125" t="s">
        <v>196</v>
      </c>
      <c r="D170" s="254">
        <v>15</v>
      </c>
      <c r="E170" s="440">
        <f>(W17+W26)/1000</f>
        <v>5.5670590000000004</v>
      </c>
      <c r="F170" s="274">
        <f>X33</f>
        <v>15</v>
      </c>
      <c r="G170" s="258">
        <f>X34</f>
        <v>0</v>
      </c>
      <c r="H170" s="258">
        <f>X35</f>
        <v>0</v>
      </c>
      <c r="I170" s="258">
        <f>X36</f>
        <v>0</v>
      </c>
      <c r="J170" s="254">
        <f>D170-F170</f>
        <v>0</v>
      </c>
      <c r="K170" s="254">
        <f>Y33</f>
        <v>15</v>
      </c>
      <c r="L170" s="258">
        <f>Y35</f>
        <v>0</v>
      </c>
      <c r="M170" s="271">
        <f t="shared" ref="M170:M173" si="5">D170-K170-L170</f>
        <v>0</v>
      </c>
      <c r="N170" s="254">
        <f>Z33</f>
        <v>15</v>
      </c>
      <c r="O170" s="258">
        <f>Z34</f>
        <v>0</v>
      </c>
      <c r="P170" s="258">
        <f>Z35</f>
        <v>0</v>
      </c>
      <c r="Q170" s="258">
        <v>1</v>
      </c>
      <c r="R170" s="254">
        <f>D170-N170</f>
        <v>0</v>
      </c>
      <c r="S170" s="259">
        <f>AB33/1000</f>
        <v>0.38500000000000001</v>
      </c>
      <c r="T170" s="497">
        <f>AB34/1000</f>
        <v>2.5374240000000001</v>
      </c>
      <c r="U170" s="497">
        <f>AB35</f>
        <v>0</v>
      </c>
      <c r="V170" s="497">
        <f>AB36</f>
        <v>0</v>
      </c>
      <c r="W170" s="498">
        <f>E170-S170</f>
        <v>5.1820590000000006</v>
      </c>
    </row>
    <row r="171" spans="2:23" s="49" customFormat="1" ht="28.95" customHeight="1" thickBot="1">
      <c r="B171" s="894"/>
      <c r="C171" s="55" t="s">
        <v>11</v>
      </c>
      <c r="D171" s="275">
        <f t="shared" ref="D171:W171" si="6">SUM(D170:D170)</f>
        <v>15</v>
      </c>
      <c r="E171" s="275">
        <f t="shared" si="6"/>
        <v>5.5670590000000004</v>
      </c>
      <c r="F171" s="275">
        <f t="shared" si="6"/>
        <v>15</v>
      </c>
      <c r="G171" s="272">
        <f t="shared" si="6"/>
        <v>0</v>
      </c>
      <c r="H171" s="272">
        <f t="shared" si="6"/>
        <v>0</v>
      </c>
      <c r="I171" s="272">
        <f t="shared" si="6"/>
        <v>0</v>
      </c>
      <c r="J171" s="272">
        <f t="shared" si="6"/>
        <v>0</v>
      </c>
      <c r="K171" s="272">
        <f t="shared" si="6"/>
        <v>15</v>
      </c>
      <c r="L171" s="272">
        <f t="shared" si="6"/>
        <v>0</v>
      </c>
      <c r="M171" s="272">
        <f t="shared" si="6"/>
        <v>0</v>
      </c>
      <c r="N171" s="272">
        <f t="shared" si="6"/>
        <v>15</v>
      </c>
      <c r="O171" s="272">
        <f t="shared" si="6"/>
        <v>0</v>
      </c>
      <c r="P171" s="272">
        <f t="shared" si="6"/>
        <v>0</v>
      </c>
      <c r="Q171" s="272">
        <f>Q170</f>
        <v>1</v>
      </c>
      <c r="R171" s="272">
        <f t="shared" si="6"/>
        <v>0</v>
      </c>
      <c r="S171" s="493">
        <f t="shared" si="6"/>
        <v>0.38500000000000001</v>
      </c>
      <c r="T171" s="499">
        <f t="shared" si="6"/>
        <v>2.5374240000000001</v>
      </c>
      <c r="U171" s="499">
        <f t="shared" si="6"/>
        <v>0</v>
      </c>
      <c r="V171" s="499">
        <f t="shared" si="6"/>
        <v>0</v>
      </c>
      <c r="W171" s="500">
        <f t="shared" si="6"/>
        <v>5.1820590000000006</v>
      </c>
    </row>
    <row r="172" spans="2:23" s="257" customFormat="1" ht="22.5" customHeight="1">
      <c r="B172" s="888" t="s">
        <v>226</v>
      </c>
      <c r="C172" s="253" t="s">
        <v>201</v>
      </c>
      <c r="D172" s="254">
        <v>50</v>
      </c>
      <c r="E172" s="441">
        <f>(W37+W46+W55+W65+W74)/1000</f>
        <v>19.308524000000002</v>
      </c>
      <c r="F172" s="255">
        <f>X79</f>
        <v>49</v>
      </c>
      <c r="G172" s="256">
        <f>X80</f>
        <v>0</v>
      </c>
      <c r="H172" s="256">
        <f>X81</f>
        <v>0</v>
      </c>
      <c r="I172" s="256">
        <f>X82</f>
        <v>0</v>
      </c>
      <c r="J172" s="255">
        <f t="shared" ref="J172:J173" si="7">D172-F172</f>
        <v>1</v>
      </c>
      <c r="K172" s="255">
        <f>Y79</f>
        <v>49</v>
      </c>
      <c r="L172" s="256">
        <f>Y81</f>
        <v>0</v>
      </c>
      <c r="M172" s="271">
        <f t="shared" si="5"/>
        <v>1</v>
      </c>
      <c r="N172" s="255">
        <f>Z79</f>
        <v>48</v>
      </c>
      <c r="O172" s="256">
        <f>Z80</f>
        <v>0</v>
      </c>
      <c r="P172" s="256">
        <f>Z81</f>
        <v>0</v>
      </c>
      <c r="Q172" s="256">
        <v>4</v>
      </c>
      <c r="R172" s="255">
        <f t="shared" ref="R172:R173" si="8">D172-N172</f>
        <v>2</v>
      </c>
      <c r="S172" s="494">
        <f>AB79/1000</f>
        <v>12.563920999999999</v>
      </c>
      <c r="T172" s="501">
        <f>AB80/1000</f>
        <v>0</v>
      </c>
      <c r="U172" s="501">
        <f>AB81/1000</f>
        <v>0</v>
      </c>
      <c r="V172" s="501">
        <f>AB82</f>
        <v>0</v>
      </c>
      <c r="W172" s="502">
        <f t="shared" ref="W172:W173" si="9">E172-S172</f>
        <v>6.7446030000000032</v>
      </c>
    </row>
    <row r="173" spans="2:23" s="257" customFormat="1" ht="22.5" customHeight="1">
      <c r="B173" s="889"/>
      <c r="C173" s="253" t="s">
        <v>216</v>
      </c>
      <c r="D173" s="254">
        <v>62</v>
      </c>
      <c r="E173" s="440">
        <f>(W83+W92+W101+W110+W119+W129+W139)/1000</f>
        <v>22.960121000000001</v>
      </c>
      <c r="F173" s="254">
        <f>X147</f>
        <v>62</v>
      </c>
      <c r="G173" s="258">
        <f>X148</f>
        <v>0</v>
      </c>
      <c r="H173" s="258">
        <f>X149</f>
        <v>0</v>
      </c>
      <c r="I173" s="258">
        <f>X150</f>
        <v>0</v>
      </c>
      <c r="J173" s="254">
        <f t="shared" si="7"/>
        <v>0</v>
      </c>
      <c r="K173" s="254">
        <f>Y147</f>
        <v>60</v>
      </c>
      <c r="L173" s="258">
        <f>Y149</f>
        <v>0</v>
      </c>
      <c r="M173" s="273">
        <f t="shared" si="5"/>
        <v>2</v>
      </c>
      <c r="N173" s="254">
        <f>Z147</f>
        <v>52</v>
      </c>
      <c r="O173" s="258">
        <f>Z148</f>
        <v>1</v>
      </c>
      <c r="P173" s="258">
        <f>Z149</f>
        <v>2</v>
      </c>
      <c r="Q173" s="258">
        <v>1</v>
      </c>
      <c r="R173" s="254">
        <f t="shared" si="8"/>
        <v>10</v>
      </c>
      <c r="S173" s="495">
        <f>AB147/1000</f>
        <v>0</v>
      </c>
      <c r="T173" s="497">
        <f>AB148/1000</f>
        <v>0</v>
      </c>
      <c r="U173" s="497">
        <f>AB149</f>
        <v>0</v>
      </c>
      <c r="V173" s="497">
        <f>AB150</f>
        <v>0</v>
      </c>
      <c r="W173" s="498">
        <f t="shared" si="9"/>
        <v>22.960121000000001</v>
      </c>
    </row>
    <row r="174" spans="2:23" s="262" customFormat="1" ht="22.5" customHeight="1">
      <c r="B174" s="890"/>
      <c r="C174" s="260" t="s">
        <v>11</v>
      </c>
      <c r="D174" s="260">
        <f>SUM(D172:D173)</f>
        <v>112</v>
      </c>
      <c r="E174" s="260">
        <f t="shared" ref="E174:W174" si="10">SUM(E172:E173)</f>
        <v>42.268645000000006</v>
      </c>
      <c r="F174" s="260">
        <f t="shared" si="10"/>
        <v>111</v>
      </c>
      <c r="G174" s="261">
        <f t="shared" si="10"/>
        <v>0</v>
      </c>
      <c r="H174" s="261">
        <f t="shared" si="10"/>
        <v>0</v>
      </c>
      <c r="I174" s="261">
        <f t="shared" si="10"/>
        <v>0</v>
      </c>
      <c r="J174" s="261">
        <f t="shared" si="10"/>
        <v>1</v>
      </c>
      <c r="K174" s="261">
        <f t="shared" si="10"/>
        <v>109</v>
      </c>
      <c r="L174" s="261">
        <f t="shared" si="10"/>
        <v>0</v>
      </c>
      <c r="M174" s="261">
        <f t="shared" si="10"/>
        <v>3</v>
      </c>
      <c r="N174" s="261">
        <f t="shared" si="10"/>
        <v>100</v>
      </c>
      <c r="O174" s="261">
        <f t="shared" si="10"/>
        <v>1</v>
      </c>
      <c r="P174" s="261">
        <f t="shared" si="10"/>
        <v>2</v>
      </c>
      <c r="Q174" s="261">
        <f t="shared" si="10"/>
        <v>5</v>
      </c>
      <c r="R174" s="261">
        <f t="shared" si="10"/>
        <v>12</v>
      </c>
      <c r="S174" s="496">
        <f t="shared" si="10"/>
        <v>12.563920999999999</v>
      </c>
      <c r="T174" s="503">
        <f t="shared" si="10"/>
        <v>0</v>
      </c>
      <c r="U174" s="503">
        <f t="shared" si="10"/>
        <v>0</v>
      </c>
      <c r="V174" s="503">
        <f t="shared" si="10"/>
        <v>0</v>
      </c>
      <c r="W174" s="504">
        <f t="shared" si="10"/>
        <v>29.704724000000006</v>
      </c>
    </row>
    <row r="175" spans="2:23" s="265" customFormat="1" ht="25.5" customHeight="1" thickBot="1">
      <c r="B175" s="891" t="s">
        <v>11</v>
      </c>
      <c r="C175" s="892"/>
      <c r="D175" s="263">
        <f>D171+D174</f>
        <v>127</v>
      </c>
      <c r="E175" s="263">
        <f t="shared" ref="E175:W175" si="11">E171+E174</f>
        <v>47.835704000000007</v>
      </c>
      <c r="F175" s="263">
        <f t="shared" si="11"/>
        <v>126</v>
      </c>
      <c r="G175" s="264">
        <f t="shared" si="11"/>
        <v>0</v>
      </c>
      <c r="H175" s="264">
        <f t="shared" si="11"/>
        <v>0</v>
      </c>
      <c r="I175" s="264">
        <f t="shared" si="11"/>
        <v>0</v>
      </c>
      <c r="J175" s="264">
        <f t="shared" si="11"/>
        <v>1</v>
      </c>
      <c r="K175" s="264">
        <f>K171+K174</f>
        <v>124</v>
      </c>
      <c r="L175" s="264">
        <f t="shared" si="11"/>
        <v>0</v>
      </c>
      <c r="M175" s="264">
        <f t="shared" si="11"/>
        <v>3</v>
      </c>
      <c r="N175" s="264">
        <f t="shared" si="11"/>
        <v>115</v>
      </c>
      <c r="O175" s="264">
        <f t="shared" si="11"/>
        <v>1</v>
      </c>
      <c r="P175" s="264">
        <f t="shared" si="11"/>
        <v>2</v>
      </c>
      <c r="Q175" s="264">
        <v>6</v>
      </c>
      <c r="R175" s="264">
        <f t="shared" si="11"/>
        <v>12</v>
      </c>
      <c r="S175" s="570">
        <f t="shared" si="11"/>
        <v>12.948920999999999</v>
      </c>
      <c r="T175" s="571">
        <f t="shared" si="11"/>
        <v>2.5374240000000001</v>
      </c>
      <c r="U175" s="571">
        <f t="shared" si="11"/>
        <v>0</v>
      </c>
      <c r="V175" s="505">
        <f t="shared" si="11"/>
        <v>0</v>
      </c>
      <c r="W175" s="506">
        <f t="shared" si="11"/>
        <v>34.886783000000008</v>
      </c>
    </row>
    <row r="177" spans="7:7">
      <c r="G177" s="50"/>
    </row>
    <row r="180" spans="7:7">
      <c r="G180" s="50"/>
    </row>
  </sheetData>
  <mergeCells count="130"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T8:U8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</mergeCells>
  <printOptions horizontalCentered="1"/>
  <pageMargins left="0" right="0" top="0.70866141732283472" bottom="0.19685039370078741" header="3.937007874015748E-2" footer="3.937007874015748E-2"/>
  <pageSetup paperSize="9" scale="72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H59"/>
  <sheetViews>
    <sheetView zoomScale="70" zoomScaleNormal="70" workbookViewId="0">
      <selection activeCell="Q8" sqref="Q8"/>
    </sheetView>
  </sheetViews>
  <sheetFormatPr defaultRowHeight="14.4"/>
  <cols>
    <col min="2" max="2" width="22.109375" customWidth="1"/>
    <col min="3" max="3" width="15.88671875" customWidth="1"/>
    <col min="4" max="6" width="11.33203125" customWidth="1"/>
    <col min="7" max="7" width="11.88671875" customWidth="1"/>
    <col min="8" max="12" width="11.33203125" customWidth="1"/>
    <col min="13" max="13" width="12.21875" customWidth="1"/>
    <col min="14" max="30" width="11.33203125" customWidth="1"/>
    <col min="31" max="31" width="12.5546875" customWidth="1"/>
    <col min="32" max="33" width="11.33203125" customWidth="1"/>
    <col min="34" max="34" width="13.21875" customWidth="1"/>
  </cols>
  <sheetData>
    <row r="1" spans="1:34" ht="21.6" thickBot="1">
      <c r="A1" s="948" t="s">
        <v>820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949"/>
      <c r="AA1" s="949"/>
      <c r="AB1" s="949"/>
      <c r="AC1" s="949"/>
      <c r="AD1" s="949"/>
      <c r="AE1" s="949"/>
      <c r="AF1" s="949"/>
      <c r="AG1" s="949"/>
      <c r="AH1" s="950"/>
    </row>
    <row r="2" spans="1:34" s="706" customFormat="1" ht="21.6" thickBot="1">
      <c r="A2" s="951" t="s">
        <v>871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952"/>
      <c r="AA2" s="952"/>
      <c r="AB2" s="952"/>
      <c r="AC2" s="952"/>
      <c r="AD2" s="952"/>
      <c r="AE2" s="952"/>
      <c r="AF2" s="952"/>
      <c r="AG2" s="952"/>
      <c r="AH2" s="953"/>
    </row>
    <row r="3" spans="1:34" ht="18.600000000000001" thickBot="1">
      <c r="A3" s="686"/>
      <c r="B3" s="687"/>
      <c r="C3" s="616"/>
      <c r="D3" s="617"/>
      <c r="E3" s="687"/>
      <c r="F3" s="687"/>
      <c r="G3" s="687"/>
      <c r="H3" s="687"/>
      <c r="I3" s="687"/>
      <c r="J3" s="687"/>
      <c r="K3" s="687"/>
      <c r="L3" s="687"/>
      <c r="M3" s="687"/>
      <c r="N3" s="687"/>
      <c r="O3" s="687"/>
      <c r="P3" s="687"/>
      <c r="Q3" s="687"/>
      <c r="R3" s="687"/>
      <c r="S3" s="687"/>
      <c r="T3" s="687"/>
      <c r="U3" s="687"/>
      <c r="V3" s="687"/>
      <c r="W3" s="687"/>
      <c r="X3" s="687"/>
      <c r="Y3" s="687"/>
      <c r="Z3" s="687"/>
      <c r="AA3" s="687"/>
      <c r="AB3" s="687"/>
      <c r="AC3" s="687"/>
      <c r="AD3" s="687"/>
      <c r="AE3" s="687"/>
      <c r="AF3" s="687"/>
      <c r="AG3" s="687"/>
      <c r="AH3" s="688"/>
    </row>
    <row r="4" spans="1:34" ht="27" customHeight="1" thickBot="1">
      <c r="A4" s="713" t="s">
        <v>12</v>
      </c>
      <c r="B4" s="720" t="s">
        <v>672</v>
      </c>
      <c r="C4" s="719" t="s">
        <v>810</v>
      </c>
      <c r="D4" s="712">
        <v>46023</v>
      </c>
      <c r="E4" s="712">
        <v>46024</v>
      </c>
      <c r="F4" s="712">
        <v>46025</v>
      </c>
      <c r="G4" s="712">
        <v>46026</v>
      </c>
      <c r="H4" s="712">
        <v>46027</v>
      </c>
      <c r="I4" s="712">
        <v>46028</v>
      </c>
      <c r="J4" s="712">
        <v>46029</v>
      </c>
      <c r="K4" s="712">
        <v>46030</v>
      </c>
      <c r="L4" s="712">
        <v>46031</v>
      </c>
      <c r="M4" s="712">
        <v>46032</v>
      </c>
      <c r="N4" s="712">
        <v>46033</v>
      </c>
      <c r="O4" s="712">
        <v>46034</v>
      </c>
      <c r="P4" s="712">
        <v>46035</v>
      </c>
      <c r="Q4" s="712">
        <v>46036</v>
      </c>
      <c r="R4" s="712">
        <v>46037</v>
      </c>
      <c r="S4" s="712">
        <v>46038</v>
      </c>
      <c r="T4" s="712">
        <v>46039</v>
      </c>
      <c r="U4" s="712">
        <v>46040</v>
      </c>
      <c r="V4" s="712">
        <v>46041</v>
      </c>
      <c r="W4" s="712">
        <v>46042</v>
      </c>
      <c r="X4" s="712">
        <v>46043</v>
      </c>
      <c r="Y4" s="712">
        <v>46044</v>
      </c>
      <c r="Z4" s="712">
        <v>46045</v>
      </c>
      <c r="AA4" s="712">
        <v>46046</v>
      </c>
      <c r="AB4" s="712">
        <v>46047</v>
      </c>
      <c r="AC4" s="712">
        <v>46048</v>
      </c>
      <c r="AD4" s="712">
        <v>46049</v>
      </c>
      <c r="AE4" s="712">
        <v>46050</v>
      </c>
      <c r="AF4" s="712">
        <v>46051</v>
      </c>
      <c r="AG4" s="712">
        <v>46052</v>
      </c>
      <c r="AH4" s="712">
        <v>46053</v>
      </c>
    </row>
    <row r="5" spans="1:34" ht="32.4" customHeight="1" thickBot="1">
      <c r="A5" s="714">
        <v>1</v>
      </c>
      <c r="B5" s="721" t="s">
        <v>812</v>
      </c>
      <c r="C5" s="728" t="s">
        <v>811</v>
      </c>
      <c r="D5" s="689" t="s">
        <v>816</v>
      </c>
      <c r="E5" s="689" t="s">
        <v>816</v>
      </c>
      <c r="F5" s="689" t="s">
        <v>816</v>
      </c>
      <c r="G5" s="514" t="s">
        <v>608</v>
      </c>
      <c r="H5" s="514" t="s">
        <v>608</v>
      </c>
      <c r="I5" s="514" t="s">
        <v>608</v>
      </c>
      <c r="J5" s="514" t="s">
        <v>608</v>
      </c>
      <c r="K5" s="514" t="s">
        <v>608</v>
      </c>
      <c r="L5" s="514" t="s">
        <v>608</v>
      </c>
      <c r="M5" s="734" t="s">
        <v>816</v>
      </c>
      <c r="N5" s="734" t="s">
        <v>816</v>
      </c>
      <c r="O5" s="734" t="s">
        <v>816</v>
      </c>
      <c r="P5" s="734" t="s">
        <v>816</v>
      </c>
      <c r="Q5" s="734" t="s">
        <v>816</v>
      </c>
      <c r="R5" s="734" t="s">
        <v>816</v>
      </c>
      <c r="S5" s="734" t="s">
        <v>816</v>
      </c>
      <c r="T5" s="734" t="s">
        <v>816</v>
      </c>
      <c r="U5" s="734" t="s">
        <v>816</v>
      </c>
      <c r="V5" s="734" t="s">
        <v>816</v>
      </c>
      <c r="W5" s="734" t="s">
        <v>816</v>
      </c>
      <c r="X5" s="707"/>
      <c r="Y5" s="707"/>
      <c r="Z5" s="444"/>
      <c r="AA5" s="707"/>
      <c r="AB5" s="707"/>
      <c r="AC5" s="707"/>
      <c r="AD5" s="707"/>
      <c r="AE5" s="707"/>
      <c r="AF5" s="707"/>
      <c r="AG5" s="707"/>
      <c r="AH5" s="707"/>
    </row>
    <row r="6" spans="1:34" ht="32.4" customHeight="1">
      <c r="A6" s="715">
        <v>2</v>
      </c>
      <c r="B6" s="721" t="s">
        <v>901</v>
      </c>
      <c r="C6" s="729" t="s">
        <v>811</v>
      </c>
      <c r="D6" s="689" t="s">
        <v>816</v>
      </c>
      <c r="E6" s="689" t="s">
        <v>816</v>
      </c>
      <c r="F6" s="689" t="s">
        <v>816</v>
      </c>
      <c r="G6" s="701" t="s">
        <v>836</v>
      </c>
      <c r="H6" s="701" t="s">
        <v>836</v>
      </c>
      <c r="I6" s="701" t="s">
        <v>836</v>
      </c>
      <c r="J6" s="701" t="s">
        <v>836</v>
      </c>
      <c r="K6" s="701" t="s">
        <v>836</v>
      </c>
      <c r="L6" s="701" t="s">
        <v>836</v>
      </c>
      <c r="M6" s="701" t="s">
        <v>836</v>
      </c>
      <c r="N6" s="701" t="s">
        <v>836</v>
      </c>
      <c r="O6" s="701" t="s">
        <v>836</v>
      </c>
      <c r="P6" s="701" t="s">
        <v>836</v>
      </c>
      <c r="Q6" s="701" t="s">
        <v>836</v>
      </c>
      <c r="R6" s="701" t="s">
        <v>836</v>
      </c>
      <c r="S6" s="701" t="s">
        <v>836</v>
      </c>
      <c r="T6" s="701" t="s">
        <v>836</v>
      </c>
      <c r="U6" s="701" t="s">
        <v>836</v>
      </c>
      <c r="V6" s="701" t="s">
        <v>836</v>
      </c>
      <c r="W6" s="701" t="s">
        <v>836</v>
      </c>
      <c r="X6" s="444"/>
      <c r="Y6" s="707"/>
      <c r="Z6" s="444"/>
      <c r="AA6" s="707"/>
      <c r="AB6" s="707"/>
      <c r="AC6" s="707"/>
      <c r="AD6" s="707"/>
      <c r="AE6" s="707"/>
      <c r="AF6" s="707"/>
      <c r="AG6" s="707"/>
      <c r="AH6" s="707"/>
    </row>
    <row r="7" spans="1:34" ht="32.4" customHeight="1">
      <c r="A7" s="716">
        <v>3</v>
      </c>
      <c r="B7" s="722" t="s">
        <v>697</v>
      </c>
      <c r="C7" s="730" t="s">
        <v>814</v>
      </c>
      <c r="D7" s="47" t="s">
        <v>617</v>
      </c>
      <c r="E7" s="47" t="s">
        <v>617</v>
      </c>
      <c r="F7" s="47" t="s">
        <v>617</v>
      </c>
      <c r="G7" s="47" t="s">
        <v>617</v>
      </c>
      <c r="H7" s="47" t="s">
        <v>617</v>
      </c>
      <c r="I7" s="47" t="s">
        <v>617</v>
      </c>
      <c r="J7" s="47" t="s">
        <v>555</v>
      </c>
      <c r="K7" s="47" t="s">
        <v>555</v>
      </c>
      <c r="L7" s="47" t="s">
        <v>555</v>
      </c>
      <c r="M7" s="47" t="s">
        <v>555</v>
      </c>
      <c r="N7" s="47" t="s">
        <v>555</v>
      </c>
      <c r="O7" s="47" t="s">
        <v>555</v>
      </c>
      <c r="P7" s="47" t="s">
        <v>555</v>
      </c>
      <c r="Q7" s="47" t="s">
        <v>555</v>
      </c>
      <c r="R7" s="47" t="s">
        <v>555</v>
      </c>
      <c r="S7" s="47" t="s">
        <v>555</v>
      </c>
      <c r="T7" s="47" t="s">
        <v>555</v>
      </c>
      <c r="U7" s="47" t="s">
        <v>555</v>
      </c>
      <c r="V7" s="734" t="s">
        <v>816</v>
      </c>
      <c r="W7" s="734" t="s">
        <v>816</v>
      </c>
      <c r="X7" s="444"/>
      <c r="Y7" s="444"/>
      <c r="Z7" s="444"/>
      <c r="AA7" s="444"/>
      <c r="AB7" s="444"/>
      <c r="AC7" s="444"/>
      <c r="AD7" s="444"/>
      <c r="AE7" s="444"/>
      <c r="AF7" s="444"/>
      <c r="AG7" s="444"/>
      <c r="AH7" s="707"/>
    </row>
    <row r="8" spans="1:34" ht="32.4" customHeight="1">
      <c r="A8" s="716">
        <v>4</v>
      </c>
      <c r="B8" s="722" t="s">
        <v>699</v>
      </c>
      <c r="C8" s="730" t="s">
        <v>814</v>
      </c>
      <c r="D8" s="689" t="s">
        <v>859</v>
      </c>
      <c r="E8" s="689" t="s">
        <v>859</v>
      </c>
      <c r="F8" s="689" t="s">
        <v>859</v>
      </c>
      <c r="G8" s="47" t="s">
        <v>553</v>
      </c>
      <c r="H8" s="47" t="s">
        <v>553</v>
      </c>
      <c r="I8" s="47" t="s">
        <v>553</v>
      </c>
      <c r="J8" s="47" t="s">
        <v>553</v>
      </c>
      <c r="K8" s="47" t="s">
        <v>553</v>
      </c>
      <c r="L8" s="47" t="s">
        <v>182</v>
      </c>
      <c r="M8" s="47" t="s">
        <v>182</v>
      </c>
      <c r="N8" s="47" t="s">
        <v>182</v>
      </c>
      <c r="O8" s="47" t="s">
        <v>182</v>
      </c>
      <c r="P8" s="47" t="s">
        <v>182</v>
      </c>
      <c r="Q8" s="47" t="s">
        <v>182</v>
      </c>
      <c r="R8" s="47" t="s">
        <v>182</v>
      </c>
      <c r="S8" s="47" t="s">
        <v>560</v>
      </c>
      <c r="T8" s="47" t="s">
        <v>560</v>
      </c>
      <c r="U8" s="47" t="s">
        <v>560</v>
      </c>
      <c r="V8" s="47" t="s">
        <v>560</v>
      </c>
      <c r="W8" s="47" t="s">
        <v>560</v>
      </c>
      <c r="X8" s="444"/>
      <c r="Y8" s="444"/>
      <c r="Z8" s="444"/>
      <c r="AA8" s="444"/>
      <c r="AB8" s="444"/>
      <c r="AC8" s="444"/>
      <c r="AD8" s="707"/>
      <c r="AE8" s="707"/>
      <c r="AF8" s="707"/>
      <c r="AG8" s="707"/>
      <c r="AH8" s="707"/>
    </row>
    <row r="9" spans="1:34" ht="32.4" customHeight="1">
      <c r="A9" s="716">
        <v>5</v>
      </c>
      <c r="B9" s="722" t="s">
        <v>815</v>
      </c>
      <c r="C9" s="730" t="s">
        <v>814</v>
      </c>
      <c r="D9" s="47" t="s">
        <v>186</v>
      </c>
      <c r="E9" s="47" t="s">
        <v>186</v>
      </c>
      <c r="F9" s="47" t="s">
        <v>186</v>
      </c>
      <c r="G9" s="47" t="s">
        <v>186</v>
      </c>
      <c r="H9" s="47" t="s">
        <v>186</v>
      </c>
      <c r="I9" s="47" t="s">
        <v>186</v>
      </c>
      <c r="J9" s="47" t="s">
        <v>186</v>
      </c>
      <c r="K9" s="689" t="s">
        <v>887</v>
      </c>
      <c r="L9" s="689" t="s">
        <v>887</v>
      </c>
      <c r="M9" s="689" t="s">
        <v>887</v>
      </c>
      <c r="N9" s="689" t="s">
        <v>887</v>
      </c>
      <c r="O9" s="47" t="s">
        <v>188</v>
      </c>
      <c r="P9" s="47" t="s">
        <v>188</v>
      </c>
      <c r="Q9" s="47" t="s">
        <v>188</v>
      </c>
      <c r="R9" s="47" t="s">
        <v>188</v>
      </c>
      <c r="S9" s="994" t="s">
        <v>902</v>
      </c>
      <c r="T9" s="994" t="s">
        <v>902</v>
      </c>
      <c r="U9" s="994" t="s">
        <v>902</v>
      </c>
      <c r="V9" s="994" t="s">
        <v>902</v>
      </c>
      <c r="W9" s="994" t="s">
        <v>902</v>
      </c>
      <c r="X9" s="444"/>
      <c r="Y9" s="444"/>
      <c r="Z9" s="444"/>
      <c r="AA9" s="444"/>
      <c r="AB9" s="444"/>
      <c r="AC9" s="444"/>
      <c r="AD9" s="707"/>
      <c r="AE9" s="444"/>
      <c r="AF9" s="444"/>
      <c r="AG9" s="444"/>
      <c r="AH9" s="707"/>
    </row>
    <row r="10" spans="1:34" ht="32.4" customHeight="1">
      <c r="A10" s="716">
        <v>6</v>
      </c>
      <c r="B10" s="722" t="s">
        <v>864</v>
      </c>
      <c r="C10" s="730" t="s">
        <v>814</v>
      </c>
      <c r="D10" s="689" t="s">
        <v>869</v>
      </c>
      <c r="E10" s="689" t="s">
        <v>869</v>
      </c>
      <c r="F10" s="689" t="s">
        <v>869</v>
      </c>
      <c r="G10" s="689" t="s">
        <v>869</v>
      </c>
      <c r="H10" s="689" t="s">
        <v>869</v>
      </c>
      <c r="I10" s="701" t="s">
        <v>836</v>
      </c>
      <c r="J10" s="701" t="s">
        <v>836</v>
      </c>
      <c r="K10" s="701" t="s">
        <v>836</v>
      </c>
      <c r="L10" s="701" t="s">
        <v>836</v>
      </c>
      <c r="M10" s="701" t="s">
        <v>836</v>
      </c>
      <c r="N10" s="701" t="s">
        <v>836</v>
      </c>
      <c r="O10" s="701" t="s">
        <v>836</v>
      </c>
      <c r="P10" s="701" t="s">
        <v>836</v>
      </c>
      <c r="Q10" s="701" t="s">
        <v>836</v>
      </c>
      <c r="R10" s="701" t="s">
        <v>836</v>
      </c>
      <c r="S10" s="701" t="s">
        <v>836</v>
      </c>
      <c r="T10" s="701" t="s">
        <v>836</v>
      </c>
      <c r="U10" s="701" t="s">
        <v>836</v>
      </c>
      <c r="V10" s="701" t="s">
        <v>836</v>
      </c>
      <c r="W10" s="701" t="s">
        <v>836</v>
      </c>
      <c r="X10" s="444"/>
      <c r="Y10" s="444"/>
      <c r="Z10" s="444"/>
      <c r="AA10" s="444"/>
      <c r="AB10" s="444"/>
      <c r="AC10" s="444"/>
      <c r="AD10" s="444"/>
      <c r="AE10" s="707"/>
      <c r="AF10" s="444"/>
      <c r="AG10" s="707"/>
      <c r="AH10" s="707"/>
    </row>
    <row r="11" spans="1:34" ht="32.4" customHeight="1">
      <c r="A11" s="716">
        <v>7</v>
      </c>
      <c r="B11" s="722" t="s">
        <v>865</v>
      </c>
      <c r="C11" s="730" t="s">
        <v>814</v>
      </c>
      <c r="D11" s="701" t="s">
        <v>836</v>
      </c>
      <c r="E11" s="701" t="s">
        <v>836</v>
      </c>
      <c r="F11" s="701" t="s">
        <v>836</v>
      </c>
      <c r="G11" s="701" t="s">
        <v>836</v>
      </c>
      <c r="H11" s="701" t="s">
        <v>836</v>
      </c>
      <c r="I11" s="701" t="s">
        <v>836</v>
      </c>
      <c r="J11" s="701" t="s">
        <v>836</v>
      </c>
      <c r="K11" s="701" t="s">
        <v>836</v>
      </c>
      <c r="L11" s="701" t="s">
        <v>836</v>
      </c>
      <c r="M11" s="701" t="s">
        <v>836</v>
      </c>
      <c r="N11" s="701" t="s">
        <v>836</v>
      </c>
      <c r="O11" s="701" t="s">
        <v>836</v>
      </c>
      <c r="P11" s="701" t="s">
        <v>836</v>
      </c>
      <c r="Q11" s="701" t="s">
        <v>836</v>
      </c>
      <c r="R11" s="701" t="s">
        <v>836</v>
      </c>
      <c r="S11" s="701" t="s">
        <v>836</v>
      </c>
      <c r="T11" s="701" t="s">
        <v>836</v>
      </c>
      <c r="U11" s="701" t="s">
        <v>836</v>
      </c>
      <c r="V11" s="701" t="s">
        <v>836</v>
      </c>
      <c r="W11" s="701" t="s">
        <v>836</v>
      </c>
      <c r="X11" s="444"/>
      <c r="Y11" s="444"/>
      <c r="Z11" s="444"/>
      <c r="AA11" s="444"/>
      <c r="AB11" s="444"/>
      <c r="AC11" s="444"/>
      <c r="AD11" s="444"/>
      <c r="AE11" s="444"/>
      <c r="AF11" s="707"/>
      <c r="AG11" s="707"/>
      <c r="AH11" s="733"/>
    </row>
    <row r="12" spans="1:34" ht="32.4" customHeight="1">
      <c r="A12" s="717">
        <v>8</v>
      </c>
      <c r="B12" s="723" t="s">
        <v>782</v>
      </c>
      <c r="C12" s="731" t="s">
        <v>781</v>
      </c>
      <c r="D12" s="635" t="s">
        <v>872</v>
      </c>
      <c r="E12" s="635" t="s">
        <v>872</v>
      </c>
      <c r="F12" s="635" t="s">
        <v>874</v>
      </c>
      <c r="G12" s="635" t="s">
        <v>874</v>
      </c>
      <c r="H12" s="734" t="s">
        <v>816</v>
      </c>
      <c r="I12" s="734" t="s">
        <v>816</v>
      </c>
      <c r="J12" s="734" t="s">
        <v>816</v>
      </c>
      <c r="K12" s="734" t="s">
        <v>816</v>
      </c>
      <c r="L12" s="734" t="s">
        <v>816</v>
      </c>
      <c r="M12" s="734" t="s">
        <v>816</v>
      </c>
      <c r="N12" s="734" t="s">
        <v>816</v>
      </c>
      <c r="O12" s="734" t="s">
        <v>816</v>
      </c>
      <c r="P12" s="734" t="s">
        <v>816</v>
      </c>
      <c r="Q12" s="734" t="s">
        <v>816</v>
      </c>
      <c r="R12" s="734" t="s">
        <v>816</v>
      </c>
      <c r="S12" s="734" t="s">
        <v>816</v>
      </c>
      <c r="T12" s="635" t="s">
        <v>905</v>
      </c>
      <c r="U12" s="635" t="s">
        <v>904</v>
      </c>
      <c r="V12" s="635" t="s">
        <v>904</v>
      </c>
      <c r="W12" s="635" t="s">
        <v>904</v>
      </c>
      <c r="X12" s="634"/>
      <c r="Y12" s="634"/>
      <c r="Z12" s="634"/>
      <c r="AA12" s="634"/>
      <c r="AB12" s="634"/>
      <c r="AC12" s="634"/>
      <c r="AD12" s="634"/>
      <c r="AE12" s="634"/>
      <c r="AF12" s="634"/>
      <c r="AG12" s="634"/>
      <c r="AH12" s="634"/>
    </row>
    <row r="13" spans="1:34" ht="32.4" customHeight="1">
      <c r="A13" s="717">
        <v>9</v>
      </c>
      <c r="B13" s="723" t="s">
        <v>831</v>
      </c>
      <c r="C13" s="731" t="s">
        <v>781</v>
      </c>
      <c r="D13" s="689" t="s">
        <v>816</v>
      </c>
      <c r="E13" s="689" t="s">
        <v>816</v>
      </c>
      <c r="F13" s="689" t="s">
        <v>816</v>
      </c>
      <c r="G13" s="689" t="s">
        <v>816</v>
      </c>
      <c r="H13" s="689" t="s">
        <v>816</v>
      </c>
      <c r="I13" s="689" t="s">
        <v>816</v>
      </c>
      <c r="J13" s="689" t="s">
        <v>816</v>
      </c>
      <c r="K13" s="689" t="s">
        <v>816</v>
      </c>
      <c r="L13" s="689" t="s">
        <v>816</v>
      </c>
      <c r="M13" s="689" t="s">
        <v>816</v>
      </c>
      <c r="N13" s="689" t="s">
        <v>816</v>
      </c>
      <c r="O13" s="689" t="s">
        <v>816</v>
      </c>
      <c r="P13" s="689" t="s">
        <v>816</v>
      </c>
      <c r="Q13" s="734" t="s">
        <v>816</v>
      </c>
      <c r="R13" s="734" t="s">
        <v>816</v>
      </c>
      <c r="S13" s="734" t="s">
        <v>816</v>
      </c>
      <c r="T13" s="734" t="s">
        <v>816</v>
      </c>
      <c r="U13" s="734" t="s">
        <v>816</v>
      </c>
      <c r="V13" s="734" t="s">
        <v>816</v>
      </c>
      <c r="W13" s="689" t="s">
        <v>816</v>
      </c>
      <c r="X13" s="634"/>
      <c r="Y13" s="634"/>
      <c r="Z13" s="634"/>
      <c r="AA13" s="634"/>
      <c r="AB13" s="634"/>
      <c r="AC13" s="634"/>
      <c r="AD13" s="634"/>
      <c r="AE13" s="634"/>
      <c r="AF13" s="634"/>
      <c r="AG13" s="634"/>
      <c r="AH13" s="634"/>
    </row>
    <row r="14" spans="1:34" ht="32.4" customHeight="1" thickBot="1">
      <c r="A14" s="718">
        <v>10</v>
      </c>
      <c r="B14" s="724" t="s">
        <v>875</v>
      </c>
      <c r="C14" s="732" t="s">
        <v>781</v>
      </c>
      <c r="D14" s="734" t="s">
        <v>816</v>
      </c>
      <c r="E14" s="734" t="s">
        <v>816</v>
      </c>
      <c r="F14" s="734" t="s">
        <v>816</v>
      </c>
      <c r="G14" s="734" t="s">
        <v>816</v>
      </c>
      <c r="H14" s="734" t="s">
        <v>816</v>
      </c>
      <c r="I14" s="734" t="s">
        <v>816</v>
      </c>
      <c r="J14" s="701" t="s">
        <v>836</v>
      </c>
      <c r="K14" s="701" t="s">
        <v>836</v>
      </c>
      <c r="L14" s="701" t="s">
        <v>836</v>
      </c>
      <c r="M14" s="701" t="s">
        <v>836</v>
      </c>
      <c r="N14" s="701" t="s">
        <v>836</v>
      </c>
      <c r="O14" s="701" t="s">
        <v>836</v>
      </c>
      <c r="P14" s="701" t="s">
        <v>836</v>
      </c>
      <c r="Q14" s="701" t="s">
        <v>836</v>
      </c>
      <c r="R14" s="701" t="s">
        <v>836</v>
      </c>
      <c r="S14" s="701" t="s">
        <v>836</v>
      </c>
      <c r="T14" s="701" t="s">
        <v>836</v>
      </c>
      <c r="U14" s="701" t="s">
        <v>836</v>
      </c>
      <c r="V14" s="701" t="s">
        <v>836</v>
      </c>
      <c r="W14" s="995" t="s">
        <v>903</v>
      </c>
      <c r="X14" s="634"/>
      <c r="Y14" s="634"/>
      <c r="Z14" s="634"/>
      <c r="AA14" s="634"/>
      <c r="AB14" s="634"/>
      <c r="AC14" s="634"/>
      <c r="AD14" s="735"/>
      <c r="AE14" s="735"/>
      <c r="AF14" s="735"/>
      <c r="AG14" s="735"/>
      <c r="AH14" s="735"/>
    </row>
    <row r="19" spans="1:34" ht="15" thickBot="1"/>
    <row r="20" spans="1:34" ht="21.6" thickBot="1">
      <c r="A20" s="948" t="s">
        <v>820</v>
      </c>
      <c r="B20" s="949"/>
      <c r="C20" s="949"/>
      <c r="D20" s="949"/>
      <c r="E20" s="949"/>
      <c r="F20" s="949"/>
      <c r="G20" s="949"/>
      <c r="H20" s="949"/>
      <c r="I20" s="949"/>
      <c r="J20" s="949"/>
      <c r="K20" s="949"/>
      <c r="L20" s="949"/>
      <c r="M20" s="949"/>
      <c r="N20" s="949"/>
      <c r="O20" s="949"/>
      <c r="P20" s="949"/>
      <c r="Q20" s="949"/>
      <c r="R20" s="949"/>
      <c r="S20" s="949"/>
      <c r="T20" s="949"/>
      <c r="U20" s="949"/>
      <c r="V20" s="949"/>
      <c r="W20" s="949"/>
      <c r="X20" s="949"/>
      <c r="Y20" s="949"/>
      <c r="Z20" s="949"/>
      <c r="AA20" s="949"/>
      <c r="AB20" s="949"/>
      <c r="AC20" s="949"/>
      <c r="AD20" s="949"/>
      <c r="AE20" s="949"/>
      <c r="AF20" s="949"/>
      <c r="AG20" s="949"/>
      <c r="AH20" s="950"/>
    </row>
    <row r="21" spans="1:34" ht="18.600000000000001" thickBot="1">
      <c r="A21" s="954" t="s">
        <v>821</v>
      </c>
      <c r="B21" s="955"/>
      <c r="C21" s="955"/>
      <c r="D21" s="955"/>
      <c r="E21" s="955"/>
      <c r="F21" s="955"/>
      <c r="G21" s="955"/>
      <c r="H21" s="955"/>
      <c r="I21" s="955"/>
      <c r="J21" s="955"/>
      <c r="K21" s="955"/>
      <c r="L21" s="955"/>
      <c r="M21" s="955"/>
      <c r="N21" s="955"/>
      <c r="O21" s="955"/>
      <c r="P21" s="955"/>
      <c r="Q21" s="955"/>
      <c r="R21" s="955"/>
      <c r="S21" s="955"/>
      <c r="T21" s="955"/>
      <c r="U21" s="955"/>
      <c r="V21" s="955"/>
      <c r="W21" s="955"/>
      <c r="X21" s="955"/>
      <c r="Y21" s="955"/>
      <c r="Z21" s="955"/>
      <c r="AA21" s="955"/>
      <c r="AB21" s="955"/>
      <c r="AC21" s="955"/>
      <c r="AD21" s="955"/>
      <c r="AE21" s="955"/>
      <c r="AF21" s="955"/>
      <c r="AG21" s="955"/>
      <c r="AH21" s="956"/>
    </row>
    <row r="22" spans="1:34" ht="18.600000000000001" thickBot="1">
      <c r="A22" s="614"/>
      <c r="B22" s="615"/>
      <c r="C22" s="616"/>
      <c r="D22" s="617"/>
      <c r="E22" s="615"/>
      <c r="F22" s="615"/>
      <c r="G22" s="615"/>
      <c r="H22" s="615"/>
      <c r="I22" s="615"/>
      <c r="J22" s="615"/>
      <c r="K22" s="615"/>
      <c r="L22" s="615"/>
      <c r="M22" s="615"/>
      <c r="N22" s="615"/>
      <c r="O22" s="615"/>
      <c r="P22" s="615"/>
      <c r="Q22" s="615"/>
      <c r="R22" s="615"/>
      <c r="S22" s="615"/>
      <c r="T22" s="615"/>
      <c r="U22" s="615"/>
      <c r="V22" s="615"/>
      <c r="W22" s="615"/>
      <c r="X22" s="615"/>
      <c r="Y22" s="615"/>
      <c r="Z22" s="615"/>
      <c r="AA22" s="615"/>
      <c r="AB22" s="615"/>
      <c r="AC22" s="615"/>
      <c r="AD22" s="615"/>
      <c r="AE22" s="615"/>
      <c r="AF22" s="615"/>
      <c r="AG22" s="615"/>
      <c r="AH22" s="618"/>
    </row>
    <row r="23" spans="1:34" s="581" customFormat="1" ht="31.2" customHeight="1" thickBot="1">
      <c r="A23" s="604" t="s">
        <v>12</v>
      </c>
      <c r="B23" s="605" t="s">
        <v>672</v>
      </c>
      <c r="C23" s="606" t="s">
        <v>810</v>
      </c>
      <c r="D23" s="610">
        <v>45992</v>
      </c>
      <c r="E23" s="611">
        <v>45993</v>
      </c>
      <c r="F23" s="611">
        <v>45994</v>
      </c>
      <c r="G23" s="611">
        <v>45995</v>
      </c>
      <c r="H23" s="611">
        <v>45996</v>
      </c>
      <c r="I23" s="611">
        <v>45997</v>
      </c>
      <c r="J23" s="611">
        <v>45998</v>
      </c>
      <c r="K23" s="611">
        <v>45999</v>
      </c>
      <c r="L23" s="611">
        <v>46000</v>
      </c>
      <c r="M23" s="611">
        <v>46001</v>
      </c>
      <c r="N23" s="611">
        <v>46002</v>
      </c>
      <c r="O23" s="611">
        <v>46003</v>
      </c>
      <c r="P23" s="611">
        <v>46004</v>
      </c>
      <c r="Q23" s="611">
        <v>46005</v>
      </c>
      <c r="R23" s="611">
        <v>46006</v>
      </c>
      <c r="S23" s="611">
        <v>46007</v>
      </c>
      <c r="T23" s="611">
        <v>46008</v>
      </c>
      <c r="U23" s="611">
        <v>46009</v>
      </c>
      <c r="V23" s="611">
        <v>46010</v>
      </c>
      <c r="W23" s="611">
        <v>46011</v>
      </c>
      <c r="X23" s="611">
        <v>46012</v>
      </c>
      <c r="Y23" s="611">
        <v>46013</v>
      </c>
      <c r="Z23" s="611">
        <v>46014</v>
      </c>
      <c r="AA23" s="611">
        <v>46015</v>
      </c>
      <c r="AB23" s="611">
        <v>46016</v>
      </c>
      <c r="AC23" s="611">
        <v>46017</v>
      </c>
      <c r="AD23" s="611">
        <v>46018</v>
      </c>
      <c r="AE23" s="611">
        <v>46019</v>
      </c>
      <c r="AF23" s="611">
        <v>46020</v>
      </c>
      <c r="AG23" s="611">
        <v>46021</v>
      </c>
      <c r="AH23" s="612">
        <v>46022</v>
      </c>
    </row>
    <row r="24" spans="1:34" s="513" customFormat="1" ht="26.4" customHeight="1">
      <c r="A24" s="690">
        <v>1</v>
      </c>
      <c r="B24" s="691" t="s">
        <v>812</v>
      </c>
      <c r="C24" s="692" t="s">
        <v>811</v>
      </c>
      <c r="D24" s="693" t="s">
        <v>816</v>
      </c>
      <c r="E24" s="694" t="s">
        <v>816</v>
      </c>
      <c r="F24" s="695" t="s">
        <v>606</v>
      </c>
      <c r="G24" s="695" t="s">
        <v>606</v>
      </c>
      <c r="H24" s="695" t="s">
        <v>606</v>
      </c>
      <c r="I24" s="695" t="s">
        <v>606</v>
      </c>
      <c r="J24" s="695" t="s">
        <v>606</v>
      </c>
      <c r="K24" s="695" t="s">
        <v>606</v>
      </c>
      <c r="L24" s="695" t="s">
        <v>606</v>
      </c>
      <c r="M24" s="695" t="s">
        <v>606</v>
      </c>
      <c r="N24" s="695" t="s">
        <v>617</v>
      </c>
      <c r="O24" s="695" t="s">
        <v>617</v>
      </c>
      <c r="P24" s="695" t="s">
        <v>617</v>
      </c>
      <c r="Q24" s="695" t="s">
        <v>519</v>
      </c>
      <c r="R24" s="695" t="s">
        <v>519</v>
      </c>
      <c r="S24" s="695" t="s">
        <v>519</v>
      </c>
      <c r="T24" s="695" t="s">
        <v>519</v>
      </c>
      <c r="U24" s="695" t="s">
        <v>519</v>
      </c>
      <c r="V24" s="695" t="s">
        <v>519</v>
      </c>
      <c r="W24" s="695" t="s">
        <v>519</v>
      </c>
      <c r="X24" s="694" t="s">
        <v>816</v>
      </c>
      <c r="Y24" s="694" t="s">
        <v>816</v>
      </c>
      <c r="Z24" s="695" t="s">
        <v>560</v>
      </c>
      <c r="AA24" s="694" t="s">
        <v>816</v>
      </c>
      <c r="AB24" s="694" t="s">
        <v>816</v>
      </c>
      <c r="AC24" s="694" t="s">
        <v>816</v>
      </c>
      <c r="AD24" s="694" t="s">
        <v>816</v>
      </c>
      <c r="AE24" s="694" t="s">
        <v>816</v>
      </c>
      <c r="AF24" s="694" t="s">
        <v>816</v>
      </c>
      <c r="AG24" s="694" t="s">
        <v>816</v>
      </c>
      <c r="AH24" s="702" t="s">
        <v>816</v>
      </c>
    </row>
    <row r="25" spans="1:34" s="513" customFormat="1" ht="26.4" customHeight="1">
      <c r="A25" s="696">
        <v>2</v>
      </c>
      <c r="B25" s="697" t="s">
        <v>813</v>
      </c>
      <c r="C25" s="698" t="s">
        <v>811</v>
      </c>
      <c r="D25" s="699" t="s">
        <v>816</v>
      </c>
      <c r="E25" s="689" t="s">
        <v>816</v>
      </c>
      <c r="F25" s="689" t="s">
        <v>816</v>
      </c>
      <c r="G25" s="689" t="s">
        <v>816</v>
      </c>
      <c r="H25" s="689" t="s">
        <v>816</v>
      </c>
      <c r="I25" s="689" t="s">
        <v>816</v>
      </c>
      <c r="J25" s="689" t="s">
        <v>816</v>
      </c>
      <c r="K25" s="689" t="s">
        <v>816</v>
      </c>
      <c r="L25" s="689" t="s">
        <v>816</v>
      </c>
      <c r="M25" s="689" t="s">
        <v>816</v>
      </c>
      <c r="N25" s="689" t="s">
        <v>816</v>
      </c>
      <c r="O25" s="689" t="s">
        <v>816</v>
      </c>
      <c r="P25" s="47" t="s">
        <v>556</v>
      </c>
      <c r="Q25" s="47" t="s">
        <v>556</v>
      </c>
      <c r="R25" s="47" t="s">
        <v>556</v>
      </c>
      <c r="S25" s="47" t="s">
        <v>556</v>
      </c>
      <c r="T25" s="689" t="s">
        <v>816</v>
      </c>
      <c r="U25" s="47" t="s">
        <v>560</v>
      </c>
      <c r="V25" s="47" t="s">
        <v>560</v>
      </c>
      <c r="W25" s="47" t="s">
        <v>560</v>
      </c>
      <c r="X25" s="47" t="s">
        <v>560</v>
      </c>
      <c r="Y25" s="689" t="s">
        <v>816</v>
      </c>
      <c r="Z25" s="47" t="s">
        <v>560</v>
      </c>
      <c r="AA25" s="689" t="s">
        <v>816</v>
      </c>
      <c r="AB25" s="689" t="s">
        <v>816</v>
      </c>
      <c r="AC25" s="689" t="s">
        <v>816</v>
      </c>
      <c r="AD25" s="689" t="s">
        <v>816</v>
      </c>
      <c r="AE25" s="689" t="s">
        <v>816</v>
      </c>
      <c r="AF25" s="689" t="s">
        <v>816</v>
      </c>
      <c r="AG25" s="689" t="s">
        <v>816</v>
      </c>
      <c r="AH25" s="703" t="s">
        <v>816</v>
      </c>
    </row>
    <row r="26" spans="1:34" s="513" customFormat="1" ht="26.4" customHeight="1">
      <c r="A26" s="696">
        <v>3</v>
      </c>
      <c r="B26" s="697" t="s">
        <v>697</v>
      </c>
      <c r="C26" s="698" t="s">
        <v>814</v>
      </c>
      <c r="D26" s="699" t="s">
        <v>816</v>
      </c>
      <c r="E26" s="47" t="s">
        <v>678</v>
      </c>
      <c r="F26" s="47" t="s">
        <v>678</v>
      </c>
      <c r="G26" s="47" t="s">
        <v>678</v>
      </c>
      <c r="H26" s="47" t="s">
        <v>678</v>
      </c>
      <c r="I26" s="47" t="s">
        <v>678</v>
      </c>
      <c r="J26" s="47" t="s">
        <v>678</v>
      </c>
      <c r="K26" s="47" t="s">
        <v>678</v>
      </c>
      <c r="L26" s="47" t="s">
        <v>678</v>
      </c>
      <c r="M26" s="47" t="s">
        <v>678</v>
      </c>
      <c r="N26" s="47" t="s">
        <v>171</v>
      </c>
      <c r="O26" s="47" t="s">
        <v>171</v>
      </c>
      <c r="P26" s="47" t="s">
        <v>171</v>
      </c>
      <c r="Q26" s="47" t="s">
        <v>171</v>
      </c>
      <c r="R26" s="47" t="s">
        <v>171</v>
      </c>
      <c r="S26" s="689" t="s">
        <v>816</v>
      </c>
      <c r="T26" s="47" t="s">
        <v>172</v>
      </c>
      <c r="U26" s="47" t="s">
        <v>172</v>
      </c>
      <c r="V26" s="47" t="s">
        <v>172</v>
      </c>
      <c r="W26" s="47" t="s">
        <v>172</v>
      </c>
      <c r="X26" s="47" t="s">
        <v>172</v>
      </c>
      <c r="Y26" s="47" t="s">
        <v>172</v>
      </c>
      <c r="Z26" s="47" t="s">
        <v>616</v>
      </c>
      <c r="AA26" s="47" t="s">
        <v>616</v>
      </c>
      <c r="AB26" s="47" t="s">
        <v>616</v>
      </c>
      <c r="AC26" s="47" t="s">
        <v>616</v>
      </c>
      <c r="AD26" s="47" t="s">
        <v>616</v>
      </c>
      <c r="AE26" s="47" t="s">
        <v>616</v>
      </c>
      <c r="AF26" s="47" t="s">
        <v>616</v>
      </c>
      <c r="AG26" s="47" t="s">
        <v>616</v>
      </c>
      <c r="AH26" s="703" t="s">
        <v>868</v>
      </c>
    </row>
    <row r="27" spans="1:34" s="513" customFormat="1" ht="34.200000000000003" customHeight="1">
      <c r="A27" s="696">
        <v>4</v>
      </c>
      <c r="B27" s="697" t="s">
        <v>699</v>
      </c>
      <c r="C27" s="698" t="s">
        <v>814</v>
      </c>
      <c r="D27" s="685" t="s">
        <v>557</v>
      </c>
      <c r="E27" s="47" t="s">
        <v>557</v>
      </c>
      <c r="F27" s="47" t="s">
        <v>557</v>
      </c>
      <c r="G27" s="47" t="s">
        <v>557</v>
      </c>
      <c r="H27" s="47" t="s">
        <v>557</v>
      </c>
      <c r="I27" s="47" t="s">
        <v>557</v>
      </c>
      <c r="J27" s="47" t="s">
        <v>557</v>
      </c>
      <c r="K27" s="47" t="s">
        <v>183</v>
      </c>
      <c r="L27" s="47" t="s">
        <v>183</v>
      </c>
      <c r="M27" s="47" t="s">
        <v>183</v>
      </c>
      <c r="N27" s="47" t="s">
        <v>183</v>
      </c>
      <c r="O27" s="47" t="s">
        <v>183</v>
      </c>
      <c r="P27" s="47" t="s">
        <v>183</v>
      </c>
      <c r="Q27" s="47" t="s">
        <v>183</v>
      </c>
      <c r="R27" s="47" t="s">
        <v>184</v>
      </c>
      <c r="S27" s="47" t="s">
        <v>184</v>
      </c>
      <c r="T27" s="47" t="s">
        <v>184</v>
      </c>
      <c r="U27" s="47" t="s">
        <v>184</v>
      </c>
      <c r="V27" s="47" t="s">
        <v>184</v>
      </c>
      <c r="W27" s="47" t="s">
        <v>185</v>
      </c>
      <c r="X27" s="47" t="s">
        <v>185</v>
      </c>
      <c r="Y27" s="47" t="s">
        <v>185</v>
      </c>
      <c r="Z27" s="47" t="s">
        <v>185</v>
      </c>
      <c r="AA27" s="47" t="s">
        <v>185</v>
      </c>
      <c r="AB27" s="47" t="s">
        <v>185</v>
      </c>
      <c r="AC27" s="47" t="s">
        <v>185</v>
      </c>
      <c r="AD27" s="689" t="s">
        <v>859</v>
      </c>
      <c r="AE27" s="47" t="s">
        <v>553</v>
      </c>
      <c r="AF27" s="47" t="s">
        <v>553</v>
      </c>
      <c r="AG27" s="47" t="s">
        <v>553</v>
      </c>
      <c r="AH27" s="703" t="s">
        <v>816</v>
      </c>
    </row>
    <row r="28" spans="1:34" s="513" customFormat="1" ht="26.4" customHeight="1">
      <c r="A28" s="696">
        <v>5</v>
      </c>
      <c r="B28" s="697" t="s">
        <v>815</v>
      </c>
      <c r="C28" s="698" t="s">
        <v>814</v>
      </c>
      <c r="D28" s="685" t="s">
        <v>153</v>
      </c>
      <c r="E28" s="47" t="s">
        <v>153</v>
      </c>
      <c r="F28" s="689" t="s">
        <v>816</v>
      </c>
      <c r="G28" s="620" t="s">
        <v>819</v>
      </c>
      <c r="H28" s="620" t="s">
        <v>819</v>
      </c>
      <c r="I28" s="47" t="s">
        <v>163</v>
      </c>
      <c r="J28" s="47" t="s">
        <v>163</v>
      </c>
      <c r="K28" s="47" t="s">
        <v>163</v>
      </c>
      <c r="L28" s="47" t="s">
        <v>163</v>
      </c>
      <c r="M28" s="47" t="s">
        <v>163</v>
      </c>
      <c r="N28" s="47" t="s">
        <v>163</v>
      </c>
      <c r="O28" s="47" t="s">
        <v>163</v>
      </c>
      <c r="P28" s="47" t="s">
        <v>163</v>
      </c>
      <c r="Q28" s="47" t="s">
        <v>163</v>
      </c>
      <c r="R28" s="689" t="s">
        <v>816</v>
      </c>
      <c r="S28" s="47" t="s">
        <v>558</v>
      </c>
      <c r="T28" s="47" t="s">
        <v>558</v>
      </c>
      <c r="U28" s="47" t="s">
        <v>558</v>
      </c>
      <c r="V28" s="47" t="s">
        <v>558</v>
      </c>
      <c r="W28" s="47" t="s">
        <v>558</v>
      </c>
      <c r="X28" s="47" t="s">
        <v>558</v>
      </c>
      <c r="Y28" s="47" t="s">
        <v>558</v>
      </c>
      <c r="Z28" s="47" t="s">
        <v>558</v>
      </c>
      <c r="AA28" s="47" t="s">
        <v>558</v>
      </c>
      <c r="AB28" s="47" t="s">
        <v>558</v>
      </c>
      <c r="AC28" s="47" t="s">
        <v>186</v>
      </c>
      <c r="AD28" s="689" t="s">
        <v>860</v>
      </c>
      <c r="AE28" s="689" t="s">
        <v>860</v>
      </c>
      <c r="AF28" s="689" t="s">
        <v>860</v>
      </c>
      <c r="AG28" s="689" t="s">
        <v>860</v>
      </c>
      <c r="AH28" s="703" t="s">
        <v>860</v>
      </c>
    </row>
    <row r="29" spans="1:34" s="513" customFormat="1" ht="26.4" customHeight="1">
      <c r="A29" s="696">
        <v>6</v>
      </c>
      <c r="B29" s="697" t="s">
        <v>864</v>
      </c>
      <c r="C29" s="698" t="s">
        <v>814</v>
      </c>
      <c r="D29" s="685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 t="s">
        <v>866</v>
      </c>
      <c r="AE29" s="689" t="s">
        <v>816</v>
      </c>
      <c r="AF29" s="47" t="s">
        <v>556</v>
      </c>
      <c r="AG29" s="689" t="s">
        <v>869</v>
      </c>
      <c r="AH29" s="703" t="s">
        <v>869</v>
      </c>
    </row>
    <row r="30" spans="1:34" s="513" customFormat="1" ht="26.4" customHeight="1">
      <c r="A30" s="696">
        <v>7</v>
      </c>
      <c r="B30" s="697" t="s">
        <v>865</v>
      </c>
      <c r="C30" s="698" t="s">
        <v>814</v>
      </c>
      <c r="D30" s="685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 t="s">
        <v>866</v>
      </c>
      <c r="AF30" s="689" t="s">
        <v>816</v>
      </c>
      <c r="AG30" s="689" t="s">
        <v>816</v>
      </c>
      <c r="AH30" s="704" t="s">
        <v>836</v>
      </c>
    </row>
    <row r="31" spans="1:34" s="513" customFormat="1" ht="40.200000000000003" customHeight="1">
      <c r="A31" s="696">
        <v>8</v>
      </c>
      <c r="B31" s="697" t="s">
        <v>782</v>
      </c>
      <c r="C31" s="698" t="s">
        <v>781</v>
      </c>
      <c r="D31" s="700" t="s">
        <v>817</v>
      </c>
      <c r="E31" s="602" t="s">
        <v>818</v>
      </c>
      <c r="F31" s="602" t="s">
        <v>818</v>
      </c>
      <c r="G31" s="602" t="s">
        <v>818</v>
      </c>
      <c r="H31" s="602" t="s">
        <v>818</v>
      </c>
      <c r="I31" s="602" t="s">
        <v>818</v>
      </c>
      <c r="J31" s="602" t="s">
        <v>818</v>
      </c>
      <c r="K31" s="602" t="s">
        <v>818</v>
      </c>
      <c r="L31" s="602" t="s">
        <v>818</v>
      </c>
      <c r="M31" s="602" t="s">
        <v>827</v>
      </c>
      <c r="N31" s="603" t="s">
        <v>826</v>
      </c>
      <c r="O31" s="603" t="s">
        <v>829</v>
      </c>
      <c r="P31" s="603" t="s">
        <v>829</v>
      </c>
      <c r="Q31" s="689" t="s">
        <v>816</v>
      </c>
      <c r="R31" s="689" t="s">
        <v>816</v>
      </c>
      <c r="S31" s="689" t="s">
        <v>816</v>
      </c>
      <c r="T31" s="689" t="s">
        <v>816</v>
      </c>
      <c r="U31" s="689" t="s">
        <v>816</v>
      </c>
      <c r="V31" s="689" t="s">
        <v>816</v>
      </c>
      <c r="W31" s="635" t="s">
        <v>849</v>
      </c>
      <c r="X31" s="635" t="s">
        <v>849</v>
      </c>
      <c r="Y31" s="635" t="s">
        <v>854</v>
      </c>
      <c r="Z31" s="635" t="s">
        <v>856</v>
      </c>
      <c r="AA31" s="635" t="s">
        <v>854</v>
      </c>
      <c r="AB31" s="635" t="s">
        <v>856</v>
      </c>
      <c r="AC31" s="635" t="s">
        <v>854</v>
      </c>
      <c r="AD31" s="635" t="s">
        <v>861</v>
      </c>
      <c r="AE31" s="635" t="s">
        <v>862</v>
      </c>
      <c r="AF31" s="635" t="s">
        <v>862</v>
      </c>
      <c r="AG31" s="635" t="s">
        <v>867</v>
      </c>
      <c r="AH31" s="705" t="s">
        <v>870</v>
      </c>
    </row>
    <row r="32" spans="1:34" s="45" customFormat="1" ht="40.200000000000003" customHeight="1" thickBot="1">
      <c r="A32" s="607">
        <v>9</v>
      </c>
      <c r="B32" s="608" t="s">
        <v>831</v>
      </c>
      <c r="C32" s="609" t="s">
        <v>781</v>
      </c>
      <c r="D32" s="584"/>
      <c r="E32" s="582"/>
      <c r="F32" s="582"/>
      <c r="G32" s="582"/>
      <c r="H32" s="582"/>
      <c r="I32" s="582"/>
      <c r="J32" s="582"/>
      <c r="K32" s="582"/>
      <c r="L32" s="582"/>
      <c r="M32" s="591"/>
      <c r="N32" s="590"/>
      <c r="O32" s="592"/>
      <c r="P32" s="592"/>
      <c r="Q32" s="601"/>
      <c r="R32" s="592" t="s">
        <v>832</v>
      </c>
      <c r="S32" s="592" t="s">
        <v>832</v>
      </c>
      <c r="T32" s="592" t="s">
        <v>832</v>
      </c>
      <c r="U32" s="592" t="s">
        <v>847</v>
      </c>
      <c r="V32" s="592" t="s">
        <v>847</v>
      </c>
      <c r="W32" s="636" t="s">
        <v>850</v>
      </c>
      <c r="X32" s="636" t="s">
        <v>850</v>
      </c>
      <c r="Y32" s="636" t="s">
        <v>855</v>
      </c>
      <c r="Z32" s="636" t="s">
        <v>855</v>
      </c>
      <c r="AA32" s="636" t="s">
        <v>855</v>
      </c>
      <c r="AB32" s="636" t="s">
        <v>855</v>
      </c>
      <c r="AC32" s="636" t="s">
        <v>855</v>
      </c>
      <c r="AD32" s="632" t="s">
        <v>816</v>
      </c>
      <c r="AE32" s="632" t="s">
        <v>816</v>
      </c>
      <c r="AF32" s="632" t="s">
        <v>816</v>
      </c>
      <c r="AG32" s="632" t="s">
        <v>816</v>
      </c>
      <c r="AH32" s="633" t="s">
        <v>816</v>
      </c>
    </row>
    <row r="35" spans="1:34" ht="15" thickBot="1"/>
    <row r="36" spans="1:34" ht="21.6" thickBot="1">
      <c r="A36" s="948" t="s">
        <v>820</v>
      </c>
      <c r="B36" s="949"/>
      <c r="C36" s="949"/>
      <c r="D36" s="949"/>
      <c r="E36" s="949"/>
      <c r="F36" s="949"/>
      <c r="G36" s="949"/>
      <c r="H36" s="949"/>
      <c r="I36" s="949"/>
      <c r="J36" s="949"/>
      <c r="K36" s="949"/>
      <c r="L36" s="949"/>
      <c r="M36" s="949"/>
      <c r="N36" s="949"/>
      <c r="O36" s="949"/>
      <c r="P36" s="949"/>
      <c r="Q36" s="949"/>
      <c r="R36" s="949"/>
      <c r="S36" s="949"/>
      <c r="T36" s="949"/>
      <c r="U36" s="949"/>
      <c r="V36" s="949"/>
      <c r="W36" s="949"/>
      <c r="X36" s="949"/>
      <c r="Y36" s="949"/>
      <c r="Z36" s="949"/>
      <c r="AA36" s="949"/>
      <c r="AB36" s="949"/>
      <c r="AC36" s="949"/>
      <c r="AD36" s="949"/>
      <c r="AE36" s="949"/>
      <c r="AF36" s="949"/>
      <c r="AG36" s="949"/>
      <c r="AH36" s="950"/>
    </row>
    <row r="37" spans="1:34" ht="18.600000000000001" thickBot="1">
      <c r="A37" s="954" t="s">
        <v>833</v>
      </c>
      <c r="B37" s="955"/>
      <c r="C37" s="955"/>
      <c r="D37" s="955"/>
      <c r="E37" s="955"/>
      <c r="F37" s="955"/>
      <c r="G37" s="955"/>
      <c r="H37" s="955"/>
      <c r="I37" s="955"/>
      <c r="J37" s="955"/>
      <c r="K37" s="955"/>
      <c r="L37" s="955"/>
      <c r="M37" s="955"/>
      <c r="N37" s="955"/>
      <c r="O37" s="955"/>
      <c r="P37" s="955"/>
      <c r="Q37" s="955"/>
      <c r="R37" s="955"/>
      <c r="S37" s="955"/>
      <c r="T37" s="955"/>
      <c r="U37" s="955"/>
      <c r="V37" s="955"/>
      <c r="W37" s="955"/>
      <c r="X37" s="955"/>
      <c r="Y37" s="955"/>
      <c r="Z37" s="955"/>
      <c r="AA37" s="955"/>
      <c r="AB37" s="955"/>
      <c r="AC37" s="955"/>
      <c r="AD37" s="955"/>
      <c r="AE37" s="955"/>
      <c r="AF37" s="955"/>
      <c r="AG37" s="955"/>
      <c r="AH37" s="956"/>
    </row>
    <row r="38" spans="1:34" ht="19.2" customHeight="1">
      <c r="A38" s="621" t="s">
        <v>12</v>
      </c>
      <c r="B38" s="622" t="s">
        <v>672</v>
      </c>
      <c r="C38" s="623" t="s">
        <v>810</v>
      </c>
      <c r="D38" s="624">
        <v>45962</v>
      </c>
      <c r="E38" s="624">
        <v>45963</v>
      </c>
      <c r="F38" s="624">
        <v>45964</v>
      </c>
      <c r="G38" s="624">
        <v>45965</v>
      </c>
      <c r="H38" s="624">
        <v>45966</v>
      </c>
      <c r="I38" s="624">
        <v>45967</v>
      </c>
      <c r="J38" s="624">
        <v>45968</v>
      </c>
      <c r="K38" s="624">
        <v>45969</v>
      </c>
      <c r="L38" s="624">
        <v>45970</v>
      </c>
      <c r="M38" s="624">
        <v>45971</v>
      </c>
      <c r="N38" s="624">
        <v>45972</v>
      </c>
      <c r="O38" s="624">
        <v>45973</v>
      </c>
      <c r="P38" s="624">
        <v>45974</v>
      </c>
      <c r="Q38" s="624">
        <v>45975</v>
      </c>
      <c r="R38" s="624">
        <v>45976</v>
      </c>
      <c r="S38" s="624">
        <v>45977</v>
      </c>
      <c r="T38" s="624">
        <v>45978</v>
      </c>
      <c r="U38" s="624">
        <v>45979</v>
      </c>
      <c r="V38" s="624">
        <v>45980</v>
      </c>
      <c r="W38" s="624">
        <v>45981</v>
      </c>
      <c r="X38" s="624">
        <v>45982</v>
      </c>
      <c r="Y38" s="624">
        <v>45983</v>
      </c>
      <c r="Z38" s="624">
        <v>45984</v>
      </c>
      <c r="AA38" s="624">
        <v>45985</v>
      </c>
      <c r="AB38" s="624">
        <v>45986</v>
      </c>
      <c r="AC38" s="624">
        <v>45987</v>
      </c>
      <c r="AD38" s="624">
        <v>45988</v>
      </c>
      <c r="AE38" s="624">
        <v>45989</v>
      </c>
      <c r="AF38" s="624">
        <v>45990</v>
      </c>
      <c r="AG38" s="624">
        <v>45991</v>
      </c>
      <c r="AH38" s="624"/>
    </row>
    <row r="39" spans="1:34" ht="21.6" customHeight="1">
      <c r="A39" s="161">
        <v>1</v>
      </c>
      <c r="B39" s="598" t="s">
        <v>834</v>
      </c>
      <c r="C39" s="599" t="s">
        <v>811</v>
      </c>
      <c r="D39" s="619" t="s">
        <v>816</v>
      </c>
      <c r="E39" s="583" t="s">
        <v>182</v>
      </c>
      <c r="F39" s="583" t="s">
        <v>182</v>
      </c>
      <c r="G39" s="583" t="s">
        <v>182</v>
      </c>
      <c r="H39" s="583" t="s">
        <v>182</v>
      </c>
      <c r="I39" s="583" t="s">
        <v>182</v>
      </c>
      <c r="J39" s="583" t="s">
        <v>182</v>
      </c>
      <c r="K39" s="583" t="s">
        <v>182</v>
      </c>
      <c r="L39" s="583" t="s">
        <v>182</v>
      </c>
      <c r="M39" s="583" t="s">
        <v>182</v>
      </c>
      <c r="N39" s="595" t="s">
        <v>181</v>
      </c>
      <c r="O39" s="595" t="s">
        <v>181</v>
      </c>
      <c r="P39" s="595" t="s">
        <v>181</v>
      </c>
      <c r="Q39" s="595" t="s">
        <v>181</v>
      </c>
      <c r="R39" s="619" t="s">
        <v>816</v>
      </c>
      <c r="S39" s="619" t="s">
        <v>816</v>
      </c>
      <c r="T39" s="619" t="s">
        <v>816</v>
      </c>
      <c r="U39" s="619" t="s">
        <v>816</v>
      </c>
      <c r="V39" s="619" t="s">
        <v>816</v>
      </c>
      <c r="W39" s="619" t="s">
        <v>816</v>
      </c>
      <c r="X39" s="619" t="s">
        <v>816</v>
      </c>
      <c r="Y39" s="619" t="s">
        <v>816</v>
      </c>
      <c r="Z39" s="619" t="s">
        <v>816</v>
      </c>
      <c r="AA39" s="619" t="s">
        <v>816</v>
      </c>
      <c r="AB39" s="619" t="s">
        <v>816</v>
      </c>
      <c r="AC39" s="619" t="s">
        <v>816</v>
      </c>
      <c r="AD39" s="619" t="s">
        <v>816</v>
      </c>
      <c r="AE39" s="619" t="s">
        <v>816</v>
      </c>
      <c r="AF39" s="619" t="s">
        <v>816</v>
      </c>
      <c r="AG39" s="619" t="s">
        <v>816</v>
      </c>
      <c r="AH39" s="575"/>
    </row>
    <row r="40" spans="1:34" ht="21.6" customHeight="1">
      <c r="A40" s="161">
        <v>2</v>
      </c>
      <c r="B40" s="598" t="s">
        <v>835</v>
      </c>
      <c r="C40" s="599" t="s">
        <v>811</v>
      </c>
      <c r="D40" s="625" t="s">
        <v>836</v>
      </c>
      <c r="E40" s="625" t="s">
        <v>836</v>
      </c>
      <c r="F40" s="625" t="s">
        <v>836</v>
      </c>
      <c r="G40" s="625" t="s">
        <v>836</v>
      </c>
      <c r="H40" s="625" t="s">
        <v>836</v>
      </c>
      <c r="I40" s="625" t="s">
        <v>836</v>
      </c>
      <c r="J40" s="625" t="s">
        <v>836</v>
      </c>
      <c r="K40" s="625" t="s">
        <v>836</v>
      </c>
      <c r="L40" s="625" t="s">
        <v>836</v>
      </c>
      <c r="M40" s="625" t="s">
        <v>836</v>
      </c>
      <c r="N40" s="625" t="s">
        <v>836</v>
      </c>
      <c r="O40" s="595" t="s">
        <v>799</v>
      </c>
      <c r="P40" s="595" t="s">
        <v>799</v>
      </c>
      <c r="Q40" s="595" t="s">
        <v>799</v>
      </c>
      <c r="R40" s="595" t="s">
        <v>799</v>
      </c>
      <c r="S40" s="619" t="s">
        <v>816</v>
      </c>
      <c r="T40" s="595" t="s">
        <v>799</v>
      </c>
      <c r="U40" s="595" t="s">
        <v>799</v>
      </c>
      <c r="V40" s="595" t="s">
        <v>799</v>
      </c>
      <c r="W40" s="595" t="s">
        <v>799</v>
      </c>
      <c r="X40" s="595" t="s">
        <v>799</v>
      </c>
      <c r="Y40" s="619" t="s">
        <v>816</v>
      </c>
      <c r="Z40" s="619" t="s">
        <v>816</v>
      </c>
      <c r="AA40" s="619" t="s">
        <v>816</v>
      </c>
      <c r="AB40" s="595" t="s">
        <v>616</v>
      </c>
      <c r="AC40" s="595" t="s">
        <v>616</v>
      </c>
      <c r="AD40" s="595" t="s">
        <v>616</v>
      </c>
      <c r="AE40" s="595" t="s">
        <v>616</v>
      </c>
      <c r="AF40" s="619" t="s">
        <v>816</v>
      </c>
      <c r="AG40" s="619" t="s">
        <v>816</v>
      </c>
      <c r="AH40" s="575"/>
    </row>
    <row r="41" spans="1:34" ht="21.6" customHeight="1">
      <c r="A41" s="161">
        <v>3</v>
      </c>
      <c r="B41" s="598" t="s">
        <v>837</v>
      </c>
      <c r="C41" s="599" t="s">
        <v>811</v>
      </c>
      <c r="D41" s="625" t="s">
        <v>836</v>
      </c>
      <c r="E41" s="625" t="s">
        <v>836</v>
      </c>
      <c r="F41" s="625" t="s">
        <v>836</v>
      </c>
      <c r="G41" s="625" t="s">
        <v>836</v>
      </c>
      <c r="H41" s="625" t="s">
        <v>836</v>
      </c>
      <c r="I41" s="625" t="s">
        <v>836</v>
      </c>
      <c r="J41" s="625" t="s">
        <v>836</v>
      </c>
      <c r="K41" s="625" t="s">
        <v>836</v>
      </c>
      <c r="L41" s="625" t="s">
        <v>836</v>
      </c>
      <c r="M41" s="625" t="s">
        <v>836</v>
      </c>
      <c r="N41" s="625" t="s">
        <v>836</v>
      </c>
      <c r="O41" s="625" t="s">
        <v>836</v>
      </c>
      <c r="P41" s="625" t="s">
        <v>836</v>
      </c>
      <c r="Q41" s="595" t="s">
        <v>800</v>
      </c>
      <c r="R41" s="595" t="s">
        <v>800</v>
      </c>
      <c r="S41" s="619" t="s">
        <v>816</v>
      </c>
      <c r="T41" s="619" t="s">
        <v>816</v>
      </c>
      <c r="U41" s="595" t="s">
        <v>800</v>
      </c>
      <c r="V41" s="595" t="s">
        <v>800</v>
      </c>
      <c r="W41" s="595" t="s">
        <v>800</v>
      </c>
      <c r="X41" s="595" t="s">
        <v>800</v>
      </c>
      <c r="Y41" s="595" t="s">
        <v>800</v>
      </c>
      <c r="Z41" s="595" t="s">
        <v>800</v>
      </c>
      <c r="AA41" s="595" t="s">
        <v>800</v>
      </c>
      <c r="AB41" s="595" t="s">
        <v>800</v>
      </c>
      <c r="AC41" s="619" t="s">
        <v>816</v>
      </c>
      <c r="AD41" s="619" t="s">
        <v>816</v>
      </c>
      <c r="AE41" s="619" t="s">
        <v>816</v>
      </c>
      <c r="AF41" s="619" t="s">
        <v>816</v>
      </c>
      <c r="AG41" s="619" t="s">
        <v>816</v>
      </c>
      <c r="AH41" s="575"/>
    </row>
    <row r="42" spans="1:34" ht="21.6" customHeight="1">
      <c r="A42" s="161">
        <v>4</v>
      </c>
      <c r="B42" s="598" t="s">
        <v>815</v>
      </c>
      <c r="C42" s="599" t="s">
        <v>814</v>
      </c>
      <c r="D42" s="583" t="s">
        <v>162</v>
      </c>
      <c r="E42" s="583" t="s">
        <v>162</v>
      </c>
      <c r="F42" s="583" t="s">
        <v>162</v>
      </c>
      <c r="G42" s="583" t="s">
        <v>162</v>
      </c>
      <c r="H42" s="583" t="s">
        <v>162</v>
      </c>
      <c r="I42" s="583" t="s">
        <v>162</v>
      </c>
      <c r="J42" s="583" t="s">
        <v>158</v>
      </c>
      <c r="K42" s="583" t="s">
        <v>158</v>
      </c>
      <c r="L42" s="583" t="s">
        <v>158</v>
      </c>
      <c r="M42" s="583" t="s">
        <v>158</v>
      </c>
      <c r="N42" s="583" t="s">
        <v>158</v>
      </c>
      <c r="O42" s="583" t="s">
        <v>158</v>
      </c>
      <c r="P42" s="595" t="s">
        <v>120</v>
      </c>
      <c r="Q42" s="595" t="s">
        <v>120</v>
      </c>
      <c r="R42" s="595" t="s">
        <v>120</v>
      </c>
      <c r="S42" s="595" t="s">
        <v>120</v>
      </c>
      <c r="T42" s="595" t="s">
        <v>120</v>
      </c>
      <c r="U42" s="595" t="s">
        <v>120</v>
      </c>
      <c r="V42" s="595" t="s">
        <v>120</v>
      </c>
      <c r="W42" s="595" t="s">
        <v>120</v>
      </c>
      <c r="X42" s="595" t="s">
        <v>120</v>
      </c>
      <c r="Y42" s="619" t="s">
        <v>816</v>
      </c>
      <c r="Z42" s="595" t="s">
        <v>153</v>
      </c>
      <c r="AA42" s="595" t="s">
        <v>153</v>
      </c>
      <c r="AB42" s="595" t="s">
        <v>153</v>
      </c>
      <c r="AC42" s="595" t="s">
        <v>153</v>
      </c>
      <c r="AD42" s="595" t="s">
        <v>153</v>
      </c>
      <c r="AE42" s="595" t="s">
        <v>153</v>
      </c>
      <c r="AF42" s="595" t="s">
        <v>153</v>
      </c>
      <c r="AG42" s="595" t="s">
        <v>153</v>
      </c>
      <c r="AH42" s="575"/>
    </row>
    <row r="43" spans="1:34" ht="21.6" customHeight="1">
      <c r="A43" s="161">
        <v>5</v>
      </c>
      <c r="B43" s="598" t="s">
        <v>699</v>
      </c>
      <c r="C43" s="599" t="s">
        <v>814</v>
      </c>
      <c r="D43" s="583" t="s">
        <v>658</v>
      </c>
      <c r="E43" s="583" t="s">
        <v>658</v>
      </c>
      <c r="F43" s="583" t="s">
        <v>658</v>
      </c>
      <c r="G43" s="583" t="s">
        <v>658</v>
      </c>
      <c r="H43" s="583" t="s">
        <v>658</v>
      </c>
      <c r="I43" s="583" t="s">
        <v>658</v>
      </c>
      <c r="J43" s="583" t="s">
        <v>658</v>
      </c>
      <c r="K43" s="619" t="s">
        <v>816</v>
      </c>
      <c r="L43" s="619" t="s">
        <v>816</v>
      </c>
      <c r="M43" s="583" t="s">
        <v>674</v>
      </c>
      <c r="N43" s="583" t="s">
        <v>674</v>
      </c>
      <c r="O43" s="583" t="s">
        <v>674</v>
      </c>
      <c r="P43" s="583" t="s">
        <v>674</v>
      </c>
      <c r="Q43" s="583" t="s">
        <v>674</v>
      </c>
      <c r="R43" s="583" t="s">
        <v>674</v>
      </c>
      <c r="S43" s="583" t="s">
        <v>674</v>
      </c>
      <c r="T43" s="583" t="s">
        <v>674</v>
      </c>
      <c r="U43" s="583" t="s">
        <v>674</v>
      </c>
      <c r="V43" s="583" t="s">
        <v>168</v>
      </c>
      <c r="W43" s="583" t="s">
        <v>168</v>
      </c>
      <c r="X43" s="583" t="s">
        <v>168</v>
      </c>
      <c r="Y43" s="583" t="s">
        <v>168</v>
      </c>
      <c r="Z43" s="583" t="s">
        <v>168</v>
      </c>
      <c r="AA43" s="583" t="s">
        <v>168</v>
      </c>
      <c r="AB43" s="583" t="s">
        <v>168</v>
      </c>
      <c r="AC43" s="583" t="s">
        <v>168</v>
      </c>
      <c r="AD43" s="583" t="s">
        <v>168</v>
      </c>
      <c r="AE43" s="619" t="s">
        <v>816</v>
      </c>
      <c r="AF43" s="595" t="s">
        <v>557</v>
      </c>
      <c r="AG43" s="595" t="s">
        <v>557</v>
      </c>
      <c r="AH43" s="575"/>
    </row>
    <row r="44" spans="1:34" ht="21.6" customHeight="1">
      <c r="A44" s="161">
        <v>6</v>
      </c>
      <c r="B44" s="598" t="s">
        <v>697</v>
      </c>
      <c r="C44" s="599" t="s">
        <v>814</v>
      </c>
      <c r="D44" s="583" t="s">
        <v>663</v>
      </c>
      <c r="E44" s="583" t="s">
        <v>663</v>
      </c>
      <c r="F44" s="583" t="s">
        <v>663</v>
      </c>
      <c r="G44" s="583" t="s">
        <v>663</v>
      </c>
      <c r="H44" s="583" t="s">
        <v>663</v>
      </c>
      <c r="I44" s="583" t="s">
        <v>663</v>
      </c>
      <c r="J44" s="583" t="s">
        <v>663</v>
      </c>
      <c r="K44" s="583" t="s">
        <v>663</v>
      </c>
      <c r="L44" s="583" t="s">
        <v>151</v>
      </c>
      <c r="M44" s="583" t="s">
        <v>151</v>
      </c>
      <c r="N44" s="583" t="s">
        <v>151</v>
      </c>
      <c r="O44" s="583" t="s">
        <v>151</v>
      </c>
      <c r="P44" s="583" t="s">
        <v>151</v>
      </c>
      <c r="Q44" s="583" t="s">
        <v>663</v>
      </c>
      <c r="R44" s="583" t="s">
        <v>663</v>
      </c>
      <c r="S44" s="583" t="s">
        <v>663</v>
      </c>
      <c r="T44" s="583" t="s">
        <v>663</v>
      </c>
      <c r="U44" s="583" t="s">
        <v>663</v>
      </c>
      <c r="V44" s="583" t="s">
        <v>663</v>
      </c>
      <c r="W44" s="583" t="s">
        <v>663</v>
      </c>
      <c r="X44" s="583" t="s">
        <v>663</v>
      </c>
      <c r="Y44" s="583" t="s">
        <v>663</v>
      </c>
      <c r="Z44" s="583" t="s">
        <v>663</v>
      </c>
      <c r="AA44" s="583" t="s">
        <v>663</v>
      </c>
      <c r="AB44" s="583" t="s">
        <v>663</v>
      </c>
      <c r="AC44" s="583" t="s">
        <v>663</v>
      </c>
      <c r="AD44" s="583" t="s">
        <v>663</v>
      </c>
      <c r="AE44" s="583" t="s">
        <v>663</v>
      </c>
      <c r="AF44" s="583" t="s">
        <v>663</v>
      </c>
      <c r="AG44" s="619" t="s">
        <v>816</v>
      </c>
      <c r="AH44" s="575"/>
    </row>
    <row r="45" spans="1:34" ht="21.6" customHeight="1" thickBot="1">
      <c r="A45" s="149">
        <v>7</v>
      </c>
      <c r="B45" s="597" t="s">
        <v>782</v>
      </c>
      <c r="C45" s="600" t="s">
        <v>781</v>
      </c>
      <c r="D45" s="626" t="s">
        <v>795</v>
      </c>
      <c r="E45" s="626" t="s">
        <v>795</v>
      </c>
      <c r="F45" s="626" t="s">
        <v>795</v>
      </c>
      <c r="G45" s="619" t="s">
        <v>816</v>
      </c>
      <c r="H45" s="626" t="s">
        <v>774</v>
      </c>
      <c r="I45" s="626" t="s">
        <v>774</v>
      </c>
      <c r="J45" s="626" t="s">
        <v>774</v>
      </c>
      <c r="K45" s="626" t="s">
        <v>774</v>
      </c>
      <c r="L45" s="626" t="s">
        <v>774</v>
      </c>
      <c r="M45" s="626" t="s">
        <v>795</v>
      </c>
      <c r="N45" s="626" t="s">
        <v>795</v>
      </c>
      <c r="O45" s="626" t="s">
        <v>774</v>
      </c>
      <c r="P45" s="626" t="s">
        <v>795</v>
      </c>
      <c r="Q45" s="626" t="s">
        <v>774</v>
      </c>
      <c r="R45" s="626" t="s">
        <v>795</v>
      </c>
      <c r="S45" s="626" t="s">
        <v>774</v>
      </c>
      <c r="T45" s="626" t="s">
        <v>774</v>
      </c>
      <c r="U45" s="627" t="s">
        <v>792</v>
      </c>
      <c r="V45" s="627" t="s">
        <v>792</v>
      </c>
      <c r="W45" s="627" t="s">
        <v>792</v>
      </c>
      <c r="X45" s="627" t="s">
        <v>792</v>
      </c>
      <c r="Y45" s="627" t="s">
        <v>792</v>
      </c>
      <c r="Z45" s="627" t="s">
        <v>792</v>
      </c>
      <c r="AA45" s="627" t="s">
        <v>792</v>
      </c>
      <c r="AB45" s="627" t="s">
        <v>792</v>
      </c>
      <c r="AC45" s="627" t="s">
        <v>792</v>
      </c>
      <c r="AD45" s="627" t="s">
        <v>792</v>
      </c>
      <c r="AE45" s="627" t="s">
        <v>792</v>
      </c>
      <c r="AF45" s="627" t="s">
        <v>792</v>
      </c>
      <c r="AG45" s="627" t="s">
        <v>792</v>
      </c>
      <c r="AH45" s="628"/>
    </row>
    <row r="49" spans="1:34" ht="15" thickBot="1"/>
    <row r="50" spans="1:34" ht="21.6" thickBot="1">
      <c r="A50" s="948" t="s">
        <v>820</v>
      </c>
      <c r="B50" s="949"/>
      <c r="C50" s="949"/>
      <c r="D50" s="949"/>
      <c r="E50" s="949"/>
      <c r="F50" s="949"/>
      <c r="G50" s="949"/>
      <c r="H50" s="949"/>
      <c r="I50" s="949"/>
      <c r="J50" s="949"/>
      <c r="K50" s="949"/>
      <c r="L50" s="949"/>
      <c r="M50" s="949"/>
      <c r="N50" s="949"/>
      <c r="O50" s="949"/>
      <c r="P50" s="949"/>
      <c r="Q50" s="949"/>
      <c r="R50" s="949"/>
      <c r="S50" s="949"/>
      <c r="T50" s="949"/>
      <c r="U50" s="949"/>
      <c r="V50" s="949"/>
      <c r="W50" s="949"/>
      <c r="X50" s="949"/>
      <c r="Y50" s="949"/>
      <c r="Z50" s="949"/>
      <c r="AA50" s="949"/>
      <c r="AB50" s="949"/>
      <c r="AC50" s="949"/>
      <c r="AD50" s="949"/>
      <c r="AE50" s="949"/>
      <c r="AF50" s="949"/>
      <c r="AG50" s="949"/>
      <c r="AH50" s="950"/>
    </row>
    <row r="51" spans="1:34" ht="18.600000000000001" thickBot="1">
      <c r="A51" s="954" t="s">
        <v>838</v>
      </c>
      <c r="B51" s="955"/>
      <c r="C51" s="955"/>
      <c r="D51" s="955"/>
      <c r="E51" s="955"/>
      <c r="F51" s="955"/>
      <c r="G51" s="955"/>
      <c r="H51" s="955"/>
      <c r="I51" s="955"/>
      <c r="J51" s="955"/>
      <c r="K51" s="955"/>
      <c r="L51" s="955"/>
      <c r="M51" s="955"/>
      <c r="N51" s="955"/>
      <c r="O51" s="955"/>
      <c r="P51" s="955"/>
      <c r="Q51" s="955"/>
      <c r="R51" s="955"/>
      <c r="S51" s="955"/>
      <c r="T51" s="955"/>
      <c r="U51" s="955"/>
      <c r="V51" s="955"/>
      <c r="W51" s="955"/>
      <c r="X51" s="955"/>
      <c r="Y51" s="955"/>
      <c r="Z51" s="955"/>
      <c r="AA51" s="955"/>
      <c r="AB51" s="955"/>
      <c r="AC51" s="955"/>
      <c r="AD51" s="955"/>
      <c r="AE51" s="955"/>
      <c r="AF51" s="955"/>
      <c r="AG51" s="955"/>
      <c r="AH51" s="956"/>
    </row>
    <row r="52" spans="1:34" ht="22.8" customHeight="1">
      <c r="A52" s="621" t="s">
        <v>12</v>
      </c>
      <c r="B52" s="622" t="s">
        <v>672</v>
      </c>
      <c r="C52" s="623" t="s">
        <v>810</v>
      </c>
      <c r="D52" s="624">
        <v>45931</v>
      </c>
      <c r="E52" s="624">
        <v>45932</v>
      </c>
      <c r="F52" s="624">
        <v>45933</v>
      </c>
      <c r="G52" s="624">
        <v>45934</v>
      </c>
      <c r="H52" s="624">
        <v>45935</v>
      </c>
      <c r="I52" s="624">
        <v>45936</v>
      </c>
      <c r="J52" s="624">
        <v>45937</v>
      </c>
      <c r="K52" s="624">
        <v>45938</v>
      </c>
      <c r="L52" s="624">
        <v>45939</v>
      </c>
      <c r="M52" s="624">
        <v>45940</v>
      </c>
      <c r="N52" s="624">
        <v>45941</v>
      </c>
      <c r="O52" s="624">
        <v>45942</v>
      </c>
      <c r="P52" s="624">
        <v>45943</v>
      </c>
      <c r="Q52" s="624">
        <v>45944</v>
      </c>
      <c r="R52" s="624">
        <v>45945</v>
      </c>
      <c r="S52" s="624">
        <v>45946</v>
      </c>
      <c r="T52" s="624">
        <v>45947</v>
      </c>
      <c r="U52" s="624">
        <v>45948</v>
      </c>
      <c r="V52" s="624">
        <v>45949</v>
      </c>
      <c r="W52" s="624">
        <v>45950</v>
      </c>
      <c r="X52" s="624">
        <v>45951</v>
      </c>
      <c r="Y52" s="624">
        <v>45952</v>
      </c>
      <c r="Z52" s="624">
        <v>45953</v>
      </c>
      <c r="AA52" s="624">
        <v>45954</v>
      </c>
      <c r="AB52" s="624">
        <v>45955</v>
      </c>
      <c r="AC52" s="624">
        <v>45956</v>
      </c>
      <c r="AD52" s="624">
        <v>45957</v>
      </c>
      <c r="AE52" s="624">
        <v>45958</v>
      </c>
      <c r="AF52" s="624">
        <v>45959</v>
      </c>
      <c r="AG52" s="624">
        <v>45960</v>
      </c>
      <c r="AH52" s="629">
        <v>45961</v>
      </c>
    </row>
    <row r="53" spans="1:34" ht="22.8" customHeight="1">
      <c r="A53" s="161">
        <v>1</v>
      </c>
      <c r="B53" s="598" t="s">
        <v>834</v>
      </c>
      <c r="C53" s="599" t="s">
        <v>811</v>
      </c>
      <c r="D53" s="619" t="s">
        <v>816</v>
      </c>
      <c r="E53" s="619" t="s">
        <v>816</v>
      </c>
      <c r="F53" s="619" t="s">
        <v>816</v>
      </c>
      <c r="G53" s="630" t="s">
        <v>836</v>
      </c>
      <c r="H53" s="596" t="s">
        <v>839</v>
      </c>
      <c r="I53" s="596" t="s">
        <v>839</v>
      </c>
      <c r="J53" s="596" t="s">
        <v>839</v>
      </c>
      <c r="K53" s="596" t="s">
        <v>839</v>
      </c>
      <c r="L53" s="596" t="s">
        <v>839</v>
      </c>
      <c r="M53" s="596" t="s">
        <v>839</v>
      </c>
      <c r="N53" s="596" t="s">
        <v>839</v>
      </c>
      <c r="O53" s="596" t="s">
        <v>839</v>
      </c>
      <c r="P53" s="596" t="s">
        <v>839</v>
      </c>
      <c r="Q53" s="596" t="s">
        <v>839</v>
      </c>
      <c r="R53" s="596" t="s">
        <v>839</v>
      </c>
      <c r="S53" s="596" t="s">
        <v>839</v>
      </c>
      <c r="T53" s="596" t="s">
        <v>839</v>
      </c>
      <c r="U53" s="596" t="s">
        <v>839</v>
      </c>
      <c r="V53" s="596" t="s">
        <v>839</v>
      </c>
      <c r="W53" s="596" t="s">
        <v>839</v>
      </c>
      <c r="X53" s="596" t="s">
        <v>839</v>
      </c>
      <c r="Y53" s="596" t="s">
        <v>839</v>
      </c>
      <c r="Z53" s="596" t="s">
        <v>839</v>
      </c>
      <c r="AA53" s="596" t="s">
        <v>839</v>
      </c>
      <c r="AB53" s="596" t="s">
        <v>839</v>
      </c>
      <c r="AC53" s="596" t="s">
        <v>839</v>
      </c>
      <c r="AD53" s="596" t="s">
        <v>839</v>
      </c>
      <c r="AE53" s="596" t="s">
        <v>839</v>
      </c>
      <c r="AF53" s="596" t="s">
        <v>839</v>
      </c>
      <c r="AG53" s="596" t="s">
        <v>839</v>
      </c>
      <c r="AH53" s="585" t="s">
        <v>839</v>
      </c>
    </row>
    <row r="54" spans="1:34" ht="22.8" customHeight="1">
      <c r="A54" s="161">
        <v>2</v>
      </c>
      <c r="B54" s="598" t="s">
        <v>840</v>
      </c>
      <c r="C54" s="599" t="s">
        <v>814</v>
      </c>
      <c r="D54" s="619" t="s">
        <v>816</v>
      </c>
      <c r="E54" s="619" t="s">
        <v>816</v>
      </c>
      <c r="F54" s="619" t="s">
        <v>816</v>
      </c>
      <c r="G54" s="630" t="s">
        <v>841</v>
      </c>
      <c r="H54" s="630" t="s">
        <v>841</v>
      </c>
      <c r="I54" s="630" t="s">
        <v>841</v>
      </c>
      <c r="J54" s="630" t="s">
        <v>841</v>
      </c>
      <c r="K54" s="630" t="s">
        <v>841</v>
      </c>
      <c r="L54" s="630" t="s">
        <v>841</v>
      </c>
      <c r="M54" s="630" t="s">
        <v>841</v>
      </c>
      <c r="N54" s="630" t="s">
        <v>841</v>
      </c>
      <c r="O54" s="630" t="s">
        <v>841</v>
      </c>
      <c r="P54" s="630" t="s">
        <v>841</v>
      </c>
      <c r="Q54" s="630" t="s">
        <v>841</v>
      </c>
      <c r="R54" s="630" t="s">
        <v>841</v>
      </c>
      <c r="S54" s="630" t="s">
        <v>841</v>
      </c>
      <c r="T54" s="630" t="s">
        <v>841</v>
      </c>
      <c r="U54" s="630" t="s">
        <v>841</v>
      </c>
      <c r="V54" s="630" t="s">
        <v>841</v>
      </c>
      <c r="W54" s="630" t="s">
        <v>841</v>
      </c>
      <c r="X54" s="630" t="s">
        <v>841</v>
      </c>
      <c r="Y54" s="630" t="s">
        <v>841</v>
      </c>
      <c r="Z54" s="630" t="s">
        <v>841</v>
      </c>
      <c r="AA54" s="630" t="s">
        <v>841</v>
      </c>
      <c r="AB54" s="630" t="s">
        <v>841</v>
      </c>
      <c r="AC54" s="630" t="s">
        <v>841</v>
      </c>
      <c r="AD54" s="630" t="s">
        <v>841</v>
      </c>
      <c r="AE54" s="630" t="s">
        <v>841</v>
      </c>
      <c r="AF54" s="630" t="s">
        <v>841</v>
      </c>
      <c r="AG54" s="630" t="s">
        <v>841</v>
      </c>
      <c r="AH54" s="631" t="s">
        <v>841</v>
      </c>
    </row>
    <row r="55" spans="1:34" ht="22.8" customHeight="1">
      <c r="A55" s="161">
        <v>3</v>
      </c>
      <c r="B55" s="598" t="s">
        <v>842</v>
      </c>
      <c r="C55" s="599" t="s">
        <v>814</v>
      </c>
      <c r="D55" s="596" t="s">
        <v>173</v>
      </c>
      <c r="E55" s="596" t="s">
        <v>173</v>
      </c>
      <c r="F55" s="596" t="s">
        <v>173</v>
      </c>
      <c r="G55" s="596" t="s">
        <v>173</v>
      </c>
      <c r="H55" s="596" t="s">
        <v>173</v>
      </c>
      <c r="I55" s="619" t="s">
        <v>816</v>
      </c>
      <c r="J55" s="619" t="s">
        <v>816</v>
      </c>
      <c r="K55" s="619" t="s">
        <v>816</v>
      </c>
      <c r="L55" s="619" t="s">
        <v>816</v>
      </c>
      <c r="M55" s="619" t="s">
        <v>816</v>
      </c>
      <c r="N55" s="619" t="s">
        <v>816</v>
      </c>
      <c r="O55" s="619" t="s">
        <v>816</v>
      </c>
      <c r="P55" s="619" t="s">
        <v>816</v>
      </c>
      <c r="Q55" s="619" t="s">
        <v>816</v>
      </c>
      <c r="R55" s="596" t="s">
        <v>559</v>
      </c>
      <c r="S55" s="596" t="s">
        <v>559</v>
      </c>
      <c r="T55" s="596" t="s">
        <v>559</v>
      </c>
      <c r="U55" s="619" t="s">
        <v>816</v>
      </c>
      <c r="V55" s="596" t="s">
        <v>561</v>
      </c>
      <c r="W55" s="596" t="s">
        <v>561</v>
      </c>
      <c r="X55" s="596" t="s">
        <v>561</v>
      </c>
      <c r="Y55" s="596" t="s">
        <v>561</v>
      </c>
      <c r="Z55" s="596" t="s">
        <v>561</v>
      </c>
      <c r="AA55" s="619" t="s">
        <v>816</v>
      </c>
      <c r="AB55" s="596" t="s">
        <v>561</v>
      </c>
      <c r="AC55" s="596" t="s">
        <v>561</v>
      </c>
      <c r="AD55" s="596" t="s">
        <v>561</v>
      </c>
      <c r="AE55" s="619" t="s">
        <v>816</v>
      </c>
      <c r="AF55" s="619" t="s">
        <v>816</v>
      </c>
      <c r="AG55" s="596" t="s">
        <v>162</v>
      </c>
      <c r="AH55" s="585" t="s">
        <v>162</v>
      </c>
    </row>
    <row r="56" spans="1:34" ht="22.8" customHeight="1">
      <c r="A56" s="161">
        <v>4</v>
      </c>
      <c r="B56" s="598" t="s">
        <v>699</v>
      </c>
      <c r="C56" s="599" t="s">
        <v>814</v>
      </c>
      <c r="D56" s="619" t="s">
        <v>816</v>
      </c>
      <c r="E56" s="596" t="s">
        <v>597</v>
      </c>
      <c r="F56" s="596" t="s">
        <v>597</v>
      </c>
      <c r="G56" s="619" t="s">
        <v>816</v>
      </c>
      <c r="H56" s="619" t="s">
        <v>816</v>
      </c>
      <c r="I56" s="619" t="s">
        <v>816</v>
      </c>
      <c r="J56" s="619" t="s">
        <v>816</v>
      </c>
      <c r="K56" s="619" t="s">
        <v>816</v>
      </c>
      <c r="L56" s="619" t="s">
        <v>816</v>
      </c>
      <c r="M56" s="596" t="s">
        <v>597</v>
      </c>
      <c r="N56" s="596" t="s">
        <v>597</v>
      </c>
      <c r="O56" s="596" t="s">
        <v>597</v>
      </c>
      <c r="P56" s="596" t="s">
        <v>597</v>
      </c>
      <c r="Q56" s="596" t="s">
        <v>597</v>
      </c>
      <c r="R56" s="596" t="s">
        <v>597</v>
      </c>
      <c r="S56" s="596" t="s">
        <v>597</v>
      </c>
      <c r="T56" s="596" t="s">
        <v>597</v>
      </c>
      <c r="U56" s="596" t="s">
        <v>658</v>
      </c>
      <c r="V56" s="596" t="s">
        <v>658</v>
      </c>
      <c r="W56" s="596" t="s">
        <v>658</v>
      </c>
      <c r="X56" s="596" t="s">
        <v>658</v>
      </c>
      <c r="Y56" s="596" t="s">
        <v>658</v>
      </c>
      <c r="Z56" s="619" t="s">
        <v>816</v>
      </c>
      <c r="AA56" s="596" t="s">
        <v>658</v>
      </c>
      <c r="AB56" s="596" t="s">
        <v>658</v>
      </c>
      <c r="AC56" s="596" t="s">
        <v>658</v>
      </c>
      <c r="AD56" s="596" t="s">
        <v>658</v>
      </c>
      <c r="AE56" s="596" t="s">
        <v>658</v>
      </c>
      <c r="AF56" s="596" t="s">
        <v>658</v>
      </c>
      <c r="AG56" s="596" t="s">
        <v>658</v>
      </c>
      <c r="AH56" s="585" t="s">
        <v>658</v>
      </c>
    </row>
    <row r="57" spans="1:34" ht="22.8" customHeight="1">
      <c r="A57" s="161">
        <v>5</v>
      </c>
      <c r="B57" s="598" t="s">
        <v>843</v>
      </c>
      <c r="C57" s="599" t="s">
        <v>814</v>
      </c>
      <c r="D57" s="583" t="s">
        <v>665</v>
      </c>
      <c r="E57" s="619" t="s">
        <v>816</v>
      </c>
      <c r="F57" s="619" t="s">
        <v>816</v>
      </c>
      <c r="G57" s="619" t="s">
        <v>816</v>
      </c>
      <c r="H57" s="630" t="s">
        <v>841</v>
      </c>
      <c r="I57" s="630" t="s">
        <v>841</v>
      </c>
      <c r="J57" s="630" t="s">
        <v>841</v>
      </c>
      <c r="K57" s="630" t="s">
        <v>841</v>
      </c>
      <c r="L57" s="630" t="s">
        <v>841</v>
      </c>
      <c r="M57" s="630" t="s">
        <v>841</v>
      </c>
      <c r="N57" s="630" t="s">
        <v>841</v>
      </c>
      <c r="O57" s="630" t="s">
        <v>841</v>
      </c>
      <c r="P57" s="630" t="s">
        <v>841</v>
      </c>
      <c r="Q57" s="630" t="s">
        <v>841</v>
      </c>
      <c r="R57" s="630" t="s">
        <v>841</v>
      </c>
      <c r="S57" s="630" t="s">
        <v>841</v>
      </c>
      <c r="T57" s="630" t="s">
        <v>841</v>
      </c>
      <c r="U57" s="630" t="s">
        <v>841</v>
      </c>
      <c r="V57" s="630" t="s">
        <v>841</v>
      </c>
      <c r="W57" s="630" t="s">
        <v>841</v>
      </c>
      <c r="X57" s="630" t="s">
        <v>841</v>
      </c>
      <c r="Y57" s="630" t="s">
        <v>841</v>
      </c>
      <c r="Z57" s="630" t="s">
        <v>841</v>
      </c>
      <c r="AA57" s="630" t="s">
        <v>841</v>
      </c>
      <c r="AB57" s="630" t="s">
        <v>841</v>
      </c>
      <c r="AC57" s="630" t="s">
        <v>841</v>
      </c>
      <c r="AD57" s="630" t="s">
        <v>841</v>
      </c>
      <c r="AE57" s="630" t="s">
        <v>841</v>
      </c>
      <c r="AF57" s="630" t="s">
        <v>841</v>
      </c>
      <c r="AG57" s="630" t="s">
        <v>841</v>
      </c>
      <c r="AH57" s="631" t="s">
        <v>841</v>
      </c>
    </row>
    <row r="58" spans="1:34" ht="22.8" customHeight="1">
      <c r="A58" s="161">
        <v>6</v>
      </c>
      <c r="B58" s="598" t="s">
        <v>697</v>
      </c>
      <c r="C58" s="599" t="s">
        <v>814</v>
      </c>
      <c r="D58" s="583" t="s">
        <v>689</v>
      </c>
      <c r="E58" s="583" t="s">
        <v>689</v>
      </c>
      <c r="F58" s="583" t="s">
        <v>689</v>
      </c>
      <c r="G58" s="583" t="s">
        <v>689</v>
      </c>
      <c r="H58" s="583" t="s">
        <v>689</v>
      </c>
      <c r="I58" s="583" t="s">
        <v>689</v>
      </c>
      <c r="J58" s="583" t="s">
        <v>689</v>
      </c>
      <c r="K58" s="583" t="s">
        <v>689</v>
      </c>
      <c r="L58" s="583" t="s">
        <v>689</v>
      </c>
      <c r="M58" s="583" t="s">
        <v>689</v>
      </c>
      <c r="N58" s="583" t="s">
        <v>689</v>
      </c>
      <c r="O58" s="583" t="s">
        <v>689</v>
      </c>
      <c r="P58" s="583" t="s">
        <v>689</v>
      </c>
      <c r="Q58" s="583" t="s">
        <v>689</v>
      </c>
      <c r="R58" s="583" t="s">
        <v>689</v>
      </c>
      <c r="S58" s="583" t="s">
        <v>689</v>
      </c>
      <c r="T58" s="583" t="s">
        <v>689</v>
      </c>
      <c r="U58" s="596" t="s">
        <v>663</v>
      </c>
      <c r="V58" s="596" t="s">
        <v>663</v>
      </c>
      <c r="W58" s="596" t="s">
        <v>663</v>
      </c>
      <c r="X58" s="596" t="s">
        <v>663</v>
      </c>
      <c r="Y58" s="596" t="s">
        <v>663</v>
      </c>
      <c r="Z58" s="596" t="s">
        <v>663</v>
      </c>
      <c r="AA58" s="596" t="s">
        <v>663</v>
      </c>
      <c r="AB58" s="596" t="s">
        <v>663</v>
      </c>
      <c r="AC58" s="596" t="s">
        <v>663</v>
      </c>
      <c r="AD58" s="596" t="s">
        <v>663</v>
      </c>
      <c r="AE58" s="596" t="s">
        <v>663</v>
      </c>
      <c r="AF58" s="596" t="s">
        <v>663</v>
      </c>
      <c r="AG58" s="596" t="s">
        <v>663</v>
      </c>
      <c r="AH58" s="585" t="s">
        <v>663</v>
      </c>
    </row>
    <row r="59" spans="1:34" ht="22.8" customHeight="1" thickBot="1">
      <c r="A59" s="149">
        <v>7</v>
      </c>
      <c r="B59" s="597" t="s">
        <v>782</v>
      </c>
      <c r="C59" s="600" t="s">
        <v>781</v>
      </c>
      <c r="D59" s="584" t="s">
        <v>704</v>
      </c>
      <c r="E59" s="584" t="s">
        <v>704</v>
      </c>
      <c r="F59" s="584" t="s">
        <v>704</v>
      </c>
      <c r="G59" s="584" t="s">
        <v>704</v>
      </c>
      <c r="H59" s="584" t="s">
        <v>704</v>
      </c>
      <c r="I59" s="584" t="s">
        <v>704</v>
      </c>
      <c r="J59" s="584" t="s">
        <v>704</v>
      </c>
      <c r="K59" s="584" t="s">
        <v>704</v>
      </c>
      <c r="L59" s="582" t="s">
        <v>844</v>
      </c>
      <c r="M59" s="632" t="s">
        <v>816</v>
      </c>
      <c r="N59" s="632" t="s">
        <v>816</v>
      </c>
      <c r="O59" s="632" t="s">
        <v>816</v>
      </c>
      <c r="P59" s="592" t="s">
        <v>845</v>
      </c>
      <c r="Q59" s="592" t="s">
        <v>845</v>
      </c>
      <c r="R59" s="592" t="s">
        <v>845</v>
      </c>
      <c r="S59" s="556" t="s">
        <v>846</v>
      </c>
      <c r="T59" s="556" t="s">
        <v>846</v>
      </c>
      <c r="U59" s="592" t="s">
        <v>845</v>
      </c>
      <c r="V59" s="592" t="s">
        <v>845</v>
      </c>
      <c r="W59" s="632" t="s">
        <v>816</v>
      </c>
      <c r="X59" s="556" t="s">
        <v>846</v>
      </c>
      <c r="Y59" s="556" t="s">
        <v>846</v>
      </c>
      <c r="Z59" s="632" t="s">
        <v>816</v>
      </c>
      <c r="AA59" s="632" t="s">
        <v>816</v>
      </c>
      <c r="AB59" s="556" t="s">
        <v>846</v>
      </c>
      <c r="AC59" s="556" t="s">
        <v>846</v>
      </c>
      <c r="AD59" s="632" t="s">
        <v>816</v>
      </c>
      <c r="AE59" s="632" t="s">
        <v>816</v>
      </c>
      <c r="AF59" s="632" t="s">
        <v>816</v>
      </c>
      <c r="AG59" s="632" t="s">
        <v>816</v>
      </c>
      <c r="AH59" s="633" t="s">
        <v>816</v>
      </c>
    </row>
  </sheetData>
  <mergeCells count="8">
    <mergeCell ref="A1:AH1"/>
    <mergeCell ref="A2:AH2"/>
    <mergeCell ref="A51:AH51"/>
    <mergeCell ref="A20:AH20"/>
    <mergeCell ref="A21:AH21"/>
    <mergeCell ref="A36:AH36"/>
    <mergeCell ref="A37:AH37"/>
    <mergeCell ref="A50:AH5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6"/>
  <sheetViews>
    <sheetView zoomScale="80" zoomScaleNormal="80" workbookViewId="0">
      <selection activeCell="C9" sqref="C9"/>
    </sheetView>
  </sheetViews>
  <sheetFormatPr defaultColWidth="9.21875" defaultRowHeight="15.6"/>
  <cols>
    <col min="1" max="1" width="6.21875" style="45" customWidth="1"/>
    <col min="2" max="5" width="21" style="432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957" t="s">
        <v>634</v>
      </c>
      <c r="B1" s="958"/>
      <c r="C1" s="958"/>
      <c r="D1" s="958"/>
      <c r="E1" s="958"/>
      <c r="F1" s="958"/>
      <c r="G1" s="958"/>
      <c r="H1" s="958"/>
    </row>
    <row r="2" spans="1:8" s="426" customFormat="1" ht="54" customHeight="1">
      <c r="A2" s="423" t="s">
        <v>437</v>
      </c>
      <c r="B2" s="424" t="s">
        <v>632</v>
      </c>
      <c r="C2" s="423" t="s">
        <v>14</v>
      </c>
      <c r="D2" s="423" t="s">
        <v>638</v>
      </c>
      <c r="E2" s="423" t="s">
        <v>100</v>
      </c>
      <c r="F2" s="425" t="s">
        <v>633</v>
      </c>
      <c r="G2" s="425" t="s">
        <v>635</v>
      </c>
      <c r="H2" s="425" t="s">
        <v>636</v>
      </c>
    </row>
    <row r="3" spans="1:8" ht="18" customHeight="1">
      <c r="A3" s="427"/>
      <c r="B3" s="427"/>
      <c r="C3" s="427"/>
      <c r="D3" s="427"/>
      <c r="E3" s="427"/>
      <c r="F3" s="427"/>
      <c r="G3" s="427"/>
      <c r="H3" s="427"/>
    </row>
    <row r="4" spans="1:8" ht="19.95" customHeight="1">
      <c r="A4" s="43">
        <v>1</v>
      </c>
      <c r="B4" s="430" t="s">
        <v>22</v>
      </c>
      <c r="C4" s="430" t="s">
        <v>554</v>
      </c>
      <c r="D4" s="430" t="s">
        <v>640</v>
      </c>
      <c r="E4" s="428" t="s">
        <v>639</v>
      </c>
      <c r="F4" s="433" t="s">
        <v>61</v>
      </c>
      <c r="G4" s="433" t="s">
        <v>61</v>
      </c>
      <c r="H4" s="434" t="s">
        <v>637</v>
      </c>
    </row>
    <row r="5" spans="1:8">
      <c r="A5" s="43"/>
      <c r="B5" s="431" t="s">
        <v>618</v>
      </c>
      <c r="C5" s="431" t="s">
        <v>618</v>
      </c>
      <c r="D5" s="428" t="s">
        <v>642</v>
      </c>
      <c r="E5" s="428" t="s">
        <v>641</v>
      </c>
      <c r="F5" s="282"/>
      <c r="G5" s="282"/>
      <c r="H5" s="282"/>
    </row>
    <row r="6" spans="1:8">
      <c r="A6" s="43"/>
      <c r="B6" s="429"/>
      <c r="C6" s="429"/>
      <c r="D6" s="429"/>
      <c r="E6" s="429"/>
      <c r="F6" s="282"/>
      <c r="G6" s="282"/>
      <c r="H6" s="282"/>
    </row>
  </sheetData>
  <autoFilter ref="A3:AD5"/>
  <mergeCells count="1">
    <mergeCell ref="A1:H1"/>
  </mergeCells>
  <conditionalFormatting sqref="H1:H1048576">
    <cfRule type="containsText" dxfId="34" priority="41" operator="containsText" text="Pending">
      <formula>NOT(ISERROR(SEARCH("Pending",H1)))</formula>
    </cfRule>
  </conditionalFormatting>
  <conditionalFormatting sqref="F5:F6 H4:H6">
    <cfRule type="containsText" dxfId="33" priority="55" operator="containsText" text="WIP">
      <formula>NOT(ISERROR(SEARCH("WIP",F4)))</formula>
    </cfRule>
    <cfRule type="containsText" dxfId="32" priority="56" operator="containsText" text="ROW">
      <formula>NOT(ISERROR(SEARCH("ROW",F4)))</formula>
    </cfRule>
    <cfRule type="containsText" dxfId="31" priority="57" operator="containsText" text="Pending">
      <formula>NOT(ISERROR(SEARCH("Pending",F4)))</formula>
    </cfRule>
    <cfRule type="containsText" dxfId="30" priority="58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3:G17"/>
  <sheetViews>
    <sheetView workbookViewId="0">
      <selection activeCell="D17" sqref="D17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3" spans="1:7" ht="19.8" customHeight="1">
      <c r="A3" s="957" t="s">
        <v>634</v>
      </c>
      <c r="B3" s="958"/>
      <c r="C3" s="958"/>
      <c r="D3" s="958"/>
      <c r="E3" s="958"/>
      <c r="F3" s="958"/>
      <c r="G3" s="958"/>
    </row>
    <row r="4" spans="1:7" ht="15.6">
      <c r="A4" s="423" t="s">
        <v>437</v>
      </c>
      <c r="B4" s="424" t="s">
        <v>632</v>
      </c>
      <c r="C4" s="423" t="s">
        <v>14</v>
      </c>
      <c r="D4" s="425" t="s">
        <v>633</v>
      </c>
      <c r="E4" s="425" t="s">
        <v>692</v>
      </c>
      <c r="F4" s="425" t="s">
        <v>635</v>
      </c>
      <c r="G4" s="425" t="s">
        <v>636</v>
      </c>
    </row>
    <row r="5" spans="1:7">
      <c r="A5" s="427"/>
      <c r="B5" s="427"/>
      <c r="C5" s="427"/>
      <c r="D5" s="427"/>
      <c r="E5" s="427"/>
      <c r="F5" s="427"/>
      <c r="G5" s="427"/>
    </row>
    <row r="6" spans="1:7">
      <c r="A6" s="492">
        <v>1</v>
      </c>
      <c r="B6" s="430" t="s">
        <v>22</v>
      </c>
      <c r="C6" s="430" t="s">
        <v>554</v>
      </c>
      <c r="D6" s="283" t="s">
        <v>694</v>
      </c>
      <c r="E6" s="283" t="s">
        <v>694</v>
      </c>
      <c r="F6" s="433" t="s">
        <v>61</v>
      </c>
      <c r="G6" s="434" t="s">
        <v>637</v>
      </c>
    </row>
    <row r="7" spans="1:7" ht="15.6">
      <c r="A7" s="568">
        <f>A6+1</f>
        <v>2</v>
      </c>
      <c r="B7" s="429" t="s">
        <v>152</v>
      </c>
      <c r="C7" s="429" t="s">
        <v>457</v>
      </c>
      <c r="D7" s="283" t="s">
        <v>693</v>
      </c>
      <c r="E7" s="283" t="s">
        <v>694</v>
      </c>
      <c r="F7" s="433" t="s">
        <v>61</v>
      </c>
      <c r="G7" s="434" t="s">
        <v>637</v>
      </c>
    </row>
    <row r="8" spans="1:7" ht="15.6">
      <c r="A8" s="594">
        <f t="shared" ref="A8:A17" si="0">A7+1</f>
        <v>3</v>
      </c>
      <c r="B8" s="429" t="s">
        <v>6</v>
      </c>
      <c r="C8" s="429" t="s">
        <v>457</v>
      </c>
      <c r="D8" s="283" t="s">
        <v>693</v>
      </c>
      <c r="E8" s="283" t="s">
        <v>694</v>
      </c>
      <c r="F8" s="433" t="s">
        <v>61</v>
      </c>
      <c r="G8" s="434" t="s">
        <v>637</v>
      </c>
    </row>
    <row r="9" spans="1:7" ht="15.6">
      <c r="A9" s="709">
        <f t="shared" si="0"/>
        <v>4</v>
      </c>
      <c r="B9" s="428" t="s">
        <v>41</v>
      </c>
      <c r="C9" s="428" t="s">
        <v>468</v>
      </c>
      <c r="D9" s="283" t="s">
        <v>693</v>
      </c>
      <c r="E9" s="283" t="s">
        <v>694</v>
      </c>
      <c r="F9" s="433" t="s">
        <v>61</v>
      </c>
      <c r="G9" s="434" t="s">
        <v>637</v>
      </c>
    </row>
    <row r="10" spans="1:7" ht="15.6">
      <c r="A10" s="709">
        <f t="shared" si="0"/>
        <v>5</v>
      </c>
      <c r="B10" s="428" t="s">
        <v>42</v>
      </c>
      <c r="C10" s="428" t="s">
        <v>469</v>
      </c>
      <c r="D10" s="283" t="s">
        <v>693</v>
      </c>
      <c r="E10" s="283" t="s">
        <v>694</v>
      </c>
      <c r="F10" s="433" t="s">
        <v>61</v>
      </c>
      <c r="G10" s="434" t="s">
        <v>637</v>
      </c>
    </row>
    <row r="11" spans="1:7" ht="15.6">
      <c r="A11" s="709">
        <f t="shared" si="0"/>
        <v>6</v>
      </c>
      <c r="B11" s="428" t="s">
        <v>43</v>
      </c>
      <c r="C11" s="428" t="s">
        <v>470</v>
      </c>
      <c r="D11" s="283" t="s">
        <v>693</v>
      </c>
      <c r="E11" s="283" t="s">
        <v>694</v>
      </c>
      <c r="F11" s="433" t="s">
        <v>61</v>
      </c>
      <c r="G11" s="434" t="s">
        <v>637</v>
      </c>
    </row>
    <row r="12" spans="1:7" ht="15.6">
      <c r="A12" s="709">
        <f t="shared" si="0"/>
        <v>7</v>
      </c>
      <c r="B12" s="429" t="s">
        <v>174</v>
      </c>
      <c r="C12" s="429" t="s">
        <v>457</v>
      </c>
      <c r="D12" s="283" t="s">
        <v>693</v>
      </c>
      <c r="E12" s="283" t="s">
        <v>694</v>
      </c>
      <c r="F12" s="433" t="s">
        <v>61</v>
      </c>
      <c r="G12" s="434" t="s">
        <v>637</v>
      </c>
    </row>
    <row r="13" spans="1:7" ht="15.6">
      <c r="A13" s="709">
        <f t="shared" si="0"/>
        <v>8</v>
      </c>
      <c r="B13" s="429" t="s">
        <v>181</v>
      </c>
      <c r="C13" s="429" t="s">
        <v>455</v>
      </c>
      <c r="D13" s="283" t="s">
        <v>693</v>
      </c>
      <c r="E13" s="283" t="s">
        <v>694</v>
      </c>
      <c r="F13" s="433" t="s">
        <v>61</v>
      </c>
      <c r="G13" s="434" t="s">
        <v>637</v>
      </c>
    </row>
    <row r="14" spans="1:7" ht="15.6">
      <c r="A14" s="743">
        <f t="shared" si="0"/>
        <v>9</v>
      </c>
      <c r="B14" s="428" t="s">
        <v>54</v>
      </c>
      <c r="C14" s="428" t="s">
        <v>472</v>
      </c>
      <c r="D14" s="283" t="s">
        <v>693</v>
      </c>
      <c r="E14" s="283" t="s">
        <v>56</v>
      </c>
      <c r="F14" s="433" t="s">
        <v>61</v>
      </c>
      <c r="G14" s="680" t="s">
        <v>61</v>
      </c>
    </row>
    <row r="15" spans="1:7" ht="15.6">
      <c r="A15" s="743">
        <f t="shared" si="0"/>
        <v>10</v>
      </c>
      <c r="B15" s="429" t="s">
        <v>187</v>
      </c>
      <c r="C15" s="429" t="s">
        <v>455</v>
      </c>
      <c r="D15" s="283" t="s">
        <v>693</v>
      </c>
      <c r="E15" s="283" t="s">
        <v>694</v>
      </c>
      <c r="F15" s="433" t="s">
        <v>61</v>
      </c>
      <c r="G15" s="434" t="s">
        <v>637</v>
      </c>
    </row>
    <row r="16" spans="1:7" ht="15.6">
      <c r="A16" s="743">
        <f t="shared" si="0"/>
        <v>11</v>
      </c>
      <c r="B16" s="429" t="s">
        <v>556</v>
      </c>
      <c r="C16" s="429" t="s">
        <v>457</v>
      </c>
      <c r="D16" s="283" t="s">
        <v>693</v>
      </c>
      <c r="E16" s="283" t="s">
        <v>56</v>
      </c>
      <c r="F16" s="433" t="s">
        <v>61</v>
      </c>
      <c r="G16" s="680" t="s">
        <v>61</v>
      </c>
    </row>
    <row r="17" spans="1:7" ht="15.6">
      <c r="A17" s="743">
        <f t="shared" si="0"/>
        <v>12</v>
      </c>
      <c r="B17" s="428" t="s">
        <v>608</v>
      </c>
      <c r="C17" s="428" t="s">
        <v>511</v>
      </c>
      <c r="D17" s="283" t="s">
        <v>693</v>
      </c>
      <c r="E17" s="283" t="s">
        <v>694</v>
      </c>
      <c r="F17" s="433" t="s">
        <v>61</v>
      </c>
      <c r="G17" s="434" t="s">
        <v>637</v>
      </c>
    </row>
  </sheetData>
  <autoFilter ref="A5:G17"/>
  <mergeCells count="1">
    <mergeCell ref="A3:G3"/>
  </mergeCells>
  <conditionalFormatting sqref="D6:E13 D15:E15 D14 D16 D17:E17">
    <cfRule type="containsText" dxfId="29" priority="221" operator="containsText" text="PENDING">
      <formula>NOT(ISERROR(SEARCH("PENDING",D6)))</formula>
    </cfRule>
    <cfRule type="containsText" dxfId="28" priority="222" operator="containsText" text="COMPLETED">
      <formula>NOT(ISERROR(SEARCH("COMPLETED",D6)))</formula>
    </cfRule>
    <cfRule type="cellIs" dxfId="27" priority="229" operator="greaterThan">
      <formula>0</formula>
    </cfRule>
  </conditionalFormatting>
  <conditionalFormatting sqref="G4:G5 G17">
    <cfRule type="containsText" dxfId="26" priority="223" operator="containsText" text="Pending">
      <formula>NOT(ISERROR(SEARCH("Pending",G4)))</formula>
    </cfRule>
  </conditionalFormatting>
  <conditionalFormatting sqref="E6:E13 E15 E17">
    <cfRule type="containsText" dxfId="25" priority="220" operator="containsText" text="WIP">
      <formula>NOT(ISERROR(SEARCH("WIP",E6)))</formula>
    </cfRule>
  </conditionalFormatting>
  <conditionalFormatting sqref="G6:G13 G15">
    <cfRule type="containsText" dxfId="24" priority="215" operator="containsText" text="Pending">
      <formula>NOT(ISERROR(SEARCH("Pending",G6)))</formula>
    </cfRule>
  </conditionalFormatting>
  <conditionalFormatting sqref="G6:G13 G15 G17">
    <cfRule type="containsText" dxfId="23" priority="216" operator="containsText" text="WIP">
      <formula>NOT(ISERROR(SEARCH("WIP",G6)))</formula>
    </cfRule>
    <cfRule type="containsText" dxfId="22" priority="217" operator="containsText" text="ROW">
      <formula>NOT(ISERROR(SEARCH("ROW",G6)))</formula>
    </cfRule>
    <cfRule type="containsText" dxfId="21" priority="218" operator="containsText" text="Pending">
      <formula>NOT(ISERROR(SEARCH("Pending",G6)))</formula>
    </cfRule>
    <cfRule type="containsText" dxfId="20" priority="219" operator="containsText" text="Completed">
      <formula>NOT(ISERROR(SEARCH("Completed",G6)))</formula>
    </cfRule>
  </conditionalFormatting>
  <conditionalFormatting sqref="D14">
    <cfRule type="containsText" dxfId="19" priority="51" operator="containsText" text="WIP">
      <formula>NOT(ISERROR(SEARCH("WIP",D14)))</formula>
    </cfRule>
  </conditionalFormatting>
  <conditionalFormatting sqref="E16">
    <cfRule type="containsText" dxfId="18" priority="26" operator="containsText" text="PENDING">
      <formula>NOT(ISERROR(SEARCH("PENDING",E16)))</formula>
    </cfRule>
    <cfRule type="containsText" dxfId="17" priority="27" operator="containsText" text="COMPLETED">
      <formula>NOT(ISERROR(SEARCH("COMPLETED",E16)))</formula>
    </cfRule>
    <cfRule type="cellIs" dxfId="16" priority="28" operator="greaterThan">
      <formula>0</formula>
    </cfRule>
  </conditionalFormatting>
  <conditionalFormatting sqref="E16">
    <cfRule type="containsText" dxfId="15" priority="25" operator="containsText" text="WIP">
      <formula>NOT(ISERROR(SEARCH("WIP",E16)))</formula>
    </cfRule>
  </conditionalFormatting>
  <conditionalFormatting sqref="E14">
    <cfRule type="containsText" dxfId="14" priority="2" operator="containsText" text="PENDING">
      <formula>NOT(ISERROR(SEARCH("PENDING",E14)))</formula>
    </cfRule>
    <cfRule type="containsText" dxfId="13" priority="3" operator="containsText" text="COMPLETED">
      <formula>NOT(ISERROR(SEARCH("COMPLETED",E14)))</formula>
    </cfRule>
    <cfRule type="cellIs" dxfId="12" priority="4" operator="greaterThan">
      <formula>0</formula>
    </cfRule>
  </conditionalFormatting>
  <conditionalFormatting sqref="E14">
    <cfRule type="containsText" dxfId="11" priority="1" operator="containsText" text="WIP">
      <formula>NOT(ISERROR(SEARCH("WIP",E14)))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topLeftCell="A16" zoomScale="80" zoomScaleNormal="80" workbookViewId="0">
      <selection activeCell="G33" sqref="G33"/>
    </sheetView>
  </sheetViews>
  <sheetFormatPr defaultRowHeight="18"/>
  <cols>
    <col min="1" max="1" width="7.88671875" style="380" customWidth="1"/>
    <col min="2" max="4" width="10.44140625" style="381" customWidth="1"/>
    <col min="5" max="5" width="12" style="381" customWidth="1"/>
    <col min="6" max="6" width="17.5546875" style="381" customWidth="1"/>
    <col min="7" max="7" width="12.77734375" style="381" customWidth="1"/>
    <col min="8" max="8" width="12.5546875" style="382" customWidth="1"/>
    <col min="9" max="10" width="12.5546875" style="381" customWidth="1"/>
    <col min="11" max="13" width="12.5546875" style="432" customWidth="1"/>
  </cols>
  <sheetData>
    <row r="1" spans="1:15" ht="7.95" customHeight="1" thickBot="1"/>
    <row r="2" spans="1:15" s="32" customFormat="1" ht="15" customHeight="1">
      <c r="A2" s="961" t="s">
        <v>520</v>
      </c>
      <c r="B2" s="962"/>
      <c r="C2" s="962"/>
      <c r="D2" s="962"/>
      <c r="E2" s="962"/>
      <c r="F2" s="962"/>
      <c r="G2" s="962"/>
      <c r="H2" s="962"/>
      <c r="I2" s="962"/>
      <c r="J2" s="962"/>
      <c r="K2" s="962"/>
      <c r="L2" s="962"/>
      <c r="M2" s="963"/>
    </row>
    <row r="3" spans="1:15" ht="15.6">
      <c r="A3" s="968" t="s">
        <v>513</v>
      </c>
      <c r="B3" s="964" t="s">
        <v>514</v>
      </c>
      <c r="C3" s="964"/>
      <c r="D3" s="959" t="s">
        <v>600</v>
      </c>
      <c r="E3" s="959" t="s">
        <v>876</v>
      </c>
      <c r="F3" s="959" t="s">
        <v>877</v>
      </c>
      <c r="G3" s="959" t="s">
        <v>878</v>
      </c>
      <c r="H3" s="959" t="s">
        <v>601</v>
      </c>
      <c r="I3" s="959" t="s">
        <v>602</v>
      </c>
      <c r="J3" s="959" t="s">
        <v>603</v>
      </c>
      <c r="K3" s="964" t="s">
        <v>109</v>
      </c>
      <c r="L3" s="964" t="s">
        <v>501</v>
      </c>
      <c r="M3" s="965" t="s">
        <v>515</v>
      </c>
    </row>
    <row r="4" spans="1:15" ht="26.55" customHeight="1">
      <c r="A4" s="968"/>
      <c r="B4" s="383" t="s">
        <v>516</v>
      </c>
      <c r="C4" s="383" t="s">
        <v>517</v>
      </c>
      <c r="D4" s="960"/>
      <c r="E4" s="960"/>
      <c r="F4" s="960"/>
      <c r="G4" s="960"/>
      <c r="H4" s="960"/>
      <c r="I4" s="960"/>
      <c r="J4" s="960"/>
      <c r="K4" s="964"/>
      <c r="L4" s="964"/>
      <c r="M4" s="965"/>
    </row>
    <row r="5" spans="1:15" ht="18" customHeight="1">
      <c r="A5" s="384">
        <v>1</v>
      </c>
      <c r="B5" s="385" t="s">
        <v>23</v>
      </c>
      <c r="C5" s="385" t="s">
        <v>24</v>
      </c>
      <c r="D5" s="386">
        <v>249.63499999999999</v>
      </c>
      <c r="E5" s="740" t="s">
        <v>879</v>
      </c>
      <c r="F5" s="740" t="s">
        <v>879</v>
      </c>
      <c r="G5" s="386" t="s">
        <v>883</v>
      </c>
      <c r="H5" s="387">
        <v>0</v>
      </c>
      <c r="I5" s="388"/>
      <c r="J5" s="389">
        <f>D5</f>
        <v>249.63499999999999</v>
      </c>
      <c r="K5" s="469">
        <v>1</v>
      </c>
      <c r="L5" s="469">
        <v>1</v>
      </c>
      <c r="M5" s="470">
        <v>0</v>
      </c>
    </row>
    <row r="6" spans="1:15" ht="18" customHeight="1">
      <c r="A6" s="384">
        <f>A5+1</f>
        <v>2</v>
      </c>
      <c r="B6" s="385" t="str">
        <f>C5</f>
        <v>AP33</v>
      </c>
      <c r="C6" s="385" t="s">
        <v>121</v>
      </c>
      <c r="D6" s="386">
        <v>2015</v>
      </c>
      <c r="E6" s="740" t="s">
        <v>879</v>
      </c>
      <c r="F6" s="740" t="s">
        <v>879</v>
      </c>
      <c r="G6" s="386" t="s">
        <v>883</v>
      </c>
      <c r="H6" s="387">
        <v>4</v>
      </c>
      <c r="I6" s="389">
        <f>D6</f>
        <v>2015</v>
      </c>
      <c r="J6" s="388"/>
      <c r="K6" s="469">
        <v>1</v>
      </c>
      <c r="L6" s="469">
        <v>1</v>
      </c>
      <c r="M6" s="470">
        <v>1</v>
      </c>
    </row>
    <row r="7" spans="1:15" ht="18" customHeight="1">
      <c r="A7" s="384">
        <f t="shared" ref="A7:A43" si="0">A6+1</f>
        <v>3</v>
      </c>
      <c r="B7" s="385" t="str">
        <f t="shared" ref="B7:B43" si="1">C6</f>
        <v>33/5</v>
      </c>
      <c r="C7" s="385" t="s">
        <v>122</v>
      </c>
      <c r="D7" s="386">
        <v>380</v>
      </c>
      <c r="E7" s="740" t="s">
        <v>879</v>
      </c>
      <c r="F7" s="740" t="s">
        <v>879</v>
      </c>
      <c r="G7" s="386" t="s">
        <v>883</v>
      </c>
      <c r="H7" s="387">
        <v>0</v>
      </c>
      <c r="I7" s="388"/>
      <c r="J7" s="389">
        <f>D7</f>
        <v>380</v>
      </c>
      <c r="K7" s="469">
        <v>0</v>
      </c>
      <c r="L7" s="469">
        <v>0</v>
      </c>
      <c r="M7" s="470">
        <v>0</v>
      </c>
    </row>
    <row r="8" spans="1:15" ht="18" customHeight="1">
      <c r="A8" s="384">
        <f t="shared" si="0"/>
        <v>4</v>
      </c>
      <c r="B8" s="385" t="str">
        <f t="shared" si="1"/>
        <v>33/6</v>
      </c>
      <c r="C8" s="385" t="s">
        <v>489</v>
      </c>
      <c r="D8" s="386">
        <v>2537.42</v>
      </c>
      <c r="E8" s="740" t="s">
        <v>879</v>
      </c>
      <c r="F8" s="740" t="s">
        <v>879</v>
      </c>
      <c r="G8" s="386" t="s">
        <v>883</v>
      </c>
      <c r="H8" s="387">
        <v>6</v>
      </c>
      <c r="I8" s="389">
        <f t="shared" ref="I8:I10" si="2">D8</f>
        <v>2537.42</v>
      </c>
      <c r="J8" s="389"/>
      <c r="K8" s="469">
        <v>2</v>
      </c>
      <c r="L8" s="469">
        <v>6</v>
      </c>
      <c r="M8" s="470">
        <v>2</v>
      </c>
    </row>
    <row r="9" spans="1:15" ht="18" customHeight="1">
      <c r="A9" s="384">
        <f t="shared" si="0"/>
        <v>5</v>
      </c>
      <c r="B9" s="385" t="str">
        <f t="shared" si="1"/>
        <v>34/0</v>
      </c>
      <c r="C9" s="385" t="s">
        <v>26</v>
      </c>
      <c r="D9" s="563">
        <v>1983.46</v>
      </c>
      <c r="E9" s="740" t="s">
        <v>879</v>
      </c>
      <c r="F9" s="740" t="s">
        <v>879</v>
      </c>
      <c r="G9" s="386" t="s">
        <v>883</v>
      </c>
      <c r="H9" s="387">
        <v>4</v>
      </c>
      <c r="I9" s="389">
        <f t="shared" si="2"/>
        <v>1983.46</v>
      </c>
      <c r="J9" s="389"/>
      <c r="K9" s="469">
        <v>5</v>
      </c>
      <c r="L9" s="469">
        <v>3</v>
      </c>
      <c r="M9" s="470">
        <v>0</v>
      </c>
      <c r="O9" s="461"/>
    </row>
    <row r="10" spans="1:15" ht="18" customHeight="1">
      <c r="A10" s="384">
        <f t="shared" si="0"/>
        <v>6</v>
      </c>
      <c r="B10" s="385" t="str">
        <f t="shared" si="1"/>
        <v>AP35</v>
      </c>
      <c r="C10" s="385" t="s">
        <v>27</v>
      </c>
      <c r="D10" s="563">
        <v>4480.0200000000004</v>
      </c>
      <c r="E10" s="740" t="s">
        <v>879</v>
      </c>
      <c r="F10" s="740" t="s">
        <v>879</v>
      </c>
      <c r="G10" s="386" t="s">
        <v>883</v>
      </c>
      <c r="H10" s="387">
        <v>11</v>
      </c>
      <c r="I10" s="389">
        <f t="shared" si="2"/>
        <v>4480.0200000000004</v>
      </c>
      <c r="J10" s="389"/>
      <c r="K10" s="469">
        <v>8</v>
      </c>
      <c r="L10" s="469">
        <v>3</v>
      </c>
      <c r="M10" s="470">
        <v>0</v>
      </c>
      <c r="O10" s="461"/>
    </row>
    <row r="11" spans="1:15" ht="18" customHeight="1">
      <c r="A11" s="384">
        <f t="shared" si="0"/>
        <v>7</v>
      </c>
      <c r="B11" s="385" t="str">
        <f t="shared" si="1"/>
        <v>AP36</v>
      </c>
      <c r="C11" s="385" t="s">
        <v>19</v>
      </c>
      <c r="D11" s="563">
        <v>480</v>
      </c>
      <c r="E11" s="740" t="s">
        <v>879</v>
      </c>
      <c r="F11" s="740" t="s">
        <v>879</v>
      </c>
      <c r="G11" s="386" t="s">
        <v>883</v>
      </c>
      <c r="H11" s="387">
        <v>0</v>
      </c>
      <c r="I11" s="389"/>
      <c r="J11" s="389">
        <f t="shared" ref="J11:J12" si="3">D11</f>
        <v>480</v>
      </c>
      <c r="K11" s="469">
        <v>0</v>
      </c>
      <c r="L11" s="469">
        <v>0</v>
      </c>
      <c r="M11" s="470">
        <v>0</v>
      </c>
      <c r="O11" s="461"/>
    </row>
    <row r="12" spans="1:15" ht="18" customHeight="1">
      <c r="A12" s="384">
        <f t="shared" si="0"/>
        <v>8</v>
      </c>
      <c r="B12" s="385" t="str">
        <f t="shared" si="1"/>
        <v>36/1</v>
      </c>
      <c r="C12" s="385" t="s">
        <v>518</v>
      </c>
      <c r="D12" s="386">
        <v>297.32</v>
      </c>
      <c r="E12" s="740" t="s">
        <v>879</v>
      </c>
      <c r="F12" s="740" t="s">
        <v>879</v>
      </c>
      <c r="G12" s="386" t="s">
        <v>883</v>
      </c>
      <c r="H12" s="387">
        <v>0</v>
      </c>
      <c r="I12" s="389"/>
      <c r="J12" s="389">
        <f t="shared" si="3"/>
        <v>297.32</v>
      </c>
      <c r="K12" s="469">
        <v>0</v>
      </c>
      <c r="L12" s="469">
        <v>0</v>
      </c>
      <c r="M12" s="470">
        <v>0</v>
      </c>
      <c r="O12" s="461"/>
    </row>
    <row r="13" spans="1:15" ht="15" customHeight="1">
      <c r="A13" s="384">
        <f t="shared" si="0"/>
        <v>9</v>
      </c>
      <c r="B13" s="385" t="str">
        <f t="shared" si="1"/>
        <v>37/0</v>
      </c>
      <c r="C13" s="385" t="s">
        <v>22</v>
      </c>
      <c r="D13" s="386">
        <v>1258.78</v>
      </c>
      <c r="E13" s="740" t="s">
        <v>880</v>
      </c>
      <c r="F13" s="740" t="s">
        <v>880</v>
      </c>
      <c r="G13" s="386" t="s">
        <v>884</v>
      </c>
      <c r="H13" s="387">
        <v>2</v>
      </c>
      <c r="I13" s="389">
        <f t="shared" ref="I13:I14" si="4">D13</f>
        <v>1258.78</v>
      </c>
      <c r="J13" s="389"/>
      <c r="K13" s="469">
        <v>2</v>
      </c>
      <c r="L13" s="469">
        <v>2</v>
      </c>
      <c r="M13" s="470">
        <v>0</v>
      </c>
      <c r="O13" s="461"/>
    </row>
    <row r="14" spans="1:15" ht="15" customHeight="1">
      <c r="A14" s="384">
        <f t="shared" si="0"/>
        <v>10</v>
      </c>
      <c r="B14" s="385" t="str">
        <f t="shared" si="1"/>
        <v>AP38</v>
      </c>
      <c r="C14" s="385" t="s">
        <v>29</v>
      </c>
      <c r="D14" s="386">
        <v>1284.8800000000001</v>
      </c>
      <c r="E14" s="740" t="s">
        <v>880</v>
      </c>
      <c r="F14" s="740" t="s">
        <v>880</v>
      </c>
      <c r="G14" s="386" t="s">
        <v>884</v>
      </c>
      <c r="H14" s="387">
        <v>2</v>
      </c>
      <c r="I14" s="389">
        <f t="shared" si="4"/>
        <v>1284.8800000000001</v>
      </c>
      <c r="J14" s="389"/>
      <c r="K14" s="469">
        <v>4</v>
      </c>
      <c r="L14" s="469">
        <v>2</v>
      </c>
      <c r="M14" s="470">
        <v>0</v>
      </c>
    </row>
    <row r="15" spans="1:15" ht="15" customHeight="1">
      <c r="A15" s="384">
        <f t="shared" si="0"/>
        <v>11</v>
      </c>
      <c r="B15" s="385" t="str">
        <f t="shared" si="1"/>
        <v>AP39</v>
      </c>
      <c r="C15" s="385" t="s">
        <v>30</v>
      </c>
      <c r="D15" s="386">
        <v>248.04</v>
      </c>
      <c r="E15" s="740" t="s">
        <v>879</v>
      </c>
      <c r="F15" s="740" t="s">
        <v>879</v>
      </c>
      <c r="G15" s="386" t="s">
        <v>883</v>
      </c>
      <c r="H15" s="387">
        <v>0</v>
      </c>
      <c r="I15" s="389"/>
      <c r="J15" s="389">
        <f>D15</f>
        <v>248.04</v>
      </c>
      <c r="K15" s="469">
        <v>1</v>
      </c>
      <c r="L15" s="469">
        <v>0</v>
      </c>
      <c r="M15" s="470">
        <v>0</v>
      </c>
    </row>
    <row r="16" spans="1:15" ht="15" customHeight="1">
      <c r="A16" s="384">
        <f t="shared" si="0"/>
        <v>12</v>
      </c>
      <c r="B16" s="385" t="str">
        <f t="shared" si="1"/>
        <v>AP40</v>
      </c>
      <c r="C16" s="385" t="s">
        <v>31</v>
      </c>
      <c r="D16" s="563">
        <v>2426.4499999999998</v>
      </c>
      <c r="E16" s="740" t="s">
        <v>879</v>
      </c>
      <c r="F16" s="740" t="s">
        <v>879</v>
      </c>
      <c r="G16" s="386" t="s">
        <v>883</v>
      </c>
      <c r="H16" s="387">
        <v>5</v>
      </c>
      <c r="I16" s="389">
        <f t="shared" ref="I16:I20" si="5">D16</f>
        <v>2426.4499999999998</v>
      </c>
      <c r="J16" s="389"/>
      <c r="K16" s="469">
        <v>2</v>
      </c>
      <c r="L16" s="469">
        <v>2</v>
      </c>
      <c r="M16" s="470">
        <v>0</v>
      </c>
    </row>
    <row r="17" spans="1:13" ht="15" customHeight="1">
      <c r="A17" s="384">
        <f t="shared" si="0"/>
        <v>13</v>
      </c>
      <c r="B17" s="385" t="str">
        <f t="shared" si="1"/>
        <v>AP41</v>
      </c>
      <c r="C17" s="385" t="s">
        <v>32</v>
      </c>
      <c r="D17" s="563">
        <v>2473.21</v>
      </c>
      <c r="E17" s="740" t="s">
        <v>879</v>
      </c>
      <c r="F17" s="740" t="s">
        <v>879</v>
      </c>
      <c r="G17" s="386" t="s">
        <v>883</v>
      </c>
      <c r="H17" s="387">
        <v>5</v>
      </c>
      <c r="I17" s="389">
        <f t="shared" si="5"/>
        <v>2473.21</v>
      </c>
      <c r="J17" s="389"/>
      <c r="K17" s="469">
        <v>2</v>
      </c>
      <c r="L17" s="469">
        <v>1</v>
      </c>
      <c r="M17" s="470">
        <v>0</v>
      </c>
    </row>
    <row r="18" spans="1:13" ht="15" customHeight="1">
      <c r="A18" s="384">
        <f t="shared" si="0"/>
        <v>14</v>
      </c>
      <c r="B18" s="385" t="str">
        <f t="shared" si="1"/>
        <v>AP42</v>
      </c>
      <c r="C18" s="385" t="s">
        <v>33</v>
      </c>
      <c r="D18" s="563">
        <v>1105.78</v>
      </c>
      <c r="E18" s="740" t="s">
        <v>879</v>
      </c>
      <c r="F18" s="740" t="s">
        <v>879</v>
      </c>
      <c r="G18" s="386" t="s">
        <v>883</v>
      </c>
      <c r="H18" s="387">
        <v>2</v>
      </c>
      <c r="I18" s="389">
        <f t="shared" si="5"/>
        <v>1105.78</v>
      </c>
      <c r="J18" s="389"/>
      <c r="K18" s="469">
        <v>2</v>
      </c>
      <c r="L18" s="469">
        <v>3</v>
      </c>
      <c r="M18" s="470">
        <v>0</v>
      </c>
    </row>
    <row r="19" spans="1:13" ht="15" customHeight="1">
      <c r="A19" s="384">
        <f t="shared" si="0"/>
        <v>15</v>
      </c>
      <c r="B19" s="385" t="str">
        <f t="shared" si="1"/>
        <v>AP43</v>
      </c>
      <c r="C19" s="385" t="s">
        <v>34</v>
      </c>
      <c r="D19" s="386">
        <v>1444.8</v>
      </c>
      <c r="E19" s="740" t="s">
        <v>879</v>
      </c>
      <c r="F19" s="741" t="s">
        <v>152</v>
      </c>
      <c r="G19" s="386" t="s">
        <v>884</v>
      </c>
      <c r="H19" s="387">
        <v>3</v>
      </c>
      <c r="I19" s="389">
        <f t="shared" si="5"/>
        <v>1444.8</v>
      </c>
      <c r="J19" s="389"/>
      <c r="K19" s="469">
        <v>4</v>
      </c>
      <c r="L19" s="469">
        <v>1</v>
      </c>
      <c r="M19" s="470">
        <v>0</v>
      </c>
    </row>
    <row r="20" spans="1:13" ht="15" customHeight="1">
      <c r="A20" s="384">
        <f t="shared" si="0"/>
        <v>16</v>
      </c>
      <c r="B20" s="385" t="str">
        <f t="shared" si="1"/>
        <v>AP44</v>
      </c>
      <c r="C20" s="385" t="s">
        <v>35</v>
      </c>
      <c r="D20" s="386">
        <v>697.56</v>
      </c>
      <c r="E20" s="740" t="s">
        <v>879</v>
      </c>
      <c r="F20" s="740" t="s">
        <v>879</v>
      </c>
      <c r="G20" s="386" t="s">
        <v>883</v>
      </c>
      <c r="H20" s="387">
        <v>1</v>
      </c>
      <c r="I20" s="389">
        <f t="shared" si="5"/>
        <v>697.56</v>
      </c>
      <c r="J20" s="389"/>
      <c r="K20" s="469">
        <v>2</v>
      </c>
      <c r="L20" s="469">
        <v>2</v>
      </c>
      <c r="M20" s="470">
        <v>0</v>
      </c>
    </row>
    <row r="21" spans="1:13" ht="15" customHeight="1">
      <c r="A21" s="384">
        <f t="shared" si="0"/>
        <v>17</v>
      </c>
      <c r="B21" s="385" t="str">
        <f t="shared" si="1"/>
        <v>AP45</v>
      </c>
      <c r="C21" s="385" t="s">
        <v>4</v>
      </c>
      <c r="D21" s="386">
        <v>242</v>
      </c>
      <c r="E21" s="740" t="s">
        <v>879</v>
      </c>
      <c r="F21" s="740" t="s">
        <v>879</v>
      </c>
      <c r="G21" s="386" t="s">
        <v>883</v>
      </c>
      <c r="H21" s="387">
        <v>0</v>
      </c>
      <c r="I21" s="389"/>
      <c r="J21" s="389">
        <f>D21</f>
        <v>242</v>
      </c>
      <c r="K21" s="469">
        <v>0</v>
      </c>
      <c r="L21" s="469">
        <v>0</v>
      </c>
      <c r="M21" s="470">
        <v>0</v>
      </c>
    </row>
    <row r="22" spans="1:13" ht="15" customHeight="1">
      <c r="A22" s="384">
        <f t="shared" si="0"/>
        <v>18</v>
      </c>
      <c r="B22" s="385" t="str">
        <f t="shared" si="1"/>
        <v>45/1</v>
      </c>
      <c r="C22" s="385" t="s">
        <v>36</v>
      </c>
      <c r="D22" s="386">
        <v>1272.52</v>
      </c>
      <c r="E22" s="740" t="s">
        <v>879</v>
      </c>
      <c r="F22" s="740" t="s">
        <v>879</v>
      </c>
      <c r="G22" s="386" t="s">
        <v>883</v>
      </c>
      <c r="H22" s="387">
        <v>2</v>
      </c>
      <c r="I22" s="389">
        <f t="shared" ref="I22:I27" si="6">D22</f>
        <v>1272.52</v>
      </c>
      <c r="J22" s="389"/>
      <c r="K22" s="469">
        <v>5</v>
      </c>
      <c r="L22" s="469">
        <v>2</v>
      </c>
      <c r="M22" s="470">
        <v>0</v>
      </c>
    </row>
    <row r="23" spans="1:13" ht="15" customHeight="1">
      <c r="A23" s="384">
        <f t="shared" si="0"/>
        <v>19</v>
      </c>
      <c r="B23" s="385" t="str">
        <f t="shared" si="1"/>
        <v>AP46</v>
      </c>
      <c r="C23" s="385" t="s">
        <v>159</v>
      </c>
      <c r="D23" s="386">
        <v>2745</v>
      </c>
      <c r="E23" s="740" t="s">
        <v>879</v>
      </c>
      <c r="F23" s="741" t="s">
        <v>6</v>
      </c>
      <c r="G23" s="386" t="s">
        <v>884</v>
      </c>
      <c r="H23" s="387">
        <v>6</v>
      </c>
      <c r="I23" s="389">
        <f t="shared" si="6"/>
        <v>2745</v>
      </c>
      <c r="J23" s="389"/>
      <c r="K23" s="469">
        <v>5</v>
      </c>
      <c r="L23" s="469">
        <v>6</v>
      </c>
      <c r="M23" s="470">
        <v>1</v>
      </c>
    </row>
    <row r="24" spans="1:13" ht="15" customHeight="1">
      <c r="A24" s="384">
        <f t="shared" si="0"/>
        <v>20</v>
      </c>
      <c r="B24" s="385" t="str">
        <f t="shared" si="1"/>
        <v>46/7</v>
      </c>
      <c r="C24" s="385" t="s">
        <v>604</v>
      </c>
      <c r="D24" s="386">
        <v>3547.25</v>
      </c>
      <c r="E24" s="740" t="s">
        <v>879</v>
      </c>
      <c r="F24" s="740" t="s">
        <v>879</v>
      </c>
      <c r="G24" s="386" t="s">
        <v>883</v>
      </c>
      <c r="H24" s="387">
        <v>8</v>
      </c>
      <c r="I24" s="389">
        <f t="shared" si="6"/>
        <v>3547.25</v>
      </c>
      <c r="J24" s="389"/>
      <c r="K24" s="469">
        <v>8</v>
      </c>
      <c r="L24" s="469">
        <v>4</v>
      </c>
      <c r="M24" s="470">
        <v>1</v>
      </c>
    </row>
    <row r="25" spans="1:13" ht="15" customHeight="1">
      <c r="A25" s="384">
        <f>A23+1</f>
        <v>20</v>
      </c>
      <c r="B25" s="385" t="str">
        <f t="shared" si="1"/>
        <v>AP47/0</v>
      </c>
      <c r="C25" s="385" t="s">
        <v>39</v>
      </c>
      <c r="D25" s="386">
        <v>813.45</v>
      </c>
      <c r="E25" s="740" t="s">
        <v>879</v>
      </c>
      <c r="F25" s="740" t="s">
        <v>879</v>
      </c>
      <c r="G25" s="386" t="s">
        <v>883</v>
      </c>
      <c r="H25" s="387">
        <v>1</v>
      </c>
      <c r="I25" s="389">
        <f t="shared" si="6"/>
        <v>813.45</v>
      </c>
      <c r="J25" s="389"/>
      <c r="K25" s="469">
        <v>3</v>
      </c>
      <c r="L25" s="469">
        <v>1</v>
      </c>
      <c r="M25" s="470">
        <v>1</v>
      </c>
    </row>
    <row r="26" spans="1:13" ht="15" customHeight="1">
      <c r="A26" s="384">
        <f t="shared" si="0"/>
        <v>21</v>
      </c>
      <c r="B26" s="385" t="str">
        <f t="shared" si="1"/>
        <v>AP48</v>
      </c>
      <c r="C26" s="385" t="s">
        <v>605</v>
      </c>
      <c r="D26" s="386">
        <v>1257.06</v>
      </c>
      <c r="E26" s="740" t="s">
        <v>879</v>
      </c>
      <c r="F26" s="740" t="s">
        <v>879</v>
      </c>
      <c r="G26" s="386" t="s">
        <v>883</v>
      </c>
      <c r="H26" s="387">
        <v>2</v>
      </c>
      <c r="I26" s="389">
        <f t="shared" si="6"/>
        <v>1257.06</v>
      </c>
      <c r="J26" s="389"/>
      <c r="K26" s="469">
        <v>5</v>
      </c>
      <c r="L26" s="469">
        <v>4</v>
      </c>
      <c r="M26" s="470">
        <v>1</v>
      </c>
    </row>
    <row r="27" spans="1:13" ht="15" customHeight="1">
      <c r="A27" s="384"/>
      <c r="B27" s="385" t="str">
        <f t="shared" si="1"/>
        <v>48A/0</v>
      </c>
      <c r="C27" s="390" t="s">
        <v>606</v>
      </c>
      <c r="D27" s="386">
        <v>1101.05</v>
      </c>
      <c r="E27" s="740" t="s">
        <v>879</v>
      </c>
      <c r="F27" s="741" t="s">
        <v>606</v>
      </c>
      <c r="G27" s="386" t="s">
        <v>884</v>
      </c>
      <c r="H27" s="387">
        <v>2</v>
      </c>
      <c r="I27" s="389">
        <f t="shared" si="6"/>
        <v>1101.05</v>
      </c>
      <c r="J27" s="389"/>
      <c r="K27" s="469">
        <v>3</v>
      </c>
      <c r="L27" s="469"/>
      <c r="M27" s="470"/>
    </row>
    <row r="28" spans="1:13" ht="15" customHeight="1">
      <c r="A28" s="384">
        <f>A26+1</f>
        <v>22</v>
      </c>
      <c r="B28" s="385" t="str">
        <f t="shared" si="1"/>
        <v>49/0</v>
      </c>
      <c r="C28" s="385" t="s">
        <v>42</v>
      </c>
      <c r="D28" s="386">
        <v>417.22</v>
      </c>
      <c r="E28" s="740" t="s">
        <v>879</v>
      </c>
      <c r="F28" s="741" t="s">
        <v>881</v>
      </c>
      <c r="G28" s="386" t="s">
        <v>884</v>
      </c>
      <c r="H28" s="387">
        <v>0</v>
      </c>
      <c r="I28" s="389"/>
      <c r="J28" s="389">
        <f t="shared" ref="J28:J30" si="7">D28</f>
        <v>417.22</v>
      </c>
      <c r="K28" s="469">
        <v>2</v>
      </c>
      <c r="L28" s="469">
        <v>0</v>
      </c>
      <c r="M28" s="470">
        <v>0</v>
      </c>
    </row>
    <row r="29" spans="1:13" ht="15" customHeight="1">
      <c r="A29" s="384">
        <f t="shared" si="0"/>
        <v>23</v>
      </c>
      <c r="B29" s="385" t="str">
        <f t="shared" si="1"/>
        <v>AP50</v>
      </c>
      <c r="C29" s="385" t="s">
        <v>43</v>
      </c>
      <c r="D29" s="386">
        <v>249.6</v>
      </c>
      <c r="E29" s="740" t="s">
        <v>879</v>
      </c>
      <c r="F29" s="741" t="s">
        <v>882</v>
      </c>
      <c r="G29" s="386" t="s">
        <v>884</v>
      </c>
      <c r="H29" s="387">
        <v>0</v>
      </c>
      <c r="I29" s="389"/>
      <c r="J29" s="389">
        <f t="shared" si="7"/>
        <v>249.6</v>
      </c>
      <c r="K29" s="469">
        <v>0</v>
      </c>
      <c r="L29" s="469">
        <v>3</v>
      </c>
      <c r="M29" s="470">
        <v>0</v>
      </c>
    </row>
    <row r="30" spans="1:13" ht="15" customHeight="1">
      <c r="A30" s="384">
        <f t="shared" si="0"/>
        <v>24</v>
      </c>
      <c r="B30" s="385" t="str">
        <f t="shared" si="1"/>
        <v>AP51</v>
      </c>
      <c r="C30" s="385" t="s">
        <v>44</v>
      </c>
      <c r="D30" s="386">
        <v>333.6</v>
      </c>
      <c r="E30" s="740" t="s">
        <v>879</v>
      </c>
      <c r="F30" s="741" t="s">
        <v>799</v>
      </c>
      <c r="G30" s="386" t="s">
        <v>884</v>
      </c>
      <c r="H30" s="387">
        <v>0</v>
      </c>
      <c r="I30" s="389"/>
      <c r="J30" s="389">
        <f t="shared" si="7"/>
        <v>333.6</v>
      </c>
      <c r="K30" s="469">
        <v>0</v>
      </c>
      <c r="L30" s="469">
        <v>0</v>
      </c>
      <c r="M30" s="470">
        <v>0</v>
      </c>
    </row>
    <row r="31" spans="1:13" ht="15" customHeight="1">
      <c r="A31" s="384">
        <f t="shared" si="0"/>
        <v>25</v>
      </c>
      <c r="B31" s="385" t="str">
        <f t="shared" si="1"/>
        <v>AP52</v>
      </c>
      <c r="C31" s="385" t="s">
        <v>45</v>
      </c>
      <c r="D31" s="386">
        <v>1034.0999999999999</v>
      </c>
      <c r="E31" s="740" t="s">
        <v>879</v>
      </c>
      <c r="F31" s="740" t="s">
        <v>879</v>
      </c>
      <c r="G31" s="386" t="s">
        <v>883</v>
      </c>
      <c r="H31" s="387">
        <v>2</v>
      </c>
      <c r="I31" s="389">
        <f>D31</f>
        <v>1034.0999999999999</v>
      </c>
      <c r="J31" s="389"/>
      <c r="K31" s="469">
        <v>1</v>
      </c>
      <c r="L31" s="469">
        <v>0</v>
      </c>
      <c r="M31" s="470">
        <v>0</v>
      </c>
    </row>
    <row r="32" spans="1:13" ht="15" customHeight="1">
      <c r="A32" s="384">
        <f t="shared" si="0"/>
        <v>26</v>
      </c>
      <c r="B32" s="385" t="str">
        <f t="shared" si="1"/>
        <v>AP53</v>
      </c>
      <c r="C32" s="385" t="s">
        <v>46</v>
      </c>
      <c r="D32" s="386">
        <v>258.62</v>
      </c>
      <c r="E32" s="740" t="s">
        <v>879</v>
      </c>
      <c r="F32" s="740" t="s">
        <v>879</v>
      </c>
      <c r="G32" s="386" t="s">
        <v>883</v>
      </c>
      <c r="H32" s="387">
        <v>0</v>
      </c>
      <c r="I32" s="389"/>
      <c r="J32" s="389">
        <f>D32</f>
        <v>258.62</v>
      </c>
      <c r="K32" s="469">
        <v>0</v>
      </c>
      <c r="L32" s="469">
        <v>0</v>
      </c>
      <c r="M32" s="470">
        <v>0</v>
      </c>
    </row>
    <row r="33" spans="1:18" ht="15" customHeight="1">
      <c r="A33" s="384">
        <f t="shared" si="0"/>
        <v>27</v>
      </c>
      <c r="B33" s="385" t="str">
        <f t="shared" si="1"/>
        <v>AP54</v>
      </c>
      <c r="C33" s="385" t="s">
        <v>47</v>
      </c>
      <c r="D33" s="386">
        <v>1836.69</v>
      </c>
      <c r="E33" s="740" t="s">
        <v>879</v>
      </c>
      <c r="F33" s="741" t="s">
        <v>174</v>
      </c>
      <c r="G33" s="386" t="s">
        <v>884</v>
      </c>
      <c r="H33" s="387">
        <v>4</v>
      </c>
      <c r="I33" s="389">
        <f t="shared" ref="I33:I35" si="8">D33</f>
        <v>1836.69</v>
      </c>
      <c r="J33" s="389"/>
      <c r="K33" s="469">
        <v>11</v>
      </c>
      <c r="L33" s="469">
        <v>12</v>
      </c>
      <c r="M33" s="470">
        <v>0</v>
      </c>
    </row>
    <row r="34" spans="1:18" ht="15" customHeight="1">
      <c r="A34" s="384">
        <f t="shared" si="0"/>
        <v>28</v>
      </c>
      <c r="B34" s="385" t="str">
        <f t="shared" si="1"/>
        <v>AP55</v>
      </c>
      <c r="C34" s="385" t="s">
        <v>48</v>
      </c>
      <c r="D34" s="386">
        <v>2704.49</v>
      </c>
      <c r="E34" s="740" t="s">
        <v>879</v>
      </c>
      <c r="F34" s="740">
        <v>11</v>
      </c>
      <c r="G34" s="386" t="s">
        <v>884</v>
      </c>
      <c r="H34" s="387">
        <v>6</v>
      </c>
      <c r="I34" s="389">
        <f t="shared" si="8"/>
        <v>2704.49</v>
      </c>
      <c r="J34" s="389"/>
      <c r="K34" s="469">
        <v>13</v>
      </c>
      <c r="L34" s="469">
        <v>5</v>
      </c>
      <c r="M34" s="470">
        <v>0</v>
      </c>
    </row>
    <row r="35" spans="1:18" ht="15" customHeight="1">
      <c r="A35" s="384">
        <f t="shared" si="0"/>
        <v>29</v>
      </c>
      <c r="B35" s="385" t="str">
        <f t="shared" si="1"/>
        <v>AP56</v>
      </c>
      <c r="C35" s="385" t="s">
        <v>185</v>
      </c>
      <c r="D35" s="386">
        <v>1230</v>
      </c>
      <c r="E35" s="740" t="s">
        <v>879</v>
      </c>
      <c r="F35" s="740" t="s">
        <v>879</v>
      </c>
      <c r="G35" s="386" t="s">
        <v>883</v>
      </c>
      <c r="H35" s="387">
        <v>2</v>
      </c>
      <c r="I35" s="389">
        <f t="shared" si="8"/>
        <v>1230</v>
      </c>
      <c r="J35" s="389"/>
      <c r="K35" s="469">
        <v>4</v>
      </c>
      <c r="L35" s="469">
        <v>2</v>
      </c>
      <c r="M35" s="470"/>
    </row>
    <row r="36" spans="1:18" ht="18" customHeight="1">
      <c r="A36" s="384">
        <f t="shared" si="0"/>
        <v>30</v>
      </c>
      <c r="B36" s="385" t="str">
        <f t="shared" si="1"/>
        <v>56/3</v>
      </c>
      <c r="C36" s="391" t="s">
        <v>519</v>
      </c>
      <c r="D36" s="392">
        <v>276.49</v>
      </c>
      <c r="E36" s="740" t="s">
        <v>879</v>
      </c>
      <c r="F36" s="741" t="s">
        <v>519</v>
      </c>
      <c r="G36" s="386" t="s">
        <v>884</v>
      </c>
      <c r="H36" s="387">
        <v>0</v>
      </c>
      <c r="I36" s="389"/>
      <c r="J36" s="389">
        <f>D36</f>
        <v>276.49</v>
      </c>
      <c r="K36" s="471">
        <v>0</v>
      </c>
      <c r="L36" s="471">
        <v>3</v>
      </c>
      <c r="M36" s="472">
        <v>0</v>
      </c>
    </row>
    <row r="37" spans="1:18" ht="18" customHeight="1">
      <c r="A37" s="384">
        <f t="shared" si="0"/>
        <v>31</v>
      </c>
      <c r="B37" s="385" t="str">
        <f t="shared" si="1"/>
        <v>57/0</v>
      </c>
      <c r="C37" s="393" t="s">
        <v>553</v>
      </c>
      <c r="D37" s="394">
        <v>1535.81</v>
      </c>
      <c r="E37" s="740" t="s">
        <v>879</v>
      </c>
      <c r="F37" s="741" t="s">
        <v>900</v>
      </c>
      <c r="G37" s="386" t="s">
        <v>884</v>
      </c>
      <c r="H37" s="387">
        <v>3</v>
      </c>
      <c r="I37" s="389">
        <f>D37</f>
        <v>1535.81</v>
      </c>
      <c r="J37" s="389"/>
      <c r="K37" s="471">
        <v>10</v>
      </c>
      <c r="L37" s="471">
        <v>3</v>
      </c>
      <c r="M37" s="472">
        <v>0</v>
      </c>
      <c r="R37" s="2"/>
    </row>
    <row r="38" spans="1:18" ht="18" customHeight="1">
      <c r="A38" s="384">
        <f t="shared" si="0"/>
        <v>32</v>
      </c>
      <c r="B38" s="385" t="str">
        <f t="shared" si="1"/>
        <v>58/0</v>
      </c>
      <c r="C38" s="393" t="s">
        <v>555</v>
      </c>
      <c r="D38" s="394">
        <v>203.9</v>
      </c>
      <c r="E38" s="740" t="s">
        <v>879</v>
      </c>
      <c r="F38" s="741"/>
      <c r="G38" s="386" t="s">
        <v>883</v>
      </c>
      <c r="H38" s="387">
        <v>0</v>
      </c>
      <c r="I38" s="389"/>
      <c r="J38" s="389">
        <f>D38</f>
        <v>203.9</v>
      </c>
      <c r="K38" s="471">
        <v>0</v>
      </c>
      <c r="L38" s="471">
        <v>0</v>
      </c>
      <c r="M38" s="472">
        <v>0</v>
      </c>
    </row>
    <row r="39" spans="1:18" ht="18" customHeight="1">
      <c r="A39" s="384">
        <f t="shared" si="0"/>
        <v>33</v>
      </c>
      <c r="B39" s="385" t="str">
        <f t="shared" si="1"/>
        <v>59/0</v>
      </c>
      <c r="C39" s="393" t="s">
        <v>557</v>
      </c>
      <c r="D39" s="394">
        <v>702.8</v>
      </c>
      <c r="E39" s="740" t="s">
        <v>879</v>
      </c>
      <c r="F39" s="741" t="s">
        <v>556</v>
      </c>
      <c r="G39" s="386" t="s">
        <v>884</v>
      </c>
      <c r="H39" s="387">
        <v>1</v>
      </c>
      <c r="I39" s="389">
        <f t="shared" ref="I39:I40" si="9">D39</f>
        <v>702.8</v>
      </c>
      <c r="J39" s="389"/>
      <c r="K39" s="471">
        <v>5</v>
      </c>
      <c r="L39" s="471">
        <v>1</v>
      </c>
      <c r="M39" s="472">
        <v>0</v>
      </c>
    </row>
    <row r="40" spans="1:18" ht="18" customHeight="1">
      <c r="A40" s="384">
        <f t="shared" si="0"/>
        <v>34</v>
      </c>
      <c r="B40" s="385" t="str">
        <f t="shared" si="1"/>
        <v>60/0</v>
      </c>
      <c r="C40" s="393" t="s">
        <v>562</v>
      </c>
      <c r="D40" s="394">
        <v>1942</v>
      </c>
      <c r="E40" s="740" t="s">
        <v>879</v>
      </c>
      <c r="F40" s="741"/>
      <c r="G40" s="386" t="s">
        <v>883</v>
      </c>
      <c r="H40" s="387">
        <v>4</v>
      </c>
      <c r="I40" s="389">
        <f t="shared" si="9"/>
        <v>1942</v>
      </c>
      <c r="J40" s="389"/>
      <c r="K40" s="471">
        <v>10</v>
      </c>
      <c r="L40" s="471">
        <v>1</v>
      </c>
      <c r="M40" s="472">
        <v>0</v>
      </c>
    </row>
    <row r="41" spans="1:18" ht="18" customHeight="1">
      <c r="A41" s="384">
        <f t="shared" si="0"/>
        <v>35</v>
      </c>
      <c r="B41" s="385" t="str">
        <f t="shared" si="1"/>
        <v>61/0</v>
      </c>
      <c r="C41" s="393" t="s">
        <v>607</v>
      </c>
      <c r="D41" s="394">
        <v>358.1</v>
      </c>
      <c r="E41" s="740" t="s">
        <v>879</v>
      </c>
      <c r="F41" s="740" t="s">
        <v>879</v>
      </c>
      <c r="G41" s="386" t="s">
        <v>883</v>
      </c>
      <c r="H41" s="387">
        <v>0</v>
      </c>
      <c r="I41" s="388"/>
      <c r="J41" s="389">
        <f t="shared" ref="J41:J43" si="10">D41</f>
        <v>358.1</v>
      </c>
      <c r="K41" s="471">
        <v>1</v>
      </c>
      <c r="L41" s="469">
        <v>0</v>
      </c>
      <c r="M41" s="470">
        <v>0</v>
      </c>
    </row>
    <row r="42" spans="1:18" ht="18" customHeight="1">
      <c r="A42" s="384">
        <f t="shared" si="0"/>
        <v>36</v>
      </c>
      <c r="B42" s="385" t="str">
        <f t="shared" si="1"/>
        <v>62/0</v>
      </c>
      <c r="C42" s="393" t="s">
        <v>608</v>
      </c>
      <c r="D42" s="394">
        <v>278.7</v>
      </c>
      <c r="E42" s="740" t="s">
        <v>879</v>
      </c>
      <c r="F42" s="741" t="s">
        <v>608</v>
      </c>
      <c r="G42" s="386" t="s">
        <v>884</v>
      </c>
      <c r="H42" s="387">
        <v>0</v>
      </c>
      <c r="I42" s="388"/>
      <c r="J42" s="389">
        <f t="shared" si="10"/>
        <v>278.7</v>
      </c>
      <c r="K42" s="469">
        <v>0</v>
      </c>
      <c r="L42" s="471">
        <v>1</v>
      </c>
      <c r="M42" s="470">
        <v>0</v>
      </c>
    </row>
    <row r="43" spans="1:18" ht="18" customHeight="1">
      <c r="A43" s="384">
        <f t="shared" si="0"/>
        <v>37</v>
      </c>
      <c r="B43" s="385" t="str">
        <f t="shared" si="1"/>
        <v>63/0</v>
      </c>
      <c r="C43" s="393" t="s">
        <v>609</v>
      </c>
      <c r="D43" s="394">
        <v>135</v>
      </c>
      <c r="E43" s="740" t="s">
        <v>879</v>
      </c>
      <c r="F43" s="740" t="s">
        <v>879</v>
      </c>
      <c r="G43" s="386" t="s">
        <v>883</v>
      </c>
      <c r="H43" s="387">
        <v>0</v>
      </c>
      <c r="I43" s="388"/>
      <c r="J43" s="389">
        <f t="shared" si="10"/>
        <v>135</v>
      </c>
      <c r="K43" s="469">
        <v>0</v>
      </c>
      <c r="L43" s="471">
        <v>1</v>
      </c>
      <c r="M43" s="470">
        <v>0</v>
      </c>
    </row>
    <row r="44" spans="1:18" s="398" customFormat="1" ht="15" thickBot="1">
      <c r="A44" s="966" t="s">
        <v>58</v>
      </c>
      <c r="B44" s="967"/>
      <c r="C44" s="967"/>
      <c r="D44" s="395">
        <f>SUM(D5:D43)</f>
        <v>47837.805</v>
      </c>
      <c r="E44" s="395"/>
      <c r="F44" s="395"/>
      <c r="G44" s="395"/>
      <c r="H44" s="396">
        <f>SUM(H5:H43)</f>
        <v>88</v>
      </c>
      <c r="I44" s="397">
        <f>SUM(I5:I43)/1000</f>
        <v>43.429580000000001</v>
      </c>
      <c r="J44" s="397">
        <f>SUM(J5:J43)/1000</f>
        <v>4.4082249999999998</v>
      </c>
      <c r="K44" s="473">
        <f>SUM(K5:K43)</f>
        <v>122</v>
      </c>
      <c r="L44" s="473">
        <f>SUM(L5:L43)</f>
        <v>76</v>
      </c>
      <c r="M44" s="474">
        <f>SUM(M5:M43)</f>
        <v>7</v>
      </c>
    </row>
  </sheetData>
  <mergeCells count="14">
    <mergeCell ref="A44:C44"/>
    <mergeCell ref="A3:A4"/>
    <mergeCell ref="B3:C3"/>
    <mergeCell ref="D3:D4"/>
    <mergeCell ref="H3:H4"/>
    <mergeCell ref="I3:I4"/>
    <mergeCell ref="A2:M2"/>
    <mergeCell ref="J3:J4"/>
    <mergeCell ref="K3:K4"/>
    <mergeCell ref="L3:L4"/>
    <mergeCell ref="M3:M4"/>
    <mergeCell ref="E3:E4"/>
    <mergeCell ref="F3:F4"/>
    <mergeCell ref="G3:G4"/>
  </mergeCells>
  <conditionalFormatting sqref="G1:G1048576">
    <cfRule type="containsText" dxfId="10" priority="1" operator="containsText" text="Pending">
      <formula>NOT(ISERROR(SEARCH("Pending",G1)))</formula>
    </cfRule>
    <cfRule type="containsText" dxfId="9" priority="2" operator="containsText" text="Ready">
      <formula>NOT(ISERROR(SEARCH("Ready",G1)))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2" customWidth="1"/>
    <col min="2" max="2" width="14.88671875" style="312" customWidth="1"/>
    <col min="3" max="3" width="15.109375" style="312" customWidth="1"/>
    <col min="4" max="4" width="57" style="301" customWidth="1"/>
    <col min="5" max="5" width="16.21875" style="301" customWidth="1"/>
    <col min="6" max="6" width="16.21875" style="313" customWidth="1"/>
    <col min="7" max="7" width="19.33203125" style="314" customWidth="1"/>
    <col min="8" max="8" width="16.21875" style="315" customWidth="1"/>
    <col min="9" max="9" width="16.21875" style="316" customWidth="1"/>
    <col min="10" max="10" width="30.5546875" style="301" customWidth="1"/>
    <col min="11" max="256" width="9.21875" style="301"/>
    <col min="257" max="257" width="19.88671875" style="301" customWidth="1"/>
    <col min="258" max="258" width="14.88671875" style="301" customWidth="1"/>
    <col min="259" max="259" width="15.109375" style="301" customWidth="1"/>
    <col min="260" max="260" width="57" style="301" customWidth="1"/>
    <col min="261" max="265" width="16.21875" style="301" customWidth="1"/>
    <col min="266" max="266" width="30.5546875" style="301" customWidth="1"/>
    <col min="267" max="512" width="9.21875" style="301"/>
    <col min="513" max="513" width="19.88671875" style="301" customWidth="1"/>
    <col min="514" max="514" width="14.88671875" style="301" customWidth="1"/>
    <col min="515" max="515" width="15.109375" style="301" customWidth="1"/>
    <col min="516" max="516" width="57" style="301" customWidth="1"/>
    <col min="517" max="521" width="16.21875" style="301" customWidth="1"/>
    <col min="522" max="522" width="30.5546875" style="301" customWidth="1"/>
    <col min="523" max="768" width="9.21875" style="301"/>
    <col min="769" max="769" width="19.88671875" style="301" customWidth="1"/>
    <col min="770" max="770" width="14.88671875" style="301" customWidth="1"/>
    <col min="771" max="771" width="15.109375" style="301" customWidth="1"/>
    <col min="772" max="772" width="57" style="301" customWidth="1"/>
    <col min="773" max="777" width="16.21875" style="301" customWidth="1"/>
    <col min="778" max="778" width="30.5546875" style="301" customWidth="1"/>
    <col min="779" max="1024" width="9.21875" style="301"/>
    <col min="1025" max="1025" width="19.88671875" style="301" customWidth="1"/>
    <col min="1026" max="1026" width="14.88671875" style="301" customWidth="1"/>
    <col min="1027" max="1027" width="15.109375" style="301" customWidth="1"/>
    <col min="1028" max="1028" width="57" style="301" customWidth="1"/>
    <col min="1029" max="1033" width="16.21875" style="301" customWidth="1"/>
    <col min="1034" max="1034" width="30.5546875" style="301" customWidth="1"/>
    <col min="1035" max="1280" width="9.21875" style="301"/>
    <col min="1281" max="1281" width="19.88671875" style="301" customWidth="1"/>
    <col min="1282" max="1282" width="14.88671875" style="301" customWidth="1"/>
    <col min="1283" max="1283" width="15.109375" style="301" customWidth="1"/>
    <col min="1284" max="1284" width="57" style="301" customWidth="1"/>
    <col min="1285" max="1289" width="16.21875" style="301" customWidth="1"/>
    <col min="1290" max="1290" width="30.5546875" style="301" customWidth="1"/>
    <col min="1291" max="1536" width="9.21875" style="301"/>
    <col min="1537" max="1537" width="19.88671875" style="301" customWidth="1"/>
    <col min="1538" max="1538" width="14.88671875" style="301" customWidth="1"/>
    <col min="1539" max="1539" width="15.109375" style="301" customWidth="1"/>
    <col min="1540" max="1540" width="57" style="301" customWidth="1"/>
    <col min="1541" max="1545" width="16.21875" style="301" customWidth="1"/>
    <col min="1546" max="1546" width="30.5546875" style="301" customWidth="1"/>
    <col min="1547" max="1792" width="9.21875" style="301"/>
    <col min="1793" max="1793" width="19.88671875" style="301" customWidth="1"/>
    <col min="1794" max="1794" width="14.88671875" style="301" customWidth="1"/>
    <col min="1795" max="1795" width="15.109375" style="301" customWidth="1"/>
    <col min="1796" max="1796" width="57" style="301" customWidth="1"/>
    <col min="1797" max="1801" width="16.21875" style="301" customWidth="1"/>
    <col min="1802" max="1802" width="30.5546875" style="301" customWidth="1"/>
    <col min="1803" max="2048" width="9.21875" style="301"/>
    <col min="2049" max="2049" width="19.88671875" style="301" customWidth="1"/>
    <col min="2050" max="2050" width="14.88671875" style="301" customWidth="1"/>
    <col min="2051" max="2051" width="15.109375" style="301" customWidth="1"/>
    <col min="2052" max="2052" width="57" style="301" customWidth="1"/>
    <col min="2053" max="2057" width="16.21875" style="301" customWidth="1"/>
    <col min="2058" max="2058" width="30.5546875" style="301" customWidth="1"/>
    <col min="2059" max="2304" width="9.21875" style="301"/>
    <col min="2305" max="2305" width="19.88671875" style="301" customWidth="1"/>
    <col min="2306" max="2306" width="14.88671875" style="301" customWidth="1"/>
    <col min="2307" max="2307" width="15.109375" style="301" customWidth="1"/>
    <col min="2308" max="2308" width="57" style="301" customWidth="1"/>
    <col min="2309" max="2313" width="16.21875" style="301" customWidth="1"/>
    <col min="2314" max="2314" width="30.5546875" style="301" customWidth="1"/>
    <col min="2315" max="2560" width="9.21875" style="301"/>
    <col min="2561" max="2561" width="19.88671875" style="301" customWidth="1"/>
    <col min="2562" max="2562" width="14.88671875" style="301" customWidth="1"/>
    <col min="2563" max="2563" width="15.109375" style="301" customWidth="1"/>
    <col min="2564" max="2564" width="57" style="301" customWidth="1"/>
    <col min="2565" max="2569" width="16.21875" style="301" customWidth="1"/>
    <col min="2570" max="2570" width="30.5546875" style="301" customWidth="1"/>
    <col min="2571" max="2816" width="9.21875" style="301"/>
    <col min="2817" max="2817" width="19.88671875" style="301" customWidth="1"/>
    <col min="2818" max="2818" width="14.88671875" style="301" customWidth="1"/>
    <col min="2819" max="2819" width="15.109375" style="301" customWidth="1"/>
    <col min="2820" max="2820" width="57" style="301" customWidth="1"/>
    <col min="2821" max="2825" width="16.21875" style="301" customWidth="1"/>
    <col min="2826" max="2826" width="30.5546875" style="301" customWidth="1"/>
    <col min="2827" max="3072" width="9.21875" style="301"/>
    <col min="3073" max="3073" width="19.88671875" style="301" customWidth="1"/>
    <col min="3074" max="3074" width="14.88671875" style="301" customWidth="1"/>
    <col min="3075" max="3075" width="15.109375" style="301" customWidth="1"/>
    <col min="3076" max="3076" width="57" style="301" customWidth="1"/>
    <col min="3077" max="3081" width="16.21875" style="301" customWidth="1"/>
    <col min="3082" max="3082" width="30.5546875" style="301" customWidth="1"/>
    <col min="3083" max="3328" width="9.21875" style="301"/>
    <col min="3329" max="3329" width="19.88671875" style="301" customWidth="1"/>
    <col min="3330" max="3330" width="14.88671875" style="301" customWidth="1"/>
    <col min="3331" max="3331" width="15.109375" style="301" customWidth="1"/>
    <col min="3332" max="3332" width="57" style="301" customWidth="1"/>
    <col min="3333" max="3337" width="16.21875" style="301" customWidth="1"/>
    <col min="3338" max="3338" width="30.5546875" style="301" customWidth="1"/>
    <col min="3339" max="3584" width="9.21875" style="301"/>
    <col min="3585" max="3585" width="19.88671875" style="301" customWidth="1"/>
    <col min="3586" max="3586" width="14.88671875" style="301" customWidth="1"/>
    <col min="3587" max="3587" width="15.109375" style="301" customWidth="1"/>
    <col min="3588" max="3588" width="57" style="301" customWidth="1"/>
    <col min="3589" max="3593" width="16.21875" style="301" customWidth="1"/>
    <col min="3594" max="3594" width="30.5546875" style="301" customWidth="1"/>
    <col min="3595" max="3840" width="9.21875" style="301"/>
    <col min="3841" max="3841" width="19.88671875" style="301" customWidth="1"/>
    <col min="3842" max="3842" width="14.88671875" style="301" customWidth="1"/>
    <col min="3843" max="3843" width="15.109375" style="301" customWidth="1"/>
    <col min="3844" max="3844" width="57" style="301" customWidth="1"/>
    <col min="3845" max="3849" width="16.21875" style="301" customWidth="1"/>
    <col min="3850" max="3850" width="30.5546875" style="301" customWidth="1"/>
    <col min="3851" max="4096" width="9.21875" style="301"/>
    <col min="4097" max="4097" width="19.88671875" style="301" customWidth="1"/>
    <col min="4098" max="4098" width="14.88671875" style="301" customWidth="1"/>
    <col min="4099" max="4099" width="15.109375" style="301" customWidth="1"/>
    <col min="4100" max="4100" width="57" style="301" customWidth="1"/>
    <col min="4101" max="4105" width="16.21875" style="301" customWidth="1"/>
    <col min="4106" max="4106" width="30.5546875" style="301" customWidth="1"/>
    <col min="4107" max="4352" width="9.21875" style="301"/>
    <col min="4353" max="4353" width="19.88671875" style="301" customWidth="1"/>
    <col min="4354" max="4354" width="14.88671875" style="301" customWidth="1"/>
    <col min="4355" max="4355" width="15.109375" style="301" customWidth="1"/>
    <col min="4356" max="4356" width="57" style="301" customWidth="1"/>
    <col min="4357" max="4361" width="16.21875" style="301" customWidth="1"/>
    <col min="4362" max="4362" width="30.5546875" style="301" customWidth="1"/>
    <col min="4363" max="4608" width="9.21875" style="301"/>
    <col min="4609" max="4609" width="19.88671875" style="301" customWidth="1"/>
    <col min="4610" max="4610" width="14.88671875" style="301" customWidth="1"/>
    <col min="4611" max="4611" width="15.109375" style="301" customWidth="1"/>
    <col min="4612" max="4612" width="57" style="301" customWidth="1"/>
    <col min="4613" max="4617" width="16.21875" style="301" customWidth="1"/>
    <col min="4618" max="4618" width="30.5546875" style="301" customWidth="1"/>
    <col min="4619" max="4864" width="9.21875" style="301"/>
    <col min="4865" max="4865" width="19.88671875" style="301" customWidth="1"/>
    <col min="4866" max="4866" width="14.88671875" style="301" customWidth="1"/>
    <col min="4867" max="4867" width="15.109375" style="301" customWidth="1"/>
    <col min="4868" max="4868" width="57" style="301" customWidth="1"/>
    <col min="4869" max="4873" width="16.21875" style="301" customWidth="1"/>
    <col min="4874" max="4874" width="30.5546875" style="301" customWidth="1"/>
    <col min="4875" max="5120" width="9.21875" style="301"/>
    <col min="5121" max="5121" width="19.88671875" style="301" customWidth="1"/>
    <col min="5122" max="5122" width="14.88671875" style="301" customWidth="1"/>
    <col min="5123" max="5123" width="15.109375" style="301" customWidth="1"/>
    <col min="5124" max="5124" width="57" style="301" customWidth="1"/>
    <col min="5125" max="5129" width="16.21875" style="301" customWidth="1"/>
    <col min="5130" max="5130" width="30.5546875" style="301" customWidth="1"/>
    <col min="5131" max="5376" width="9.21875" style="301"/>
    <col min="5377" max="5377" width="19.88671875" style="301" customWidth="1"/>
    <col min="5378" max="5378" width="14.88671875" style="301" customWidth="1"/>
    <col min="5379" max="5379" width="15.109375" style="301" customWidth="1"/>
    <col min="5380" max="5380" width="57" style="301" customWidth="1"/>
    <col min="5381" max="5385" width="16.21875" style="301" customWidth="1"/>
    <col min="5386" max="5386" width="30.5546875" style="301" customWidth="1"/>
    <col min="5387" max="5632" width="9.21875" style="301"/>
    <col min="5633" max="5633" width="19.88671875" style="301" customWidth="1"/>
    <col min="5634" max="5634" width="14.88671875" style="301" customWidth="1"/>
    <col min="5635" max="5635" width="15.109375" style="301" customWidth="1"/>
    <col min="5636" max="5636" width="57" style="301" customWidth="1"/>
    <col min="5637" max="5641" width="16.21875" style="301" customWidth="1"/>
    <col min="5642" max="5642" width="30.5546875" style="301" customWidth="1"/>
    <col min="5643" max="5888" width="9.21875" style="301"/>
    <col min="5889" max="5889" width="19.88671875" style="301" customWidth="1"/>
    <col min="5890" max="5890" width="14.88671875" style="301" customWidth="1"/>
    <col min="5891" max="5891" width="15.109375" style="301" customWidth="1"/>
    <col min="5892" max="5892" width="57" style="301" customWidth="1"/>
    <col min="5893" max="5897" width="16.21875" style="301" customWidth="1"/>
    <col min="5898" max="5898" width="30.5546875" style="301" customWidth="1"/>
    <col min="5899" max="6144" width="9.21875" style="301"/>
    <col min="6145" max="6145" width="19.88671875" style="301" customWidth="1"/>
    <col min="6146" max="6146" width="14.88671875" style="301" customWidth="1"/>
    <col min="6147" max="6147" width="15.109375" style="301" customWidth="1"/>
    <col min="6148" max="6148" width="57" style="301" customWidth="1"/>
    <col min="6149" max="6153" width="16.21875" style="301" customWidth="1"/>
    <col min="6154" max="6154" width="30.5546875" style="301" customWidth="1"/>
    <col min="6155" max="6400" width="9.21875" style="301"/>
    <col min="6401" max="6401" width="19.88671875" style="301" customWidth="1"/>
    <col min="6402" max="6402" width="14.88671875" style="301" customWidth="1"/>
    <col min="6403" max="6403" width="15.109375" style="301" customWidth="1"/>
    <col min="6404" max="6404" width="57" style="301" customWidth="1"/>
    <col min="6405" max="6409" width="16.21875" style="301" customWidth="1"/>
    <col min="6410" max="6410" width="30.5546875" style="301" customWidth="1"/>
    <col min="6411" max="6656" width="9.21875" style="301"/>
    <col min="6657" max="6657" width="19.88671875" style="301" customWidth="1"/>
    <col min="6658" max="6658" width="14.88671875" style="301" customWidth="1"/>
    <col min="6659" max="6659" width="15.109375" style="301" customWidth="1"/>
    <col min="6660" max="6660" width="57" style="301" customWidth="1"/>
    <col min="6661" max="6665" width="16.21875" style="301" customWidth="1"/>
    <col min="6666" max="6666" width="30.5546875" style="301" customWidth="1"/>
    <col min="6667" max="6912" width="9.21875" style="301"/>
    <col min="6913" max="6913" width="19.88671875" style="301" customWidth="1"/>
    <col min="6914" max="6914" width="14.88671875" style="301" customWidth="1"/>
    <col min="6915" max="6915" width="15.109375" style="301" customWidth="1"/>
    <col min="6916" max="6916" width="57" style="301" customWidth="1"/>
    <col min="6917" max="6921" width="16.21875" style="301" customWidth="1"/>
    <col min="6922" max="6922" width="30.5546875" style="301" customWidth="1"/>
    <col min="6923" max="7168" width="9.21875" style="301"/>
    <col min="7169" max="7169" width="19.88671875" style="301" customWidth="1"/>
    <col min="7170" max="7170" width="14.88671875" style="301" customWidth="1"/>
    <col min="7171" max="7171" width="15.109375" style="301" customWidth="1"/>
    <col min="7172" max="7172" width="57" style="301" customWidth="1"/>
    <col min="7173" max="7177" width="16.21875" style="301" customWidth="1"/>
    <col min="7178" max="7178" width="30.5546875" style="301" customWidth="1"/>
    <col min="7179" max="7424" width="9.21875" style="301"/>
    <col min="7425" max="7425" width="19.88671875" style="301" customWidth="1"/>
    <col min="7426" max="7426" width="14.88671875" style="301" customWidth="1"/>
    <col min="7427" max="7427" width="15.109375" style="301" customWidth="1"/>
    <col min="7428" max="7428" width="57" style="301" customWidth="1"/>
    <col min="7429" max="7433" width="16.21875" style="301" customWidth="1"/>
    <col min="7434" max="7434" width="30.5546875" style="301" customWidth="1"/>
    <col min="7435" max="7680" width="9.21875" style="301"/>
    <col min="7681" max="7681" width="19.88671875" style="301" customWidth="1"/>
    <col min="7682" max="7682" width="14.88671875" style="301" customWidth="1"/>
    <col min="7683" max="7683" width="15.109375" style="301" customWidth="1"/>
    <col min="7684" max="7684" width="57" style="301" customWidth="1"/>
    <col min="7685" max="7689" width="16.21875" style="301" customWidth="1"/>
    <col min="7690" max="7690" width="30.5546875" style="301" customWidth="1"/>
    <col min="7691" max="7936" width="9.21875" style="301"/>
    <col min="7937" max="7937" width="19.88671875" style="301" customWidth="1"/>
    <col min="7938" max="7938" width="14.88671875" style="301" customWidth="1"/>
    <col min="7939" max="7939" width="15.109375" style="301" customWidth="1"/>
    <col min="7940" max="7940" width="57" style="301" customWidth="1"/>
    <col min="7941" max="7945" width="16.21875" style="301" customWidth="1"/>
    <col min="7946" max="7946" width="30.5546875" style="301" customWidth="1"/>
    <col min="7947" max="8192" width="9.21875" style="301"/>
    <col min="8193" max="8193" width="19.88671875" style="301" customWidth="1"/>
    <col min="8194" max="8194" width="14.88671875" style="301" customWidth="1"/>
    <col min="8195" max="8195" width="15.109375" style="301" customWidth="1"/>
    <col min="8196" max="8196" width="57" style="301" customWidth="1"/>
    <col min="8197" max="8201" width="16.21875" style="301" customWidth="1"/>
    <col min="8202" max="8202" width="30.5546875" style="301" customWidth="1"/>
    <col min="8203" max="8448" width="9.21875" style="301"/>
    <col min="8449" max="8449" width="19.88671875" style="301" customWidth="1"/>
    <col min="8450" max="8450" width="14.88671875" style="301" customWidth="1"/>
    <col min="8451" max="8451" width="15.109375" style="301" customWidth="1"/>
    <col min="8452" max="8452" width="57" style="301" customWidth="1"/>
    <col min="8453" max="8457" width="16.21875" style="301" customWidth="1"/>
    <col min="8458" max="8458" width="30.5546875" style="301" customWidth="1"/>
    <col min="8459" max="8704" width="9.21875" style="301"/>
    <col min="8705" max="8705" width="19.88671875" style="301" customWidth="1"/>
    <col min="8706" max="8706" width="14.88671875" style="301" customWidth="1"/>
    <col min="8707" max="8707" width="15.109375" style="301" customWidth="1"/>
    <col min="8708" max="8708" width="57" style="301" customWidth="1"/>
    <col min="8709" max="8713" width="16.21875" style="301" customWidth="1"/>
    <col min="8714" max="8714" width="30.5546875" style="301" customWidth="1"/>
    <col min="8715" max="8960" width="9.21875" style="301"/>
    <col min="8961" max="8961" width="19.88671875" style="301" customWidth="1"/>
    <col min="8962" max="8962" width="14.88671875" style="301" customWidth="1"/>
    <col min="8963" max="8963" width="15.109375" style="301" customWidth="1"/>
    <col min="8964" max="8964" width="57" style="301" customWidth="1"/>
    <col min="8965" max="8969" width="16.21875" style="301" customWidth="1"/>
    <col min="8970" max="8970" width="30.5546875" style="301" customWidth="1"/>
    <col min="8971" max="9216" width="9.21875" style="301"/>
    <col min="9217" max="9217" width="19.88671875" style="301" customWidth="1"/>
    <col min="9218" max="9218" width="14.88671875" style="301" customWidth="1"/>
    <col min="9219" max="9219" width="15.109375" style="301" customWidth="1"/>
    <col min="9220" max="9220" width="57" style="301" customWidth="1"/>
    <col min="9221" max="9225" width="16.21875" style="301" customWidth="1"/>
    <col min="9226" max="9226" width="30.5546875" style="301" customWidth="1"/>
    <col min="9227" max="9472" width="9.21875" style="301"/>
    <col min="9473" max="9473" width="19.88671875" style="301" customWidth="1"/>
    <col min="9474" max="9474" width="14.88671875" style="301" customWidth="1"/>
    <col min="9475" max="9475" width="15.109375" style="301" customWidth="1"/>
    <col min="9476" max="9476" width="57" style="301" customWidth="1"/>
    <col min="9477" max="9481" width="16.21875" style="301" customWidth="1"/>
    <col min="9482" max="9482" width="30.5546875" style="301" customWidth="1"/>
    <col min="9483" max="9728" width="9.21875" style="301"/>
    <col min="9729" max="9729" width="19.88671875" style="301" customWidth="1"/>
    <col min="9730" max="9730" width="14.88671875" style="301" customWidth="1"/>
    <col min="9731" max="9731" width="15.109375" style="301" customWidth="1"/>
    <col min="9732" max="9732" width="57" style="301" customWidth="1"/>
    <col min="9733" max="9737" width="16.21875" style="301" customWidth="1"/>
    <col min="9738" max="9738" width="30.5546875" style="301" customWidth="1"/>
    <col min="9739" max="9984" width="9.21875" style="301"/>
    <col min="9985" max="9985" width="19.88671875" style="301" customWidth="1"/>
    <col min="9986" max="9986" width="14.88671875" style="301" customWidth="1"/>
    <col min="9987" max="9987" width="15.109375" style="301" customWidth="1"/>
    <col min="9988" max="9988" width="57" style="301" customWidth="1"/>
    <col min="9989" max="9993" width="16.21875" style="301" customWidth="1"/>
    <col min="9994" max="9994" width="30.5546875" style="301" customWidth="1"/>
    <col min="9995" max="10240" width="9.21875" style="301"/>
    <col min="10241" max="10241" width="19.88671875" style="301" customWidth="1"/>
    <col min="10242" max="10242" width="14.88671875" style="301" customWidth="1"/>
    <col min="10243" max="10243" width="15.109375" style="301" customWidth="1"/>
    <col min="10244" max="10244" width="57" style="301" customWidth="1"/>
    <col min="10245" max="10249" width="16.21875" style="301" customWidth="1"/>
    <col min="10250" max="10250" width="30.5546875" style="301" customWidth="1"/>
    <col min="10251" max="10496" width="9.21875" style="301"/>
    <col min="10497" max="10497" width="19.88671875" style="301" customWidth="1"/>
    <col min="10498" max="10498" width="14.88671875" style="301" customWidth="1"/>
    <col min="10499" max="10499" width="15.109375" style="301" customWidth="1"/>
    <col min="10500" max="10500" width="57" style="301" customWidth="1"/>
    <col min="10501" max="10505" width="16.21875" style="301" customWidth="1"/>
    <col min="10506" max="10506" width="30.5546875" style="301" customWidth="1"/>
    <col min="10507" max="10752" width="9.21875" style="301"/>
    <col min="10753" max="10753" width="19.88671875" style="301" customWidth="1"/>
    <col min="10754" max="10754" width="14.88671875" style="301" customWidth="1"/>
    <col min="10755" max="10755" width="15.109375" style="301" customWidth="1"/>
    <col min="10756" max="10756" width="57" style="301" customWidth="1"/>
    <col min="10757" max="10761" width="16.21875" style="301" customWidth="1"/>
    <col min="10762" max="10762" width="30.5546875" style="301" customWidth="1"/>
    <col min="10763" max="11008" width="9.21875" style="301"/>
    <col min="11009" max="11009" width="19.88671875" style="301" customWidth="1"/>
    <col min="11010" max="11010" width="14.88671875" style="301" customWidth="1"/>
    <col min="11011" max="11011" width="15.109375" style="301" customWidth="1"/>
    <col min="11012" max="11012" width="57" style="301" customWidth="1"/>
    <col min="11013" max="11017" width="16.21875" style="301" customWidth="1"/>
    <col min="11018" max="11018" width="30.5546875" style="301" customWidth="1"/>
    <col min="11019" max="11264" width="9.21875" style="301"/>
    <col min="11265" max="11265" width="19.88671875" style="301" customWidth="1"/>
    <col min="11266" max="11266" width="14.88671875" style="301" customWidth="1"/>
    <col min="11267" max="11267" width="15.109375" style="301" customWidth="1"/>
    <col min="11268" max="11268" width="57" style="301" customWidth="1"/>
    <col min="11269" max="11273" width="16.21875" style="301" customWidth="1"/>
    <col min="11274" max="11274" width="30.5546875" style="301" customWidth="1"/>
    <col min="11275" max="11520" width="9.21875" style="301"/>
    <col min="11521" max="11521" width="19.88671875" style="301" customWidth="1"/>
    <col min="11522" max="11522" width="14.88671875" style="301" customWidth="1"/>
    <col min="11523" max="11523" width="15.109375" style="301" customWidth="1"/>
    <col min="11524" max="11524" width="57" style="301" customWidth="1"/>
    <col min="11525" max="11529" width="16.21875" style="301" customWidth="1"/>
    <col min="11530" max="11530" width="30.5546875" style="301" customWidth="1"/>
    <col min="11531" max="11776" width="9.21875" style="301"/>
    <col min="11777" max="11777" width="19.88671875" style="301" customWidth="1"/>
    <col min="11778" max="11778" width="14.88671875" style="301" customWidth="1"/>
    <col min="11779" max="11779" width="15.109375" style="301" customWidth="1"/>
    <col min="11780" max="11780" width="57" style="301" customWidth="1"/>
    <col min="11781" max="11785" width="16.21875" style="301" customWidth="1"/>
    <col min="11786" max="11786" width="30.5546875" style="301" customWidth="1"/>
    <col min="11787" max="12032" width="9.21875" style="301"/>
    <col min="12033" max="12033" width="19.88671875" style="301" customWidth="1"/>
    <col min="12034" max="12034" width="14.88671875" style="301" customWidth="1"/>
    <col min="12035" max="12035" width="15.109375" style="301" customWidth="1"/>
    <col min="12036" max="12036" width="57" style="301" customWidth="1"/>
    <col min="12037" max="12041" width="16.21875" style="301" customWidth="1"/>
    <col min="12042" max="12042" width="30.5546875" style="301" customWidth="1"/>
    <col min="12043" max="12288" width="9.21875" style="301"/>
    <col min="12289" max="12289" width="19.88671875" style="301" customWidth="1"/>
    <col min="12290" max="12290" width="14.88671875" style="301" customWidth="1"/>
    <col min="12291" max="12291" width="15.109375" style="301" customWidth="1"/>
    <col min="12292" max="12292" width="57" style="301" customWidth="1"/>
    <col min="12293" max="12297" width="16.21875" style="301" customWidth="1"/>
    <col min="12298" max="12298" width="30.5546875" style="301" customWidth="1"/>
    <col min="12299" max="12544" width="9.21875" style="301"/>
    <col min="12545" max="12545" width="19.88671875" style="301" customWidth="1"/>
    <col min="12546" max="12546" width="14.88671875" style="301" customWidth="1"/>
    <col min="12547" max="12547" width="15.109375" style="301" customWidth="1"/>
    <col min="12548" max="12548" width="57" style="301" customWidth="1"/>
    <col min="12549" max="12553" width="16.21875" style="301" customWidth="1"/>
    <col min="12554" max="12554" width="30.5546875" style="301" customWidth="1"/>
    <col min="12555" max="12800" width="9.21875" style="301"/>
    <col min="12801" max="12801" width="19.88671875" style="301" customWidth="1"/>
    <col min="12802" max="12802" width="14.88671875" style="301" customWidth="1"/>
    <col min="12803" max="12803" width="15.109375" style="301" customWidth="1"/>
    <col min="12804" max="12804" width="57" style="301" customWidth="1"/>
    <col min="12805" max="12809" width="16.21875" style="301" customWidth="1"/>
    <col min="12810" max="12810" width="30.5546875" style="301" customWidth="1"/>
    <col min="12811" max="13056" width="9.21875" style="301"/>
    <col min="13057" max="13057" width="19.88671875" style="301" customWidth="1"/>
    <col min="13058" max="13058" width="14.88671875" style="301" customWidth="1"/>
    <col min="13059" max="13059" width="15.109375" style="301" customWidth="1"/>
    <col min="13060" max="13060" width="57" style="301" customWidth="1"/>
    <col min="13061" max="13065" width="16.21875" style="301" customWidth="1"/>
    <col min="13066" max="13066" width="30.5546875" style="301" customWidth="1"/>
    <col min="13067" max="13312" width="9.21875" style="301"/>
    <col min="13313" max="13313" width="19.88671875" style="301" customWidth="1"/>
    <col min="13314" max="13314" width="14.88671875" style="301" customWidth="1"/>
    <col min="13315" max="13315" width="15.109375" style="301" customWidth="1"/>
    <col min="13316" max="13316" width="57" style="301" customWidth="1"/>
    <col min="13317" max="13321" width="16.21875" style="301" customWidth="1"/>
    <col min="13322" max="13322" width="30.5546875" style="301" customWidth="1"/>
    <col min="13323" max="13568" width="9.21875" style="301"/>
    <col min="13569" max="13569" width="19.88671875" style="301" customWidth="1"/>
    <col min="13570" max="13570" width="14.88671875" style="301" customWidth="1"/>
    <col min="13571" max="13571" width="15.109375" style="301" customWidth="1"/>
    <col min="13572" max="13572" width="57" style="301" customWidth="1"/>
    <col min="13573" max="13577" width="16.21875" style="301" customWidth="1"/>
    <col min="13578" max="13578" width="30.5546875" style="301" customWidth="1"/>
    <col min="13579" max="13824" width="9.21875" style="301"/>
    <col min="13825" max="13825" width="19.88671875" style="301" customWidth="1"/>
    <col min="13826" max="13826" width="14.88671875" style="301" customWidth="1"/>
    <col min="13827" max="13827" width="15.109375" style="301" customWidth="1"/>
    <col min="13828" max="13828" width="57" style="301" customWidth="1"/>
    <col min="13829" max="13833" width="16.21875" style="301" customWidth="1"/>
    <col min="13834" max="13834" width="30.5546875" style="301" customWidth="1"/>
    <col min="13835" max="14080" width="9.21875" style="301"/>
    <col min="14081" max="14081" width="19.88671875" style="301" customWidth="1"/>
    <col min="14082" max="14082" width="14.88671875" style="301" customWidth="1"/>
    <col min="14083" max="14083" width="15.109375" style="301" customWidth="1"/>
    <col min="14084" max="14084" width="57" style="301" customWidth="1"/>
    <col min="14085" max="14089" width="16.21875" style="301" customWidth="1"/>
    <col min="14090" max="14090" width="30.5546875" style="301" customWidth="1"/>
    <col min="14091" max="14336" width="9.21875" style="301"/>
    <col min="14337" max="14337" width="19.88671875" style="301" customWidth="1"/>
    <col min="14338" max="14338" width="14.88671875" style="301" customWidth="1"/>
    <col min="14339" max="14339" width="15.109375" style="301" customWidth="1"/>
    <col min="14340" max="14340" width="57" style="301" customWidth="1"/>
    <col min="14341" max="14345" width="16.21875" style="301" customWidth="1"/>
    <col min="14346" max="14346" width="30.5546875" style="301" customWidth="1"/>
    <col min="14347" max="14592" width="9.21875" style="301"/>
    <col min="14593" max="14593" width="19.88671875" style="301" customWidth="1"/>
    <col min="14594" max="14594" width="14.88671875" style="301" customWidth="1"/>
    <col min="14595" max="14595" width="15.109375" style="301" customWidth="1"/>
    <col min="14596" max="14596" width="57" style="301" customWidth="1"/>
    <col min="14597" max="14601" width="16.21875" style="301" customWidth="1"/>
    <col min="14602" max="14602" width="30.5546875" style="301" customWidth="1"/>
    <col min="14603" max="14848" width="9.21875" style="301"/>
    <col min="14849" max="14849" width="19.88671875" style="301" customWidth="1"/>
    <col min="14850" max="14850" width="14.88671875" style="301" customWidth="1"/>
    <col min="14851" max="14851" width="15.109375" style="301" customWidth="1"/>
    <col min="14852" max="14852" width="57" style="301" customWidth="1"/>
    <col min="14853" max="14857" width="16.21875" style="301" customWidth="1"/>
    <col min="14858" max="14858" width="30.5546875" style="301" customWidth="1"/>
    <col min="14859" max="15104" width="9.21875" style="301"/>
    <col min="15105" max="15105" width="19.88671875" style="301" customWidth="1"/>
    <col min="15106" max="15106" width="14.88671875" style="301" customWidth="1"/>
    <col min="15107" max="15107" width="15.109375" style="301" customWidth="1"/>
    <col min="15108" max="15108" width="57" style="301" customWidth="1"/>
    <col min="15109" max="15113" width="16.21875" style="301" customWidth="1"/>
    <col min="15114" max="15114" width="30.5546875" style="301" customWidth="1"/>
    <col min="15115" max="15360" width="9.21875" style="301"/>
    <col min="15361" max="15361" width="19.88671875" style="301" customWidth="1"/>
    <col min="15362" max="15362" width="14.88671875" style="301" customWidth="1"/>
    <col min="15363" max="15363" width="15.109375" style="301" customWidth="1"/>
    <col min="15364" max="15364" width="57" style="301" customWidth="1"/>
    <col min="15365" max="15369" width="16.21875" style="301" customWidth="1"/>
    <col min="15370" max="15370" width="30.5546875" style="301" customWidth="1"/>
    <col min="15371" max="15616" width="9.21875" style="301"/>
    <col min="15617" max="15617" width="19.88671875" style="301" customWidth="1"/>
    <col min="15618" max="15618" width="14.88671875" style="301" customWidth="1"/>
    <col min="15619" max="15619" width="15.109375" style="301" customWidth="1"/>
    <col min="15620" max="15620" width="57" style="301" customWidth="1"/>
    <col min="15621" max="15625" width="16.21875" style="301" customWidth="1"/>
    <col min="15626" max="15626" width="30.5546875" style="301" customWidth="1"/>
    <col min="15627" max="15872" width="9.21875" style="301"/>
    <col min="15873" max="15873" width="19.88671875" style="301" customWidth="1"/>
    <col min="15874" max="15874" width="14.88671875" style="301" customWidth="1"/>
    <col min="15875" max="15875" width="15.109375" style="301" customWidth="1"/>
    <col min="15876" max="15876" width="57" style="301" customWidth="1"/>
    <col min="15877" max="15881" width="16.21875" style="301" customWidth="1"/>
    <col min="15882" max="15882" width="30.5546875" style="301" customWidth="1"/>
    <col min="15883" max="16128" width="9.21875" style="301"/>
    <col min="16129" max="16129" width="19.88671875" style="301" customWidth="1"/>
    <col min="16130" max="16130" width="14.88671875" style="301" customWidth="1"/>
    <col min="16131" max="16131" width="15.109375" style="301" customWidth="1"/>
    <col min="16132" max="16132" width="57" style="301" customWidth="1"/>
    <col min="16133" max="16137" width="16.21875" style="301" customWidth="1"/>
    <col min="16138" max="16138" width="30.5546875" style="301" customWidth="1"/>
    <col min="16139" max="16384" width="9.21875" style="301"/>
  </cols>
  <sheetData>
    <row r="1" spans="1:10" s="292" customFormat="1" ht="18">
      <c r="A1" s="969" t="s">
        <v>521</v>
      </c>
      <c r="B1" s="970"/>
      <c r="C1" s="970"/>
      <c r="D1" s="288"/>
      <c r="E1" s="288"/>
      <c r="F1" s="287"/>
      <c r="G1" s="289"/>
      <c r="H1" s="287"/>
      <c r="I1" s="290"/>
      <c r="J1" s="291"/>
    </row>
    <row r="2" spans="1:10" s="292" customFormat="1" ht="18">
      <c r="A2" s="971" t="str">
        <f>[19]Transmittal!B11</f>
        <v>765kV D/c  Koppal II (PS)-Raichur (Part-1) transmission line project</v>
      </c>
      <c r="B2" s="972"/>
      <c r="C2" s="972"/>
      <c r="D2" s="972"/>
      <c r="E2" s="972"/>
      <c r="F2" s="972"/>
      <c r="G2" s="973"/>
      <c r="H2" s="293"/>
      <c r="I2" s="294"/>
      <c r="J2" s="295"/>
    </row>
    <row r="3" spans="1:10">
      <c r="A3" s="296"/>
      <c r="B3" s="297"/>
      <c r="C3" s="297"/>
      <c r="D3" s="297"/>
      <c r="E3" s="297"/>
      <c r="F3" s="297"/>
      <c r="G3" s="298"/>
      <c r="H3" s="297"/>
      <c r="I3" s="299"/>
      <c r="J3" s="300"/>
    </row>
    <row r="4" spans="1:10" ht="15" thickBot="1">
      <c r="A4" s="296"/>
      <c r="B4" s="297"/>
      <c r="C4" s="297"/>
      <c r="D4" s="297"/>
      <c r="E4" s="297"/>
      <c r="F4" s="297"/>
      <c r="G4" s="298"/>
      <c r="H4" s="297"/>
      <c r="I4" s="299"/>
      <c r="J4" s="300"/>
    </row>
    <row r="5" spans="1:10" s="302" customFormat="1" ht="18">
      <c r="A5" s="325" t="s">
        <v>522</v>
      </c>
      <c r="B5" s="326" t="s">
        <v>523</v>
      </c>
      <c r="C5" s="326" t="s">
        <v>524</v>
      </c>
      <c r="D5" s="326" t="s">
        <v>525</v>
      </c>
      <c r="E5" s="326" t="s">
        <v>526</v>
      </c>
      <c r="F5" s="327" t="s">
        <v>527</v>
      </c>
      <c r="G5" s="327" t="s">
        <v>528</v>
      </c>
      <c r="H5" s="328" t="s">
        <v>529</v>
      </c>
      <c r="I5" s="326" t="s">
        <v>11</v>
      </c>
      <c r="J5" s="329" t="s">
        <v>113</v>
      </c>
    </row>
    <row r="6" spans="1:10" s="307" customFormat="1" ht="18">
      <c r="A6" s="303" t="s">
        <v>530</v>
      </c>
      <c r="B6" s="304">
        <v>6</v>
      </c>
      <c r="C6" s="304">
        <v>3</v>
      </c>
      <c r="D6" s="304">
        <v>0</v>
      </c>
      <c r="E6" s="304">
        <v>0</v>
      </c>
      <c r="F6" s="304">
        <v>4</v>
      </c>
      <c r="G6" s="305">
        <v>1</v>
      </c>
      <c r="H6" s="304">
        <v>0</v>
      </c>
      <c r="I6" s="306">
        <f>SUM(B6:H6)</f>
        <v>14</v>
      </c>
      <c r="J6" s="330"/>
    </row>
    <row r="7" spans="1:10" s="307" customFormat="1" ht="36">
      <c r="A7" s="303" t="s">
        <v>531</v>
      </c>
      <c r="B7" s="304">
        <v>0</v>
      </c>
      <c r="C7" s="304">
        <v>0</v>
      </c>
      <c r="D7" s="304">
        <v>0</v>
      </c>
      <c r="E7" s="304">
        <v>0</v>
      </c>
      <c r="F7" s="304">
        <v>0</v>
      </c>
      <c r="G7" s="304">
        <v>0</v>
      </c>
      <c r="H7" s="304">
        <v>0</v>
      </c>
      <c r="I7" s="306">
        <f>SUM(B7:H7)</f>
        <v>0</v>
      </c>
      <c r="J7" s="331"/>
    </row>
    <row r="8" spans="1:10" s="307" customFormat="1" ht="36">
      <c r="A8" s="303" t="s">
        <v>532</v>
      </c>
      <c r="B8" s="304">
        <v>0</v>
      </c>
      <c r="C8" s="304">
        <v>0</v>
      </c>
      <c r="D8" s="304">
        <v>0</v>
      </c>
      <c r="E8" s="304">
        <v>0</v>
      </c>
      <c r="F8" s="304">
        <v>0</v>
      </c>
      <c r="G8" s="304">
        <v>0</v>
      </c>
      <c r="H8" s="304">
        <v>0</v>
      </c>
      <c r="I8" s="306">
        <f>SUM(B8:H8)</f>
        <v>0</v>
      </c>
      <c r="J8" s="331"/>
    </row>
    <row r="9" spans="1:10" s="307" customFormat="1" ht="36.6" thickBot="1">
      <c r="A9" s="332" t="s">
        <v>533</v>
      </c>
      <c r="B9" s="333">
        <v>0</v>
      </c>
      <c r="C9" s="333">
        <v>0</v>
      </c>
      <c r="D9" s="333">
        <f t="shared" ref="D9:I9" si="0">D6-D8</f>
        <v>0</v>
      </c>
      <c r="E9" s="333">
        <f>E6-E8</f>
        <v>0</v>
      </c>
      <c r="F9" s="333">
        <f t="shared" si="0"/>
        <v>4</v>
      </c>
      <c r="G9" s="333">
        <v>0</v>
      </c>
      <c r="H9" s="333">
        <f t="shared" si="0"/>
        <v>0</v>
      </c>
      <c r="I9" s="334">
        <f t="shared" si="0"/>
        <v>14</v>
      </c>
      <c r="J9" s="335"/>
    </row>
    <row r="10" spans="1:10" s="307" customFormat="1" ht="18.600000000000001" thickBot="1">
      <c r="A10" s="323"/>
      <c r="B10" s="324"/>
      <c r="C10" s="324"/>
      <c r="D10" s="324"/>
      <c r="E10" s="324"/>
      <c r="F10" s="324"/>
      <c r="G10" s="320"/>
      <c r="H10" s="320"/>
      <c r="I10" s="321"/>
      <c r="J10" s="322"/>
    </row>
    <row r="11" spans="1:10" ht="29.55" customHeight="1" thickBot="1">
      <c r="A11" s="974" t="s">
        <v>534</v>
      </c>
      <c r="B11" s="975"/>
      <c r="C11" s="975"/>
      <c r="D11" s="975"/>
      <c r="E11" s="975"/>
      <c r="F11" s="975"/>
      <c r="G11" s="975"/>
      <c r="H11" s="975"/>
      <c r="I11" s="976"/>
      <c r="J11" s="317"/>
    </row>
    <row r="12" spans="1:10" s="307" customFormat="1" ht="54">
      <c r="A12" s="481" t="s">
        <v>437</v>
      </c>
      <c r="B12" s="482" t="s">
        <v>535</v>
      </c>
      <c r="C12" s="482" t="s">
        <v>536</v>
      </c>
      <c r="D12" s="482" t="s">
        <v>537</v>
      </c>
      <c r="E12" s="482" t="s">
        <v>538</v>
      </c>
      <c r="F12" s="482" t="s">
        <v>611</v>
      </c>
      <c r="G12" s="482" t="s">
        <v>612</v>
      </c>
      <c r="H12" s="483" t="s">
        <v>613</v>
      </c>
      <c r="I12" s="483" t="s">
        <v>113</v>
      </c>
      <c r="J12" s="318"/>
    </row>
    <row r="13" spans="1:10" s="309" customFormat="1" ht="24.6" customHeight="1">
      <c r="A13" s="336">
        <v>1</v>
      </c>
      <c r="B13" s="337" t="s">
        <v>121</v>
      </c>
      <c r="C13" s="338" t="s">
        <v>122</v>
      </c>
      <c r="D13" s="308" t="s">
        <v>539</v>
      </c>
      <c r="E13" s="339" t="s">
        <v>540</v>
      </c>
      <c r="F13" s="399">
        <v>45576</v>
      </c>
      <c r="G13" s="400" t="s">
        <v>55</v>
      </c>
      <c r="H13" s="403" t="s">
        <v>614</v>
      </c>
      <c r="I13" s="480" t="s">
        <v>700</v>
      </c>
      <c r="J13" s="319"/>
    </row>
    <row r="14" spans="1:10" s="310" customFormat="1" ht="24.6" customHeight="1">
      <c r="A14" s="336">
        <f>A13+1</f>
        <v>2</v>
      </c>
      <c r="B14" s="338" t="s">
        <v>19</v>
      </c>
      <c r="C14" s="338" t="s">
        <v>28</v>
      </c>
      <c r="D14" s="340" t="s">
        <v>541</v>
      </c>
      <c r="E14" s="339" t="s">
        <v>540</v>
      </c>
      <c r="F14" s="399">
        <v>45576</v>
      </c>
      <c r="G14" s="400" t="s">
        <v>55</v>
      </c>
      <c r="H14" s="403" t="s">
        <v>614</v>
      </c>
      <c r="I14" s="480" t="s">
        <v>700</v>
      </c>
      <c r="J14" s="319"/>
    </row>
    <row r="15" spans="1:10" s="310" customFormat="1" ht="24.6" customHeight="1">
      <c r="A15" s="336">
        <f t="shared" ref="A15:A26" si="1">A14+1</f>
        <v>3</v>
      </c>
      <c r="B15" s="338" t="s">
        <v>35</v>
      </c>
      <c r="C15" s="338" t="s">
        <v>4</v>
      </c>
      <c r="D15" s="340" t="s">
        <v>541</v>
      </c>
      <c r="E15" s="339" t="s">
        <v>540</v>
      </c>
      <c r="F15" s="399">
        <v>45576</v>
      </c>
      <c r="G15" s="400" t="s">
        <v>55</v>
      </c>
      <c r="H15" s="403" t="s">
        <v>614</v>
      </c>
      <c r="I15" s="480" t="s">
        <v>700</v>
      </c>
      <c r="J15" s="319"/>
    </row>
    <row r="16" spans="1:10" s="310" customFormat="1" ht="24.6" customHeight="1">
      <c r="A16" s="336">
        <f t="shared" si="1"/>
        <v>4</v>
      </c>
      <c r="B16" s="338" t="s">
        <v>45</v>
      </c>
      <c r="C16" s="338" t="s">
        <v>46</v>
      </c>
      <c r="D16" s="340" t="s">
        <v>542</v>
      </c>
      <c r="E16" s="339" t="s">
        <v>540</v>
      </c>
      <c r="F16" s="399">
        <v>45576</v>
      </c>
      <c r="G16" s="400" t="s">
        <v>55</v>
      </c>
      <c r="H16" s="403" t="s">
        <v>614</v>
      </c>
      <c r="I16" s="480" t="s">
        <v>700</v>
      </c>
      <c r="J16" s="319"/>
    </row>
    <row r="17" spans="1:10" s="310" customFormat="1" ht="24.6" customHeight="1">
      <c r="A17" s="336">
        <f t="shared" si="1"/>
        <v>5</v>
      </c>
      <c r="B17" s="338" t="s">
        <v>190</v>
      </c>
      <c r="C17" s="338" t="s">
        <v>192</v>
      </c>
      <c r="D17" s="340" t="s">
        <v>610</v>
      </c>
      <c r="E17" s="339" t="s">
        <v>540</v>
      </c>
      <c r="F17" s="399">
        <v>45687</v>
      </c>
      <c r="G17" s="400" t="s">
        <v>55</v>
      </c>
      <c r="H17" s="403" t="s">
        <v>614</v>
      </c>
      <c r="I17" s="480" t="s">
        <v>700</v>
      </c>
      <c r="J17" s="319"/>
    </row>
    <row r="18" spans="1:10" s="310" customFormat="1" ht="24.6" customHeight="1">
      <c r="A18" s="336">
        <f t="shared" si="1"/>
        <v>6</v>
      </c>
      <c r="B18" s="338" t="s">
        <v>185</v>
      </c>
      <c r="C18" s="338" t="s">
        <v>54</v>
      </c>
      <c r="D18" s="341" t="s">
        <v>543</v>
      </c>
      <c r="E18" s="339" t="s">
        <v>540</v>
      </c>
      <c r="F18" s="399">
        <v>45645</v>
      </c>
      <c r="G18" s="400" t="s">
        <v>55</v>
      </c>
      <c r="H18" s="403" t="s">
        <v>614</v>
      </c>
      <c r="I18" s="480" t="s">
        <v>700</v>
      </c>
      <c r="J18" s="319"/>
    </row>
    <row r="19" spans="1:10" s="309" customFormat="1" ht="24.6" customHeight="1">
      <c r="A19" s="336">
        <f t="shared" si="1"/>
        <v>7</v>
      </c>
      <c r="B19" s="338" t="s">
        <v>23</v>
      </c>
      <c r="C19" s="338" t="s">
        <v>24</v>
      </c>
      <c r="D19" s="308" t="s">
        <v>544</v>
      </c>
      <c r="E19" s="339" t="s">
        <v>540</v>
      </c>
      <c r="F19" s="399">
        <v>45576</v>
      </c>
      <c r="G19" s="400" t="s">
        <v>55</v>
      </c>
      <c r="H19" s="403" t="s">
        <v>614</v>
      </c>
      <c r="I19" s="480" t="s">
        <v>700</v>
      </c>
      <c r="J19" s="319"/>
    </row>
    <row r="20" spans="1:10" s="310" customFormat="1" ht="24.6" customHeight="1">
      <c r="A20" s="336">
        <f t="shared" si="1"/>
        <v>8</v>
      </c>
      <c r="B20" s="338" t="s">
        <v>29</v>
      </c>
      <c r="C20" s="338" t="s">
        <v>30</v>
      </c>
      <c r="D20" s="340" t="s">
        <v>207</v>
      </c>
      <c r="E20" s="339" t="s">
        <v>540</v>
      </c>
      <c r="F20" s="399">
        <v>45576</v>
      </c>
      <c r="G20" s="400" t="s">
        <v>55</v>
      </c>
      <c r="H20" s="403" t="s">
        <v>614</v>
      </c>
      <c r="I20" s="480" t="s">
        <v>700</v>
      </c>
      <c r="J20" s="319"/>
    </row>
    <row r="21" spans="1:10" s="310" customFormat="1" ht="24.6" customHeight="1">
      <c r="A21" s="336">
        <f t="shared" si="1"/>
        <v>9</v>
      </c>
      <c r="B21" s="338" t="s">
        <v>29</v>
      </c>
      <c r="C21" s="338" t="s">
        <v>30</v>
      </c>
      <c r="D21" s="340" t="s">
        <v>207</v>
      </c>
      <c r="E21" s="339" t="s">
        <v>540</v>
      </c>
      <c r="F21" s="399">
        <v>45576</v>
      </c>
      <c r="G21" s="400" t="s">
        <v>55</v>
      </c>
      <c r="H21" s="403" t="s">
        <v>614</v>
      </c>
      <c r="I21" s="480" t="s">
        <v>700</v>
      </c>
      <c r="J21" s="319"/>
    </row>
    <row r="22" spans="1:10" s="310" customFormat="1" ht="24.6" customHeight="1">
      <c r="A22" s="336">
        <f t="shared" si="1"/>
        <v>10</v>
      </c>
      <c r="B22" s="342" t="s">
        <v>122</v>
      </c>
      <c r="C22" s="342" t="s">
        <v>123</v>
      </c>
      <c r="D22" s="340" t="s">
        <v>545</v>
      </c>
      <c r="E22" s="339" t="s">
        <v>546</v>
      </c>
      <c r="F22" s="399"/>
      <c r="G22" s="401"/>
      <c r="H22" s="403"/>
      <c r="I22" s="403"/>
      <c r="J22" s="319"/>
    </row>
    <row r="23" spans="1:10" s="310" customFormat="1" ht="24.6" customHeight="1">
      <c r="A23" s="336">
        <f t="shared" si="1"/>
        <v>11</v>
      </c>
      <c r="B23" s="342" t="s">
        <v>22</v>
      </c>
      <c r="C23" s="342" t="s">
        <v>142</v>
      </c>
      <c r="D23" s="340" t="s">
        <v>547</v>
      </c>
      <c r="E23" s="339" t="s">
        <v>546</v>
      </c>
      <c r="F23" s="399"/>
      <c r="G23" s="401"/>
      <c r="H23" s="403"/>
      <c r="I23" s="403"/>
      <c r="J23" s="319"/>
    </row>
    <row r="24" spans="1:10" s="310" customFormat="1" ht="24.6" customHeight="1">
      <c r="A24" s="336">
        <f t="shared" si="1"/>
        <v>12</v>
      </c>
      <c r="B24" s="338" t="s">
        <v>185</v>
      </c>
      <c r="C24" s="338" t="s">
        <v>54</v>
      </c>
      <c r="D24" s="343" t="s">
        <v>548</v>
      </c>
      <c r="E24" s="344" t="s">
        <v>546</v>
      </c>
      <c r="F24" s="399"/>
      <c r="G24" s="401"/>
      <c r="H24" s="403"/>
      <c r="I24" s="403"/>
      <c r="J24" s="319"/>
    </row>
    <row r="25" spans="1:10" s="310" customFormat="1" ht="24.6" customHeight="1">
      <c r="A25" s="336">
        <f t="shared" si="1"/>
        <v>13</v>
      </c>
      <c r="B25" s="342" t="s">
        <v>187</v>
      </c>
      <c r="C25" s="342" t="s">
        <v>188</v>
      </c>
      <c r="D25" s="340" t="s">
        <v>549</v>
      </c>
      <c r="E25" s="339" t="s">
        <v>546</v>
      </c>
      <c r="F25" s="399"/>
      <c r="G25" s="401"/>
      <c r="H25" s="403"/>
      <c r="I25" s="403"/>
      <c r="J25" s="319"/>
    </row>
    <row r="26" spans="1:10" s="310" customFormat="1" ht="24.6" customHeight="1" thickBot="1">
      <c r="A26" s="404">
        <f t="shared" si="1"/>
        <v>14</v>
      </c>
      <c r="B26" s="345" t="s">
        <v>42</v>
      </c>
      <c r="C26" s="345" t="s">
        <v>43</v>
      </c>
      <c r="D26" s="346" t="s">
        <v>550</v>
      </c>
      <c r="E26" s="347" t="s">
        <v>551</v>
      </c>
      <c r="F26" s="402">
        <v>45549</v>
      </c>
      <c r="G26" s="406" t="s">
        <v>55</v>
      </c>
      <c r="H26" s="405" t="s">
        <v>614</v>
      </c>
      <c r="I26" s="484" t="s">
        <v>700</v>
      </c>
      <c r="J26" s="319"/>
    </row>
    <row r="27" spans="1:10" ht="18">
      <c r="A27" s="311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I7" sqref="I7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15" customFormat="1" ht="28.8">
      <c r="A1" s="514" t="s">
        <v>406</v>
      </c>
      <c r="B1" s="514" t="s">
        <v>411</v>
      </c>
      <c r="C1" s="514" t="s">
        <v>414</v>
      </c>
      <c r="D1" s="514" t="s">
        <v>477</v>
      </c>
      <c r="E1" s="514" t="s">
        <v>710</v>
      </c>
      <c r="F1" s="514" t="s">
        <v>419</v>
      </c>
      <c r="G1" s="514" t="s">
        <v>413</v>
      </c>
      <c r="H1" s="514" t="s">
        <v>417</v>
      </c>
      <c r="I1" s="514" t="s">
        <v>421</v>
      </c>
      <c r="J1" s="514" t="s">
        <v>711</v>
      </c>
      <c r="K1" s="514" t="s">
        <v>712</v>
      </c>
    </row>
    <row r="2" spans="1:11" ht="43.2">
      <c r="A2" s="444" t="s">
        <v>714</v>
      </c>
      <c r="B2" s="510" t="s">
        <v>715</v>
      </c>
      <c r="C2" s="444" t="s">
        <v>713</v>
      </c>
      <c r="D2" s="509" t="s">
        <v>478</v>
      </c>
      <c r="E2" s="509" t="s">
        <v>416</v>
      </c>
      <c r="F2" s="444" t="s">
        <v>716</v>
      </c>
      <c r="G2" s="444" t="s">
        <v>798</v>
      </c>
      <c r="H2" s="444" t="s">
        <v>418</v>
      </c>
      <c r="I2" s="444" t="s">
        <v>422</v>
      </c>
      <c r="J2" s="444" t="s">
        <v>717</v>
      </c>
      <c r="K2" s="444" t="s">
        <v>718</v>
      </c>
    </row>
    <row r="3" spans="1:11" ht="28.8">
      <c r="A3" s="511"/>
      <c r="B3" s="511"/>
      <c r="C3" s="511"/>
      <c r="D3" s="511"/>
      <c r="E3" s="511"/>
      <c r="F3" s="511"/>
      <c r="G3" s="511"/>
      <c r="H3" s="511"/>
      <c r="I3" s="511"/>
      <c r="J3" s="512" t="s">
        <v>716</v>
      </c>
      <c r="K3" s="444" t="s">
        <v>720</v>
      </c>
    </row>
    <row r="4" spans="1:11">
      <c r="A4" s="511"/>
      <c r="B4" s="511"/>
      <c r="C4" s="511"/>
      <c r="D4" s="511"/>
      <c r="E4" s="511"/>
      <c r="F4" s="511"/>
      <c r="G4" s="511"/>
      <c r="H4" s="511"/>
      <c r="I4" s="511"/>
      <c r="J4" s="444" t="s">
        <v>719</v>
      </c>
      <c r="K4" s="444" t="s">
        <v>721</v>
      </c>
    </row>
    <row r="5" spans="1:11">
      <c r="A5" s="511"/>
      <c r="B5" s="511"/>
      <c r="C5" s="511"/>
      <c r="D5" s="511"/>
      <c r="E5" s="511"/>
      <c r="F5" s="511"/>
      <c r="G5" s="511"/>
      <c r="H5" s="511"/>
      <c r="I5" s="511"/>
      <c r="J5" s="511"/>
      <c r="K5" s="444" t="s">
        <v>722</v>
      </c>
    </row>
    <row r="6" spans="1:11">
      <c r="A6" s="511"/>
      <c r="B6" s="511"/>
      <c r="C6" s="511"/>
      <c r="D6" s="511"/>
      <c r="E6" s="511"/>
      <c r="F6" s="511"/>
      <c r="G6" s="511"/>
      <c r="H6" s="511"/>
      <c r="I6" s="511"/>
      <c r="J6" s="511"/>
      <c r="K6" s="444" t="s">
        <v>723</v>
      </c>
    </row>
    <row r="7" spans="1:11">
      <c r="A7" s="511"/>
      <c r="B7" s="511"/>
      <c r="C7" s="511"/>
      <c r="D7" s="511"/>
      <c r="E7" s="511"/>
      <c r="F7" s="511"/>
      <c r="G7" s="511"/>
      <c r="H7" s="511"/>
      <c r="I7" s="511"/>
      <c r="J7" s="511"/>
      <c r="K7" s="444" t="s">
        <v>724</v>
      </c>
    </row>
    <row r="8" spans="1:11">
      <c r="A8" s="511"/>
      <c r="B8" s="511"/>
      <c r="C8" s="511"/>
      <c r="D8" s="511"/>
      <c r="E8" s="511"/>
      <c r="F8" s="511"/>
      <c r="G8" s="511"/>
      <c r="H8" s="511"/>
      <c r="I8" s="511"/>
      <c r="J8" s="511"/>
      <c r="K8" s="444" t="s">
        <v>725</v>
      </c>
    </row>
    <row r="9" spans="1:11">
      <c r="A9" s="511"/>
      <c r="B9" s="511"/>
      <c r="C9" s="511"/>
      <c r="D9" s="511"/>
      <c r="E9" s="511"/>
      <c r="F9" s="511"/>
      <c r="G9" s="511"/>
      <c r="H9" s="511"/>
      <c r="I9" s="511"/>
      <c r="J9" s="511"/>
      <c r="K9" s="444" t="s">
        <v>726</v>
      </c>
    </row>
    <row r="10" spans="1:11">
      <c r="A10" s="511"/>
      <c r="B10" s="511"/>
      <c r="C10" s="511"/>
      <c r="D10" s="511"/>
      <c r="E10" s="511"/>
      <c r="F10" s="511"/>
      <c r="G10" s="511"/>
      <c r="H10" s="511"/>
      <c r="I10" s="511"/>
      <c r="J10" s="511"/>
      <c r="K10" s="444" t="s">
        <v>727</v>
      </c>
    </row>
    <row r="11" spans="1:11">
      <c r="A11" s="511"/>
      <c r="B11" s="511"/>
      <c r="C11" s="511"/>
      <c r="D11" s="511"/>
      <c r="E11" s="511"/>
      <c r="F11" s="511"/>
      <c r="G11" s="511"/>
      <c r="H11" s="511"/>
      <c r="I11" s="511"/>
      <c r="J11" s="511"/>
      <c r="K11" s="444" t="s">
        <v>728</v>
      </c>
    </row>
    <row r="12" spans="1:11">
      <c r="A12" s="511"/>
      <c r="B12" s="511"/>
      <c r="C12" s="511"/>
      <c r="D12" s="511"/>
      <c r="E12" s="511"/>
      <c r="F12" s="511"/>
      <c r="G12" s="511"/>
      <c r="H12" s="511"/>
      <c r="I12" s="511"/>
      <c r="J12" s="511"/>
      <c r="K12" s="444"/>
    </row>
    <row r="13" spans="1:11">
      <c r="A13" s="511"/>
      <c r="B13" s="511"/>
      <c r="C13" s="511"/>
      <c r="D13" s="511"/>
      <c r="E13" s="511"/>
      <c r="F13" s="511"/>
      <c r="G13" s="511"/>
      <c r="H13" s="511"/>
      <c r="I13" s="511"/>
      <c r="J13" s="511"/>
      <c r="K13" s="511"/>
    </row>
    <row r="14" spans="1:11">
      <c r="A14" s="511"/>
      <c r="B14" s="511"/>
      <c r="C14" s="511"/>
      <c r="D14" s="511"/>
      <c r="E14" s="511"/>
      <c r="F14" s="511"/>
      <c r="G14" s="511"/>
      <c r="H14" s="511"/>
      <c r="I14" s="511"/>
      <c r="J14" s="511"/>
      <c r="K14" s="511"/>
    </row>
    <row r="15" spans="1:11">
      <c r="A15" s="513"/>
      <c r="B15" s="513"/>
      <c r="C15" s="513"/>
      <c r="D15" s="513"/>
      <c r="E15" s="513"/>
      <c r="F15" s="513"/>
      <c r="G15" s="513"/>
      <c r="H15" s="513"/>
      <c r="I15" s="513"/>
      <c r="J15" s="513"/>
      <c r="K15" s="513"/>
    </row>
    <row r="16" spans="1:11">
      <c r="A16" s="513"/>
      <c r="B16" s="513"/>
      <c r="C16" s="513"/>
      <c r="D16" s="513"/>
      <c r="E16" s="513"/>
      <c r="F16" s="513"/>
      <c r="G16" s="513"/>
      <c r="H16" s="513"/>
      <c r="I16" s="513"/>
      <c r="J16" s="513"/>
      <c r="K16" s="513"/>
    </row>
    <row r="17" spans="1:11">
      <c r="A17" s="513"/>
      <c r="B17" s="513"/>
      <c r="C17" s="513"/>
      <c r="D17" s="513"/>
      <c r="E17" s="513"/>
      <c r="F17" s="513"/>
      <c r="G17" s="513"/>
      <c r="H17" s="513"/>
      <c r="I17" s="513"/>
      <c r="J17" s="513"/>
      <c r="K17" s="513"/>
    </row>
    <row r="18" spans="1:11">
      <c r="A18" s="513"/>
      <c r="B18" s="513"/>
      <c r="C18" s="513"/>
      <c r="D18" s="513"/>
      <c r="E18" s="513"/>
      <c r="F18" s="513"/>
      <c r="G18" s="513"/>
      <c r="H18" s="513"/>
      <c r="I18" s="513"/>
      <c r="J18" s="513"/>
      <c r="K18" s="513"/>
    </row>
    <row r="19" spans="1:11">
      <c r="A19" s="513"/>
      <c r="B19" s="513"/>
      <c r="C19" s="513"/>
      <c r="D19" s="513"/>
      <c r="E19" s="513"/>
      <c r="F19" s="513"/>
      <c r="G19" s="513"/>
      <c r="H19" s="513"/>
      <c r="I19" s="513"/>
      <c r="J19" s="513"/>
      <c r="K19" s="513"/>
    </row>
    <row r="20" spans="1:11">
      <c r="A20" s="513"/>
      <c r="B20" s="513"/>
      <c r="C20" s="513"/>
      <c r="D20" s="513"/>
      <c r="E20" s="513"/>
      <c r="F20" s="513"/>
      <c r="G20" s="513"/>
      <c r="H20" s="513"/>
      <c r="I20" s="513"/>
      <c r="J20" s="513"/>
      <c r="K20" s="5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4" bestFit="1" customWidth="1"/>
  </cols>
  <sheetData>
    <row r="6" spans="1:27">
      <c r="A6" s="980" t="s">
        <v>234</v>
      </c>
      <c r="B6" s="980"/>
      <c r="C6" s="980"/>
      <c r="D6" s="980"/>
      <c r="E6" s="980"/>
      <c r="F6" s="980"/>
    </row>
    <row r="7" spans="1:27" ht="15" thickBot="1"/>
    <row r="8" spans="1:27" ht="15" customHeight="1">
      <c r="A8" s="981" t="s">
        <v>12</v>
      </c>
      <c r="B8" s="983" t="s">
        <v>13</v>
      </c>
      <c r="C8" s="985" t="s">
        <v>14</v>
      </c>
      <c r="D8" s="987" t="s">
        <v>15</v>
      </c>
    </row>
    <row r="9" spans="1:27" ht="15" thickBot="1">
      <c r="A9" s="982"/>
      <c r="B9" s="984"/>
      <c r="C9" s="986"/>
      <c r="D9" s="988"/>
    </row>
    <row r="10" spans="1:27" ht="19.2" customHeight="1" thickBot="1">
      <c r="A10" s="5">
        <v>1</v>
      </c>
      <c r="B10" s="58" t="s">
        <v>23</v>
      </c>
      <c r="C10" s="199" t="s">
        <v>471</v>
      </c>
      <c r="D10" s="410">
        <v>249.63499999999999</v>
      </c>
      <c r="E10" s="70" t="s">
        <v>224</v>
      </c>
      <c r="F10" s="977"/>
      <c r="G10" s="977"/>
      <c r="H10" s="977"/>
      <c r="I10" s="977"/>
      <c r="J10" s="977"/>
      <c r="K10" s="978"/>
      <c r="L10" s="978"/>
      <c r="M10" s="978"/>
      <c r="N10" s="978"/>
      <c r="O10" s="978"/>
      <c r="P10" s="978"/>
      <c r="Q10" s="978"/>
      <c r="R10" s="978"/>
      <c r="S10" s="979"/>
    </row>
    <row r="11" spans="1:27" ht="19.2" customHeight="1">
      <c r="A11" s="1"/>
      <c r="B11" s="59"/>
      <c r="C11" s="199"/>
      <c r="D11" s="410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199" t="s">
        <v>509</v>
      </c>
      <c r="D12" s="410">
        <v>425</v>
      </c>
      <c r="E12" s="363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6"/>
    </row>
    <row r="13" spans="1:27" ht="16.2" thickBot="1">
      <c r="A13" s="1"/>
      <c r="B13" s="59"/>
      <c r="C13" s="199"/>
      <c r="D13" s="410"/>
      <c r="E13" s="363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6"/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6">
      <c r="A14" s="1">
        <v>3</v>
      </c>
      <c r="B14" s="59" t="s">
        <v>117</v>
      </c>
      <c r="C14" s="186" t="s">
        <v>457</v>
      </c>
      <c r="D14" s="410">
        <v>425</v>
      </c>
      <c r="E14" s="363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6"/>
      <c r="U14" s="6"/>
      <c r="V14" s="59"/>
      <c r="W14" s="59"/>
      <c r="Y14" s="199"/>
      <c r="Z14" s="199"/>
      <c r="AA14" s="348"/>
    </row>
    <row r="15" spans="1:27" ht="15.6">
      <c r="A15" s="1"/>
      <c r="B15" s="59"/>
      <c r="C15" s="199"/>
      <c r="D15" s="410"/>
      <c r="E15" s="363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6"/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6">
      <c r="A16" s="1">
        <v>4</v>
      </c>
      <c r="B16" s="59" t="s">
        <v>118</v>
      </c>
      <c r="C16" s="186" t="s">
        <v>465</v>
      </c>
      <c r="D16" s="410">
        <v>390</v>
      </c>
      <c r="E16" s="363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/>
      <c r="U16" s="6"/>
      <c r="V16" s="59"/>
      <c r="W16" s="59"/>
      <c r="Y16" s="199"/>
      <c r="Z16" s="199"/>
      <c r="AA16" s="348"/>
    </row>
    <row r="17" spans="1:27" ht="15.6">
      <c r="A17" s="1"/>
      <c r="B17" s="59"/>
      <c r="C17" s="199"/>
      <c r="D17" s="410"/>
      <c r="E17" s="363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6"/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.2" thickBot="1">
      <c r="A18" s="1">
        <v>5</v>
      </c>
      <c r="B18" s="59" t="s">
        <v>119</v>
      </c>
      <c r="C18" s="186" t="s">
        <v>458</v>
      </c>
      <c r="D18" s="410">
        <v>265</v>
      </c>
      <c r="E18" s="363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6"/>
      <c r="U18" s="6"/>
      <c r="V18" s="59"/>
      <c r="W18" s="59"/>
      <c r="Y18" s="199"/>
      <c r="Z18" s="199"/>
      <c r="AA18" s="348"/>
    </row>
    <row r="19" spans="1:27" ht="16.2" thickBot="1">
      <c r="A19" s="1"/>
      <c r="B19" s="59"/>
      <c r="C19" s="199"/>
      <c r="D19" s="410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">
      <c r="A20" s="1">
        <v>6</v>
      </c>
      <c r="B20" s="59" t="s">
        <v>120</v>
      </c>
      <c r="C20" s="186" t="s">
        <v>456</v>
      </c>
      <c r="D20" s="410">
        <v>510</v>
      </c>
      <c r="U20" s="6"/>
      <c r="V20" s="59"/>
      <c r="W20" s="59"/>
      <c r="Y20" s="199"/>
      <c r="Z20" s="199"/>
      <c r="AA20" s="348"/>
    </row>
    <row r="21" spans="1:27" ht="15">
      <c r="A21" s="1"/>
      <c r="B21" s="59"/>
      <c r="C21" s="199"/>
      <c r="D21" s="410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">
      <c r="A22" s="1">
        <v>7</v>
      </c>
      <c r="B22" s="59" t="s">
        <v>121</v>
      </c>
      <c r="C22" s="199" t="s">
        <v>460</v>
      </c>
      <c r="D22" s="410">
        <v>380</v>
      </c>
      <c r="U22" s="6"/>
      <c r="V22" s="59"/>
      <c r="W22" s="59"/>
      <c r="Y22" s="199"/>
      <c r="Z22" s="199"/>
      <c r="AA22" s="348"/>
    </row>
    <row r="23" spans="1:27" ht="15">
      <c r="A23" s="1"/>
      <c r="B23" s="59"/>
      <c r="C23" s="199"/>
      <c r="D23" s="410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">
      <c r="A24" s="1">
        <v>8</v>
      </c>
      <c r="B24" s="59" t="s">
        <v>122</v>
      </c>
      <c r="C24" s="199" t="s">
        <v>460</v>
      </c>
      <c r="D24" s="410">
        <v>420</v>
      </c>
      <c r="U24" s="6"/>
      <c r="V24" s="59"/>
      <c r="W24" s="59"/>
      <c r="Y24" s="199"/>
      <c r="Z24" s="199"/>
      <c r="AA24" s="348"/>
    </row>
    <row r="25" spans="1:27" ht="15.6" thickBot="1">
      <c r="A25" s="1"/>
      <c r="B25" s="59"/>
      <c r="C25" s="199"/>
      <c r="D25" s="410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.2" thickBot="1">
      <c r="A26" s="1">
        <v>9</v>
      </c>
      <c r="B26" s="59" t="s">
        <v>123</v>
      </c>
      <c r="C26" s="186" t="s">
        <v>457</v>
      </c>
      <c r="D26" s="410">
        <v>335</v>
      </c>
      <c r="F26" s="977"/>
      <c r="G26" s="977"/>
      <c r="H26" s="977"/>
      <c r="I26" s="977"/>
      <c r="J26" s="977"/>
      <c r="K26" s="978"/>
      <c r="L26" s="978"/>
      <c r="M26" s="978"/>
      <c r="N26" s="978"/>
      <c r="O26" s="978"/>
      <c r="P26" s="978"/>
      <c r="Q26" s="978"/>
      <c r="R26" s="978"/>
      <c r="S26" s="979"/>
      <c r="U26" s="6"/>
      <c r="V26" s="59"/>
      <c r="W26" s="59"/>
      <c r="Y26" s="199"/>
      <c r="Z26" s="199"/>
      <c r="AA26" s="348"/>
    </row>
    <row r="27" spans="1:27" ht="15.6">
      <c r="A27" s="1"/>
      <c r="B27" s="59"/>
      <c r="C27" s="199"/>
      <c r="D27" s="410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6">
      <c r="A28" s="1">
        <v>10</v>
      </c>
      <c r="B28" s="59" t="s">
        <v>124</v>
      </c>
      <c r="C28" s="186" t="s">
        <v>457</v>
      </c>
      <c r="D28" s="410">
        <v>345</v>
      </c>
      <c r="E28" s="363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199"/>
      <c r="Z28" s="199"/>
      <c r="AA28" s="348"/>
    </row>
    <row r="29" spans="1:27" ht="15.6">
      <c r="A29" s="1"/>
      <c r="B29" s="59"/>
      <c r="C29" s="199"/>
      <c r="D29" s="410"/>
      <c r="E29" s="363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6">
      <c r="A30" s="1">
        <v>11</v>
      </c>
      <c r="B30" s="59" t="s">
        <v>125</v>
      </c>
      <c r="C30" s="186" t="s">
        <v>457</v>
      </c>
      <c r="D30" s="410">
        <v>365</v>
      </c>
      <c r="E30" s="363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199"/>
      <c r="Z30" s="199"/>
      <c r="AA30" s="348"/>
    </row>
    <row r="31" spans="1:27" ht="15.6">
      <c r="A31" s="1"/>
      <c r="B31" s="59"/>
      <c r="C31" s="199"/>
      <c r="D31" s="410"/>
      <c r="E31" s="363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6">
      <c r="A32" s="1">
        <v>12</v>
      </c>
      <c r="B32" s="59" t="s">
        <v>126</v>
      </c>
      <c r="C32" s="186" t="s">
        <v>455</v>
      </c>
      <c r="D32" s="410">
        <v>356</v>
      </c>
      <c r="E32" s="363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199"/>
      <c r="Z32" s="199"/>
      <c r="AA32" s="348"/>
    </row>
    <row r="33" spans="1:27" ht="15.6">
      <c r="A33" s="1"/>
      <c r="B33" s="59"/>
      <c r="C33" s="199"/>
      <c r="D33" s="410"/>
      <c r="E33" s="363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.2" thickBot="1">
      <c r="A34" s="1">
        <v>13</v>
      </c>
      <c r="B34" s="59" t="s">
        <v>127</v>
      </c>
      <c r="C34" s="186" t="s">
        <v>457</v>
      </c>
      <c r="D34" s="410">
        <v>332</v>
      </c>
      <c r="E34" s="363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199"/>
      <c r="Z34" s="199"/>
      <c r="AA34" s="348"/>
    </row>
    <row r="35" spans="1:27" ht="16.2" thickBot="1">
      <c r="A35" s="1"/>
      <c r="B35" s="59"/>
      <c r="C35" s="199"/>
      <c r="D35" s="410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">
      <c r="A36" s="1">
        <v>14</v>
      </c>
      <c r="B36" s="59" t="s">
        <v>128</v>
      </c>
      <c r="C36" s="186" t="s">
        <v>455</v>
      </c>
      <c r="D36" s="410">
        <v>384.42399999999998</v>
      </c>
      <c r="U36" s="2"/>
      <c r="V36" s="2"/>
      <c r="Y36" s="199"/>
      <c r="Z36" s="199"/>
      <c r="AA36" s="348"/>
    </row>
    <row r="37" spans="1:27" ht="15">
      <c r="A37" s="1"/>
      <c r="B37" s="59"/>
      <c r="C37" s="59"/>
      <c r="D37" s="410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">
      <c r="A38" s="1">
        <v>15</v>
      </c>
      <c r="B38" s="60" t="s">
        <v>25</v>
      </c>
      <c r="C38" s="186" t="s">
        <v>454</v>
      </c>
      <c r="D38" s="409">
        <v>385</v>
      </c>
      <c r="U38" s="2"/>
      <c r="V38" s="2"/>
    </row>
    <row r="39" spans="1:27" ht="18">
      <c r="A39" s="1"/>
      <c r="B39" s="59"/>
      <c r="C39" s="186"/>
      <c r="D39" s="409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409">
        <v>423</v>
      </c>
      <c r="U40" s="2"/>
      <c r="V40" s="2"/>
      <c r="Y40" s="351"/>
      <c r="Z40" s="352"/>
    </row>
    <row r="41" spans="1:27" ht="18">
      <c r="A41" s="1"/>
      <c r="B41" s="59"/>
      <c r="C41" s="186"/>
      <c r="D41" s="409"/>
      <c r="U41" s="2"/>
      <c r="V41" s="2"/>
      <c r="Y41" s="349" t="s">
        <v>566</v>
      </c>
      <c r="Z41" s="350" t="s">
        <v>565</v>
      </c>
    </row>
    <row r="42" spans="1:27" ht="15">
      <c r="A42" s="1">
        <v>17</v>
      </c>
      <c r="B42" s="59" t="s">
        <v>17</v>
      </c>
      <c r="C42" s="186" t="s">
        <v>455</v>
      </c>
      <c r="D42" s="409">
        <v>382</v>
      </c>
    </row>
    <row r="43" spans="1:27" ht="15">
      <c r="A43" s="1"/>
      <c r="B43" s="59"/>
      <c r="C43" s="186"/>
      <c r="D43" s="409"/>
    </row>
    <row r="44" spans="1:27" ht="15">
      <c r="A44" s="1">
        <v>18</v>
      </c>
      <c r="B44" s="59" t="s">
        <v>18</v>
      </c>
      <c r="C44" s="186" t="s">
        <v>455</v>
      </c>
      <c r="D44" s="409">
        <v>405</v>
      </c>
    </row>
    <row r="45" spans="1:27" ht="15">
      <c r="A45" s="1"/>
      <c r="B45" s="59"/>
      <c r="C45" s="186"/>
      <c r="D45" s="409"/>
    </row>
    <row r="46" spans="1:27" ht="15">
      <c r="A46" s="1">
        <v>19</v>
      </c>
      <c r="B46" s="59" t="s">
        <v>129</v>
      </c>
      <c r="C46" s="186" t="s">
        <v>456</v>
      </c>
      <c r="D46" s="409">
        <v>388.45800000000003</v>
      </c>
    </row>
    <row r="47" spans="1:27" ht="15">
      <c r="A47" s="1"/>
      <c r="B47" s="59"/>
      <c r="C47" s="186"/>
      <c r="D47" s="409"/>
    </row>
    <row r="48" spans="1:27" ht="15">
      <c r="A48" s="1">
        <v>20</v>
      </c>
      <c r="B48" s="60" t="s">
        <v>26</v>
      </c>
      <c r="C48" s="186" t="s">
        <v>454</v>
      </c>
      <c r="D48" s="409">
        <v>405</v>
      </c>
    </row>
    <row r="49" spans="1:4" ht="15">
      <c r="A49" s="1"/>
      <c r="B49" s="59"/>
      <c r="C49" s="186"/>
      <c r="D49" s="409"/>
    </row>
    <row r="50" spans="1:4" ht="15">
      <c r="A50" s="1">
        <v>21</v>
      </c>
      <c r="B50" s="59" t="s">
        <v>130</v>
      </c>
      <c r="C50" s="186" t="s">
        <v>456</v>
      </c>
      <c r="D50" s="409">
        <v>360</v>
      </c>
    </row>
    <row r="51" spans="1:4" ht="15">
      <c r="A51" s="1"/>
      <c r="B51" s="59"/>
      <c r="C51" s="186"/>
      <c r="D51" s="409"/>
    </row>
    <row r="52" spans="1:4" ht="15">
      <c r="A52" s="1">
        <v>22</v>
      </c>
      <c r="B52" s="59" t="s">
        <v>131</v>
      </c>
      <c r="C52" s="186" t="s">
        <v>456</v>
      </c>
      <c r="D52" s="409">
        <v>390</v>
      </c>
    </row>
    <row r="53" spans="1:4" ht="15">
      <c r="A53" s="1"/>
      <c r="B53" s="59"/>
      <c r="C53" s="186"/>
      <c r="D53" s="409"/>
    </row>
    <row r="54" spans="1:4" ht="15">
      <c r="A54" s="1">
        <v>23</v>
      </c>
      <c r="B54" s="59" t="s">
        <v>132</v>
      </c>
      <c r="C54" s="186" t="s">
        <v>457</v>
      </c>
      <c r="D54" s="409">
        <v>325</v>
      </c>
    </row>
    <row r="55" spans="1:4" ht="15">
      <c r="A55" s="1"/>
      <c r="B55" s="59"/>
      <c r="C55" s="186"/>
      <c r="D55" s="409"/>
    </row>
    <row r="56" spans="1:4" ht="15">
      <c r="A56" s="1">
        <v>24</v>
      </c>
      <c r="B56" s="59" t="s">
        <v>133</v>
      </c>
      <c r="C56" s="186" t="s">
        <v>455</v>
      </c>
      <c r="D56" s="409">
        <v>430</v>
      </c>
    </row>
    <row r="57" spans="1:4" ht="15">
      <c r="A57" s="1"/>
      <c r="B57" s="59"/>
      <c r="C57" s="186"/>
      <c r="D57" s="409"/>
    </row>
    <row r="58" spans="1:4" ht="15">
      <c r="A58" s="1">
        <v>25</v>
      </c>
      <c r="B58" s="59" t="s">
        <v>134</v>
      </c>
      <c r="C58" s="186" t="s">
        <v>455</v>
      </c>
      <c r="D58" s="409">
        <v>298</v>
      </c>
    </row>
    <row r="59" spans="1:4" ht="15">
      <c r="A59" s="1"/>
      <c r="B59" s="59"/>
      <c r="C59" s="186"/>
      <c r="D59" s="409"/>
    </row>
    <row r="60" spans="1:4" ht="15">
      <c r="A60" s="1">
        <v>26</v>
      </c>
      <c r="B60" s="59" t="s">
        <v>135</v>
      </c>
      <c r="C60" s="186" t="s">
        <v>455</v>
      </c>
      <c r="D60" s="409">
        <v>422</v>
      </c>
    </row>
    <row r="61" spans="1:4" ht="15">
      <c r="A61" s="1"/>
      <c r="B61" s="59"/>
      <c r="C61" s="186"/>
      <c r="D61" s="409"/>
    </row>
    <row r="62" spans="1:4" ht="15">
      <c r="A62" s="1">
        <v>27</v>
      </c>
      <c r="B62" s="59" t="s">
        <v>136</v>
      </c>
      <c r="C62" s="186" t="s">
        <v>458</v>
      </c>
      <c r="D62" s="409">
        <v>345</v>
      </c>
    </row>
    <row r="63" spans="1:4" ht="15">
      <c r="A63" s="1"/>
      <c r="B63" s="59"/>
      <c r="C63" s="186"/>
      <c r="D63" s="409"/>
    </row>
    <row r="64" spans="1:4" ht="15">
      <c r="A64" s="1">
        <v>28</v>
      </c>
      <c r="B64" s="59" t="s">
        <v>137</v>
      </c>
      <c r="C64" s="186" t="s">
        <v>456</v>
      </c>
      <c r="D64" s="409">
        <v>370</v>
      </c>
    </row>
    <row r="65" spans="1:4" ht="15">
      <c r="A65" s="1"/>
      <c r="B65" s="59"/>
      <c r="C65" s="186"/>
      <c r="D65" s="409"/>
    </row>
    <row r="66" spans="1:4" ht="15">
      <c r="A66" s="1">
        <v>29</v>
      </c>
      <c r="B66" s="59" t="s">
        <v>138</v>
      </c>
      <c r="C66" s="186" t="s">
        <v>458</v>
      </c>
      <c r="D66" s="409">
        <v>320</v>
      </c>
    </row>
    <row r="67" spans="1:4" ht="15">
      <c r="A67" s="1"/>
      <c r="B67" s="59"/>
      <c r="C67" s="186"/>
      <c r="D67" s="409"/>
    </row>
    <row r="68" spans="1:4" ht="15">
      <c r="A68" s="1">
        <v>30</v>
      </c>
      <c r="B68" s="59" t="s">
        <v>139</v>
      </c>
      <c r="C68" s="186" t="s">
        <v>458</v>
      </c>
      <c r="D68" s="409">
        <v>390</v>
      </c>
    </row>
    <row r="69" spans="1:4" ht="15">
      <c r="A69" s="1"/>
      <c r="B69" s="59"/>
      <c r="C69" s="186"/>
      <c r="D69" s="409"/>
    </row>
    <row r="70" spans="1:4" ht="15">
      <c r="A70" s="1">
        <v>31</v>
      </c>
      <c r="B70" s="59" t="s">
        <v>140</v>
      </c>
      <c r="C70" s="186" t="s">
        <v>456</v>
      </c>
      <c r="D70" s="409">
        <v>425.02</v>
      </c>
    </row>
    <row r="71" spans="1:4" ht="15">
      <c r="A71" s="1"/>
      <c r="B71" s="59"/>
      <c r="C71" s="186"/>
      <c r="D71" s="409"/>
    </row>
    <row r="72" spans="1:4" ht="15">
      <c r="A72" s="1">
        <v>32</v>
      </c>
      <c r="B72" s="60" t="s">
        <v>27</v>
      </c>
      <c r="C72" s="186" t="s">
        <v>459</v>
      </c>
      <c r="D72" s="409">
        <v>480</v>
      </c>
    </row>
    <row r="73" spans="1:4" ht="15">
      <c r="A73" s="1"/>
      <c r="B73" s="59"/>
      <c r="C73" s="186"/>
      <c r="D73" s="409"/>
    </row>
    <row r="74" spans="1:4" ht="15">
      <c r="A74" s="1">
        <v>33</v>
      </c>
      <c r="B74" s="59" t="s">
        <v>19</v>
      </c>
      <c r="C74" s="186" t="s">
        <v>460</v>
      </c>
      <c r="D74" s="409">
        <v>297.315</v>
      </c>
    </row>
    <row r="75" spans="1:4" ht="15">
      <c r="A75" s="1"/>
      <c r="B75" s="59"/>
      <c r="C75" s="186"/>
      <c r="D75" s="409"/>
    </row>
    <row r="76" spans="1:4" ht="15">
      <c r="A76" s="1">
        <v>34</v>
      </c>
      <c r="B76" s="60" t="s">
        <v>28</v>
      </c>
      <c r="C76" s="186" t="s">
        <v>466</v>
      </c>
      <c r="D76" s="409">
        <v>417</v>
      </c>
    </row>
    <row r="77" spans="1:4" ht="15">
      <c r="A77" s="1"/>
      <c r="B77" s="59"/>
      <c r="C77" s="186"/>
      <c r="D77" s="409"/>
    </row>
    <row r="78" spans="1:4" ht="15">
      <c r="A78" s="1">
        <v>35</v>
      </c>
      <c r="B78" s="59" t="s">
        <v>20</v>
      </c>
      <c r="C78" s="186" t="s">
        <v>456</v>
      </c>
      <c r="D78" s="409">
        <v>409</v>
      </c>
    </row>
    <row r="79" spans="1:4" ht="15">
      <c r="A79" s="1"/>
      <c r="B79" s="59"/>
      <c r="C79" s="186"/>
      <c r="D79" s="409"/>
    </row>
    <row r="80" spans="1:4" ht="15">
      <c r="A80" s="1">
        <v>36</v>
      </c>
      <c r="B80" s="59" t="s">
        <v>21</v>
      </c>
      <c r="C80" s="186" t="s">
        <v>455</v>
      </c>
      <c r="D80" s="409">
        <v>432.78199999999998</v>
      </c>
    </row>
    <row r="81" spans="1:4" ht="15">
      <c r="A81" s="1"/>
      <c r="B81" s="59"/>
      <c r="C81" s="186"/>
      <c r="D81" s="409"/>
    </row>
    <row r="82" spans="1:4" ht="15">
      <c r="A82" s="407">
        <v>37</v>
      </c>
      <c r="B82" s="59" t="s">
        <v>22</v>
      </c>
      <c r="C82" s="186" t="s">
        <v>554</v>
      </c>
      <c r="D82" s="409">
        <v>469</v>
      </c>
    </row>
    <row r="83" spans="1:4" ht="15">
      <c r="A83" s="407"/>
      <c r="B83" s="59"/>
      <c r="C83" s="186"/>
      <c r="D83" s="409"/>
    </row>
    <row r="84" spans="1:4" ht="15">
      <c r="A84" s="407">
        <v>38</v>
      </c>
      <c r="B84" s="60" t="s">
        <v>142</v>
      </c>
      <c r="C84" s="186" t="s">
        <v>458</v>
      </c>
      <c r="D84" s="409">
        <v>387</v>
      </c>
    </row>
    <row r="85" spans="1:4" ht="15">
      <c r="A85" s="407"/>
      <c r="B85" s="59"/>
      <c r="C85" s="186"/>
      <c r="D85" s="409"/>
    </row>
    <row r="86" spans="1:4" ht="15">
      <c r="A86" s="407">
        <v>39</v>
      </c>
      <c r="B86" s="59" t="s">
        <v>615</v>
      </c>
      <c r="C86" s="186" t="s">
        <v>455</v>
      </c>
      <c r="D86" s="409">
        <v>428.87599999999998</v>
      </c>
    </row>
    <row r="87" spans="1:4" ht="15">
      <c r="A87" s="1"/>
      <c r="B87" s="59"/>
      <c r="C87" s="186"/>
      <c r="D87" s="409"/>
    </row>
    <row r="88" spans="1:4" ht="15">
      <c r="A88" s="1">
        <v>40</v>
      </c>
      <c r="B88" s="60" t="s">
        <v>29</v>
      </c>
      <c r="C88" s="186" t="s">
        <v>509</v>
      </c>
      <c r="D88" s="409">
        <v>248.03800000000001</v>
      </c>
    </row>
    <row r="89" spans="1:4" ht="15">
      <c r="A89" s="1"/>
      <c r="B89" s="59"/>
      <c r="C89" s="186"/>
      <c r="D89" s="409"/>
    </row>
    <row r="90" spans="1:4" ht="15">
      <c r="A90" s="1">
        <v>41</v>
      </c>
      <c r="B90" s="60" t="s">
        <v>30</v>
      </c>
      <c r="C90" s="186" t="s">
        <v>464</v>
      </c>
      <c r="D90" s="409">
        <v>430</v>
      </c>
    </row>
    <row r="91" spans="1:4" ht="15">
      <c r="A91" s="1"/>
      <c r="B91" s="59"/>
      <c r="C91" s="186"/>
      <c r="D91" s="409"/>
    </row>
    <row r="92" spans="1:4" ht="15">
      <c r="A92" s="1">
        <v>42</v>
      </c>
      <c r="B92" s="59" t="s">
        <v>2</v>
      </c>
      <c r="C92" s="186" t="s">
        <v>455</v>
      </c>
      <c r="D92" s="409">
        <v>400</v>
      </c>
    </row>
    <row r="93" spans="1:4" ht="15">
      <c r="A93" s="1"/>
      <c r="B93" s="59"/>
      <c r="C93" s="186"/>
      <c r="D93" s="409"/>
    </row>
    <row r="94" spans="1:4" ht="15">
      <c r="A94" s="1">
        <v>43</v>
      </c>
      <c r="B94" s="59" t="s">
        <v>49</v>
      </c>
      <c r="C94" s="186" t="s">
        <v>455</v>
      </c>
      <c r="D94" s="409">
        <v>410</v>
      </c>
    </row>
    <row r="95" spans="1:4" ht="15">
      <c r="A95" s="1"/>
      <c r="B95" s="59"/>
      <c r="C95" s="186"/>
      <c r="D95" s="409"/>
    </row>
    <row r="96" spans="1:4" ht="15">
      <c r="A96" s="1">
        <v>44</v>
      </c>
      <c r="B96" s="59" t="s">
        <v>50</v>
      </c>
      <c r="C96" s="186" t="s">
        <v>456</v>
      </c>
      <c r="D96" s="409">
        <v>435</v>
      </c>
    </row>
    <row r="97" spans="1:4" ht="15">
      <c r="A97" s="1"/>
      <c r="B97" s="59"/>
      <c r="C97" s="186"/>
      <c r="D97" s="409"/>
    </row>
    <row r="98" spans="1:4" ht="15">
      <c r="A98" s="1">
        <v>45</v>
      </c>
      <c r="B98" s="59" t="s">
        <v>143</v>
      </c>
      <c r="C98" s="186" t="s">
        <v>455</v>
      </c>
      <c r="D98" s="409">
        <v>360</v>
      </c>
    </row>
    <row r="99" spans="1:4" ht="15">
      <c r="A99" s="1"/>
      <c r="B99" s="59"/>
      <c r="C99" s="186"/>
      <c r="D99" s="409"/>
    </row>
    <row r="100" spans="1:4" ht="15">
      <c r="A100" s="1">
        <v>46</v>
      </c>
      <c r="B100" s="59" t="s">
        <v>144</v>
      </c>
      <c r="C100" s="186" t="s">
        <v>457</v>
      </c>
      <c r="D100" s="409">
        <v>391.45100000000002</v>
      </c>
    </row>
    <row r="101" spans="1:4" ht="15">
      <c r="A101" s="1"/>
      <c r="B101" s="59"/>
      <c r="C101" s="186"/>
      <c r="D101" s="409"/>
    </row>
    <row r="102" spans="1:4" ht="15">
      <c r="A102" s="1">
        <v>47</v>
      </c>
      <c r="B102" s="60" t="s">
        <v>31</v>
      </c>
      <c r="C102" s="186" t="s">
        <v>454</v>
      </c>
      <c r="D102" s="409">
        <v>380</v>
      </c>
    </row>
    <row r="103" spans="1:4" ht="15">
      <c r="A103" s="1"/>
      <c r="B103" s="59"/>
      <c r="C103" s="186"/>
      <c r="D103" s="409"/>
    </row>
    <row r="104" spans="1:4" ht="15">
      <c r="A104" s="1">
        <v>48</v>
      </c>
      <c r="B104" s="59" t="s">
        <v>145</v>
      </c>
      <c r="C104" s="186" t="s">
        <v>465</v>
      </c>
      <c r="D104" s="409">
        <v>475</v>
      </c>
    </row>
    <row r="105" spans="1:4" ht="15">
      <c r="A105" s="1"/>
      <c r="B105" s="59"/>
      <c r="C105" s="186"/>
      <c r="D105" s="409"/>
    </row>
    <row r="106" spans="1:4" ht="15">
      <c r="A106" s="1">
        <v>49</v>
      </c>
      <c r="B106" s="59" t="s">
        <v>146</v>
      </c>
      <c r="C106" s="186" t="s">
        <v>456</v>
      </c>
      <c r="D106" s="409">
        <v>380</v>
      </c>
    </row>
    <row r="107" spans="1:4" ht="15">
      <c r="A107" s="1"/>
      <c r="B107" s="59"/>
      <c r="C107" s="186"/>
      <c r="D107" s="409"/>
    </row>
    <row r="108" spans="1:4" ht="15">
      <c r="A108" s="1">
        <v>50</v>
      </c>
      <c r="B108" s="59" t="s">
        <v>147</v>
      </c>
      <c r="C108" s="186" t="s">
        <v>455</v>
      </c>
      <c r="D108" s="409">
        <v>390</v>
      </c>
    </row>
    <row r="109" spans="1:4" ht="15">
      <c r="A109" s="1"/>
      <c r="B109" s="59"/>
      <c r="C109" s="186"/>
      <c r="D109" s="409"/>
    </row>
    <row r="110" spans="1:4" ht="15">
      <c r="A110" s="1">
        <v>51</v>
      </c>
      <c r="B110" s="59" t="s">
        <v>148</v>
      </c>
      <c r="C110" s="186" t="s">
        <v>456</v>
      </c>
      <c r="D110" s="409">
        <v>465</v>
      </c>
    </row>
    <row r="111" spans="1:4" ht="15">
      <c r="A111" s="1"/>
      <c r="B111" s="59"/>
      <c r="C111" s="186"/>
      <c r="D111" s="409"/>
    </row>
    <row r="112" spans="1:4" ht="15">
      <c r="A112" s="1">
        <v>52</v>
      </c>
      <c r="B112" s="59" t="s">
        <v>149</v>
      </c>
      <c r="C112" s="186" t="s">
        <v>456</v>
      </c>
      <c r="D112" s="409">
        <v>383.20800000000003</v>
      </c>
    </row>
    <row r="113" spans="1:4" ht="15">
      <c r="A113" s="1"/>
      <c r="B113" s="59"/>
      <c r="C113" s="186"/>
      <c r="D113" s="409"/>
    </row>
    <row r="114" spans="1:4" ht="15">
      <c r="A114" s="1">
        <v>53</v>
      </c>
      <c r="B114" s="60" t="s">
        <v>32</v>
      </c>
      <c r="C114" s="186" t="s">
        <v>466</v>
      </c>
      <c r="D114" s="409">
        <v>380</v>
      </c>
    </row>
    <row r="115" spans="1:4" ht="15">
      <c r="A115" s="1"/>
      <c r="B115" s="59"/>
      <c r="C115" s="186"/>
      <c r="D115" s="409"/>
    </row>
    <row r="116" spans="1:4" ht="15">
      <c r="A116" s="1">
        <v>54</v>
      </c>
      <c r="B116" s="59" t="s">
        <v>51</v>
      </c>
      <c r="C116" s="186" t="s">
        <v>455</v>
      </c>
      <c r="D116" s="409">
        <v>348</v>
      </c>
    </row>
    <row r="117" spans="1:4" ht="15">
      <c r="A117" s="1"/>
      <c r="B117" s="59"/>
      <c r="C117" s="186"/>
      <c r="D117" s="409"/>
    </row>
    <row r="118" spans="1:4" ht="15">
      <c r="A118" s="1">
        <v>55</v>
      </c>
      <c r="B118" s="59" t="s">
        <v>52</v>
      </c>
      <c r="C118" s="186" t="s">
        <v>455</v>
      </c>
      <c r="D118" s="409">
        <v>377.78399999999999</v>
      </c>
    </row>
    <row r="119" spans="1:4" ht="15">
      <c r="A119" s="1"/>
      <c r="B119" s="59"/>
      <c r="C119" s="186"/>
      <c r="D119" s="409"/>
    </row>
    <row r="120" spans="1:4" ht="15">
      <c r="A120" s="1">
        <v>56</v>
      </c>
      <c r="B120" s="60" t="s">
        <v>33</v>
      </c>
      <c r="C120" s="186" t="s">
        <v>454</v>
      </c>
      <c r="D120" s="409">
        <v>410</v>
      </c>
    </row>
    <row r="121" spans="1:4" ht="15">
      <c r="A121" s="1"/>
      <c r="B121" s="59"/>
      <c r="C121" s="186"/>
      <c r="D121" s="409"/>
    </row>
    <row r="122" spans="1:4" ht="15">
      <c r="A122" s="1">
        <v>57</v>
      </c>
      <c r="B122" s="59" t="s">
        <v>150</v>
      </c>
      <c r="C122" s="186" t="s">
        <v>455</v>
      </c>
      <c r="D122" s="409">
        <v>380</v>
      </c>
    </row>
    <row r="123" spans="1:4" ht="15">
      <c r="A123" s="1"/>
      <c r="B123" s="59"/>
      <c r="C123" s="186"/>
      <c r="D123" s="409"/>
    </row>
    <row r="124" spans="1:4" ht="15">
      <c r="A124" s="1">
        <v>58</v>
      </c>
      <c r="B124" s="59" t="s">
        <v>151</v>
      </c>
      <c r="C124" s="186" t="s">
        <v>455</v>
      </c>
      <c r="D124" s="409">
        <v>325</v>
      </c>
    </row>
    <row r="125" spans="1:4" ht="15">
      <c r="A125" s="1"/>
      <c r="B125" s="59"/>
      <c r="C125" s="186"/>
      <c r="D125" s="409"/>
    </row>
    <row r="126" spans="1:4" ht="15">
      <c r="A126" s="1">
        <v>59</v>
      </c>
      <c r="B126" s="59" t="s">
        <v>152</v>
      </c>
      <c r="C126" s="186" t="s">
        <v>457</v>
      </c>
      <c r="D126" s="409">
        <v>329.8</v>
      </c>
    </row>
    <row r="127" spans="1:4" ht="15">
      <c r="A127" s="1"/>
      <c r="B127" s="59"/>
      <c r="C127" s="186"/>
      <c r="D127" s="409"/>
    </row>
    <row r="128" spans="1:4" ht="15">
      <c r="A128" s="1">
        <v>60</v>
      </c>
      <c r="B128" s="60" t="s">
        <v>34</v>
      </c>
      <c r="C128" s="186" t="s">
        <v>467</v>
      </c>
      <c r="D128" s="409">
        <v>385</v>
      </c>
    </row>
    <row r="129" spans="1:4" ht="15">
      <c r="A129" s="1"/>
      <c r="B129" s="59"/>
      <c r="C129" s="186"/>
      <c r="D129" s="409"/>
    </row>
    <row r="130" spans="1:4" ht="15">
      <c r="A130" s="1">
        <v>61</v>
      </c>
      <c r="B130" s="59" t="s">
        <v>153</v>
      </c>
      <c r="C130" s="186" t="s">
        <v>455</v>
      </c>
      <c r="D130" s="409">
        <v>312.55799999999999</v>
      </c>
    </row>
    <row r="131" spans="1:4" ht="15">
      <c r="A131" s="1"/>
      <c r="B131" s="59"/>
      <c r="C131" s="186"/>
      <c r="D131" s="409"/>
    </row>
    <row r="132" spans="1:4" ht="15">
      <c r="A132" s="1">
        <v>62</v>
      </c>
      <c r="B132" s="60" t="s">
        <v>35</v>
      </c>
      <c r="C132" s="186" t="s">
        <v>468</v>
      </c>
      <c r="D132" s="409">
        <v>242</v>
      </c>
    </row>
    <row r="133" spans="1:4" ht="15">
      <c r="A133" s="1"/>
      <c r="B133" s="59"/>
      <c r="C133" s="186"/>
      <c r="D133" s="409"/>
    </row>
    <row r="134" spans="1:4" ht="15">
      <c r="A134" s="1">
        <v>63</v>
      </c>
      <c r="B134" s="59" t="s">
        <v>4</v>
      </c>
      <c r="C134" s="186" t="s">
        <v>463</v>
      </c>
      <c r="D134" s="409">
        <v>464</v>
      </c>
    </row>
    <row r="135" spans="1:4" ht="15">
      <c r="A135" s="1"/>
      <c r="B135" s="59"/>
      <c r="C135" s="186"/>
      <c r="D135" s="409"/>
    </row>
    <row r="136" spans="1:4" ht="15">
      <c r="A136" s="1">
        <v>64</v>
      </c>
      <c r="B136" s="59" t="s">
        <v>5</v>
      </c>
      <c r="C136" s="187" t="s">
        <v>455</v>
      </c>
      <c r="D136" s="409">
        <v>391</v>
      </c>
    </row>
    <row r="137" spans="1:4" ht="15">
      <c r="A137" s="1"/>
      <c r="B137" s="59"/>
      <c r="C137" s="186"/>
      <c r="D137" s="409"/>
    </row>
    <row r="138" spans="1:4" ht="15">
      <c r="A138" s="1">
        <v>65</v>
      </c>
      <c r="B138" s="59" t="s">
        <v>154</v>
      </c>
      <c r="C138" s="186" t="s">
        <v>465</v>
      </c>
      <c r="D138" s="409">
        <v>417.51799999999997</v>
      </c>
    </row>
    <row r="139" spans="1:4" ht="15">
      <c r="A139" s="1"/>
      <c r="B139" s="59"/>
      <c r="C139" s="186"/>
      <c r="D139" s="410"/>
    </row>
    <row r="140" spans="1:4" ht="15">
      <c r="A140" s="1">
        <v>66</v>
      </c>
      <c r="B140" s="60" t="s">
        <v>36</v>
      </c>
      <c r="C140" s="188" t="s">
        <v>454</v>
      </c>
      <c r="D140" s="411">
        <v>315</v>
      </c>
    </row>
    <row r="141" spans="1:4">
      <c r="A141" s="1"/>
      <c r="B141" s="59"/>
      <c r="C141" s="59"/>
      <c r="D141" s="411"/>
    </row>
    <row r="142" spans="1:4" ht="15">
      <c r="A142" s="1">
        <v>67</v>
      </c>
      <c r="B142" s="59" t="s">
        <v>6</v>
      </c>
      <c r="C142" s="186" t="s">
        <v>457</v>
      </c>
      <c r="D142" s="411">
        <v>375</v>
      </c>
    </row>
    <row r="143" spans="1:4" ht="15">
      <c r="A143" s="1"/>
      <c r="B143" s="59"/>
      <c r="C143" s="186"/>
      <c r="D143" s="411"/>
    </row>
    <row r="144" spans="1:4" ht="15">
      <c r="A144" s="1">
        <v>68</v>
      </c>
      <c r="B144" s="59" t="s">
        <v>37</v>
      </c>
      <c r="C144" s="186" t="s">
        <v>455</v>
      </c>
      <c r="D144" s="411">
        <v>416</v>
      </c>
    </row>
    <row r="145" spans="1:4" ht="15">
      <c r="A145" s="1"/>
      <c r="B145" s="59"/>
      <c r="C145" s="186"/>
      <c r="D145" s="411"/>
    </row>
    <row r="146" spans="1:4" ht="15">
      <c r="A146" s="1">
        <v>69</v>
      </c>
      <c r="B146" s="59" t="s">
        <v>155</v>
      </c>
      <c r="C146" s="186" t="s">
        <v>455</v>
      </c>
      <c r="D146" s="411">
        <v>422</v>
      </c>
    </row>
    <row r="147" spans="1:4" ht="15">
      <c r="A147" s="1"/>
      <c r="B147" s="59"/>
      <c r="C147" s="186"/>
      <c r="D147" s="411"/>
    </row>
    <row r="148" spans="1:4" ht="15">
      <c r="A148" s="1">
        <v>70</v>
      </c>
      <c r="B148" s="59" t="s">
        <v>156</v>
      </c>
      <c r="C148" s="186" t="s">
        <v>455</v>
      </c>
      <c r="D148" s="411">
        <v>388</v>
      </c>
    </row>
    <row r="149" spans="1:4" ht="15">
      <c r="A149" s="1"/>
      <c r="B149" s="59"/>
      <c r="C149" s="186"/>
      <c r="D149" s="411"/>
    </row>
    <row r="150" spans="1:4" ht="15">
      <c r="A150" s="1">
        <v>71</v>
      </c>
      <c r="B150" s="59" t="s">
        <v>157</v>
      </c>
      <c r="C150" s="186" t="s">
        <v>465</v>
      </c>
      <c r="D150" s="411">
        <v>409</v>
      </c>
    </row>
    <row r="151" spans="1:4" ht="15">
      <c r="A151" s="1"/>
      <c r="B151" s="59"/>
      <c r="C151" s="186"/>
      <c r="D151" s="411"/>
    </row>
    <row r="152" spans="1:4" ht="15">
      <c r="A152" s="1">
        <v>72</v>
      </c>
      <c r="B152" s="59" t="s">
        <v>158</v>
      </c>
      <c r="C152" s="186" t="s">
        <v>455</v>
      </c>
      <c r="D152" s="411">
        <v>420</v>
      </c>
    </row>
    <row r="153" spans="1:4" ht="15">
      <c r="A153" s="1"/>
      <c r="B153" s="59"/>
      <c r="C153" s="186"/>
      <c r="D153" s="411"/>
    </row>
    <row r="154" spans="1:4" ht="15">
      <c r="A154" s="1">
        <v>73</v>
      </c>
      <c r="B154" s="59" t="s">
        <v>159</v>
      </c>
      <c r="C154" s="186" t="s">
        <v>454</v>
      </c>
      <c r="D154" s="411">
        <v>399</v>
      </c>
    </row>
    <row r="155" spans="1:4" ht="15">
      <c r="A155" s="1"/>
      <c r="B155" s="59"/>
      <c r="C155" s="186"/>
      <c r="D155" s="411"/>
    </row>
    <row r="156" spans="1:4" ht="15">
      <c r="A156" s="1">
        <v>74</v>
      </c>
      <c r="B156" s="59" t="s">
        <v>160</v>
      </c>
      <c r="C156" s="186" t="s">
        <v>456</v>
      </c>
      <c r="D156" s="411">
        <v>381</v>
      </c>
    </row>
    <row r="157" spans="1:4" ht="15">
      <c r="A157" s="1"/>
      <c r="B157" s="59"/>
      <c r="C157" s="186"/>
      <c r="D157" s="411"/>
    </row>
    <row r="158" spans="1:4" ht="15">
      <c r="A158" s="1">
        <v>75</v>
      </c>
      <c r="B158" s="59" t="s">
        <v>161</v>
      </c>
      <c r="C158" s="186" t="s">
        <v>455</v>
      </c>
      <c r="D158" s="411">
        <v>382</v>
      </c>
    </row>
    <row r="159" spans="1:4" ht="15">
      <c r="A159" s="1"/>
      <c r="B159" s="59"/>
      <c r="C159" s="186"/>
      <c r="D159" s="411"/>
    </row>
    <row r="160" spans="1:4" ht="15">
      <c r="A160" s="1">
        <v>76</v>
      </c>
      <c r="B160" s="59" t="s">
        <v>162</v>
      </c>
      <c r="C160" s="186" t="s">
        <v>455</v>
      </c>
      <c r="D160" s="411">
        <v>391</v>
      </c>
    </row>
    <row r="161" spans="1:4" ht="15">
      <c r="A161" s="1"/>
      <c r="B161" s="59"/>
      <c r="C161" s="186"/>
      <c r="D161" s="411"/>
    </row>
    <row r="162" spans="1:4" ht="15">
      <c r="A162" s="1">
        <v>77</v>
      </c>
      <c r="B162" s="59" t="s">
        <v>163</v>
      </c>
      <c r="C162" s="186" t="s">
        <v>508</v>
      </c>
      <c r="D162" s="411">
        <v>433</v>
      </c>
    </row>
    <row r="163" spans="1:4" ht="15">
      <c r="A163" s="1"/>
      <c r="B163" s="59"/>
      <c r="C163" s="186"/>
      <c r="D163" s="411"/>
    </row>
    <row r="164" spans="1:4" ht="15">
      <c r="A164" s="1">
        <v>78</v>
      </c>
      <c r="B164" s="59" t="s">
        <v>164</v>
      </c>
      <c r="C164" s="186" t="s">
        <v>455</v>
      </c>
      <c r="D164" s="411">
        <v>415</v>
      </c>
    </row>
    <row r="165" spans="1:4" ht="15">
      <c r="A165" s="1"/>
      <c r="B165" s="59"/>
      <c r="C165" s="186"/>
      <c r="D165" s="411"/>
    </row>
    <row r="166" spans="1:4" ht="15">
      <c r="A166" s="1">
        <v>79</v>
      </c>
      <c r="B166" s="59" t="s">
        <v>165</v>
      </c>
      <c r="C166" s="186" t="s">
        <v>455</v>
      </c>
      <c r="D166" s="411">
        <v>430</v>
      </c>
    </row>
    <row r="167" spans="1:4" ht="15">
      <c r="A167" s="1"/>
      <c r="B167" s="59"/>
      <c r="C167" s="186"/>
      <c r="D167" s="411"/>
    </row>
    <row r="168" spans="1:4" ht="15">
      <c r="A168" s="1">
        <v>80</v>
      </c>
      <c r="B168" s="59" t="s">
        <v>166</v>
      </c>
      <c r="C168" s="186" t="s">
        <v>455</v>
      </c>
      <c r="D168" s="411">
        <v>314</v>
      </c>
    </row>
    <row r="169" spans="1:4" ht="15">
      <c r="A169" s="1"/>
      <c r="B169" s="59"/>
      <c r="C169" s="186"/>
      <c r="D169" s="411"/>
    </row>
    <row r="170" spans="1:4" ht="15">
      <c r="A170" s="1">
        <v>81</v>
      </c>
      <c r="B170" s="59" t="s">
        <v>167</v>
      </c>
      <c r="C170" s="186" t="s">
        <v>458</v>
      </c>
      <c r="D170" s="411">
        <v>402.24900000000002</v>
      </c>
    </row>
    <row r="171" spans="1:4" ht="15">
      <c r="A171" s="1"/>
      <c r="B171" s="59"/>
      <c r="C171" s="186"/>
      <c r="D171" s="412"/>
    </row>
    <row r="172" spans="1:4" ht="15">
      <c r="A172" s="1">
        <v>82</v>
      </c>
      <c r="B172" s="60" t="s">
        <v>38</v>
      </c>
      <c r="C172" s="186" t="s">
        <v>469</v>
      </c>
      <c r="D172" s="412">
        <v>394</v>
      </c>
    </row>
    <row r="173" spans="1:4">
      <c r="A173" s="6"/>
      <c r="B173" s="59"/>
      <c r="C173" s="59"/>
      <c r="D173" s="412"/>
    </row>
    <row r="174" spans="1:4">
      <c r="A174" s="6">
        <f>A172+1</f>
        <v>83</v>
      </c>
      <c r="B174" s="59" t="s">
        <v>168</v>
      </c>
      <c r="C174" s="59" t="s">
        <v>456</v>
      </c>
      <c r="D174" s="412">
        <v>419.44499999999999</v>
      </c>
    </row>
    <row r="175" spans="1:4">
      <c r="A175" s="6"/>
      <c r="B175" s="59"/>
      <c r="C175" s="59"/>
      <c r="D175" s="412"/>
    </row>
    <row r="176" spans="1:4">
      <c r="A176" s="6">
        <f>A174+1</f>
        <v>84</v>
      </c>
      <c r="B176" s="60" t="s">
        <v>39</v>
      </c>
      <c r="C176" s="60" t="s">
        <v>473</v>
      </c>
      <c r="D176" s="412">
        <v>402</v>
      </c>
    </row>
    <row r="177" spans="1:18" ht="15">
      <c r="A177" s="6"/>
      <c r="B177" s="59"/>
      <c r="C177" s="59"/>
      <c r="D177" s="412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2">
        <v>426</v>
      </c>
      <c r="M178" s="3"/>
      <c r="N178" s="3"/>
      <c r="O178" s="3"/>
      <c r="P178" s="3"/>
      <c r="Q178" s="4"/>
      <c r="R178" s="4"/>
    </row>
    <row r="179" spans="1:18" ht="15">
      <c r="A179" s="408"/>
      <c r="B179" s="59"/>
      <c r="C179" s="59"/>
      <c r="D179" s="412"/>
      <c r="M179" s="3"/>
      <c r="N179" s="3"/>
      <c r="O179" s="3"/>
      <c r="P179" s="3"/>
      <c r="Q179" s="4"/>
      <c r="R179" s="4"/>
    </row>
    <row r="180" spans="1:18" ht="15">
      <c r="A180" s="408">
        <f>A178+1</f>
        <v>86</v>
      </c>
      <c r="B180" s="59" t="s">
        <v>40</v>
      </c>
      <c r="C180" s="59" t="s">
        <v>456</v>
      </c>
      <c r="D180" s="412">
        <v>429.05900000000003</v>
      </c>
      <c r="M180" s="3"/>
      <c r="N180" s="3"/>
      <c r="O180" s="3"/>
      <c r="P180" s="3"/>
      <c r="Q180" s="4"/>
      <c r="R180" s="4"/>
    </row>
    <row r="181" spans="1:18" ht="15">
      <c r="A181" s="408"/>
      <c r="B181" s="59"/>
      <c r="C181" s="59"/>
      <c r="D181" s="412"/>
      <c r="M181" s="3"/>
      <c r="N181" s="3"/>
      <c r="O181" s="3"/>
      <c r="P181" s="3"/>
      <c r="Q181" s="4"/>
      <c r="R181" s="4"/>
    </row>
    <row r="182" spans="1:18" ht="15">
      <c r="A182" s="408">
        <f>A180+1</f>
        <v>87</v>
      </c>
      <c r="B182" s="59" t="s">
        <v>620</v>
      </c>
      <c r="C182" s="59" t="s">
        <v>469</v>
      </c>
      <c r="D182" s="412">
        <v>336</v>
      </c>
      <c r="M182" s="3"/>
      <c r="N182" s="3"/>
      <c r="O182" s="3"/>
      <c r="P182" s="3"/>
      <c r="Q182" s="4"/>
      <c r="R182" s="4"/>
    </row>
    <row r="183" spans="1:18" ht="15">
      <c r="A183" s="408"/>
      <c r="B183" s="59"/>
      <c r="C183" s="59"/>
      <c r="D183" s="412"/>
      <c r="M183" s="3"/>
      <c r="N183" s="3"/>
      <c r="O183" s="3"/>
      <c r="P183" s="3"/>
      <c r="Q183" s="4"/>
      <c r="R183" s="4"/>
    </row>
    <row r="184" spans="1:18" ht="15">
      <c r="A184" s="408">
        <f>A182+1</f>
        <v>88</v>
      </c>
      <c r="B184" s="59" t="s">
        <v>616</v>
      </c>
      <c r="C184" s="59" t="s">
        <v>458</v>
      </c>
      <c r="D184" s="412">
        <v>441</v>
      </c>
      <c r="M184" s="3"/>
      <c r="N184" s="3"/>
      <c r="O184" s="3"/>
      <c r="P184" s="3"/>
      <c r="Q184" s="4"/>
      <c r="R184" s="4"/>
    </row>
    <row r="185" spans="1:18" ht="15">
      <c r="A185" s="408"/>
      <c r="B185" s="59"/>
      <c r="C185" s="59"/>
      <c r="D185" s="412"/>
      <c r="M185" s="3"/>
      <c r="N185" s="3"/>
      <c r="O185" s="3"/>
      <c r="P185" s="3"/>
      <c r="Q185" s="4"/>
      <c r="R185" s="4"/>
    </row>
    <row r="186" spans="1:18" ht="15">
      <c r="A186" s="408">
        <f>A184+1</f>
        <v>89</v>
      </c>
      <c r="B186" s="59" t="s">
        <v>617</v>
      </c>
      <c r="C186" s="59" t="s">
        <v>508</v>
      </c>
      <c r="D186" s="412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2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468</v>
      </c>
      <c r="D188" s="409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409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409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409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409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409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409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409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409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409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409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409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409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409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409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409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409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409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409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409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409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409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409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409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409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409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409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409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409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409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409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409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409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409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409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409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409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412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1" t="s">
        <v>454</v>
      </c>
      <c r="D226" s="413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3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413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413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413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413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463</v>
      </c>
      <c r="D232" s="413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412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414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414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414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414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414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414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414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414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414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414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414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414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414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414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414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414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414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414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414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414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414">
        <v>357</v>
      </c>
    </row>
    <row r="255" spans="1:18" ht="15">
      <c r="A255" s="356"/>
      <c r="B255" s="199"/>
      <c r="C255" s="199"/>
      <c r="D255" s="414"/>
    </row>
    <row r="256" spans="1:18" ht="15">
      <c r="A256" s="356">
        <f>A254+1</f>
        <v>124</v>
      </c>
      <c r="B256" s="355" t="s">
        <v>561</v>
      </c>
      <c r="C256" s="199" t="s">
        <v>455</v>
      </c>
      <c r="D256" s="414">
        <v>372.20100000000002</v>
      </c>
    </row>
    <row r="257" spans="1:4" ht="15">
      <c r="A257" s="356"/>
      <c r="B257" s="199"/>
      <c r="C257" s="199"/>
      <c r="D257" s="414"/>
    </row>
    <row r="258" spans="1:4" ht="15">
      <c r="A258" s="356">
        <f>A256+1</f>
        <v>125</v>
      </c>
      <c r="B258" s="60" t="s">
        <v>567</v>
      </c>
      <c r="C258" s="199" t="s">
        <v>462</v>
      </c>
      <c r="D258" s="414">
        <v>358.08600000000001</v>
      </c>
    </row>
    <row r="259" spans="1:4">
      <c r="A259" s="356"/>
      <c r="B259" s="357"/>
      <c r="C259" s="357"/>
      <c r="D259" s="415"/>
    </row>
    <row r="260" spans="1:4" ht="18">
      <c r="A260" s="356">
        <f>A258+1</f>
        <v>126</v>
      </c>
      <c r="B260" s="60" t="s">
        <v>568</v>
      </c>
      <c r="C260" s="358" t="s">
        <v>511</v>
      </c>
      <c r="D260" s="414">
        <v>278.70400000000001</v>
      </c>
    </row>
    <row r="261" spans="1:4" ht="18">
      <c r="A261" s="356"/>
      <c r="B261" s="359"/>
      <c r="C261" s="360"/>
      <c r="D261" s="415"/>
    </row>
    <row r="262" spans="1:4" ht="18">
      <c r="A262" s="356">
        <f>A260+1</f>
        <v>127</v>
      </c>
      <c r="B262" s="60" t="s">
        <v>569</v>
      </c>
      <c r="C262" s="358" t="s">
        <v>511</v>
      </c>
      <c r="D262" s="414">
        <v>135.00800000000001</v>
      </c>
    </row>
    <row r="263" spans="1:4">
      <c r="D263" s="194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8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4" bestFit="1" customWidth="1"/>
  </cols>
  <sheetData>
    <row r="6" spans="1:27">
      <c r="A6" s="980" t="s">
        <v>234</v>
      </c>
      <c r="B6" s="980"/>
      <c r="C6" s="980"/>
      <c r="D6" s="980"/>
      <c r="E6" s="980"/>
      <c r="F6" s="980"/>
    </row>
    <row r="7" spans="1:27" ht="15" thickBot="1"/>
    <row r="8" spans="1:27" ht="15" customHeight="1">
      <c r="A8" s="981" t="s">
        <v>12</v>
      </c>
      <c r="B8" s="983" t="s">
        <v>13</v>
      </c>
      <c r="C8" s="985" t="s">
        <v>14</v>
      </c>
      <c r="D8" s="987" t="s">
        <v>15</v>
      </c>
    </row>
    <row r="9" spans="1:27" ht="15" thickBot="1">
      <c r="A9" s="982"/>
      <c r="B9" s="984"/>
      <c r="C9" s="986"/>
      <c r="D9" s="988"/>
    </row>
    <row r="10" spans="1:27" ht="19.2" customHeight="1" thickBot="1">
      <c r="A10" s="5">
        <v>1</v>
      </c>
      <c r="B10" s="58" t="s">
        <v>23</v>
      </c>
      <c r="C10" s="199" t="s">
        <v>471</v>
      </c>
      <c r="D10" s="276">
        <v>249.63499999999999</v>
      </c>
      <c r="E10" s="70" t="s">
        <v>224</v>
      </c>
      <c r="F10" s="989"/>
      <c r="G10" s="977"/>
      <c r="H10" s="977"/>
      <c r="I10" s="977"/>
      <c r="J10" s="977"/>
      <c r="K10" s="978"/>
      <c r="L10" s="978"/>
      <c r="M10" s="978"/>
      <c r="N10" s="978"/>
      <c r="O10" s="978"/>
      <c r="P10" s="978"/>
      <c r="Q10" s="978"/>
      <c r="R10" s="978"/>
      <c r="S10" s="979"/>
    </row>
    <row r="11" spans="1:27" ht="19.2" customHeight="1">
      <c r="A11" s="1"/>
      <c r="B11" s="59"/>
      <c r="C11" s="199"/>
      <c r="D11" s="276"/>
      <c r="F11" s="364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199" t="s">
        <v>509</v>
      </c>
      <c r="D12" s="276">
        <v>425</v>
      </c>
      <c r="E12" s="363" t="s">
        <v>582</v>
      </c>
      <c r="F12" s="365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6">
        <f>S28-S12</f>
        <v>2</v>
      </c>
    </row>
    <row r="13" spans="1:27" ht="16.2" thickBot="1">
      <c r="A13" s="1"/>
      <c r="B13" s="59"/>
      <c r="C13" s="199"/>
      <c r="D13" s="276"/>
      <c r="E13" s="363" t="s">
        <v>583</v>
      </c>
      <c r="F13" s="365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6">
        <f t="shared" ref="T13:T18" si="1">S29-S13</f>
        <v>0</v>
      </c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6">
      <c r="A14" s="1">
        <v>3</v>
      </c>
      <c r="B14" s="59" t="s">
        <v>117</v>
      </c>
      <c r="C14" s="186" t="s">
        <v>457</v>
      </c>
      <c r="D14" s="276">
        <v>425</v>
      </c>
      <c r="E14" s="363" t="s">
        <v>584</v>
      </c>
      <c r="F14" s="365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6">
        <f t="shared" si="1"/>
        <v>0</v>
      </c>
      <c r="U14" s="6"/>
      <c r="V14" s="59"/>
      <c r="W14" s="59"/>
      <c r="Y14" s="199"/>
      <c r="Z14" s="199"/>
      <c r="AA14" s="348"/>
    </row>
    <row r="15" spans="1:27" ht="15.6">
      <c r="A15" s="1"/>
      <c r="B15" s="59"/>
      <c r="C15" s="199"/>
      <c r="D15" s="276"/>
      <c r="E15" s="363" t="s">
        <v>585</v>
      </c>
      <c r="F15" s="365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6">
        <f t="shared" si="1"/>
        <v>0</v>
      </c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6">
      <c r="A16" s="1">
        <v>4</v>
      </c>
      <c r="B16" s="59" t="s">
        <v>118</v>
      </c>
      <c r="C16" s="186" t="s">
        <v>465</v>
      </c>
      <c r="D16" s="276">
        <v>390</v>
      </c>
      <c r="E16" s="363" t="s">
        <v>586</v>
      </c>
      <c r="F16" s="365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>
        <f t="shared" si="1"/>
        <v>1</v>
      </c>
      <c r="U16" s="6"/>
      <c r="V16" s="59"/>
      <c r="W16" s="59"/>
      <c r="Y16" s="199"/>
      <c r="Z16" s="199"/>
      <c r="AA16" s="348"/>
    </row>
    <row r="17" spans="1:27" ht="15.6">
      <c r="A17" s="1"/>
      <c r="B17" s="59"/>
      <c r="C17" s="199"/>
      <c r="D17" s="276"/>
      <c r="E17" s="363" t="s">
        <v>587</v>
      </c>
      <c r="F17" s="365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6">
        <f t="shared" si="1"/>
        <v>0</v>
      </c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.2" thickBot="1">
      <c r="A18" s="1">
        <v>5</v>
      </c>
      <c r="B18" s="59" t="s">
        <v>119</v>
      </c>
      <c r="C18" s="186" t="s">
        <v>458</v>
      </c>
      <c r="D18" s="276">
        <v>265</v>
      </c>
      <c r="E18" s="363" t="s">
        <v>588</v>
      </c>
      <c r="F18" s="366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6">
        <f t="shared" si="1"/>
        <v>2</v>
      </c>
      <c r="U18" s="6"/>
      <c r="V18" s="59"/>
      <c r="W18" s="59"/>
      <c r="Y18" s="199"/>
      <c r="Z18" s="199"/>
      <c r="AA18" s="348"/>
    </row>
    <row r="19" spans="1:27" ht="16.2" thickBot="1">
      <c r="A19" s="1"/>
      <c r="B19" s="59"/>
      <c r="C19" s="199"/>
      <c r="D19" s="276"/>
      <c r="E19" s="363"/>
      <c r="F19" s="367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.6">
      <c r="A20" s="1">
        <v>6</v>
      </c>
      <c r="B20" s="59" t="s">
        <v>120</v>
      </c>
      <c r="C20" s="186" t="s">
        <v>456</v>
      </c>
      <c r="D20" s="276">
        <v>510</v>
      </c>
      <c r="E20" s="363"/>
      <c r="U20" s="6"/>
      <c r="V20" s="59"/>
      <c r="W20" s="59"/>
      <c r="Y20" s="199"/>
      <c r="Z20" s="199"/>
      <c r="AA20" s="348"/>
    </row>
    <row r="21" spans="1:27" ht="15.6">
      <c r="A21" s="1"/>
      <c r="B21" s="59"/>
      <c r="C21" s="199"/>
      <c r="D21" s="276"/>
      <c r="E21" s="363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.6">
      <c r="A22" s="1">
        <v>7</v>
      </c>
      <c r="B22" s="59" t="s">
        <v>121</v>
      </c>
      <c r="C22" s="199" t="s">
        <v>460</v>
      </c>
      <c r="D22" s="276">
        <v>380</v>
      </c>
      <c r="E22" s="363"/>
      <c r="U22" s="6"/>
      <c r="V22" s="59"/>
      <c r="W22" s="59"/>
      <c r="Y22" s="199"/>
      <c r="Z22" s="199"/>
      <c r="AA22" s="348"/>
    </row>
    <row r="23" spans="1:27" ht="15.6">
      <c r="A23" s="1"/>
      <c r="B23" s="59"/>
      <c r="C23" s="199"/>
      <c r="D23" s="276"/>
      <c r="E23" s="363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.6">
      <c r="A24" s="1">
        <v>8</v>
      </c>
      <c r="B24" s="59" t="s">
        <v>122</v>
      </c>
      <c r="C24" s="199" t="s">
        <v>460</v>
      </c>
      <c r="D24" s="276">
        <v>420</v>
      </c>
      <c r="E24" s="363"/>
      <c r="U24" s="6"/>
      <c r="V24" s="59"/>
      <c r="W24" s="59"/>
      <c r="Y24" s="199"/>
      <c r="Z24" s="199"/>
      <c r="AA24" s="348"/>
    </row>
    <row r="25" spans="1:27" ht="16.2" thickBot="1">
      <c r="A25" s="1"/>
      <c r="B25" s="59"/>
      <c r="C25" s="199"/>
      <c r="D25" s="276"/>
      <c r="E25" s="363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.2" thickBot="1">
      <c r="A26" s="1">
        <v>9</v>
      </c>
      <c r="B26" s="59" t="s">
        <v>123</v>
      </c>
      <c r="C26" s="186" t="s">
        <v>457</v>
      </c>
      <c r="D26" s="276">
        <v>335</v>
      </c>
      <c r="E26" s="363"/>
      <c r="F26" s="977"/>
      <c r="G26" s="977"/>
      <c r="H26" s="977"/>
      <c r="I26" s="977"/>
      <c r="J26" s="977"/>
      <c r="K26" s="978"/>
      <c r="L26" s="978"/>
      <c r="M26" s="978"/>
      <c r="N26" s="978"/>
      <c r="O26" s="978"/>
      <c r="P26" s="978"/>
      <c r="Q26" s="978"/>
      <c r="R26" s="978"/>
      <c r="S26" s="979"/>
      <c r="U26" s="6"/>
      <c r="V26" s="59"/>
      <c r="W26" s="59"/>
      <c r="Y26" s="199"/>
      <c r="Z26" s="199"/>
      <c r="AA26" s="348"/>
    </row>
    <row r="27" spans="1:27" ht="15.6">
      <c r="A27" s="1"/>
      <c r="B27" s="59"/>
      <c r="C27" s="199"/>
      <c r="D27" s="276"/>
      <c r="E27" s="363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6">
      <c r="A28" s="1">
        <v>10</v>
      </c>
      <c r="B28" s="59" t="s">
        <v>124</v>
      </c>
      <c r="C28" s="186" t="s">
        <v>457</v>
      </c>
      <c r="D28" s="276">
        <v>345</v>
      </c>
      <c r="E28" s="363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199"/>
      <c r="Z28" s="199"/>
      <c r="AA28" s="348"/>
    </row>
    <row r="29" spans="1:27" ht="15.6">
      <c r="A29" s="1"/>
      <c r="B29" s="59"/>
      <c r="C29" s="199"/>
      <c r="D29" s="276"/>
      <c r="E29" s="363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6">
      <c r="A30" s="1">
        <v>11</v>
      </c>
      <c r="B30" s="59" t="s">
        <v>125</v>
      </c>
      <c r="C30" s="186" t="s">
        <v>457</v>
      </c>
      <c r="D30" s="276">
        <v>365</v>
      </c>
      <c r="E30" s="363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199"/>
      <c r="Z30" s="199"/>
      <c r="AA30" s="348"/>
    </row>
    <row r="31" spans="1:27" ht="15.6">
      <c r="A31" s="1"/>
      <c r="B31" s="59"/>
      <c r="C31" s="199"/>
      <c r="D31" s="276"/>
      <c r="E31" s="363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6">
      <c r="A32" s="1">
        <v>12</v>
      </c>
      <c r="B32" s="59" t="s">
        <v>126</v>
      </c>
      <c r="C32" s="186" t="s">
        <v>455</v>
      </c>
      <c r="D32" s="276">
        <v>356</v>
      </c>
      <c r="E32" s="363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199"/>
      <c r="Z32" s="199"/>
      <c r="AA32" s="348"/>
    </row>
    <row r="33" spans="1:27" ht="15.6">
      <c r="A33" s="1"/>
      <c r="B33" s="59"/>
      <c r="C33" s="199"/>
      <c r="D33" s="276"/>
      <c r="E33" s="363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.2" thickBot="1">
      <c r="A34" s="1">
        <v>13</v>
      </c>
      <c r="B34" s="59" t="s">
        <v>127</v>
      </c>
      <c r="C34" s="186" t="s">
        <v>457</v>
      </c>
      <c r="D34" s="276">
        <v>332</v>
      </c>
      <c r="E34" s="363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199"/>
      <c r="Z34" s="199"/>
      <c r="AA34" s="348"/>
    </row>
    <row r="35" spans="1:27" ht="16.2" thickBot="1">
      <c r="A35" s="1"/>
      <c r="B35" s="59"/>
      <c r="C35" s="199"/>
      <c r="D35" s="276"/>
      <c r="E35" s="363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.6">
      <c r="A36" s="1">
        <v>14</v>
      </c>
      <c r="B36" s="59" t="s">
        <v>128</v>
      </c>
      <c r="C36" s="186" t="s">
        <v>455</v>
      </c>
      <c r="D36" s="276">
        <v>384.42399999999998</v>
      </c>
      <c r="E36" s="363"/>
      <c r="U36" s="2"/>
      <c r="V36" s="2"/>
      <c r="Y36" s="199"/>
      <c r="Z36" s="199"/>
      <c r="AA36" s="348"/>
    </row>
    <row r="37" spans="1:27" ht="15.6">
      <c r="A37" s="1"/>
      <c r="B37" s="59"/>
      <c r="C37" s="59"/>
      <c r="D37" s="276"/>
      <c r="E37" s="363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.6">
      <c r="A38" s="1">
        <v>15</v>
      </c>
      <c r="B38" s="60" t="s">
        <v>25</v>
      </c>
      <c r="C38" s="186" t="s">
        <v>454</v>
      </c>
      <c r="D38" s="277">
        <v>385</v>
      </c>
      <c r="E38" s="363"/>
      <c r="U38" s="2"/>
      <c r="V38" s="2"/>
    </row>
    <row r="39" spans="1:27" ht="18">
      <c r="A39" s="1"/>
      <c r="B39" s="59"/>
      <c r="C39" s="186"/>
      <c r="D39" s="277"/>
      <c r="E39" s="363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196">
        <v>423</v>
      </c>
      <c r="E40" s="363"/>
      <c r="U40" s="2"/>
      <c r="V40" s="2"/>
      <c r="Y40" s="351"/>
      <c r="Z40" s="352"/>
    </row>
    <row r="41" spans="1:27" ht="18">
      <c r="A41" s="1"/>
      <c r="B41" s="59"/>
      <c r="C41" s="186"/>
      <c r="D41" s="196"/>
      <c r="E41" s="363"/>
      <c r="U41" s="2"/>
      <c r="V41" s="2"/>
      <c r="Y41" s="349" t="s">
        <v>566</v>
      </c>
      <c r="Z41" s="350" t="s">
        <v>565</v>
      </c>
    </row>
    <row r="42" spans="1:27" ht="15.6">
      <c r="A42" s="1">
        <v>17</v>
      </c>
      <c r="B42" s="59" t="s">
        <v>17</v>
      </c>
      <c r="C42" s="186" t="s">
        <v>455</v>
      </c>
      <c r="D42" s="196">
        <v>382</v>
      </c>
      <c r="E42" s="363"/>
    </row>
    <row r="43" spans="1:27" ht="15.6">
      <c r="A43" s="1"/>
      <c r="B43" s="59"/>
      <c r="C43" s="186"/>
      <c r="D43" s="196"/>
      <c r="E43" s="363"/>
    </row>
    <row r="44" spans="1:27" ht="15.6">
      <c r="A44" s="1">
        <v>18</v>
      </c>
      <c r="B44" s="59" t="s">
        <v>18</v>
      </c>
      <c r="C44" s="186" t="s">
        <v>455</v>
      </c>
      <c r="D44" s="196">
        <v>405</v>
      </c>
      <c r="E44" s="363"/>
    </row>
    <row r="45" spans="1:27" ht="15.6">
      <c r="A45" s="1"/>
      <c r="B45" s="59"/>
      <c r="C45" s="186"/>
      <c r="D45" s="196"/>
      <c r="E45" s="363"/>
    </row>
    <row r="46" spans="1:27" ht="15.6">
      <c r="A46" s="1">
        <v>19</v>
      </c>
      <c r="B46" s="59" t="s">
        <v>129</v>
      </c>
      <c r="C46" s="186" t="s">
        <v>456</v>
      </c>
      <c r="D46" s="196">
        <v>388.45800000000003</v>
      </c>
      <c r="E46" s="363"/>
    </row>
    <row r="47" spans="1:27" ht="15.6">
      <c r="A47" s="1"/>
      <c r="B47" s="59"/>
      <c r="C47" s="186"/>
      <c r="D47" s="196"/>
      <c r="E47" s="363"/>
    </row>
    <row r="48" spans="1:27" ht="15.6">
      <c r="A48" s="1">
        <v>20</v>
      </c>
      <c r="B48" s="60" t="s">
        <v>26</v>
      </c>
      <c r="C48" s="186" t="s">
        <v>454</v>
      </c>
      <c r="D48" s="196">
        <v>405</v>
      </c>
      <c r="E48" s="363"/>
    </row>
    <row r="49" spans="1:5" ht="15.6">
      <c r="A49" s="1"/>
      <c r="B49" s="59"/>
      <c r="C49" s="186"/>
      <c r="D49" s="196"/>
      <c r="E49" s="363"/>
    </row>
    <row r="50" spans="1:5" ht="15.6">
      <c r="A50" s="1">
        <v>21</v>
      </c>
      <c r="B50" s="59" t="s">
        <v>130</v>
      </c>
      <c r="C50" s="186" t="s">
        <v>456</v>
      </c>
      <c r="D50" s="196">
        <v>360</v>
      </c>
      <c r="E50" s="363"/>
    </row>
    <row r="51" spans="1:5" ht="15.6">
      <c r="A51" s="1"/>
      <c r="B51" s="59"/>
      <c r="C51" s="186"/>
      <c r="D51" s="196"/>
      <c r="E51" s="363"/>
    </row>
    <row r="52" spans="1:5" ht="15.6">
      <c r="A52" s="1">
        <v>22</v>
      </c>
      <c r="B52" s="59" t="s">
        <v>131</v>
      </c>
      <c r="C52" s="186" t="s">
        <v>456</v>
      </c>
      <c r="D52" s="196">
        <v>390</v>
      </c>
      <c r="E52" s="363"/>
    </row>
    <row r="53" spans="1:5" ht="15.6">
      <c r="A53" s="1"/>
      <c r="B53" s="59"/>
      <c r="C53" s="186"/>
      <c r="D53" s="196"/>
      <c r="E53" s="363"/>
    </row>
    <row r="54" spans="1:5" ht="15.6">
      <c r="A54" s="1">
        <v>23</v>
      </c>
      <c r="B54" s="59" t="s">
        <v>132</v>
      </c>
      <c r="C54" s="186" t="s">
        <v>457</v>
      </c>
      <c r="D54" s="196">
        <v>325</v>
      </c>
      <c r="E54" s="363"/>
    </row>
    <row r="55" spans="1:5" ht="15.6">
      <c r="A55" s="1"/>
      <c r="B55" s="59"/>
      <c r="C55" s="186"/>
      <c r="D55" s="196"/>
      <c r="E55" s="363"/>
    </row>
    <row r="56" spans="1:5" ht="15.6">
      <c r="A56" s="1">
        <v>24</v>
      </c>
      <c r="B56" s="59" t="s">
        <v>133</v>
      </c>
      <c r="C56" s="186" t="s">
        <v>455</v>
      </c>
      <c r="D56" s="196">
        <v>430</v>
      </c>
      <c r="E56" s="363"/>
    </row>
    <row r="57" spans="1:5" ht="15.6">
      <c r="A57" s="1"/>
      <c r="B57" s="59"/>
      <c r="C57" s="186"/>
      <c r="D57" s="196"/>
      <c r="E57" s="363"/>
    </row>
    <row r="58" spans="1:5" ht="15.6">
      <c r="A58" s="1">
        <v>25</v>
      </c>
      <c r="B58" s="59" t="s">
        <v>134</v>
      </c>
      <c r="C58" s="186" t="s">
        <v>455</v>
      </c>
      <c r="D58" s="196">
        <v>298</v>
      </c>
      <c r="E58" s="363"/>
    </row>
    <row r="59" spans="1:5" ht="15.6">
      <c r="A59" s="1"/>
      <c r="B59" s="59"/>
      <c r="C59" s="186"/>
      <c r="D59" s="196"/>
      <c r="E59" s="363"/>
    </row>
    <row r="60" spans="1:5" ht="15.6">
      <c r="A60" s="1">
        <v>26</v>
      </c>
      <c r="B60" s="59" t="s">
        <v>135</v>
      </c>
      <c r="C60" s="186" t="s">
        <v>455</v>
      </c>
      <c r="D60" s="196">
        <v>422</v>
      </c>
      <c r="E60" s="363"/>
    </row>
    <row r="61" spans="1:5" ht="15.6">
      <c r="A61" s="1"/>
      <c r="B61" s="59"/>
      <c r="C61" s="186"/>
      <c r="D61" s="196"/>
      <c r="E61" s="363"/>
    </row>
    <row r="62" spans="1:5" ht="15.6">
      <c r="A62" s="1">
        <v>27</v>
      </c>
      <c r="B62" s="59" t="s">
        <v>136</v>
      </c>
      <c r="C62" s="186" t="s">
        <v>458</v>
      </c>
      <c r="D62" s="196">
        <v>345</v>
      </c>
      <c r="E62" s="363"/>
    </row>
    <row r="63" spans="1:5" ht="15.6">
      <c r="A63" s="1"/>
      <c r="B63" s="59"/>
      <c r="C63" s="186"/>
      <c r="D63" s="196"/>
      <c r="E63" s="363"/>
    </row>
    <row r="64" spans="1:5" ht="15.6">
      <c r="A64" s="1">
        <v>28</v>
      </c>
      <c r="B64" s="59" t="s">
        <v>137</v>
      </c>
      <c r="C64" s="186" t="s">
        <v>456</v>
      </c>
      <c r="D64" s="196">
        <v>370</v>
      </c>
      <c r="E64" s="363"/>
    </row>
    <row r="65" spans="1:5" ht="15.6">
      <c r="A65" s="1"/>
      <c r="B65" s="59"/>
      <c r="C65" s="186"/>
      <c r="D65" s="196"/>
      <c r="E65" s="363"/>
    </row>
    <row r="66" spans="1:5" ht="15.6">
      <c r="A66" s="1">
        <v>29</v>
      </c>
      <c r="B66" s="59" t="s">
        <v>138</v>
      </c>
      <c r="C66" s="186" t="s">
        <v>458</v>
      </c>
      <c r="D66" s="196">
        <v>320</v>
      </c>
      <c r="E66" s="363"/>
    </row>
    <row r="67" spans="1:5" ht="15.6">
      <c r="A67" s="1"/>
      <c r="B67" s="59"/>
      <c r="C67" s="186"/>
      <c r="D67" s="196"/>
      <c r="E67" s="363"/>
    </row>
    <row r="68" spans="1:5" ht="15.6">
      <c r="A68" s="1">
        <v>30</v>
      </c>
      <c r="B68" s="59" t="s">
        <v>139</v>
      </c>
      <c r="C68" s="186" t="s">
        <v>458</v>
      </c>
      <c r="D68" s="196">
        <v>390</v>
      </c>
      <c r="E68" s="363"/>
    </row>
    <row r="69" spans="1:5" ht="15.6">
      <c r="A69" s="1"/>
      <c r="B69" s="59"/>
      <c r="C69" s="186"/>
      <c r="D69" s="196"/>
      <c r="E69" s="363"/>
    </row>
    <row r="70" spans="1:5" ht="15.6">
      <c r="A70" s="1">
        <v>31</v>
      </c>
      <c r="B70" s="59" t="s">
        <v>140</v>
      </c>
      <c r="C70" s="186" t="s">
        <v>456</v>
      </c>
      <c r="D70" s="196">
        <v>425.02</v>
      </c>
      <c r="E70" s="363"/>
    </row>
    <row r="71" spans="1:5" ht="15.6">
      <c r="A71" s="1"/>
      <c r="B71" s="59"/>
      <c r="C71" s="186"/>
      <c r="D71" s="196"/>
      <c r="E71" s="363"/>
    </row>
    <row r="72" spans="1:5" ht="15.6">
      <c r="A72" s="1">
        <v>32</v>
      </c>
      <c r="B72" s="60" t="s">
        <v>27</v>
      </c>
      <c r="C72" s="186" t="s">
        <v>459</v>
      </c>
      <c r="D72" s="196">
        <v>480</v>
      </c>
      <c r="E72" s="363"/>
    </row>
    <row r="73" spans="1:5" ht="15.6">
      <c r="A73" s="1"/>
      <c r="B73" s="59"/>
      <c r="C73" s="186"/>
      <c r="D73" s="196"/>
      <c r="E73" s="363"/>
    </row>
    <row r="74" spans="1:5" ht="15.6">
      <c r="A74" s="1">
        <v>33</v>
      </c>
      <c r="B74" s="59" t="s">
        <v>19</v>
      </c>
      <c r="C74" s="186" t="s">
        <v>460</v>
      </c>
      <c r="D74" s="196">
        <v>297.315</v>
      </c>
      <c r="E74" s="363"/>
    </row>
    <row r="75" spans="1:5" ht="15.6">
      <c r="A75" s="1"/>
      <c r="B75" s="59"/>
      <c r="C75" s="186"/>
      <c r="D75" s="196"/>
      <c r="E75" s="363"/>
    </row>
    <row r="76" spans="1:5" ht="15.6">
      <c r="A76" s="1">
        <v>34</v>
      </c>
      <c r="B76" s="60" t="s">
        <v>28</v>
      </c>
      <c r="C76" s="186" t="s">
        <v>461</v>
      </c>
      <c r="D76" s="196">
        <v>415</v>
      </c>
      <c r="E76" s="363"/>
    </row>
    <row r="77" spans="1:5" ht="15.6">
      <c r="A77" s="1"/>
      <c r="B77" s="59"/>
      <c r="C77" s="186"/>
      <c r="D77" s="196"/>
      <c r="E77" s="363"/>
    </row>
    <row r="78" spans="1:5" ht="15.6">
      <c r="A78" s="1">
        <v>35</v>
      </c>
      <c r="B78" s="59" t="s">
        <v>20</v>
      </c>
      <c r="C78" s="186" t="s">
        <v>456</v>
      </c>
      <c r="D78" s="196">
        <v>425</v>
      </c>
      <c r="E78" s="363"/>
    </row>
    <row r="79" spans="1:5" ht="15.6">
      <c r="A79" s="1"/>
      <c r="B79" s="59"/>
      <c r="C79" s="186"/>
      <c r="D79" s="196"/>
      <c r="E79" s="363"/>
    </row>
    <row r="80" spans="1:5" ht="15.6">
      <c r="A80" s="1">
        <v>36</v>
      </c>
      <c r="B80" s="59" t="s">
        <v>21</v>
      </c>
      <c r="C80" s="186" t="s">
        <v>456</v>
      </c>
      <c r="D80" s="196">
        <v>395</v>
      </c>
      <c r="E80" s="363"/>
    </row>
    <row r="81" spans="1:5" ht="15.6">
      <c r="A81" s="1"/>
      <c r="B81" s="59"/>
      <c r="C81" s="186"/>
      <c r="D81" s="196"/>
      <c r="E81" s="363"/>
    </row>
    <row r="82" spans="1:5" ht="15.6">
      <c r="A82" s="1">
        <v>37</v>
      </c>
      <c r="B82" s="59" t="s">
        <v>141</v>
      </c>
      <c r="C82" s="186" t="s">
        <v>457</v>
      </c>
      <c r="D82" s="196">
        <v>329.07400000000001</v>
      </c>
      <c r="E82" s="363"/>
    </row>
    <row r="83" spans="1:5" ht="15.6">
      <c r="A83" s="1"/>
      <c r="B83" s="59"/>
      <c r="C83" s="186"/>
      <c r="D83" s="196"/>
      <c r="E83" s="363"/>
    </row>
    <row r="84" spans="1:5" ht="15.6">
      <c r="A84" s="1">
        <v>38</v>
      </c>
      <c r="B84" s="60" t="s">
        <v>22</v>
      </c>
      <c r="C84" s="186" t="s">
        <v>462</v>
      </c>
      <c r="D84" s="196">
        <v>390</v>
      </c>
      <c r="E84" s="363"/>
    </row>
    <row r="85" spans="1:5" ht="15.6">
      <c r="A85" s="1"/>
      <c r="B85" s="59"/>
      <c r="C85" s="186"/>
      <c r="D85" s="196"/>
      <c r="E85" s="363"/>
    </row>
    <row r="86" spans="1:5" ht="15.6">
      <c r="A86" s="1">
        <v>39</v>
      </c>
      <c r="B86" s="59" t="s">
        <v>142</v>
      </c>
      <c r="C86" s="186" t="s">
        <v>456</v>
      </c>
      <c r="D86" s="196">
        <v>444.77100000000002</v>
      </c>
      <c r="E86" s="363"/>
    </row>
    <row r="87" spans="1:5" ht="15">
      <c r="A87" s="1"/>
      <c r="B87" s="59"/>
      <c r="C87" s="186"/>
      <c r="D87" s="196"/>
    </row>
    <row r="88" spans="1:5" ht="15">
      <c r="A88" s="1">
        <v>40</v>
      </c>
      <c r="B88" s="60" t="s">
        <v>29</v>
      </c>
      <c r="C88" s="186" t="s">
        <v>509</v>
      </c>
      <c r="D88" s="196">
        <v>248.03800000000001</v>
      </c>
    </row>
    <row r="89" spans="1:5" ht="15">
      <c r="A89" s="1"/>
      <c r="B89" s="59"/>
      <c r="C89" s="186"/>
      <c r="D89" s="196"/>
    </row>
    <row r="90" spans="1:5" ht="15">
      <c r="A90" s="1">
        <v>41</v>
      </c>
      <c r="B90" s="60" t="s">
        <v>30</v>
      </c>
      <c r="C90" s="186" t="s">
        <v>464</v>
      </c>
      <c r="D90" s="196">
        <v>430</v>
      </c>
    </row>
    <row r="91" spans="1:5" ht="15">
      <c r="A91" s="1"/>
      <c r="B91" s="59"/>
      <c r="C91" s="186"/>
      <c r="D91" s="196"/>
    </row>
    <row r="92" spans="1:5" ht="15">
      <c r="A92" s="1">
        <v>42</v>
      </c>
      <c r="B92" s="59" t="s">
        <v>2</v>
      </c>
      <c r="C92" s="186" t="s">
        <v>455</v>
      </c>
      <c r="D92" s="196">
        <v>400</v>
      </c>
    </row>
    <row r="93" spans="1:5" ht="15">
      <c r="A93" s="1"/>
      <c r="B93" s="59"/>
      <c r="C93" s="186"/>
      <c r="D93" s="196"/>
    </row>
    <row r="94" spans="1:5" ht="15">
      <c r="A94" s="1">
        <v>43</v>
      </c>
      <c r="B94" s="59" t="s">
        <v>49</v>
      </c>
      <c r="C94" s="186" t="s">
        <v>455</v>
      </c>
      <c r="D94" s="196">
        <v>410</v>
      </c>
    </row>
    <row r="95" spans="1:5" ht="15">
      <c r="A95" s="1"/>
      <c r="B95" s="59"/>
      <c r="C95" s="186"/>
      <c r="D95" s="196"/>
    </row>
    <row r="96" spans="1:5" ht="15">
      <c r="A96" s="1">
        <v>44</v>
      </c>
      <c r="B96" s="59" t="s">
        <v>50</v>
      </c>
      <c r="C96" s="186" t="s">
        <v>456</v>
      </c>
      <c r="D96" s="196">
        <v>435</v>
      </c>
    </row>
    <row r="97" spans="1:4" ht="15">
      <c r="A97" s="1"/>
      <c r="B97" s="59"/>
      <c r="C97" s="186"/>
      <c r="D97" s="196"/>
    </row>
    <row r="98" spans="1:4" ht="15">
      <c r="A98" s="1">
        <v>45</v>
      </c>
      <c r="B98" s="59" t="s">
        <v>143</v>
      </c>
      <c r="C98" s="186" t="s">
        <v>455</v>
      </c>
      <c r="D98" s="196">
        <v>360</v>
      </c>
    </row>
    <row r="99" spans="1:4" ht="15">
      <c r="A99" s="1"/>
      <c r="B99" s="59"/>
      <c r="C99" s="186"/>
      <c r="D99" s="196"/>
    </row>
    <row r="100" spans="1:4" ht="15">
      <c r="A100" s="1">
        <v>46</v>
      </c>
      <c r="B100" s="59" t="s">
        <v>144</v>
      </c>
      <c r="C100" s="186" t="s">
        <v>457</v>
      </c>
      <c r="D100" s="196">
        <v>391.45100000000002</v>
      </c>
    </row>
    <row r="101" spans="1:4" ht="15">
      <c r="A101" s="1"/>
      <c r="B101" s="59"/>
      <c r="C101" s="186"/>
      <c r="D101" s="196"/>
    </row>
    <row r="102" spans="1:4" ht="15">
      <c r="A102" s="1">
        <v>47</v>
      </c>
      <c r="B102" s="60" t="s">
        <v>31</v>
      </c>
      <c r="C102" s="186" t="s">
        <v>454</v>
      </c>
      <c r="D102" s="196">
        <v>380</v>
      </c>
    </row>
    <row r="103" spans="1:4" ht="15">
      <c r="A103" s="1"/>
      <c r="B103" s="59"/>
      <c r="C103" s="186"/>
      <c r="D103" s="196"/>
    </row>
    <row r="104" spans="1:4" ht="15">
      <c r="A104" s="1">
        <v>48</v>
      </c>
      <c r="B104" s="59" t="s">
        <v>145</v>
      </c>
      <c r="C104" s="186" t="s">
        <v>465</v>
      </c>
      <c r="D104" s="196">
        <v>475</v>
      </c>
    </row>
    <row r="105" spans="1:4" ht="15">
      <c r="A105" s="1"/>
      <c r="B105" s="59"/>
      <c r="C105" s="186"/>
      <c r="D105" s="196"/>
    </row>
    <row r="106" spans="1:4" ht="15">
      <c r="A106" s="1">
        <v>49</v>
      </c>
      <c r="B106" s="59" t="s">
        <v>146</v>
      </c>
      <c r="C106" s="186" t="s">
        <v>456</v>
      </c>
      <c r="D106" s="196">
        <v>380</v>
      </c>
    </row>
    <row r="107" spans="1:4" ht="15">
      <c r="A107" s="1"/>
      <c r="B107" s="59"/>
      <c r="C107" s="186"/>
      <c r="D107" s="196"/>
    </row>
    <row r="108" spans="1:4" ht="15">
      <c r="A108" s="1">
        <v>50</v>
      </c>
      <c r="B108" s="59" t="s">
        <v>147</v>
      </c>
      <c r="C108" s="186" t="s">
        <v>455</v>
      </c>
      <c r="D108" s="196">
        <v>390</v>
      </c>
    </row>
    <row r="109" spans="1:4" ht="15">
      <c r="A109" s="1"/>
      <c r="B109" s="59"/>
      <c r="C109" s="186"/>
      <c r="D109" s="196"/>
    </row>
    <row r="110" spans="1:4" ht="15">
      <c r="A110" s="1">
        <v>51</v>
      </c>
      <c r="B110" s="59" t="s">
        <v>148</v>
      </c>
      <c r="C110" s="186" t="s">
        <v>456</v>
      </c>
      <c r="D110" s="196">
        <v>465</v>
      </c>
    </row>
    <row r="111" spans="1:4" ht="15">
      <c r="A111" s="1"/>
      <c r="B111" s="59"/>
      <c r="C111" s="186"/>
      <c r="D111" s="196"/>
    </row>
    <row r="112" spans="1:4" ht="15">
      <c r="A112" s="1">
        <v>52</v>
      </c>
      <c r="B112" s="59" t="s">
        <v>149</v>
      </c>
      <c r="C112" s="186" t="s">
        <v>456</v>
      </c>
      <c r="D112" s="196">
        <v>383.20800000000003</v>
      </c>
    </row>
    <row r="113" spans="1:4" ht="15">
      <c r="A113" s="1"/>
      <c r="B113" s="59"/>
      <c r="C113" s="186"/>
      <c r="D113" s="196"/>
    </row>
    <row r="114" spans="1:4" ht="15">
      <c r="A114" s="1">
        <v>53</v>
      </c>
      <c r="B114" s="60" t="s">
        <v>32</v>
      </c>
      <c r="C114" s="186" t="s">
        <v>466</v>
      </c>
      <c r="D114" s="196">
        <v>380</v>
      </c>
    </row>
    <row r="115" spans="1:4" ht="15">
      <c r="A115" s="1"/>
      <c r="B115" s="59"/>
      <c r="C115" s="186"/>
      <c r="D115" s="196"/>
    </row>
    <row r="116" spans="1:4" ht="15">
      <c r="A116" s="1">
        <v>54</v>
      </c>
      <c r="B116" s="59" t="s">
        <v>51</v>
      </c>
      <c r="C116" s="186" t="s">
        <v>455</v>
      </c>
      <c r="D116" s="196">
        <v>348</v>
      </c>
    </row>
    <row r="117" spans="1:4" ht="15">
      <c r="A117" s="1"/>
      <c r="B117" s="59"/>
      <c r="C117" s="186"/>
      <c r="D117" s="196"/>
    </row>
    <row r="118" spans="1:4" ht="15">
      <c r="A118" s="1">
        <v>55</v>
      </c>
      <c r="B118" s="59" t="s">
        <v>52</v>
      </c>
      <c r="C118" s="186" t="s">
        <v>455</v>
      </c>
      <c r="D118" s="196">
        <v>377.78399999999999</v>
      </c>
    </row>
    <row r="119" spans="1:4" ht="15">
      <c r="A119" s="1"/>
      <c r="B119" s="59"/>
      <c r="C119" s="186"/>
      <c r="D119" s="196"/>
    </row>
    <row r="120" spans="1:4" ht="15">
      <c r="A120" s="1">
        <v>56</v>
      </c>
      <c r="B120" s="60" t="s">
        <v>33</v>
      </c>
      <c r="C120" s="186" t="s">
        <v>454</v>
      </c>
      <c r="D120" s="196">
        <v>410</v>
      </c>
    </row>
    <row r="121" spans="1:4" ht="15">
      <c r="A121" s="1"/>
      <c r="B121" s="59"/>
      <c r="C121" s="186"/>
      <c r="D121" s="196"/>
    </row>
    <row r="122" spans="1:4" ht="15">
      <c r="A122" s="1">
        <v>57</v>
      </c>
      <c r="B122" s="59" t="s">
        <v>150</v>
      </c>
      <c r="C122" s="186" t="s">
        <v>455</v>
      </c>
      <c r="D122" s="196">
        <v>380</v>
      </c>
    </row>
    <row r="123" spans="1:4" ht="15">
      <c r="A123" s="1"/>
      <c r="B123" s="59"/>
      <c r="C123" s="186"/>
      <c r="D123" s="196"/>
    </row>
    <row r="124" spans="1:4" ht="15">
      <c r="A124" s="1">
        <v>58</v>
      </c>
      <c r="B124" s="59" t="s">
        <v>151</v>
      </c>
      <c r="C124" s="186" t="s">
        <v>455</v>
      </c>
      <c r="D124" s="196">
        <v>325</v>
      </c>
    </row>
    <row r="125" spans="1:4" ht="15">
      <c r="A125" s="1"/>
      <c r="B125" s="59"/>
      <c r="C125" s="186"/>
      <c r="D125" s="196"/>
    </row>
    <row r="126" spans="1:4" ht="15">
      <c r="A126" s="1">
        <v>59</v>
      </c>
      <c r="B126" s="59" t="s">
        <v>152</v>
      </c>
      <c r="C126" s="186" t="s">
        <v>457</v>
      </c>
      <c r="D126" s="196">
        <v>329.8</v>
      </c>
    </row>
    <row r="127" spans="1:4" ht="15">
      <c r="A127" s="1"/>
      <c r="B127" s="59"/>
      <c r="C127" s="186"/>
      <c r="D127" s="196"/>
    </row>
    <row r="128" spans="1:4" ht="15">
      <c r="A128" s="1">
        <v>60</v>
      </c>
      <c r="B128" s="60" t="s">
        <v>34</v>
      </c>
      <c r="C128" s="186" t="s">
        <v>467</v>
      </c>
      <c r="D128" s="196">
        <v>385</v>
      </c>
    </row>
    <row r="129" spans="1:4" ht="15">
      <c r="A129" s="1"/>
      <c r="B129" s="59"/>
      <c r="C129" s="186"/>
      <c r="D129" s="196"/>
    </row>
    <row r="130" spans="1:4" ht="15">
      <c r="A130" s="1">
        <v>61</v>
      </c>
      <c r="B130" s="59" t="s">
        <v>153</v>
      </c>
      <c r="C130" s="186" t="s">
        <v>455</v>
      </c>
      <c r="D130" s="196">
        <v>312.55799999999999</v>
      </c>
    </row>
    <row r="131" spans="1:4" ht="15">
      <c r="A131" s="1"/>
      <c r="B131" s="59"/>
      <c r="C131" s="186"/>
      <c r="D131" s="196"/>
    </row>
    <row r="132" spans="1:4" ht="15">
      <c r="A132" s="1">
        <v>62</v>
      </c>
      <c r="B132" s="60" t="s">
        <v>35</v>
      </c>
      <c r="C132" s="186" t="s">
        <v>468</v>
      </c>
      <c r="D132" s="197">
        <v>242</v>
      </c>
    </row>
    <row r="133" spans="1:4" ht="15">
      <c r="A133" s="1"/>
      <c r="B133" s="59"/>
      <c r="C133" s="186"/>
      <c r="D133" s="197"/>
    </row>
    <row r="134" spans="1:4" ht="15">
      <c r="A134" s="1">
        <v>63</v>
      </c>
      <c r="B134" s="59" t="s">
        <v>4</v>
      </c>
      <c r="C134" s="186" t="s">
        <v>463</v>
      </c>
      <c r="D134" s="197">
        <v>464</v>
      </c>
    </row>
    <row r="135" spans="1:4" ht="15">
      <c r="A135" s="1"/>
      <c r="B135" s="59"/>
      <c r="C135" s="186"/>
      <c r="D135" s="197"/>
    </row>
    <row r="136" spans="1:4" ht="15">
      <c r="A136" s="1">
        <v>64</v>
      </c>
      <c r="B136" s="59" t="s">
        <v>5</v>
      </c>
      <c r="C136" s="187" t="s">
        <v>455</v>
      </c>
      <c r="D136" s="197">
        <v>391</v>
      </c>
    </row>
    <row r="137" spans="1:4" ht="15">
      <c r="A137" s="1"/>
      <c r="B137" s="59"/>
      <c r="C137" s="186"/>
      <c r="D137" s="197"/>
    </row>
    <row r="138" spans="1:4" ht="15">
      <c r="A138" s="1">
        <v>65</v>
      </c>
      <c r="B138" s="59" t="s">
        <v>154</v>
      </c>
      <c r="C138" s="186" t="s">
        <v>465</v>
      </c>
      <c r="D138" s="197">
        <v>417.51799999999997</v>
      </c>
    </row>
    <row r="139" spans="1:4" ht="15">
      <c r="A139" s="1"/>
      <c r="B139" s="59"/>
      <c r="C139" s="186"/>
      <c r="D139" s="195"/>
    </row>
    <row r="140" spans="1:4" ht="15">
      <c r="A140" s="1">
        <v>66</v>
      </c>
      <c r="B140" s="60" t="s">
        <v>36</v>
      </c>
      <c r="C140" s="188" t="s">
        <v>454</v>
      </c>
      <c r="D140" s="281">
        <v>315</v>
      </c>
    </row>
    <row r="141" spans="1:4">
      <c r="A141" s="1"/>
      <c r="B141" s="59"/>
      <c r="C141" s="59"/>
      <c r="D141" s="281"/>
    </row>
    <row r="142" spans="1:4" ht="15">
      <c r="A142" s="1">
        <v>67</v>
      </c>
      <c r="B142" s="59" t="s">
        <v>6</v>
      </c>
      <c r="C142" s="186" t="s">
        <v>457</v>
      </c>
      <c r="D142" s="281">
        <v>375</v>
      </c>
    </row>
    <row r="143" spans="1:4" ht="15">
      <c r="A143" s="1"/>
      <c r="B143" s="59"/>
      <c r="C143" s="186"/>
      <c r="D143" s="281"/>
    </row>
    <row r="144" spans="1:4" ht="15">
      <c r="A144" s="1">
        <v>68</v>
      </c>
      <c r="B144" s="59" t="s">
        <v>37</v>
      </c>
      <c r="C144" s="186" t="s">
        <v>455</v>
      </c>
      <c r="D144" s="281">
        <v>416</v>
      </c>
    </row>
    <row r="145" spans="1:4" ht="15">
      <c r="A145" s="1"/>
      <c r="B145" s="59"/>
      <c r="C145" s="186"/>
      <c r="D145" s="281"/>
    </row>
    <row r="146" spans="1:4" ht="15">
      <c r="A146" s="1">
        <v>69</v>
      </c>
      <c r="B146" s="59" t="s">
        <v>155</v>
      </c>
      <c r="C146" s="186" t="s">
        <v>455</v>
      </c>
      <c r="D146" s="281">
        <v>422</v>
      </c>
    </row>
    <row r="147" spans="1:4" ht="15">
      <c r="A147" s="1"/>
      <c r="B147" s="59"/>
      <c r="C147" s="186"/>
      <c r="D147" s="281"/>
    </row>
    <row r="148" spans="1:4" ht="15">
      <c r="A148" s="1">
        <v>70</v>
      </c>
      <c r="B148" s="59" t="s">
        <v>156</v>
      </c>
      <c r="C148" s="186" t="s">
        <v>455</v>
      </c>
      <c r="D148" s="281">
        <v>388</v>
      </c>
    </row>
    <row r="149" spans="1:4" ht="15">
      <c r="A149" s="1"/>
      <c r="B149" s="59"/>
      <c r="C149" s="186"/>
      <c r="D149" s="281"/>
    </row>
    <row r="150" spans="1:4" ht="15">
      <c r="A150" s="1">
        <v>71</v>
      </c>
      <c r="B150" s="59" t="s">
        <v>157</v>
      </c>
      <c r="C150" s="186" t="s">
        <v>465</v>
      </c>
      <c r="D150" s="281">
        <v>409</v>
      </c>
    </row>
    <row r="151" spans="1:4" ht="15">
      <c r="A151" s="1"/>
      <c r="B151" s="59"/>
      <c r="C151" s="186"/>
      <c r="D151" s="281"/>
    </row>
    <row r="152" spans="1:4" ht="15">
      <c r="A152" s="1">
        <v>72</v>
      </c>
      <c r="B152" s="59" t="s">
        <v>158</v>
      </c>
      <c r="C152" s="186" t="s">
        <v>455</v>
      </c>
      <c r="D152" s="281">
        <v>420</v>
      </c>
    </row>
    <row r="153" spans="1:4" ht="15">
      <c r="A153" s="1"/>
      <c r="B153" s="59"/>
      <c r="C153" s="186"/>
      <c r="D153" s="281"/>
    </row>
    <row r="154" spans="1:4" ht="15">
      <c r="A154" s="1">
        <v>73</v>
      </c>
      <c r="B154" s="59" t="s">
        <v>159</v>
      </c>
      <c r="C154" s="186" t="s">
        <v>454</v>
      </c>
      <c r="D154" s="281">
        <v>399</v>
      </c>
    </row>
    <row r="155" spans="1:4" ht="15">
      <c r="A155" s="1"/>
      <c r="B155" s="59"/>
      <c r="C155" s="186"/>
      <c r="D155" s="281"/>
    </row>
    <row r="156" spans="1:4" ht="15">
      <c r="A156" s="1">
        <v>74</v>
      </c>
      <c r="B156" s="59" t="s">
        <v>160</v>
      </c>
      <c r="C156" s="186" t="s">
        <v>456</v>
      </c>
      <c r="D156" s="281">
        <v>381</v>
      </c>
    </row>
    <row r="157" spans="1:4" ht="15">
      <c r="A157" s="1"/>
      <c r="B157" s="59"/>
      <c r="C157" s="186"/>
      <c r="D157" s="281"/>
    </row>
    <row r="158" spans="1:4" ht="15">
      <c r="A158" s="1">
        <v>75</v>
      </c>
      <c r="B158" s="59" t="s">
        <v>161</v>
      </c>
      <c r="C158" s="186" t="s">
        <v>455</v>
      </c>
      <c r="D158" s="281">
        <v>382</v>
      </c>
    </row>
    <row r="159" spans="1:4" ht="15">
      <c r="A159" s="1"/>
      <c r="B159" s="59"/>
      <c r="C159" s="186"/>
      <c r="D159" s="281"/>
    </row>
    <row r="160" spans="1:4" ht="15">
      <c r="A160" s="1">
        <v>76</v>
      </c>
      <c r="B160" s="59" t="s">
        <v>162</v>
      </c>
      <c r="C160" s="186" t="s">
        <v>455</v>
      </c>
      <c r="D160" s="281">
        <v>391</v>
      </c>
    </row>
    <row r="161" spans="1:4" ht="15">
      <c r="A161" s="1"/>
      <c r="B161" s="59"/>
      <c r="C161" s="186"/>
      <c r="D161" s="281"/>
    </row>
    <row r="162" spans="1:4" ht="15">
      <c r="A162" s="1">
        <v>77</v>
      </c>
      <c r="B162" s="59" t="s">
        <v>163</v>
      </c>
      <c r="C162" s="186" t="s">
        <v>508</v>
      </c>
      <c r="D162" s="281">
        <v>433</v>
      </c>
    </row>
    <row r="163" spans="1:4" ht="15">
      <c r="A163" s="1"/>
      <c r="B163" s="59"/>
      <c r="C163" s="186"/>
      <c r="D163" s="281"/>
    </row>
    <row r="164" spans="1:4" ht="15">
      <c r="A164" s="1">
        <v>78</v>
      </c>
      <c r="B164" s="59" t="s">
        <v>164</v>
      </c>
      <c r="C164" s="186" t="s">
        <v>455</v>
      </c>
      <c r="D164" s="281">
        <v>415</v>
      </c>
    </row>
    <row r="165" spans="1:4" ht="15">
      <c r="A165" s="1"/>
      <c r="B165" s="59"/>
      <c r="C165" s="186"/>
      <c r="D165" s="281"/>
    </row>
    <row r="166" spans="1:4" ht="15">
      <c r="A166" s="1">
        <v>79</v>
      </c>
      <c r="B166" s="59" t="s">
        <v>165</v>
      </c>
      <c r="C166" s="186" t="s">
        <v>455</v>
      </c>
      <c r="D166" s="281">
        <v>430</v>
      </c>
    </row>
    <row r="167" spans="1:4" ht="15">
      <c r="A167" s="1"/>
      <c r="B167" s="59"/>
      <c r="C167" s="186"/>
      <c r="D167" s="281"/>
    </row>
    <row r="168" spans="1:4" ht="15">
      <c r="A168" s="1">
        <v>80</v>
      </c>
      <c r="B168" s="59" t="s">
        <v>166</v>
      </c>
      <c r="C168" s="186" t="s">
        <v>455</v>
      </c>
      <c r="D168" s="281">
        <v>314</v>
      </c>
    </row>
    <row r="169" spans="1:4" ht="15">
      <c r="A169" s="1"/>
      <c r="B169" s="59"/>
      <c r="C169" s="186"/>
      <c r="D169" s="281"/>
    </row>
    <row r="170" spans="1:4" ht="15">
      <c r="A170" s="1">
        <v>81</v>
      </c>
      <c r="B170" s="59" t="s">
        <v>167</v>
      </c>
      <c r="C170" s="186" t="s">
        <v>458</v>
      </c>
      <c r="D170" s="281">
        <v>402.24900000000002</v>
      </c>
    </row>
    <row r="171" spans="1:4" ht="15">
      <c r="A171" s="1"/>
      <c r="B171" s="59"/>
      <c r="C171" s="186"/>
      <c r="D171" s="278"/>
    </row>
    <row r="172" spans="1:4" ht="15">
      <c r="A172" s="1">
        <v>82</v>
      </c>
      <c r="B172" s="60" t="s">
        <v>38</v>
      </c>
      <c r="C172" s="186" t="s">
        <v>469</v>
      </c>
      <c r="D172" s="278">
        <v>400</v>
      </c>
    </row>
    <row r="173" spans="1:4">
      <c r="A173" s="6"/>
      <c r="B173" s="59"/>
      <c r="C173" s="59"/>
      <c r="D173" s="198"/>
    </row>
    <row r="174" spans="1:4">
      <c r="A174" s="6">
        <f>A172+1</f>
        <v>83</v>
      </c>
      <c r="B174" s="59" t="s">
        <v>168</v>
      </c>
      <c r="C174" s="59" t="s">
        <v>456</v>
      </c>
      <c r="D174" s="198">
        <v>435</v>
      </c>
    </row>
    <row r="175" spans="1:4">
      <c r="A175" s="6"/>
      <c r="B175" s="59"/>
      <c r="C175" s="59"/>
      <c r="D175" s="198"/>
    </row>
    <row r="176" spans="1:4">
      <c r="A176" s="6">
        <f>A174+1</f>
        <v>84</v>
      </c>
      <c r="B176" s="60" t="s">
        <v>39</v>
      </c>
      <c r="C176" s="60" t="s">
        <v>468</v>
      </c>
      <c r="D176" s="198">
        <v>345</v>
      </c>
    </row>
    <row r="177" spans="1:18" ht="15">
      <c r="A177" s="6"/>
      <c r="B177" s="59"/>
      <c r="C177" s="59"/>
      <c r="D177" s="19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8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8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8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8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8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8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8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8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8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466</v>
      </c>
      <c r="D188" s="197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197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197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197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197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197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197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197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197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197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197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197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197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197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197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197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197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197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197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197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197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197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197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197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197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197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197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197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197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197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197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197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197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197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197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197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197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19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1" t="s">
        <v>454</v>
      </c>
      <c r="D226" s="280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0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280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280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280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280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460</v>
      </c>
      <c r="D232" s="280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19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348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348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348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348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348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348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348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348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348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348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348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348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348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348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348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348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348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348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348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348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348">
        <v>357</v>
      </c>
    </row>
    <row r="255" spans="1:18" ht="15">
      <c r="A255" s="356"/>
      <c r="B255" s="199"/>
      <c r="C255" s="199"/>
      <c r="D255" s="348"/>
    </row>
    <row r="256" spans="1:18" ht="15">
      <c r="A256" s="356">
        <f>A254+1</f>
        <v>124</v>
      </c>
      <c r="B256" s="355" t="s">
        <v>561</v>
      </c>
      <c r="C256" s="199" t="s">
        <v>508</v>
      </c>
      <c r="D256" s="348">
        <v>402.19900000000001</v>
      </c>
    </row>
    <row r="257" spans="1:4" ht="15">
      <c r="A257" s="356"/>
      <c r="B257" s="199"/>
      <c r="C257" s="199"/>
      <c r="D257" s="348"/>
    </row>
    <row r="258" spans="1:4" ht="15">
      <c r="A258" s="356">
        <f>A256+1</f>
        <v>125</v>
      </c>
      <c r="B258" s="60" t="s">
        <v>567</v>
      </c>
      <c r="C258" s="199" t="s">
        <v>471</v>
      </c>
      <c r="D258" s="348">
        <v>419</v>
      </c>
    </row>
    <row r="259" spans="1:4">
      <c r="A259" s="356"/>
      <c r="B259" s="357"/>
      <c r="C259" s="357"/>
      <c r="D259" s="357"/>
    </row>
    <row r="260" spans="1:4" ht="18">
      <c r="A260" s="356">
        <f>A258+1</f>
        <v>126</v>
      </c>
      <c r="B260" s="60" t="s">
        <v>568</v>
      </c>
      <c r="C260" s="358" t="s">
        <v>511</v>
      </c>
      <c r="D260" s="348">
        <v>231</v>
      </c>
    </row>
    <row r="261" spans="1:4" ht="18">
      <c r="A261" s="356"/>
      <c r="B261" s="359"/>
      <c r="C261" s="360"/>
      <c r="D261" s="357"/>
    </row>
    <row r="262" spans="1:4" ht="18">
      <c r="A262" s="356">
        <f>A260+1</f>
        <v>127</v>
      </c>
      <c r="B262" s="60" t="s">
        <v>569</v>
      </c>
      <c r="C262" s="358" t="s">
        <v>511</v>
      </c>
      <c r="D262" s="348">
        <v>103</v>
      </c>
    </row>
    <row r="263" spans="1:4">
      <c r="D263" s="194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7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MASTER SHEET</vt:lpstr>
      <vt:lpstr>Progress</vt:lpstr>
      <vt:lpstr>Erection Compiled</vt:lpstr>
      <vt:lpstr>Visual Chart</vt:lpstr>
      <vt:lpstr>ROW TRACKER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2025-11-23T04:38:43Z</cp:lastPrinted>
  <dcterms:created xsi:type="dcterms:W3CDTF">2016-07-05T06:15:08Z</dcterms:created>
  <dcterms:modified xsi:type="dcterms:W3CDTF">2026-01-20T17:20:44Z</dcterms:modified>
</cp:coreProperties>
</file>