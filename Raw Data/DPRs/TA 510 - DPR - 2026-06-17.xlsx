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292" documentId="13_ncr:1_{EAA42420-70FF-4907-BF64-0EDFC7732395}" xr6:coauthVersionLast="47" xr6:coauthVersionMax="47" xr10:uidLastSave="{82CEF29C-5D26-4BCC-8CC8-7CB618B2C047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FDN!$A$1:$M$270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P2" i="70" l="1"/>
  <c r="E96" i="30"/>
  <c r="G39" i="38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<sst xmlns="http://schemas.openxmlformats.org/spreadsheetml/2006/main" count="5471" uniqueCount="1122">
  <si>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</si>
  <si>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</si>
  <si>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</si>
  <si>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</si>
  <si>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</si>
  <si>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</si>
  <si>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</si>
  <si>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</si>
  <si>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</si>
  <si>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</si>
  <si>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</si>
  <si>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</si>
  <si>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</si>
  <si>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</si>
  <si>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</si>
  <si>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</si>
  <si>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</si>
  <si>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</si>
  <si>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</si>
  <si>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</si>
  <si>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</si>
  <si>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</si>
  <si>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</si>
  <si>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</si>
  <si>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</si>
  <si>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</si>
  <si>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</si>
  <si>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</si>
  <si>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</si>
  <si>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</si>
  <si>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</si>
  <si>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</si>
  <si>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</si>
  <si>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</si>
  <si>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</si>
  <si>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</si>
  <si>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</si>
  <si>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</si>
  <si>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</si>
  <si>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</si>
  <si>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</si>
  <si>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</si>
  <si>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</si>
  <si>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</si>
  <si>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</si>
  <si>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</si>
  <si>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</si>
  <si>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</si>
  <si>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</si>
  <si>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</si>
  <si>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</si>
  <si>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</si>
  <si>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</si>
  <si>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</si>
  <si>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</si>
  <si>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</si>
  <si>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</si>
  <si>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</si>
  <si>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</si>
  <si>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</si>
  <si>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</si>
  <si>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</si>
  <si>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</si>
  <si>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</si>
  <si>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</si>
  <si>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</si>
  <si>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</si>
  <si>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</si>
  <si>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</si>
  <si>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</si>
  <si>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</si>
  <si>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</si>
  <si>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</si>
  <si>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</si>
  <si>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</si>
  <si>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</si>
  <si>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</si>
  <si>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</si>
  <si>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</si>
  <si>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</si>
  <si>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</si>
  <si>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</si>
  <si>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</si>
  <si>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</si>
  <si>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</si>
  <si>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</si>
  <si>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</si>
  <si>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</si>
  <si>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</si>
  <si>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</si>
  <si>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</si>
  <si>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</si>
  <si>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</si>
  <si>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</si>
  <si>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</si>
  <si>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</si>
  <si>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</si>
  <si>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</si>
  <si>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</si>
  <si>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</si>
  <si>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</si>
  <si>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</si>
  <si>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</si>
  <si>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</si>
  <si>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</si>
  <si>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</si>
  <si>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</si>
  <si>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</si>
  <si>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</si>
  <si>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</si>
  <si>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</si>
  <si>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</si>
  <si>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</si>
  <si>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</si>
  <si>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</si>
  <si>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</si>
  <si>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</si>
  <si>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</si>
  <si>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</si>
  <si>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</si>
  <si>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</si>
  <si>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</si>
  <si>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</si>
  <si>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</si>
  <si>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</si>
  <si>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</si>
  <si>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</si>
  <si>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</si>
  <si>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</si>
  <si>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</si>
  <si>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</si>
  <si>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</si>
  <si>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</si>
  <si>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</si>
  <si>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</si>
  <si>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</si>
  <si>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</si>
  <si>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</si>
  <si>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</si>
  <si>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</si>
  <si>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</si>
  <si>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</si>
  <si>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</si>
  <si>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</si>
  <si>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</si>
  <si>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</si>
  <si>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</si>
  <si>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</si>
  <si>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</si>
  <si>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</si>
  <si>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</si>
  <si>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</si>
  <si>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</si>
  <si>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</si>
  <si>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</si>
  <si>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</si>
  <si>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</si>
  <si>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</si>
  <si>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</si>
  <si>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</si>
  <si>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</si>
  <si>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</si>
  <si>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</si>
  <si>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</si>
  <si>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</si>
  <si>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</si>
  <si>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</si>
  <si>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</si>
  <si>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</si>
  <si>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</si>
  <si>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</si>
  <si>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</si>
  <si>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</si>
  <si>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</si>
  <si>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</si>
  <si>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</si>
  <si>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</si>
  <si>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</si>
  <si>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</si>
  <si>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</si>
  <si>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</si>
  <si>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</si>
  <si>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</si>
  <si>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</si>
  <si>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</si>
  <si>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</si>
  <si>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</si>
  <si>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</si>
  <si>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</si>
  <si>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</si>
  <si>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</si>
  <si>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</si>
  <si>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</si>
  <si>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</si>
  <si>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</si>
  <si>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</si>
  <si>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</si>
  <si>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</si>
  <si>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</si>
  <si>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</si>
  <si>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</si>
  <si>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</si>
  <si>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</si>
  <si>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</si>
  <si>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</si>
  <si>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</si>
  <si>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</si>
  <si>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</si>
  <si>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</si>
  <si>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</si>
  <si>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</si>
  <si>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</si>
  <si>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</si>
  <si>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</si>
  <si>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</si>
  <si>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</si>
  <si>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</si>
  <si>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</si>
  <si>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</si>
  <si>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</si>
  <si>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</si>
  <si>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</si>
  <si>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</si>
  <si>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</si>
  <si>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</si>
  <si>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</si>
  <si>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</si>
  <si>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</si>
  <si>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</si>
  <si>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</si>
  <si>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</si>
  <si>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</si>
  <si>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</si>
  <si>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</si>
  <si>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</si>
  <si>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</si>
  <si>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</si>
  <si>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</si>
  <si>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</si>
  <si>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</si>
  <si>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</si>
  <si>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</si>
  <si>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</si>
  <si>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</si>
  <si>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</si>
  <si>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</si>
  <si>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</si>
  <si>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</si>
  <si>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</si>
  <si>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</si>
  <si>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</si>
  <si>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</si>
  <si>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</si>
  <si>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</si>
  <si>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</si>
  <si>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</si>
  <si>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</si>
  <si>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</si>
  <si>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</si>
  <si>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</si>
  <si>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</si>
  <si>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</si>
  <si>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</si>
  <si>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</si>
  <si>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</si>
  <si>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</si>
  <si>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</si>
  <si>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</si>
  <si>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</si>
  <si>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</si>
  <si>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</si>
  <si>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</si>
  <si>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</si>
  <si>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</si>
  <si>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</si>
  <si>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</si>
  <si>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</si>
  <si>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</si>
  <si>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</si>
  <si>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</si>
  <si>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</si>
  <si>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</si>
  <si>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</si>
  <si>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</si>
  <si>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</si>
  <si>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</si>
  <si>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</si>
  <si>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</si>
  <si>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</si>
  <si>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</si>
  <si>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</si>
  <si>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</si>
  <si>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</si>
  <si>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</si>
  <si>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</si>
  <si>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</si>
  <si>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</si>
  <si>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</si>
  <si>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</si>
  <si>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</si>
  <si>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</si>
  <si>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</si>
  <si>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</si>
  <si>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</si>
  <si>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</si>
  <si>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</si>
  <si>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</si>
  <si>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</si>
  <si>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</si>
  <si>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</si>
  <si>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</si>
  <si>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</si>
  <si>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</si>
  <si>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</si>
  <si>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</si>
  <si>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</si>
  <si>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</si>
  <si>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</si>
  <si>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</si>
  <si>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</si>
  <si>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</si>
  <si>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</si>
  <si>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</si>
  <si>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</si>
  <si>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</si>
  <si>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</si>
  <si>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</si>
  <si>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</si>
  <si>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</si>
  <si>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</si>
  <si>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</si>
  <si>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</si>
  <si>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</si>
  <si>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</si>
  <si>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</si>
  <si>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</si>
  <si>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</si>
  <si>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</si>
  <si>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</si>
  <si>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</si>
  <si>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</si>
  <si>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</si>
  <si>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</si>
  <si>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</si>
  <si>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</si>
  <si>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</si>
  <si>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</si>
  <si>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</si>
  <si>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</si>
  <si>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</si>
  <si>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</si>
  <si>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</si>
  <si>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</si>
  <si>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</si>
  <si>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</si>
  <si>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</si>
  <si>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</si>
  <si>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</si>
  <si>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</si>
  <si>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</si>
  <si>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</si>
  <si>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</si>
  <si>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</si>
  <si>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</si>
  <si>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</si>
  <si>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</si>
  <si>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</si>
  <si>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</si>
  <si>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</si>
  <si>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</si>
  <si>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</si>
  <si>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</si>
  <si>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</si>
  <si>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</si>
  <si>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</si>
  <si>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</si>
  <si>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</si>
  <si>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</si>
  <si>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</si>
  <si>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</si>
  <si>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</si>
  <si>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</si>
  <si>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</si>
  <si>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</si>
  <si>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</si>
  <si>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</si>
  <si>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</si>
  <si>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</si>
  <si>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</si>
  <si>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</si>
  <si>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</si>
  <si>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</si>
  <si>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</si>
  <si>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</si>
  <si>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</si>
  <si>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</si>
  <si>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</si>
  <si>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</si>
  <si>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</si>
  <si>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</si>
  <si>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</si>
  <si>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</si>
  <si>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</si>
  <si>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</si>
  <si>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</si>
  <si>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</si>
  <si>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</si>
  <si>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</si>
  <si>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</si>
  <si>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</si>
  <si>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</si>
  <si>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</si>
  <si>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</si>
  <si>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</si>
  <si>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</si>
  <si>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</si>
  <si>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</si>
  <si>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</si>
  <si>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</si>
  <si>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</si>
  <si>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</si>
  <si>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</si>
  <si>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</si>
  <si>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</si>
  <si>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</si>
  <si>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</si>
  <si>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</si>
  <si>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</si>
  <si>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</si>
  <si>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</si>
  <si>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</si>
  <si>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</si>
  <si>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</si>
  <si>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</si>
  <si>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</si>
  <si>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</si>
  <si>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</si>
  <si>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</si>
  <si>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</si>
  <si>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</si>
  <si>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</si>
  <si>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</si>
  <si>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</si>
  <si>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</si>
  <si>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</si>
  <si>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</si>
  <si>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</si>
  <si>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</si>
  <si>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</si>
  <si>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</si>
  <si>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</si>
  <si>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</si>
  <si>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</si>
  <si>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</si>
  <si>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</si>
  <si>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</si>
  <si>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</si>
  <si>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</si>
  <si>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</si>
  <si>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</si>
  <si>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</si>
  <si>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</si>
  <si>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</si>
  <si>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</si>
  <si>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</si>
  <si>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</si>
  <si>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</si>
  <si>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</si>
  <si>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</si>
  <si>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</si>
  <si>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</si>
  <si>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</si>
  <si>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</si>
  <si>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</si>
  <si>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</si>
  <si>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</si>
  <si>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</si>
  <si>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</si>
  <si>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</si>
  <si>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</si>
  <si>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</si>
  <si>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</si>
  <si>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</si>
  <si>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</si>
  <si>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</si>
  <si>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</si>
  <si>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</si>
  <si>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</si>
  <si>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</si>
  <si>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</si>
  <si>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</si>
  <si>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</si>
  <si>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</si>
  <si>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</si>
  <si>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</si>
  <si>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</si>
  <si>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</si>
  <si>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</si>
  <si>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</si>
  <si>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</si>
  <si>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</si>
  <si>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</si>
  <si>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</si>
  <si>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</si>
  <si>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</si>
  <si>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</si>
  <si>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</si>
  <si>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</si>
  <si>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</si>
  <si>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</si>
  <si>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</si>
  <si>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</si>
  <si>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</si>
  <si>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</si>
  <si>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</si>
  <si>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</si>
  <si>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</si>
  <si>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</si>
  <si>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</si>
  <si>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</si>
  <si>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</si>
  <si>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</si>
  <si>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</si>
  <si>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</si>
  <si>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</si>
  <si>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</si>
  <si>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</si>
  <si>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</si>
  <si>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</si>
  <si>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</si>
  <si>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</si>
  <si>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</si>
  <si>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</si>
  <si>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</si>
  <si>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</si>
  <si>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</si>
  <si>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</si>
  <si>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</si>
  <si>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</si>
  <si>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</si>
  <si>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</si>
  <si>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</si>
  <si>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</si>
  <si>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</si>
  <si>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</si>
  <si>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</si>
  <si>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</si>
  <si>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</si>
  <si>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</si>
  <si>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</si>
  <si>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</si>
  <si>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</si>
  <si>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</si>
  <si>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</si>
  <si>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</si>
  <si>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</si>
  <si>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</si>
  <si>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</si>
  <si>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</si>
  <si>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</si>
  <si>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</si>
  <si>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</si>
  <si>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</si>
  <si>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</si>
  <si>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</si>
  <si>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</si>
  <si>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</si>
  <si>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</si>
  <si>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</si>
  <si>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</si>
  <si>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</si>
  <si>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</si>
  <si>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</si>
  <si>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</si>
  <si>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</si>
  <si>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</si>
  <si>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</si>
  <si>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</si>
  <si>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</si>
  <si>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</si>
  <si>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</si>
  <si>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</si>
  <si>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</si>
  <si>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</si>
  <si>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</si>
  <si>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</si>
  <si>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</si>
  <si>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</si>
  <si>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</si>
  <si>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</si>
  <si>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</si>
  <si>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</si>
  <si>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</si>
  <si>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</si>
  <si>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</si>
  <si>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</si>
  <si>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</si>
  <si>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</si>
  <si>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</si>
  <si>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</si>
  <si>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</si>
  <si>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</si>
  <si>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</si>
  <si>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</si>
  <si>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</si>
  <si>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</si>
  <si>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</si>
  <si>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</si>
  <si>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</si>
  <si>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</si>
  <si>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</si>
  <si>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</si>
  <si>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</si>
  <si>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</si>
  <si>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</si>
  <si>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</si>
  <si>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</si>
  <si>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</si>
  <si>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</si>
  <si>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</si>
  <si>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</si>
  <si>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</si>
  <si>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</si>
  <si>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</si>
  <si>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</si>
  <si>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</si>
  <si>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</si>
  <si>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</si>
  <si>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</si>
  <si>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</si>
  <si>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</si>
  <si>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</si>
  <si>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</si>
  <si>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</si>
  <si>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</si>
  <si>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</si>
  <si>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</si>
  <si>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</si>
  <si>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</si>
  <si>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</si>
  <si>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</si>
  <si>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</si>
  <si>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</si>
  <si>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</si>
  <si>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</si>
  <si>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</si>
  <si>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</si>
  <si>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</si>
  <si>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</si>
  <si>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</si>
  <si>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</si>
  <si>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</si>
  <si>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</si>
  <si>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</si>
  <si>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</si>
  <si>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</si>
  <si>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</si>
  <si>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</si>
  <si>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</si>
  <si>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</si>
  <si>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</si>
  <si>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</si>
  <si>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</si>
  <si>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</si>
  <si>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</si>
  <si>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</si>
  <si>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</si>
  <si>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</si>
  <si>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</si>
  <si>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</si>
  <si>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</si>
  <si>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</si>
  <si>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</si>
  <si>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</si>
  <si>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</si>
  <si>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</si>
  <si>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</si>
  <si>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</si>
  <si>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</si>
  <si>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</si>
  <si>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</si>
  <si>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</si>
  <si>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</si>
  <si>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</si>
  <si>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</si>
  <si>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</si>
  <si>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</si>
  <si>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</si>
  <si>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</si>
  <si>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</si>
  <si>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</si>
  <si>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</si>
  <si>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</si>
  <si>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</si>
  <si>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</si>
  <si>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</si>
  <si>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</si>
  <si>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</si>
  <si>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</si>
  <si>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</si>
  <si>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</si>
  <si>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</si>
  <si>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</si>
  <si>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</si>
  <si>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</si>
  <si>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</si>
  <si>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</si>
  <si>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</si>
  <si>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</si>
  <si>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</si>
  <si>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</si>
  <si>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</si>
  <si>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</si>
  <si>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</si>
  <si>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</si>
  <si>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</si>
  <si>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</si>
  <si>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</si>
  <si>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</si>
  <si>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</si>
  <si>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</si>
  <si>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</si>
  <si>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</si>
  <si>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</si>
  <si>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</si>
  <si>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</si>
  <si>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</si>
  <si>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</si>
  <si>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</si>
  <si>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</si>
  <si>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</si>
  <si>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</si>
  <si>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</si>
  <si>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</si>
  <si>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</si>
  <si>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</si>
  <si>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</si>
  <si>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</si>
  <si>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</si>
  <si>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</si>
  <si>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</si>
  <si>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</si>
  <si>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</si>
  <si>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</si>
  <si>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</si>
  <si>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</si>
  <si>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</si>
  <si>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</si>
  <si>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</si>
  <si>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</si>
  <si>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</si>
  <si>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</si>
  <si>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</si>
  <si>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</si>
  <si>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</si>
  <si>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</si>
  <si>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</si>
  <si>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</si>
  <si>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</si>
  <si>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</si>
  <si>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</si>
  <si>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</si>
  <si>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</si>
  <si>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</si>
  <si>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</si>
  <si>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</si>
  <si>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</si>
  <si>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</si>
  <si>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</si>
  <si>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</si>
  <si>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</si>
  <si>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</si>
  <si>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</si>
  <si>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</si>
  <si>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</si>
  <si>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</si>
  <si>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</si>
  <si>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</si>
  <si>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</si>
  <si>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</si>
  <si>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</si>
  <si>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</si>
  <si>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</si>
  <si>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</si>
  <si>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</si>
  <si>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</si>
  <si>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</si>
  <si>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</si>
  <si>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</si>
  <si>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</si>
  <si>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</si>
  <si>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</si>
  <si>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</si>
  <si>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</si>
  <si>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</si>
  <si>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</si>
  <si>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</si>
  <si>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</si>
  <si>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</si>
  <si>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</si>
  <si>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</si>
  <si>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</si>
  <si>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</si>
  <si>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</si>
  <si>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</si>
  <si>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</si>
  <si>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</si>
  <si>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</si>
  <si>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</si>
  <si>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</si>
  <si>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</si>
  <si>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</si>
  <si>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</si>
  <si>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</si>
  <si>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</si>
  <si>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</si>
  <si>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</si>
  <si>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</si>
  <si>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</si>
  <si>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</si>
  <si>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</si>
  <si>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</si>
  <si>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</si>
  <si>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</si>
  <si>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</si>
  <si>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</si>
  <si>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</si>
  <si>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</si>
  <si>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</si>
  <si>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</si>
  <si>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</si>
  <si>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</si>
  <si>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</si>
  <si>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</si>
  <si>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</si>
  <si>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</si>
  <si>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</si>
  <si>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</si>
  <si>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</si>
  <si>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</si>
  <si>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</si>
  <si>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</si>
  <si>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</si>
  <si>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</si>
  <si>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</si>
  <si>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</si>
  <si>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</si>
  <si>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</si>
  <si>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</si>
  <si>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</si>
  <si>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</si>
  <si>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</si>
  <si>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</si>
  <si>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</si>
  <si>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</si>
  <si>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</si>
  <si>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</si>
  <si>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</si>
  <si>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</si>
  <si>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</si>
  <si>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</si>
  <si>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</si>
  <si>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</si>
  <si>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</si>
  <si>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</si>
  <si>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</si>
  <si>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</si>
  <si>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</si>
  <si>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</si>
  <si>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</si>
  <si>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</si>
  <si>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</si>
  <si>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</si>
  <si>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</si>
  <si>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</si>
  <si>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</si>
  <si>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</si>
  <si>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</si>
  <si>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</si>
  <si>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</si>
  <si>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</si>
  <si>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</si>
  <si>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</si>
  <si>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</si>
  <si>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</si>
  <si>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</si>
  <si>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</si>
  <si>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</si>
  <si>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</si>
  <si>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</si>
  <si>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</si>
  <si>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</si>
  <si>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</si>
  <si>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</si>
  <si>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</si>
  <si>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</si>
  <si>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</si>
  <si>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</si>
  <si>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</si>
  <si>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</si>
  <si>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</si>
  <si>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</si>
  <si>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</si>
  <si>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</si>
  <si>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</si>
  <si>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</si>
  <si>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</si>
  <si>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</si>
  <si>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</si>
  <si>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</si>
  <si>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</si>
  <si>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</si>
  <si>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</si>
  <si>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</si>
  <si>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</si>
  <si>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</si>
  <si>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</si>
  <si>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</si>
  <si>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</si>
  <si>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</si>
  <si>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</si>
  <si>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</si>
  <si>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</si>
  <si>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</si>
  <si>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</si>
  <si>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</si>
  <si>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</si>
  <si>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</si>
  <si>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</si>
  <si>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</si>
  <si>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</si>
  <si>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</si>
  <si>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</si>
  <si>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</si>
  <si>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</si>
  <si>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</si>
  <si>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</si>
  <si>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</si>
  <si>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</si>
  <si>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</si>
  <si>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</si>
  <si>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</si>
  <si>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</si>
  <si>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</si>
  <si>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</si>
  <si>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</si>
  <si>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</si>
  <si>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</si>
  <si>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</si>
  <si>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</si>
  <si>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</si>
  <si>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</si>
  <si>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</si>
  <si>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</si>
  <si>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</si>
  <si>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</si>
  <si>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</si>
  <si>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</si>
  <si>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</si>
  <si>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</si>
  <si>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</si>
  <si>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</si>
  <si>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</si>
  <si>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</si>
  <si>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</si>
  <si>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</si>
  <si>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</si>
  <si>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</si>
  <si>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</si>
  <si>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</si>
  <si>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</si>
  <si>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</si>
  <si>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</si>
  <si>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</si>
  <si>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</si>
  <si>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</si>
  <si>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</si>
  <si>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</si>
  <si>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</si>
  <si>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</si>
  <si>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</si>
  <si>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</si>
  <si>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</si>
  <si>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</si>
  <si>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</si>
  <si>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</si>
  <si>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</si>
  <si>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</si>
  <si>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</si>
  <si>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</si>
  <si>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</si>
  <si>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</si>
  <si>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</si>
  <si>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</si>
  <si>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</si>
  <si>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</si>
  <si>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</si>
  <si>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</si>
  <si>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</si>
  <si>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</si>
  <si>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</si>
  <si>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</si>
  <si>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</si>
  <si>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</si>
  <si>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</si>
  <si>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</si>
  <si>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</si>
  <si>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</si>
  <si>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</si>
  <si>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</si>
  <si>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</si>
  <si>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</si>
  <si>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</si>
  <si>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</si>
  <si>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</si>
  <si>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</si>
  <si>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</si>
  <si>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</si>
  <si>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</si>
  <si>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</si>
  <si>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</si>
  <si>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</si>
  <si>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</si>
  <si>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</si>
  <si>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</si>
  <si>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</si>
  <si>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</si>
  <si>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</si>
  <si>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</si>
  <si>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</si>
  <si>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</si>
  <si>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</si>
  <si>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</si>
  <si>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</si>
  <si>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</si>
  <si>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</si>
  <si>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</si>
  <si>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</si>
  <si>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</si>
  <si>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</si>
  <si>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</si>
  <si>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</si>
  <si>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</si>
  <si>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</si>
  <si>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</si>
  <si>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</si>
  <si>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</si>
  <si>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</si>
  <si>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</si>
  <si>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</si>
  <si>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</si>
  <si>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</si>
  <si>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</si>
  <si>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</si>
  <si>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</si>
  <si>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</si>
  <si>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</si>
  <si>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</si>
  <si>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</si>
  <si>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</si>
  <si>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</si>
  <si>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</si>
  <si>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</si>
  <si>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</si>
  <si>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</si>
  <si>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</si>
  <si>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</si>
  <si>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</si>
  <si>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</si>
  <si>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</si>
  <si>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</si>
  <si>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</si>
  <si>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</si>
  <si>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</si>
  <si>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</si>
  <si>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</si>
  <si>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</si>
  <si>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</si>
  <si>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</si>
  <si>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</si>
  <si>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</si>
  <si>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</si>
  <si>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</si>
  <si>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</si>
  <si>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</si>
  <si>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</si>
  <si>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</si>
  <si>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</si>
  <si>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</si>
  <si>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</si>
  <si>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</si>
  <si>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</si>
  <si>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</si>
  <si>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</si>
  <si>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</si>
  <si>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</si>
  <si>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</si>
  <si>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</si>
  <si>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</si>
  <si>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</si>
  <si>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</si>
  <si>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</si>
  <si>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</si>
  <si>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</si>
  <si>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</si>
  <si>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</si>
  <si>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</si>
  <si>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</si>
  <si>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</si>
  <si>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</si>
  <si>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</si>
  <si>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</si>
  <si>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</si>
  <si>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</si>
  <si>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</si>
  <si>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</si>
  <si>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</si>
  <si>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</si>
  <si>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</si>
  <si>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</si>
  <si>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2Pit PCC done</t>
  </si>
  <si>
    <t>All Pit PCC work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</si>
</sst>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6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378947" y="1208401"/>
          <a:ext cx="8119991" cy="2943906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chemeClr val="accent2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009527" y="18390577"/>
          <a:ext cx="123879" cy="288683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408659" y="18390810"/>
          <a:ext cx="274320" cy="331525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544332" y="18390810"/>
          <a:ext cx="274320" cy="331525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951351" y="18390810"/>
          <a:ext cx="274320" cy="331525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087024" y="18390810"/>
          <a:ext cx="274320" cy="331525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222697" y="18390810"/>
          <a:ext cx="274320" cy="331525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358370" y="18390810"/>
          <a:ext cx="274320" cy="331525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503894" y="2824671"/>
          <a:ext cx="0" cy="290614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5021658" y="7680813"/>
          <a:ext cx="238169" cy="482161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86683" y="9735335"/>
          <a:ext cx="238169" cy="329761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94135" y="9818077"/>
          <a:ext cx="238169" cy="329760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901587" y="9818077"/>
          <a:ext cx="238169" cy="329760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909038" y="9818077"/>
          <a:ext cx="238169" cy="329760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38846" y="9818077"/>
          <a:ext cx="238169" cy="329760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61202" y="9818077"/>
          <a:ext cx="238169" cy="329760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68654" y="9818077"/>
          <a:ext cx="238169" cy="329760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76106" y="13939471"/>
          <a:ext cx="238169" cy="329761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38262" y="17566298"/>
          <a:ext cx="238169" cy="329762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931394" y="17566298"/>
          <a:ext cx="238169" cy="329762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43303" y="19342483"/>
          <a:ext cx="238169" cy="330713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46298" y="17566298"/>
          <a:ext cx="238169" cy="329762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53750" y="17566298"/>
          <a:ext cx="238169" cy="329762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61202" y="17566298"/>
          <a:ext cx="238169" cy="329762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68654" y="17566298"/>
          <a:ext cx="238169" cy="329762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78373" y="17588070"/>
          <a:ext cx="235901" cy="315610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83558" y="17566298"/>
          <a:ext cx="238169" cy="329762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923942" y="11796346"/>
          <a:ext cx="238169" cy="329761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931394" y="11796346"/>
          <a:ext cx="238169" cy="329761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38846" y="11796346"/>
          <a:ext cx="238169" cy="329761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901587" y="11796346"/>
          <a:ext cx="238169" cy="329761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83558" y="11796346"/>
          <a:ext cx="238169" cy="329760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9231" y="11796346"/>
          <a:ext cx="238169" cy="329761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9231" y="9653221"/>
          <a:ext cx="238169" cy="329760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53750" y="11796346"/>
          <a:ext cx="238169" cy="329761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930274" y="9847128"/>
          <a:ext cx="238169" cy="323092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61210" y="13928162"/>
          <a:ext cx="238169" cy="323094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83558" y="34216731"/>
          <a:ext cx="238169" cy="329760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68654" y="11759125"/>
          <a:ext cx="238169" cy="368887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901587" y="13774615"/>
          <a:ext cx="238169" cy="329761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46298" y="9760375"/>
          <a:ext cx="238169" cy="323093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976106" y="9974497"/>
          <a:ext cx="238169" cy="323092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76106" y="11832063"/>
          <a:ext cx="238169" cy="323093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38846" y="13798427"/>
          <a:ext cx="238169" cy="323093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909038" y="13869863"/>
          <a:ext cx="238169" cy="323093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94135" y="30708964"/>
          <a:ext cx="238169" cy="323092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38846" y="34252449"/>
          <a:ext cx="238169" cy="323092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76106" y="34264355"/>
          <a:ext cx="238169" cy="323092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931394" y="13810333"/>
          <a:ext cx="238169" cy="323093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909038" y="11808248"/>
          <a:ext cx="238169" cy="323093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9231" y="13822239"/>
          <a:ext cx="238169" cy="323093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916490" y="13857957"/>
          <a:ext cx="238169" cy="323093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53750" y="13834145"/>
          <a:ext cx="238169" cy="323093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61202" y="34216731"/>
          <a:ext cx="238169" cy="329760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931394" y="36242624"/>
          <a:ext cx="238169" cy="323093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55829" y="13855579"/>
          <a:ext cx="238169" cy="323093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33438" y="19331541"/>
          <a:ext cx="238169" cy="323094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920126" y="19380670"/>
          <a:ext cx="222294" cy="330714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07702" y="13826839"/>
          <a:ext cx="238169" cy="323093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77429" y="13831440"/>
          <a:ext cx="247644" cy="323093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97129" y="7680815"/>
          <a:ext cx="238169" cy="32976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95191" y="9772781"/>
          <a:ext cx="247642" cy="329761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89682" y="13932762"/>
          <a:ext cx="238169" cy="323094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92754" y="13954417"/>
          <a:ext cx="238169" cy="323093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9339" y="15722533"/>
          <a:ext cx="235432" cy="323093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05075" y="15760611"/>
          <a:ext cx="238169" cy="323092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59863" y="17537420"/>
          <a:ext cx="238169" cy="329762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73249" y="34270598"/>
          <a:ext cx="238169" cy="329760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98749" y="36280068"/>
          <a:ext cx="238169" cy="323093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58355" y="34254176"/>
          <a:ext cx="238169" cy="329760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70000" y="36333935"/>
          <a:ext cx="247644" cy="323093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74766" y="9781399"/>
          <a:ext cx="238169" cy="323093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916432" y="9801828"/>
          <a:ext cx="247643" cy="323093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93047" y="36333062"/>
          <a:ext cx="271014" cy="323093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33"/>
      <c r="B1" s="69" t="s">
        <v>0</v>
      </c>
      <c r="C1" s="70" t="s">
        <v>1</v>
      </c>
      <c r="D1" s="71" t="s">
        <v>2</v>
      </c>
      <c r="E1" s="72"/>
      <c r="F1" s="73">
        <f ca="1">TODAY()-1</f>
        <v>46189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4"/>
      <c r="B2" s="80" t="s">
        <v>5</v>
      </c>
      <c r="C2" s="636" t="s">
        <v>6</v>
      </c>
      <c r="D2" s="637"/>
      <c r="E2" s="63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4"/>
      <c r="B3" s="80" t="s">
        <v>10</v>
      </c>
      <c r="C3" s="636" t="s">
        <v>11</v>
      </c>
      <c r="D3" s="637"/>
      <c r="E3" s="63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5"/>
      <c r="B4" s="80" t="s">
        <v>15</v>
      </c>
      <c r="C4" s="639">
        <v>46153</v>
      </c>
      <c r="D4" s="639"/>
      <c r="E4" s="64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41" t="s">
        <v>20</v>
      </c>
      <c r="B5" s="641"/>
      <c r="C5" s="641"/>
      <c r="D5" s="641"/>
      <c r="E5" s="641"/>
      <c r="F5" s="641"/>
      <c r="G5" s="641"/>
      <c r="H5" s="641"/>
      <c r="I5" s="641"/>
      <c r="J5" s="641"/>
      <c r="K5" s="641"/>
      <c r="L5" s="641"/>
      <c r="M5"/>
    </row>
    <row r="6" spans="1:15" ht="28.5">
      <c r="A6" s="632" t="s">
        <v>21</v>
      </c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29" t="s">
        <v>39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29"/>
      <c r="N12" s="629"/>
      <c r="O12" s="62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0" t="s">
        <v>33</v>
      </c>
      <c r="O13" s="63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1" t="s">
        <v>53</v>
      </c>
      <c r="O14" s="63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6"/>
      <c r="O15" s="626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26"/>
      <c r="O16" s="626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26"/>
      <c r="O17" s="626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6"/>
      <c r="O18" s="626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7"/>
      <c r="O19" s="627"/>
    </row>
    <row r="20" spans="1:15" ht="24" customHeight="1">
      <c r="N20" s="628"/>
      <c r="O20" s="628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H16" sqref="H16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3"/>
      <c r="B1" s="280" t="s">
        <v>0</v>
      </c>
      <c r="C1" s="646" t="s">
        <v>59</v>
      </c>
      <c r="D1" s="646"/>
      <c r="E1" s="646"/>
      <c r="F1" s="280" t="s">
        <v>2</v>
      </c>
      <c r="G1" s="284">
        <v>46190</v>
      </c>
      <c r="H1" s="280" t="s">
        <v>3</v>
      </c>
      <c r="I1" s="285" t="s">
        <v>4</v>
      </c>
      <c r="J1" s="77"/>
      <c r="K1" s="78"/>
      <c r="L1" s="79"/>
    </row>
    <row r="2" spans="1:15" ht="21">
      <c r="A2" s="643"/>
      <c r="B2" s="280" t="s">
        <v>5</v>
      </c>
      <c r="C2" s="644" t="s">
        <v>60</v>
      </c>
      <c r="D2" s="644"/>
      <c r="E2" s="644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43"/>
      <c r="B3" s="280" t="s">
        <v>10</v>
      </c>
      <c r="C3" s="644" t="s">
        <v>61</v>
      </c>
      <c r="D3" s="644"/>
      <c r="E3" s="644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43"/>
      <c r="B4" s="280" t="s">
        <v>15</v>
      </c>
      <c r="C4" s="645"/>
      <c r="D4" s="645"/>
      <c r="E4" s="645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41"/>
      <c r="B5" s="641"/>
      <c r="C5" s="641"/>
      <c r="D5" s="641"/>
      <c r="E5" s="641"/>
      <c r="F5" s="641"/>
      <c r="G5" s="641"/>
      <c r="H5" s="641"/>
      <c r="I5" s="641"/>
      <c r="J5" s="641"/>
      <c r="K5" s="641"/>
      <c r="L5" s="641"/>
      <c r="M5"/>
    </row>
    <row r="6" spans="1:15" ht="28.5">
      <c r="A6" s="642" t="s">
        <v>65</v>
      </c>
      <c r="B6" s="642"/>
      <c r="C6" s="642"/>
      <c r="D6" s="642"/>
      <c r="E6" s="642"/>
      <c r="F6" s="642"/>
      <c r="G6" s="642"/>
      <c r="H6" s="642"/>
      <c r="I6" s="642"/>
      <c r="J6" s="642"/>
      <c r="K6" s="642"/>
      <c r="L6" s="642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102.97799999999999</v>
      </c>
      <c r="F10" s="90">
        <v>90.948999999999998</v>
      </c>
      <c r="G10" s="90">
        <v>11.336999999999989</v>
      </c>
      <c r="H10" s="90">
        <v>16.282999999999987</v>
      </c>
      <c r="I10" s="90">
        <v>0</v>
      </c>
      <c r="J10" s="282">
        <v>0</v>
      </c>
      <c r="K10" s="282">
        <v>98.031999999999996</v>
      </c>
      <c r="L10" s="283"/>
      <c r="O10" s="157"/>
    </row>
    <row r="12" spans="1:15" ht="31.5">
      <c r="A12" s="647" t="s">
        <v>39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647"/>
      <c r="O12" s="647"/>
    </row>
    <row r="13" spans="1:15" ht="93">
      <c r="A13" s="279" t="s">
        <v>22</v>
      </c>
      <c r="B13" s="279" t="s">
        <v>40</v>
      </c>
      <c r="C13" s="279" t="s">
        <v>1085</v>
      </c>
      <c r="D13" s="279" t="s">
        <v>1086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48" t="s">
        <v>33</v>
      </c>
      <c r="O13" s="648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49"/>
      <c r="O14" s="649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7</v>
      </c>
      <c r="I15" s="99">
        <v>293</v>
      </c>
      <c r="J15" s="101">
        <v>92</v>
      </c>
      <c r="K15" s="102">
        <f>B15-J15</f>
        <v>207</v>
      </c>
      <c r="L15" s="99">
        <v>3</v>
      </c>
      <c r="M15" s="99">
        <v>5</v>
      </c>
      <c r="N15" s="649" t="s">
        <v>67</v>
      </c>
      <c r="O15" s="649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49"/>
      <c r="O16" s="649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49" t="s">
        <v>67</v>
      </c>
      <c r="O17" s="649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26"/>
      <c r="O18" s="626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7"/>
      <c r="O19" s="627"/>
    </row>
    <row r="20" spans="1:15" ht="40.35" customHeight="1">
      <c r="N20" s="628"/>
      <c r="O20" s="628"/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M1" sqref="M1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50" t="s">
        <v>86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252">
        <v>46190</v>
      </c>
    </row>
    <row r="2" spans="1:15" s="215" customFormat="1">
      <c r="A2" s="241" t="s">
        <v>87</v>
      </c>
      <c r="B2" s="242"/>
      <c r="C2" s="651" t="s">
        <v>72</v>
      </c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5" s="215" customFormat="1">
      <c r="A3" s="241" t="s">
        <v>88</v>
      </c>
      <c r="B3" s="242"/>
      <c r="C3" s="651" t="s">
        <v>89</v>
      </c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15" s="215" customFormat="1">
      <c r="A4" s="243" t="s">
        <v>90</v>
      </c>
      <c r="B4" s="243"/>
      <c r="C4" s="652" t="s">
        <v>91</v>
      </c>
      <c r="D4" s="652"/>
      <c r="E4" s="652"/>
      <c r="F4" s="652"/>
      <c r="G4" s="652"/>
      <c r="H4" s="652"/>
      <c r="I4" s="652"/>
      <c r="J4" s="652"/>
      <c r="K4" s="652"/>
      <c r="L4" s="652"/>
      <c r="M4" s="652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1087</v>
      </c>
      <c r="E5" s="244" t="s">
        <v>1088</v>
      </c>
      <c r="F5" s="244" t="s">
        <v>1089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Anx'!I40</f>
        <v>98.031999999999996</v>
      </c>
      <c r="E9" s="220">
        <v>0</v>
      </c>
      <c r="F9" s="219">
        <f t="shared" si="2"/>
        <v>16.484000000000009</v>
      </c>
      <c r="G9" s="220"/>
      <c r="H9" s="220"/>
      <c r="I9" s="221">
        <f t="shared" si="0"/>
        <v>98.031999999999996</v>
      </c>
      <c r="J9" s="221">
        <f t="shared" si="1"/>
        <v>16.484000000000009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3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7</v>
      </c>
      <c r="I12" s="230">
        <v>92</v>
      </c>
      <c r="J12" s="230">
        <f t="shared" si="1"/>
        <v>201</v>
      </c>
      <c r="K12" s="220">
        <v>3</v>
      </c>
      <c r="L12" s="220">
        <v>5</v>
      </c>
      <c r="M12" s="253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17" zoomScaleNormal="100" zoomScaleSheetLayoutView="100" workbookViewId="0">
      <selection activeCell="F24" sqref="F24:G24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53" t="s">
        <v>86</v>
      </c>
      <c r="C2" s="654"/>
      <c r="D2" s="654"/>
      <c r="E2" s="654"/>
      <c r="F2" s="654"/>
      <c r="G2" s="655"/>
    </row>
    <row r="3" spans="2:11" ht="16.5" thickBot="1">
      <c r="B3" s="656" t="s">
        <v>116</v>
      </c>
      <c r="C3" s="657"/>
      <c r="D3" s="657"/>
      <c r="E3" s="657"/>
      <c r="F3" s="657"/>
      <c r="G3" s="254">
        <f>+'AOTL - KEC'!M1</f>
        <v>46190</v>
      </c>
    </row>
    <row r="4" spans="2:11" ht="16.5" thickBot="1">
      <c r="B4" s="658" t="s">
        <v>117</v>
      </c>
      <c r="C4" s="659"/>
      <c r="D4" s="663" t="s">
        <v>89</v>
      </c>
      <c r="E4" s="664"/>
      <c r="F4" s="664"/>
      <c r="G4" s="665"/>
    </row>
    <row r="5" spans="2:11" ht="16.5" thickBot="1">
      <c r="B5" s="658" t="s">
        <v>118</v>
      </c>
      <c r="C5" s="659"/>
      <c r="D5" s="660" t="s">
        <v>119</v>
      </c>
      <c r="E5" s="661"/>
      <c r="F5" s="661"/>
      <c r="G5" s="662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1" t="s">
        <v>120</v>
      </c>
      <c r="C7" s="672"/>
      <c r="D7" s="672"/>
      <c r="E7" s="672"/>
      <c r="F7" s="672"/>
      <c r="G7" s="673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4" t="s">
        <v>125</v>
      </c>
      <c r="G8" s="675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6">
        <f>'AOTL - KEC'!J6</f>
        <v>0</v>
      </c>
      <c r="G9" s="667"/>
    </row>
    <row r="10" spans="2:11" ht="15.75" thickBot="1">
      <c r="B10" s="668" t="s">
        <v>126</v>
      </c>
      <c r="C10" s="669"/>
      <c r="D10" s="669"/>
      <c r="E10" s="669"/>
      <c r="F10" s="669"/>
      <c r="G10" s="670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4" t="s">
        <v>125</v>
      </c>
      <c r="G11" s="675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6">
        <f>B12-E12</f>
        <v>0</v>
      </c>
      <c r="G12" s="677"/>
    </row>
    <row r="13" spans="2:11" ht="15.75" thickBot="1">
      <c r="B13" s="668" t="s">
        <v>127</v>
      </c>
      <c r="C13" s="669"/>
      <c r="D13" s="669"/>
      <c r="E13" s="669"/>
      <c r="F13" s="669"/>
      <c r="G13" s="670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4" t="s">
        <v>125</v>
      </c>
      <c r="G14" s="675"/>
    </row>
    <row r="15" spans="2:11" ht="15.7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66">
        <f>B15-E15</f>
        <v>7.0240000000000293</v>
      </c>
      <c r="G15" s="667"/>
      <c r="K15" s="6"/>
    </row>
    <row r="16" spans="2:11" ht="15.75" thickBot="1">
      <c r="B16" s="668" t="s">
        <v>128</v>
      </c>
      <c r="C16" s="669"/>
      <c r="D16" s="669"/>
      <c r="E16" s="669"/>
      <c r="F16" s="669"/>
      <c r="G16" s="670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4" t="s">
        <v>125</v>
      </c>
      <c r="G17" s="675"/>
    </row>
    <row r="18" spans="2:11" ht="15.75" thickBot="1">
      <c r="B18" s="5">
        <f>'AOTL - KEC'!C9</f>
        <v>114.51600000000001</v>
      </c>
      <c r="C18" s="4">
        <f>'Survey Anx'!I40</f>
        <v>98.031999999999996</v>
      </c>
      <c r="D18" s="420">
        <v>4.49</v>
      </c>
      <c r="E18" s="4">
        <f>C18+D18</f>
        <v>102.52199999999999</v>
      </c>
      <c r="F18" s="666">
        <f>B18-E18</f>
        <v>11.994000000000014</v>
      </c>
      <c r="G18" s="667"/>
      <c r="K18" s="13"/>
    </row>
    <row r="19" spans="2:11" ht="15.75" thickBot="1">
      <c r="B19" s="668" t="s">
        <v>129</v>
      </c>
      <c r="C19" s="669"/>
      <c r="D19" s="669"/>
      <c r="E19" s="669"/>
      <c r="F19" s="669"/>
      <c r="G19" s="670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4" t="s">
        <v>125</v>
      </c>
      <c r="G20" s="675"/>
      <c r="K20" s="14"/>
    </row>
    <row r="21" spans="2:11" ht="15.75" thickBot="1">
      <c r="B21" s="9">
        <f>'AOTL - KEC'!C12</f>
        <v>293</v>
      </c>
      <c r="C21" s="16">
        <v>85</v>
      </c>
      <c r="D21" s="16">
        <v>7</v>
      </c>
      <c r="E21" s="19">
        <v>92</v>
      </c>
      <c r="F21" s="676">
        <f>B21-E21</f>
        <v>201</v>
      </c>
      <c r="G21" s="677"/>
    </row>
    <row r="22" spans="2:11" ht="15.75" thickBot="1">
      <c r="B22" s="668" t="s">
        <v>1119</v>
      </c>
      <c r="C22" s="669"/>
      <c r="D22" s="669"/>
      <c r="E22" s="669"/>
      <c r="F22" s="669"/>
      <c r="G22" s="670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4" t="s">
        <v>125</v>
      </c>
      <c r="G23" s="675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76">
        <f>B24-E24</f>
        <v>204</v>
      </c>
      <c r="G24" s="677"/>
    </row>
    <row r="25" spans="2:11" ht="15.75" thickBot="1">
      <c r="B25" s="668" t="s">
        <v>131</v>
      </c>
      <c r="C25" s="669"/>
      <c r="D25" s="669"/>
      <c r="E25" s="669"/>
      <c r="F25" s="669"/>
      <c r="G25" s="670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4" t="s">
        <v>125</v>
      </c>
      <c r="G26" s="675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76">
        <f>B27-E27</f>
        <v>248</v>
      </c>
      <c r="G27" s="677"/>
    </row>
    <row r="28" spans="2:11" ht="15.75" thickBot="1">
      <c r="B28" s="668" t="s">
        <v>132</v>
      </c>
      <c r="C28" s="669"/>
      <c r="D28" s="669"/>
      <c r="E28" s="669"/>
      <c r="F28" s="669"/>
      <c r="G28" s="670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4" t="s">
        <v>133</v>
      </c>
      <c r="G29" s="675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6">
        <f>B30-E30</f>
        <v>114.51600000000001</v>
      </c>
      <c r="G30" s="667"/>
    </row>
    <row r="31" spans="2:11" ht="15.75" thickBot="1">
      <c r="B31" s="668" t="s">
        <v>134</v>
      </c>
      <c r="C31" s="669"/>
      <c r="D31" s="669"/>
      <c r="E31" s="669"/>
      <c r="F31" s="669"/>
      <c r="G31" s="670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4" t="s">
        <v>125</v>
      </c>
      <c r="G32" s="675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6">
        <f>B33-E33</f>
        <v>114.51600000000001</v>
      </c>
      <c r="G33" s="667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G6" sqref="G6"/>
    </sheetView>
  </sheetViews>
  <sheetFormatPr defaultColWidth="12.85546875" defaultRowHeight="15"/>
  <cols>
    <col min="1" max="1" width="12.85546875" style="422"/>
    <col min="2" max="2" width="25.28515625" style="422" bestFit="1" customWidth="1"/>
    <col min="3" max="4" width="12.85546875" style="422"/>
    <col min="5" max="5" width="30.28515625" style="422" bestFit="1" customWidth="1"/>
    <col min="6" max="16384" width="12.85546875" style="422"/>
  </cols>
  <sheetData>
    <row r="1" spans="1:6" ht="15.75">
      <c r="A1" s="571"/>
      <c r="B1" s="572"/>
      <c r="C1" s="572"/>
      <c r="D1" s="573" t="s">
        <v>2</v>
      </c>
      <c r="E1" s="574">
        <f>+'AOTL - KEC'!M1</f>
        <v>46190</v>
      </c>
    </row>
    <row r="2" spans="1:6">
      <c r="A2" s="575"/>
      <c r="E2" s="576"/>
    </row>
    <row r="3" spans="1:6" ht="15.75">
      <c r="A3" s="678" t="s">
        <v>246</v>
      </c>
      <c r="B3" s="679"/>
      <c r="C3" s="679"/>
      <c r="D3" s="679"/>
      <c r="E3" s="680"/>
    </row>
    <row r="4" spans="1:6" s="424" customFormat="1" ht="22.35" customHeight="1">
      <c r="A4" s="577" t="s">
        <v>247</v>
      </c>
      <c r="B4" s="423" t="s">
        <v>248</v>
      </c>
      <c r="C4" s="423" t="s">
        <v>249</v>
      </c>
      <c r="D4" s="423" t="s">
        <v>250</v>
      </c>
      <c r="E4" s="578" t="s">
        <v>33</v>
      </c>
    </row>
    <row r="5" spans="1:6" s="428" customFormat="1" ht="27.6" customHeight="1">
      <c r="A5" s="579">
        <v>1</v>
      </c>
      <c r="B5" s="426" t="s">
        <v>251</v>
      </c>
      <c r="C5" s="425" t="s">
        <v>252</v>
      </c>
      <c r="D5" s="427">
        <f>'Survey Anx'!C40</f>
        <v>114.31499999999998</v>
      </c>
      <c r="E5" s="580"/>
    </row>
    <row r="6" spans="1:6" s="428" customFormat="1" ht="27.6" customHeight="1">
      <c r="A6" s="579">
        <v>2</v>
      </c>
      <c r="B6" s="426" t="s">
        <v>253</v>
      </c>
      <c r="C6" s="425" t="s">
        <v>252</v>
      </c>
      <c r="D6" s="427">
        <f>'Survey Anx'!D40</f>
        <v>114.31499999999998</v>
      </c>
      <c r="E6" s="580"/>
    </row>
    <row r="7" spans="1:6" s="428" customFormat="1" ht="27.6" customHeight="1">
      <c r="A7" s="579">
        <v>3</v>
      </c>
      <c r="B7" s="426" t="s">
        <v>28</v>
      </c>
      <c r="C7" s="425" t="s">
        <v>252</v>
      </c>
      <c r="D7" s="427">
        <f>D5-D6</f>
        <v>0</v>
      </c>
      <c r="E7" s="580" t="s">
        <v>254</v>
      </c>
      <c r="F7" s="429"/>
    </row>
    <row r="8" spans="1:6" s="428" customFormat="1" ht="27.6" customHeight="1">
      <c r="A8" s="579">
        <v>4</v>
      </c>
      <c r="B8" s="426" t="s">
        <v>255</v>
      </c>
      <c r="C8" s="425" t="s">
        <v>252</v>
      </c>
      <c r="D8" s="427">
        <f>'Survey Anx'!F40</f>
        <v>107.49199999999998</v>
      </c>
      <c r="E8" s="580"/>
    </row>
    <row r="9" spans="1:6" s="428" customFormat="1" ht="27.6" customHeight="1">
      <c r="A9" s="579">
        <v>5</v>
      </c>
      <c r="B9" s="426" t="s">
        <v>29</v>
      </c>
      <c r="C9" s="425" t="s">
        <v>252</v>
      </c>
      <c r="D9" s="427">
        <v>16.838999999999999</v>
      </c>
      <c r="E9" s="580" t="s">
        <v>256</v>
      </c>
    </row>
    <row r="10" spans="1:6" s="428" customFormat="1" ht="27.6" customHeight="1">
      <c r="A10" s="579">
        <v>6</v>
      </c>
      <c r="B10" s="426" t="s">
        <v>257</v>
      </c>
      <c r="C10" s="425" t="s">
        <v>252</v>
      </c>
      <c r="D10" s="427">
        <f>'Survey Anx'!G40</f>
        <v>102.97799999999999</v>
      </c>
      <c r="E10" s="581"/>
      <c r="F10" s="430"/>
    </row>
    <row r="11" spans="1:6" s="428" customFormat="1" ht="27.6" customHeight="1">
      <c r="A11" s="579">
        <v>7</v>
      </c>
      <c r="B11" s="426" t="s">
        <v>258</v>
      </c>
      <c r="C11" s="425" t="s">
        <v>252</v>
      </c>
      <c r="D11" s="427">
        <f>'Survey Anx'!I40</f>
        <v>98.031999999999996</v>
      </c>
      <c r="E11" s="580"/>
      <c r="F11" s="429">
        <f>D10-D11</f>
        <v>4.945999999999998</v>
      </c>
    </row>
    <row r="12" spans="1:6" s="428" customFormat="1" ht="27.6" customHeight="1">
      <c r="A12" s="579">
        <v>8</v>
      </c>
      <c r="B12" s="426" t="s">
        <v>29</v>
      </c>
      <c r="C12" s="425" t="s">
        <v>252</v>
      </c>
      <c r="D12" s="427">
        <f>D10-D11</f>
        <v>4.945999999999998</v>
      </c>
      <c r="E12" s="580"/>
    </row>
    <row r="13" spans="1:6" s="428" customFormat="1" ht="27.6" customHeight="1" thickBot="1">
      <c r="A13" s="582">
        <v>9</v>
      </c>
      <c r="B13" s="583" t="s">
        <v>259</v>
      </c>
      <c r="C13" s="584" t="s">
        <v>252</v>
      </c>
      <c r="D13" s="585">
        <f>D8-D11</f>
        <v>9.4599999999999795</v>
      </c>
      <c r="E13" s="586"/>
    </row>
    <row r="14" spans="1:6" s="428" customFormat="1" ht="22.35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81" t="s">
        <v>260</v>
      </c>
      <c r="B1" s="681"/>
      <c r="C1" s="681"/>
      <c r="D1" s="681"/>
      <c r="E1" s="681"/>
      <c r="F1" s="681"/>
      <c r="G1" s="681"/>
      <c r="H1" s="681"/>
      <c r="I1" s="432"/>
      <c r="J1" s="433"/>
    </row>
    <row r="2" spans="1:11" ht="47.25">
      <c r="A2" s="434" t="s">
        <v>247</v>
      </c>
      <c r="B2" s="434" t="s">
        <v>261</v>
      </c>
      <c r="C2" s="434" t="s">
        <v>262</v>
      </c>
      <c r="D2" s="434" t="s">
        <v>263</v>
      </c>
      <c r="E2" s="434" t="s">
        <v>264</v>
      </c>
      <c r="F2" s="434" t="s">
        <v>265</v>
      </c>
      <c r="G2" s="434" t="s">
        <v>266</v>
      </c>
      <c r="H2" s="434" t="s">
        <v>267</v>
      </c>
      <c r="I2" s="434" t="s">
        <v>33</v>
      </c>
      <c r="J2" s="434" t="s">
        <v>268</v>
      </c>
      <c r="K2" s="434" t="s">
        <v>269</v>
      </c>
    </row>
    <row r="3" spans="1:11">
      <c r="A3" s="435">
        <v>1</v>
      </c>
      <c r="B3" s="435" t="s">
        <v>270</v>
      </c>
      <c r="C3" s="436" t="s">
        <v>271</v>
      </c>
      <c r="D3" s="435"/>
      <c r="E3" s="435">
        <v>10</v>
      </c>
      <c r="F3" s="452" t="s">
        <v>207</v>
      </c>
      <c r="G3" s="453" t="s">
        <v>272</v>
      </c>
      <c r="H3" s="437">
        <v>45802</v>
      </c>
      <c r="I3" s="437"/>
      <c r="J3" s="437" t="s">
        <v>273</v>
      </c>
      <c r="K3" s="453" t="s">
        <v>274</v>
      </c>
    </row>
    <row r="4" spans="1:11">
      <c r="A4" s="435">
        <f>A3+1</f>
        <v>2</v>
      </c>
      <c r="B4" s="435" t="s">
        <v>275</v>
      </c>
      <c r="C4" s="450" t="s">
        <v>276</v>
      </c>
      <c r="D4" s="435"/>
      <c r="E4" s="435">
        <v>20</v>
      </c>
      <c r="F4" s="452" t="s">
        <v>207</v>
      </c>
      <c r="G4" s="453" t="s">
        <v>277</v>
      </c>
      <c r="H4" s="437">
        <v>46173</v>
      </c>
      <c r="I4" s="453" t="s">
        <v>278</v>
      </c>
      <c r="J4" s="440" t="s">
        <v>273</v>
      </c>
      <c r="K4" s="454" t="s">
        <v>279</v>
      </c>
    </row>
    <row r="5" spans="1:11">
      <c r="A5" s="435">
        <f t="shared" ref="A5:A34" si="0">A4+1</f>
        <v>3</v>
      </c>
      <c r="B5" s="435" t="s">
        <v>280</v>
      </c>
      <c r="C5" s="450" t="s">
        <v>281</v>
      </c>
      <c r="D5" s="435"/>
      <c r="E5" s="435">
        <v>20</v>
      </c>
      <c r="F5" s="452" t="s">
        <v>207</v>
      </c>
      <c r="G5" s="453" t="s">
        <v>282</v>
      </c>
      <c r="H5" s="437">
        <v>46173</v>
      </c>
      <c r="I5" s="600" t="s">
        <v>283</v>
      </c>
      <c r="J5" s="440" t="s">
        <v>273</v>
      </c>
      <c r="K5" s="454" t="s">
        <v>279</v>
      </c>
    </row>
    <row r="6" spans="1:11">
      <c r="A6" s="435">
        <f t="shared" si="0"/>
        <v>4</v>
      </c>
      <c r="B6" s="435" t="s">
        <v>284</v>
      </c>
      <c r="C6" s="450" t="s">
        <v>281</v>
      </c>
      <c r="D6" s="435"/>
      <c r="E6" s="435">
        <v>20</v>
      </c>
      <c r="F6" s="452" t="s">
        <v>207</v>
      </c>
      <c r="G6" s="453" t="s">
        <v>285</v>
      </c>
      <c r="H6" s="437">
        <v>46173</v>
      </c>
      <c r="I6" s="453" t="s">
        <v>286</v>
      </c>
      <c r="J6" s="440" t="s">
        <v>273</v>
      </c>
      <c r="K6" s="454" t="s">
        <v>279</v>
      </c>
    </row>
    <row r="7" spans="1:11">
      <c r="A7" s="435">
        <f t="shared" si="0"/>
        <v>5</v>
      </c>
      <c r="B7" s="435" t="s">
        <v>287</v>
      </c>
      <c r="C7" s="450" t="s">
        <v>288</v>
      </c>
      <c r="D7" s="435"/>
      <c r="E7" s="435">
        <v>20</v>
      </c>
      <c r="F7" s="452" t="s">
        <v>207</v>
      </c>
      <c r="G7" s="453" t="s">
        <v>285</v>
      </c>
      <c r="H7" s="437">
        <v>46173</v>
      </c>
      <c r="I7" s="600" t="s">
        <v>283</v>
      </c>
      <c r="J7" s="440" t="s">
        <v>273</v>
      </c>
      <c r="K7" s="454" t="s">
        <v>279</v>
      </c>
    </row>
    <row r="8" spans="1:11">
      <c r="A8" s="441">
        <f t="shared" si="0"/>
        <v>6</v>
      </c>
      <c r="B8" s="441" t="s">
        <v>289</v>
      </c>
      <c r="C8" s="442"/>
      <c r="D8" s="441"/>
      <c r="E8" s="441">
        <v>10</v>
      </c>
      <c r="F8" s="455" t="s">
        <v>207</v>
      </c>
      <c r="G8" s="456" t="s">
        <v>272</v>
      </c>
      <c r="H8" s="443">
        <v>45802</v>
      </c>
      <c r="I8" s="443" t="s">
        <v>290</v>
      </c>
      <c r="J8" s="256" t="s">
        <v>273</v>
      </c>
      <c r="K8" s="257" t="s">
        <v>274</v>
      </c>
    </row>
    <row r="9" spans="1:11">
      <c r="A9" s="444"/>
      <c r="B9" s="444" t="s">
        <v>291</v>
      </c>
      <c r="C9" s="445"/>
      <c r="D9" s="444"/>
      <c r="E9" s="444"/>
      <c r="F9" s="457"/>
      <c r="G9" s="458"/>
      <c r="H9" s="445"/>
      <c r="I9" s="446" t="s">
        <v>290</v>
      </c>
      <c r="J9" s="256" t="s">
        <v>273</v>
      </c>
      <c r="K9" s="257"/>
    </row>
    <row r="10" spans="1:11" ht="15.6" customHeight="1">
      <c r="A10" s="435">
        <f>A8+1</f>
        <v>7</v>
      </c>
      <c r="B10" s="435" t="s">
        <v>292</v>
      </c>
      <c r="C10" s="450" t="s">
        <v>293</v>
      </c>
      <c r="D10" s="436"/>
      <c r="E10" s="436">
        <v>10</v>
      </c>
      <c r="F10" s="452" t="s">
        <v>207</v>
      </c>
      <c r="G10" s="453" t="s">
        <v>277</v>
      </c>
      <c r="H10" s="437">
        <v>46160</v>
      </c>
      <c r="I10" s="436"/>
      <c r="J10" s="440" t="s">
        <v>273</v>
      </c>
      <c r="K10" s="447" t="s">
        <v>274</v>
      </c>
    </row>
    <row r="11" spans="1:11">
      <c r="A11" s="435">
        <f t="shared" si="0"/>
        <v>8</v>
      </c>
      <c r="B11" s="436" t="s">
        <v>294</v>
      </c>
      <c r="C11" s="450" t="s">
        <v>295</v>
      </c>
      <c r="D11" s="436"/>
      <c r="E11" s="436">
        <v>40</v>
      </c>
      <c r="F11" s="452" t="s">
        <v>207</v>
      </c>
      <c r="G11" s="453" t="s">
        <v>296</v>
      </c>
      <c r="H11" s="437">
        <v>46092</v>
      </c>
      <c r="I11" s="437"/>
      <c r="J11" s="437" t="s">
        <v>273</v>
      </c>
      <c r="K11" s="453" t="s">
        <v>274</v>
      </c>
    </row>
    <row r="12" spans="1:11" ht="15.6" customHeight="1">
      <c r="A12" s="435">
        <f t="shared" si="0"/>
        <v>9</v>
      </c>
      <c r="B12" s="436" t="s">
        <v>297</v>
      </c>
      <c r="C12" s="450" t="s">
        <v>298</v>
      </c>
      <c r="D12" s="436"/>
      <c r="E12" s="436">
        <v>40</v>
      </c>
      <c r="F12" s="452" t="s">
        <v>207</v>
      </c>
      <c r="G12" s="453" t="s">
        <v>296</v>
      </c>
      <c r="H12" s="437">
        <v>46160</v>
      </c>
      <c r="I12" s="436"/>
      <c r="J12" s="437" t="s">
        <v>273</v>
      </c>
      <c r="K12" s="453" t="s">
        <v>274</v>
      </c>
    </row>
    <row r="13" spans="1:11">
      <c r="A13" s="435">
        <f t="shared" si="0"/>
        <v>10</v>
      </c>
      <c r="B13" s="435" t="s">
        <v>299</v>
      </c>
      <c r="C13" s="450" t="s">
        <v>298</v>
      </c>
      <c r="D13" s="436"/>
      <c r="E13" s="436">
        <v>10</v>
      </c>
      <c r="F13" s="452" t="s">
        <v>207</v>
      </c>
      <c r="G13" s="453" t="s">
        <v>272</v>
      </c>
      <c r="H13" s="436"/>
      <c r="I13" s="436"/>
      <c r="J13" s="437" t="s">
        <v>273</v>
      </c>
      <c r="K13" s="453" t="s">
        <v>274</v>
      </c>
    </row>
    <row r="14" spans="1:11">
      <c r="A14" s="435">
        <f t="shared" si="0"/>
        <v>11</v>
      </c>
      <c r="B14" s="435" t="s">
        <v>300</v>
      </c>
      <c r="C14" s="450" t="s">
        <v>301</v>
      </c>
      <c r="D14" s="436"/>
      <c r="E14" s="436">
        <v>10</v>
      </c>
      <c r="F14" s="452" t="s">
        <v>207</v>
      </c>
      <c r="G14" s="453" t="s">
        <v>272</v>
      </c>
      <c r="H14" s="437">
        <v>45802</v>
      </c>
      <c r="I14" s="437"/>
      <c r="J14" s="437" t="s">
        <v>273</v>
      </c>
      <c r="K14" s="453" t="s">
        <v>274</v>
      </c>
    </row>
    <row r="15" spans="1:11">
      <c r="A15" s="435">
        <f t="shared" si="0"/>
        <v>12</v>
      </c>
      <c r="B15" s="435" t="s">
        <v>302</v>
      </c>
      <c r="C15" s="436" t="s">
        <v>303</v>
      </c>
      <c r="D15" s="436"/>
      <c r="E15" s="436">
        <v>10</v>
      </c>
      <c r="F15" s="452" t="s">
        <v>207</v>
      </c>
      <c r="G15" s="453" t="s">
        <v>272</v>
      </c>
      <c r="H15" s="437">
        <v>45802</v>
      </c>
      <c r="I15" s="437"/>
      <c r="J15" s="437" t="s">
        <v>273</v>
      </c>
      <c r="K15" s="453" t="s">
        <v>274</v>
      </c>
    </row>
    <row r="16" spans="1:11">
      <c r="A16" s="435">
        <f t="shared" si="0"/>
        <v>13</v>
      </c>
      <c r="B16" s="435" t="s">
        <v>304</v>
      </c>
      <c r="C16" s="436" t="s">
        <v>305</v>
      </c>
      <c r="D16" s="436"/>
      <c r="E16" s="436">
        <v>10</v>
      </c>
      <c r="F16" s="452" t="s">
        <v>207</v>
      </c>
      <c r="G16" s="453" t="s">
        <v>306</v>
      </c>
      <c r="H16" s="437">
        <v>45802</v>
      </c>
      <c r="I16" s="437"/>
      <c r="J16" s="437" t="s">
        <v>273</v>
      </c>
      <c r="K16" s="453" t="s">
        <v>274</v>
      </c>
    </row>
    <row r="17" spans="1:11">
      <c r="A17" s="435">
        <f t="shared" si="0"/>
        <v>14</v>
      </c>
      <c r="B17" s="435" t="s">
        <v>307</v>
      </c>
      <c r="C17" s="436" t="s">
        <v>308</v>
      </c>
      <c r="D17" s="436"/>
      <c r="E17" s="436">
        <v>10</v>
      </c>
      <c r="F17" s="452" t="s">
        <v>207</v>
      </c>
      <c r="G17" s="453" t="s">
        <v>309</v>
      </c>
      <c r="H17" s="437">
        <v>45802</v>
      </c>
      <c r="I17" s="437"/>
      <c r="J17" s="437" t="s">
        <v>273</v>
      </c>
      <c r="K17" s="453" t="s">
        <v>274</v>
      </c>
    </row>
    <row r="18" spans="1:11">
      <c r="A18" s="435">
        <f t="shared" si="0"/>
        <v>15</v>
      </c>
      <c r="B18" s="435" t="s">
        <v>310</v>
      </c>
      <c r="C18" s="436" t="s">
        <v>303</v>
      </c>
      <c r="D18" s="436"/>
      <c r="E18" s="436">
        <v>10</v>
      </c>
      <c r="F18" s="452" t="s">
        <v>207</v>
      </c>
      <c r="G18" s="453" t="s">
        <v>306</v>
      </c>
      <c r="H18" s="437">
        <v>45802</v>
      </c>
      <c r="I18" s="437"/>
      <c r="J18" s="437" t="s">
        <v>273</v>
      </c>
      <c r="K18" s="453" t="s">
        <v>274</v>
      </c>
    </row>
    <row r="19" spans="1:11" ht="15" customHeight="1">
      <c r="A19" s="435">
        <f t="shared" si="0"/>
        <v>16</v>
      </c>
      <c r="B19" s="435" t="s">
        <v>311</v>
      </c>
      <c r="C19" s="436" t="s">
        <v>312</v>
      </c>
      <c r="D19" s="436"/>
      <c r="E19" s="436">
        <v>10</v>
      </c>
      <c r="F19" s="452" t="s">
        <v>207</v>
      </c>
      <c r="G19" s="453" t="s">
        <v>306</v>
      </c>
      <c r="H19" s="437">
        <v>45802</v>
      </c>
      <c r="I19" s="437"/>
      <c r="J19" s="437" t="s">
        <v>273</v>
      </c>
      <c r="K19" s="453" t="s">
        <v>274</v>
      </c>
    </row>
    <row r="20" spans="1:11">
      <c r="A20" s="435">
        <f t="shared" si="0"/>
        <v>17</v>
      </c>
      <c r="B20" s="435" t="s">
        <v>313</v>
      </c>
      <c r="C20" s="436" t="s">
        <v>308</v>
      </c>
      <c r="D20" s="436"/>
      <c r="E20" s="436">
        <v>10</v>
      </c>
      <c r="F20" s="452" t="s">
        <v>207</v>
      </c>
      <c r="G20" s="453" t="s">
        <v>306</v>
      </c>
      <c r="H20" s="437">
        <v>45802</v>
      </c>
      <c r="I20" s="437"/>
      <c r="J20" s="437" t="s">
        <v>273</v>
      </c>
      <c r="K20" s="453" t="s">
        <v>274</v>
      </c>
    </row>
    <row r="21" spans="1:11">
      <c r="A21" s="435">
        <f t="shared" si="0"/>
        <v>18</v>
      </c>
      <c r="B21" s="435" t="s">
        <v>314</v>
      </c>
      <c r="C21" s="436" t="s">
        <v>308</v>
      </c>
      <c r="D21" s="436"/>
      <c r="E21" s="436">
        <v>10</v>
      </c>
      <c r="F21" s="452" t="s">
        <v>207</v>
      </c>
      <c r="G21" s="453" t="s">
        <v>306</v>
      </c>
      <c r="H21" s="437">
        <v>45802</v>
      </c>
      <c r="I21" s="437"/>
      <c r="J21" s="437" t="s">
        <v>273</v>
      </c>
      <c r="K21" s="453" t="s">
        <v>274</v>
      </c>
    </row>
    <row r="22" spans="1:11">
      <c r="A22" s="435">
        <f t="shared" si="0"/>
        <v>19</v>
      </c>
      <c r="B22" s="435" t="s">
        <v>315</v>
      </c>
      <c r="C22" s="436"/>
      <c r="D22" s="436"/>
      <c r="E22" s="436">
        <v>10</v>
      </c>
      <c r="F22" s="452" t="s">
        <v>207</v>
      </c>
      <c r="G22" s="453" t="s">
        <v>306</v>
      </c>
      <c r="H22" s="437">
        <v>45802</v>
      </c>
      <c r="I22" s="437"/>
      <c r="J22" s="437" t="s">
        <v>273</v>
      </c>
      <c r="K22" s="453" t="s">
        <v>274</v>
      </c>
    </row>
    <row r="23" spans="1:11">
      <c r="A23" s="435">
        <f t="shared" si="0"/>
        <v>20</v>
      </c>
      <c r="B23" s="435" t="s">
        <v>316</v>
      </c>
      <c r="C23" s="436"/>
      <c r="D23" s="436"/>
      <c r="E23" s="436">
        <v>10</v>
      </c>
      <c r="F23" s="452" t="s">
        <v>207</v>
      </c>
      <c r="G23" s="453" t="s">
        <v>306</v>
      </c>
      <c r="H23" s="437">
        <v>45802</v>
      </c>
      <c r="I23" s="437"/>
      <c r="J23" s="437" t="s">
        <v>273</v>
      </c>
      <c r="K23" s="453" t="s">
        <v>274</v>
      </c>
    </row>
    <row r="24" spans="1:11" ht="15.6" customHeight="1">
      <c r="A24" s="438">
        <f t="shared" si="0"/>
        <v>21</v>
      </c>
      <c r="B24" s="438" t="s">
        <v>317</v>
      </c>
      <c r="C24" s="439" t="s">
        <v>293</v>
      </c>
      <c r="D24" s="439"/>
      <c r="E24" s="439">
        <v>10</v>
      </c>
      <c r="F24" s="451" t="s">
        <v>318</v>
      </c>
      <c r="G24" s="447"/>
      <c r="H24" s="439"/>
      <c r="I24" s="439"/>
      <c r="J24" s="440" t="s">
        <v>319</v>
      </c>
      <c r="K24" s="454" t="s">
        <v>279</v>
      </c>
    </row>
    <row r="25" spans="1:11">
      <c r="A25" s="435">
        <f t="shared" si="0"/>
        <v>22</v>
      </c>
      <c r="B25" s="436" t="s">
        <v>320</v>
      </c>
      <c r="C25" s="436" t="s">
        <v>321</v>
      </c>
      <c r="D25" s="436"/>
      <c r="E25" s="436">
        <v>40</v>
      </c>
      <c r="F25" s="452" t="s">
        <v>207</v>
      </c>
      <c r="G25" s="453" t="s">
        <v>296</v>
      </c>
      <c r="H25" s="437">
        <v>46094</v>
      </c>
      <c r="I25" s="437"/>
      <c r="J25" s="437" t="s">
        <v>273</v>
      </c>
      <c r="K25" s="453" t="s">
        <v>274</v>
      </c>
    </row>
    <row r="26" spans="1:11">
      <c r="A26" s="435">
        <f t="shared" si="0"/>
        <v>23</v>
      </c>
      <c r="B26" s="435" t="s">
        <v>322</v>
      </c>
      <c r="C26" s="436" t="s">
        <v>323</v>
      </c>
      <c r="D26" s="436"/>
      <c r="E26" s="436">
        <v>40</v>
      </c>
      <c r="F26" s="452" t="s">
        <v>207</v>
      </c>
      <c r="G26" s="453" t="s">
        <v>296</v>
      </c>
      <c r="H26" s="437">
        <v>46095</v>
      </c>
      <c r="I26" s="437"/>
      <c r="J26" s="437" t="s">
        <v>273</v>
      </c>
      <c r="K26" s="453" t="s">
        <v>274</v>
      </c>
    </row>
    <row r="27" spans="1:11">
      <c r="A27" s="435">
        <f t="shared" si="0"/>
        <v>24</v>
      </c>
      <c r="B27" s="435" t="s">
        <v>324</v>
      </c>
      <c r="C27" s="436" t="s">
        <v>325</v>
      </c>
      <c r="D27" s="436"/>
      <c r="E27" s="436">
        <v>40</v>
      </c>
      <c r="F27" s="452" t="s">
        <v>207</v>
      </c>
      <c r="G27" s="453" t="s">
        <v>296</v>
      </c>
      <c r="H27" s="437">
        <v>46095</v>
      </c>
      <c r="I27" s="437"/>
      <c r="J27" s="437" t="s">
        <v>273</v>
      </c>
      <c r="K27" s="453" t="s">
        <v>274</v>
      </c>
    </row>
    <row r="28" spans="1:11">
      <c r="A28" s="438">
        <f t="shared" si="0"/>
        <v>25</v>
      </c>
      <c r="B28" s="438" t="s">
        <v>326</v>
      </c>
      <c r="C28" s="439" t="s">
        <v>327</v>
      </c>
      <c r="D28" s="439"/>
      <c r="E28" s="439">
        <v>10</v>
      </c>
      <c r="F28" s="451" t="s">
        <v>318</v>
      </c>
      <c r="G28" s="447" t="s">
        <v>306</v>
      </c>
      <c r="H28" s="439"/>
      <c r="I28" s="439"/>
      <c r="J28" s="256" t="s">
        <v>273</v>
      </c>
      <c r="K28" s="458" t="s">
        <v>279</v>
      </c>
    </row>
    <row r="29" spans="1:11">
      <c r="A29" s="438">
        <f t="shared" si="0"/>
        <v>26</v>
      </c>
      <c r="B29" s="438" t="s">
        <v>328</v>
      </c>
      <c r="C29" s="439" t="s">
        <v>329</v>
      </c>
      <c r="D29" s="439"/>
      <c r="E29" s="439">
        <v>10</v>
      </c>
      <c r="F29" s="451" t="s">
        <v>318</v>
      </c>
      <c r="G29" s="447" t="s">
        <v>282</v>
      </c>
      <c r="H29" s="439"/>
      <c r="I29" s="439"/>
      <c r="J29" s="256" t="s">
        <v>273</v>
      </c>
      <c r="K29" s="458" t="s">
        <v>279</v>
      </c>
    </row>
    <row r="30" spans="1:11">
      <c r="A30" s="448"/>
      <c r="B30" s="448" t="s">
        <v>330</v>
      </c>
      <c r="C30" s="449"/>
      <c r="D30" s="449"/>
      <c r="E30" s="449"/>
      <c r="F30" s="251"/>
      <c r="G30" s="459"/>
      <c r="H30" s="449"/>
      <c r="I30" s="459" t="s">
        <v>331</v>
      </c>
      <c r="J30" s="256"/>
      <c r="K30" s="257"/>
    </row>
    <row r="31" spans="1:11">
      <c r="A31" s="435">
        <f>A29+1</f>
        <v>27</v>
      </c>
      <c r="B31" s="435" t="s">
        <v>332</v>
      </c>
      <c r="C31" s="436" t="s">
        <v>333</v>
      </c>
      <c r="D31" s="436"/>
      <c r="E31" s="436">
        <v>10</v>
      </c>
      <c r="F31" s="452" t="s">
        <v>207</v>
      </c>
      <c r="G31" s="453" t="s">
        <v>306</v>
      </c>
      <c r="H31" s="437">
        <v>46099</v>
      </c>
      <c r="I31" s="453" t="s">
        <v>334</v>
      </c>
      <c r="J31" s="437" t="s">
        <v>273</v>
      </c>
      <c r="K31" s="453" t="s">
        <v>274</v>
      </c>
    </row>
    <row r="32" spans="1:11">
      <c r="A32" s="435">
        <f t="shared" si="0"/>
        <v>28</v>
      </c>
      <c r="B32" s="435" t="s">
        <v>335</v>
      </c>
      <c r="C32" s="436" t="s">
        <v>303</v>
      </c>
      <c r="D32" s="436"/>
      <c r="E32" s="436">
        <v>10</v>
      </c>
      <c r="F32" s="452" t="s">
        <v>207</v>
      </c>
      <c r="G32" s="453" t="s">
        <v>306</v>
      </c>
      <c r="H32" s="437">
        <v>46099</v>
      </c>
      <c r="I32" s="437"/>
      <c r="J32" s="437" t="s">
        <v>273</v>
      </c>
      <c r="K32" s="453" t="s">
        <v>274</v>
      </c>
    </row>
    <row r="33" spans="1:11">
      <c r="A33" s="435">
        <f t="shared" si="0"/>
        <v>29</v>
      </c>
      <c r="B33" s="435" t="s">
        <v>336</v>
      </c>
      <c r="C33" s="436" t="s">
        <v>333</v>
      </c>
      <c r="D33" s="436"/>
      <c r="E33" s="436">
        <v>10</v>
      </c>
      <c r="F33" s="452" t="s">
        <v>207</v>
      </c>
      <c r="G33" s="453" t="s">
        <v>306</v>
      </c>
      <c r="H33" s="437">
        <v>46099</v>
      </c>
      <c r="I33" s="437"/>
      <c r="J33" s="437" t="s">
        <v>273</v>
      </c>
      <c r="K33" s="453" t="s">
        <v>274</v>
      </c>
    </row>
    <row r="34" spans="1:11">
      <c r="A34" s="435">
        <f t="shared" si="0"/>
        <v>30</v>
      </c>
      <c r="B34" s="435" t="s">
        <v>337</v>
      </c>
      <c r="C34" s="436" t="s">
        <v>338</v>
      </c>
      <c r="D34" s="436"/>
      <c r="E34" s="436">
        <v>10</v>
      </c>
      <c r="F34" s="452" t="s">
        <v>207</v>
      </c>
      <c r="G34" s="453" t="s">
        <v>306</v>
      </c>
      <c r="H34" s="437">
        <v>46099</v>
      </c>
      <c r="I34" s="437"/>
      <c r="J34" s="437" t="s">
        <v>273</v>
      </c>
      <c r="K34" s="453" t="s">
        <v>274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273</v>
      </c>
      <c r="K35" s="453" t="s">
        <v>274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5"/>
  <sheetViews>
    <sheetView view="pageBreakPreview" zoomScaleNormal="80" zoomScaleSheetLayoutView="100" workbookViewId="0">
      <pane xSplit="3" ySplit="3" topLeftCell="D36" activePane="bottomRight" state="frozen"/>
      <selection activeCell="D6" sqref="D6"/>
      <selection pane="topRight" activeCell="D6" sqref="D6"/>
      <selection pane="bottomLeft" activeCell="D6" sqref="D6"/>
      <selection pane="bottomRight" activeCell="J44" sqref="J44"/>
    </sheetView>
  </sheetViews>
  <sheetFormatPr defaultColWidth="9.28515625" defaultRowHeight="15.75"/>
  <cols>
    <col min="1" max="1" width="11.28515625" style="258" customWidth="1"/>
    <col min="2" max="2" width="18" style="258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82" t="s">
        <v>89</v>
      </c>
      <c r="B1" s="682"/>
      <c r="C1" s="682"/>
      <c r="D1" s="682"/>
      <c r="E1" s="682"/>
      <c r="F1" s="682"/>
      <c r="G1" s="682"/>
      <c r="H1" s="682"/>
      <c r="I1" s="682"/>
    </row>
    <row r="2" spans="1:10" ht="20.100000000000001" customHeight="1">
      <c r="A2" s="683" t="s">
        <v>193</v>
      </c>
      <c r="B2" s="683" t="s">
        <v>203</v>
      </c>
      <c r="C2" s="685" t="s">
        <v>204</v>
      </c>
      <c r="D2" s="683" t="s">
        <v>205</v>
      </c>
      <c r="E2" s="683"/>
      <c r="F2" s="683"/>
      <c r="G2" s="683" t="s">
        <v>21</v>
      </c>
      <c r="H2" s="683"/>
      <c r="I2" s="683"/>
    </row>
    <row r="3" spans="1:10" ht="20.100000000000001" customHeight="1">
      <c r="A3" s="683"/>
      <c r="B3" s="683"/>
      <c r="C3" s="686"/>
      <c r="D3" s="413" t="s">
        <v>38</v>
      </c>
      <c r="E3" s="413" t="s">
        <v>206</v>
      </c>
      <c r="F3" s="413" t="s">
        <v>207</v>
      </c>
      <c r="G3" s="413" t="s">
        <v>38</v>
      </c>
      <c r="H3" s="413" t="s">
        <v>206</v>
      </c>
      <c r="I3" s="413" t="s">
        <v>207</v>
      </c>
    </row>
    <row r="4" spans="1:10" ht="20.100000000000001" customHeight="1">
      <c r="A4" s="414" t="s">
        <v>208</v>
      </c>
      <c r="B4" s="414" t="s">
        <v>209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00000000000001" customHeight="1">
      <c r="A5" s="414" t="s">
        <v>208</v>
      </c>
      <c r="B5" s="414" t="s">
        <v>210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00000000000001" customHeight="1">
      <c r="A6" s="414" t="s">
        <v>208</v>
      </c>
      <c r="B6" s="414" t="s">
        <v>211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00000000000001" customHeight="1">
      <c r="A7" s="414" t="s">
        <v>208</v>
      </c>
      <c r="B7" s="414" t="s">
        <v>212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00000000000001" customHeight="1">
      <c r="A8" s="414" t="s">
        <v>213</v>
      </c>
      <c r="B8" s="414" t="s">
        <v>214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00000000000001" customHeight="1">
      <c r="A9" s="414" t="s">
        <v>213</v>
      </c>
      <c r="B9" s="414" t="s">
        <v>215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00000000000001" customHeight="1">
      <c r="A10" s="414" t="s">
        <v>200</v>
      </c>
      <c r="B10" s="414" t="s">
        <v>216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00000000000001" customHeight="1">
      <c r="A11" s="414" t="s">
        <v>200</v>
      </c>
      <c r="B11" s="414" t="s">
        <v>217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00000000000001" customHeight="1">
      <c r="A12" s="414" t="s">
        <v>200</v>
      </c>
      <c r="B12" s="414" t="s">
        <v>218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00000000000001" customHeight="1">
      <c r="A13" s="414" t="s">
        <v>200</v>
      </c>
      <c r="B13" s="414" t="s">
        <v>219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00000000000001" customHeight="1">
      <c r="A14" s="414" t="s">
        <v>200</v>
      </c>
      <c r="B14" s="414" t="s">
        <v>220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00000000000001" customHeight="1">
      <c r="A15" s="414" t="s">
        <v>200</v>
      </c>
      <c r="B15" s="414" t="s">
        <v>221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00000000000001" customHeight="1">
      <c r="A16" s="414" t="s">
        <v>200</v>
      </c>
      <c r="B16" s="414" t="s">
        <v>222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00000000000001" customHeight="1">
      <c r="A17" s="414" t="s">
        <v>200</v>
      </c>
      <c r="B17" s="414" t="s">
        <v>223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00000000000001" customHeight="1">
      <c r="A18" s="414" t="s">
        <v>200</v>
      </c>
      <c r="B18" s="414" t="s">
        <v>224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00000000000001" customHeight="1">
      <c r="A19" s="414" t="s">
        <v>200</v>
      </c>
      <c r="B19" s="414" t="s">
        <v>225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00000000000001" customHeight="1">
      <c r="A20" s="414" t="s">
        <v>200</v>
      </c>
      <c r="B20" s="414" t="s">
        <v>226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00000000000001" customHeight="1">
      <c r="A21" s="414" t="s">
        <v>200</v>
      </c>
      <c r="B21" s="414" t="s">
        <v>227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00000000000001" customHeight="1">
      <c r="A22" s="418" t="s">
        <v>200</v>
      </c>
      <c r="B22" s="414" t="s">
        <v>228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00000000000001" customHeight="1">
      <c r="A23" s="414" t="s">
        <v>200</v>
      </c>
      <c r="B23" s="414" t="s">
        <v>229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00000000000001" customHeight="1">
      <c r="A24" s="414" t="s">
        <v>200</v>
      </c>
      <c r="B24" s="414" t="s">
        <v>230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00000000000001" customHeight="1">
      <c r="A25" s="419" t="s">
        <v>200</v>
      </c>
      <c r="B25" s="419" t="s">
        <v>231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00000000000001" customHeight="1">
      <c r="A26" s="414" t="s">
        <v>200</v>
      </c>
      <c r="B26" s="414" t="s">
        <v>232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>
        <v>5.3010000000000002</v>
      </c>
      <c r="H26" s="420">
        <v>5.3010000000000002</v>
      </c>
      <c r="I26" s="420">
        <v>4.49</v>
      </c>
    </row>
    <row r="27" spans="1:10" ht="20.100000000000001" customHeight="1">
      <c r="A27" s="598" t="s">
        <v>200</v>
      </c>
      <c r="B27" s="598" t="s">
        <v>233</v>
      </c>
      <c r="C27" s="599">
        <v>3.992</v>
      </c>
      <c r="D27" s="599">
        <v>3.992</v>
      </c>
      <c r="E27" s="599">
        <v>3.992</v>
      </c>
      <c r="F27" s="420"/>
      <c r="G27" s="420"/>
      <c r="H27" s="420"/>
      <c r="I27" s="420"/>
      <c r="J27" s="417"/>
    </row>
    <row r="28" spans="1:10" ht="20.100000000000001" customHeight="1">
      <c r="A28" s="414" t="s">
        <v>200</v>
      </c>
      <c r="B28" s="414" t="s">
        <v>234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00000000000001" customHeight="1">
      <c r="A29" s="414" t="s">
        <v>200</v>
      </c>
      <c r="B29" s="414" t="s">
        <v>235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00000000000001" customHeight="1">
      <c r="A30" s="414" t="s">
        <v>200</v>
      </c>
      <c r="B30" s="414" t="s">
        <v>236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00000000000001" customHeight="1">
      <c r="A31" s="598" t="s">
        <v>200</v>
      </c>
      <c r="B31" s="598" t="s">
        <v>237</v>
      </c>
      <c r="C31" s="599">
        <v>5.9160000000000004</v>
      </c>
      <c r="D31" s="599">
        <v>5.9160000000000004</v>
      </c>
      <c r="E31" s="599">
        <v>5.9160000000000004</v>
      </c>
      <c r="F31" s="420">
        <v>4.5140000000000002</v>
      </c>
      <c r="G31" s="420"/>
      <c r="H31" s="420"/>
      <c r="I31" s="420"/>
    </row>
    <row r="32" spans="1:10" ht="20.100000000000001" customHeight="1">
      <c r="A32" s="414" t="s">
        <v>200</v>
      </c>
      <c r="B32" s="414" t="s">
        <v>238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11" ht="20.100000000000001" customHeight="1">
      <c r="A33" s="414" t="s">
        <v>200</v>
      </c>
      <c r="B33" s="414" t="s">
        <v>239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11" ht="20.100000000000001" customHeight="1">
      <c r="A34" s="414" t="s">
        <v>200</v>
      </c>
      <c r="B34" s="414" t="s">
        <v>240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11" ht="20.100000000000001" customHeight="1">
      <c r="A35" s="414" t="s">
        <v>200</v>
      </c>
      <c r="B35" s="414" t="s">
        <v>241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11" ht="20.100000000000001" customHeight="1">
      <c r="A36" s="414" t="s">
        <v>200</v>
      </c>
      <c r="B36" s="414" t="s">
        <v>242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11" ht="20.100000000000001" customHeight="1">
      <c r="A37" s="414" t="s">
        <v>200</v>
      </c>
      <c r="B37" s="414" t="s">
        <v>243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11" ht="20.100000000000001" customHeight="1">
      <c r="A38" s="414" t="s">
        <v>201</v>
      </c>
      <c r="B38" s="414" t="s">
        <v>244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  <c r="K38" s="258" t="s">
        <v>67</v>
      </c>
    </row>
    <row r="39" spans="1:11" ht="20.100000000000001" customHeight="1">
      <c r="A39" s="414" t="s">
        <v>201</v>
      </c>
      <c r="B39" s="414" t="s">
        <v>245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11" ht="20.100000000000001" customHeight="1">
      <c r="A40" s="684"/>
      <c r="B40" s="684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102.97799999999999</v>
      </c>
      <c r="H40" s="421">
        <f>SUM(H4:H39)</f>
        <v>102.97799999999999</v>
      </c>
      <c r="I40" s="421">
        <f>SUM(I4:I39)</f>
        <v>98.031999999999996</v>
      </c>
    </row>
    <row r="41" spans="1:11" ht="20.100000000000001" customHeight="1">
      <c r="F41" s="417">
        <f>C40-F40</f>
        <v>6.8230000000000075</v>
      </c>
      <c r="K41" s="417" t="s">
        <v>67</v>
      </c>
    </row>
    <row r="42" spans="1:11" ht="20.100000000000001" customHeight="1"/>
    <row r="43" spans="1:11" ht="20.100000000000001" customHeight="1"/>
    <row r="44" spans="1:11" ht="20.100000000000001" customHeight="1"/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5"/>
  <sheetViews>
    <sheetView zoomScale="67" zoomScaleNormal="90" zoomScaleSheetLayoutView="81" workbookViewId="0">
      <pane ySplit="2" topLeftCell="A92" activePane="bottomLeft" state="frozen"/>
      <selection pane="bottomLeft" activeCell="G97" sqref="G97"/>
    </sheetView>
  </sheetViews>
  <sheetFormatPr defaultColWidth="9.42578125" defaultRowHeight="15"/>
  <cols>
    <col min="1" max="1" width="7.5703125" style="428" customWidth="1"/>
    <col min="2" max="2" width="11.28515625" style="428" customWidth="1"/>
    <col min="3" max="3" width="13.28515625" style="428" customWidth="1"/>
    <col min="4" max="4" width="11.7109375" style="428" customWidth="1"/>
    <col min="5" max="5" width="16.7109375" style="429" customWidth="1"/>
    <col min="6" max="6" width="16.5703125" style="428" customWidth="1"/>
    <col min="7" max="7" width="34.42578125" style="498" customWidth="1"/>
    <col min="8" max="8" width="16.7109375" style="465" customWidth="1"/>
    <col min="9" max="9" width="15" style="428" customWidth="1"/>
    <col min="10" max="10" width="12.85546875" style="428" customWidth="1"/>
    <col min="11" max="11" width="23.7109375" style="471" bestFit="1" customWidth="1"/>
    <col min="12" max="12" width="13" style="428" customWidth="1"/>
    <col min="13" max="13" width="20.5703125" style="428" customWidth="1"/>
    <col min="14" max="14" width="16.28515625" style="428" customWidth="1"/>
    <col min="15" max="16384" width="9.42578125" style="461"/>
  </cols>
  <sheetData>
    <row r="1" spans="1:16" s="473" customFormat="1" ht="15.75">
      <c r="A1" s="687" t="s">
        <v>339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N1" s="485">
        <v>46190</v>
      </c>
      <c r="P1" s="473" t="s">
        <v>340</v>
      </c>
    </row>
    <row r="2" spans="1:16" s="424" customFormat="1" ht="34.5">
      <c r="A2" s="462" t="s">
        <v>247</v>
      </c>
      <c r="B2" s="462" t="s">
        <v>341</v>
      </c>
      <c r="C2" s="462" t="s">
        <v>342</v>
      </c>
      <c r="D2" s="462" t="s">
        <v>266</v>
      </c>
      <c r="E2" s="463" t="s">
        <v>343</v>
      </c>
      <c r="F2" s="462" t="s">
        <v>344</v>
      </c>
      <c r="G2" s="462" t="s">
        <v>345</v>
      </c>
      <c r="H2" s="462" t="s">
        <v>346</v>
      </c>
      <c r="I2" s="462" t="s">
        <v>347</v>
      </c>
      <c r="J2" s="462" t="s">
        <v>33</v>
      </c>
      <c r="K2" s="462" t="s">
        <v>348</v>
      </c>
      <c r="L2" s="462" t="s">
        <v>349</v>
      </c>
      <c r="M2" s="462" t="s">
        <v>350</v>
      </c>
      <c r="N2" s="462" t="s">
        <v>351</v>
      </c>
    </row>
    <row r="3" spans="1:16" ht="25.15" customHeight="1">
      <c r="A3" s="501">
        <v>1</v>
      </c>
      <c r="B3" s="501" t="s">
        <v>352</v>
      </c>
      <c r="C3" s="501" t="s">
        <v>353</v>
      </c>
      <c r="D3" s="501" t="s">
        <v>354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355</v>
      </c>
      <c r="L3" s="501" t="s">
        <v>356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357</v>
      </c>
      <c r="C4" s="501" t="s">
        <v>353</v>
      </c>
      <c r="D4" s="501" t="s">
        <v>354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358</v>
      </c>
      <c r="L4" s="501" t="s">
        <v>356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359</v>
      </c>
      <c r="C5" s="501" t="s">
        <v>360</v>
      </c>
      <c r="D5" s="501" t="s">
        <v>354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358</v>
      </c>
      <c r="L5" s="501" t="s">
        <v>356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361</v>
      </c>
      <c r="C6" s="501" t="s">
        <v>353</v>
      </c>
      <c r="D6" s="501" t="s">
        <v>277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355</v>
      </c>
      <c r="L6" s="501" t="s">
        <v>356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362</v>
      </c>
      <c r="C7" s="501" t="s">
        <v>353</v>
      </c>
      <c r="D7" s="501" t="s">
        <v>354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355</v>
      </c>
      <c r="L7" s="501" t="s">
        <v>356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363</v>
      </c>
      <c r="C8" s="501" t="s">
        <v>360</v>
      </c>
      <c r="D8" s="501" t="s">
        <v>277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355</v>
      </c>
      <c r="L8" s="501" t="s">
        <v>356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364</v>
      </c>
      <c r="C9" s="501" t="s">
        <v>303</v>
      </c>
      <c r="D9" s="501" t="s">
        <v>354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358</v>
      </c>
      <c r="L9" s="526" t="s">
        <v>356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365</v>
      </c>
      <c r="C10" s="501" t="s">
        <v>353</v>
      </c>
      <c r="D10" s="501" t="s">
        <v>354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358</v>
      </c>
      <c r="L10" s="501" t="s">
        <v>356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366</v>
      </c>
      <c r="C11" s="501" t="s">
        <v>360</v>
      </c>
      <c r="D11" s="501" t="s">
        <v>354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355</v>
      </c>
      <c r="L11" s="501" t="s">
        <v>356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367</v>
      </c>
      <c r="C12" s="501" t="s">
        <v>353</v>
      </c>
      <c r="D12" s="501" t="s">
        <v>354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358</v>
      </c>
      <c r="L12" s="501" t="s">
        <v>356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368</v>
      </c>
      <c r="C13" s="501" t="s">
        <v>353</v>
      </c>
      <c r="D13" s="501" t="s">
        <v>354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358</v>
      </c>
      <c r="L13" s="501" t="s">
        <v>356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137</v>
      </c>
      <c r="C14" s="501" t="s">
        <v>353</v>
      </c>
      <c r="D14" s="501" t="s">
        <v>354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369</v>
      </c>
      <c r="L14" s="501" t="s">
        <v>356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370</v>
      </c>
      <c r="C15" s="501" t="s">
        <v>353</v>
      </c>
      <c r="D15" s="501" t="s">
        <v>354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369</v>
      </c>
      <c r="L15" s="501" t="s">
        <v>356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371</v>
      </c>
      <c r="C16" s="501" t="s">
        <v>305</v>
      </c>
      <c r="D16" s="501" t="s">
        <v>354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369</v>
      </c>
      <c r="L16" s="501" t="s">
        <v>356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372</v>
      </c>
      <c r="C17" s="501" t="s">
        <v>301</v>
      </c>
      <c r="D17" s="501" t="s">
        <v>354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369</v>
      </c>
      <c r="L17" s="501" t="s">
        <v>356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373</v>
      </c>
      <c r="C18" s="501" t="s">
        <v>301</v>
      </c>
      <c r="D18" s="501" t="s">
        <v>354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369</v>
      </c>
      <c r="L18" s="501" t="s">
        <v>356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374</v>
      </c>
      <c r="C19" s="501" t="s">
        <v>360</v>
      </c>
      <c r="D19" s="501" t="s">
        <v>354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358</v>
      </c>
      <c r="L19" s="501" t="s">
        <v>356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375</v>
      </c>
      <c r="C20" s="501" t="s">
        <v>376</v>
      </c>
      <c r="D20" s="501" t="s">
        <v>354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369</v>
      </c>
      <c r="L20" s="501" t="s">
        <v>356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377</v>
      </c>
      <c r="C21" s="501" t="s">
        <v>338</v>
      </c>
      <c r="D21" s="501" t="s">
        <v>354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378</v>
      </c>
      <c r="L21" s="501" t="s">
        <v>356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379</v>
      </c>
      <c r="C22" s="501" t="s">
        <v>360</v>
      </c>
      <c r="D22" s="501" t="s">
        <v>354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378</v>
      </c>
      <c r="L22" s="501" t="s">
        <v>356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380</v>
      </c>
      <c r="C23" s="501" t="s">
        <v>353</v>
      </c>
      <c r="D23" s="501" t="s">
        <v>354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378</v>
      </c>
      <c r="L23" s="501" t="s">
        <v>356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168</v>
      </c>
      <c r="C24" s="501" t="s">
        <v>303</v>
      </c>
      <c r="D24" s="501" t="s">
        <v>354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356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381</v>
      </c>
      <c r="C25" s="501" t="s">
        <v>353</v>
      </c>
      <c r="D25" s="501" t="s">
        <v>354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358</v>
      </c>
      <c r="L25" s="501" t="s">
        <v>356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176</v>
      </c>
      <c r="C26" s="501" t="s">
        <v>353</v>
      </c>
      <c r="D26" s="501" t="s">
        <v>354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382</v>
      </c>
      <c r="L26" s="501" t="s">
        <v>356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383</v>
      </c>
      <c r="C27" s="501" t="s">
        <v>353</v>
      </c>
      <c r="D27" s="501" t="s">
        <v>354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384</v>
      </c>
      <c r="L27" s="501" t="s">
        <v>356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385</v>
      </c>
      <c r="C28" s="501" t="s">
        <v>360</v>
      </c>
      <c r="D28" s="501" t="s">
        <v>354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382</v>
      </c>
      <c r="L28" s="501" t="s">
        <v>356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386</v>
      </c>
      <c r="C29" s="521" t="s">
        <v>353</v>
      </c>
      <c r="D29" s="521" t="s">
        <v>277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358</v>
      </c>
      <c r="L29" s="526" t="s">
        <v>387</v>
      </c>
      <c r="M29" s="526"/>
      <c r="N29" s="521"/>
    </row>
    <row r="30" spans="1:14" ht="25.15" customHeight="1">
      <c r="A30" s="501">
        <f t="shared" si="0"/>
        <v>28</v>
      </c>
      <c r="B30" s="501" t="s">
        <v>388</v>
      </c>
      <c r="C30" s="501" t="s">
        <v>353</v>
      </c>
      <c r="D30" s="501" t="s">
        <v>354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358</v>
      </c>
      <c r="L30" s="526" t="s">
        <v>387</v>
      </c>
      <c r="M30" s="526"/>
      <c r="N30" s="501"/>
    </row>
    <row r="31" spans="1:14" ht="25.15" customHeight="1">
      <c r="A31" s="501">
        <f t="shared" si="0"/>
        <v>29</v>
      </c>
      <c r="B31" s="501" t="s">
        <v>389</v>
      </c>
      <c r="C31" s="501" t="s">
        <v>353</v>
      </c>
      <c r="D31" s="501" t="s">
        <v>277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358</v>
      </c>
      <c r="L31" s="526" t="s">
        <v>387</v>
      </c>
      <c r="M31" s="526"/>
      <c r="N31" s="501"/>
    </row>
    <row r="32" spans="1:14" ht="25.15" customHeight="1">
      <c r="A32" s="501">
        <f t="shared" si="0"/>
        <v>30</v>
      </c>
      <c r="B32" s="501" t="s">
        <v>390</v>
      </c>
      <c r="C32" s="501" t="s">
        <v>353</v>
      </c>
      <c r="D32" s="501" t="s">
        <v>354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358</v>
      </c>
      <c r="L32" s="526" t="s">
        <v>387</v>
      </c>
      <c r="M32" s="526"/>
      <c r="N32" s="501"/>
    </row>
    <row r="33" spans="1:14" ht="25.15" customHeight="1">
      <c r="A33" s="501">
        <f t="shared" si="0"/>
        <v>31</v>
      </c>
      <c r="B33" s="501" t="s">
        <v>391</v>
      </c>
      <c r="C33" s="501" t="s">
        <v>392</v>
      </c>
      <c r="D33" s="501" t="s">
        <v>354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384</v>
      </c>
      <c r="L33" s="501" t="s">
        <v>356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138</v>
      </c>
      <c r="C34" s="501" t="s">
        <v>360</v>
      </c>
      <c r="D34" s="501" t="s">
        <v>354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382</v>
      </c>
      <c r="L34" s="501" t="s">
        <v>356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393</v>
      </c>
      <c r="C35" s="501" t="s">
        <v>353</v>
      </c>
      <c r="D35" s="501" t="s">
        <v>354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382</v>
      </c>
      <c r="L35" s="501" t="s">
        <v>356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136</v>
      </c>
      <c r="C36" s="501" t="s">
        <v>394</v>
      </c>
      <c r="D36" s="501" t="s">
        <v>354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358</v>
      </c>
      <c r="L36" s="501" t="s">
        <v>356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395</v>
      </c>
      <c r="C37" s="501" t="s">
        <v>396</v>
      </c>
      <c r="D37" s="501" t="s">
        <v>354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397</v>
      </c>
      <c r="L37" s="501" t="s">
        <v>356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398</v>
      </c>
      <c r="C38" s="501" t="s">
        <v>399</v>
      </c>
      <c r="D38" s="501" t="s">
        <v>354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382</v>
      </c>
      <c r="L38" s="501" t="s">
        <v>356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400</v>
      </c>
      <c r="C39" s="501" t="s">
        <v>360</v>
      </c>
      <c r="D39" s="501" t="s">
        <v>277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401</v>
      </c>
      <c r="L39" s="501" t="s">
        <v>356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177</v>
      </c>
      <c r="C40" s="501" t="s">
        <v>402</v>
      </c>
      <c r="D40" s="501" t="s">
        <v>354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397</v>
      </c>
      <c r="L40" s="501" t="s">
        <v>356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403</v>
      </c>
      <c r="C41" s="501" t="s">
        <v>376</v>
      </c>
      <c r="D41" s="501" t="s">
        <v>354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382</v>
      </c>
      <c r="L41" s="501" t="s">
        <v>356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178</v>
      </c>
      <c r="C42" s="501" t="s">
        <v>353</v>
      </c>
      <c r="D42" s="501" t="s">
        <v>354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404</v>
      </c>
      <c r="L42" s="501" t="s">
        <v>356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180</v>
      </c>
      <c r="C43" s="501" t="s">
        <v>353</v>
      </c>
      <c r="D43" s="501" t="s">
        <v>277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405</v>
      </c>
      <c r="L43" s="501" t="s">
        <v>356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406</v>
      </c>
      <c r="C44" s="501" t="s">
        <v>353</v>
      </c>
      <c r="D44" s="501" t="s">
        <v>277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401</v>
      </c>
      <c r="L44" s="501" t="s">
        <v>356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407</v>
      </c>
      <c r="C45" s="501" t="s">
        <v>353</v>
      </c>
      <c r="D45" s="501" t="s">
        <v>277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384</v>
      </c>
      <c r="L45" s="501" t="s">
        <v>356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408</v>
      </c>
      <c r="C46" s="501" t="s">
        <v>353</v>
      </c>
      <c r="D46" s="501" t="s">
        <v>277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397</v>
      </c>
      <c r="L46" s="501" t="s">
        <v>356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409</v>
      </c>
      <c r="C47" s="501" t="s">
        <v>353</v>
      </c>
      <c r="D47" s="501" t="s">
        <v>277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405</v>
      </c>
      <c r="L47" s="501" t="s">
        <v>356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140</v>
      </c>
      <c r="C48" s="501" t="s">
        <v>305</v>
      </c>
      <c r="D48" s="501" t="s">
        <v>354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382</v>
      </c>
      <c r="L48" s="501" t="s">
        <v>356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410</v>
      </c>
      <c r="C49" s="501" t="s">
        <v>353</v>
      </c>
      <c r="D49" s="501" t="s">
        <v>277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382</v>
      </c>
      <c r="L49" s="501" t="s">
        <v>356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411</v>
      </c>
      <c r="C50" s="501" t="s">
        <v>353</v>
      </c>
      <c r="D50" s="501" t="s">
        <v>277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412</v>
      </c>
      <c r="L50" s="501" t="s">
        <v>356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413</v>
      </c>
      <c r="C51" s="501" t="s">
        <v>399</v>
      </c>
      <c r="D51" s="501" t="s">
        <v>354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397</v>
      </c>
      <c r="L51" s="501" t="s">
        <v>356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414</v>
      </c>
      <c r="C52" s="501" t="s">
        <v>303</v>
      </c>
      <c r="D52" s="501" t="s">
        <v>277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405</v>
      </c>
      <c r="L52" s="501" t="s">
        <v>356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415</v>
      </c>
      <c r="C53" s="501" t="s">
        <v>353</v>
      </c>
      <c r="D53" s="501" t="s">
        <v>277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416</v>
      </c>
      <c r="L53" s="501" t="s">
        <v>356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417</v>
      </c>
      <c r="C54" s="501" t="s">
        <v>338</v>
      </c>
      <c r="D54" s="501" t="s">
        <v>277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412</v>
      </c>
      <c r="L54" s="501" t="s">
        <v>356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418</v>
      </c>
      <c r="C55" s="501" t="s">
        <v>402</v>
      </c>
      <c r="D55" s="501" t="s">
        <v>419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416</v>
      </c>
      <c r="L55" s="501" t="s">
        <v>356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420</v>
      </c>
      <c r="C56" s="501" t="s">
        <v>399</v>
      </c>
      <c r="D56" s="501" t="s">
        <v>277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384</v>
      </c>
      <c r="L56" s="501" t="s">
        <v>356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421</v>
      </c>
      <c r="C57" s="501" t="s">
        <v>303</v>
      </c>
      <c r="D57" s="501" t="s">
        <v>354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405</v>
      </c>
      <c r="L57" s="501" t="s">
        <v>356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422</v>
      </c>
      <c r="C58" s="501" t="s">
        <v>305</v>
      </c>
      <c r="D58" s="501" t="s">
        <v>423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397</v>
      </c>
      <c r="L58" s="501" t="s">
        <v>356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424</v>
      </c>
      <c r="C59" s="501" t="s">
        <v>402</v>
      </c>
      <c r="D59" s="501" t="s">
        <v>277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412</v>
      </c>
      <c r="L59" s="501" t="s">
        <v>356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425</v>
      </c>
      <c r="C60" s="501" t="s">
        <v>353</v>
      </c>
      <c r="D60" s="501" t="s">
        <v>277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405</v>
      </c>
      <c r="L60" s="501" t="s">
        <v>356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426</v>
      </c>
      <c r="C61" s="501" t="s">
        <v>353</v>
      </c>
      <c r="D61" s="501" t="s">
        <v>277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427</v>
      </c>
      <c r="L61" s="501" t="s">
        <v>356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428</v>
      </c>
      <c r="C62" s="501" t="s">
        <v>333</v>
      </c>
      <c r="D62" s="501" t="s">
        <v>277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429</v>
      </c>
      <c r="L62" s="501" t="s">
        <v>356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430</v>
      </c>
      <c r="C63" s="501" t="s">
        <v>295</v>
      </c>
      <c r="D63" s="501" t="s">
        <v>277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405</v>
      </c>
      <c r="L63" s="501" t="s">
        <v>356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431</v>
      </c>
      <c r="C64" s="501" t="s">
        <v>376</v>
      </c>
      <c r="D64" s="501" t="s">
        <v>277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427</v>
      </c>
      <c r="L64" s="501" t="s">
        <v>356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432</v>
      </c>
      <c r="C65" s="501" t="s">
        <v>360</v>
      </c>
      <c r="D65" s="501" t="s">
        <v>277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405</v>
      </c>
      <c r="L65" s="501" t="s">
        <v>356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433</v>
      </c>
      <c r="C66" s="513" t="s">
        <v>353</v>
      </c>
      <c r="D66" s="515" t="s">
        <v>277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405</v>
      </c>
      <c r="L66" s="501" t="s">
        <v>356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434</v>
      </c>
      <c r="C67" s="513" t="s">
        <v>353</v>
      </c>
      <c r="D67" s="515" t="s">
        <v>277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412</v>
      </c>
      <c r="L67" s="526" t="s">
        <v>356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435</v>
      </c>
      <c r="C68" s="513" t="s">
        <v>353</v>
      </c>
      <c r="D68" s="515" t="s">
        <v>277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436</v>
      </c>
      <c r="L68" s="501" t="s">
        <v>356</v>
      </c>
      <c r="M68" s="503">
        <v>46150</v>
      </c>
      <c r="N68" s="501"/>
    </row>
    <row r="69" spans="1:14" ht="25.15" customHeight="1">
      <c r="A69" s="501">
        <f t="shared" ref="A69:A92" si="2">A68+1</f>
        <v>67</v>
      </c>
      <c r="B69" s="514" t="s">
        <v>437</v>
      </c>
      <c r="C69" s="513" t="s">
        <v>360</v>
      </c>
      <c r="D69" s="515" t="s">
        <v>277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436</v>
      </c>
      <c r="L69" s="501" t="s">
        <v>356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174</v>
      </c>
      <c r="C70" s="513" t="s">
        <v>301</v>
      </c>
      <c r="D70" s="515" t="s">
        <v>354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405</v>
      </c>
      <c r="L70" s="501" t="s">
        <v>356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139</v>
      </c>
      <c r="C71" s="513" t="s">
        <v>360</v>
      </c>
      <c r="D71" s="515" t="s">
        <v>354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405</v>
      </c>
      <c r="L71" s="501" t="s">
        <v>356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438</v>
      </c>
      <c r="C72" s="513" t="s">
        <v>353</v>
      </c>
      <c r="D72" s="515" t="s">
        <v>277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436</v>
      </c>
      <c r="L72" s="501" t="s">
        <v>356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439</v>
      </c>
      <c r="C73" s="513" t="s">
        <v>360</v>
      </c>
      <c r="D73" s="515" t="s">
        <v>354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436</v>
      </c>
      <c r="L73" s="501" t="s">
        <v>356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440</v>
      </c>
      <c r="C74" s="513" t="s">
        <v>360</v>
      </c>
      <c r="D74" s="515" t="s">
        <v>354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412</v>
      </c>
      <c r="L74" s="521" t="s">
        <v>356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150</v>
      </c>
      <c r="C75" s="513" t="s">
        <v>312</v>
      </c>
      <c r="D75" s="515" t="s">
        <v>277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436</v>
      </c>
      <c r="L75" s="501" t="s">
        <v>356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441</v>
      </c>
      <c r="C76" s="513" t="s">
        <v>353</v>
      </c>
      <c r="D76" s="515" t="s">
        <v>354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436</v>
      </c>
      <c r="L76" s="501" t="s">
        <v>356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442</v>
      </c>
      <c r="C77" s="513" t="s">
        <v>353</v>
      </c>
      <c r="D77" s="515" t="s">
        <v>277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443</v>
      </c>
      <c r="L77" s="501" t="s">
        <v>356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444</v>
      </c>
      <c r="C78" s="513" t="s">
        <v>353</v>
      </c>
      <c r="D78" s="515" t="s">
        <v>354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436</v>
      </c>
      <c r="L78" s="501" t="s">
        <v>356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445</v>
      </c>
      <c r="C79" s="513" t="s">
        <v>376</v>
      </c>
      <c r="D79" s="515" t="s">
        <v>354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405</v>
      </c>
      <c r="L79" s="501" t="s">
        <v>356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446</v>
      </c>
      <c r="C80" s="513" t="s">
        <v>360</v>
      </c>
      <c r="D80" s="515" t="s">
        <v>354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436</v>
      </c>
      <c r="L80" s="501" t="s">
        <v>356</v>
      </c>
      <c r="M80" s="503">
        <v>46162</v>
      </c>
      <c r="N80" s="501" t="s">
        <v>447</v>
      </c>
    </row>
    <row r="81" spans="1:14" ht="29.45" customHeight="1">
      <c r="A81" s="501">
        <f t="shared" si="2"/>
        <v>79</v>
      </c>
      <c r="B81" s="514" t="s">
        <v>448</v>
      </c>
      <c r="C81" s="513" t="s">
        <v>301</v>
      </c>
      <c r="D81" s="515" t="s">
        <v>449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450</v>
      </c>
      <c r="L81" s="501" t="s">
        <v>356</v>
      </c>
      <c r="M81" s="503">
        <v>46150</v>
      </c>
      <c r="N81" s="501"/>
    </row>
    <row r="82" spans="1:14" ht="29.45" customHeight="1">
      <c r="A82" s="501">
        <f t="shared" si="2"/>
        <v>80</v>
      </c>
      <c r="B82" s="514" t="s">
        <v>451</v>
      </c>
      <c r="C82" s="513" t="s">
        <v>360</v>
      </c>
      <c r="D82" s="515" t="s">
        <v>354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405</v>
      </c>
      <c r="L82" s="501" t="s">
        <v>356</v>
      </c>
      <c r="M82" s="503">
        <v>46166</v>
      </c>
      <c r="N82" s="501" t="s">
        <v>67</v>
      </c>
    </row>
    <row r="83" spans="1:14" ht="29.45" customHeight="1">
      <c r="A83" s="501">
        <f t="shared" si="2"/>
        <v>81</v>
      </c>
      <c r="B83" s="514" t="s">
        <v>452</v>
      </c>
      <c r="C83" s="513" t="s">
        <v>360</v>
      </c>
      <c r="D83" s="515" t="s">
        <v>277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436</v>
      </c>
      <c r="L83" s="501" t="s">
        <v>356</v>
      </c>
      <c r="M83" s="503">
        <v>46169</v>
      </c>
      <c r="N83" s="501" t="s">
        <v>67</v>
      </c>
    </row>
    <row r="84" spans="1:14" ht="29.45" customHeight="1">
      <c r="A84" s="501">
        <f t="shared" si="2"/>
        <v>82</v>
      </c>
      <c r="B84" s="514" t="s">
        <v>151</v>
      </c>
      <c r="C84" s="513" t="s">
        <v>338</v>
      </c>
      <c r="D84" s="515" t="s">
        <v>277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412</v>
      </c>
      <c r="L84" s="501" t="s">
        <v>356</v>
      </c>
      <c r="M84" s="503">
        <v>46173</v>
      </c>
      <c r="N84" s="501"/>
    </row>
    <row r="85" spans="1:14" ht="29.45" customHeight="1">
      <c r="A85" s="501">
        <f t="shared" si="2"/>
        <v>83</v>
      </c>
      <c r="B85" s="501" t="s">
        <v>453</v>
      </c>
      <c r="C85" s="501" t="s">
        <v>303</v>
      </c>
      <c r="D85" s="515" t="s">
        <v>423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454</v>
      </c>
      <c r="L85" s="501" t="s">
        <v>356</v>
      </c>
      <c r="M85" s="503">
        <v>46181</v>
      </c>
      <c r="N85" s="501"/>
    </row>
    <row r="86" spans="1:14" ht="29.45" customHeight="1">
      <c r="A86" s="501">
        <f t="shared" si="2"/>
        <v>84</v>
      </c>
      <c r="B86" s="514" t="s">
        <v>455</v>
      </c>
      <c r="C86" s="513" t="s">
        <v>360</v>
      </c>
      <c r="D86" s="515" t="s">
        <v>277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384</v>
      </c>
      <c r="L86" s="501" t="s">
        <v>356</v>
      </c>
      <c r="M86" s="503">
        <v>46182</v>
      </c>
      <c r="N86" s="501"/>
    </row>
    <row r="87" spans="1:14" ht="36.6" customHeight="1">
      <c r="A87" s="501">
        <f t="shared" si="2"/>
        <v>85</v>
      </c>
      <c r="B87" s="501" t="s">
        <v>456</v>
      </c>
      <c r="C87" s="501" t="s">
        <v>353</v>
      </c>
      <c r="D87" s="515" t="s">
        <v>277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436</v>
      </c>
      <c r="L87" s="501" t="s">
        <v>356</v>
      </c>
      <c r="M87" s="503">
        <v>46176</v>
      </c>
      <c r="N87" s="501"/>
    </row>
    <row r="88" spans="1:14" ht="36.6" customHeight="1">
      <c r="A88" s="501">
        <f t="shared" si="2"/>
        <v>86</v>
      </c>
      <c r="B88" s="501" t="s">
        <v>457</v>
      </c>
      <c r="C88" s="501" t="s">
        <v>360</v>
      </c>
      <c r="D88" s="515" t="s">
        <v>354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384</v>
      </c>
      <c r="L88" s="501" t="s">
        <v>356</v>
      </c>
      <c r="M88" s="503">
        <v>46181</v>
      </c>
      <c r="N88" s="501" t="s">
        <v>67</v>
      </c>
    </row>
    <row r="89" spans="1:14" ht="36.6" customHeight="1">
      <c r="A89" s="501">
        <v>87</v>
      </c>
      <c r="B89" s="501" t="s">
        <v>459</v>
      </c>
      <c r="C89" s="501" t="s">
        <v>360</v>
      </c>
      <c r="D89" s="515" t="s">
        <v>354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460</v>
      </c>
      <c r="L89" s="501"/>
      <c r="M89" s="503"/>
      <c r="N89" s="501" t="s">
        <v>67</v>
      </c>
    </row>
    <row r="90" spans="1:14" ht="36.6" customHeight="1">
      <c r="A90" s="501">
        <v>88</v>
      </c>
      <c r="B90" s="501" t="s">
        <v>458</v>
      </c>
      <c r="C90" s="501" t="s">
        <v>376</v>
      </c>
      <c r="D90" s="515" t="s">
        <v>449</v>
      </c>
      <c r="E90" s="502">
        <f>155.628+13.285</f>
        <v>168.91299999999998</v>
      </c>
      <c r="F90" s="503">
        <v>46170</v>
      </c>
      <c r="G90" s="507" t="s">
        <v>67</v>
      </c>
      <c r="H90" s="501" t="s">
        <v>38</v>
      </c>
      <c r="I90" s="503">
        <v>46183</v>
      </c>
      <c r="J90" s="505"/>
      <c r="K90" s="508" t="s">
        <v>436</v>
      </c>
      <c r="L90" s="501"/>
      <c r="M90" s="503"/>
      <c r="N90" s="501" t="s">
        <v>67</v>
      </c>
    </row>
    <row r="91" spans="1:14" ht="36.6" customHeight="1">
      <c r="A91" s="501">
        <v>89</v>
      </c>
      <c r="B91" s="501" t="s">
        <v>461</v>
      </c>
      <c r="C91" s="501" t="s">
        <v>360</v>
      </c>
      <c r="D91" s="515" t="s">
        <v>354</v>
      </c>
      <c r="E91" s="502">
        <f>37.148+3.486</f>
        <v>40.634</v>
      </c>
      <c r="F91" s="503">
        <v>46176</v>
      </c>
      <c r="G91" s="507" t="s">
        <v>67</v>
      </c>
      <c r="H91" s="501" t="s">
        <v>38</v>
      </c>
      <c r="I91" s="503">
        <v>46184</v>
      </c>
      <c r="J91" s="505"/>
      <c r="K91" s="508" t="s">
        <v>384</v>
      </c>
      <c r="L91" s="501"/>
      <c r="M91" s="503"/>
      <c r="N91" s="501"/>
    </row>
    <row r="92" spans="1:14" ht="36.6" customHeight="1">
      <c r="A92" s="501">
        <f t="shared" si="2"/>
        <v>90</v>
      </c>
      <c r="B92" s="501" t="s">
        <v>462</v>
      </c>
      <c r="C92" s="501" t="s">
        <v>463</v>
      </c>
      <c r="D92" s="515" t="s">
        <v>277</v>
      </c>
      <c r="E92" s="502">
        <v>117.033</v>
      </c>
      <c r="F92" s="503">
        <v>46181</v>
      </c>
      <c r="G92" s="507" t="s">
        <v>67</v>
      </c>
      <c r="H92" s="501" t="s">
        <v>38</v>
      </c>
      <c r="I92" s="503">
        <v>46187</v>
      </c>
      <c r="J92" s="505"/>
      <c r="K92" s="508" t="s">
        <v>436</v>
      </c>
      <c r="L92" s="501" t="s">
        <v>356</v>
      </c>
      <c r="M92" s="503">
        <v>46188</v>
      </c>
      <c r="N92" s="501"/>
    </row>
    <row r="93" spans="1:14" ht="45.6" customHeight="1">
      <c r="A93" s="501">
        <v>91</v>
      </c>
      <c r="B93" s="501" t="s">
        <v>592</v>
      </c>
      <c r="C93" s="501" t="s">
        <v>353</v>
      </c>
      <c r="D93" s="515" t="s">
        <v>277</v>
      </c>
      <c r="E93" s="502">
        <v>63.346000000000004</v>
      </c>
      <c r="F93" s="503">
        <v>46181</v>
      </c>
      <c r="G93" s="507" t="s">
        <v>67</v>
      </c>
      <c r="H93" s="501" t="s">
        <v>38</v>
      </c>
      <c r="I93" s="503">
        <v>46187</v>
      </c>
      <c r="J93" s="505"/>
      <c r="K93" s="508" t="s">
        <v>405</v>
      </c>
      <c r="L93" s="501" t="s">
        <v>356</v>
      </c>
      <c r="M93" s="503">
        <v>46188</v>
      </c>
      <c r="N93" s="501"/>
    </row>
    <row r="94" spans="1:14" ht="45.6" customHeight="1">
      <c r="A94" s="501">
        <v>92</v>
      </c>
      <c r="B94" s="501" t="s">
        <v>558</v>
      </c>
      <c r="C94" s="501" t="s">
        <v>353</v>
      </c>
      <c r="D94" s="515" t="s">
        <v>354</v>
      </c>
      <c r="E94" s="502">
        <v>39.126000000000005</v>
      </c>
      <c r="F94" s="503">
        <v>46181</v>
      </c>
      <c r="G94" s="507" t="s">
        <v>67</v>
      </c>
      <c r="H94" s="501" t="s">
        <v>38</v>
      </c>
      <c r="I94" s="503">
        <v>46188</v>
      </c>
      <c r="J94" s="505"/>
      <c r="K94" s="508" t="s">
        <v>429</v>
      </c>
      <c r="L94" s="501" t="s">
        <v>356</v>
      </c>
      <c r="M94" s="503">
        <v>46189</v>
      </c>
      <c r="N94" s="501"/>
    </row>
    <row r="95" spans="1:14" ht="51.75" customHeight="1">
      <c r="A95" s="588">
        <v>93</v>
      </c>
      <c r="B95" s="595" t="s">
        <v>555</v>
      </c>
      <c r="C95" s="596" t="s">
        <v>376</v>
      </c>
      <c r="D95" s="589" t="s">
        <v>277</v>
      </c>
      <c r="E95" s="594">
        <v>134.785</v>
      </c>
      <c r="F95" s="590">
        <v>46185</v>
      </c>
      <c r="G95" s="591" t="s">
        <v>1120</v>
      </c>
      <c r="H95" s="588"/>
      <c r="I95" s="590"/>
      <c r="J95" s="592"/>
      <c r="K95" s="593" t="s">
        <v>429</v>
      </c>
      <c r="L95" s="590"/>
      <c r="M95" s="597"/>
      <c r="N95" s="588"/>
    </row>
    <row r="96" spans="1:14" ht="49.5" customHeight="1">
      <c r="A96" s="588">
        <v>94</v>
      </c>
      <c r="B96" s="595" t="s">
        <v>565</v>
      </c>
      <c r="C96" s="596" t="s">
        <v>399</v>
      </c>
      <c r="D96" s="589" t="s">
        <v>277</v>
      </c>
      <c r="E96" s="589">
        <f>5.618+57.728</f>
        <v>63.346000000000004</v>
      </c>
      <c r="F96" s="590">
        <v>46188</v>
      </c>
      <c r="G96" s="591" t="s">
        <v>1121</v>
      </c>
      <c r="H96" s="588"/>
      <c r="I96" s="590"/>
      <c r="J96" s="592"/>
      <c r="K96" s="593" t="s">
        <v>436</v>
      </c>
      <c r="L96" s="588"/>
      <c r="M96" s="597"/>
      <c r="N96" s="588"/>
    </row>
    <row r="97" spans="1:14" ht="51.75" customHeight="1">
      <c r="A97" s="588">
        <v>95</v>
      </c>
      <c r="B97" s="595" t="s">
        <v>591</v>
      </c>
      <c r="C97" s="596" t="s">
        <v>353</v>
      </c>
      <c r="D97" s="589"/>
      <c r="E97" s="594"/>
      <c r="F97" s="590"/>
      <c r="G97" s="591"/>
      <c r="H97" s="588"/>
      <c r="I97" s="590"/>
      <c r="J97" s="592"/>
      <c r="K97" s="593" t="s">
        <v>405</v>
      </c>
      <c r="L97" s="590"/>
      <c r="M97" s="597"/>
      <c r="N97" s="588"/>
    </row>
    <row r="98" spans="1:14" ht="49.5" customHeight="1">
      <c r="A98" s="588"/>
      <c r="B98" s="595"/>
      <c r="C98" s="596"/>
      <c r="D98" s="589"/>
      <c r="E98" s="594"/>
      <c r="F98" s="590"/>
      <c r="G98" s="591"/>
      <c r="H98" s="588"/>
      <c r="I98" s="590"/>
      <c r="J98" s="592"/>
      <c r="K98" s="593"/>
      <c r="L98" s="588"/>
      <c r="M98" s="597"/>
      <c r="N98" s="588"/>
    </row>
    <row r="99" spans="1:14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4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  <c r="M100" s="487"/>
    </row>
    <row r="101" spans="1:14" ht="30" customHeight="1">
      <c r="A101" s="465"/>
      <c r="B101" s="466"/>
      <c r="C101" s="467"/>
      <c r="D101" s="468"/>
      <c r="E101" s="469"/>
      <c r="F101" s="499"/>
      <c r="G101" s="474"/>
      <c r="H101" s="470"/>
      <c r="I101" s="500"/>
      <c r="J101" s="472"/>
      <c r="K101" s="489"/>
      <c r="M101" s="486"/>
    </row>
    <row r="102" spans="1:14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  <c r="M102" s="486"/>
    </row>
    <row r="103" spans="1:14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</row>
    <row r="104" spans="1:14" ht="30" customHeight="1">
      <c r="A104" s="465"/>
      <c r="B104" s="466"/>
      <c r="C104" s="467"/>
      <c r="D104" s="468"/>
      <c r="E104" s="469"/>
      <c r="F104" s="499"/>
      <c r="G104" s="477"/>
      <c r="H104" s="484"/>
      <c r="I104" s="500"/>
      <c r="J104" s="472"/>
      <c r="K104" s="489"/>
      <c r="M104" s="486"/>
    </row>
    <row r="105" spans="1:14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4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4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4" ht="30" customHeight="1">
      <c r="A108" s="465"/>
      <c r="B108" s="466"/>
      <c r="C108" s="467"/>
      <c r="D108" s="468"/>
      <c r="E108" s="469"/>
      <c r="F108" s="499"/>
      <c r="G108" s="474"/>
      <c r="H108" s="484"/>
      <c r="I108" s="500"/>
      <c r="J108" s="472"/>
      <c r="K108" s="489"/>
    </row>
    <row r="109" spans="1:14" ht="30" customHeight="1">
      <c r="A109" s="465"/>
      <c r="B109" s="466"/>
      <c r="C109" s="467"/>
      <c r="D109" s="468"/>
      <c r="E109" s="469"/>
      <c r="F109" s="499"/>
      <c r="G109" s="474"/>
      <c r="H109" s="484"/>
      <c r="I109" s="500"/>
      <c r="J109" s="472"/>
      <c r="K109" s="489"/>
      <c r="M109" s="486"/>
    </row>
    <row r="110" spans="1:14" ht="30" customHeight="1">
      <c r="A110" s="465"/>
      <c r="B110" s="466"/>
      <c r="C110" s="467"/>
      <c r="D110" s="468"/>
      <c r="E110" s="469"/>
      <c r="F110" s="499"/>
      <c r="G110" s="474"/>
      <c r="H110" s="484"/>
      <c r="I110" s="500"/>
      <c r="J110" s="472"/>
      <c r="K110" s="489"/>
    </row>
    <row r="111" spans="1:14" ht="30" customHeight="1">
      <c r="A111" s="465"/>
      <c r="B111" s="466"/>
      <c r="C111" s="467"/>
      <c r="D111" s="468"/>
      <c r="E111" s="469"/>
      <c r="F111" s="499"/>
      <c r="G111" s="477"/>
      <c r="H111" s="470"/>
      <c r="I111" s="500"/>
      <c r="J111" s="472"/>
      <c r="K111" s="489"/>
    </row>
    <row r="112" spans="1:14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</row>
    <row r="113" spans="1:14" ht="30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2"/>
      <c r="K113" s="489"/>
    </row>
    <row r="114" spans="1:14" ht="30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2"/>
      <c r="K114" s="489"/>
      <c r="M114" s="486"/>
    </row>
    <row r="115" spans="1:14" ht="30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2"/>
      <c r="K115" s="489"/>
      <c r="M115" s="486"/>
    </row>
    <row r="116" spans="1:14" s="464" customFormat="1" ht="44.1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5"/>
      <c r="K116" s="489"/>
      <c r="L116" s="428"/>
      <c r="M116" s="486"/>
      <c r="N116" s="484"/>
    </row>
    <row r="117" spans="1:14" ht="44.1" customHeight="1">
      <c r="A117" s="465"/>
      <c r="B117" s="466"/>
      <c r="C117" s="467"/>
      <c r="D117" s="468"/>
      <c r="E117" s="469"/>
      <c r="F117" s="499"/>
      <c r="G117" s="474"/>
      <c r="H117" s="470"/>
      <c r="I117" s="500"/>
      <c r="J117" s="475"/>
      <c r="K117" s="489"/>
      <c r="M117" s="480"/>
      <c r="N117" s="484"/>
    </row>
    <row r="118" spans="1:14" s="464" customFormat="1" ht="44.1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6"/>
      <c r="K118" s="489"/>
      <c r="L118" s="484"/>
      <c r="M118" s="484"/>
      <c r="N118" s="484"/>
    </row>
    <row r="119" spans="1:14" ht="30" customHeight="1">
      <c r="A119" s="465"/>
      <c r="B119" s="466"/>
      <c r="C119" s="467"/>
      <c r="D119" s="468"/>
      <c r="E119" s="469"/>
      <c r="F119" s="499"/>
      <c r="G119" s="474"/>
      <c r="H119" s="470"/>
      <c r="I119" s="500"/>
      <c r="J119" s="472"/>
      <c r="K119" s="489"/>
    </row>
    <row r="120" spans="1:14" s="464" customFormat="1" ht="48" customHeight="1">
      <c r="A120" s="465"/>
      <c r="B120" s="466"/>
      <c r="C120" s="467"/>
      <c r="D120" s="468"/>
      <c r="E120" s="469"/>
      <c r="F120" s="499"/>
      <c r="G120" s="477"/>
      <c r="H120" s="470"/>
      <c r="I120" s="500"/>
      <c r="J120" s="472"/>
      <c r="K120" s="489"/>
      <c r="L120" s="428"/>
      <c r="M120" s="428"/>
      <c r="N120" s="428"/>
    </row>
    <row r="121" spans="1:14" ht="43.35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ht="30" customHeight="1">
      <c r="A122" s="465"/>
      <c r="B122" s="466"/>
      <c r="C122" s="467"/>
      <c r="D122" s="468"/>
      <c r="E122" s="469"/>
      <c r="F122" s="499"/>
      <c r="G122" s="477"/>
      <c r="H122" s="467"/>
      <c r="I122" s="500"/>
      <c r="J122" s="472"/>
      <c r="K122" s="489"/>
    </row>
    <row r="123" spans="1:14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s="464" customFormat="1" ht="30" customHeight="1">
      <c r="A125" s="465"/>
      <c r="B125" s="466"/>
      <c r="C125" s="467"/>
      <c r="D125" s="468"/>
      <c r="E125" s="469"/>
      <c r="F125" s="499"/>
      <c r="G125" s="477"/>
      <c r="H125" s="470"/>
      <c r="I125" s="500"/>
      <c r="J125" s="475"/>
      <c r="K125" s="489"/>
      <c r="L125" s="484"/>
      <c r="M125" s="484"/>
      <c r="N125" s="484"/>
    </row>
    <row r="126" spans="1:14" s="464" customFormat="1" ht="30" customHeight="1">
      <c r="A126" s="465"/>
      <c r="B126" s="466"/>
      <c r="C126" s="467"/>
      <c r="D126" s="468"/>
      <c r="E126" s="469"/>
      <c r="F126" s="499"/>
      <c r="G126" s="474"/>
      <c r="H126" s="470"/>
      <c r="I126" s="500"/>
      <c r="J126" s="472"/>
      <c r="K126" s="489"/>
      <c r="L126" s="428"/>
      <c r="M126" s="486"/>
      <c r="N126" s="428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84"/>
      <c r="I128" s="500"/>
      <c r="J128" s="472"/>
      <c r="K128" s="489"/>
      <c r="M128" s="486"/>
    </row>
    <row r="129" spans="1:14" ht="30" customHeight="1">
      <c r="A129" s="465"/>
      <c r="B129" s="466"/>
      <c r="C129" s="467"/>
      <c r="D129" s="468"/>
      <c r="E129" s="469"/>
      <c r="F129" s="499"/>
      <c r="G129" s="477"/>
      <c r="H129" s="467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2"/>
      <c r="K132" s="489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5"/>
      <c r="K135" s="489"/>
      <c r="L135" s="484"/>
      <c r="M135" s="484"/>
      <c r="N135" s="484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  <c r="M140" s="486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  <c r="M145" s="486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  <c r="M146" s="486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6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66"/>
      <c r="C149" s="467"/>
      <c r="D149" s="468"/>
      <c r="E149" s="469"/>
      <c r="F149" s="499"/>
      <c r="G149" s="474"/>
      <c r="H149" s="470"/>
      <c r="I149" s="500"/>
      <c r="J149" s="472"/>
      <c r="K149" s="489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  <c r="M150" s="487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78"/>
      <c r="C152" s="465"/>
      <c r="D152" s="479"/>
      <c r="E152" s="469"/>
      <c r="F152" s="500"/>
      <c r="G152" s="474"/>
      <c r="H152" s="470"/>
      <c r="I152" s="500"/>
      <c r="J152" s="472"/>
      <c r="K152" s="490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4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7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ht="30" customHeight="1">
      <c r="A163" s="465"/>
      <c r="B163" s="466"/>
      <c r="C163" s="467"/>
      <c r="D163" s="468"/>
      <c r="E163" s="469"/>
      <c r="F163" s="499"/>
      <c r="G163" s="474"/>
      <c r="H163" s="470"/>
      <c r="I163" s="500"/>
      <c r="J163" s="472"/>
      <c r="K163" s="489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s="464" customFormat="1" ht="30" customHeight="1">
      <c r="A166" s="465"/>
      <c r="B166" s="466"/>
      <c r="C166" s="467"/>
      <c r="D166" s="468"/>
      <c r="E166" s="469"/>
      <c r="F166" s="500"/>
      <c r="G166" s="493"/>
      <c r="H166" s="470"/>
      <c r="I166" s="500"/>
      <c r="J166" s="472"/>
      <c r="K166" s="489"/>
      <c r="L166" s="484"/>
      <c r="M166" s="428"/>
      <c r="N166" s="428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7"/>
      <c r="H169" s="467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68"/>
      <c r="E180" s="469"/>
      <c r="F180" s="499"/>
      <c r="G180" s="474"/>
      <c r="H180" s="470"/>
      <c r="I180" s="500"/>
      <c r="J180" s="472"/>
      <c r="K180" s="489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68"/>
      <c r="E182" s="469"/>
      <c r="F182" s="499"/>
      <c r="G182" s="474"/>
      <c r="H182" s="470"/>
      <c r="I182" s="500"/>
      <c r="J182" s="472"/>
      <c r="K182" s="489"/>
    </row>
    <row r="183" spans="1:12" ht="30" customHeight="1">
      <c r="A183" s="465"/>
      <c r="B183" s="466"/>
      <c r="C183" s="467"/>
      <c r="D183" s="479"/>
      <c r="E183" s="469"/>
      <c r="F183" s="500"/>
      <c r="G183" s="494"/>
      <c r="H183" s="470"/>
      <c r="I183" s="500"/>
      <c r="J183" s="475"/>
      <c r="K183" s="489"/>
      <c r="L183" s="484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79"/>
      <c r="E185" s="469"/>
      <c r="F185" s="500"/>
      <c r="G185" s="477"/>
      <c r="H185" s="484"/>
      <c r="I185" s="500"/>
      <c r="J185" s="475"/>
      <c r="K185" s="489"/>
      <c r="L185" s="484"/>
    </row>
    <row r="186" spans="1:12" ht="30" customHeight="1">
      <c r="A186" s="465"/>
      <c r="B186" s="466"/>
      <c r="C186" s="467"/>
      <c r="D186" s="468"/>
      <c r="E186" s="469"/>
      <c r="F186" s="499"/>
      <c r="G186" s="474"/>
      <c r="H186" s="470"/>
      <c r="I186" s="500"/>
      <c r="J186" s="472"/>
      <c r="K186" s="489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89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7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1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0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90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90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2"/>
      <c r="K194" s="491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89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2"/>
      <c r="K198" s="490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2"/>
      <c r="K199" s="489"/>
      <c r="L199" s="484"/>
      <c r="N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5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4"/>
      <c r="H205" s="470"/>
      <c r="I205" s="500"/>
      <c r="J205" s="475"/>
      <c r="K205" s="489"/>
      <c r="L205" s="484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  <c r="L206" s="484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7"/>
      <c r="H208" s="470"/>
      <c r="I208" s="500"/>
      <c r="J208" s="472"/>
      <c r="K208" s="490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2"/>
      <c r="K209" s="489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5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66"/>
      <c r="C213" s="467"/>
      <c r="D213" s="468"/>
      <c r="E213" s="469"/>
      <c r="F213" s="499"/>
      <c r="G213" s="474"/>
      <c r="H213" s="470"/>
      <c r="I213" s="500"/>
      <c r="J213" s="472"/>
      <c r="K213" s="489"/>
      <c r="L213" s="484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2"/>
      <c r="K214" s="492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5"/>
      <c r="K215" s="489"/>
      <c r="L215" s="484"/>
    </row>
    <row r="216" spans="1:13" ht="30" customHeight="1">
      <c r="A216" s="465"/>
      <c r="B216" s="478"/>
      <c r="C216" s="465"/>
      <c r="D216" s="479"/>
      <c r="E216" s="469"/>
      <c r="F216" s="500"/>
      <c r="G216" s="477"/>
      <c r="H216" s="468"/>
      <c r="I216" s="500"/>
      <c r="J216" s="472"/>
      <c r="K216" s="490"/>
    </row>
    <row r="217" spans="1:13" ht="30" customHeight="1">
      <c r="A217" s="465"/>
      <c r="B217" s="466"/>
      <c r="C217" s="467"/>
      <c r="D217" s="468"/>
      <c r="E217" s="469"/>
      <c r="F217" s="499"/>
      <c r="G217" s="474"/>
      <c r="H217" s="470"/>
      <c r="I217" s="500"/>
      <c r="J217" s="475"/>
      <c r="K217" s="489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74"/>
      <c r="H218" s="470"/>
      <c r="I218" s="500"/>
      <c r="J218" s="472"/>
      <c r="K218" s="492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5"/>
      <c r="K219" s="489"/>
      <c r="L219" s="484"/>
      <c r="M219" s="484"/>
    </row>
    <row r="220" spans="1:13" ht="30" customHeight="1">
      <c r="A220" s="465"/>
      <c r="B220" s="466"/>
      <c r="C220" s="467"/>
      <c r="D220" s="468"/>
      <c r="E220" s="469"/>
      <c r="F220" s="499"/>
      <c r="G220" s="495"/>
      <c r="H220" s="470"/>
      <c r="I220" s="500"/>
      <c r="J220" s="472"/>
      <c r="K220" s="492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95"/>
      <c r="H221" s="470"/>
      <c r="I221" s="500"/>
      <c r="J221" s="472"/>
      <c r="K221" s="489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89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0"/>
      <c r="I223" s="500"/>
      <c r="J223" s="472"/>
      <c r="K223" s="489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92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2"/>
      <c r="K225" s="492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5"/>
      <c r="I226" s="500"/>
      <c r="J226" s="472"/>
      <c r="K226" s="492"/>
      <c r="L226" s="484"/>
    </row>
    <row r="227" spans="1:12" ht="30" customHeight="1">
      <c r="A227" s="465"/>
      <c r="B227" s="466"/>
      <c r="C227" s="467"/>
      <c r="D227" s="468"/>
      <c r="E227" s="469"/>
      <c r="F227" s="499"/>
      <c r="G227" s="474"/>
      <c r="H227" s="470"/>
      <c r="I227" s="500"/>
      <c r="J227" s="472"/>
      <c r="K227" s="489"/>
      <c r="L227" s="484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78"/>
      <c r="C230" s="465"/>
      <c r="D230" s="479"/>
      <c r="E230" s="469"/>
      <c r="F230" s="500"/>
      <c r="G230" s="496"/>
      <c r="H230" s="470"/>
      <c r="I230" s="500"/>
      <c r="J230" s="472"/>
      <c r="K230" s="490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0"/>
      <c r="I232" s="500"/>
      <c r="J232" s="475"/>
      <c r="K232" s="489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5"/>
      <c r="K234" s="489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0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5"/>
      <c r="I238" s="500"/>
      <c r="J238" s="472"/>
      <c r="K238" s="492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92"/>
      <c r="L239" s="484"/>
    </row>
    <row r="240" spans="1:12" ht="30" customHeight="1">
      <c r="A240" s="465"/>
      <c r="B240" s="466"/>
      <c r="C240" s="467"/>
      <c r="D240" s="468"/>
      <c r="E240" s="469"/>
      <c r="F240" s="499"/>
      <c r="G240" s="474"/>
      <c r="H240" s="475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0"/>
      <c r="I241" s="500"/>
      <c r="J241" s="472"/>
      <c r="K241" s="489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0"/>
      <c r="I242" s="500"/>
      <c r="J242" s="472"/>
      <c r="K242" s="489"/>
    </row>
    <row r="243" spans="1:24" ht="30" customHeight="1">
      <c r="A243" s="465"/>
      <c r="B243" s="478"/>
      <c r="C243" s="467"/>
      <c r="D243" s="479"/>
      <c r="E243" s="469"/>
      <c r="F243" s="500"/>
      <c r="G243" s="493"/>
      <c r="H243" s="472"/>
      <c r="I243" s="500"/>
      <c r="J243" s="472"/>
      <c r="K243" s="492"/>
      <c r="L243" s="484"/>
    </row>
    <row r="244" spans="1:24" ht="30" customHeight="1">
      <c r="A244" s="465"/>
      <c r="B244" s="466"/>
      <c r="C244" s="467"/>
      <c r="D244" s="468"/>
      <c r="E244" s="469"/>
      <c r="F244" s="499"/>
      <c r="G244" s="474"/>
      <c r="H244" s="475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7"/>
      <c r="H246" s="475"/>
      <c r="I246" s="500"/>
      <c r="J246" s="472"/>
      <c r="K246" s="489"/>
      <c r="L246" s="484"/>
    </row>
    <row r="247" spans="1:24" ht="30" customHeight="1">
      <c r="A247" s="465"/>
      <c r="B247" s="478"/>
      <c r="C247" s="467"/>
      <c r="D247" s="479"/>
      <c r="E247" s="469"/>
      <c r="F247" s="500"/>
      <c r="G247" s="493"/>
      <c r="H247" s="470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68"/>
      <c r="E248" s="469"/>
      <c r="F248" s="499"/>
      <c r="G248" s="474"/>
      <c r="H248" s="475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5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79"/>
      <c r="E250" s="469"/>
      <c r="F250" s="500"/>
      <c r="G250" s="474"/>
      <c r="H250" s="472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79"/>
      <c r="E251" s="469"/>
      <c r="F251" s="500"/>
      <c r="G251" s="497"/>
      <c r="H251" s="481"/>
      <c r="I251" s="500"/>
      <c r="J251" s="472"/>
      <c r="K251" s="492"/>
      <c r="L251" s="484"/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0"/>
      <c r="I252" s="500"/>
      <c r="J252" s="472"/>
      <c r="K252" s="492"/>
      <c r="L252" s="484"/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5"/>
      <c r="I253" s="500"/>
      <c r="J253" s="472"/>
      <c r="K253" s="492"/>
      <c r="L253" s="484"/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5"/>
      <c r="K254" s="489"/>
      <c r="L254" s="484"/>
      <c r="X254" s="478" t="s">
        <v>465</v>
      </c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 t="s">
        <v>466</v>
      </c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0"/>
      <c r="I256" s="500"/>
      <c r="J256" s="475"/>
      <c r="K256" s="489"/>
      <c r="L256" s="484"/>
      <c r="X256" s="478" t="s">
        <v>467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0"/>
      <c r="I257" s="500"/>
      <c r="J257" s="472"/>
      <c r="K257" s="489"/>
      <c r="L257" s="484"/>
      <c r="X257" s="478"/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/>
    </row>
    <row r="259" spans="1:24" ht="30" customHeight="1">
      <c r="A259" s="465"/>
      <c r="B259" s="466"/>
      <c r="C259" s="467"/>
      <c r="D259" s="468"/>
      <c r="E259" s="469"/>
      <c r="F259" s="499"/>
      <c r="G259" s="474"/>
      <c r="H259" s="475"/>
      <c r="I259" s="500"/>
      <c r="J259" s="472"/>
      <c r="K259" s="492"/>
      <c r="L259" s="484"/>
      <c r="X259" s="478" t="s">
        <v>421</v>
      </c>
    </row>
    <row r="260" spans="1:24" ht="30" customHeight="1">
      <c r="A260" s="465"/>
      <c r="B260" s="466"/>
      <c r="C260" s="467"/>
      <c r="D260" s="468"/>
      <c r="E260" s="469"/>
      <c r="F260" s="499"/>
      <c r="G260" s="474"/>
      <c r="H260" s="475"/>
      <c r="I260" s="500"/>
      <c r="J260" s="472"/>
      <c r="K260" s="492"/>
      <c r="L260" s="484"/>
      <c r="X260" s="478" t="s">
        <v>174</v>
      </c>
    </row>
    <row r="261" spans="1:24" ht="30" customHeight="1">
      <c r="A261" s="465"/>
      <c r="B261" s="466"/>
      <c r="C261" s="467"/>
      <c r="D261" s="468"/>
      <c r="E261" s="469"/>
      <c r="F261" s="499"/>
      <c r="G261" s="474"/>
      <c r="H261" s="475"/>
      <c r="I261" s="500"/>
      <c r="J261" s="472"/>
      <c r="K261" s="492"/>
      <c r="L261" s="484"/>
      <c r="X261" s="478" t="s">
        <v>178</v>
      </c>
    </row>
    <row r="262" spans="1:24" ht="30" customHeight="1">
      <c r="A262" s="465"/>
      <c r="B262" s="478"/>
      <c r="C262" s="467"/>
      <c r="D262" s="479"/>
      <c r="E262" s="469"/>
      <c r="F262" s="500"/>
      <c r="G262" s="496"/>
      <c r="H262" s="470"/>
      <c r="I262" s="500"/>
      <c r="J262" s="472"/>
      <c r="K262" s="492"/>
      <c r="L262" s="484"/>
      <c r="X262" s="478" t="s">
        <v>179</v>
      </c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2"/>
      <c r="I263" s="500"/>
      <c r="J263" s="472"/>
      <c r="K263" s="489"/>
      <c r="L263" s="484"/>
      <c r="X263" s="478" t="s">
        <v>176</v>
      </c>
    </row>
    <row r="264" spans="1:24" ht="30" customHeight="1">
      <c r="A264" s="465"/>
      <c r="B264" s="478"/>
      <c r="C264" s="467"/>
      <c r="D264" s="479"/>
      <c r="E264" s="469"/>
      <c r="F264" s="500"/>
      <c r="G264" s="493"/>
      <c r="H264" s="470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94"/>
      <c r="H265" s="470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5"/>
      <c r="I266" s="500"/>
      <c r="J266" s="472"/>
      <c r="K266" s="492"/>
      <c r="L266" s="484"/>
      <c r="X266" s="478"/>
    </row>
    <row r="267" spans="1:24" ht="30" customHeight="1">
      <c r="A267" s="465"/>
      <c r="B267" s="466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2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7"/>
      <c r="C270" s="467"/>
      <c r="D270" s="479"/>
      <c r="E270" s="469"/>
      <c r="F270" s="500"/>
      <c r="G270" s="474"/>
      <c r="H270" s="472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79"/>
      <c r="E271" s="469"/>
      <c r="F271" s="500"/>
      <c r="G271" s="474"/>
      <c r="H271" s="475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79"/>
      <c r="E272" s="469"/>
      <c r="F272" s="500"/>
      <c r="G272" s="474"/>
      <c r="H272" s="472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79"/>
      <c r="E273" s="469"/>
      <c r="F273" s="500"/>
      <c r="G273" s="474"/>
      <c r="H273" s="475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94"/>
      <c r="H274" s="470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94"/>
      <c r="H275" s="470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70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74"/>
      <c r="H277" s="475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5"/>
      <c r="I278" s="500"/>
      <c r="J278" s="472"/>
      <c r="K278" s="492"/>
      <c r="L278" s="484"/>
      <c r="X278" s="478"/>
    </row>
    <row r="279" spans="1:24" ht="30" customHeight="1">
      <c r="A279" s="465"/>
      <c r="B279" s="466"/>
      <c r="C279" s="467"/>
      <c r="D279" s="467"/>
      <c r="E279" s="469"/>
      <c r="F279" s="500"/>
      <c r="G279" s="494"/>
      <c r="H279" s="488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7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78"/>
      <c r="C282" s="467"/>
      <c r="D282" s="467"/>
      <c r="E282" s="469"/>
      <c r="F282" s="500"/>
      <c r="G282" s="493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66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66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66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78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82"/>
      <c r="C290" s="467"/>
      <c r="D290" s="467"/>
      <c r="E290" s="469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82"/>
      <c r="C291" s="467"/>
      <c r="D291" s="467"/>
      <c r="E291" s="469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83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4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69"/>
      <c r="F295" s="500"/>
      <c r="G295" s="494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69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6"/>
      <c r="H297" s="470"/>
      <c r="I297" s="500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6"/>
      <c r="H298" s="470"/>
      <c r="I298" s="500"/>
      <c r="J298" s="472"/>
      <c r="K298" s="492"/>
      <c r="L298" s="484"/>
      <c r="X298" s="478"/>
    </row>
    <row r="299" spans="1:24" ht="30" customHeight="1">
      <c r="A299" s="465"/>
      <c r="B299" s="478"/>
      <c r="C299" s="467"/>
      <c r="D299" s="467"/>
      <c r="E299" s="483"/>
      <c r="F299" s="500"/>
      <c r="G299" s="494"/>
      <c r="H299" s="470"/>
      <c r="I299" s="500"/>
      <c r="J299" s="472"/>
      <c r="K299" s="492"/>
      <c r="L299" s="484"/>
      <c r="X299" s="478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88"/>
      <c r="I300" s="488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4"/>
      <c r="H301" s="488"/>
      <c r="I301" s="488"/>
      <c r="J301" s="472"/>
      <c r="K301" s="492"/>
      <c r="L301" s="484"/>
      <c r="X301" s="478"/>
    </row>
    <row r="302" spans="1:24">
      <c r="B302" s="478"/>
      <c r="C302" s="467"/>
      <c r="F302" s="500"/>
      <c r="G302" s="496"/>
      <c r="H302" s="470"/>
    </row>
    <row r="303" spans="1:24" ht="30" customHeight="1">
      <c r="A303" s="465"/>
      <c r="B303" s="478"/>
      <c r="C303" s="467"/>
      <c r="D303" s="467"/>
      <c r="E303" s="483"/>
      <c r="F303" s="500"/>
      <c r="G303" s="494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06" spans="1:24" ht="30" customHeight="1">
      <c r="A306" s="465"/>
      <c r="B306" s="478"/>
      <c r="C306" s="467"/>
      <c r="D306" s="467"/>
      <c r="E306" s="483"/>
      <c r="F306" s="500"/>
      <c r="G306" s="496"/>
      <c r="H306" s="470"/>
      <c r="I306" s="500"/>
      <c r="J306" s="472"/>
      <c r="K306" s="492"/>
      <c r="L306" s="484"/>
      <c r="X306" s="478"/>
    </row>
    <row r="307" spans="1:24" ht="30" customHeight="1">
      <c r="A307" s="465"/>
      <c r="B307" s="478"/>
      <c r="C307" s="467"/>
      <c r="D307" s="467"/>
      <c r="E307" s="483"/>
      <c r="F307" s="500"/>
      <c r="G307" s="496"/>
      <c r="H307" s="470"/>
      <c r="I307" s="500"/>
      <c r="J307" s="472"/>
      <c r="K307" s="492"/>
      <c r="L307" s="484"/>
      <c r="X307" s="478"/>
    </row>
    <row r="308" spans="1:24" ht="30" customHeight="1">
      <c r="A308" s="465"/>
      <c r="B308" s="478"/>
      <c r="C308" s="467"/>
      <c r="D308" s="467"/>
      <c r="E308" s="483"/>
      <c r="F308" s="500"/>
      <c r="G308" s="496"/>
      <c r="H308" s="470"/>
      <c r="I308" s="500"/>
      <c r="J308" s="472"/>
      <c r="K308" s="492"/>
      <c r="L308" s="484"/>
      <c r="X308" s="47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  <row r="333" spans="2:2">
      <c r="B333" s="518"/>
    </row>
    <row r="334" spans="2:2">
      <c r="B334" s="518"/>
    </row>
    <row r="335" spans="2:2">
      <c r="B335" s="518"/>
    </row>
  </sheetData>
  <autoFilter ref="A2:N308" xr:uid="{2186F83F-367B-471C-AEB0-65139BA78454}"/>
  <mergeCells count="1">
    <mergeCell ref="A1:M1"/>
  </mergeCells>
  <phoneticPr fontId="80" type="noConversion"/>
  <conditionalFormatting sqref="B3:B76 B95:B263">
    <cfRule type="duplicateValues" dxfId="211" priority="962"/>
  </conditionalFormatting>
  <conditionalFormatting sqref="B86 B77:B84">
    <cfRule type="duplicateValues" dxfId="210" priority="970"/>
    <cfRule type="duplicateValues" dxfId="209" priority="976"/>
    <cfRule type="duplicateValues" dxfId="208" priority="975"/>
    <cfRule type="duplicateValues" dxfId="207" priority="974"/>
    <cfRule type="duplicateValues" dxfId="206" priority="973"/>
    <cfRule type="duplicateValues" dxfId="205" priority="972"/>
    <cfRule type="duplicateValues" dxfId="204" priority="971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3:B76 B95:B269">
    <cfRule type="duplicateValues" dxfId="201" priority="717"/>
  </conditionalFormatting>
  <conditionalFormatting sqref="B271:B1048576 B2:B76 B95:B269">
    <cfRule type="duplicateValues" dxfId="200" priority="258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09:B319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6:B1048576 B271:B301 B2:B76 B95:B269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4:X263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4:X301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3:X308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M19" sqref="M19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690" t="s">
        <v>468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529">
        <f>FDN!N1</f>
        <v>46190</v>
      </c>
    </row>
    <row r="3" spans="1:16" ht="47.25">
      <c r="A3" s="530" t="s">
        <v>247</v>
      </c>
      <c r="B3" s="531" t="s">
        <v>469</v>
      </c>
      <c r="C3" s="531" t="s">
        <v>470</v>
      </c>
      <c r="D3" s="532" t="s">
        <v>344</v>
      </c>
      <c r="E3" s="531" t="s">
        <v>471</v>
      </c>
      <c r="F3" s="531" t="s">
        <v>265</v>
      </c>
      <c r="G3" s="532" t="s">
        <v>347</v>
      </c>
      <c r="H3" s="533" t="s">
        <v>472</v>
      </c>
      <c r="I3" s="533" t="s">
        <v>1099</v>
      </c>
      <c r="J3" s="534" t="s">
        <v>473</v>
      </c>
      <c r="K3" s="534" t="s">
        <v>474</v>
      </c>
      <c r="L3" s="534" t="s">
        <v>33</v>
      </c>
      <c r="M3" s="531" t="s">
        <v>475</v>
      </c>
      <c r="N3" s="531" t="s">
        <v>476</v>
      </c>
      <c r="O3" s="531" t="s">
        <v>477</v>
      </c>
      <c r="P3" s="535" t="s">
        <v>478</v>
      </c>
    </row>
    <row r="4" spans="1:16" ht="25.15" customHeight="1">
      <c r="A4" s="536">
        <v>1</v>
      </c>
      <c r="B4" s="537" t="s">
        <v>176</v>
      </c>
      <c r="C4" s="537" t="s">
        <v>353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479</v>
      </c>
      <c r="I4" s="540" t="s">
        <v>1100</v>
      </c>
      <c r="J4" s="541"/>
      <c r="K4" s="542"/>
      <c r="L4" s="543"/>
      <c r="M4" s="543"/>
      <c r="N4" s="543"/>
      <c r="O4" s="539"/>
      <c r="P4" s="544"/>
    </row>
    <row r="5" spans="1:16" ht="25.15" customHeight="1">
      <c r="A5" s="536">
        <v>2</v>
      </c>
      <c r="B5" s="537" t="s">
        <v>138</v>
      </c>
      <c r="C5" s="537" t="s">
        <v>360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480</v>
      </c>
      <c r="I5" s="543"/>
      <c r="J5" s="539"/>
      <c r="K5" s="539"/>
      <c r="L5" s="539"/>
      <c r="M5" s="539"/>
      <c r="N5" s="539"/>
      <c r="O5" s="539"/>
      <c r="P5" s="539"/>
    </row>
    <row r="6" spans="1:16" ht="25.15" customHeight="1">
      <c r="A6" s="536">
        <v>3</v>
      </c>
      <c r="B6" s="537" t="s">
        <v>168</v>
      </c>
      <c r="C6" s="537" t="s">
        <v>303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479</v>
      </c>
      <c r="I6" s="540" t="s">
        <v>1100</v>
      </c>
      <c r="J6" s="539"/>
      <c r="K6" s="539"/>
      <c r="L6" s="539"/>
      <c r="M6" s="539"/>
      <c r="N6" s="539"/>
      <c r="O6" s="539"/>
      <c r="P6" s="539"/>
    </row>
    <row r="7" spans="1:16" ht="25.15" customHeight="1">
      <c r="A7" s="536">
        <v>5</v>
      </c>
      <c r="B7" s="537" t="s">
        <v>385</v>
      </c>
      <c r="C7" s="537" t="s">
        <v>360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479</v>
      </c>
      <c r="I7" s="540" t="s">
        <v>1100</v>
      </c>
      <c r="J7" s="539"/>
      <c r="K7" s="539"/>
      <c r="L7" s="539"/>
      <c r="M7" s="539"/>
      <c r="N7" s="539"/>
      <c r="O7" s="539"/>
      <c r="P7" s="539"/>
    </row>
    <row r="8" spans="1:16" ht="25.15" customHeight="1">
      <c r="A8" s="536">
        <v>4</v>
      </c>
      <c r="B8" s="537" t="s">
        <v>136</v>
      </c>
      <c r="C8" s="537" t="s">
        <v>394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480</v>
      </c>
      <c r="I8" s="542"/>
      <c r="J8" s="539"/>
      <c r="K8" s="539"/>
      <c r="L8" s="539"/>
      <c r="M8" s="539"/>
      <c r="N8" s="539"/>
      <c r="O8" s="539"/>
      <c r="P8" s="539"/>
    </row>
    <row r="9" spans="1:16" ht="25.15" customHeight="1">
      <c r="A9" s="536">
        <v>7</v>
      </c>
      <c r="B9" s="541" t="s">
        <v>410</v>
      </c>
      <c r="C9" s="537" t="s">
        <v>353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480</v>
      </c>
      <c r="I9" s="542"/>
      <c r="J9" s="539"/>
      <c r="K9" s="539"/>
      <c r="L9" s="539"/>
      <c r="M9" s="539"/>
      <c r="N9" s="539"/>
      <c r="O9" s="608"/>
      <c r="P9" s="539"/>
    </row>
    <row r="10" spans="1:16" ht="25.15" customHeight="1">
      <c r="A10" s="536">
        <v>6</v>
      </c>
      <c r="B10" s="541" t="s">
        <v>379</v>
      </c>
      <c r="C10" s="537" t="s">
        <v>360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481</v>
      </c>
      <c r="I10" s="546"/>
      <c r="J10" s="541"/>
      <c r="K10" s="543"/>
      <c r="L10" s="543"/>
      <c r="M10" s="539" t="s">
        <v>38</v>
      </c>
      <c r="N10" s="608">
        <v>46090</v>
      </c>
      <c r="O10" s="608">
        <v>46090</v>
      </c>
      <c r="P10" s="543" t="s">
        <v>1098</v>
      </c>
    </row>
    <row r="11" spans="1:16" ht="25.15" customHeight="1">
      <c r="A11" s="536">
        <v>8</v>
      </c>
      <c r="B11" s="541" t="s">
        <v>391</v>
      </c>
      <c r="C11" s="537" t="s">
        <v>392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479</v>
      </c>
      <c r="I11" s="540" t="s">
        <v>1100</v>
      </c>
      <c r="J11" s="539"/>
      <c r="K11" s="539"/>
      <c r="L11" s="539"/>
      <c r="M11" s="539" t="s">
        <v>38</v>
      </c>
      <c r="N11" s="608">
        <v>46091</v>
      </c>
      <c r="O11" s="608">
        <v>46091</v>
      </c>
      <c r="P11" s="543" t="s">
        <v>1098</v>
      </c>
    </row>
    <row r="12" spans="1:16" ht="25.15" customHeight="1">
      <c r="A12" s="536">
        <v>9</v>
      </c>
      <c r="B12" s="541" t="s">
        <v>178</v>
      </c>
      <c r="C12" s="537" t="s">
        <v>353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480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customHeight="1">
      <c r="A13" s="536">
        <v>11</v>
      </c>
      <c r="B13" s="541" t="s">
        <v>375</v>
      </c>
      <c r="C13" s="537" t="s">
        <v>376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479</v>
      </c>
      <c r="I13" s="540" t="s">
        <v>1100</v>
      </c>
      <c r="J13" s="539"/>
      <c r="K13" s="539"/>
      <c r="L13" s="539"/>
      <c r="M13" s="539"/>
      <c r="N13" s="539"/>
      <c r="O13" s="543"/>
      <c r="P13" s="539"/>
    </row>
    <row r="14" spans="1:16" ht="25.15" customHeight="1">
      <c r="A14" s="536">
        <v>10</v>
      </c>
      <c r="B14" s="541" t="s">
        <v>395</v>
      </c>
      <c r="C14" s="537" t="s">
        <v>396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481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customHeight="1">
      <c r="A15" s="536">
        <v>12</v>
      </c>
      <c r="B15" s="541" t="s">
        <v>393</v>
      </c>
      <c r="C15" s="537" t="s">
        <v>353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479</v>
      </c>
      <c r="I15" s="540" t="s">
        <v>1100</v>
      </c>
      <c r="J15" s="541"/>
      <c r="K15" s="543"/>
      <c r="L15" s="543"/>
      <c r="M15" s="543"/>
      <c r="N15" s="543"/>
      <c r="O15" s="608"/>
      <c r="P15" s="543"/>
    </row>
    <row r="16" spans="1:16" ht="25.15" customHeight="1">
      <c r="A16" s="536">
        <v>13</v>
      </c>
      <c r="B16" s="541" t="s">
        <v>180</v>
      </c>
      <c r="C16" s="537" t="s">
        <v>353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479</v>
      </c>
      <c r="I16" s="540" t="s">
        <v>1100</v>
      </c>
      <c r="J16" s="541"/>
      <c r="K16" s="543"/>
      <c r="L16" s="543"/>
      <c r="M16" s="539" t="s">
        <v>38</v>
      </c>
      <c r="N16" s="608">
        <v>46155</v>
      </c>
      <c r="O16" s="608">
        <v>46155</v>
      </c>
      <c r="P16" s="543" t="s">
        <v>1098</v>
      </c>
    </row>
    <row r="17" spans="1:20" ht="25.15" customHeight="1">
      <c r="A17" s="536">
        <v>14</v>
      </c>
      <c r="B17" s="541" t="s">
        <v>403</v>
      </c>
      <c r="C17" s="537" t="s">
        <v>376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481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customHeight="1">
      <c r="A18" s="536">
        <v>15</v>
      </c>
      <c r="B18" s="541" t="s">
        <v>388</v>
      </c>
      <c r="C18" s="537" t="s">
        <v>353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479</v>
      </c>
      <c r="I18" s="540" t="s">
        <v>1100</v>
      </c>
      <c r="J18" s="541"/>
      <c r="K18" s="543"/>
      <c r="L18" s="543"/>
      <c r="M18" s="539" t="s">
        <v>38</v>
      </c>
      <c r="N18" s="608">
        <v>46155</v>
      </c>
      <c r="O18" s="608">
        <v>46155</v>
      </c>
      <c r="P18" s="543" t="s">
        <v>1098</v>
      </c>
    </row>
    <row r="19" spans="1:20" ht="25.15" customHeight="1">
      <c r="A19" s="536">
        <v>16</v>
      </c>
      <c r="B19" s="541" t="s">
        <v>426</v>
      </c>
      <c r="C19" s="537" t="s">
        <v>353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479</v>
      </c>
      <c r="I19" s="540" t="s">
        <v>1100</v>
      </c>
      <c r="J19" s="541"/>
      <c r="K19" s="543"/>
      <c r="L19" s="543"/>
      <c r="M19" s="539" t="s">
        <v>38</v>
      </c>
      <c r="N19" s="608">
        <v>46157</v>
      </c>
      <c r="O19" s="608">
        <v>46157</v>
      </c>
      <c r="P19" s="543" t="s">
        <v>1098</v>
      </c>
    </row>
    <row r="20" spans="1:20" ht="25.15" customHeight="1">
      <c r="A20" s="536">
        <v>17</v>
      </c>
      <c r="B20" s="541" t="s">
        <v>406</v>
      </c>
      <c r="C20" s="537" t="s">
        <v>353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481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customHeight="1">
      <c r="A21" s="536">
        <v>18</v>
      </c>
      <c r="B21" s="541" t="s">
        <v>374</v>
      </c>
      <c r="C21" s="537" t="s">
        <v>360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479</v>
      </c>
      <c r="I21" s="540" t="s">
        <v>1100</v>
      </c>
      <c r="J21" s="541"/>
      <c r="K21" s="543"/>
      <c r="L21" s="543"/>
      <c r="M21" s="539" t="s">
        <v>38</v>
      </c>
      <c r="N21" s="608">
        <v>46155</v>
      </c>
      <c r="O21" s="608">
        <v>46155</v>
      </c>
      <c r="P21" s="543" t="s">
        <v>1098</v>
      </c>
    </row>
    <row r="22" spans="1:20" ht="25.15" customHeight="1">
      <c r="A22" s="536">
        <v>19</v>
      </c>
      <c r="B22" s="541" t="s">
        <v>400</v>
      </c>
      <c r="C22" s="537" t="s">
        <v>360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481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customHeight="1">
      <c r="A23" s="536">
        <v>20</v>
      </c>
      <c r="B23" s="541" t="s">
        <v>177</v>
      </c>
      <c r="C23" s="537" t="s">
        <v>402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479</v>
      </c>
      <c r="I23" s="540" t="s">
        <v>1100</v>
      </c>
      <c r="J23" s="541"/>
      <c r="K23" s="543"/>
      <c r="L23" s="543"/>
      <c r="M23" s="543"/>
      <c r="N23" s="543"/>
      <c r="O23" s="543"/>
      <c r="P23" s="543"/>
    </row>
    <row r="24" spans="1:20" ht="25.15" customHeight="1">
      <c r="A24" s="536">
        <v>21</v>
      </c>
      <c r="B24" s="541" t="s">
        <v>415</v>
      </c>
      <c r="C24" s="537" t="s">
        <v>353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481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customHeight="1">
      <c r="A25" s="536">
        <v>22</v>
      </c>
      <c r="B25" s="541" t="s">
        <v>140</v>
      </c>
      <c r="C25" s="541" t="s">
        <v>305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479</v>
      </c>
      <c r="I25" s="540" t="s">
        <v>1100</v>
      </c>
      <c r="J25" s="541"/>
      <c r="K25" s="543"/>
      <c r="L25" s="536"/>
      <c r="M25" s="541"/>
      <c r="N25" s="541"/>
      <c r="O25" s="543"/>
      <c r="P25" s="538"/>
      <c r="Q25" s="609"/>
      <c r="R25" s="610"/>
      <c r="S25" s="611"/>
      <c r="T25" s="113"/>
    </row>
    <row r="26" spans="1:20" ht="25.15" customHeight="1">
      <c r="A26" s="536">
        <v>23</v>
      </c>
      <c r="B26" s="541" t="s">
        <v>424</v>
      </c>
      <c r="C26" s="537" t="s">
        <v>402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481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customHeight="1">
      <c r="A27" s="536">
        <v>24</v>
      </c>
      <c r="B27" s="541" t="s">
        <v>414</v>
      </c>
      <c r="C27" s="537" t="s">
        <v>303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479</v>
      </c>
      <c r="I27" s="540" t="s">
        <v>1100</v>
      </c>
      <c r="J27" s="541"/>
      <c r="K27" s="543"/>
      <c r="L27" s="541"/>
      <c r="M27" s="539" t="s">
        <v>38</v>
      </c>
      <c r="N27" s="608">
        <v>46161</v>
      </c>
      <c r="O27" s="608">
        <v>46161</v>
      </c>
      <c r="P27" s="543" t="s">
        <v>1098</v>
      </c>
      <c r="Q27" s="612"/>
      <c r="R27" s="113"/>
      <c r="S27" s="612"/>
      <c r="T27" s="113"/>
    </row>
    <row r="28" spans="1:20" ht="25.15" customHeight="1">
      <c r="A28" s="536">
        <v>25</v>
      </c>
      <c r="B28" s="541" t="s">
        <v>411</v>
      </c>
      <c r="C28" s="537" t="s">
        <v>353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481</v>
      </c>
      <c r="I28" s="546"/>
      <c r="J28" s="541"/>
      <c r="K28" s="543"/>
      <c r="L28" s="543"/>
      <c r="M28" s="543"/>
      <c r="N28" s="543"/>
      <c r="O28" s="608"/>
      <c r="P28" s="543"/>
    </row>
    <row r="29" spans="1:20" ht="25.15" customHeight="1">
      <c r="A29" s="536">
        <v>26</v>
      </c>
      <c r="B29" s="541" t="s">
        <v>422</v>
      </c>
      <c r="C29" s="537" t="s">
        <v>305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479</v>
      </c>
      <c r="I29" s="540" t="s">
        <v>1100</v>
      </c>
      <c r="J29" s="541"/>
      <c r="K29" s="543"/>
      <c r="L29" s="543"/>
      <c r="M29" s="539" t="s">
        <v>38</v>
      </c>
      <c r="N29" s="608">
        <v>46158</v>
      </c>
      <c r="O29" s="608">
        <v>46158</v>
      </c>
      <c r="P29" s="543" t="s">
        <v>1098</v>
      </c>
    </row>
    <row r="30" spans="1:20" ht="25.15" customHeight="1">
      <c r="A30" s="536">
        <v>27</v>
      </c>
      <c r="B30" s="541" t="s">
        <v>408</v>
      </c>
      <c r="C30" s="541" t="s">
        <v>353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479</v>
      </c>
      <c r="I30" s="540" t="s">
        <v>1100</v>
      </c>
      <c r="J30" s="541"/>
      <c r="K30" s="543"/>
      <c r="L30" s="543"/>
      <c r="M30" s="539" t="s">
        <v>38</v>
      </c>
      <c r="N30" s="608">
        <v>46159</v>
      </c>
      <c r="O30" s="608">
        <v>46159</v>
      </c>
      <c r="P30" s="543" t="s">
        <v>1098</v>
      </c>
    </row>
    <row r="31" spans="1:20" ht="25.15" customHeight="1">
      <c r="A31" s="536">
        <v>28</v>
      </c>
      <c r="B31" s="541" t="s">
        <v>433</v>
      </c>
      <c r="C31" s="541" t="s">
        <v>353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479</v>
      </c>
      <c r="I31" s="540" t="s">
        <v>1100</v>
      </c>
      <c r="J31" s="541"/>
      <c r="K31" s="543"/>
      <c r="L31" s="543"/>
      <c r="M31" s="539" t="s">
        <v>38</v>
      </c>
      <c r="N31" s="608">
        <v>46160</v>
      </c>
      <c r="O31" s="608">
        <v>46160</v>
      </c>
      <c r="P31" s="543" t="s">
        <v>1098</v>
      </c>
    </row>
    <row r="32" spans="1:20" ht="25.15" customHeight="1">
      <c r="A32" s="536">
        <v>29</v>
      </c>
      <c r="B32" s="541" t="s">
        <v>409</v>
      </c>
      <c r="C32" s="541" t="s">
        <v>353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479</v>
      </c>
      <c r="I32" s="540" t="s">
        <v>1100</v>
      </c>
      <c r="J32" s="541"/>
      <c r="K32" s="543"/>
      <c r="L32" s="543"/>
      <c r="M32" s="539" t="s">
        <v>38</v>
      </c>
      <c r="N32" s="608">
        <v>46160</v>
      </c>
      <c r="O32" s="608">
        <v>46160</v>
      </c>
      <c r="P32" s="543" t="s">
        <v>1098</v>
      </c>
    </row>
    <row r="33" spans="1:16" s="553" customFormat="1" ht="25.15" customHeight="1">
      <c r="A33" s="536">
        <v>30</v>
      </c>
      <c r="B33" s="541" t="s">
        <v>407</v>
      </c>
      <c r="C33" s="541" t="s">
        <v>353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479</v>
      </c>
      <c r="I33" s="546" t="s">
        <v>1100</v>
      </c>
      <c r="J33" s="541"/>
      <c r="K33" s="543"/>
      <c r="L33" s="543"/>
      <c r="M33" s="539" t="s">
        <v>38</v>
      </c>
      <c r="N33" s="608">
        <v>46163</v>
      </c>
      <c r="O33" s="608">
        <v>46163</v>
      </c>
      <c r="P33" s="543" t="s">
        <v>1098</v>
      </c>
    </row>
    <row r="34" spans="1:16" s="553" customFormat="1" ht="25.15" customHeight="1">
      <c r="A34" s="536">
        <v>31</v>
      </c>
      <c r="B34" s="541" t="s">
        <v>386</v>
      </c>
      <c r="C34" s="541" t="s">
        <v>353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482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425</v>
      </c>
      <c r="C35" s="541" t="s">
        <v>353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479</v>
      </c>
      <c r="I35" s="540" t="s">
        <v>1100</v>
      </c>
      <c r="J35" s="541"/>
      <c r="K35" s="543"/>
      <c r="L35" s="543"/>
      <c r="M35" s="539" t="s">
        <v>38</v>
      </c>
      <c r="N35" s="608">
        <v>46162</v>
      </c>
      <c r="O35" s="608">
        <v>46162</v>
      </c>
      <c r="P35" s="543" t="s">
        <v>1098</v>
      </c>
    </row>
    <row r="36" spans="1:16" s="553" customFormat="1" ht="25.15" customHeight="1">
      <c r="A36" s="536">
        <v>33</v>
      </c>
      <c r="B36" s="541" t="s">
        <v>389</v>
      </c>
      <c r="C36" s="541" t="s">
        <v>353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482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390</v>
      </c>
      <c r="C37" s="541" t="s">
        <v>353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482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420</v>
      </c>
      <c r="C38" s="541" t="s">
        <v>399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479</v>
      </c>
      <c r="I38" s="540" t="s">
        <v>1100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139</v>
      </c>
      <c r="C39" s="541" t="s">
        <v>360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481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413</v>
      </c>
      <c r="C40" s="541" t="s">
        <v>399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479</v>
      </c>
      <c r="I40" s="540" t="s">
        <v>1100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428</v>
      </c>
      <c r="C41" s="541" t="s">
        <v>333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482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421</v>
      </c>
      <c r="C42" s="541" t="s">
        <v>303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479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367</v>
      </c>
      <c r="C43" s="541" t="s">
        <v>353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481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customHeight="1">
      <c r="A44" s="536">
        <v>41</v>
      </c>
      <c r="B44" s="541" t="s">
        <v>373</v>
      </c>
      <c r="C44" s="541" t="s">
        <v>301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482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customHeight="1">
      <c r="A45" s="536">
        <v>42</v>
      </c>
      <c r="B45" s="541" t="s">
        <v>377</v>
      </c>
      <c r="C45" s="541" t="s">
        <v>338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479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customHeight="1">
      <c r="A46" s="536">
        <v>43</v>
      </c>
      <c r="B46" s="541" t="s">
        <v>137</v>
      </c>
      <c r="C46" s="541" t="s">
        <v>353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481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customHeight="1">
      <c r="A47" s="536">
        <v>44</v>
      </c>
      <c r="B47" s="541" t="s">
        <v>380</v>
      </c>
      <c r="C47" s="541" t="s">
        <v>353</v>
      </c>
      <c r="D47" s="537">
        <v>46178</v>
      </c>
      <c r="E47" s="538">
        <v>37.795999999999999</v>
      </c>
      <c r="F47" s="539" t="s">
        <v>38</v>
      </c>
      <c r="G47" s="537">
        <v>46182</v>
      </c>
      <c r="H47" s="546" t="s">
        <v>479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ht="30.75" customHeight="1">
      <c r="A48" s="536">
        <v>45</v>
      </c>
      <c r="B48" s="541" t="s">
        <v>372</v>
      </c>
      <c r="C48" s="541" t="s">
        <v>301</v>
      </c>
      <c r="D48" s="537">
        <v>46178</v>
      </c>
      <c r="E48" s="538">
        <v>80.254999999999995</v>
      </c>
      <c r="F48" s="539" t="s">
        <v>1101</v>
      </c>
      <c r="G48" s="537">
        <v>46186</v>
      </c>
      <c r="H48" s="546" t="s">
        <v>482</v>
      </c>
      <c r="I48" s="546"/>
      <c r="J48" s="541">
        <v>30</v>
      </c>
      <c r="K48" s="543"/>
      <c r="L48" s="543"/>
      <c r="M48" s="543"/>
      <c r="N48" s="543"/>
      <c r="O48" s="543"/>
      <c r="P48" s="543"/>
    </row>
    <row r="49" spans="1:16" s="553" customFormat="1" ht="25.15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customHeight="1">
      <c r="A87" s="556"/>
      <c r="B87" s="549"/>
      <c r="C87" s="549"/>
      <c r="D87" s="557"/>
      <c r="E87" s="552"/>
      <c r="F87" s="558"/>
      <c r="G87" s="256"/>
      <c r="H87" s="563"/>
      <c r="I87" s="613"/>
      <c r="J87" s="559"/>
      <c r="K87" s="551"/>
      <c r="L87" s="551"/>
      <c r="M87" s="551"/>
      <c r="N87" s="551"/>
      <c r="O87" s="551"/>
      <c r="P87" s="551"/>
    </row>
    <row r="88" spans="1:16" s="553" customFormat="1" ht="30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customHeight="1">
      <c r="A90" s="556"/>
      <c r="B90" s="549"/>
      <c r="C90" s="549"/>
      <c r="D90" s="557"/>
      <c r="E90" s="552"/>
      <c r="F90" s="558"/>
      <c r="G90" s="256"/>
      <c r="H90" s="563"/>
      <c r="I90" s="613"/>
      <c r="J90" s="559"/>
      <c r="K90" s="551"/>
      <c r="L90" s="551"/>
      <c r="M90" s="551"/>
      <c r="N90" s="551"/>
      <c r="O90" s="551"/>
      <c r="P90" s="551"/>
    </row>
    <row r="91" spans="1:16" s="553" customFormat="1" ht="30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customHeight="1">
      <c r="A182" s="556"/>
      <c r="B182" s="549"/>
      <c r="C182" s="549"/>
      <c r="D182" s="557"/>
      <c r="E182" s="552"/>
      <c r="F182" s="550"/>
      <c r="G182" s="557"/>
      <c r="H182" s="568"/>
      <c r="I182" s="614"/>
      <c r="J182" s="559"/>
      <c r="K182" s="551"/>
      <c r="L182" s="550"/>
      <c r="M182" s="551"/>
      <c r="N182" s="551"/>
      <c r="O182" s="551"/>
      <c r="P182" s="551"/>
    </row>
    <row r="183" spans="1:16" s="553" customFormat="1" ht="30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zoomScale="52" zoomScaleNormal="55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92" t="s">
        <v>483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693"/>
      <c r="AE1" s="693"/>
      <c r="AF1" s="694"/>
      <c r="AG1" s="170"/>
      <c r="AH1" s="170"/>
      <c r="AI1" s="170"/>
      <c r="AJ1" s="170"/>
      <c r="AK1" s="170"/>
      <c r="AL1" s="170"/>
      <c r="AM1" s="758"/>
      <c r="AN1" s="758"/>
      <c r="AO1" s="759"/>
    </row>
    <row r="2" spans="1:41" s="159" customFormat="1" ht="17.25">
      <c r="A2" s="340" t="s">
        <v>484</v>
      </c>
      <c r="B2" s="341"/>
      <c r="C2" s="341"/>
      <c r="D2" s="342"/>
      <c r="E2" s="343" t="s">
        <v>485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60"/>
      <c r="AH2" s="760"/>
      <c r="AI2" s="760"/>
      <c r="AJ2" s="760"/>
      <c r="AK2" s="760"/>
      <c r="AL2" s="760"/>
      <c r="AM2" s="760"/>
      <c r="AN2" s="760"/>
      <c r="AO2" s="761"/>
    </row>
    <row r="3" spans="1:41" s="159" customFormat="1" ht="17.100000000000001" customHeight="1">
      <c r="A3" s="340" t="s">
        <v>486</v>
      </c>
      <c r="B3" s="341"/>
      <c r="C3" s="341"/>
      <c r="D3" s="347"/>
      <c r="E3" s="343" t="s">
        <v>487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62" t="s">
        <v>488</v>
      </c>
      <c r="AH3" s="763"/>
      <c r="AI3" s="763"/>
      <c r="AJ3" s="171" t="s">
        <v>489</v>
      </c>
      <c r="AK3" s="171"/>
      <c r="AL3" s="171"/>
      <c r="AM3" s="764" t="s">
        <v>490</v>
      </c>
      <c r="AN3" s="764" t="s">
        <v>491</v>
      </c>
      <c r="AO3" s="767" t="s">
        <v>492</v>
      </c>
    </row>
    <row r="4" spans="1:41" s="159" customFormat="1" ht="17.100000000000001" customHeight="1">
      <c r="A4" s="348" t="s">
        <v>268</v>
      </c>
      <c r="B4" s="349"/>
      <c r="C4" s="349"/>
      <c r="D4" s="350"/>
      <c r="E4" s="343" t="s">
        <v>493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62" t="s">
        <v>494</v>
      </c>
      <c r="AH4" s="763" t="s">
        <v>495</v>
      </c>
      <c r="AI4" s="763" t="s">
        <v>496</v>
      </c>
      <c r="AJ4" s="763" t="s">
        <v>494</v>
      </c>
      <c r="AK4" s="763" t="s">
        <v>495</v>
      </c>
      <c r="AL4" s="763" t="s">
        <v>496</v>
      </c>
      <c r="AM4" s="765"/>
      <c r="AN4" s="765"/>
      <c r="AO4" s="768"/>
    </row>
    <row r="5" spans="1:41" s="159" customFormat="1" ht="17.4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1">
        <v>46190</v>
      </c>
      <c r="AF5" s="712"/>
      <c r="AG5" s="762"/>
      <c r="AH5" s="763"/>
      <c r="AI5" s="763"/>
      <c r="AJ5" s="763"/>
      <c r="AK5" s="763"/>
      <c r="AL5" s="763"/>
      <c r="AM5" s="766"/>
      <c r="AN5" s="766"/>
      <c r="AO5" s="769"/>
    </row>
    <row r="6" spans="1:41" s="159" customFormat="1" ht="13.35" customHeight="1">
      <c r="A6" s="699" t="s">
        <v>497</v>
      </c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13" t="s">
        <v>498</v>
      </c>
      <c r="M6" s="714"/>
      <c r="N6" s="714"/>
      <c r="O6" s="714"/>
      <c r="P6" s="714"/>
      <c r="Q6" s="714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01"/>
      <c r="B7" s="702"/>
      <c r="C7" s="702"/>
      <c r="D7" s="702"/>
      <c r="E7" s="702"/>
      <c r="F7" s="702"/>
      <c r="G7" s="702"/>
      <c r="H7" s="702"/>
      <c r="I7" s="702"/>
      <c r="J7" s="702"/>
      <c r="K7" s="702"/>
      <c r="L7" s="715"/>
      <c r="M7" s="716"/>
      <c r="N7" s="716"/>
      <c r="O7" s="716"/>
      <c r="P7" s="716"/>
      <c r="Q7" s="716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03" t="s">
        <v>247</v>
      </c>
      <c r="B8" s="705" t="s">
        <v>22</v>
      </c>
      <c r="C8" s="706"/>
      <c r="D8" s="707"/>
      <c r="E8" s="703" t="s">
        <v>249</v>
      </c>
      <c r="F8" s="705" t="s">
        <v>499</v>
      </c>
      <c r="G8" s="707"/>
      <c r="H8" s="705" t="s">
        <v>500</v>
      </c>
      <c r="I8" s="707"/>
      <c r="J8" s="705" t="s">
        <v>501</v>
      </c>
      <c r="K8" s="707"/>
      <c r="L8" s="724" t="s">
        <v>247</v>
      </c>
      <c r="M8" s="726" t="s">
        <v>502</v>
      </c>
      <c r="N8" s="727"/>
      <c r="O8" s="730" t="s">
        <v>503</v>
      </c>
      <c r="P8" s="724" t="s">
        <v>504</v>
      </c>
      <c r="Q8" s="695" t="s">
        <v>505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04"/>
      <c r="B9" s="708"/>
      <c r="C9" s="709"/>
      <c r="D9" s="710"/>
      <c r="E9" s="704"/>
      <c r="F9" s="708"/>
      <c r="G9" s="710"/>
      <c r="H9" s="708"/>
      <c r="I9" s="710"/>
      <c r="J9" s="708"/>
      <c r="K9" s="710"/>
      <c r="L9" s="725"/>
      <c r="M9" s="728"/>
      <c r="N9" s="729"/>
      <c r="O9" s="731"/>
      <c r="P9" s="725"/>
      <c r="Q9" s="696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7">
        <v>1</v>
      </c>
      <c r="B10" s="717" t="s">
        <v>37</v>
      </c>
      <c r="C10" s="718"/>
      <c r="D10" s="719"/>
      <c r="E10" s="177" t="s">
        <v>506</v>
      </c>
      <c r="F10" s="720">
        <v>114.51600000000001</v>
      </c>
      <c r="G10" s="721"/>
      <c r="H10" s="722">
        <f>'Survey Anx'!F40</f>
        <v>107.49199999999998</v>
      </c>
      <c r="I10" s="723"/>
      <c r="J10" s="720">
        <f t="shared" ref="J10:J19" si="0">F10-H10</f>
        <v>7.0240000000000293</v>
      </c>
      <c r="K10" s="721"/>
      <c r="L10" s="177">
        <v>1</v>
      </c>
      <c r="M10" s="697" t="s">
        <v>507</v>
      </c>
      <c r="N10" s="698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70"/>
      <c r="AH10" s="770"/>
      <c r="AI10" s="770"/>
      <c r="AJ10" s="770"/>
      <c r="AK10" s="770"/>
      <c r="AL10" s="770"/>
      <c r="AM10" s="771"/>
      <c r="AN10" s="771"/>
      <c r="AO10" s="773"/>
    </row>
    <row r="11" spans="1:41" s="159" customFormat="1" ht="17.25">
      <c r="A11" s="360">
        <v>2</v>
      </c>
      <c r="B11" s="732" t="s">
        <v>21</v>
      </c>
      <c r="C11" s="733"/>
      <c r="D11" s="734"/>
      <c r="E11" s="179" t="s">
        <v>506</v>
      </c>
      <c r="F11" s="739">
        <v>114.51600000000001</v>
      </c>
      <c r="G11" s="740"/>
      <c r="H11" s="741">
        <f>'Survey Anx'!I40</f>
        <v>98.031999999999996</v>
      </c>
      <c r="I11" s="742"/>
      <c r="J11" s="739">
        <f t="shared" si="0"/>
        <v>16.484000000000009</v>
      </c>
      <c r="K11" s="740"/>
      <c r="L11" s="209">
        <f t="shared" ref="L11:L18" si="1">L10+1</f>
        <v>2</v>
      </c>
      <c r="M11" s="775" t="s">
        <v>508</v>
      </c>
      <c r="N11" s="776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70"/>
      <c r="AH11" s="770"/>
      <c r="AI11" s="770"/>
      <c r="AJ11" s="770"/>
      <c r="AK11" s="770"/>
      <c r="AL11" s="770"/>
      <c r="AM11" s="771"/>
      <c r="AN11" s="771"/>
      <c r="AO11" s="773"/>
    </row>
    <row r="12" spans="1:41" s="159" customFormat="1" ht="17.45" customHeight="1">
      <c r="A12" s="360">
        <v>3</v>
      </c>
      <c r="B12" s="732" t="s">
        <v>52</v>
      </c>
      <c r="C12" s="733"/>
      <c r="D12" s="734"/>
      <c r="E12" s="179" t="s">
        <v>509</v>
      </c>
      <c r="F12" s="735">
        <v>30</v>
      </c>
      <c r="G12" s="736"/>
      <c r="H12" s="737">
        <v>30</v>
      </c>
      <c r="I12" s="738"/>
      <c r="J12" s="735">
        <f t="shared" si="0"/>
        <v>0</v>
      </c>
      <c r="K12" s="736"/>
      <c r="L12" s="209">
        <f t="shared" si="1"/>
        <v>3</v>
      </c>
      <c r="M12" s="775" t="s">
        <v>510</v>
      </c>
      <c r="N12" s="776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71"/>
      <c r="AH12" s="771"/>
      <c r="AI12" s="771"/>
      <c r="AJ12" s="771"/>
      <c r="AK12" s="771"/>
      <c r="AL12" s="771"/>
      <c r="AM12" s="771"/>
      <c r="AN12" s="771"/>
      <c r="AO12" s="773"/>
    </row>
    <row r="13" spans="1:41" s="159" customFormat="1" ht="17.45" customHeight="1">
      <c r="A13" s="360">
        <v>4</v>
      </c>
      <c r="B13" s="732" t="s">
        <v>54</v>
      </c>
      <c r="C13" s="733"/>
      <c r="D13" s="734"/>
      <c r="E13" s="179" t="s">
        <v>509</v>
      </c>
      <c r="F13" s="735">
        <v>293</v>
      </c>
      <c r="G13" s="736"/>
      <c r="H13" s="737">
        <f>BV20</f>
        <v>92</v>
      </c>
      <c r="I13" s="738"/>
      <c r="J13" s="735">
        <f t="shared" si="0"/>
        <v>201</v>
      </c>
      <c r="K13" s="736"/>
      <c r="L13" s="209">
        <f t="shared" si="1"/>
        <v>4</v>
      </c>
      <c r="M13" s="775" t="s">
        <v>511</v>
      </c>
      <c r="N13" s="776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71"/>
      <c r="AH13" s="771"/>
      <c r="AI13" s="771"/>
      <c r="AJ13" s="771"/>
      <c r="AK13" s="771"/>
      <c r="AL13" s="771"/>
      <c r="AM13" s="771"/>
      <c r="AN13" s="771"/>
      <c r="AO13" s="773"/>
    </row>
    <row r="14" spans="1:41" s="159" customFormat="1" ht="17.45" customHeight="1">
      <c r="A14" s="360">
        <v>5</v>
      </c>
      <c r="B14" s="732" t="s">
        <v>55</v>
      </c>
      <c r="C14" s="733"/>
      <c r="D14" s="734"/>
      <c r="E14" s="179" t="s">
        <v>509</v>
      </c>
      <c r="F14" s="735">
        <v>293</v>
      </c>
      <c r="G14" s="736"/>
      <c r="H14" s="737">
        <v>89</v>
      </c>
      <c r="I14" s="738"/>
      <c r="J14" s="735">
        <f t="shared" si="0"/>
        <v>204</v>
      </c>
      <c r="K14" s="736"/>
      <c r="L14" s="209">
        <f t="shared" si="1"/>
        <v>5</v>
      </c>
      <c r="M14" s="775" t="s">
        <v>512</v>
      </c>
      <c r="N14" s="776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71"/>
      <c r="AH14" s="771"/>
      <c r="AI14" s="771"/>
      <c r="AJ14" s="771"/>
      <c r="AK14" s="771"/>
      <c r="AL14" s="771"/>
      <c r="AM14" s="771"/>
      <c r="AN14" s="771"/>
      <c r="AO14" s="773"/>
    </row>
    <row r="15" spans="1:41" s="159" customFormat="1" ht="17.100000000000001" customHeight="1">
      <c r="A15" s="360">
        <v>6</v>
      </c>
      <c r="B15" s="732" t="s">
        <v>513</v>
      </c>
      <c r="C15" s="733"/>
      <c r="D15" s="734"/>
      <c r="E15" s="179" t="s">
        <v>509</v>
      </c>
      <c r="F15" s="735">
        <v>293</v>
      </c>
      <c r="G15" s="736"/>
      <c r="H15" s="737">
        <f>BW20</f>
        <v>45</v>
      </c>
      <c r="I15" s="738"/>
      <c r="J15" s="735">
        <f t="shared" si="0"/>
        <v>248</v>
      </c>
      <c r="K15" s="736"/>
      <c r="L15" s="209">
        <f t="shared" si="1"/>
        <v>6</v>
      </c>
      <c r="M15" s="775" t="s">
        <v>514</v>
      </c>
      <c r="N15" s="776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71"/>
      <c r="AH15" s="771"/>
      <c r="AI15" s="771"/>
      <c r="AJ15" s="771"/>
      <c r="AK15" s="771"/>
      <c r="AL15" s="771"/>
      <c r="AM15" s="771"/>
      <c r="AN15" s="771"/>
      <c r="AO15" s="773"/>
    </row>
    <row r="16" spans="1:41" s="159" customFormat="1" ht="17.45" customHeight="1">
      <c r="A16" s="360">
        <v>7</v>
      </c>
      <c r="B16" s="732" t="s">
        <v>515</v>
      </c>
      <c r="C16" s="733"/>
      <c r="D16" s="734"/>
      <c r="E16" s="179" t="s">
        <v>509</v>
      </c>
      <c r="F16" s="735">
        <v>293</v>
      </c>
      <c r="G16" s="736"/>
      <c r="H16" s="737">
        <v>13</v>
      </c>
      <c r="I16" s="738"/>
      <c r="J16" s="735">
        <f t="shared" si="0"/>
        <v>280</v>
      </c>
      <c r="K16" s="736"/>
      <c r="L16" s="209">
        <f t="shared" si="1"/>
        <v>7</v>
      </c>
      <c r="M16" s="775" t="e" vm="1">
        <v>#VALUE!</v>
      </c>
      <c r="N16" s="776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71"/>
      <c r="AH16" s="771"/>
      <c r="AI16" s="771"/>
      <c r="AJ16" s="771"/>
      <c r="AK16" s="771"/>
      <c r="AL16" s="771"/>
      <c r="AM16" s="771"/>
      <c r="AN16" s="771"/>
      <c r="AO16" s="773"/>
    </row>
    <row r="17" spans="1:75" s="159" customFormat="1" ht="17.45" customHeight="1">
      <c r="A17" s="360">
        <v>8</v>
      </c>
      <c r="B17" s="732" t="s">
        <v>516</v>
      </c>
      <c r="C17" s="733"/>
      <c r="D17" s="734"/>
      <c r="E17" s="179" t="s">
        <v>506</v>
      </c>
      <c r="F17" s="739">
        <v>114.51600000000001</v>
      </c>
      <c r="G17" s="740"/>
      <c r="H17" s="741">
        <v>0</v>
      </c>
      <c r="I17" s="742"/>
      <c r="J17" s="739">
        <f t="shared" si="0"/>
        <v>114.51600000000001</v>
      </c>
      <c r="K17" s="740"/>
      <c r="L17" s="209">
        <f t="shared" si="1"/>
        <v>8</v>
      </c>
      <c r="M17" s="775" t="e" vm="1">
        <v>#VALUE!</v>
      </c>
      <c r="N17" s="776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71"/>
      <c r="AH17" s="771"/>
      <c r="AI17" s="771"/>
      <c r="AJ17" s="771"/>
      <c r="AK17" s="771"/>
      <c r="AL17" s="771"/>
      <c r="AM17" s="771"/>
      <c r="AN17" s="771"/>
      <c r="AO17" s="773"/>
    </row>
    <row r="18" spans="1:75" s="159" customFormat="1" ht="17.45" customHeight="1">
      <c r="A18" s="360">
        <v>9</v>
      </c>
      <c r="B18" s="732" t="s">
        <v>517</v>
      </c>
      <c r="C18" s="733"/>
      <c r="D18" s="734"/>
      <c r="E18" s="179" t="s">
        <v>506</v>
      </c>
      <c r="F18" s="739">
        <v>114.51600000000001</v>
      </c>
      <c r="G18" s="740"/>
      <c r="H18" s="741">
        <v>0</v>
      </c>
      <c r="I18" s="742"/>
      <c r="J18" s="739">
        <f t="shared" si="0"/>
        <v>114.51600000000001</v>
      </c>
      <c r="K18" s="740"/>
      <c r="L18" s="209">
        <f t="shared" si="1"/>
        <v>9</v>
      </c>
      <c r="M18" s="775" t="e" vm="1">
        <v>#VALUE!</v>
      </c>
      <c r="N18" s="776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71"/>
      <c r="AH18" s="771"/>
      <c r="AI18" s="771"/>
      <c r="AJ18" s="771"/>
      <c r="AK18" s="771"/>
      <c r="AL18" s="771"/>
      <c r="AM18" s="771"/>
      <c r="AN18" s="771"/>
      <c r="AO18" s="773"/>
    </row>
    <row r="19" spans="1:75" s="159" customFormat="1" ht="18" customHeight="1" thickBot="1">
      <c r="A19" s="361">
        <v>10</v>
      </c>
      <c r="B19" s="743" t="s">
        <v>518</v>
      </c>
      <c r="C19" s="744"/>
      <c r="D19" s="745"/>
      <c r="E19" s="180" t="s">
        <v>506</v>
      </c>
      <c r="F19" s="746">
        <v>114.51600000000001</v>
      </c>
      <c r="G19" s="747"/>
      <c r="H19" s="748">
        <v>0</v>
      </c>
      <c r="I19" s="749"/>
      <c r="J19" s="746">
        <f t="shared" si="0"/>
        <v>114.51600000000001</v>
      </c>
      <c r="K19" s="747"/>
      <c r="L19" s="209">
        <f>L18+1</f>
        <v>10</v>
      </c>
      <c r="M19" s="777" t="e" vm="1">
        <v>#VALUE!</v>
      </c>
      <c r="N19" s="778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72"/>
      <c r="AH19" s="772"/>
      <c r="AI19" s="772"/>
      <c r="AJ19" s="772"/>
      <c r="AK19" s="772"/>
      <c r="AL19" s="772"/>
      <c r="AM19" s="772"/>
      <c r="AN19" s="772"/>
      <c r="AO19" s="774"/>
      <c r="BV19" s="339" t="s">
        <v>519</v>
      </c>
      <c r="BW19" s="339" t="s">
        <v>520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92</v>
      </c>
      <c r="BW20" s="339">
        <f>SUM(BW21:BW214)</f>
        <v>45</v>
      </c>
    </row>
    <row r="21" spans="1:75" s="166" customFormat="1" ht="12.95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2.95" customHeight="1">
      <c r="A23" s="370"/>
      <c r="B23" s="319" t="s">
        <v>521</v>
      </c>
      <c r="C23" s="205"/>
      <c r="D23" s="314" t="s">
        <v>522</v>
      </c>
      <c r="E23" s="260"/>
      <c r="F23" s="314" t="s">
        <v>523</v>
      </c>
      <c r="G23" s="260"/>
      <c r="H23" s="314" t="s">
        <v>524</v>
      </c>
      <c r="I23" s="260"/>
      <c r="J23" s="314" t="s">
        <v>525</v>
      </c>
      <c r="K23" s="260"/>
      <c r="L23" s="314" t="s">
        <v>526</v>
      </c>
      <c r="M23" s="260"/>
      <c r="N23" s="314" t="s">
        <v>527</v>
      </c>
      <c r="O23" s="260"/>
      <c r="P23" s="314" t="s">
        <v>528</v>
      </c>
      <c r="Q23" s="260"/>
      <c r="R23" s="314" t="s">
        <v>275</v>
      </c>
      <c r="S23" s="260"/>
      <c r="T23" s="314" t="s">
        <v>529</v>
      </c>
      <c r="U23" s="260"/>
      <c r="V23" s="314" t="s">
        <v>530</v>
      </c>
      <c r="W23" s="260"/>
      <c r="X23" s="314" t="s">
        <v>280</v>
      </c>
      <c r="Y23" s="260"/>
      <c r="Z23" s="314" t="s">
        <v>531</v>
      </c>
      <c r="AA23" s="260"/>
      <c r="AB23" s="314" t="s">
        <v>532</v>
      </c>
      <c r="AC23" s="260"/>
      <c r="AD23" s="314" t="s">
        <v>533</v>
      </c>
      <c r="AE23" s="260"/>
      <c r="AF23" s="371"/>
      <c r="AG23" s="313"/>
      <c r="AH23" s="313"/>
      <c r="AI23" s="313"/>
      <c r="AJ23" s="312"/>
    </row>
    <row r="24" spans="1:75" s="159" customFormat="1" ht="12.95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2.95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2.95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2.95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93" t="s">
        <v>534</v>
      </c>
      <c r="O27" s="270"/>
      <c r="P27" s="793" t="s">
        <v>534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2.95" customHeight="1">
      <c r="A28" s="370"/>
      <c r="B28" s="273" t="s">
        <v>534</v>
      </c>
      <c r="C28" s="272">
        <v>393.72</v>
      </c>
      <c r="D28" s="273" t="s">
        <v>534</v>
      </c>
      <c r="E28" s="272">
        <v>225.97</v>
      </c>
      <c r="F28" s="273" t="s">
        <v>534</v>
      </c>
      <c r="G28" s="272">
        <v>193.84</v>
      </c>
      <c r="H28" s="273" t="s">
        <v>534</v>
      </c>
      <c r="I28" s="272">
        <v>401.38</v>
      </c>
      <c r="J28" s="273" t="s">
        <v>534</v>
      </c>
      <c r="K28" s="272">
        <v>284.73</v>
      </c>
      <c r="L28" s="273" t="s">
        <v>534</v>
      </c>
      <c r="M28" s="272">
        <v>238.17</v>
      </c>
      <c r="N28" s="794"/>
      <c r="O28" s="272">
        <v>164.96</v>
      </c>
      <c r="P28" s="794"/>
      <c r="Q28" s="272">
        <v>343</v>
      </c>
      <c r="R28" s="273" t="s">
        <v>534</v>
      </c>
      <c r="S28" s="272">
        <v>453</v>
      </c>
      <c r="T28" s="273" t="s">
        <v>534</v>
      </c>
      <c r="U28" s="272">
        <v>369</v>
      </c>
      <c r="V28" s="273" t="s">
        <v>534</v>
      </c>
      <c r="W28" s="272">
        <v>405</v>
      </c>
      <c r="X28" s="273" t="s">
        <v>534</v>
      </c>
      <c r="Y28" s="272">
        <v>416</v>
      </c>
      <c r="Z28" s="273" t="s">
        <v>534</v>
      </c>
      <c r="AA28" s="272">
        <v>420</v>
      </c>
      <c r="AB28" s="273" t="s">
        <v>534</v>
      </c>
      <c r="AC28" s="272">
        <v>364</v>
      </c>
      <c r="AD28" s="273" t="s">
        <v>534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2.95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95"/>
      <c r="O29" s="205"/>
      <c r="P29" s="795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535</v>
      </c>
      <c r="D30" s="265" t="s">
        <v>271</v>
      </c>
      <c r="F30" s="265" t="s">
        <v>271</v>
      </c>
      <c r="H30" s="265" t="s">
        <v>536</v>
      </c>
      <c r="J30" s="265" t="s">
        <v>537</v>
      </c>
      <c r="L30" s="265" t="s">
        <v>537</v>
      </c>
      <c r="N30" s="265" t="s">
        <v>537</v>
      </c>
      <c r="P30" s="265" t="s">
        <v>537</v>
      </c>
      <c r="R30" s="265" t="s">
        <v>538</v>
      </c>
      <c r="S30" s="265" t="s">
        <v>67</v>
      </c>
      <c r="T30" s="265" t="s">
        <v>288</v>
      </c>
      <c r="V30" s="265" t="s">
        <v>539</v>
      </c>
      <c r="X30" s="265" t="s">
        <v>281</v>
      </c>
      <c r="Z30" s="265" t="s">
        <v>288</v>
      </c>
      <c r="AB30" s="265" t="s">
        <v>288</v>
      </c>
      <c r="AD30" s="265" t="s">
        <v>288</v>
      </c>
      <c r="AF30" s="374"/>
    </row>
    <row r="31" spans="1:75" s="159" customFormat="1" ht="12.95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6" t="s">
        <v>1096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2.95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2.95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2.95" customHeight="1">
      <c r="A34" s="370"/>
      <c r="B34" s="319" t="s">
        <v>284</v>
      </c>
      <c r="C34" s="205"/>
      <c r="D34" s="314" t="s">
        <v>540</v>
      </c>
      <c r="E34" s="260"/>
      <c r="F34" s="314" t="s">
        <v>541</v>
      </c>
      <c r="G34" s="260"/>
      <c r="H34" s="314" t="s">
        <v>287</v>
      </c>
      <c r="I34" s="260"/>
      <c r="J34" s="314" t="s">
        <v>542</v>
      </c>
      <c r="K34" s="260"/>
      <c r="L34" s="314" t="s">
        <v>543</v>
      </c>
      <c r="M34" s="260"/>
      <c r="N34" s="314" t="s">
        <v>544</v>
      </c>
      <c r="O34" s="260"/>
      <c r="P34" s="314" t="s">
        <v>545</v>
      </c>
      <c r="Q34" s="260"/>
      <c r="R34" s="314" t="s">
        <v>546</v>
      </c>
      <c r="S34" s="260"/>
      <c r="T34" s="314" t="s">
        <v>547</v>
      </c>
      <c r="U34" s="260"/>
      <c r="V34" s="314" t="s">
        <v>548</v>
      </c>
      <c r="W34" s="260"/>
      <c r="X34" s="314" t="s">
        <v>445</v>
      </c>
      <c r="Y34" s="260"/>
      <c r="Z34" s="314" t="s">
        <v>451</v>
      </c>
      <c r="AA34" s="260"/>
      <c r="AB34" s="314" t="s">
        <v>381</v>
      </c>
      <c r="AC34" s="260"/>
      <c r="AD34" s="314" t="s">
        <v>375</v>
      </c>
      <c r="AE34" s="260"/>
      <c r="AF34" s="371"/>
      <c r="AG34" s="313"/>
      <c r="AH34" s="313"/>
      <c r="AI34" s="313"/>
      <c r="AJ34" s="312"/>
    </row>
    <row r="35" spans="1:75" s="159" customFormat="1" ht="12.95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2.95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2.95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2.95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2">
        <v>4</v>
      </c>
      <c r="BW38" s="602">
        <f>1</f>
        <v>1</v>
      </c>
    </row>
    <row r="39" spans="1:75" s="159" customFormat="1" ht="12.95" customHeight="1">
      <c r="A39" s="370"/>
      <c r="B39" s="273" t="s">
        <v>534</v>
      </c>
      <c r="C39" s="272">
        <v>412</v>
      </c>
      <c r="D39" s="273" t="s">
        <v>534</v>
      </c>
      <c r="E39" s="272">
        <v>405</v>
      </c>
      <c r="F39" s="273" t="s">
        <v>534</v>
      </c>
      <c r="G39" s="272">
        <v>391</v>
      </c>
      <c r="H39" s="273" t="s">
        <v>534</v>
      </c>
      <c r="I39" s="272">
        <v>397</v>
      </c>
      <c r="J39" s="273" t="s">
        <v>534</v>
      </c>
      <c r="K39" s="272">
        <v>390</v>
      </c>
      <c r="L39" s="273" t="s">
        <v>534</v>
      </c>
      <c r="M39" s="272">
        <v>397.5</v>
      </c>
      <c r="N39" s="273" t="s">
        <v>534</v>
      </c>
      <c r="O39" s="272">
        <v>591</v>
      </c>
      <c r="P39" s="273" t="s">
        <v>534</v>
      </c>
      <c r="Q39" s="272">
        <v>534</v>
      </c>
      <c r="R39" s="273" t="s">
        <v>534</v>
      </c>
      <c r="S39" s="272">
        <v>799</v>
      </c>
      <c r="T39" s="273" t="s">
        <v>534</v>
      </c>
      <c r="U39" s="272">
        <v>321</v>
      </c>
      <c r="V39" s="273" t="s">
        <v>534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2.95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281</v>
      </c>
      <c r="D41" s="265" t="s">
        <v>288</v>
      </c>
      <c r="F41" s="265" t="s">
        <v>288</v>
      </c>
      <c r="H41" s="265" t="s">
        <v>288</v>
      </c>
      <c r="J41" s="265" t="s">
        <v>288</v>
      </c>
      <c r="L41" s="265" t="s">
        <v>549</v>
      </c>
      <c r="N41" s="265" t="s">
        <v>293</v>
      </c>
      <c r="P41" s="265" t="s">
        <v>295</v>
      </c>
      <c r="R41" s="265" t="s">
        <v>298</v>
      </c>
      <c r="T41" s="265" t="s">
        <v>298</v>
      </c>
      <c r="V41" s="265" t="s">
        <v>550</v>
      </c>
      <c r="X41" s="265" t="s">
        <v>376</v>
      </c>
      <c r="Z41" s="265" t="s">
        <v>360</v>
      </c>
      <c r="AB41" s="265" t="s">
        <v>353</v>
      </c>
      <c r="AD41" s="265" t="s">
        <v>376</v>
      </c>
      <c r="AF41" s="374"/>
    </row>
    <row r="42" spans="1:75" s="159" customFormat="1" ht="12.95" customHeight="1">
      <c r="A42" s="370"/>
      <c r="B42" s="205"/>
      <c r="C42" s="260"/>
      <c r="D42" s="205"/>
      <c r="E42" s="260"/>
      <c r="F42" s="205"/>
      <c r="G42" s="260"/>
      <c r="H42" s="789" t="s">
        <v>551</v>
      </c>
      <c r="I42" s="789"/>
      <c r="J42" s="789"/>
      <c r="K42" s="789"/>
      <c r="L42" s="789"/>
      <c r="R42" s="607" t="s">
        <v>1097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2.95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2.95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52">
        <v>10</v>
      </c>
      <c r="AH44" s="753">
        <v>2</v>
      </c>
      <c r="AI44" s="753">
        <f>AG44-AH44</f>
        <v>8</v>
      </c>
      <c r="AJ44" s="753">
        <f>AG44</f>
        <v>10</v>
      </c>
      <c r="AK44" s="753">
        <v>1</v>
      </c>
      <c r="AL44" s="753">
        <f>AJ44-AK44</f>
        <v>9</v>
      </c>
      <c r="AM44" s="753"/>
      <c r="AN44" s="753"/>
      <c r="AO44" s="783"/>
    </row>
    <row r="45" spans="1:75" s="166" customFormat="1" ht="12.95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50"/>
      <c r="AH45" s="754"/>
      <c r="AI45" s="754"/>
      <c r="AJ45" s="754"/>
      <c r="AK45" s="754"/>
      <c r="AL45" s="754"/>
      <c r="AM45" s="754"/>
      <c r="AN45" s="754"/>
      <c r="AO45" s="781"/>
    </row>
    <row r="46" spans="1:75" s="166" customFormat="1" ht="12.95" customHeight="1">
      <c r="A46" s="370"/>
      <c r="B46" s="401" t="s">
        <v>136</v>
      </c>
      <c r="C46" s="260"/>
      <c r="D46" s="401" t="s">
        <v>373</v>
      </c>
      <c r="E46" s="260"/>
      <c r="F46" s="260" t="s">
        <v>371</v>
      </c>
      <c r="G46" s="260"/>
      <c r="H46" s="260" t="s">
        <v>372</v>
      </c>
      <c r="I46" s="260"/>
      <c r="J46" s="260" t="s">
        <v>370</v>
      </c>
      <c r="K46" s="260"/>
      <c r="L46" s="260" t="s">
        <v>383</v>
      </c>
      <c r="M46" s="205"/>
      <c r="N46" s="260" t="s">
        <v>398</v>
      </c>
      <c r="O46" s="260"/>
      <c r="P46" s="260" t="s">
        <v>174</v>
      </c>
      <c r="Q46" s="260"/>
      <c r="R46" s="260" t="s">
        <v>137</v>
      </c>
      <c r="S46" s="260"/>
      <c r="T46" s="260" t="s">
        <v>138</v>
      </c>
      <c r="U46" s="260"/>
      <c r="V46" s="260" t="s">
        <v>139</v>
      </c>
      <c r="W46" s="260"/>
      <c r="X46" s="260" t="s">
        <v>368</v>
      </c>
      <c r="Y46" s="260"/>
      <c r="Z46" s="260" t="s">
        <v>367</v>
      </c>
      <c r="AA46" s="260"/>
      <c r="AB46" s="260" t="s">
        <v>140</v>
      </c>
      <c r="AC46" s="260"/>
      <c r="AD46" s="260" t="s">
        <v>385</v>
      </c>
      <c r="AE46" s="260"/>
      <c r="AF46" s="371"/>
      <c r="AG46" s="750"/>
      <c r="AH46" s="754"/>
      <c r="AI46" s="754"/>
      <c r="AJ46" s="754"/>
      <c r="AK46" s="754"/>
      <c r="AL46" s="754"/>
      <c r="AM46" s="754"/>
      <c r="AN46" s="754"/>
      <c r="AO46" s="781"/>
    </row>
    <row r="47" spans="1:75" s="166" customFormat="1" ht="12.95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50"/>
      <c r="AH47" s="754"/>
      <c r="AI47" s="754"/>
      <c r="AJ47" s="754"/>
      <c r="AK47" s="754"/>
      <c r="AL47" s="754"/>
      <c r="AM47" s="754"/>
      <c r="AN47" s="754"/>
      <c r="AO47" s="781"/>
    </row>
    <row r="48" spans="1:75" s="166" customFormat="1" ht="12.95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50"/>
      <c r="AH48" s="754"/>
      <c r="AI48" s="754"/>
      <c r="AJ48" s="754"/>
      <c r="AK48" s="754"/>
      <c r="AL48" s="754"/>
      <c r="AM48" s="754"/>
      <c r="AN48" s="754"/>
      <c r="AO48" s="781"/>
    </row>
    <row r="49" spans="1:75" s="166" customFormat="1" ht="12.95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50"/>
      <c r="AH49" s="754"/>
      <c r="AI49" s="754"/>
      <c r="AJ49" s="754"/>
      <c r="AK49" s="754"/>
      <c r="AL49" s="754"/>
      <c r="AM49" s="754"/>
      <c r="AN49" s="754"/>
      <c r="AO49" s="781"/>
    </row>
    <row r="50" spans="1:75" s="166" customFormat="1" ht="12.6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85"/>
      <c r="AC50" s="185"/>
      <c r="AD50" s="186"/>
      <c r="AE50" s="185"/>
      <c r="AF50" s="371"/>
      <c r="AG50" s="750"/>
      <c r="AH50" s="754"/>
      <c r="AI50" s="754"/>
      <c r="AJ50" s="754"/>
      <c r="AK50" s="754"/>
      <c r="AL50" s="754"/>
      <c r="AM50" s="754"/>
      <c r="AN50" s="754"/>
      <c r="AO50" s="781"/>
      <c r="BV50" s="603">
        <f>15</f>
        <v>15</v>
      </c>
      <c r="BW50" s="603">
        <v>9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786"/>
      <c r="AC51" s="376">
        <v>410.99700000000001</v>
      </c>
      <c r="AD51" s="189"/>
      <c r="AE51" s="376">
        <v>413</v>
      </c>
      <c r="AF51" s="371"/>
      <c r="AG51" s="750"/>
      <c r="AH51" s="754"/>
      <c r="AI51" s="754"/>
      <c r="AJ51" s="754"/>
      <c r="AK51" s="754"/>
      <c r="AL51" s="754"/>
      <c r="AM51" s="754"/>
      <c r="AN51" s="754"/>
      <c r="AO51" s="781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87"/>
      <c r="AD52" s="191"/>
      <c r="AF52" s="371"/>
      <c r="AG52" s="750"/>
      <c r="AH52" s="754"/>
      <c r="AI52" s="754"/>
      <c r="AJ52" s="754"/>
      <c r="AK52" s="754"/>
      <c r="AL52" s="754"/>
      <c r="AM52" s="754"/>
      <c r="AN52" s="754"/>
      <c r="AO52" s="781"/>
    </row>
    <row r="53" spans="1:75" s="166" customFormat="1" ht="14.1" customHeight="1">
      <c r="A53" s="370"/>
      <c r="B53" s="265" t="s">
        <v>394</v>
      </c>
      <c r="C53" s="260"/>
      <c r="D53" s="265" t="s">
        <v>301</v>
      </c>
      <c r="E53" s="260"/>
      <c r="F53" s="265" t="s">
        <v>305</v>
      </c>
      <c r="G53" s="260"/>
      <c r="H53" s="192" t="s">
        <v>301</v>
      </c>
      <c r="I53" s="260"/>
      <c r="J53" s="260" t="s">
        <v>353</v>
      </c>
      <c r="K53" s="260"/>
      <c r="L53" s="260" t="s">
        <v>353</v>
      </c>
      <c r="M53" s="260"/>
      <c r="N53" s="260" t="s">
        <v>399</v>
      </c>
      <c r="O53" s="260"/>
      <c r="P53" s="265" t="s">
        <v>301</v>
      </c>
      <c r="Q53" s="260"/>
      <c r="R53" s="260" t="s">
        <v>353</v>
      </c>
      <c r="S53" s="260"/>
      <c r="T53" s="260" t="s">
        <v>360</v>
      </c>
      <c r="U53" s="260"/>
      <c r="V53" s="265" t="s">
        <v>360</v>
      </c>
      <c r="W53" s="260"/>
      <c r="X53" s="260" t="s">
        <v>353</v>
      </c>
      <c r="Y53" s="260"/>
      <c r="Z53" s="265" t="s">
        <v>353</v>
      </c>
      <c r="AA53" s="260"/>
      <c r="AB53" s="265" t="s">
        <v>305</v>
      </c>
      <c r="AC53" s="260"/>
      <c r="AD53" s="265" t="s">
        <v>360</v>
      </c>
      <c r="AE53" s="260"/>
      <c r="AF53" s="371"/>
      <c r="AG53" s="750"/>
      <c r="AH53" s="754"/>
      <c r="AI53" s="754"/>
      <c r="AJ53" s="754"/>
      <c r="AK53" s="754"/>
      <c r="AL53" s="754"/>
      <c r="AM53" s="754"/>
      <c r="AN53" s="754"/>
      <c r="AO53" s="781"/>
    </row>
    <row r="54" spans="1:75" s="166" customFormat="1" ht="14.1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51"/>
      <c r="AH54" s="755"/>
      <c r="AI54" s="755"/>
      <c r="AJ54" s="755"/>
      <c r="AK54" s="755"/>
      <c r="AL54" s="755"/>
      <c r="AM54" s="755"/>
      <c r="AN54" s="755"/>
      <c r="AO54" s="784"/>
    </row>
    <row r="55" spans="1:75" s="166" customFormat="1" ht="14.1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57">
        <v>10</v>
      </c>
      <c r="AH55" s="756">
        <v>10</v>
      </c>
      <c r="AI55" s="756">
        <f>AG55-AH55</f>
        <v>0</v>
      </c>
      <c r="AJ55" s="756">
        <f>AG55</f>
        <v>10</v>
      </c>
      <c r="AK55" s="756">
        <v>10</v>
      </c>
      <c r="AL55" s="756">
        <f>AJ55-AK55</f>
        <v>0</v>
      </c>
      <c r="AM55" s="756">
        <v>1.2729999999999999</v>
      </c>
      <c r="AN55" s="756">
        <v>1.2729999999999999</v>
      </c>
      <c r="AO55" s="780"/>
    </row>
    <row r="56" spans="1:75" s="166" customFormat="1" ht="14.1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50"/>
      <c r="AH56" s="754"/>
      <c r="AI56" s="754"/>
      <c r="AJ56" s="754"/>
      <c r="AK56" s="754"/>
      <c r="AL56" s="754"/>
      <c r="AM56" s="754"/>
      <c r="AN56" s="754"/>
      <c r="AO56" s="781"/>
    </row>
    <row r="57" spans="1:75" s="166" customFormat="1" ht="14.1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50"/>
      <c r="AH57" s="754"/>
      <c r="AI57" s="754"/>
      <c r="AJ57" s="754"/>
      <c r="AK57" s="754"/>
      <c r="AL57" s="754"/>
      <c r="AM57" s="754"/>
      <c r="AN57" s="754"/>
      <c r="AO57" s="781"/>
    </row>
    <row r="58" spans="1:75" s="166" customFormat="1" ht="14.1" customHeight="1">
      <c r="A58" s="370"/>
      <c r="B58" s="260" t="s">
        <v>393</v>
      </c>
      <c r="C58" s="205"/>
      <c r="D58" s="260" t="s">
        <v>168</v>
      </c>
      <c r="E58" s="260"/>
      <c r="F58" s="260" t="s">
        <v>176</v>
      </c>
      <c r="G58" s="260"/>
      <c r="H58" s="260" t="s">
        <v>177</v>
      </c>
      <c r="I58" s="260"/>
      <c r="J58" s="260" t="s">
        <v>421</v>
      </c>
      <c r="K58" s="260"/>
      <c r="L58" s="260" t="s">
        <v>403</v>
      </c>
      <c r="M58" s="260"/>
      <c r="N58" s="260" t="s">
        <v>379</v>
      </c>
      <c r="O58" s="260"/>
      <c r="P58" s="260" t="s">
        <v>380</v>
      </c>
      <c r="Q58" s="260"/>
      <c r="R58" s="260" t="s">
        <v>377</v>
      </c>
      <c r="S58" s="260"/>
      <c r="T58" s="260" t="s">
        <v>391</v>
      </c>
      <c r="U58" s="260"/>
      <c r="V58" s="260" t="s">
        <v>395</v>
      </c>
      <c r="W58" s="260"/>
      <c r="X58" s="260" t="s">
        <v>552</v>
      </c>
      <c r="Y58" s="260"/>
      <c r="Z58" s="260" t="s">
        <v>407</v>
      </c>
      <c r="AA58" s="260"/>
      <c r="AB58" s="260" t="s">
        <v>410</v>
      </c>
      <c r="AC58" s="260"/>
      <c r="AD58" s="260" t="s">
        <v>178</v>
      </c>
      <c r="AE58" s="260"/>
      <c r="AF58" s="371"/>
      <c r="AG58" s="750"/>
      <c r="AH58" s="754"/>
      <c r="AI58" s="754"/>
      <c r="AJ58" s="754"/>
      <c r="AK58" s="754"/>
      <c r="AL58" s="754"/>
      <c r="AM58" s="754"/>
      <c r="AN58" s="754"/>
      <c r="AO58" s="781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50"/>
      <c r="AH59" s="754"/>
      <c r="AI59" s="754"/>
      <c r="AJ59" s="754"/>
      <c r="AK59" s="754"/>
      <c r="AL59" s="754"/>
      <c r="AM59" s="754"/>
      <c r="AN59" s="754"/>
      <c r="AO59" s="781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50"/>
      <c r="AH60" s="754"/>
      <c r="AI60" s="754"/>
      <c r="AJ60" s="754"/>
      <c r="AK60" s="754"/>
      <c r="AL60" s="754"/>
      <c r="AM60" s="754"/>
      <c r="AN60" s="754"/>
      <c r="AO60" s="781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50"/>
      <c r="AH61" s="754"/>
      <c r="AI61" s="754"/>
      <c r="AJ61" s="754"/>
      <c r="AK61" s="754"/>
      <c r="AL61" s="754"/>
      <c r="AM61" s="754"/>
      <c r="AN61" s="754"/>
      <c r="AO61" s="781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85"/>
      <c r="W62" s="185"/>
      <c r="X62" s="796" t="s">
        <v>553</v>
      </c>
      <c r="Y62" s="185"/>
      <c r="Z62" s="785"/>
      <c r="AA62" s="185"/>
      <c r="AB62" s="785"/>
      <c r="AC62" s="185"/>
      <c r="AD62" s="785"/>
      <c r="AE62" s="185"/>
      <c r="AF62" s="371"/>
      <c r="AG62" s="750"/>
      <c r="AH62" s="754"/>
      <c r="AI62" s="754"/>
      <c r="AJ62" s="754"/>
      <c r="AK62" s="754"/>
      <c r="AL62" s="754"/>
      <c r="AM62" s="754"/>
      <c r="AN62" s="754"/>
      <c r="AO62" s="781"/>
      <c r="BV62" s="603">
        <f>14</f>
        <v>14</v>
      </c>
      <c r="BW62" s="603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786"/>
      <c r="W63" s="376">
        <v>448</v>
      </c>
      <c r="X63" s="797"/>
      <c r="Y63" s="376">
        <v>394</v>
      </c>
      <c r="Z63" s="786"/>
      <c r="AA63" s="376">
        <v>383</v>
      </c>
      <c r="AB63" s="786"/>
      <c r="AC63" s="376">
        <v>379</v>
      </c>
      <c r="AD63" s="786"/>
      <c r="AE63" s="376">
        <v>380.83699999999999</v>
      </c>
      <c r="AF63" s="371"/>
      <c r="AG63" s="750"/>
      <c r="AH63" s="754"/>
      <c r="AI63" s="754"/>
      <c r="AJ63" s="754"/>
      <c r="AK63" s="754"/>
      <c r="AL63" s="754"/>
      <c r="AM63" s="754"/>
      <c r="AN63" s="754"/>
      <c r="AO63" s="781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87"/>
      <c r="X64" s="798"/>
      <c r="Z64" s="787"/>
      <c r="AB64" s="787"/>
      <c r="AD64" s="787"/>
      <c r="AF64" s="371"/>
      <c r="AG64" s="750"/>
      <c r="AH64" s="754"/>
      <c r="AI64" s="754"/>
      <c r="AJ64" s="754"/>
      <c r="AK64" s="754"/>
      <c r="AL64" s="754"/>
      <c r="AM64" s="754"/>
      <c r="AN64" s="754"/>
      <c r="AO64" s="781"/>
    </row>
    <row r="65" spans="1:75" s="166" customFormat="1" ht="14.1" customHeight="1">
      <c r="A65" s="370"/>
      <c r="B65" s="265" t="s">
        <v>353</v>
      </c>
      <c r="C65" s="260"/>
      <c r="D65" s="265" t="s">
        <v>303</v>
      </c>
      <c r="E65" s="260"/>
      <c r="F65" s="265" t="s">
        <v>353</v>
      </c>
      <c r="G65" s="260"/>
      <c r="H65" s="265" t="s">
        <v>402</v>
      </c>
      <c r="I65" s="260"/>
      <c r="J65" s="265" t="s">
        <v>303</v>
      </c>
      <c r="K65" s="260"/>
      <c r="L65" s="265" t="s">
        <v>376</v>
      </c>
      <c r="M65" s="260"/>
      <c r="N65" s="265" t="s">
        <v>360</v>
      </c>
      <c r="O65" s="260"/>
      <c r="P65" s="260" t="s">
        <v>353</v>
      </c>
      <c r="Q65" s="260"/>
      <c r="R65" s="265" t="s">
        <v>338</v>
      </c>
      <c r="S65" s="260"/>
      <c r="T65" s="265" t="s">
        <v>392</v>
      </c>
      <c r="U65" s="260"/>
      <c r="V65" s="265" t="s">
        <v>396</v>
      </c>
      <c r="W65" s="260"/>
      <c r="X65" s="265" t="s">
        <v>360</v>
      </c>
      <c r="Y65" s="260"/>
      <c r="Z65" s="260" t="s">
        <v>353</v>
      </c>
      <c r="AA65" s="260"/>
      <c r="AB65" s="260" t="s">
        <v>353</v>
      </c>
      <c r="AC65" s="260"/>
      <c r="AD65" s="260" t="s">
        <v>353</v>
      </c>
      <c r="AE65" s="260"/>
      <c r="AF65" s="371"/>
      <c r="AG65" s="750"/>
      <c r="AH65" s="754"/>
      <c r="AI65" s="754"/>
      <c r="AJ65" s="754"/>
      <c r="AK65" s="754"/>
      <c r="AL65" s="754"/>
      <c r="AM65" s="754"/>
      <c r="AN65" s="754"/>
      <c r="AO65" s="781"/>
    </row>
    <row r="66" spans="1:75" s="166" customFormat="1" ht="14.1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51"/>
      <c r="AH66" s="755"/>
      <c r="AI66" s="755"/>
      <c r="AJ66" s="755"/>
      <c r="AK66" s="755"/>
      <c r="AL66" s="755"/>
      <c r="AM66" s="755"/>
      <c r="AN66" s="755"/>
      <c r="AO66" s="784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57">
        <v>10</v>
      </c>
      <c r="AH67" s="756">
        <v>9</v>
      </c>
      <c r="AI67" s="756">
        <f>AG67-AH67</f>
        <v>1</v>
      </c>
      <c r="AJ67" s="756">
        <f>COUNTA($D$58:$V$58)</f>
        <v>10</v>
      </c>
      <c r="AK67" s="756">
        <v>7</v>
      </c>
      <c r="AL67" s="756">
        <f>AJ67-AK67</f>
        <v>3</v>
      </c>
      <c r="AM67" s="756">
        <v>0.91500000000000004</v>
      </c>
      <c r="AN67" s="756">
        <f>0.672+0.243</f>
        <v>0.91500000000000004</v>
      </c>
      <c r="AO67" s="780"/>
    </row>
    <row r="68" spans="1:75" s="166" customFormat="1" ht="14.1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51"/>
      <c r="AH68" s="755"/>
      <c r="AI68" s="755"/>
      <c r="AJ68" s="755"/>
      <c r="AK68" s="755"/>
      <c r="AL68" s="755"/>
      <c r="AM68" s="755"/>
      <c r="AN68" s="755"/>
      <c r="AO68" s="784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57">
        <v>10</v>
      </c>
      <c r="AH69" s="756">
        <v>10</v>
      </c>
      <c r="AI69" s="756">
        <f>AG69-AH69</f>
        <v>0</v>
      </c>
      <c r="AJ69" s="756">
        <f>COUNTA($B$71:$L$71)</f>
        <v>6</v>
      </c>
      <c r="AK69" s="756">
        <v>9</v>
      </c>
      <c r="AL69" s="756">
        <f>AJ69-AK69</f>
        <v>-3</v>
      </c>
      <c r="AM69" s="756"/>
      <c r="AN69" s="756"/>
      <c r="AO69" s="780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50"/>
      <c r="AH70" s="754"/>
      <c r="AI70" s="754"/>
      <c r="AJ70" s="754"/>
      <c r="AK70" s="754"/>
      <c r="AL70" s="754"/>
      <c r="AM70" s="754"/>
      <c r="AN70" s="754"/>
      <c r="AO70" s="781"/>
    </row>
    <row r="71" spans="1:75" s="166" customFormat="1" ht="13.5" customHeight="1">
      <c r="A71" s="370"/>
      <c r="B71" s="260" t="s">
        <v>422</v>
      </c>
      <c r="C71" s="260"/>
      <c r="D71" s="260" t="s">
        <v>408</v>
      </c>
      <c r="E71" s="260"/>
      <c r="F71" s="260" t="s">
        <v>433</v>
      </c>
      <c r="G71" s="260"/>
      <c r="H71" s="260" t="s">
        <v>409</v>
      </c>
      <c r="I71" s="260"/>
      <c r="J71" s="260" t="s">
        <v>414</v>
      </c>
      <c r="K71" s="260"/>
      <c r="L71" s="260" t="s">
        <v>425</v>
      </c>
      <c r="M71" s="260"/>
      <c r="N71" s="260" t="s">
        <v>554</v>
      </c>
      <c r="O71" s="260"/>
      <c r="P71" s="260" t="s">
        <v>420</v>
      </c>
      <c r="Q71" s="260"/>
      <c r="R71" s="260" t="s">
        <v>413</v>
      </c>
      <c r="S71" s="260"/>
      <c r="T71" s="260" t="s">
        <v>428</v>
      </c>
      <c r="U71" s="260"/>
      <c r="V71" s="260" t="s">
        <v>426</v>
      </c>
      <c r="W71" s="260"/>
      <c r="X71" s="260" t="s">
        <v>388</v>
      </c>
      <c r="Y71" s="260"/>
      <c r="Z71" s="260" t="s">
        <v>180</v>
      </c>
      <c r="AA71" s="260"/>
      <c r="AB71" s="260" t="s">
        <v>374</v>
      </c>
      <c r="AC71" s="260"/>
      <c r="AD71" s="260" t="s">
        <v>386</v>
      </c>
      <c r="AE71" s="260"/>
      <c r="AF71" s="371"/>
      <c r="AG71" s="750"/>
      <c r="AH71" s="754"/>
      <c r="AI71" s="754"/>
      <c r="AJ71" s="754"/>
      <c r="AK71" s="754"/>
      <c r="AL71" s="754"/>
      <c r="AM71" s="754"/>
      <c r="AN71" s="754"/>
      <c r="AO71" s="781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50"/>
      <c r="AH72" s="754"/>
      <c r="AI72" s="754"/>
      <c r="AJ72" s="754"/>
      <c r="AK72" s="754"/>
      <c r="AL72" s="754"/>
      <c r="AM72" s="754"/>
      <c r="AN72" s="754"/>
      <c r="AO72" s="781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50"/>
      <c r="AH73" s="754"/>
      <c r="AI73" s="754"/>
      <c r="AJ73" s="754"/>
      <c r="AK73" s="754"/>
      <c r="AL73" s="754"/>
      <c r="AM73" s="754"/>
      <c r="AN73" s="754"/>
      <c r="AO73" s="781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50"/>
      <c r="AH74" s="754"/>
      <c r="AI74" s="754"/>
      <c r="AJ74" s="754"/>
      <c r="AK74" s="754"/>
      <c r="AL74" s="754"/>
      <c r="AM74" s="754"/>
      <c r="AN74" s="754"/>
      <c r="AO74" s="781"/>
      <c r="BV74" s="603">
        <v>14</v>
      </c>
      <c r="BW74" s="603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85"/>
      <c r="S75" s="185"/>
      <c r="T75" s="785"/>
      <c r="U75" s="185"/>
      <c r="V75" s="785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50"/>
      <c r="AH75" s="754"/>
      <c r="AI75" s="754"/>
      <c r="AJ75" s="754"/>
      <c r="AK75" s="754"/>
      <c r="AL75" s="754"/>
      <c r="AM75" s="754"/>
      <c r="AN75" s="754"/>
      <c r="AO75" s="781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786"/>
      <c r="S76" s="376">
        <v>350.38099999999997</v>
      </c>
      <c r="T76" s="786"/>
      <c r="U76" s="376">
        <v>333.99700000000001</v>
      </c>
      <c r="V76" s="786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50"/>
      <c r="AH76" s="754"/>
      <c r="AI76" s="754"/>
      <c r="AJ76" s="754"/>
      <c r="AK76" s="754"/>
      <c r="AL76" s="754"/>
      <c r="AM76" s="754"/>
      <c r="AN76" s="754"/>
      <c r="AO76" s="781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787"/>
      <c r="T77" s="787"/>
      <c r="V77" s="787"/>
      <c r="X77" s="191"/>
      <c r="Z77" s="191"/>
      <c r="AB77" s="191"/>
      <c r="AD77" s="191"/>
      <c r="AF77" s="371"/>
      <c r="AG77" s="750"/>
      <c r="AH77" s="754"/>
      <c r="AI77" s="754"/>
      <c r="AJ77" s="754"/>
      <c r="AK77" s="754"/>
      <c r="AL77" s="754"/>
      <c r="AM77" s="754"/>
      <c r="AN77" s="754"/>
      <c r="AO77" s="781"/>
    </row>
    <row r="78" spans="1:75" s="166" customFormat="1" ht="14.1" customHeight="1">
      <c r="A78" s="370"/>
      <c r="B78" s="265" t="s">
        <v>305</v>
      </c>
      <c r="C78" s="260"/>
      <c r="D78" s="265" t="s">
        <v>353</v>
      </c>
      <c r="E78" s="260"/>
      <c r="F78" s="265" t="s">
        <v>353</v>
      </c>
      <c r="G78" s="260"/>
      <c r="H78" s="265" t="s">
        <v>353</v>
      </c>
      <c r="I78" s="260"/>
      <c r="J78" s="260" t="s">
        <v>303</v>
      </c>
      <c r="K78" s="260"/>
      <c r="L78" s="265" t="s">
        <v>399</v>
      </c>
      <c r="M78" s="260"/>
      <c r="N78" s="265" t="s">
        <v>301</v>
      </c>
      <c r="O78" s="260"/>
      <c r="P78" s="260" t="s">
        <v>399</v>
      </c>
      <c r="Q78" s="260"/>
      <c r="R78" s="265" t="s">
        <v>399</v>
      </c>
      <c r="S78" s="260"/>
      <c r="T78" s="265" t="s">
        <v>333</v>
      </c>
      <c r="U78" s="260"/>
      <c r="V78" s="265" t="s">
        <v>353</v>
      </c>
      <c r="W78" s="260"/>
      <c r="X78" s="260" t="s">
        <v>353</v>
      </c>
      <c r="Y78" s="260"/>
      <c r="Z78" s="265" t="s">
        <v>353</v>
      </c>
      <c r="AA78" s="260"/>
      <c r="AB78" s="260" t="s">
        <v>360</v>
      </c>
      <c r="AC78" s="260"/>
      <c r="AD78" s="260" t="s">
        <v>353</v>
      </c>
      <c r="AE78" s="260"/>
      <c r="AF78" s="371"/>
      <c r="AG78" s="750"/>
      <c r="AH78" s="754"/>
      <c r="AI78" s="754"/>
      <c r="AJ78" s="754"/>
      <c r="AK78" s="754"/>
      <c r="AL78" s="754"/>
      <c r="AM78" s="754"/>
      <c r="AN78" s="754"/>
      <c r="AO78" s="781"/>
    </row>
    <row r="79" spans="1:75" s="205" customFormat="1" ht="14.1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88"/>
      <c r="AH79" s="779"/>
      <c r="AI79" s="779"/>
      <c r="AJ79" s="779"/>
      <c r="AK79" s="779"/>
      <c r="AL79" s="779"/>
      <c r="AM79" s="779"/>
      <c r="AN79" s="779"/>
      <c r="AO79" s="782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50"/>
      <c r="AH80" s="754"/>
      <c r="AI80" s="754"/>
      <c r="AJ80" s="754"/>
      <c r="AK80" s="754"/>
      <c r="AL80" s="754"/>
      <c r="AM80" s="754"/>
      <c r="AN80" s="754"/>
      <c r="AO80" s="781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50"/>
      <c r="AH81" s="754"/>
      <c r="AI81" s="754"/>
      <c r="AJ81" s="754"/>
      <c r="AK81" s="754"/>
      <c r="AL81" s="754"/>
      <c r="AM81" s="754"/>
      <c r="AN81" s="754"/>
      <c r="AO81" s="781"/>
    </row>
    <row r="82" spans="1:75" s="166" customFormat="1" ht="13.5" customHeight="1">
      <c r="A82" s="370"/>
      <c r="B82" s="260" t="s">
        <v>389</v>
      </c>
      <c r="C82" s="260"/>
      <c r="D82" s="260" t="s">
        <v>390</v>
      </c>
      <c r="E82" s="260"/>
      <c r="F82" s="260" t="s">
        <v>555</v>
      </c>
      <c r="G82" s="260"/>
      <c r="H82" s="260" t="s">
        <v>556</v>
      </c>
      <c r="I82" s="260"/>
      <c r="J82" s="260" t="s">
        <v>169</v>
      </c>
      <c r="K82" s="260"/>
      <c r="L82" s="260" t="s">
        <v>557</v>
      </c>
      <c r="M82" s="260"/>
      <c r="N82" s="260" t="s">
        <v>558</v>
      </c>
      <c r="O82" s="260"/>
      <c r="P82" s="260" t="s">
        <v>455</v>
      </c>
      <c r="Q82" s="260"/>
      <c r="R82" s="260" t="s">
        <v>461</v>
      </c>
      <c r="S82" s="260"/>
      <c r="T82" s="260" t="s">
        <v>457</v>
      </c>
      <c r="U82" s="260"/>
      <c r="V82" s="260" t="s">
        <v>559</v>
      </c>
      <c r="W82" s="260"/>
      <c r="X82" s="260" t="s">
        <v>560</v>
      </c>
      <c r="Y82" s="260"/>
      <c r="Z82" s="260" t="s">
        <v>561</v>
      </c>
      <c r="AA82" s="260"/>
      <c r="AB82" s="205" t="s">
        <v>562</v>
      </c>
      <c r="AC82" s="205"/>
      <c r="AD82" s="260" t="s">
        <v>448</v>
      </c>
      <c r="AE82" s="260"/>
      <c r="AF82" s="371"/>
      <c r="AG82" s="750"/>
      <c r="AH82" s="754"/>
      <c r="AI82" s="754"/>
      <c r="AJ82" s="754"/>
      <c r="AK82" s="754"/>
      <c r="AL82" s="754"/>
      <c r="AM82" s="754"/>
      <c r="AN82" s="754"/>
      <c r="AO82" s="781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50"/>
      <c r="AH83" s="754"/>
      <c r="AI83" s="754"/>
      <c r="AJ83" s="754"/>
      <c r="AK83" s="754"/>
      <c r="AL83" s="754"/>
      <c r="AM83" s="754"/>
      <c r="AN83" s="754"/>
      <c r="AO83" s="781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50"/>
      <c r="AH84" s="754"/>
      <c r="AI84" s="754"/>
      <c r="AJ84" s="754"/>
      <c r="AK84" s="754"/>
      <c r="AL84" s="754"/>
      <c r="AM84" s="754"/>
      <c r="AN84" s="754"/>
      <c r="AO84" s="781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50"/>
      <c r="AH85" s="754"/>
      <c r="AI85" s="754"/>
      <c r="AJ85" s="754"/>
      <c r="AK85" s="754"/>
      <c r="AL85" s="754"/>
      <c r="AM85" s="754"/>
      <c r="AN85" s="754"/>
      <c r="AO85" s="781"/>
    </row>
    <row r="86" spans="1:75" s="166" customFormat="1" ht="14.1" customHeight="1">
      <c r="A86" s="377"/>
      <c r="B86" s="186"/>
      <c r="C86" s="185"/>
      <c r="D86" s="186"/>
      <c r="E86" s="185"/>
      <c r="F86" s="587"/>
      <c r="G86" s="185"/>
      <c r="H86" s="184"/>
      <c r="I86" s="185"/>
      <c r="J86" s="184"/>
      <c r="K86" s="185"/>
      <c r="L86" s="184"/>
      <c r="M86" s="185"/>
      <c r="N86" s="790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50"/>
      <c r="AH86" s="754"/>
      <c r="AI86" s="754"/>
      <c r="AJ86" s="754"/>
      <c r="AK86" s="754"/>
      <c r="AL86" s="754"/>
      <c r="AM86" s="754"/>
      <c r="AN86" s="754"/>
      <c r="AO86" s="781"/>
      <c r="BV86" s="603">
        <v>7</v>
      </c>
      <c r="BW86" s="603">
        <v>2</v>
      </c>
    </row>
    <row r="87" spans="1:75" s="166" customFormat="1" ht="14.1" customHeight="1">
      <c r="A87" s="377"/>
      <c r="B87" s="189"/>
      <c r="C87" s="376">
        <v>378</v>
      </c>
      <c r="D87" s="189"/>
      <c r="E87" s="376">
        <v>342.70600000000002</v>
      </c>
      <c r="F87" s="206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791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51"/>
      <c r="AH87" s="755"/>
      <c r="AI87" s="755"/>
      <c r="AJ87" s="755"/>
      <c r="AK87" s="755"/>
      <c r="AL87" s="755"/>
      <c r="AM87" s="755"/>
      <c r="AN87" s="755"/>
      <c r="AO87" s="784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792"/>
      <c r="P88" s="191"/>
      <c r="R88" s="191"/>
      <c r="T88" s="191"/>
      <c r="V88" s="190"/>
      <c r="X88" s="264"/>
      <c r="Z88" s="190"/>
      <c r="AB88" s="190"/>
      <c r="AD88" s="191"/>
      <c r="AF88" s="371"/>
      <c r="AG88" s="757">
        <v>10</v>
      </c>
      <c r="AH88" s="756">
        <v>7</v>
      </c>
      <c r="AI88" s="756">
        <f>AG88-AH88</f>
        <v>3</v>
      </c>
      <c r="AJ88" s="756">
        <f>COUNTA($DF$98:$DX$98)</f>
        <v>10</v>
      </c>
      <c r="AK88" s="756">
        <v>5</v>
      </c>
      <c r="AL88" s="756">
        <v>5</v>
      </c>
      <c r="AM88" s="756"/>
      <c r="AN88" s="756"/>
      <c r="AO88" s="780"/>
    </row>
    <row r="89" spans="1:75" s="166" customFormat="1" ht="13.5" customHeight="1">
      <c r="A89" s="370"/>
      <c r="B89" s="260" t="s">
        <v>353</v>
      </c>
      <c r="C89" s="260"/>
      <c r="D89" s="260" t="s">
        <v>353</v>
      </c>
      <c r="E89" s="260"/>
      <c r="F89" s="260" t="s">
        <v>376</v>
      </c>
      <c r="G89" s="260"/>
      <c r="H89" s="265" t="s">
        <v>333</v>
      </c>
      <c r="I89" s="260"/>
      <c r="J89" s="265" t="s">
        <v>563</v>
      </c>
      <c r="K89" s="260"/>
      <c r="L89" s="265" t="s">
        <v>563</v>
      </c>
      <c r="M89" s="260"/>
      <c r="N89" s="260" t="s">
        <v>360</v>
      </c>
      <c r="O89" s="260"/>
      <c r="P89" s="260" t="s">
        <v>360</v>
      </c>
      <c r="Q89" s="260"/>
      <c r="R89" s="265" t="s">
        <v>360</v>
      </c>
      <c r="S89" s="260"/>
      <c r="T89" s="260" t="s">
        <v>353</v>
      </c>
      <c r="U89" s="260"/>
      <c r="V89" s="260" t="s">
        <v>360</v>
      </c>
      <c r="W89" s="260"/>
      <c r="X89" s="260" t="s">
        <v>563</v>
      </c>
      <c r="Y89" s="260"/>
      <c r="Z89" s="260" t="s">
        <v>308</v>
      </c>
      <c r="AA89" s="260"/>
      <c r="AB89" s="265" t="s">
        <v>564</v>
      </c>
      <c r="AC89" s="260"/>
      <c r="AD89" s="265" t="s">
        <v>301</v>
      </c>
      <c r="AE89" s="260"/>
      <c r="AF89" s="371"/>
      <c r="AG89" s="750"/>
      <c r="AH89" s="754"/>
      <c r="AI89" s="754"/>
      <c r="AJ89" s="754"/>
      <c r="AK89" s="754"/>
      <c r="AL89" s="754"/>
      <c r="AM89" s="754"/>
      <c r="AN89" s="754"/>
      <c r="AO89" s="781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50"/>
      <c r="AH90" s="754"/>
      <c r="AI90" s="754"/>
      <c r="AJ90" s="754"/>
      <c r="AK90" s="754"/>
      <c r="AL90" s="754"/>
      <c r="AM90" s="754"/>
      <c r="AN90" s="754"/>
      <c r="AO90" s="781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50"/>
      <c r="AH91" s="754"/>
      <c r="AI91" s="754"/>
      <c r="AJ91" s="754"/>
      <c r="AK91" s="754"/>
      <c r="AL91" s="754"/>
      <c r="AM91" s="754"/>
      <c r="AN91" s="754"/>
      <c r="AO91" s="781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50"/>
      <c r="AH92" s="754"/>
      <c r="AI92" s="754"/>
      <c r="AJ92" s="754"/>
      <c r="AK92" s="754"/>
      <c r="AL92" s="754"/>
      <c r="AM92" s="754"/>
      <c r="AN92" s="754"/>
      <c r="AO92" s="781"/>
    </row>
    <row r="93" spans="1:75" s="166" customFormat="1" ht="13.5" customHeight="1">
      <c r="A93" s="370"/>
      <c r="B93" s="260" t="s">
        <v>456</v>
      </c>
      <c r="C93" s="260"/>
      <c r="D93" s="260" t="s">
        <v>458</v>
      </c>
      <c r="E93" s="260"/>
      <c r="F93" s="260" t="s">
        <v>462</v>
      </c>
      <c r="G93" s="260"/>
      <c r="H93" s="260" t="s">
        <v>565</v>
      </c>
      <c r="I93" s="260"/>
      <c r="J93" s="260" t="s">
        <v>453</v>
      </c>
      <c r="K93" s="260"/>
      <c r="L93" s="260" t="s">
        <v>361</v>
      </c>
      <c r="M93" s="260"/>
      <c r="N93" s="260" t="s">
        <v>459</v>
      </c>
      <c r="O93" s="260"/>
      <c r="P93" s="260" t="s">
        <v>352</v>
      </c>
      <c r="Q93" s="260"/>
      <c r="R93" s="260" t="s">
        <v>357</v>
      </c>
      <c r="S93" s="260"/>
      <c r="T93" s="260" t="s">
        <v>359</v>
      </c>
      <c r="U93" s="260"/>
      <c r="V93" s="260" t="s">
        <v>364</v>
      </c>
      <c r="W93" s="260"/>
      <c r="X93" s="260" t="s">
        <v>363</v>
      </c>
      <c r="Y93" s="205"/>
      <c r="Z93" s="260" t="s">
        <v>362</v>
      </c>
      <c r="AA93" s="260"/>
      <c r="AB93" s="260" t="s">
        <v>365</v>
      </c>
      <c r="AC93" s="260"/>
      <c r="AD93" s="260" t="s">
        <v>366</v>
      </c>
      <c r="AE93" s="260"/>
      <c r="AF93" s="371"/>
      <c r="AG93" s="750"/>
      <c r="AH93" s="754"/>
      <c r="AI93" s="754"/>
      <c r="AJ93" s="754"/>
      <c r="AK93" s="754"/>
      <c r="AL93" s="754"/>
      <c r="AM93" s="754"/>
      <c r="AN93" s="754"/>
      <c r="AO93" s="781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50"/>
      <c r="AH94" s="754"/>
      <c r="AI94" s="754"/>
      <c r="AJ94" s="754"/>
      <c r="AK94" s="754"/>
      <c r="AL94" s="754"/>
      <c r="AM94" s="754"/>
      <c r="AN94" s="754"/>
      <c r="AO94" s="781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50"/>
      <c r="AH95" s="754"/>
      <c r="AI95" s="754"/>
      <c r="AJ95" s="754"/>
      <c r="AK95" s="754"/>
      <c r="AL95" s="754"/>
      <c r="AM95" s="754"/>
      <c r="AN95" s="754"/>
      <c r="AO95" s="781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50"/>
      <c r="AH96" s="754"/>
      <c r="AI96" s="754"/>
      <c r="AJ96" s="754"/>
      <c r="AK96" s="754"/>
      <c r="AL96" s="754"/>
      <c r="AM96" s="754"/>
      <c r="AN96" s="754"/>
      <c r="AO96" s="781"/>
    </row>
    <row r="97" spans="1:129" s="166" customFormat="1" ht="13.5" customHeight="1">
      <c r="A97" s="377"/>
      <c r="B97" s="186"/>
      <c r="C97" s="185"/>
      <c r="D97" s="186"/>
      <c r="E97" s="185"/>
      <c r="F97" s="186"/>
      <c r="G97" s="185"/>
      <c r="H97" s="315" t="s">
        <v>553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50"/>
      <c r="AH97" s="754"/>
      <c r="AI97" s="754"/>
      <c r="AJ97" s="754"/>
      <c r="AK97" s="754"/>
      <c r="AL97" s="754"/>
      <c r="AM97" s="754"/>
      <c r="AN97" s="754"/>
      <c r="AO97" s="781"/>
      <c r="BV97" s="603">
        <v>14</v>
      </c>
      <c r="BW97" s="603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189" t="s">
        <v>67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50"/>
      <c r="AH98" s="754"/>
      <c r="AI98" s="754"/>
      <c r="AJ98" s="754"/>
      <c r="AK98" s="754"/>
      <c r="AL98" s="754"/>
      <c r="AM98" s="754"/>
      <c r="AN98" s="754"/>
      <c r="AO98" s="781"/>
      <c r="DF98" s="183" t="s">
        <v>566</v>
      </c>
      <c r="DG98" s="183"/>
      <c r="DH98" s="183" t="s">
        <v>567</v>
      </c>
      <c r="DI98" s="183"/>
      <c r="DJ98" s="183" t="s">
        <v>167</v>
      </c>
      <c r="DK98" s="183"/>
      <c r="DL98" s="183" t="s">
        <v>568</v>
      </c>
      <c r="DM98" s="183"/>
      <c r="DN98" s="183" t="s">
        <v>569</v>
      </c>
      <c r="DO98" s="183"/>
      <c r="DP98" s="183" t="s">
        <v>570</v>
      </c>
      <c r="DQ98" s="183"/>
      <c r="DR98" s="183" t="s">
        <v>571</v>
      </c>
      <c r="DS98" s="183"/>
      <c r="DT98" s="183" t="s">
        <v>572</v>
      </c>
      <c r="DU98" s="183"/>
      <c r="DV98" s="183" t="s">
        <v>573</v>
      </c>
      <c r="DW98" s="183"/>
      <c r="DX98" s="183" t="s">
        <v>574</v>
      </c>
      <c r="DY98" s="183"/>
    </row>
    <row r="99" spans="1:129" s="166" customFormat="1" ht="13.5" customHeight="1" thickBot="1">
      <c r="A99" s="377"/>
      <c r="B99" s="191"/>
      <c r="D99" s="191"/>
      <c r="F99" s="191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50"/>
      <c r="AH99" s="754"/>
      <c r="AI99" s="754"/>
      <c r="AJ99" s="754"/>
      <c r="AK99" s="754"/>
      <c r="AL99" s="754"/>
      <c r="AM99" s="754"/>
      <c r="AN99" s="754"/>
      <c r="AO99" s="781"/>
    </row>
    <row r="100" spans="1:129" s="166" customFormat="1" ht="14.1" customHeight="1">
      <c r="A100" s="370"/>
      <c r="B100" s="260" t="s">
        <v>353</v>
      </c>
      <c r="C100" s="260"/>
      <c r="D100" s="260" t="s">
        <v>376</v>
      </c>
      <c r="E100" s="260"/>
      <c r="F100" s="260" t="s">
        <v>333</v>
      </c>
      <c r="G100" s="260"/>
      <c r="H100" s="265" t="s">
        <v>399</v>
      </c>
      <c r="I100" s="260"/>
      <c r="J100" s="260" t="s">
        <v>303</v>
      </c>
      <c r="K100" s="260"/>
      <c r="L100" s="260" t="s">
        <v>353</v>
      </c>
      <c r="M100" s="260"/>
      <c r="N100" s="260" t="s">
        <v>360</v>
      </c>
      <c r="O100" s="260"/>
      <c r="P100" s="260" t="s">
        <v>353</v>
      </c>
      <c r="Q100" s="260"/>
      <c r="R100" s="260" t="s">
        <v>353</v>
      </c>
      <c r="S100" s="260"/>
      <c r="T100" s="265" t="s">
        <v>360</v>
      </c>
      <c r="U100" s="260"/>
      <c r="V100" s="260" t="s">
        <v>303</v>
      </c>
      <c r="W100" s="260"/>
      <c r="X100" s="260" t="s">
        <v>360</v>
      </c>
      <c r="Y100" s="260"/>
      <c r="Z100" s="260" t="s">
        <v>353</v>
      </c>
      <c r="AA100" s="260"/>
      <c r="AB100" s="260" t="s">
        <v>353</v>
      </c>
      <c r="AC100" s="260"/>
      <c r="AD100" s="260" t="s">
        <v>360</v>
      </c>
      <c r="AE100" s="260"/>
      <c r="AF100" s="371"/>
      <c r="AG100" s="750"/>
      <c r="AH100" s="754"/>
      <c r="AI100" s="754"/>
      <c r="AJ100" s="754"/>
      <c r="AK100" s="754"/>
      <c r="AL100" s="754"/>
      <c r="AM100" s="754"/>
      <c r="AN100" s="754"/>
      <c r="AO100" s="781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70"/>
      <c r="B101" s="205"/>
      <c r="C101" s="205"/>
      <c r="D101" s="205"/>
      <c r="E101" s="260"/>
      <c r="F101" s="205" t="s">
        <v>575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51"/>
      <c r="AH101" s="755"/>
      <c r="AI101" s="755"/>
      <c r="AJ101" s="755"/>
      <c r="AK101" s="755"/>
      <c r="AL101" s="755"/>
      <c r="AM101" s="755"/>
      <c r="AN101" s="755"/>
      <c r="AO101" s="784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50"/>
      <c r="AH102" s="754"/>
      <c r="AI102" s="754"/>
      <c r="AJ102" s="754"/>
      <c r="AK102" s="754"/>
      <c r="AL102" s="754"/>
      <c r="AM102" s="754"/>
      <c r="AN102" s="754"/>
      <c r="AO102" s="781"/>
      <c r="DF102" s="195" t="s">
        <v>354</v>
      </c>
      <c r="DG102" s="185"/>
      <c r="DH102" s="195" t="s">
        <v>354</v>
      </c>
      <c r="DI102" s="185"/>
      <c r="DJ102" s="195" t="s">
        <v>354</v>
      </c>
      <c r="DK102" s="185"/>
      <c r="DL102" s="198" t="s">
        <v>354</v>
      </c>
      <c r="DM102" s="185"/>
      <c r="DN102" s="195" t="s">
        <v>354</v>
      </c>
      <c r="DO102" s="185"/>
      <c r="DP102" s="195" t="s">
        <v>354</v>
      </c>
      <c r="DQ102" s="185"/>
      <c r="DR102" s="195" t="s">
        <v>354</v>
      </c>
      <c r="DS102" s="185"/>
      <c r="DT102" s="195" t="s">
        <v>354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50"/>
      <c r="AH103" s="754"/>
      <c r="AI103" s="754"/>
      <c r="AJ103" s="754"/>
      <c r="AK103" s="754"/>
      <c r="AL103" s="754"/>
      <c r="AM103" s="754"/>
      <c r="AN103" s="754"/>
      <c r="AO103" s="781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464</v>
      </c>
      <c r="C104" s="260"/>
      <c r="D104" s="260" t="s">
        <v>576</v>
      </c>
      <c r="E104" s="260"/>
      <c r="F104" s="260" t="s">
        <v>577</v>
      </c>
      <c r="G104" s="260"/>
      <c r="H104" s="260" t="s">
        <v>578</v>
      </c>
      <c r="I104" s="260"/>
      <c r="J104" s="260" t="s">
        <v>432</v>
      </c>
      <c r="K104" s="260"/>
      <c r="L104" s="260" t="s">
        <v>579</v>
      </c>
      <c r="M104" s="260"/>
      <c r="N104" s="260" t="s">
        <v>431</v>
      </c>
      <c r="O104" s="260"/>
      <c r="P104" s="260" t="s">
        <v>430</v>
      </c>
      <c r="Q104" s="260"/>
      <c r="R104" s="260" t="s">
        <v>442</v>
      </c>
      <c r="S104" s="260"/>
      <c r="T104" s="260" t="s">
        <v>580</v>
      </c>
      <c r="U104" s="260"/>
      <c r="V104" s="260" t="s">
        <v>581</v>
      </c>
      <c r="W104" s="260"/>
      <c r="X104" s="260" t="s">
        <v>582</v>
      </c>
      <c r="Y104" s="205"/>
      <c r="Z104" s="260" t="s">
        <v>583</v>
      </c>
      <c r="AA104" s="260"/>
      <c r="AB104" s="260" t="s">
        <v>584</v>
      </c>
      <c r="AC104" s="260"/>
      <c r="AD104" s="260" t="s">
        <v>585</v>
      </c>
      <c r="AE104" s="260"/>
      <c r="AF104" s="371"/>
      <c r="AG104" s="750"/>
      <c r="AH104" s="754"/>
      <c r="AI104" s="754"/>
      <c r="AJ104" s="754"/>
      <c r="AK104" s="754"/>
      <c r="AL104" s="754"/>
      <c r="AM104" s="754"/>
      <c r="AN104" s="754"/>
      <c r="AO104" s="781"/>
      <c r="DF104" s="183" t="s">
        <v>360</v>
      </c>
      <c r="DG104" s="183"/>
      <c r="DH104" s="183" t="s">
        <v>360</v>
      </c>
      <c r="DI104" s="183"/>
      <c r="DJ104" s="192" t="s">
        <v>308</v>
      </c>
      <c r="DK104" s="183"/>
      <c r="DL104" s="192" t="s">
        <v>308</v>
      </c>
      <c r="DM104" s="183"/>
      <c r="DN104" s="192" t="s">
        <v>333</v>
      </c>
      <c r="DO104" s="183"/>
      <c r="DP104" s="183" t="s">
        <v>353</v>
      </c>
      <c r="DQ104" s="183"/>
      <c r="DR104" s="183" t="s">
        <v>360</v>
      </c>
      <c r="DS104" s="183"/>
      <c r="DT104" s="192" t="s">
        <v>338</v>
      </c>
      <c r="DU104" s="183"/>
      <c r="DV104" s="183" t="s">
        <v>353</v>
      </c>
      <c r="DW104" s="183"/>
      <c r="DX104" s="183" t="s">
        <v>360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50"/>
      <c r="AH105" s="754"/>
      <c r="AI105" s="754"/>
      <c r="AJ105" s="754"/>
      <c r="AK105" s="754"/>
      <c r="AL105" s="754"/>
      <c r="AM105" s="754"/>
      <c r="AN105" s="754"/>
      <c r="AO105" s="781"/>
      <c r="DG105" s="183"/>
      <c r="DI105" s="183"/>
      <c r="DK105" s="183"/>
      <c r="DM105" s="194" t="s">
        <v>586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50"/>
      <c r="AH106" s="754"/>
      <c r="AI106" s="754"/>
      <c r="AJ106" s="754"/>
      <c r="AK106" s="754"/>
      <c r="AL106" s="754"/>
      <c r="AM106" s="754"/>
      <c r="AN106" s="754"/>
      <c r="AO106" s="781"/>
      <c r="DK106" s="197" t="s">
        <v>587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50"/>
      <c r="AH107" s="754"/>
      <c r="AI107" s="754"/>
      <c r="AJ107" s="754"/>
      <c r="AK107" s="754"/>
      <c r="AL107" s="754"/>
      <c r="AM107" s="754"/>
      <c r="AN107" s="754"/>
      <c r="AO107" s="781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50"/>
      <c r="AH108" s="754"/>
      <c r="AI108" s="754"/>
      <c r="AJ108" s="754"/>
      <c r="AK108" s="754"/>
      <c r="AL108" s="754"/>
      <c r="AM108" s="754"/>
      <c r="AN108" s="754"/>
      <c r="AO108" s="781"/>
      <c r="BV108" s="603">
        <f>4</f>
        <v>4</v>
      </c>
      <c r="BW108" s="603">
        <v>0</v>
      </c>
    </row>
    <row r="109" spans="1:129" s="166" customFormat="1" ht="13.5" customHeight="1">
      <c r="A109" s="377"/>
      <c r="B109" s="200" t="s">
        <v>553</v>
      </c>
      <c r="C109" s="376">
        <v>388.00099999999998</v>
      </c>
      <c r="D109" s="188" t="s">
        <v>553</v>
      </c>
      <c r="E109" s="376">
        <v>348.62799999999999</v>
      </c>
      <c r="F109" s="188" t="s">
        <v>553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50"/>
      <c r="AH109" s="754"/>
      <c r="AI109" s="754"/>
      <c r="AJ109" s="754"/>
      <c r="AK109" s="754"/>
      <c r="AL109" s="754"/>
      <c r="AM109" s="754"/>
      <c r="AN109" s="754"/>
      <c r="AO109" s="781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50"/>
      <c r="AH110" s="754"/>
      <c r="AI110" s="754"/>
      <c r="AJ110" s="754"/>
      <c r="AK110" s="754"/>
      <c r="AL110" s="754"/>
      <c r="AM110" s="754"/>
      <c r="AN110" s="754"/>
      <c r="AO110" s="781"/>
    </row>
    <row r="111" spans="1:129" s="166" customFormat="1" ht="14.1" customHeight="1">
      <c r="A111" s="370"/>
      <c r="B111" s="260" t="s">
        <v>353</v>
      </c>
      <c r="C111" s="260"/>
      <c r="D111" s="260" t="s">
        <v>353</v>
      </c>
      <c r="E111" s="260"/>
      <c r="F111" s="260" t="s">
        <v>303</v>
      </c>
      <c r="G111" s="260"/>
      <c r="H111" s="260" t="s">
        <v>402</v>
      </c>
      <c r="I111" s="260"/>
      <c r="J111" s="260" t="s">
        <v>360</v>
      </c>
      <c r="K111" s="260"/>
      <c r="L111" s="260" t="s">
        <v>353</v>
      </c>
      <c r="M111" s="260"/>
      <c r="N111" s="260" t="s">
        <v>376</v>
      </c>
      <c r="O111" s="260"/>
      <c r="P111" s="260" t="s">
        <v>295</v>
      </c>
      <c r="Q111" s="260"/>
      <c r="R111" s="260" t="s">
        <v>353</v>
      </c>
      <c r="S111" s="260"/>
      <c r="T111" s="260" t="s">
        <v>312</v>
      </c>
      <c r="U111" s="260"/>
      <c r="V111" s="260" t="s">
        <v>353</v>
      </c>
      <c r="W111" s="260"/>
      <c r="X111" s="260" t="s">
        <v>353</v>
      </c>
      <c r="Y111" s="260"/>
      <c r="Z111" s="260" t="s">
        <v>588</v>
      </c>
      <c r="AA111" s="260"/>
      <c r="AB111" s="260" t="s">
        <v>402</v>
      </c>
      <c r="AC111" s="260"/>
      <c r="AD111" s="260" t="s">
        <v>353</v>
      </c>
      <c r="AE111" s="260"/>
      <c r="AF111" s="371"/>
      <c r="AG111" s="750"/>
      <c r="AH111" s="754"/>
      <c r="AI111" s="754"/>
      <c r="AJ111" s="754"/>
      <c r="AK111" s="754"/>
      <c r="AL111" s="754"/>
      <c r="AM111" s="754"/>
      <c r="AN111" s="754"/>
      <c r="AO111" s="781"/>
    </row>
    <row r="112" spans="1:129" s="166" customFormat="1" ht="14.1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51"/>
      <c r="AH112" s="755"/>
      <c r="AI112" s="755"/>
      <c r="AJ112" s="755"/>
      <c r="AK112" s="755"/>
      <c r="AL112" s="755"/>
      <c r="AM112" s="755"/>
      <c r="AN112" s="755"/>
      <c r="AO112" s="784"/>
    </row>
    <row r="113" spans="1:75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50"/>
      <c r="AH113" s="754"/>
      <c r="AI113" s="754"/>
      <c r="AJ113" s="754"/>
      <c r="AK113" s="754"/>
      <c r="AL113" s="754"/>
      <c r="AM113" s="754"/>
      <c r="AN113" s="754"/>
      <c r="AO113" s="781"/>
    </row>
    <row r="114" spans="1:75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50"/>
      <c r="AH114" s="754"/>
      <c r="AI114" s="754"/>
      <c r="AJ114" s="754"/>
      <c r="AK114" s="754"/>
      <c r="AL114" s="754"/>
      <c r="AM114" s="754"/>
      <c r="AN114" s="754"/>
      <c r="AO114" s="781"/>
    </row>
    <row r="115" spans="1:75" s="166" customFormat="1" ht="13.5" customHeight="1">
      <c r="A115" s="370"/>
      <c r="B115" s="260" t="s">
        <v>589</v>
      </c>
      <c r="C115" s="260"/>
      <c r="D115" s="260" t="s">
        <v>590</v>
      </c>
      <c r="E115" s="260"/>
      <c r="F115" s="260" t="s">
        <v>591</v>
      </c>
      <c r="G115" s="260"/>
      <c r="H115" s="260" t="s">
        <v>592</v>
      </c>
      <c r="I115" s="260"/>
      <c r="J115" s="260" t="s">
        <v>181</v>
      </c>
      <c r="K115" s="260"/>
      <c r="L115" s="260" t="s">
        <v>593</v>
      </c>
      <c r="M115" s="260"/>
      <c r="N115" s="260" t="s">
        <v>594</v>
      </c>
      <c r="O115" s="260"/>
      <c r="P115" s="260" t="s">
        <v>595</v>
      </c>
      <c r="Q115" s="260"/>
      <c r="R115" s="260" t="s">
        <v>596</v>
      </c>
      <c r="S115" s="260"/>
      <c r="T115" s="260" t="s">
        <v>597</v>
      </c>
      <c r="U115" s="260"/>
      <c r="V115" s="260" t="s">
        <v>598</v>
      </c>
      <c r="W115" s="260"/>
      <c r="X115" s="260" t="s">
        <v>599</v>
      </c>
      <c r="Y115" s="205"/>
      <c r="Z115" s="260" t="s">
        <v>600</v>
      </c>
      <c r="AA115" s="260"/>
      <c r="AB115" s="260" t="s">
        <v>601</v>
      </c>
      <c r="AC115" s="260"/>
      <c r="AD115" s="260" t="s">
        <v>602</v>
      </c>
      <c r="AE115" s="260"/>
      <c r="AF115" s="371"/>
      <c r="AG115" s="750"/>
      <c r="AH115" s="754"/>
      <c r="AI115" s="754"/>
      <c r="AJ115" s="754"/>
      <c r="AK115" s="754"/>
      <c r="AL115" s="754"/>
      <c r="AM115" s="754"/>
      <c r="AN115" s="754"/>
      <c r="AO115" s="781"/>
    </row>
    <row r="116" spans="1:75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50"/>
      <c r="AH116" s="754"/>
      <c r="AI116" s="754"/>
      <c r="AJ116" s="754"/>
      <c r="AK116" s="754"/>
      <c r="AL116" s="754"/>
      <c r="AM116" s="754"/>
      <c r="AN116" s="754"/>
      <c r="AO116" s="781"/>
    </row>
    <row r="117" spans="1:75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50"/>
      <c r="AH117" s="754"/>
      <c r="AI117" s="754"/>
      <c r="AJ117" s="754"/>
      <c r="AK117" s="754"/>
      <c r="AL117" s="754"/>
      <c r="AM117" s="754"/>
      <c r="AN117" s="754"/>
      <c r="AO117" s="781"/>
    </row>
    <row r="118" spans="1:75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50"/>
      <c r="AH118" s="754"/>
      <c r="AI118" s="754"/>
      <c r="AJ118" s="754"/>
      <c r="AK118" s="754"/>
      <c r="AL118" s="754"/>
      <c r="AM118" s="754"/>
      <c r="AN118" s="754"/>
      <c r="AO118" s="781"/>
    </row>
    <row r="119" spans="1:75" s="166" customFormat="1" ht="13.5" customHeight="1">
      <c r="A119" s="370"/>
      <c r="B119" s="269"/>
      <c r="C119" s="270"/>
      <c r="D119" s="269"/>
      <c r="E119" s="270"/>
      <c r="F119" s="317" t="s">
        <v>553</v>
      </c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50"/>
      <c r="AH119" s="754"/>
      <c r="AI119" s="754"/>
      <c r="AJ119" s="754"/>
      <c r="AK119" s="754"/>
      <c r="AL119" s="754"/>
      <c r="AM119" s="754"/>
      <c r="AN119" s="754"/>
      <c r="AO119" s="781"/>
      <c r="BV119" s="166">
        <v>1</v>
      </c>
      <c r="BW119" s="166">
        <v>0</v>
      </c>
    </row>
    <row r="120" spans="1:75" s="166" customFormat="1" ht="13.5" customHeight="1">
      <c r="A120" s="370"/>
      <c r="B120" s="273"/>
      <c r="C120" s="272">
        <v>411.00400000000002</v>
      </c>
      <c r="D120" s="273" t="s">
        <v>553</v>
      </c>
      <c r="E120" s="272">
        <v>423</v>
      </c>
      <c r="F120" s="273"/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50"/>
      <c r="AH120" s="754"/>
      <c r="AI120" s="754"/>
      <c r="AJ120" s="754"/>
      <c r="AK120" s="754"/>
      <c r="AL120" s="754"/>
      <c r="AM120" s="754"/>
      <c r="AN120" s="754"/>
      <c r="AO120" s="781"/>
    </row>
    <row r="121" spans="1:75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50"/>
      <c r="AH121" s="754"/>
      <c r="AI121" s="754"/>
      <c r="AJ121" s="754"/>
      <c r="AK121" s="754"/>
      <c r="AL121" s="754"/>
      <c r="AM121" s="754"/>
      <c r="AN121" s="754"/>
      <c r="AO121" s="781"/>
    </row>
    <row r="122" spans="1:75" s="166" customFormat="1" ht="14.1" customHeight="1">
      <c r="A122" s="370"/>
      <c r="B122" s="260" t="s">
        <v>376</v>
      </c>
      <c r="C122" s="260"/>
      <c r="D122" s="260" t="s">
        <v>360</v>
      </c>
      <c r="E122" s="260"/>
      <c r="F122" s="260" t="s">
        <v>353</v>
      </c>
      <c r="G122" s="260"/>
      <c r="H122" s="260" t="s">
        <v>353</v>
      </c>
      <c r="I122" s="260"/>
      <c r="J122" s="260" t="s">
        <v>305</v>
      </c>
      <c r="K122" s="260"/>
      <c r="L122" s="260" t="s">
        <v>360</v>
      </c>
      <c r="M122" s="260"/>
      <c r="N122" s="260" t="s">
        <v>305</v>
      </c>
      <c r="O122" s="260"/>
      <c r="P122" s="260" t="s">
        <v>360</v>
      </c>
      <c r="Q122" s="260"/>
      <c r="R122" s="260" t="s">
        <v>353</v>
      </c>
      <c r="S122" s="260"/>
      <c r="T122" s="260" t="s">
        <v>360</v>
      </c>
      <c r="U122" s="260"/>
      <c r="V122" s="260" t="s">
        <v>353</v>
      </c>
      <c r="W122" s="260"/>
      <c r="X122" s="260" t="s">
        <v>353</v>
      </c>
      <c r="Y122" s="260"/>
      <c r="Z122" s="260" t="s">
        <v>360</v>
      </c>
      <c r="AA122" s="260"/>
      <c r="AB122" s="260" t="s">
        <v>333</v>
      </c>
      <c r="AC122" s="260"/>
      <c r="AD122" s="260" t="s">
        <v>603</v>
      </c>
      <c r="AE122" s="260"/>
      <c r="AF122" s="371"/>
      <c r="AG122" s="750"/>
      <c r="AH122" s="754"/>
      <c r="AI122" s="754"/>
      <c r="AJ122" s="754"/>
      <c r="AK122" s="754"/>
      <c r="AL122" s="754"/>
      <c r="AM122" s="754"/>
      <c r="AN122" s="754"/>
      <c r="AO122" s="781"/>
    </row>
    <row r="123" spans="1:75" s="166" customFormat="1" ht="14.1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88"/>
      <c r="AH123" s="779"/>
      <c r="AI123" s="779"/>
      <c r="AJ123" s="779"/>
      <c r="AK123" s="779"/>
      <c r="AL123" s="779"/>
      <c r="AM123" s="779"/>
      <c r="AN123" s="779"/>
      <c r="AO123" s="782"/>
    </row>
    <row r="124" spans="1:75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50"/>
      <c r="AH124" s="754"/>
      <c r="AI124" s="754"/>
      <c r="AJ124" s="754"/>
      <c r="AK124" s="754"/>
      <c r="AL124" s="754"/>
      <c r="AM124" s="754"/>
      <c r="AN124" s="754"/>
      <c r="AO124" s="781"/>
    </row>
    <row r="125" spans="1:75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50"/>
      <c r="AH125" s="754"/>
      <c r="AI125" s="754"/>
      <c r="AJ125" s="754"/>
      <c r="AK125" s="754"/>
      <c r="AL125" s="754"/>
      <c r="AM125" s="754"/>
      <c r="AN125" s="754"/>
      <c r="AO125" s="781"/>
    </row>
    <row r="126" spans="1:75" s="166" customFormat="1" ht="13.5" customHeight="1">
      <c r="A126" s="370"/>
      <c r="B126" s="260" t="s">
        <v>604</v>
      </c>
      <c r="C126" s="260"/>
      <c r="D126" s="260" t="s">
        <v>165</v>
      </c>
      <c r="E126" s="260"/>
      <c r="F126" s="260" t="s">
        <v>605</v>
      </c>
      <c r="G126" s="260"/>
      <c r="H126" s="260" t="s">
        <v>606</v>
      </c>
      <c r="I126" s="260"/>
      <c r="J126" s="260" t="s">
        <v>607</v>
      </c>
      <c r="K126" s="260"/>
      <c r="L126" s="260" t="s">
        <v>608</v>
      </c>
      <c r="M126" s="260"/>
      <c r="N126" s="260" t="s">
        <v>609</v>
      </c>
      <c r="O126" s="260"/>
      <c r="P126" s="260" t="s">
        <v>610</v>
      </c>
      <c r="Q126" s="260"/>
      <c r="R126" s="260" t="s">
        <v>611</v>
      </c>
      <c r="S126" s="260"/>
      <c r="T126" s="260" t="s">
        <v>612</v>
      </c>
      <c r="U126" s="260"/>
      <c r="V126" s="260" t="s">
        <v>613</v>
      </c>
      <c r="W126" s="260"/>
      <c r="X126" s="260" t="s">
        <v>614</v>
      </c>
      <c r="Y126" s="205"/>
      <c r="Z126" s="260" t="s">
        <v>182</v>
      </c>
      <c r="AA126" s="260"/>
      <c r="AB126" s="260" t="s">
        <v>141</v>
      </c>
      <c r="AC126" s="260"/>
      <c r="AD126" s="260" t="s">
        <v>452</v>
      </c>
      <c r="AE126" s="260"/>
      <c r="AF126" s="371"/>
      <c r="AG126" s="750"/>
      <c r="AH126" s="754"/>
      <c r="AI126" s="754"/>
      <c r="AJ126" s="754"/>
      <c r="AK126" s="754"/>
      <c r="AL126" s="754"/>
      <c r="AM126" s="754"/>
      <c r="AN126" s="754"/>
      <c r="AO126" s="781"/>
    </row>
    <row r="127" spans="1:75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50"/>
      <c r="AH127" s="754"/>
      <c r="AI127" s="754"/>
      <c r="AJ127" s="754"/>
      <c r="AK127" s="754"/>
      <c r="AL127" s="754"/>
      <c r="AM127" s="754"/>
      <c r="AN127" s="754"/>
      <c r="AO127" s="781"/>
    </row>
    <row r="128" spans="1:75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50"/>
      <c r="AH128" s="754"/>
      <c r="AI128" s="754"/>
      <c r="AJ128" s="754"/>
      <c r="AK128" s="754"/>
      <c r="AL128" s="754"/>
      <c r="AM128" s="754"/>
      <c r="AN128" s="754"/>
      <c r="AO128" s="781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50"/>
      <c r="AH129" s="754"/>
      <c r="AI129" s="754"/>
      <c r="AJ129" s="754"/>
      <c r="AK129" s="754"/>
      <c r="AL129" s="754"/>
      <c r="AM129" s="754"/>
      <c r="AN129" s="754"/>
      <c r="AO129" s="781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50"/>
      <c r="AH130" s="754"/>
      <c r="AI130" s="754"/>
      <c r="AJ130" s="754"/>
      <c r="AK130" s="754"/>
      <c r="AL130" s="754"/>
      <c r="AM130" s="754"/>
      <c r="AN130" s="754"/>
      <c r="AO130" s="781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553</v>
      </c>
      <c r="AA131" s="272">
        <v>276</v>
      </c>
      <c r="AB131" s="273" t="s">
        <v>553</v>
      </c>
      <c r="AC131" s="272">
        <v>410</v>
      </c>
      <c r="AD131" s="189"/>
      <c r="AE131" s="272">
        <v>418</v>
      </c>
      <c r="AF131" s="371"/>
      <c r="AG131" s="750"/>
      <c r="AH131" s="754"/>
      <c r="AI131" s="754"/>
      <c r="AJ131" s="754"/>
      <c r="AK131" s="754"/>
      <c r="AL131" s="754"/>
      <c r="AM131" s="754"/>
      <c r="AN131" s="754"/>
      <c r="AO131" s="781"/>
      <c r="BV131" s="603">
        <v>1</v>
      </c>
      <c r="BW131" s="603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50"/>
      <c r="AH132" s="754"/>
      <c r="AI132" s="754"/>
      <c r="AJ132" s="754"/>
      <c r="AK132" s="754"/>
      <c r="AL132" s="754"/>
      <c r="AM132" s="754"/>
      <c r="AN132" s="754"/>
      <c r="AO132" s="781"/>
    </row>
    <row r="133" spans="1:75" s="166" customFormat="1" ht="14.1" customHeight="1">
      <c r="A133" s="370"/>
      <c r="B133" s="260" t="s">
        <v>353</v>
      </c>
      <c r="C133" s="260"/>
      <c r="D133" s="260" t="s">
        <v>308</v>
      </c>
      <c r="E133" s="260"/>
      <c r="F133" s="260" t="s">
        <v>329</v>
      </c>
      <c r="G133" s="260"/>
      <c r="H133" s="260" t="s">
        <v>399</v>
      </c>
      <c r="I133" s="260"/>
      <c r="J133" s="260" t="s">
        <v>333</v>
      </c>
      <c r="K133" s="260"/>
      <c r="L133" s="260" t="s">
        <v>353</v>
      </c>
      <c r="M133" s="260"/>
      <c r="N133" s="260" t="s">
        <v>353</v>
      </c>
      <c r="O133" s="260"/>
      <c r="P133" s="260" t="s">
        <v>394</v>
      </c>
      <c r="Q133" s="260"/>
      <c r="R133" s="260" t="s">
        <v>564</v>
      </c>
      <c r="S133" s="260"/>
      <c r="T133" s="260" t="s">
        <v>305</v>
      </c>
      <c r="U133" s="260"/>
      <c r="V133" s="260" t="s">
        <v>353</v>
      </c>
      <c r="W133" s="260"/>
      <c r="X133" s="260" t="s">
        <v>399</v>
      </c>
      <c r="Y133" s="260"/>
      <c r="Z133" s="260" t="s">
        <v>308</v>
      </c>
      <c r="AA133" s="260"/>
      <c r="AB133" s="260" t="s">
        <v>563</v>
      </c>
      <c r="AC133" s="260"/>
      <c r="AD133" s="260" t="s">
        <v>360</v>
      </c>
      <c r="AE133" s="260"/>
      <c r="AF133" s="371"/>
      <c r="AG133" s="750"/>
      <c r="AH133" s="754"/>
      <c r="AI133" s="754"/>
      <c r="AJ133" s="754"/>
      <c r="AK133" s="754"/>
      <c r="AL133" s="754"/>
      <c r="AM133" s="754"/>
      <c r="AN133" s="754"/>
      <c r="AO133" s="781"/>
    </row>
    <row r="134" spans="1:75" s="166" customFormat="1" ht="14.1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51"/>
      <c r="AH134" s="755"/>
      <c r="AI134" s="755"/>
      <c r="AJ134" s="755"/>
      <c r="AK134" s="755"/>
      <c r="AL134" s="755"/>
      <c r="AM134" s="755"/>
      <c r="AN134" s="755"/>
      <c r="AO134" s="784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441</v>
      </c>
      <c r="C139" s="260"/>
      <c r="D139" s="260" t="s">
        <v>444</v>
      </c>
      <c r="E139" s="260"/>
      <c r="F139" s="260" t="s">
        <v>446</v>
      </c>
      <c r="G139" s="260"/>
      <c r="H139" s="260" t="s">
        <v>615</v>
      </c>
      <c r="I139" s="260"/>
      <c r="J139" s="260" t="s">
        <v>616</v>
      </c>
      <c r="K139" s="260"/>
      <c r="L139" s="260" t="s">
        <v>617</v>
      </c>
      <c r="M139" s="260"/>
      <c r="N139" s="260" t="s">
        <v>618</v>
      </c>
      <c r="O139" s="260"/>
      <c r="P139" s="260" t="s">
        <v>619</v>
      </c>
      <c r="Q139" s="260"/>
      <c r="R139" s="260" t="s">
        <v>620</v>
      </c>
      <c r="S139" s="260"/>
      <c r="T139" s="260" t="s">
        <v>621</v>
      </c>
      <c r="U139" s="260"/>
      <c r="V139" s="260" t="s">
        <v>622</v>
      </c>
      <c r="W139" s="260"/>
      <c r="X139" s="260" t="s">
        <v>623</v>
      </c>
      <c r="Y139" s="260"/>
      <c r="Z139" s="260" t="s">
        <v>624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3">
        <v>3</v>
      </c>
      <c r="BW143" s="603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" customHeight="1">
      <c r="A146" s="370"/>
      <c r="B146" s="260" t="s">
        <v>353</v>
      </c>
      <c r="C146" s="260"/>
      <c r="D146" s="260" t="s">
        <v>353</v>
      </c>
      <c r="E146" s="260"/>
      <c r="F146" s="260" t="s">
        <v>360</v>
      </c>
      <c r="G146" s="260"/>
      <c r="H146" s="260" t="s">
        <v>353</v>
      </c>
      <c r="I146" s="260"/>
      <c r="J146" s="260" t="s">
        <v>360</v>
      </c>
      <c r="K146" s="260"/>
      <c r="L146" s="260" t="s">
        <v>305</v>
      </c>
      <c r="M146" s="260"/>
      <c r="N146" s="260" t="s">
        <v>603</v>
      </c>
      <c r="O146" s="260"/>
      <c r="P146" s="260" t="s">
        <v>301</v>
      </c>
      <c r="Q146" s="260"/>
      <c r="R146" s="260" t="s">
        <v>399</v>
      </c>
      <c r="S146" s="260"/>
      <c r="T146" s="260" t="s">
        <v>353</v>
      </c>
      <c r="U146" s="260"/>
      <c r="V146" s="260" t="s">
        <v>353</v>
      </c>
      <c r="W146" s="260"/>
      <c r="X146" s="260" t="s">
        <v>353</v>
      </c>
      <c r="Y146" s="205"/>
      <c r="Z146" s="260" t="s">
        <v>392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35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35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35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35" customHeight="1">
      <c r="A150" s="370"/>
      <c r="B150" s="314" t="s">
        <v>625</v>
      </c>
      <c r="C150" s="205"/>
      <c r="D150" s="314" t="s">
        <v>626</v>
      </c>
      <c r="E150" s="260"/>
      <c r="F150" s="314" t="s">
        <v>627</v>
      </c>
      <c r="G150" s="260"/>
      <c r="H150" s="314" t="s">
        <v>145</v>
      </c>
      <c r="I150" s="260"/>
      <c r="J150" s="314" t="s">
        <v>628</v>
      </c>
      <c r="K150" s="260"/>
      <c r="L150" s="314" t="s">
        <v>629</v>
      </c>
      <c r="M150" s="260"/>
      <c r="N150" s="314" t="s">
        <v>630</v>
      </c>
      <c r="O150" s="260"/>
      <c r="P150" s="314" t="s">
        <v>631</v>
      </c>
      <c r="Q150" s="260"/>
      <c r="R150" s="314" t="s">
        <v>146</v>
      </c>
      <c r="S150" s="260"/>
      <c r="T150" s="314" t="s">
        <v>632</v>
      </c>
      <c r="U150" s="260"/>
      <c r="V150" s="314" t="s">
        <v>633</v>
      </c>
      <c r="W150" s="260"/>
      <c r="X150" s="314" t="s">
        <v>634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71"/>
    </row>
    <row r="151" spans="1:40" s="167" customFormat="1" ht="13.35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35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35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35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35" customHeight="1">
      <c r="A155" s="370"/>
      <c r="B155" s="271"/>
      <c r="C155" s="272">
        <v>225.81</v>
      </c>
      <c r="D155" s="273" t="s">
        <v>553</v>
      </c>
      <c r="E155" s="272">
        <v>451</v>
      </c>
      <c r="F155" s="273" t="s">
        <v>553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553</v>
      </c>
      <c r="M155" s="272">
        <v>407</v>
      </c>
      <c r="N155" s="273" t="s">
        <v>553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35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399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186</v>
      </c>
      <c r="C162" s="205"/>
      <c r="D162" s="314" t="s">
        <v>635</v>
      </c>
      <c r="E162" s="205"/>
      <c r="F162" s="314" t="s">
        <v>636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637</v>
      </c>
      <c r="C169" s="260"/>
      <c r="D169" s="260" t="s">
        <v>564</v>
      </c>
      <c r="E169" s="260"/>
      <c r="F169" s="260" t="s">
        <v>353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638</v>
      </c>
      <c r="C173" s="205"/>
      <c r="D173" s="260" t="s">
        <v>467</v>
      </c>
      <c r="E173" s="205"/>
      <c r="F173" s="260" t="s">
        <v>415</v>
      </c>
      <c r="G173" s="205"/>
      <c r="H173" s="260" t="s">
        <v>639</v>
      </c>
      <c r="I173" s="205"/>
      <c r="J173" s="260" t="s">
        <v>640</v>
      </c>
      <c r="K173" s="205"/>
      <c r="L173" s="260" t="s">
        <v>641</v>
      </c>
      <c r="M173" s="205"/>
      <c r="N173" s="260" t="s">
        <v>642</v>
      </c>
      <c r="O173" s="205"/>
      <c r="P173" s="260" t="s">
        <v>643</v>
      </c>
      <c r="Q173" s="260"/>
      <c r="R173" s="260" t="s">
        <v>644</v>
      </c>
      <c r="S173" s="260"/>
      <c r="T173" s="260" t="s">
        <v>645</v>
      </c>
      <c r="U173" s="260"/>
      <c r="V173" s="260" t="s">
        <v>646</v>
      </c>
      <c r="W173" s="260"/>
      <c r="X173" s="260" t="s">
        <v>647</v>
      </c>
      <c r="Y173" s="260"/>
      <c r="Z173" s="260" t="s">
        <v>648</v>
      </c>
      <c r="AA173" s="260"/>
      <c r="AB173" s="260" t="s">
        <v>649</v>
      </c>
      <c r="AC173" s="260"/>
      <c r="AD173" s="260" t="s">
        <v>650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553</v>
      </c>
      <c r="C178" s="376">
        <v>244</v>
      </c>
      <c r="D178" s="206" t="s">
        <v>553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553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4">
        <f>1</f>
        <v>1</v>
      </c>
      <c r="BW178" s="605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303</v>
      </c>
      <c r="C180" s="260"/>
      <c r="D180" s="265" t="s">
        <v>333</v>
      </c>
      <c r="E180" s="260"/>
      <c r="F180" s="260" t="s">
        <v>353</v>
      </c>
      <c r="G180" s="260"/>
      <c r="H180" s="260" t="s">
        <v>353</v>
      </c>
      <c r="I180" s="260"/>
      <c r="J180" s="260" t="s">
        <v>353</v>
      </c>
      <c r="K180" s="260"/>
      <c r="L180" s="260" t="s">
        <v>353</v>
      </c>
      <c r="M180" s="260"/>
      <c r="N180" s="265" t="s">
        <v>338</v>
      </c>
      <c r="O180" s="260"/>
      <c r="P180" s="260" t="s">
        <v>353</v>
      </c>
      <c r="Q180" s="260"/>
      <c r="R180" s="265" t="s">
        <v>303</v>
      </c>
      <c r="S180" s="260"/>
      <c r="T180" s="260" t="s">
        <v>360</v>
      </c>
      <c r="U180" s="260"/>
      <c r="V180" s="260" t="s">
        <v>353</v>
      </c>
      <c r="W180" s="260"/>
      <c r="X180" s="260" t="s">
        <v>353</v>
      </c>
      <c r="Y180" s="260"/>
      <c r="Z180" s="260" t="s">
        <v>353</v>
      </c>
      <c r="AA180" s="260"/>
      <c r="AB180" s="260" t="s">
        <v>360</v>
      </c>
      <c r="AC180" s="260"/>
      <c r="AD180" s="260" t="s">
        <v>360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651</v>
      </c>
      <c r="C184" s="205"/>
      <c r="D184" s="260" t="s">
        <v>652</v>
      </c>
      <c r="E184" s="205"/>
      <c r="F184" s="260" t="s">
        <v>653</v>
      </c>
      <c r="G184" s="260"/>
      <c r="H184" s="260" t="s">
        <v>654</v>
      </c>
      <c r="I184" s="260"/>
      <c r="J184" s="260" t="s">
        <v>655</v>
      </c>
      <c r="K184" s="260"/>
      <c r="L184" s="260" t="s">
        <v>656</v>
      </c>
      <c r="M184" s="260"/>
      <c r="N184" s="260" t="s">
        <v>657</v>
      </c>
      <c r="O184" s="260"/>
      <c r="P184" s="260" t="s">
        <v>658</v>
      </c>
      <c r="Q184" s="260"/>
      <c r="R184" s="260" t="s">
        <v>659</v>
      </c>
      <c r="S184" s="260"/>
      <c r="T184" s="260" t="s">
        <v>148</v>
      </c>
      <c r="U184" s="260"/>
      <c r="V184" s="260" t="s">
        <v>660</v>
      </c>
      <c r="W184" s="260"/>
      <c r="X184" s="260" t="s">
        <v>661</v>
      </c>
      <c r="Y184" s="260"/>
      <c r="Z184" s="260" t="s">
        <v>662</v>
      </c>
      <c r="AA184" s="260"/>
      <c r="AB184" s="260" t="s">
        <v>663</v>
      </c>
      <c r="AC184" s="260"/>
      <c r="AD184" s="260" t="s">
        <v>664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5">
        <v>0</v>
      </c>
      <c r="BW188" s="605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553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376</v>
      </c>
      <c r="C191" s="260"/>
      <c r="D191" s="260" t="s">
        <v>360</v>
      </c>
      <c r="E191" s="260"/>
      <c r="F191" s="260" t="s">
        <v>353</v>
      </c>
      <c r="G191" s="260"/>
      <c r="H191" s="265" t="s">
        <v>333</v>
      </c>
      <c r="I191" s="260"/>
      <c r="J191" s="265" t="s">
        <v>305</v>
      </c>
      <c r="K191" s="260"/>
      <c r="L191" s="260" t="s">
        <v>353</v>
      </c>
      <c r="M191" s="260"/>
      <c r="N191" s="260" t="s">
        <v>360</v>
      </c>
      <c r="O191" s="260"/>
      <c r="P191" s="260" t="s">
        <v>353</v>
      </c>
      <c r="Q191" s="260"/>
      <c r="R191" s="260" t="s">
        <v>360</v>
      </c>
      <c r="S191" s="260"/>
      <c r="T191" s="265" t="s">
        <v>333</v>
      </c>
      <c r="U191" s="260"/>
      <c r="V191" s="260" t="s">
        <v>360</v>
      </c>
      <c r="W191" s="260"/>
      <c r="X191" s="260" t="s">
        <v>353</v>
      </c>
      <c r="Y191" s="260"/>
      <c r="Z191" s="260" t="s">
        <v>353</v>
      </c>
      <c r="AA191" s="260"/>
      <c r="AB191" s="260" t="s">
        <v>353</v>
      </c>
      <c r="AC191" s="260"/>
      <c r="AD191" s="260" t="s">
        <v>353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665</v>
      </c>
      <c r="C195" s="205"/>
      <c r="D195" s="260" t="s">
        <v>149</v>
      </c>
      <c r="E195" s="205"/>
      <c r="F195" s="260" t="s">
        <v>666</v>
      </c>
      <c r="G195" s="205"/>
      <c r="H195" s="260" t="s">
        <v>667</v>
      </c>
      <c r="I195" s="205"/>
      <c r="J195" s="260" t="s">
        <v>668</v>
      </c>
      <c r="K195" s="205"/>
      <c r="L195" s="260" t="s">
        <v>669</v>
      </c>
      <c r="M195" s="205"/>
      <c r="N195" s="260" t="s">
        <v>670</v>
      </c>
      <c r="O195" s="205"/>
      <c r="P195" s="260" t="s">
        <v>671</v>
      </c>
      <c r="Q195" s="205"/>
      <c r="R195" s="260" t="s">
        <v>417</v>
      </c>
      <c r="S195" s="205"/>
      <c r="T195" s="260" t="s">
        <v>435</v>
      </c>
      <c r="U195" s="205"/>
      <c r="V195" s="260" t="s">
        <v>437</v>
      </c>
      <c r="W195" s="205"/>
      <c r="X195" s="260" t="s">
        <v>411</v>
      </c>
      <c r="Y195" s="205"/>
      <c r="Z195" s="260" t="s">
        <v>400</v>
      </c>
      <c r="AA195" s="205"/>
      <c r="AB195" s="260" t="s">
        <v>418</v>
      </c>
      <c r="AC195" s="205"/>
      <c r="AD195" s="260" t="s">
        <v>406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85"/>
      <c r="S199" s="185"/>
      <c r="T199" s="186"/>
      <c r="U199" s="185"/>
      <c r="V199" s="186"/>
      <c r="W199" s="185"/>
      <c r="X199" s="785"/>
      <c r="Y199" s="185"/>
      <c r="Z199" s="785"/>
      <c r="AA199" s="185"/>
      <c r="AB199" s="785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553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553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553</v>
      </c>
      <c r="Q200" s="376">
        <v>394</v>
      </c>
      <c r="R200" s="786"/>
      <c r="S200" s="376">
        <v>382</v>
      </c>
      <c r="T200" s="189"/>
      <c r="U200" s="376">
        <v>384</v>
      </c>
      <c r="V200" s="189"/>
      <c r="W200" s="376">
        <v>406</v>
      </c>
      <c r="X200" s="786"/>
      <c r="Y200" s="376">
        <v>352</v>
      </c>
      <c r="Z200" s="786"/>
      <c r="AA200" s="376">
        <v>453</v>
      </c>
      <c r="AB200" s="786"/>
      <c r="AC200" s="376">
        <v>388</v>
      </c>
      <c r="AD200" s="189"/>
      <c r="AE200" s="272">
        <v>395</v>
      </c>
      <c r="AF200" s="371"/>
      <c r="BV200" s="604">
        <f>7</f>
        <v>7</v>
      </c>
      <c r="BW200" s="605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87"/>
      <c r="S201" s="166"/>
      <c r="T201" s="191"/>
      <c r="U201" s="166"/>
      <c r="V201" s="191"/>
      <c r="W201" s="166"/>
      <c r="X201" s="787"/>
      <c r="Y201" s="166"/>
      <c r="Z201" s="787"/>
      <c r="AA201" s="166"/>
      <c r="AB201" s="787"/>
      <c r="AC201" s="166"/>
      <c r="AD201" s="191"/>
      <c r="AE201" s="205"/>
      <c r="AF201" s="371"/>
    </row>
    <row r="202" spans="1:75" ht="13.5" customHeight="1">
      <c r="A202" s="370"/>
      <c r="B202" s="260" t="s">
        <v>402</v>
      </c>
      <c r="C202" s="260"/>
      <c r="D202" s="265" t="s">
        <v>338</v>
      </c>
      <c r="E202" s="260"/>
      <c r="F202" s="260" t="s">
        <v>353</v>
      </c>
      <c r="G202" s="260"/>
      <c r="H202" s="260" t="s">
        <v>353</v>
      </c>
      <c r="I202" s="260"/>
      <c r="J202" s="260" t="s">
        <v>353</v>
      </c>
      <c r="K202" s="260"/>
      <c r="L202" s="260" t="s">
        <v>360</v>
      </c>
      <c r="M202" s="260"/>
      <c r="N202" s="260" t="s">
        <v>360</v>
      </c>
      <c r="O202" s="260"/>
      <c r="P202" s="260" t="s">
        <v>353</v>
      </c>
      <c r="Q202" s="260"/>
      <c r="R202" s="265" t="s">
        <v>338</v>
      </c>
      <c r="S202" s="260"/>
      <c r="T202" s="260" t="s">
        <v>353</v>
      </c>
      <c r="U202" s="260"/>
      <c r="V202" s="260" t="s">
        <v>360</v>
      </c>
      <c r="W202" s="260"/>
      <c r="X202" s="260" t="s">
        <v>353</v>
      </c>
      <c r="Y202" s="260"/>
      <c r="Z202" s="260" t="s">
        <v>360</v>
      </c>
      <c r="AA202" s="260"/>
      <c r="AB202" s="260" t="s">
        <v>402</v>
      </c>
      <c r="AC202" s="260"/>
      <c r="AD202" s="260" t="s">
        <v>353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150</v>
      </c>
      <c r="C207" s="205"/>
      <c r="D207" s="260" t="s">
        <v>439</v>
      </c>
      <c r="E207" s="205"/>
      <c r="F207" s="260" t="s">
        <v>438</v>
      </c>
      <c r="G207" s="205"/>
      <c r="H207" s="260" t="s">
        <v>672</v>
      </c>
      <c r="I207" s="205"/>
      <c r="J207" s="260" t="s">
        <v>440</v>
      </c>
      <c r="K207" s="205"/>
      <c r="L207" s="260" t="s">
        <v>434</v>
      </c>
      <c r="M207" s="260"/>
      <c r="N207" s="260" t="s">
        <v>151</v>
      </c>
      <c r="O207" s="260"/>
      <c r="P207" s="260" t="s">
        <v>424</v>
      </c>
      <c r="Q207" s="260"/>
      <c r="R207" s="260" t="s">
        <v>673</v>
      </c>
      <c r="S207" s="260"/>
      <c r="T207" s="260" t="s">
        <v>674</v>
      </c>
      <c r="U207" s="260"/>
      <c r="V207" s="260" t="s">
        <v>675</v>
      </c>
      <c r="W207" s="260"/>
      <c r="X207" s="260" t="s">
        <v>676</v>
      </c>
      <c r="Y207" s="260"/>
      <c r="Z207" s="260" t="s">
        <v>677</v>
      </c>
      <c r="AA207" s="260"/>
      <c r="AB207" s="260" t="s">
        <v>678</v>
      </c>
      <c r="AC207" s="260"/>
      <c r="AD207" s="260" t="s">
        <v>466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4">
        <v>7</v>
      </c>
      <c r="BW212" s="605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312</v>
      </c>
      <c r="C214" s="400"/>
      <c r="D214" s="400" t="s">
        <v>360</v>
      </c>
      <c r="E214" s="400"/>
      <c r="F214" s="400" t="s">
        <v>353</v>
      </c>
      <c r="G214" s="400"/>
      <c r="H214" s="399" t="s">
        <v>679</v>
      </c>
      <c r="I214" s="400"/>
      <c r="J214" s="400" t="s">
        <v>360</v>
      </c>
      <c r="K214" s="400"/>
      <c r="L214" s="400" t="s">
        <v>353</v>
      </c>
      <c r="M214" s="400"/>
      <c r="N214" s="399" t="s">
        <v>338</v>
      </c>
      <c r="O214" s="400"/>
      <c r="P214" s="400" t="s">
        <v>402</v>
      </c>
      <c r="Q214" s="400"/>
      <c r="R214" s="400" t="s">
        <v>353</v>
      </c>
      <c r="S214" s="400"/>
      <c r="T214" s="400" t="s">
        <v>402</v>
      </c>
      <c r="U214" s="400"/>
      <c r="V214" s="400" t="s">
        <v>353</v>
      </c>
      <c r="W214" s="400"/>
      <c r="X214" s="400" t="s">
        <v>360</v>
      </c>
      <c r="Y214" s="400"/>
      <c r="Z214" s="400" t="s">
        <v>353</v>
      </c>
      <c r="AA214" s="400"/>
      <c r="AB214" s="399" t="s">
        <v>303</v>
      </c>
      <c r="AC214" s="400"/>
      <c r="AD214" s="399" t="s">
        <v>303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799" t="s">
        <v>680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1"/>
      <c r="M1" s="259"/>
      <c r="N1" s="255"/>
    </row>
    <row r="2" spans="1:14" ht="62.25">
      <c r="A2" s="309" t="s">
        <v>247</v>
      </c>
      <c r="B2" s="309" t="s">
        <v>341</v>
      </c>
      <c r="C2" s="309" t="s">
        <v>342</v>
      </c>
      <c r="D2" s="309" t="s">
        <v>266</v>
      </c>
      <c r="E2" s="310" t="s">
        <v>681</v>
      </c>
      <c r="F2" s="309" t="s">
        <v>344</v>
      </c>
      <c r="G2" s="309" t="s">
        <v>345</v>
      </c>
      <c r="H2" s="311" t="s">
        <v>346</v>
      </c>
      <c r="I2" s="309" t="s">
        <v>347</v>
      </c>
      <c r="J2" s="309" t="s">
        <v>33</v>
      </c>
      <c r="K2" s="309" t="s">
        <v>348</v>
      </c>
      <c r="L2" s="309" t="s">
        <v>349</v>
      </c>
      <c r="M2" s="309" t="s">
        <v>350</v>
      </c>
      <c r="N2" s="309" t="s">
        <v>473</v>
      </c>
    </row>
    <row r="3" spans="1:14" ht="60">
      <c r="A3" s="11">
        <v>1</v>
      </c>
      <c r="B3" s="11" t="s">
        <v>545</v>
      </c>
      <c r="C3" s="11" t="s">
        <v>295</v>
      </c>
      <c r="D3" s="11" t="s">
        <v>682</v>
      </c>
      <c r="E3" s="11"/>
      <c r="F3" s="308">
        <v>46125</v>
      </c>
      <c r="G3" s="10" t="s">
        <v>683</v>
      </c>
      <c r="H3" s="11"/>
      <c r="I3" s="11"/>
      <c r="J3" s="11"/>
      <c r="K3" s="11" t="s">
        <v>684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685</v>
      </c>
      <c r="C2" s="144" t="s">
        <v>262</v>
      </c>
      <c r="D2" s="144" t="s">
        <v>686</v>
      </c>
      <c r="E2" s="144" t="s">
        <v>687</v>
      </c>
    </row>
    <row r="3" spans="1:5">
      <c r="A3" s="30">
        <v>1</v>
      </c>
      <c r="B3" s="25" t="s">
        <v>688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524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525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689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690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691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692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693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371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694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695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372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696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697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421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403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407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410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698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426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374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386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699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700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701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702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655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703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704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705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706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707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708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709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710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711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712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688</v>
      </c>
      <c r="D3" t="s">
        <v>713</v>
      </c>
      <c r="E3" t="s">
        <v>522</v>
      </c>
      <c r="F3" t="s">
        <v>523</v>
      </c>
      <c r="G3" t="s">
        <v>524</v>
      </c>
      <c r="H3" t="s">
        <v>714</v>
      </c>
      <c r="I3" t="s">
        <v>715</v>
      </c>
      <c r="J3" t="s">
        <v>525</v>
      </c>
      <c r="K3" t="s">
        <v>716</v>
      </c>
      <c r="L3" t="s">
        <v>717</v>
      </c>
      <c r="M3" t="s">
        <v>718</v>
      </c>
      <c r="N3" t="s">
        <v>689</v>
      </c>
      <c r="O3" t="s">
        <v>719</v>
      </c>
      <c r="P3" t="s">
        <v>720</v>
      </c>
      <c r="Q3" t="s">
        <v>690</v>
      </c>
      <c r="R3" t="s">
        <v>526</v>
      </c>
      <c r="S3" t="s">
        <v>721</v>
      </c>
      <c r="T3" t="s">
        <v>691</v>
      </c>
      <c r="U3" t="s">
        <v>692</v>
      </c>
      <c r="V3" t="s">
        <v>722</v>
      </c>
      <c r="W3" t="s">
        <v>723</v>
      </c>
      <c r="X3" t="s">
        <v>724</v>
      </c>
      <c r="Y3" t="s">
        <v>725</v>
      </c>
      <c r="Z3" t="s">
        <v>726</v>
      </c>
      <c r="AA3" t="s">
        <v>727</v>
      </c>
      <c r="AB3" t="s">
        <v>728</v>
      </c>
      <c r="AC3" t="s">
        <v>729</v>
      </c>
      <c r="AD3" t="s">
        <v>275</v>
      </c>
      <c r="AE3" t="s">
        <v>529</v>
      </c>
      <c r="AF3" t="s">
        <v>530</v>
      </c>
      <c r="AG3" t="s">
        <v>280</v>
      </c>
      <c r="AH3" t="s">
        <v>730</v>
      </c>
      <c r="AI3" t="s">
        <v>731</v>
      </c>
      <c r="AJ3" t="s">
        <v>732</v>
      </c>
      <c r="AK3" t="s">
        <v>733</v>
      </c>
      <c r="AL3" t="s">
        <v>693</v>
      </c>
      <c r="AM3" t="s">
        <v>734</v>
      </c>
      <c r="AN3" t="s">
        <v>735</v>
      </c>
      <c r="AO3" t="s">
        <v>736</v>
      </c>
      <c r="AP3" t="s">
        <v>135</v>
      </c>
      <c r="AQ3" t="s">
        <v>173</v>
      </c>
      <c r="AR3" t="s">
        <v>167</v>
      </c>
      <c r="AS3" t="s">
        <v>568</v>
      </c>
      <c r="AT3" t="s">
        <v>572</v>
      </c>
      <c r="AU3" t="s">
        <v>544</v>
      </c>
      <c r="AV3" t="s">
        <v>545</v>
      </c>
      <c r="AW3" t="s">
        <v>546</v>
      </c>
      <c r="AX3" t="s">
        <v>737</v>
      </c>
      <c r="AY3" t="s">
        <v>738</v>
      </c>
      <c r="AZ3" t="s">
        <v>739</v>
      </c>
      <c r="BA3" t="s">
        <v>740</v>
      </c>
      <c r="BB3" t="s">
        <v>548</v>
      </c>
      <c r="BC3" t="s">
        <v>741</v>
      </c>
      <c r="BD3" t="s">
        <v>742</v>
      </c>
      <c r="BE3" t="s">
        <v>445</v>
      </c>
      <c r="BF3" t="s">
        <v>451</v>
      </c>
      <c r="BG3" t="s">
        <v>381</v>
      </c>
      <c r="BH3" t="s">
        <v>743</v>
      </c>
      <c r="BI3" t="s">
        <v>744</v>
      </c>
      <c r="BJ3" t="s">
        <v>375</v>
      </c>
      <c r="BK3" t="s">
        <v>136</v>
      </c>
      <c r="BL3" t="s">
        <v>373</v>
      </c>
      <c r="BM3" t="s">
        <v>745</v>
      </c>
      <c r="BN3" t="s">
        <v>371</v>
      </c>
      <c r="BO3" t="s">
        <v>694</v>
      </c>
      <c r="BP3" t="s">
        <v>695</v>
      </c>
      <c r="BQ3" t="s">
        <v>372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696</v>
      </c>
      <c r="CA3" t="s">
        <v>746</v>
      </c>
      <c r="CB3" t="s">
        <v>697</v>
      </c>
      <c r="CC3" t="s">
        <v>465</v>
      </c>
      <c r="CD3" t="s">
        <v>421</v>
      </c>
      <c r="CE3" t="s">
        <v>403</v>
      </c>
      <c r="CF3" t="s">
        <v>377</v>
      </c>
      <c r="CG3" t="s">
        <v>391</v>
      </c>
      <c r="CH3" t="s">
        <v>395</v>
      </c>
      <c r="CI3" t="s">
        <v>552</v>
      </c>
      <c r="CJ3" t="s">
        <v>407</v>
      </c>
      <c r="CK3" t="s">
        <v>410</v>
      </c>
      <c r="CL3" t="s">
        <v>178</v>
      </c>
      <c r="CM3" t="s">
        <v>179</v>
      </c>
      <c r="CN3" t="s">
        <v>698</v>
      </c>
      <c r="CO3" t="s">
        <v>554</v>
      </c>
      <c r="CP3" t="s">
        <v>428</v>
      </c>
      <c r="CQ3" t="s">
        <v>426</v>
      </c>
      <c r="CR3" t="s">
        <v>388</v>
      </c>
      <c r="CS3" t="s">
        <v>180</v>
      </c>
      <c r="CT3" t="s">
        <v>374</v>
      </c>
      <c r="CU3" t="s">
        <v>386</v>
      </c>
      <c r="CV3" t="s">
        <v>169</v>
      </c>
      <c r="CW3" t="s">
        <v>557</v>
      </c>
      <c r="CX3" t="s">
        <v>558</v>
      </c>
      <c r="CY3" t="s">
        <v>560</v>
      </c>
      <c r="CZ3" t="s">
        <v>747</v>
      </c>
      <c r="DA3" t="s">
        <v>561</v>
      </c>
      <c r="DB3" t="s">
        <v>448</v>
      </c>
      <c r="DC3" t="s">
        <v>456</v>
      </c>
      <c r="DD3" t="s">
        <v>748</v>
      </c>
      <c r="DE3" t="s">
        <v>749</v>
      </c>
      <c r="DF3" t="s">
        <v>458</v>
      </c>
      <c r="DG3" t="s">
        <v>453</v>
      </c>
      <c r="DH3" t="s">
        <v>364</v>
      </c>
      <c r="DI3" t="s">
        <v>363</v>
      </c>
      <c r="DJ3" t="s">
        <v>750</v>
      </c>
      <c r="DK3" t="s">
        <v>751</v>
      </c>
      <c r="DL3" t="s">
        <v>752</v>
      </c>
      <c r="DM3" t="s">
        <v>589</v>
      </c>
      <c r="DN3" t="s">
        <v>181</v>
      </c>
      <c r="DO3" t="s">
        <v>165</v>
      </c>
      <c r="DP3" t="s">
        <v>605</v>
      </c>
      <c r="DQ3" t="s">
        <v>606</v>
      </c>
      <c r="DR3" t="s">
        <v>610</v>
      </c>
      <c r="DS3" t="s">
        <v>612</v>
      </c>
      <c r="DT3" t="s">
        <v>613</v>
      </c>
      <c r="DU3" t="s">
        <v>614</v>
      </c>
      <c r="DV3" t="s">
        <v>753</v>
      </c>
      <c r="DW3" t="s">
        <v>754</v>
      </c>
      <c r="DX3" t="s">
        <v>755</v>
      </c>
      <c r="DY3" t="s">
        <v>756</v>
      </c>
      <c r="DZ3" t="s">
        <v>757</v>
      </c>
      <c r="EA3" t="s">
        <v>182</v>
      </c>
      <c r="EB3" t="s">
        <v>141</v>
      </c>
      <c r="EC3" t="s">
        <v>617</v>
      </c>
      <c r="ED3" t="s">
        <v>618</v>
      </c>
      <c r="EE3" t="s">
        <v>619</v>
      </c>
      <c r="EF3" t="s">
        <v>624</v>
      </c>
      <c r="EG3" t="s">
        <v>758</v>
      </c>
      <c r="EH3" t="s">
        <v>759</v>
      </c>
      <c r="EI3" t="s">
        <v>142</v>
      </c>
      <c r="EJ3" t="s">
        <v>760</v>
      </c>
      <c r="EK3" t="s">
        <v>761</v>
      </c>
      <c r="EL3" t="s">
        <v>144</v>
      </c>
      <c r="EM3" t="s">
        <v>762</v>
      </c>
      <c r="EN3" t="s">
        <v>763</v>
      </c>
      <c r="EO3" t="s">
        <v>764</v>
      </c>
      <c r="EP3" t="s">
        <v>765</v>
      </c>
      <c r="EQ3" t="s">
        <v>699</v>
      </c>
      <c r="ER3" t="s">
        <v>183</v>
      </c>
      <c r="ES3" t="s">
        <v>766</v>
      </c>
      <c r="ET3" t="s">
        <v>767</v>
      </c>
      <c r="EU3" t="s">
        <v>768</v>
      </c>
      <c r="EV3" t="s">
        <v>625</v>
      </c>
      <c r="EW3" t="s">
        <v>626</v>
      </c>
      <c r="EX3" t="s">
        <v>627</v>
      </c>
      <c r="EY3" t="s">
        <v>145</v>
      </c>
      <c r="EZ3" t="s">
        <v>628</v>
      </c>
      <c r="FA3" t="s">
        <v>146</v>
      </c>
      <c r="FB3" t="s">
        <v>769</v>
      </c>
      <c r="FC3" t="s">
        <v>770</v>
      </c>
      <c r="FD3" t="s">
        <v>771</v>
      </c>
      <c r="FE3" t="s">
        <v>632</v>
      </c>
      <c r="FF3" t="s">
        <v>633</v>
      </c>
      <c r="FG3" t="s">
        <v>772</v>
      </c>
      <c r="FH3" t="s">
        <v>700</v>
      </c>
      <c r="FI3" t="s">
        <v>701</v>
      </c>
      <c r="FJ3" t="s">
        <v>773</v>
      </c>
      <c r="FK3" t="s">
        <v>702</v>
      </c>
      <c r="FL3" t="s">
        <v>774</v>
      </c>
      <c r="FM3" t="s">
        <v>184</v>
      </c>
      <c r="FN3" t="s">
        <v>185</v>
      </c>
      <c r="FO3" t="s">
        <v>186</v>
      </c>
      <c r="FP3" t="s">
        <v>635</v>
      </c>
      <c r="FQ3" t="s">
        <v>147</v>
      </c>
      <c r="FR3" t="s">
        <v>636</v>
      </c>
      <c r="FS3" t="s">
        <v>638</v>
      </c>
      <c r="FT3" t="s">
        <v>467</v>
      </c>
      <c r="FU3" t="s">
        <v>644</v>
      </c>
      <c r="FV3" t="s">
        <v>775</v>
      </c>
      <c r="FW3" t="s">
        <v>776</v>
      </c>
      <c r="FX3" t="s">
        <v>777</v>
      </c>
      <c r="FY3" t="s">
        <v>655</v>
      </c>
      <c r="FZ3" t="s">
        <v>148</v>
      </c>
      <c r="GA3" t="s">
        <v>660</v>
      </c>
      <c r="GB3" t="s">
        <v>149</v>
      </c>
      <c r="GC3" t="s">
        <v>150</v>
      </c>
      <c r="GD3" t="s">
        <v>151</v>
      </c>
      <c r="GE3" t="s">
        <v>424</v>
      </c>
      <c r="GF3" t="s">
        <v>678</v>
      </c>
      <c r="GG3" t="s">
        <v>466</v>
      </c>
      <c r="GH3" t="s">
        <v>778</v>
      </c>
      <c r="GI3" t="s">
        <v>779</v>
      </c>
      <c r="GJ3" t="s">
        <v>780</v>
      </c>
      <c r="GK3" t="s">
        <v>781</v>
      </c>
      <c r="GL3" t="s">
        <v>703</v>
      </c>
      <c r="GM3" t="s">
        <v>152</v>
      </c>
      <c r="GN3" t="s">
        <v>166</v>
      </c>
      <c r="GO3" t="s">
        <v>782</v>
      </c>
      <c r="GP3" t="s">
        <v>153</v>
      </c>
      <c r="GQ3" t="s">
        <v>783</v>
      </c>
      <c r="GR3" t="s">
        <v>784</v>
      </c>
      <c r="GS3" t="s">
        <v>785</v>
      </c>
      <c r="GT3" t="s">
        <v>786</v>
      </c>
      <c r="GU3" t="s">
        <v>787</v>
      </c>
      <c r="GV3" t="s">
        <v>788</v>
      </c>
      <c r="GW3" t="s">
        <v>789</v>
      </c>
      <c r="GX3" t="s">
        <v>790</v>
      </c>
      <c r="GY3" t="s">
        <v>791</v>
      </c>
      <c r="GZ3" t="s">
        <v>792</v>
      </c>
      <c r="HA3" t="s">
        <v>793</v>
      </c>
      <c r="HB3" t="s">
        <v>794</v>
      </c>
      <c r="HC3" t="s">
        <v>795</v>
      </c>
      <c r="HD3" t="s">
        <v>796</v>
      </c>
      <c r="HE3" t="s">
        <v>797</v>
      </c>
      <c r="HF3" t="s">
        <v>798</v>
      </c>
      <c r="HG3" t="s">
        <v>799</v>
      </c>
      <c r="HH3" t="s">
        <v>154</v>
      </c>
      <c r="HI3" t="s">
        <v>164</v>
      </c>
      <c r="HJ3" t="s">
        <v>800</v>
      </c>
      <c r="HK3" t="s">
        <v>801</v>
      </c>
      <c r="HL3" t="s">
        <v>802</v>
      </c>
      <c r="HM3" t="s">
        <v>803</v>
      </c>
      <c r="HN3" t="s">
        <v>804</v>
      </c>
      <c r="HO3" t="s">
        <v>805</v>
      </c>
      <c r="HP3" t="s">
        <v>806</v>
      </c>
      <c r="HQ3" t="s">
        <v>807</v>
      </c>
      <c r="HR3" t="s">
        <v>808</v>
      </c>
      <c r="HS3" t="s">
        <v>809</v>
      </c>
      <c r="HT3" t="s">
        <v>187</v>
      </c>
      <c r="HU3" t="s">
        <v>810</v>
      </c>
      <c r="HV3" t="s">
        <v>811</v>
      </c>
      <c r="HW3" t="s">
        <v>188</v>
      </c>
      <c r="HX3" t="s">
        <v>812</v>
      </c>
      <c r="HY3" t="s">
        <v>813</v>
      </c>
      <c r="HZ3" t="s">
        <v>155</v>
      </c>
      <c r="IA3" t="s">
        <v>814</v>
      </c>
      <c r="IB3" t="s">
        <v>156</v>
      </c>
      <c r="IC3" t="s">
        <v>157</v>
      </c>
      <c r="ID3" t="s">
        <v>815</v>
      </c>
      <c r="IE3" t="s">
        <v>816</v>
      </c>
      <c r="IF3" t="s">
        <v>817</v>
      </c>
      <c r="IG3" t="s">
        <v>818</v>
      </c>
      <c r="IH3" t="s">
        <v>189</v>
      </c>
      <c r="II3" t="s">
        <v>819</v>
      </c>
      <c r="IJ3" t="s">
        <v>820</v>
      </c>
      <c r="IK3" t="s">
        <v>821</v>
      </c>
      <c r="IL3" t="s">
        <v>822</v>
      </c>
      <c r="IM3" t="s">
        <v>823</v>
      </c>
      <c r="IN3" t="s">
        <v>824</v>
      </c>
      <c r="IO3" t="s">
        <v>825</v>
      </c>
      <c r="IP3" t="s">
        <v>826</v>
      </c>
      <c r="IQ3" t="s">
        <v>827</v>
      </c>
      <c r="IR3" t="s">
        <v>828</v>
      </c>
      <c r="IS3" t="s">
        <v>829</v>
      </c>
      <c r="IT3" t="s">
        <v>830</v>
      </c>
      <c r="IU3" t="s">
        <v>831</v>
      </c>
      <c r="IV3" t="s">
        <v>832</v>
      </c>
      <c r="IW3" t="s">
        <v>833</v>
      </c>
      <c r="IX3" t="s">
        <v>834</v>
      </c>
      <c r="IY3" t="s">
        <v>835</v>
      </c>
      <c r="IZ3" t="s">
        <v>836</v>
      </c>
      <c r="JA3" t="s">
        <v>190</v>
      </c>
      <c r="JB3" t="s">
        <v>837</v>
      </c>
      <c r="JC3" t="s">
        <v>838</v>
      </c>
      <c r="JD3" t="s">
        <v>839</v>
      </c>
      <c r="JE3" t="s">
        <v>840</v>
      </c>
      <c r="JF3" t="s">
        <v>841</v>
      </c>
      <c r="JG3" t="s">
        <v>842</v>
      </c>
      <c r="JH3" t="s">
        <v>843</v>
      </c>
      <c r="JI3" t="s">
        <v>844</v>
      </c>
      <c r="JJ3" t="s">
        <v>845</v>
      </c>
      <c r="JK3" t="s">
        <v>846</v>
      </c>
      <c r="JL3" t="s">
        <v>847</v>
      </c>
      <c r="JM3" t="s">
        <v>848</v>
      </c>
      <c r="JN3" t="s">
        <v>849</v>
      </c>
      <c r="JO3" t="s">
        <v>850</v>
      </c>
      <c r="JP3" t="s">
        <v>851</v>
      </c>
      <c r="JQ3" t="s">
        <v>852</v>
      </c>
      <c r="JR3" t="s">
        <v>853</v>
      </c>
      <c r="JS3" t="s">
        <v>854</v>
      </c>
      <c r="JT3" t="s">
        <v>855</v>
      </c>
      <c r="JU3" t="s">
        <v>856</v>
      </c>
      <c r="JV3" t="s">
        <v>857</v>
      </c>
      <c r="JW3" t="s">
        <v>858</v>
      </c>
      <c r="JX3" t="s">
        <v>859</v>
      </c>
      <c r="JY3" t="s">
        <v>860</v>
      </c>
      <c r="JZ3" t="s">
        <v>861</v>
      </c>
      <c r="KA3" t="s">
        <v>862</v>
      </c>
      <c r="KB3" t="s">
        <v>863</v>
      </c>
      <c r="KC3" t="s">
        <v>864</v>
      </c>
      <c r="KD3" t="s">
        <v>865</v>
      </c>
      <c r="KE3" t="s">
        <v>866</v>
      </c>
      <c r="KF3" t="s">
        <v>867</v>
      </c>
      <c r="KG3" t="s">
        <v>868</v>
      </c>
      <c r="KH3" t="s">
        <v>869</v>
      </c>
      <c r="KI3" t="s">
        <v>870</v>
      </c>
      <c r="KJ3" t="s">
        <v>871</v>
      </c>
      <c r="KK3" t="s">
        <v>872</v>
      </c>
      <c r="KL3" t="s">
        <v>873</v>
      </c>
      <c r="KM3" t="s">
        <v>874</v>
      </c>
      <c r="KN3" t="s">
        <v>875</v>
      </c>
      <c r="KO3" t="s">
        <v>876</v>
      </c>
      <c r="KP3" t="s">
        <v>877</v>
      </c>
      <c r="KQ3" t="s">
        <v>170</v>
      </c>
      <c r="KR3" t="s">
        <v>704</v>
      </c>
      <c r="KS3" t="s">
        <v>878</v>
      </c>
      <c r="KT3" t="s">
        <v>879</v>
      </c>
      <c r="KU3" t="s">
        <v>880</v>
      </c>
      <c r="KV3" t="s">
        <v>881</v>
      </c>
      <c r="KW3" t="s">
        <v>705</v>
      </c>
      <c r="KX3" t="s">
        <v>882</v>
      </c>
      <c r="KY3" t="s">
        <v>883</v>
      </c>
      <c r="KZ3" t="s">
        <v>171</v>
      </c>
      <c r="LA3" t="s">
        <v>884</v>
      </c>
      <c r="LB3" t="s">
        <v>191</v>
      </c>
      <c r="LC3" t="s">
        <v>158</v>
      </c>
      <c r="LD3" t="s">
        <v>159</v>
      </c>
      <c r="LE3" t="s">
        <v>885</v>
      </c>
      <c r="LF3" t="s">
        <v>886</v>
      </c>
      <c r="LG3" t="s">
        <v>887</v>
      </c>
      <c r="LH3" t="s">
        <v>888</v>
      </c>
      <c r="LI3" t="s">
        <v>706</v>
      </c>
      <c r="LJ3" t="s">
        <v>889</v>
      </c>
      <c r="LK3" t="s">
        <v>890</v>
      </c>
      <c r="LL3" t="s">
        <v>707</v>
      </c>
      <c r="LM3" t="s">
        <v>891</v>
      </c>
      <c r="LN3" t="s">
        <v>892</v>
      </c>
      <c r="LO3" t="s">
        <v>893</v>
      </c>
      <c r="LP3" t="s">
        <v>894</v>
      </c>
      <c r="LQ3" t="s">
        <v>708</v>
      </c>
      <c r="LR3" t="s">
        <v>895</v>
      </c>
      <c r="LS3" t="s">
        <v>160</v>
      </c>
      <c r="LT3" t="s">
        <v>192</v>
      </c>
      <c r="LU3" t="s">
        <v>709</v>
      </c>
      <c r="LV3" t="s">
        <v>161</v>
      </c>
      <c r="LW3" t="s">
        <v>710</v>
      </c>
      <c r="LX3" t="s">
        <v>711</v>
      </c>
      <c r="LY3" t="s">
        <v>896</v>
      </c>
      <c r="LZ3" t="s">
        <v>897</v>
      </c>
      <c r="MA3" t="s">
        <v>898</v>
      </c>
      <c r="MB3" t="s">
        <v>899</v>
      </c>
      <c r="MC3" t="s">
        <v>900</v>
      </c>
      <c r="MD3" t="s">
        <v>901</v>
      </c>
      <c r="ME3" t="s">
        <v>902</v>
      </c>
      <c r="MF3" t="s">
        <v>712</v>
      </c>
      <c r="MG3" t="s">
        <v>903</v>
      </c>
      <c r="MH3" t="s">
        <v>904</v>
      </c>
      <c r="MI3" t="s">
        <v>905</v>
      </c>
      <c r="MJ3" t="s">
        <v>162</v>
      </c>
      <c r="MK3" t="s">
        <v>906</v>
      </c>
      <c r="ML3" t="s">
        <v>907</v>
      </c>
      <c r="MM3" t="s">
        <v>163</v>
      </c>
      <c r="MN3" t="s">
        <v>908</v>
      </c>
      <c r="MO3" t="s">
        <v>909</v>
      </c>
    </row>
    <row r="4" spans="1:353">
      <c r="C4" t="s">
        <v>399</v>
      </c>
      <c r="D4" t="s">
        <v>402</v>
      </c>
      <c r="E4" t="s">
        <v>303</v>
      </c>
      <c r="F4" t="s">
        <v>301</v>
      </c>
      <c r="G4" t="s">
        <v>399</v>
      </c>
      <c r="H4" t="s">
        <v>399</v>
      </c>
      <c r="I4" t="s">
        <v>564</v>
      </c>
      <c r="J4" t="s">
        <v>563</v>
      </c>
      <c r="K4" t="s">
        <v>399</v>
      </c>
      <c r="L4" t="s">
        <v>353</v>
      </c>
      <c r="M4" t="s">
        <v>402</v>
      </c>
      <c r="N4" t="s">
        <v>353</v>
      </c>
      <c r="O4" t="s">
        <v>399</v>
      </c>
      <c r="P4" t="s">
        <v>353</v>
      </c>
      <c r="Q4" t="s">
        <v>360</v>
      </c>
      <c r="R4" t="s">
        <v>392</v>
      </c>
      <c r="S4" t="s">
        <v>910</v>
      </c>
      <c r="T4" t="s">
        <v>564</v>
      </c>
      <c r="U4" t="s">
        <v>353</v>
      </c>
      <c r="V4" t="s">
        <v>353</v>
      </c>
      <c r="W4" t="s">
        <v>399</v>
      </c>
      <c r="X4" t="s">
        <v>353</v>
      </c>
      <c r="Y4" t="s">
        <v>338</v>
      </c>
      <c r="Z4" t="s">
        <v>353</v>
      </c>
      <c r="AA4" t="s">
        <v>353</v>
      </c>
      <c r="AB4" t="s">
        <v>353</v>
      </c>
      <c r="AC4" t="s">
        <v>564</v>
      </c>
      <c r="AD4" t="s">
        <v>588</v>
      </c>
      <c r="AE4" t="s">
        <v>399</v>
      </c>
      <c r="AF4" t="s">
        <v>353</v>
      </c>
      <c r="AG4" t="s">
        <v>353</v>
      </c>
      <c r="AH4" t="s">
        <v>603</v>
      </c>
      <c r="AI4" t="s">
        <v>564</v>
      </c>
      <c r="AJ4" t="s">
        <v>564</v>
      </c>
      <c r="AK4" t="s">
        <v>588</v>
      </c>
      <c r="AL4" t="s">
        <v>360</v>
      </c>
      <c r="AM4" t="s">
        <v>353</v>
      </c>
      <c r="AN4" t="s">
        <v>353</v>
      </c>
      <c r="AO4" t="s">
        <v>303</v>
      </c>
      <c r="AP4" t="s">
        <v>399</v>
      </c>
      <c r="AQ4" t="s">
        <v>396</v>
      </c>
      <c r="AR4" t="s">
        <v>911</v>
      </c>
      <c r="AS4" t="s">
        <v>912</v>
      </c>
      <c r="AT4" t="s">
        <v>913</v>
      </c>
      <c r="AU4" t="s">
        <v>914</v>
      </c>
      <c r="AV4" t="s">
        <v>360</v>
      </c>
      <c r="AW4" t="s">
        <v>353</v>
      </c>
      <c r="AX4" t="s">
        <v>360</v>
      </c>
      <c r="AY4" t="s">
        <v>399</v>
      </c>
      <c r="AZ4" t="s">
        <v>399</v>
      </c>
      <c r="BA4" t="s">
        <v>303</v>
      </c>
      <c r="BB4" t="s">
        <v>399</v>
      </c>
      <c r="BC4" t="s">
        <v>399</v>
      </c>
      <c r="BD4" t="s">
        <v>399</v>
      </c>
      <c r="BE4" t="s">
        <v>333</v>
      </c>
      <c r="BF4" t="s">
        <v>353</v>
      </c>
      <c r="BG4" t="s">
        <v>338</v>
      </c>
      <c r="BH4" t="s">
        <v>338</v>
      </c>
      <c r="BI4" t="s">
        <v>360</v>
      </c>
      <c r="BJ4" t="s">
        <v>305</v>
      </c>
      <c r="BK4" t="s">
        <v>563</v>
      </c>
      <c r="BL4" t="s">
        <v>308</v>
      </c>
      <c r="BM4" t="s">
        <v>396</v>
      </c>
      <c r="BN4" t="s">
        <v>915</v>
      </c>
      <c r="BO4" t="s">
        <v>402</v>
      </c>
      <c r="BP4" t="s">
        <v>399</v>
      </c>
      <c r="BQ4" t="s">
        <v>916</v>
      </c>
      <c r="BR4" t="s">
        <v>329</v>
      </c>
      <c r="BS4" t="s">
        <v>402</v>
      </c>
      <c r="BT4" t="s">
        <v>303</v>
      </c>
      <c r="BU4" t="s">
        <v>338</v>
      </c>
      <c r="BV4" t="s">
        <v>917</v>
      </c>
      <c r="BW4" t="s">
        <v>917</v>
      </c>
      <c r="BX4" t="s">
        <v>353</v>
      </c>
      <c r="BY4" t="s">
        <v>353</v>
      </c>
      <c r="BZ4" t="s">
        <v>353</v>
      </c>
      <c r="CA4" t="s">
        <v>399</v>
      </c>
      <c r="CB4" t="s">
        <v>399</v>
      </c>
      <c r="CC4" t="s">
        <v>360</v>
      </c>
      <c r="CD4" t="s">
        <v>327</v>
      </c>
      <c r="CE4" t="s">
        <v>918</v>
      </c>
      <c r="CF4" t="s">
        <v>918</v>
      </c>
      <c r="CG4" t="s">
        <v>295</v>
      </c>
      <c r="CH4" t="s">
        <v>353</v>
      </c>
      <c r="CI4" t="s">
        <v>353</v>
      </c>
      <c r="CJ4" t="s">
        <v>399</v>
      </c>
      <c r="CK4" t="s">
        <v>353</v>
      </c>
      <c r="CL4" t="s">
        <v>360</v>
      </c>
      <c r="CM4" t="s">
        <v>360</v>
      </c>
      <c r="CN4" t="s">
        <v>338</v>
      </c>
      <c r="CO4" t="s">
        <v>917</v>
      </c>
      <c r="CP4" t="s">
        <v>917</v>
      </c>
      <c r="CQ4" t="s">
        <v>360</v>
      </c>
      <c r="CR4" t="s">
        <v>353</v>
      </c>
      <c r="CS4" t="s">
        <v>402</v>
      </c>
      <c r="CT4" t="s">
        <v>360</v>
      </c>
      <c r="CU4" t="s">
        <v>679</v>
      </c>
      <c r="CV4" t="s">
        <v>917</v>
      </c>
      <c r="CW4" t="s">
        <v>917</v>
      </c>
      <c r="CX4" t="s">
        <v>338</v>
      </c>
      <c r="CY4" t="s">
        <v>308</v>
      </c>
      <c r="CZ4" t="s">
        <v>918</v>
      </c>
      <c r="DA4" t="s">
        <v>563</v>
      </c>
      <c r="DB4" t="s">
        <v>563</v>
      </c>
      <c r="DC4" t="s">
        <v>360</v>
      </c>
      <c r="DD4" t="s">
        <v>353</v>
      </c>
      <c r="DE4" t="s">
        <v>295</v>
      </c>
      <c r="DF4" t="s">
        <v>919</v>
      </c>
      <c r="DG4" t="s">
        <v>918</v>
      </c>
      <c r="DH4" t="s">
        <v>920</v>
      </c>
      <c r="DI4" t="s">
        <v>392</v>
      </c>
      <c r="DJ4" t="s">
        <v>921</v>
      </c>
      <c r="DK4" t="s">
        <v>921</v>
      </c>
      <c r="DL4" t="s">
        <v>922</v>
      </c>
      <c r="DM4" t="s">
        <v>376</v>
      </c>
      <c r="DN4" t="s">
        <v>679</v>
      </c>
      <c r="DO4" t="s">
        <v>917</v>
      </c>
      <c r="DP4" t="s">
        <v>923</v>
      </c>
      <c r="DQ4" t="s">
        <v>394</v>
      </c>
      <c r="DR4" t="s">
        <v>916</v>
      </c>
      <c r="DS4" t="s">
        <v>910</v>
      </c>
      <c r="DT4" t="s">
        <v>564</v>
      </c>
      <c r="DU4" t="s">
        <v>402</v>
      </c>
      <c r="DV4" t="s">
        <v>402</v>
      </c>
      <c r="DW4" t="s">
        <v>399</v>
      </c>
      <c r="DX4" t="s">
        <v>399</v>
      </c>
      <c r="DY4" t="s">
        <v>924</v>
      </c>
      <c r="DZ4" t="s">
        <v>353</v>
      </c>
      <c r="EA4" t="s">
        <v>301</v>
      </c>
      <c r="EB4" t="s">
        <v>919</v>
      </c>
      <c r="EC4" t="s">
        <v>923</v>
      </c>
      <c r="ED4" t="s">
        <v>917</v>
      </c>
      <c r="EE4" t="s">
        <v>308</v>
      </c>
      <c r="EF4" t="s">
        <v>550</v>
      </c>
      <c r="EG4" t="s">
        <v>295</v>
      </c>
      <c r="EH4" t="s">
        <v>564</v>
      </c>
      <c r="EI4" t="s">
        <v>925</v>
      </c>
      <c r="EJ4" t="s">
        <v>922</v>
      </c>
      <c r="EK4" t="s">
        <v>360</v>
      </c>
      <c r="EL4" t="s">
        <v>353</v>
      </c>
      <c r="EM4" t="s">
        <v>353</v>
      </c>
      <c r="EN4" t="s">
        <v>353</v>
      </c>
      <c r="EO4" t="s">
        <v>353</v>
      </c>
      <c r="EP4" t="s">
        <v>360</v>
      </c>
      <c r="EQ4" t="s">
        <v>916</v>
      </c>
      <c r="ER4" t="s">
        <v>396</v>
      </c>
      <c r="ES4" t="s">
        <v>305</v>
      </c>
      <c r="ET4" t="s">
        <v>353</v>
      </c>
      <c r="EU4" t="s">
        <v>399</v>
      </c>
      <c r="EV4" t="s">
        <v>308</v>
      </c>
      <c r="EW4" t="s">
        <v>308</v>
      </c>
      <c r="EX4" t="s">
        <v>353</v>
      </c>
      <c r="EY4" t="s">
        <v>353</v>
      </c>
      <c r="EZ4" t="s">
        <v>399</v>
      </c>
      <c r="FA4" t="s">
        <v>338</v>
      </c>
      <c r="FB4" t="s">
        <v>360</v>
      </c>
      <c r="FC4" t="s">
        <v>926</v>
      </c>
      <c r="FD4" t="s">
        <v>353</v>
      </c>
      <c r="FE4" t="s">
        <v>927</v>
      </c>
      <c r="FF4" t="s">
        <v>360</v>
      </c>
      <c r="FG4" t="s">
        <v>679</v>
      </c>
      <c r="FH4" t="s">
        <v>564</v>
      </c>
      <c r="FI4" t="s">
        <v>399</v>
      </c>
      <c r="FJ4" t="s">
        <v>360</v>
      </c>
      <c r="FK4" t="s">
        <v>353</v>
      </c>
      <c r="FL4" t="s">
        <v>353</v>
      </c>
      <c r="FM4" t="s">
        <v>305</v>
      </c>
      <c r="FN4" t="s">
        <v>301</v>
      </c>
      <c r="FO4" t="s">
        <v>353</v>
      </c>
      <c r="FP4" t="s">
        <v>353</v>
      </c>
      <c r="FQ4" t="s">
        <v>360</v>
      </c>
      <c r="FR4" t="s">
        <v>550</v>
      </c>
      <c r="FS4" t="s">
        <v>928</v>
      </c>
      <c r="FT4" t="s">
        <v>929</v>
      </c>
      <c r="FU4" t="s">
        <v>333</v>
      </c>
      <c r="FV4" t="s">
        <v>930</v>
      </c>
      <c r="FW4" t="s">
        <v>930</v>
      </c>
      <c r="FX4" t="s">
        <v>564</v>
      </c>
      <c r="FY4" t="s">
        <v>919</v>
      </c>
      <c r="FZ4" t="s">
        <v>919</v>
      </c>
      <c r="GA4" t="s">
        <v>679</v>
      </c>
      <c r="GB4" t="s">
        <v>931</v>
      </c>
      <c r="GC4" t="s">
        <v>923</v>
      </c>
      <c r="GD4" t="s">
        <v>923</v>
      </c>
      <c r="GE4" t="s">
        <v>396</v>
      </c>
      <c r="GF4" t="s">
        <v>929</v>
      </c>
      <c r="GG4" t="s">
        <v>932</v>
      </c>
      <c r="GH4" t="s">
        <v>564</v>
      </c>
      <c r="GI4" t="s">
        <v>360</v>
      </c>
      <c r="GJ4" t="s">
        <v>338</v>
      </c>
      <c r="GK4" t="s">
        <v>399</v>
      </c>
      <c r="GL4" t="s">
        <v>399</v>
      </c>
      <c r="GM4" t="s">
        <v>308</v>
      </c>
      <c r="GN4" t="s">
        <v>308</v>
      </c>
      <c r="GO4" t="s">
        <v>360</v>
      </c>
      <c r="GP4" t="s">
        <v>402</v>
      </c>
      <c r="GQ4" t="s">
        <v>376</v>
      </c>
      <c r="GR4" t="s">
        <v>402</v>
      </c>
      <c r="GS4" t="s">
        <v>327</v>
      </c>
      <c r="GT4" t="s">
        <v>929</v>
      </c>
      <c r="GU4" t="s">
        <v>929</v>
      </c>
      <c r="GV4" t="s">
        <v>338</v>
      </c>
      <c r="GW4" t="s">
        <v>911</v>
      </c>
      <c r="GX4" t="s">
        <v>933</v>
      </c>
      <c r="GY4" t="s">
        <v>392</v>
      </c>
      <c r="GZ4" t="s">
        <v>564</v>
      </c>
      <c r="HA4" t="s">
        <v>376</v>
      </c>
      <c r="HB4" t="s">
        <v>394</v>
      </c>
      <c r="HC4" t="s">
        <v>917</v>
      </c>
      <c r="HD4" t="s">
        <v>934</v>
      </c>
      <c r="HE4" t="s">
        <v>919</v>
      </c>
      <c r="HF4" t="s">
        <v>353</v>
      </c>
      <c r="HG4" t="s">
        <v>399</v>
      </c>
      <c r="HH4" t="s">
        <v>935</v>
      </c>
      <c r="HI4" t="s">
        <v>392</v>
      </c>
      <c r="HJ4" t="s">
        <v>399</v>
      </c>
      <c r="HK4" t="s">
        <v>353</v>
      </c>
      <c r="HL4" t="s">
        <v>564</v>
      </c>
      <c r="HM4" t="s">
        <v>399</v>
      </c>
      <c r="HN4" t="s">
        <v>396</v>
      </c>
      <c r="HO4" t="s">
        <v>936</v>
      </c>
      <c r="HP4" t="s">
        <v>930</v>
      </c>
      <c r="HQ4" t="s">
        <v>917</v>
      </c>
      <c r="HR4" t="s">
        <v>402</v>
      </c>
      <c r="HS4" t="s">
        <v>399</v>
      </c>
      <c r="HT4" t="s">
        <v>399</v>
      </c>
      <c r="HU4" t="s">
        <v>399</v>
      </c>
      <c r="HV4" t="s">
        <v>353</v>
      </c>
      <c r="HW4" t="s">
        <v>360</v>
      </c>
      <c r="HX4" t="s">
        <v>360</v>
      </c>
      <c r="HY4" t="s">
        <v>563</v>
      </c>
      <c r="HZ4" t="s">
        <v>563</v>
      </c>
      <c r="IA4" t="s">
        <v>937</v>
      </c>
      <c r="IB4" t="s">
        <v>938</v>
      </c>
      <c r="IC4" t="s">
        <v>564</v>
      </c>
      <c r="ID4" t="s">
        <v>931</v>
      </c>
      <c r="IE4" t="s">
        <v>360</v>
      </c>
      <c r="IF4" t="s">
        <v>353</v>
      </c>
      <c r="IG4" t="s">
        <v>564</v>
      </c>
      <c r="IH4" t="s">
        <v>564</v>
      </c>
      <c r="II4" t="s">
        <v>353</v>
      </c>
      <c r="IJ4" t="s">
        <v>563</v>
      </c>
      <c r="IK4" t="s">
        <v>588</v>
      </c>
      <c r="IL4" t="s">
        <v>564</v>
      </c>
      <c r="IM4" t="s">
        <v>305</v>
      </c>
      <c r="IN4" t="s">
        <v>402</v>
      </c>
      <c r="IO4" t="s">
        <v>918</v>
      </c>
      <c r="IP4" t="s">
        <v>917</v>
      </c>
      <c r="IQ4" t="s">
        <v>939</v>
      </c>
      <c r="IR4" t="s">
        <v>353</v>
      </c>
      <c r="IS4" t="s">
        <v>353</v>
      </c>
      <c r="IT4" t="s">
        <v>399</v>
      </c>
      <c r="IU4" t="s">
        <v>333</v>
      </c>
      <c r="IV4" t="s">
        <v>360</v>
      </c>
      <c r="IW4" t="s">
        <v>394</v>
      </c>
      <c r="IX4" t="s">
        <v>303</v>
      </c>
      <c r="IY4" t="s">
        <v>564</v>
      </c>
      <c r="IZ4" t="s">
        <v>399</v>
      </c>
      <c r="JA4" t="s">
        <v>399</v>
      </c>
      <c r="JB4" t="s">
        <v>360</v>
      </c>
      <c r="JC4" t="s">
        <v>353</v>
      </c>
      <c r="JD4" t="s">
        <v>353</v>
      </c>
      <c r="JE4" t="s">
        <v>402</v>
      </c>
      <c r="JF4" t="s">
        <v>915</v>
      </c>
      <c r="JG4" t="s">
        <v>402</v>
      </c>
      <c r="JH4" t="s">
        <v>353</v>
      </c>
      <c r="JI4" t="s">
        <v>353</v>
      </c>
      <c r="JJ4" t="s">
        <v>305</v>
      </c>
      <c r="JK4" t="s">
        <v>402</v>
      </c>
      <c r="JL4" t="s">
        <v>360</v>
      </c>
      <c r="JM4" t="s">
        <v>305</v>
      </c>
      <c r="JN4" t="s">
        <v>353</v>
      </c>
      <c r="JO4" t="s">
        <v>305</v>
      </c>
      <c r="JP4" t="s">
        <v>564</v>
      </c>
      <c r="JQ4" t="s">
        <v>910</v>
      </c>
      <c r="JR4" t="s">
        <v>940</v>
      </c>
      <c r="JS4" t="s">
        <v>939</v>
      </c>
      <c r="JT4" t="s">
        <v>564</v>
      </c>
      <c r="JU4" t="s">
        <v>305</v>
      </c>
      <c r="JV4" t="s">
        <v>338</v>
      </c>
      <c r="JW4" t="s">
        <v>338</v>
      </c>
      <c r="JX4" t="s">
        <v>353</v>
      </c>
      <c r="JY4" t="s">
        <v>353</v>
      </c>
      <c r="JZ4" t="s">
        <v>353</v>
      </c>
      <c r="KA4" t="s">
        <v>360</v>
      </c>
      <c r="KB4" t="s">
        <v>333</v>
      </c>
      <c r="KC4" t="s">
        <v>918</v>
      </c>
      <c r="KD4" t="s">
        <v>922</v>
      </c>
      <c r="KE4" t="s">
        <v>564</v>
      </c>
      <c r="KF4" t="s">
        <v>353</v>
      </c>
      <c r="KG4" t="s">
        <v>353</v>
      </c>
      <c r="KH4" t="s">
        <v>360</v>
      </c>
      <c r="KI4" t="s">
        <v>932</v>
      </c>
      <c r="KJ4" t="s">
        <v>941</v>
      </c>
      <c r="KK4" t="s">
        <v>942</v>
      </c>
      <c r="KL4" t="s">
        <v>305</v>
      </c>
      <c r="KM4" t="s">
        <v>353</v>
      </c>
      <c r="KN4" t="s">
        <v>303</v>
      </c>
      <c r="KO4" t="s">
        <v>360</v>
      </c>
      <c r="KP4" t="s">
        <v>301</v>
      </c>
      <c r="KQ4" t="s">
        <v>353</v>
      </c>
      <c r="KR4" t="s">
        <v>353</v>
      </c>
      <c r="KS4" t="s">
        <v>353</v>
      </c>
      <c r="KT4" t="s">
        <v>360</v>
      </c>
      <c r="KU4" t="s">
        <v>563</v>
      </c>
      <c r="KV4" t="s">
        <v>563</v>
      </c>
      <c r="KW4" t="s">
        <v>353</v>
      </c>
      <c r="KX4" t="s">
        <v>353</v>
      </c>
      <c r="KY4" t="s">
        <v>353</v>
      </c>
      <c r="KZ4" t="s">
        <v>305</v>
      </c>
      <c r="LA4" t="s">
        <v>353</v>
      </c>
      <c r="LB4" t="s">
        <v>353</v>
      </c>
      <c r="LC4" t="s">
        <v>360</v>
      </c>
      <c r="LD4" t="s">
        <v>360</v>
      </c>
      <c r="LE4" t="s">
        <v>353</v>
      </c>
      <c r="LF4" t="s">
        <v>360</v>
      </c>
      <c r="LG4" t="s">
        <v>305</v>
      </c>
      <c r="LH4" t="s">
        <v>353</v>
      </c>
      <c r="LI4" t="s">
        <v>295</v>
      </c>
      <c r="LJ4" t="s">
        <v>943</v>
      </c>
      <c r="LK4" t="s">
        <v>943</v>
      </c>
      <c r="LL4" t="s">
        <v>396</v>
      </c>
      <c r="LM4" t="s">
        <v>402</v>
      </c>
      <c r="LN4" t="s">
        <v>563</v>
      </c>
      <c r="LO4" t="s">
        <v>564</v>
      </c>
      <c r="LP4" t="s">
        <v>360</v>
      </c>
      <c r="LQ4" t="s">
        <v>360</v>
      </c>
      <c r="LR4" t="s">
        <v>588</v>
      </c>
      <c r="LS4" t="s">
        <v>944</v>
      </c>
      <c r="LT4" t="s">
        <v>353</v>
      </c>
      <c r="LU4" t="s">
        <v>564</v>
      </c>
      <c r="LV4" t="s">
        <v>945</v>
      </c>
      <c r="LW4" t="s">
        <v>402</v>
      </c>
      <c r="LX4" t="s">
        <v>353</v>
      </c>
      <c r="LY4" t="s">
        <v>305</v>
      </c>
      <c r="LZ4" t="s">
        <v>946</v>
      </c>
      <c r="MA4" t="s">
        <v>303</v>
      </c>
      <c r="MB4" t="s">
        <v>353</v>
      </c>
      <c r="MC4" t="s">
        <v>360</v>
      </c>
      <c r="MD4" t="s">
        <v>402</v>
      </c>
      <c r="ME4" t="s">
        <v>353</v>
      </c>
      <c r="MF4" t="s">
        <v>396</v>
      </c>
      <c r="MG4" t="s">
        <v>947</v>
      </c>
      <c r="MH4" t="s">
        <v>947</v>
      </c>
      <c r="MI4" t="s">
        <v>396</v>
      </c>
      <c r="MJ4" t="s">
        <v>301</v>
      </c>
      <c r="MK4" t="s">
        <v>353</v>
      </c>
      <c r="ML4" t="s">
        <v>301</v>
      </c>
      <c r="MM4" t="s">
        <v>564</v>
      </c>
      <c r="MN4" t="s">
        <v>327</v>
      </c>
      <c r="MO4" t="s">
        <v>948</v>
      </c>
    </row>
    <row r="8" spans="1:353">
      <c r="I8" s="29"/>
    </row>
    <row r="9" spans="1:353">
      <c r="A9" s="802" t="s">
        <v>949</v>
      </c>
      <c r="B9" s="802" t="s">
        <v>342</v>
      </c>
      <c r="I9" s="29"/>
    </row>
    <row r="10" spans="1:353">
      <c r="A10" s="802"/>
      <c r="B10" s="802"/>
      <c r="I10" s="59" t="s">
        <v>522</v>
      </c>
    </row>
    <row r="11" spans="1:353" hidden="1">
      <c r="A11" s="29" t="s">
        <v>688</v>
      </c>
      <c r="B11" s="145" t="s">
        <v>399</v>
      </c>
      <c r="H11" t="str">
        <f t="shared" ref="H11:H21" si="0">A11</f>
        <v>117/1</v>
      </c>
      <c r="I11" s="29"/>
    </row>
    <row r="12" spans="1:353" hidden="1">
      <c r="A12" s="29" t="s">
        <v>713</v>
      </c>
      <c r="B12" s="145" t="s">
        <v>402</v>
      </c>
      <c r="H12" t="str">
        <f t="shared" si="0"/>
        <v>117/2</v>
      </c>
      <c r="I12" s="29"/>
    </row>
    <row r="13" spans="1:353" hidden="1">
      <c r="A13" s="29" t="s">
        <v>522</v>
      </c>
      <c r="B13" s="145" t="s">
        <v>303</v>
      </c>
      <c r="H13" t="str">
        <f t="shared" si="0"/>
        <v>118/0</v>
      </c>
      <c r="I13" s="29"/>
    </row>
    <row r="14" spans="1:353" hidden="1">
      <c r="A14" s="29" t="s">
        <v>523</v>
      </c>
      <c r="B14" s="145" t="s">
        <v>301</v>
      </c>
      <c r="H14" t="str">
        <f t="shared" si="0"/>
        <v>119/0</v>
      </c>
      <c r="I14" s="29"/>
    </row>
    <row r="15" spans="1:353" hidden="1">
      <c r="A15" s="29" t="s">
        <v>524</v>
      </c>
      <c r="B15" s="145" t="s">
        <v>399</v>
      </c>
      <c r="H15" t="str">
        <f t="shared" si="0"/>
        <v>119/1</v>
      </c>
      <c r="I15" s="29"/>
    </row>
    <row r="16" spans="1:353" hidden="1">
      <c r="A16" s="29" t="s">
        <v>714</v>
      </c>
      <c r="B16" s="145" t="s">
        <v>399</v>
      </c>
      <c r="H16" t="str">
        <f t="shared" si="0"/>
        <v>119/2</v>
      </c>
      <c r="I16" s="29"/>
    </row>
    <row r="17" spans="1:9" hidden="1">
      <c r="A17" s="29" t="s">
        <v>715</v>
      </c>
      <c r="B17" s="145" t="s">
        <v>564</v>
      </c>
      <c r="H17" t="str">
        <f t="shared" si="0"/>
        <v>119/3</v>
      </c>
      <c r="I17" s="29"/>
    </row>
    <row r="18" spans="1:9" hidden="1">
      <c r="A18" s="29" t="s">
        <v>525</v>
      </c>
      <c r="B18" s="145" t="s">
        <v>563</v>
      </c>
      <c r="H18" t="str">
        <f t="shared" si="0"/>
        <v>120/0</v>
      </c>
      <c r="I18" s="29"/>
    </row>
    <row r="19" spans="1:9" hidden="1">
      <c r="A19" s="29" t="s">
        <v>716</v>
      </c>
      <c r="B19" s="145" t="s">
        <v>399</v>
      </c>
      <c r="H19" t="str">
        <f t="shared" si="0"/>
        <v>120/1</v>
      </c>
      <c r="I19" s="29"/>
    </row>
    <row r="20" spans="1:9" hidden="1">
      <c r="A20" s="29" t="s">
        <v>717</v>
      </c>
      <c r="B20" s="145" t="s">
        <v>353</v>
      </c>
      <c r="H20" t="str">
        <f t="shared" si="0"/>
        <v>120/2</v>
      </c>
      <c r="I20" s="29"/>
    </row>
    <row r="21" spans="1:9" hidden="1">
      <c r="A21" s="29" t="s">
        <v>718</v>
      </c>
      <c r="B21" s="145" t="s">
        <v>402</v>
      </c>
      <c r="H21" t="str">
        <f t="shared" si="0"/>
        <v>120/3</v>
      </c>
      <c r="I21" s="29"/>
    </row>
    <row r="22" spans="1:9" hidden="1">
      <c r="A22" s="29" t="s">
        <v>689</v>
      </c>
      <c r="B22" s="145" t="s">
        <v>353</v>
      </c>
      <c r="I22" s="59" t="s">
        <v>761</v>
      </c>
    </row>
    <row r="23" spans="1:9" hidden="1">
      <c r="A23" s="29" t="s">
        <v>719</v>
      </c>
      <c r="B23" s="145" t="s">
        <v>399</v>
      </c>
      <c r="I23" s="29" t="s">
        <v>144</v>
      </c>
    </row>
    <row r="24" spans="1:9" hidden="1">
      <c r="A24" s="29" t="s">
        <v>720</v>
      </c>
      <c r="B24" s="145" t="s">
        <v>353</v>
      </c>
      <c r="I24" s="59" t="s">
        <v>762</v>
      </c>
    </row>
    <row r="25" spans="1:9" hidden="1">
      <c r="A25" s="29" t="s">
        <v>690</v>
      </c>
      <c r="B25" s="145" t="s">
        <v>360</v>
      </c>
      <c r="I25" s="59" t="s">
        <v>763</v>
      </c>
    </row>
    <row r="26" spans="1:9" hidden="1">
      <c r="A26" s="29" t="s">
        <v>526</v>
      </c>
      <c r="B26" s="145" t="s">
        <v>392</v>
      </c>
      <c r="I26" s="59" t="s">
        <v>764</v>
      </c>
    </row>
    <row r="27" spans="1:9" hidden="1">
      <c r="A27" s="29" t="s">
        <v>721</v>
      </c>
      <c r="B27" s="145" t="s">
        <v>910</v>
      </c>
      <c r="I27" s="59" t="s">
        <v>765</v>
      </c>
    </row>
    <row r="28" spans="1:9" hidden="1">
      <c r="A28" s="29" t="s">
        <v>728</v>
      </c>
      <c r="B28" s="145" t="s">
        <v>353</v>
      </c>
      <c r="I28" s="59" t="s">
        <v>145</v>
      </c>
    </row>
    <row r="29" spans="1:9">
      <c r="A29" s="29" t="s">
        <v>729</v>
      </c>
      <c r="B29" s="143" t="s">
        <v>564</v>
      </c>
      <c r="H29" t="str">
        <f>A29</f>
        <v>121/11</v>
      </c>
      <c r="I29" s="29"/>
    </row>
    <row r="30" spans="1:9" hidden="1">
      <c r="A30" s="29" t="s">
        <v>691</v>
      </c>
      <c r="B30" s="145" t="s">
        <v>564</v>
      </c>
      <c r="I30" s="59" t="s">
        <v>699</v>
      </c>
    </row>
    <row r="31" spans="1:9" hidden="1">
      <c r="A31" s="29" t="s">
        <v>692</v>
      </c>
      <c r="B31" s="145" t="s">
        <v>353</v>
      </c>
      <c r="I31" s="59" t="s">
        <v>183</v>
      </c>
    </row>
    <row r="32" spans="1:9" hidden="1">
      <c r="A32" s="29" t="s">
        <v>722</v>
      </c>
      <c r="B32" s="145" t="s">
        <v>353</v>
      </c>
      <c r="I32" s="59" t="s">
        <v>766</v>
      </c>
    </row>
    <row r="33" spans="1:9" hidden="1">
      <c r="A33" s="29" t="s">
        <v>723</v>
      </c>
      <c r="B33" s="145" t="s">
        <v>399</v>
      </c>
      <c r="I33" s="59" t="s">
        <v>767</v>
      </c>
    </row>
    <row r="34" spans="1:9" hidden="1">
      <c r="A34" s="29" t="s">
        <v>724</v>
      </c>
      <c r="B34" s="145" t="s">
        <v>353</v>
      </c>
      <c r="I34" s="59" t="s">
        <v>768</v>
      </c>
    </row>
    <row r="35" spans="1:9" hidden="1">
      <c r="A35" s="29" t="s">
        <v>725</v>
      </c>
      <c r="B35" s="145" t="s">
        <v>338</v>
      </c>
      <c r="I35" s="59" t="s">
        <v>625</v>
      </c>
    </row>
    <row r="36" spans="1:9" hidden="1">
      <c r="A36" s="29" t="s">
        <v>726</v>
      </c>
      <c r="B36" s="145" t="s">
        <v>353</v>
      </c>
      <c r="I36" s="59" t="s">
        <v>626</v>
      </c>
    </row>
    <row r="37" spans="1:9" hidden="1">
      <c r="A37" s="29" t="s">
        <v>727</v>
      </c>
      <c r="B37" s="145" t="s">
        <v>353</v>
      </c>
      <c r="I37" s="59" t="s">
        <v>627</v>
      </c>
    </row>
    <row r="38" spans="1:9" hidden="1">
      <c r="A38" s="29" t="s">
        <v>275</v>
      </c>
      <c r="B38" s="145" t="s">
        <v>588</v>
      </c>
      <c r="I38" s="59" t="s">
        <v>628</v>
      </c>
    </row>
    <row r="39" spans="1:9" hidden="1">
      <c r="A39" s="29" t="s">
        <v>529</v>
      </c>
      <c r="B39" s="145" t="s">
        <v>399</v>
      </c>
      <c r="H39" t="str">
        <f>A39</f>
        <v>124/1</v>
      </c>
      <c r="I39" s="29"/>
    </row>
    <row r="40" spans="1:9" hidden="1">
      <c r="A40" s="29" t="s">
        <v>530</v>
      </c>
      <c r="B40" s="145" t="s">
        <v>353</v>
      </c>
      <c r="H40" t="str">
        <f>A40</f>
        <v>124/2</v>
      </c>
      <c r="I40" s="29"/>
    </row>
    <row r="41" spans="1:9" hidden="1">
      <c r="A41" s="29" t="s">
        <v>280</v>
      </c>
      <c r="B41" s="145" t="s">
        <v>353</v>
      </c>
      <c r="H41" t="str">
        <f>A41</f>
        <v>124/3</v>
      </c>
      <c r="I41" s="29"/>
    </row>
    <row r="42" spans="1:9" hidden="1">
      <c r="A42" s="29" t="s">
        <v>730</v>
      </c>
      <c r="B42" s="145" t="s">
        <v>603</v>
      </c>
      <c r="I42" s="59" t="s">
        <v>633</v>
      </c>
    </row>
    <row r="43" spans="1:9" hidden="1">
      <c r="A43" s="29" t="s">
        <v>731</v>
      </c>
      <c r="B43" s="145" t="s">
        <v>564</v>
      </c>
      <c r="I43" s="59" t="s">
        <v>772</v>
      </c>
    </row>
    <row r="44" spans="1:9" hidden="1">
      <c r="A44" s="29" t="s">
        <v>732</v>
      </c>
      <c r="B44" s="145" t="s">
        <v>564</v>
      </c>
      <c r="I44" s="59" t="s">
        <v>700</v>
      </c>
    </row>
    <row r="45" spans="1:9" hidden="1">
      <c r="A45" s="29" t="s">
        <v>733</v>
      </c>
      <c r="B45" s="145" t="s">
        <v>588</v>
      </c>
      <c r="I45" s="59" t="s">
        <v>701</v>
      </c>
    </row>
    <row r="46" spans="1:9" hidden="1">
      <c r="A46" s="29" t="s">
        <v>693</v>
      </c>
      <c r="B46" s="145" t="s">
        <v>360</v>
      </c>
      <c r="I46" s="59" t="s">
        <v>773</v>
      </c>
    </row>
    <row r="47" spans="1:9" hidden="1">
      <c r="A47" s="29" t="s">
        <v>734</v>
      </c>
      <c r="B47" s="145" t="s">
        <v>353</v>
      </c>
      <c r="H47" t="str">
        <f>A47</f>
        <v>126/2</v>
      </c>
      <c r="I47" s="29"/>
    </row>
    <row r="48" spans="1:9" hidden="1">
      <c r="A48" s="29" t="s">
        <v>735</v>
      </c>
      <c r="B48" s="145" t="s">
        <v>353</v>
      </c>
      <c r="I48" s="59" t="s">
        <v>774</v>
      </c>
    </row>
    <row r="49" spans="1:9" hidden="1">
      <c r="A49" s="29" t="s">
        <v>736</v>
      </c>
      <c r="B49" s="145" t="s">
        <v>303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399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396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911</v>
      </c>
      <c r="H52" t="str">
        <f t="shared" si="1"/>
        <v>128/0</v>
      </c>
      <c r="I52" s="29"/>
    </row>
    <row r="53" spans="1:9">
      <c r="A53" s="29" t="s">
        <v>568</v>
      </c>
      <c r="B53" s="143" t="s">
        <v>912</v>
      </c>
      <c r="H53" t="str">
        <f t="shared" si="1"/>
        <v>129/0</v>
      </c>
      <c r="I53" s="29"/>
    </row>
    <row r="54" spans="1:9">
      <c r="A54" s="29" t="s">
        <v>572</v>
      </c>
      <c r="B54" s="143" t="s">
        <v>913</v>
      </c>
      <c r="H54" t="str">
        <f t="shared" si="1"/>
        <v>130/0</v>
      </c>
      <c r="I54" s="29"/>
    </row>
    <row r="55" spans="1:9">
      <c r="A55" s="29" t="s">
        <v>544</v>
      </c>
      <c r="B55" s="143" t="s">
        <v>914</v>
      </c>
      <c r="H55" t="str">
        <f t="shared" si="1"/>
        <v>131/0</v>
      </c>
      <c r="I55" s="29"/>
    </row>
    <row r="56" spans="1:9">
      <c r="A56" s="29" t="s">
        <v>545</v>
      </c>
      <c r="B56" s="143" t="s">
        <v>360</v>
      </c>
      <c r="H56" t="str">
        <f t="shared" si="1"/>
        <v>131/1</v>
      </c>
      <c r="I56" s="29"/>
    </row>
    <row r="57" spans="1:9" hidden="1">
      <c r="A57" s="29" t="s">
        <v>546</v>
      </c>
      <c r="B57" s="145" t="s">
        <v>353</v>
      </c>
      <c r="H57" t="str">
        <f t="shared" si="1"/>
        <v>131/2</v>
      </c>
      <c r="I57" s="29"/>
    </row>
    <row r="58" spans="1:9">
      <c r="A58" s="29" t="s">
        <v>737</v>
      </c>
      <c r="B58" s="143" t="s">
        <v>360</v>
      </c>
      <c r="H58" t="str">
        <f t="shared" si="1"/>
        <v>131/3</v>
      </c>
      <c r="I58" s="29"/>
    </row>
    <row r="59" spans="1:9">
      <c r="A59" s="29" t="s">
        <v>738</v>
      </c>
      <c r="B59" s="143" t="s">
        <v>399</v>
      </c>
      <c r="H59" t="str">
        <f t="shared" si="1"/>
        <v>131/4</v>
      </c>
      <c r="I59" s="29"/>
    </row>
    <row r="60" spans="1:9">
      <c r="A60" s="29" t="s">
        <v>739</v>
      </c>
      <c r="B60" s="143" t="s">
        <v>399</v>
      </c>
      <c r="H60" t="str">
        <f t="shared" si="1"/>
        <v>131/5</v>
      </c>
      <c r="I60" s="29"/>
    </row>
    <row r="61" spans="1:9" hidden="1">
      <c r="A61" s="29" t="s">
        <v>740</v>
      </c>
      <c r="B61" s="145" t="s">
        <v>303</v>
      </c>
      <c r="H61" t="str">
        <f t="shared" si="1"/>
        <v>132/0</v>
      </c>
      <c r="I61" s="29"/>
    </row>
    <row r="62" spans="1:9" hidden="1">
      <c r="A62" s="29" t="s">
        <v>548</v>
      </c>
      <c r="B62" s="145" t="s">
        <v>399</v>
      </c>
      <c r="H62" t="str">
        <f t="shared" si="1"/>
        <v>132/1</v>
      </c>
      <c r="I62" s="29"/>
    </row>
    <row r="63" spans="1:9">
      <c r="A63" s="29" t="s">
        <v>741</v>
      </c>
      <c r="B63" s="143" t="s">
        <v>399</v>
      </c>
      <c r="H63" t="str">
        <f t="shared" si="1"/>
        <v>132/2</v>
      </c>
      <c r="I63" s="29"/>
    </row>
    <row r="64" spans="1:9" hidden="1">
      <c r="A64" s="29" t="s">
        <v>742</v>
      </c>
      <c r="B64" s="145" t="s">
        <v>399</v>
      </c>
      <c r="I64" s="59" t="s">
        <v>467</v>
      </c>
    </row>
    <row r="65" spans="1:9" hidden="1">
      <c r="A65" s="29" t="s">
        <v>445</v>
      </c>
      <c r="B65" s="145" t="s">
        <v>333</v>
      </c>
      <c r="H65" t="str">
        <f>A65</f>
        <v>133/0</v>
      </c>
      <c r="I65" s="29"/>
    </row>
    <row r="66" spans="1:9" hidden="1">
      <c r="A66" s="29" t="s">
        <v>451</v>
      </c>
      <c r="B66" s="145" t="s">
        <v>353</v>
      </c>
      <c r="H66" t="str">
        <f>A66</f>
        <v>133/1</v>
      </c>
      <c r="I66" s="29"/>
    </row>
    <row r="67" spans="1:9" hidden="1">
      <c r="A67" s="29" t="s">
        <v>381</v>
      </c>
      <c r="B67" s="145" t="s">
        <v>338</v>
      </c>
      <c r="H67" t="str">
        <f>A67</f>
        <v>133/2</v>
      </c>
      <c r="I67" s="29"/>
    </row>
    <row r="68" spans="1:9" hidden="1">
      <c r="A68" s="29" t="s">
        <v>743</v>
      </c>
      <c r="B68" s="143" t="s">
        <v>338</v>
      </c>
      <c r="H68" t="str">
        <f>A68</f>
        <v>133/3</v>
      </c>
      <c r="I68" s="29"/>
    </row>
    <row r="69" spans="1:9" hidden="1">
      <c r="A69" s="29" t="s">
        <v>744</v>
      </c>
      <c r="B69" s="145" t="s">
        <v>360</v>
      </c>
      <c r="H69" t="str">
        <f>A69</f>
        <v>133/4</v>
      </c>
      <c r="I69" s="29"/>
    </row>
    <row r="70" spans="1:9" hidden="1">
      <c r="A70" s="29" t="s">
        <v>375</v>
      </c>
      <c r="B70" s="145" t="s">
        <v>305</v>
      </c>
      <c r="I70" s="59" t="s">
        <v>148</v>
      </c>
    </row>
    <row r="71" spans="1:9">
      <c r="A71" s="29" t="s">
        <v>136</v>
      </c>
      <c r="B71" s="143" t="s">
        <v>563</v>
      </c>
      <c r="H71" t="str">
        <f t="shared" ref="H71:H90" si="2">A71</f>
        <v>135/0</v>
      </c>
      <c r="I71" s="29"/>
    </row>
    <row r="72" spans="1:9" hidden="1">
      <c r="A72" s="29" t="s">
        <v>373</v>
      </c>
      <c r="B72" s="145" t="s">
        <v>308</v>
      </c>
      <c r="H72" t="str">
        <f t="shared" si="2"/>
        <v>136/0</v>
      </c>
      <c r="I72" s="29"/>
    </row>
    <row r="73" spans="1:9" hidden="1">
      <c r="A73" s="29" t="s">
        <v>745</v>
      </c>
      <c r="B73" s="145" t="s">
        <v>396</v>
      </c>
      <c r="H73" t="str">
        <f t="shared" si="2"/>
        <v>136/1</v>
      </c>
      <c r="I73" s="29"/>
    </row>
    <row r="74" spans="1:9" hidden="1">
      <c r="A74" s="29" t="s">
        <v>371</v>
      </c>
      <c r="B74" s="145" t="s">
        <v>915</v>
      </c>
      <c r="H74" t="str">
        <f t="shared" si="2"/>
        <v>137/0</v>
      </c>
      <c r="I74" s="29"/>
    </row>
    <row r="75" spans="1:9" hidden="1">
      <c r="A75" s="29" t="s">
        <v>694</v>
      </c>
      <c r="B75" s="145" t="s">
        <v>402</v>
      </c>
      <c r="H75" t="str">
        <f t="shared" si="2"/>
        <v>137/1</v>
      </c>
      <c r="I75" s="29"/>
    </row>
    <row r="76" spans="1:9" hidden="1">
      <c r="A76" s="29" t="s">
        <v>695</v>
      </c>
      <c r="B76" s="145" t="s">
        <v>399</v>
      </c>
      <c r="H76" t="str">
        <f t="shared" si="2"/>
        <v>137/2</v>
      </c>
      <c r="I76" s="29"/>
    </row>
    <row r="77" spans="1:9" hidden="1">
      <c r="A77" s="29" t="s">
        <v>372</v>
      </c>
      <c r="B77" s="145" t="s">
        <v>916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329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402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303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338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917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917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353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353</v>
      </c>
      <c r="H85" t="str">
        <f t="shared" si="2"/>
        <v>141/2</v>
      </c>
      <c r="I85" s="29"/>
    </row>
    <row r="86" spans="1:9" hidden="1">
      <c r="A86" s="29" t="s">
        <v>696</v>
      </c>
      <c r="B86" s="145" t="s">
        <v>353</v>
      </c>
      <c r="H86" t="str">
        <f t="shared" si="2"/>
        <v>141/3</v>
      </c>
      <c r="I86" s="29"/>
    </row>
    <row r="87" spans="1:9" hidden="1">
      <c r="A87" s="29" t="s">
        <v>746</v>
      </c>
      <c r="B87" s="145" t="s">
        <v>399</v>
      </c>
      <c r="H87" t="str">
        <f t="shared" si="2"/>
        <v>141/4</v>
      </c>
      <c r="I87" s="29"/>
    </row>
    <row r="88" spans="1:9" hidden="1">
      <c r="A88" s="29" t="s">
        <v>697</v>
      </c>
      <c r="B88" s="145" t="s">
        <v>399</v>
      </c>
      <c r="H88" t="str">
        <f t="shared" si="2"/>
        <v>141/5</v>
      </c>
      <c r="I88" s="29"/>
    </row>
    <row r="89" spans="1:9" hidden="1">
      <c r="A89" s="29" t="s">
        <v>465</v>
      </c>
      <c r="B89" s="145" t="s">
        <v>360</v>
      </c>
      <c r="H89" t="str">
        <f t="shared" si="2"/>
        <v>141/6</v>
      </c>
      <c r="I89" s="29"/>
    </row>
    <row r="90" spans="1:9" hidden="1">
      <c r="A90" s="29" t="s">
        <v>421</v>
      </c>
      <c r="B90" s="145" t="s">
        <v>327</v>
      </c>
      <c r="H90" t="str">
        <f t="shared" si="2"/>
        <v>142/0</v>
      </c>
      <c r="I90" s="29"/>
    </row>
    <row r="91" spans="1:9" hidden="1">
      <c r="A91" s="29" t="s">
        <v>403</v>
      </c>
      <c r="B91" s="145" t="s">
        <v>918</v>
      </c>
      <c r="I91" s="59" t="s">
        <v>801</v>
      </c>
    </row>
    <row r="92" spans="1:9" hidden="1">
      <c r="A92" s="29" t="s">
        <v>377</v>
      </c>
      <c r="B92" s="145" t="s">
        <v>918</v>
      </c>
      <c r="H92" t="str">
        <f>A92</f>
        <v>144/0</v>
      </c>
      <c r="I92" s="29"/>
    </row>
    <row r="93" spans="1:9">
      <c r="A93" s="29" t="s">
        <v>391</v>
      </c>
      <c r="B93" s="143" t="s">
        <v>295</v>
      </c>
      <c r="H93" t="str">
        <f>A93</f>
        <v>145/0</v>
      </c>
      <c r="I93" s="29"/>
    </row>
    <row r="94" spans="1:9">
      <c r="A94" s="29" t="s">
        <v>395</v>
      </c>
      <c r="B94" s="143" t="s">
        <v>353</v>
      </c>
      <c r="H94" t="str">
        <f>A94</f>
        <v>145/1</v>
      </c>
      <c r="I94" s="29"/>
    </row>
    <row r="95" spans="1:9" hidden="1">
      <c r="A95" s="29" t="s">
        <v>552</v>
      </c>
      <c r="B95" s="145" t="s">
        <v>353</v>
      </c>
      <c r="I95" s="59" t="s">
        <v>803</v>
      </c>
    </row>
    <row r="96" spans="1:9" hidden="1">
      <c r="A96" s="29" t="s">
        <v>407</v>
      </c>
      <c r="B96" s="145" t="s">
        <v>399</v>
      </c>
      <c r="H96" t="str">
        <f t="shared" ref="H96:H121" si="3">A96</f>
        <v>145/3</v>
      </c>
      <c r="I96" s="29"/>
    </row>
    <row r="97" spans="1:9" hidden="1">
      <c r="A97" s="29" t="s">
        <v>410</v>
      </c>
      <c r="B97" s="145" t="s">
        <v>353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360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360</v>
      </c>
      <c r="H99" t="str">
        <f t="shared" si="3"/>
        <v>145/6</v>
      </c>
      <c r="I99" s="29"/>
    </row>
    <row r="100" spans="1:9" hidden="1">
      <c r="A100" s="29" t="s">
        <v>698</v>
      </c>
      <c r="B100" s="145" t="s">
        <v>338</v>
      </c>
      <c r="H100" t="str">
        <f t="shared" si="3"/>
        <v>145/7</v>
      </c>
      <c r="I100" s="29"/>
    </row>
    <row r="101" spans="1:9" hidden="1">
      <c r="A101" s="29" t="s">
        <v>554</v>
      </c>
      <c r="B101" s="145" t="s">
        <v>917</v>
      </c>
      <c r="H101" t="str">
        <f t="shared" si="3"/>
        <v>147/0</v>
      </c>
      <c r="I101" s="29"/>
    </row>
    <row r="102" spans="1:9" hidden="1">
      <c r="A102" s="29" t="s">
        <v>428</v>
      </c>
      <c r="B102" s="145" t="s">
        <v>917</v>
      </c>
      <c r="H102" t="str">
        <f t="shared" si="3"/>
        <v>148/0</v>
      </c>
      <c r="I102" s="29"/>
    </row>
    <row r="103" spans="1:9" hidden="1">
      <c r="A103" s="29" t="s">
        <v>426</v>
      </c>
      <c r="B103" s="145" t="s">
        <v>360</v>
      </c>
      <c r="H103" t="str">
        <f t="shared" si="3"/>
        <v>148/1</v>
      </c>
      <c r="I103" s="29"/>
    </row>
    <row r="104" spans="1:9" hidden="1">
      <c r="A104" s="29" t="s">
        <v>388</v>
      </c>
      <c r="B104" s="145" t="s">
        <v>353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402</v>
      </c>
      <c r="H105" t="str">
        <f t="shared" si="3"/>
        <v>148/3</v>
      </c>
      <c r="I105" s="29"/>
    </row>
    <row r="106" spans="1:9" hidden="1">
      <c r="A106" s="29" t="s">
        <v>374</v>
      </c>
      <c r="B106" s="145" t="s">
        <v>360</v>
      </c>
      <c r="H106" t="str">
        <f t="shared" si="3"/>
        <v>148/4</v>
      </c>
      <c r="I106" s="29"/>
    </row>
    <row r="107" spans="1:9" hidden="1">
      <c r="A107" s="29" t="s">
        <v>386</v>
      </c>
      <c r="B107" s="145" t="s">
        <v>679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917</v>
      </c>
      <c r="H108" t="str">
        <f t="shared" si="3"/>
        <v>149/0</v>
      </c>
      <c r="I108" s="29"/>
    </row>
    <row r="109" spans="1:9">
      <c r="A109" s="29" t="s">
        <v>557</v>
      </c>
      <c r="B109" s="143" t="s">
        <v>917</v>
      </c>
      <c r="H109" t="str">
        <f t="shared" si="3"/>
        <v>150/0</v>
      </c>
      <c r="I109" s="29"/>
    </row>
    <row r="110" spans="1:9">
      <c r="A110" s="29" t="s">
        <v>558</v>
      </c>
      <c r="B110" s="143" t="s">
        <v>338</v>
      </c>
      <c r="H110" t="str">
        <f t="shared" si="3"/>
        <v>150/1</v>
      </c>
      <c r="I110" s="29"/>
    </row>
    <row r="111" spans="1:9">
      <c r="A111" s="29" t="s">
        <v>560</v>
      </c>
      <c r="B111" s="143" t="s">
        <v>308</v>
      </c>
      <c r="H111" t="str">
        <f t="shared" si="3"/>
        <v>151/0</v>
      </c>
      <c r="I111" s="29"/>
    </row>
    <row r="112" spans="1:9">
      <c r="A112" s="29" t="s">
        <v>747</v>
      </c>
      <c r="B112" s="143" t="s">
        <v>918</v>
      </c>
      <c r="H112" t="str">
        <f t="shared" si="3"/>
        <v>151A/0</v>
      </c>
      <c r="I112" s="29"/>
    </row>
    <row r="113" spans="1:9">
      <c r="A113" s="29" t="s">
        <v>561</v>
      </c>
      <c r="B113" s="143" t="s">
        <v>563</v>
      </c>
      <c r="H113" t="str">
        <f t="shared" si="3"/>
        <v>152/0</v>
      </c>
      <c r="I113" s="29"/>
    </row>
    <row r="114" spans="1:9">
      <c r="A114" s="29" t="s">
        <v>448</v>
      </c>
      <c r="B114" s="143" t="s">
        <v>563</v>
      </c>
      <c r="H114" t="str">
        <f t="shared" si="3"/>
        <v>153/0</v>
      </c>
      <c r="I114" s="29"/>
    </row>
    <row r="115" spans="1:9">
      <c r="A115" s="29" t="s">
        <v>456</v>
      </c>
      <c r="B115" s="143" t="s">
        <v>360</v>
      </c>
      <c r="H115" t="str">
        <f t="shared" si="3"/>
        <v>153/1</v>
      </c>
      <c r="I115" s="29"/>
    </row>
    <row r="116" spans="1:9">
      <c r="A116" s="29" t="s">
        <v>748</v>
      </c>
      <c r="B116" s="143" t="s">
        <v>353</v>
      </c>
      <c r="H116" t="str">
        <f t="shared" si="3"/>
        <v>153/2</v>
      </c>
      <c r="I116" s="29"/>
    </row>
    <row r="117" spans="1:9">
      <c r="A117" s="29" t="s">
        <v>749</v>
      </c>
      <c r="B117" s="143" t="s">
        <v>295</v>
      </c>
      <c r="H117" t="str">
        <f t="shared" si="3"/>
        <v>153A/0</v>
      </c>
      <c r="I117" s="29"/>
    </row>
    <row r="118" spans="1:9">
      <c r="A118" s="29" t="s">
        <v>458</v>
      </c>
      <c r="B118" s="143" t="s">
        <v>919</v>
      </c>
      <c r="H118" t="str">
        <f t="shared" si="3"/>
        <v>154/0</v>
      </c>
      <c r="I118" s="29"/>
    </row>
    <row r="119" spans="1:9">
      <c r="A119" s="29" t="s">
        <v>453</v>
      </c>
      <c r="B119" s="143" t="s">
        <v>918</v>
      </c>
      <c r="H119" t="str">
        <f t="shared" si="3"/>
        <v>155/0</v>
      </c>
      <c r="I119" s="29"/>
    </row>
    <row r="120" spans="1:9">
      <c r="A120" s="29" t="s">
        <v>364</v>
      </c>
      <c r="B120" s="143" t="s">
        <v>920</v>
      </c>
      <c r="H120" t="str">
        <f t="shared" si="3"/>
        <v>156/0</v>
      </c>
      <c r="I120" s="29"/>
    </row>
    <row r="121" spans="1:9">
      <c r="A121" s="29" t="s">
        <v>363</v>
      </c>
      <c r="B121" s="143" t="s">
        <v>392</v>
      </c>
      <c r="H121" t="str">
        <f t="shared" si="3"/>
        <v>156/1</v>
      </c>
      <c r="I121" s="29"/>
    </row>
    <row r="122" spans="1:9">
      <c r="A122" s="29" t="s">
        <v>750</v>
      </c>
      <c r="B122" s="143" t="s">
        <v>921</v>
      </c>
      <c r="I122" s="29" t="s">
        <v>280</v>
      </c>
    </row>
    <row r="123" spans="1:9">
      <c r="A123" s="29" t="s">
        <v>751</v>
      </c>
      <c r="B123" s="143" t="s">
        <v>921</v>
      </c>
      <c r="H123" t="str">
        <f t="shared" ref="H123:H134" si="4">A123</f>
        <v xml:space="preserve">158/0 </v>
      </c>
      <c r="I123" s="29"/>
    </row>
    <row r="124" spans="1:9">
      <c r="A124" s="29" t="s">
        <v>752</v>
      </c>
      <c r="B124" s="143" t="s">
        <v>922</v>
      </c>
      <c r="H124" t="str">
        <f t="shared" si="4"/>
        <v xml:space="preserve">159/0 </v>
      </c>
      <c r="I124" s="29"/>
    </row>
    <row r="125" spans="1:9" hidden="1">
      <c r="A125" s="29" t="s">
        <v>589</v>
      </c>
      <c r="B125" s="145" t="s">
        <v>376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679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917</v>
      </c>
      <c r="H127" t="str">
        <f t="shared" si="4"/>
        <v>162/0</v>
      </c>
      <c r="I127" s="29"/>
    </row>
    <row r="128" spans="1:9" hidden="1">
      <c r="A128" s="29" t="s">
        <v>605</v>
      </c>
      <c r="B128" s="143" t="s">
        <v>923</v>
      </c>
      <c r="H128" t="str">
        <f t="shared" si="4"/>
        <v>163/0</v>
      </c>
      <c r="I128" s="29"/>
    </row>
    <row r="129" spans="1:9">
      <c r="A129" s="29" t="s">
        <v>606</v>
      </c>
      <c r="B129" s="143" t="s">
        <v>394</v>
      </c>
      <c r="H129" t="str">
        <f t="shared" si="4"/>
        <v>163/1</v>
      </c>
      <c r="I129" s="29"/>
    </row>
    <row r="130" spans="1:9">
      <c r="A130" s="29" t="s">
        <v>610</v>
      </c>
      <c r="B130" s="143" t="s">
        <v>916</v>
      </c>
      <c r="H130" t="str">
        <f t="shared" si="4"/>
        <v>164/0</v>
      </c>
      <c r="I130" s="29"/>
    </row>
    <row r="131" spans="1:9">
      <c r="A131" s="29" t="s">
        <v>612</v>
      </c>
      <c r="B131" s="143" t="s">
        <v>910</v>
      </c>
      <c r="H131" t="str">
        <f t="shared" si="4"/>
        <v>165/0</v>
      </c>
      <c r="I131" s="29"/>
    </row>
    <row r="132" spans="1:9">
      <c r="A132" s="29" t="s">
        <v>613</v>
      </c>
      <c r="B132" s="143" t="s">
        <v>564</v>
      </c>
      <c r="H132" t="str">
        <f t="shared" si="4"/>
        <v>165/1</v>
      </c>
      <c r="I132" s="29"/>
    </row>
    <row r="133" spans="1:9" hidden="1">
      <c r="A133" s="29" t="s">
        <v>614</v>
      </c>
      <c r="B133" s="145" t="s">
        <v>402</v>
      </c>
      <c r="H133" t="str">
        <f t="shared" si="4"/>
        <v>165/2</v>
      </c>
      <c r="I133" s="29"/>
    </row>
    <row r="134" spans="1:9">
      <c r="A134" s="29" t="s">
        <v>753</v>
      </c>
      <c r="B134" s="143" t="s">
        <v>402</v>
      </c>
      <c r="H134" t="str">
        <f t="shared" si="4"/>
        <v>165/3</v>
      </c>
      <c r="I134" s="29"/>
    </row>
    <row r="135" spans="1:9" hidden="1">
      <c r="A135" s="29" t="s">
        <v>754</v>
      </c>
      <c r="B135" s="145" t="s">
        <v>399</v>
      </c>
      <c r="I135" s="59" t="s">
        <v>817</v>
      </c>
    </row>
    <row r="136" spans="1:9" hidden="1">
      <c r="A136" s="29" t="s">
        <v>755</v>
      </c>
      <c r="B136" s="145" t="s">
        <v>399</v>
      </c>
      <c r="H136" t="str">
        <f t="shared" ref="H136:H144" si="5">A136</f>
        <v>165/5</v>
      </c>
      <c r="I136" s="29"/>
    </row>
    <row r="137" spans="1:9" hidden="1">
      <c r="A137" s="29" t="s">
        <v>756</v>
      </c>
      <c r="B137" s="145" t="s">
        <v>924</v>
      </c>
      <c r="H137" t="str">
        <f t="shared" si="5"/>
        <v>165/6</v>
      </c>
      <c r="I137" s="29"/>
    </row>
    <row r="138" spans="1:9" hidden="1">
      <c r="A138" s="29" t="s">
        <v>757</v>
      </c>
      <c r="B138" s="145" t="s">
        <v>353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301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919</v>
      </c>
      <c r="H140" t="str">
        <f t="shared" si="5"/>
        <v>167/0</v>
      </c>
      <c r="I140" s="29"/>
    </row>
    <row r="141" spans="1:9" hidden="1">
      <c r="A141" s="29" t="s">
        <v>617</v>
      </c>
      <c r="B141" s="145" t="s">
        <v>923</v>
      </c>
      <c r="H141" t="str">
        <f t="shared" si="5"/>
        <v>168/0</v>
      </c>
      <c r="I141" s="29"/>
    </row>
    <row r="142" spans="1:9">
      <c r="A142" s="29" t="s">
        <v>618</v>
      </c>
      <c r="B142" s="143" t="s">
        <v>917</v>
      </c>
      <c r="H142" t="str">
        <f t="shared" si="5"/>
        <v>169/0</v>
      </c>
      <c r="I142" s="29"/>
    </row>
    <row r="143" spans="1:9" hidden="1">
      <c r="A143" s="29" t="s">
        <v>619</v>
      </c>
      <c r="B143" s="145" t="s">
        <v>308</v>
      </c>
      <c r="H143" t="str">
        <f t="shared" si="5"/>
        <v>170/0</v>
      </c>
      <c r="I143" s="29"/>
    </row>
    <row r="144" spans="1:9" hidden="1">
      <c r="A144" s="29" t="s">
        <v>624</v>
      </c>
      <c r="B144" s="145" t="s">
        <v>550</v>
      </c>
      <c r="H144" t="str">
        <f t="shared" si="5"/>
        <v>171/0</v>
      </c>
      <c r="I144" s="29"/>
    </row>
    <row r="145" spans="1:9" hidden="1">
      <c r="A145" s="29" t="s">
        <v>758</v>
      </c>
      <c r="B145" s="145" t="s">
        <v>295</v>
      </c>
      <c r="I145" s="59" t="s">
        <v>826</v>
      </c>
    </row>
    <row r="146" spans="1:9" hidden="1">
      <c r="A146" s="29" t="s">
        <v>759</v>
      </c>
      <c r="B146" s="145" t="s">
        <v>564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925</v>
      </c>
      <c r="H147" t="str">
        <f t="shared" si="6"/>
        <v>173/0</v>
      </c>
      <c r="I147" s="29"/>
    </row>
    <row r="148" spans="1:9">
      <c r="A148" s="29" t="s">
        <v>760</v>
      </c>
      <c r="B148" s="145" t="s">
        <v>922</v>
      </c>
      <c r="H148" t="str">
        <f t="shared" si="6"/>
        <v xml:space="preserve">174/0 </v>
      </c>
      <c r="I148" s="29"/>
    </row>
    <row r="149" spans="1:9" hidden="1">
      <c r="A149" s="29" t="s">
        <v>761</v>
      </c>
      <c r="B149" s="145" t="s">
        <v>360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353</v>
      </c>
      <c r="H150" t="str">
        <f t="shared" si="6"/>
        <v>174/2</v>
      </c>
      <c r="I150" s="29"/>
    </row>
    <row r="151" spans="1:9" hidden="1">
      <c r="A151" s="29" t="s">
        <v>762</v>
      </c>
      <c r="B151" s="145" t="s">
        <v>353</v>
      </c>
      <c r="H151" t="str">
        <f t="shared" si="6"/>
        <v>174/3</v>
      </c>
      <c r="I151" s="29"/>
    </row>
    <row r="152" spans="1:9" hidden="1">
      <c r="A152" s="29" t="s">
        <v>763</v>
      </c>
      <c r="B152" s="145" t="s">
        <v>353</v>
      </c>
      <c r="H152" t="str">
        <f t="shared" si="6"/>
        <v>174/4</v>
      </c>
      <c r="I152" s="29"/>
    </row>
    <row r="153" spans="1:9" hidden="1">
      <c r="A153" s="29" t="s">
        <v>764</v>
      </c>
      <c r="B153" s="145" t="s">
        <v>353</v>
      </c>
      <c r="H153" t="str">
        <f t="shared" si="6"/>
        <v>174/5</v>
      </c>
      <c r="I153" s="29"/>
    </row>
    <row r="154" spans="1:9" hidden="1">
      <c r="A154" s="29" t="s">
        <v>765</v>
      </c>
      <c r="B154" s="145" t="s">
        <v>360</v>
      </c>
      <c r="H154" t="str">
        <f t="shared" si="6"/>
        <v>174/6</v>
      </c>
      <c r="I154" s="29"/>
    </row>
    <row r="155" spans="1:9" hidden="1">
      <c r="A155" s="29" t="s">
        <v>699</v>
      </c>
      <c r="B155" s="145" t="s">
        <v>916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396</v>
      </c>
      <c r="H156" t="str">
        <f t="shared" si="6"/>
        <v>175/1</v>
      </c>
      <c r="I156" s="29"/>
    </row>
    <row r="157" spans="1:9" hidden="1">
      <c r="A157" s="29" t="s">
        <v>766</v>
      </c>
      <c r="B157" s="145" t="s">
        <v>305</v>
      </c>
      <c r="I157" s="59" t="s">
        <v>190</v>
      </c>
    </row>
    <row r="158" spans="1:9" hidden="1">
      <c r="A158" s="29" t="s">
        <v>767</v>
      </c>
      <c r="B158" s="145" t="s">
        <v>353</v>
      </c>
      <c r="I158" s="59" t="s">
        <v>837</v>
      </c>
    </row>
    <row r="159" spans="1:9" hidden="1">
      <c r="A159" s="29" t="s">
        <v>768</v>
      </c>
      <c r="B159" s="145" t="s">
        <v>399</v>
      </c>
      <c r="I159" s="59" t="s">
        <v>844</v>
      </c>
    </row>
    <row r="160" spans="1:9" hidden="1">
      <c r="A160" s="29" t="s">
        <v>625</v>
      </c>
      <c r="B160" s="145" t="s">
        <v>308</v>
      </c>
      <c r="I160" s="59" t="s">
        <v>845</v>
      </c>
    </row>
    <row r="161" spans="1:9" hidden="1">
      <c r="A161" s="29" t="s">
        <v>626</v>
      </c>
      <c r="B161" s="145" t="s">
        <v>308</v>
      </c>
      <c r="I161" s="59" t="s">
        <v>846</v>
      </c>
    </row>
    <row r="162" spans="1:9" hidden="1">
      <c r="A162" s="29" t="s">
        <v>627</v>
      </c>
      <c r="B162" s="145" t="s">
        <v>353</v>
      </c>
      <c r="I162" s="29" t="s">
        <v>848</v>
      </c>
    </row>
    <row r="163" spans="1:9" hidden="1">
      <c r="A163" s="29" t="s">
        <v>145</v>
      </c>
      <c r="B163" s="145" t="s">
        <v>353</v>
      </c>
      <c r="I163" s="29" t="s">
        <v>849</v>
      </c>
    </row>
    <row r="164" spans="1:9" hidden="1">
      <c r="A164" s="29" t="s">
        <v>628</v>
      </c>
      <c r="B164" s="145" t="s">
        <v>399</v>
      </c>
      <c r="I164" s="59" t="s">
        <v>854</v>
      </c>
    </row>
    <row r="165" spans="1:9" hidden="1">
      <c r="A165" s="29" t="s">
        <v>146</v>
      </c>
      <c r="B165" s="145" t="s">
        <v>338</v>
      </c>
      <c r="I165" s="29" t="s">
        <v>862</v>
      </c>
    </row>
    <row r="166" spans="1:9" hidden="1">
      <c r="A166" s="29" t="s">
        <v>769</v>
      </c>
      <c r="B166" s="145" t="s">
        <v>360</v>
      </c>
      <c r="I166" s="59" t="s">
        <v>863</v>
      </c>
    </row>
    <row r="167" spans="1:9">
      <c r="A167" s="29" t="s">
        <v>770</v>
      </c>
      <c r="B167" s="143" t="s">
        <v>926</v>
      </c>
      <c r="H167" t="str">
        <f>A167</f>
        <v>179/2</v>
      </c>
      <c r="I167" s="29"/>
    </row>
    <row r="168" spans="1:9" hidden="1">
      <c r="A168" s="29" t="s">
        <v>771</v>
      </c>
      <c r="B168" s="145" t="s">
        <v>353</v>
      </c>
      <c r="I168" s="29" t="s">
        <v>865</v>
      </c>
    </row>
    <row r="169" spans="1:9">
      <c r="A169" s="29" t="s">
        <v>632</v>
      </c>
      <c r="B169" s="143" t="s">
        <v>927</v>
      </c>
      <c r="H169" t="str">
        <f>A169</f>
        <v>180/0</v>
      </c>
      <c r="I169" s="29"/>
    </row>
    <row r="170" spans="1:9" hidden="1">
      <c r="A170" s="29" t="s">
        <v>633</v>
      </c>
      <c r="B170" s="145" t="s">
        <v>360</v>
      </c>
      <c r="I170" s="29" t="s">
        <v>866</v>
      </c>
    </row>
    <row r="171" spans="1:9" hidden="1">
      <c r="A171" s="29" t="s">
        <v>772</v>
      </c>
      <c r="B171" s="145" t="s">
        <v>679</v>
      </c>
      <c r="I171" s="59" t="s">
        <v>867</v>
      </c>
    </row>
    <row r="172" spans="1:9" hidden="1">
      <c r="A172" s="29" t="s">
        <v>700</v>
      </c>
      <c r="B172" s="145" t="s">
        <v>564</v>
      </c>
      <c r="I172" s="29" t="s">
        <v>868</v>
      </c>
    </row>
    <row r="173" spans="1:9" hidden="1">
      <c r="A173" s="29" t="s">
        <v>701</v>
      </c>
      <c r="B173" s="145" t="s">
        <v>399</v>
      </c>
      <c r="I173" s="59" t="s">
        <v>870</v>
      </c>
    </row>
    <row r="174" spans="1:9" hidden="1">
      <c r="A174" s="29" t="s">
        <v>773</v>
      </c>
      <c r="B174" s="145" t="s">
        <v>360</v>
      </c>
      <c r="I174" s="29" t="s">
        <v>871</v>
      </c>
    </row>
    <row r="175" spans="1:9" hidden="1">
      <c r="A175" s="29" t="s">
        <v>702</v>
      </c>
      <c r="B175" s="145" t="s">
        <v>353</v>
      </c>
      <c r="H175" t="str">
        <f t="shared" ref="H175:H182" si="7">A175</f>
        <v>180/6</v>
      </c>
      <c r="I175" s="29"/>
    </row>
    <row r="176" spans="1:9" hidden="1">
      <c r="A176" s="29" t="s">
        <v>774</v>
      </c>
      <c r="B176" s="145" t="s">
        <v>353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305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301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353</v>
      </c>
      <c r="H179" t="str">
        <f t="shared" si="7"/>
        <v>183/1</v>
      </c>
      <c r="I179" s="29"/>
    </row>
    <row r="180" spans="1:9" hidden="1">
      <c r="A180" s="29" t="s">
        <v>635</v>
      </c>
      <c r="B180" s="145" t="s">
        <v>353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360</v>
      </c>
      <c r="H181" t="str">
        <f t="shared" si="7"/>
        <v>183/3</v>
      </c>
      <c r="I181" s="29"/>
    </row>
    <row r="182" spans="1:9" hidden="1">
      <c r="A182" s="29" t="s">
        <v>636</v>
      </c>
      <c r="B182" s="145" t="s">
        <v>550</v>
      </c>
      <c r="H182" t="str">
        <f t="shared" si="7"/>
        <v>184/0</v>
      </c>
      <c r="I182" s="29"/>
    </row>
    <row r="183" spans="1:9" hidden="1">
      <c r="A183" s="29" t="s">
        <v>638</v>
      </c>
      <c r="B183" s="145" t="s">
        <v>928</v>
      </c>
      <c r="I183" s="59" t="s">
        <v>881</v>
      </c>
    </row>
    <row r="184" spans="1:9" hidden="1">
      <c r="A184" s="29" t="s">
        <v>467</v>
      </c>
      <c r="B184" s="145" t="s">
        <v>929</v>
      </c>
      <c r="H184" t="str">
        <f t="shared" ref="H184:H206" si="8">A184</f>
        <v>186/0</v>
      </c>
      <c r="I184" s="29"/>
    </row>
    <row r="185" spans="1:9" hidden="1">
      <c r="A185" s="29" t="s">
        <v>644</v>
      </c>
      <c r="B185" s="145" t="s">
        <v>333</v>
      </c>
      <c r="H185" t="str">
        <f t="shared" si="8"/>
        <v>187/0</v>
      </c>
      <c r="I185" s="29"/>
    </row>
    <row r="186" spans="1:9">
      <c r="A186" s="29" t="s">
        <v>775</v>
      </c>
      <c r="B186" s="145" t="s">
        <v>930</v>
      </c>
      <c r="H186" t="str">
        <f t="shared" si="8"/>
        <v xml:space="preserve">188/0 </v>
      </c>
      <c r="I186" s="29"/>
    </row>
    <row r="187" spans="1:9">
      <c r="A187" s="29" t="s">
        <v>776</v>
      </c>
      <c r="B187" s="143" t="s">
        <v>930</v>
      </c>
      <c r="H187" t="str">
        <f t="shared" si="8"/>
        <v xml:space="preserve">189/0 </v>
      </c>
      <c r="I187" s="29"/>
    </row>
    <row r="188" spans="1:9" hidden="1">
      <c r="A188" s="29" t="s">
        <v>777</v>
      </c>
      <c r="B188" s="145" t="s">
        <v>564</v>
      </c>
      <c r="H188" t="str">
        <f t="shared" si="8"/>
        <v>189/1</v>
      </c>
      <c r="I188" s="29"/>
    </row>
    <row r="189" spans="1:9" hidden="1">
      <c r="A189" s="29" t="s">
        <v>655</v>
      </c>
      <c r="B189" s="145" t="s">
        <v>919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919</v>
      </c>
      <c r="H190" t="str">
        <f t="shared" si="8"/>
        <v>191/0</v>
      </c>
      <c r="I190" s="29"/>
    </row>
    <row r="191" spans="1:9" hidden="1">
      <c r="A191" s="29" t="s">
        <v>660</v>
      </c>
      <c r="B191" s="145" t="s">
        <v>679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931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923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923</v>
      </c>
      <c r="H194" t="str">
        <f t="shared" si="8"/>
        <v>194/0</v>
      </c>
      <c r="I194" s="29"/>
    </row>
    <row r="195" spans="1:9" hidden="1">
      <c r="A195" s="29" t="s">
        <v>424</v>
      </c>
      <c r="B195" s="145" t="s">
        <v>396</v>
      </c>
      <c r="H195" t="str">
        <f t="shared" si="8"/>
        <v>194/1</v>
      </c>
      <c r="I195" s="29"/>
    </row>
    <row r="196" spans="1:9">
      <c r="A196" s="29" t="s">
        <v>678</v>
      </c>
      <c r="B196" s="143" t="s">
        <v>929</v>
      </c>
      <c r="H196" t="str">
        <f t="shared" si="8"/>
        <v>195/0</v>
      </c>
      <c r="I196" s="29"/>
    </row>
    <row r="197" spans="1:9" hidden="1">
      <c r="A197" s="29" t="s">
        <v>466</v>
      </c>
      <c r="B197" s="145" t="s">
        <v>932</v>
      </c>
      <c r="H197" t="str">
        <f t="shared" si="8"/>
        <v>196/0</v>
      </c>
      <c r="I197" s="29"/>
    </row>
    <row r="198" spans="1:9" hidden="1">
      <c r="A198" s="29" t="s">
        <v>778</v>
      </c>
      <c r="B198" s="145" t="s">
        <v>564</v>
      </c>
      <c r="H198" t="str">
        <f t="shared" si="8"/>
        <v>196/1</v>
      </c>
      <c r="I198" s="29"/>
    </row>
    <row r="199" spans="1:9" hidden="1">
      <c r="A199" s="29" t="s">
        <v>779</v>
      </c>
      <c r="B199" s="145" t="s">
        <v>360</v>
      </c>
      <c r="H199" t="str">
        <f t="shared" si="8"/>
        <v>196/2</v>
      </c>
      <c r="I199" s="29"/>
    </row>
    <row r="200" spans="1:9" hidden="1">
      <c r="A200" s="29" t="s">
        <v>780</v>
      </c>
      <c r="B200" s="145" t="s">
        <v>338</v>
      </c>
      <c r="H200" t="str">
        <f t="shared" si="8"/>
        <v>197/0</v>
      </c>
      <c r="I200" s="29"/>
    </row>
    <row r="201" spans="1:9" hidden="1">
      <c r="A201" s="29" t="s">
        <v>781</v>
      </c>
      <c r="B201" s="145" t="s">
        <v>399</v>
      </c>
      <c r="H201" t="str">
        <f t="shared" si="8"/>
        <v>197/1</v>
      </c>
      <c r="I201" s="29"/>
    </row>
    <row r="202" spans="1:9" hidden="1">
      <c r="A202" s="29" t="s">
        <v>703</v>
      </c>
      <c r="B202" s="145" t="s">
        <v>399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308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308</v>
      </c>
      <c r="H204" t="str">
        <f t="shared" si="8"/>
        <v>199/0</v>
      </c>
      <c r="I204" s="29"/>
    </row>
    <row r="205" spans="1:9" hidden="1">
      <c r="A205" s="29" t="s">
        <v>782</v>
      </c>
      <c r="B205" s="145" t="s">
        <v>360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402</v>
      </c>
      <c r="H206" t="str">
        <f t="shared" si="8"/>
        <v>199/2</v>
      </c>
      <c r="I206" s="29"/>
    </row>
    <row r="207" spans="1:9">
      <c r="A207" s="29" t="s">
        <v>783</v>
      </c>
      <c r="B207" s="143" t="s">
        <v>376</v>
      </c>
      <c r="I207" s="59" t="s">
        <v>445</v>
      </c>
    </row>
    <row r="208" spans="1:9">
      <c r="A208" s="29" t="s">
        <v>784</v>
      </c>
      <c r="B208" s="143" t="s">
        <v>402</v>
      </c>
      <c r="I208" s="59" t="s">
        <v>451</v>
      </c>
    </row>
    <row r="209" spans="1:9">
      <c r="A209" s="29" t="s">
        <v>785</v>
      </c>
      <c r="B209" s="143" t="s">
        <v>327</v>
      </c>
      <c r="I209" s="59" t="s">
        <v>381</v>
      </c>
    </row>
    <row r="210" spans="1:9">
      <c r="A210" s="29" t="s">
        <v>786</v>
      </c>
      <c r="B210" s="143" t="s">
        <v>929</v>
      </c>
      <c r="I210" s="29" t="s">
        <v>744</v>
      </c>
    </row>
    <row r="211" spans="1:9">
      <c r="A211" s="29" t="s">
        <v>787</v>
      </c>
      <c r="B211" s="143" t="s">
        <v>929</v>
      </c>
      <c r="H211" t="str">
        <f>A211</f>
        <v>203/0</v>
      </c>
      <c r="I211" s="29"/>
    </row>
    <row r="212" spans="1:9">
      <c r="A212" s="29" t="s">
        <v>788</v>
      </c>
      <c r="B212" s="143" t="s">
        <v>338</v>
      </c>
      <c r="I212" s="59" t="s">
        <v>373</v>
      </c>
    </row>
    <row r="213" spans="1:9">
      <c r="A213" s="29" t="s">
        <v>789</v>
      </c>
      <c r="B213" s="143" t="s">
        <v>911</v>
      </c>
      <c r="I213" s="59" t="s">
        <v>745</v>
      </c>
    </row>
    <row r="214" spans="1:9">
      <c r="A214" s="29" t="s">
        <v>790</v>
      </c>
      <c r="B214" s="143" t="s">
        <v>933</v>
      </c>
      <c r="I214" s="59" t="s">
        <v>371</v>
      </c>
    </row>
    <row r="215" spans="1:9">
      <c r="A215" s="29" t="s">
        <v>791</v>
      </c>
      <c r="B215" s="143" t="s">
        <v>392</v>
      </c>
      <c r="H215" t="str">
        <f>A215</f>
        <v>205/1</v>
      </c>
      <c r="I215" s="29"/>
    </row>
    <row r="216" spans="1:9">
      <c r="A216" s="29" t="s">
        <v>792</v>
      </c>
      <c r="B216" s="143" t="s">
        <v>564</v>
      </c>
      <c r="H216" t="str">
        <f>A216</f>
        <v>205/2</v>
      </c>
      <c r="I216" s="29"/>
    </row>
    <row r="217" spans="1:9">
      <c r="A217" s="29" t="s">
        <v>793</v>
      </c>
      <c r="B217" s="143" t="s">
        <v>376</v>
      </c>
      <c r="I217" s="59" t="s">
        <v>372</v>
      </c>
    </row>
    <row r="218" spans="1:9">
      <c r="A218" s="29" t="s">
        <v>794</v>
      </c>
      <c r="B218" s="143" t="s">
        <v>394</v>
      </c>
      <c r="H218" t="str">
        <f>A218</f>
        <v>206/1</v>
      </c>
      <c r="I218" s="29"/>
    </row>
    <row r="219" spans="1:9" hidden="1">
      <c r="A219" s="29" t="s">
        <v>795</v>
      </c>
      <c r="B219" s="143" t="s">
        <v>917</v>
      </c>
      <c r="H219" t="str">
        <f>A219</f>
        <v>207/0</v>
      </c>
      <c r="I219" s="29"/>
    </row>
    <row r="220" spans="1:9">
      <c r="A220" s="29" t="s">
        <v>796</v>
      </c>
      <c r="B220" s="143" t="s">
        <v>934</v>
      </c>
      <c r="H220" t="str">
        <f>A220</f>
        <v>208/0</v>
      </c>
      <c r="I220" s="29"/>
    </row>
    <row r="221" spans="1:9" hidden="1">
      <c r="A221" s="29" t="s">
        <v>797</v>
      </c>
      <c r="B221" s="143" t="s">
        <v>919</v>
      </c>
      <c r="H221" t="str">
        <f>A221</f>
        <v>209/0</v>
      </c>
      <c r="I221" s="29"/>
    </row>
    <row r="222" spans="1:9" hidden="1">
      <c r="A222" s="29" t="s">
        <v>798</v>
      </c>
      <c r="B222" s="143" t="s">
        <v>353</v>
      </c>
      <c r="I222" s="59" t="s">
        <v>140</v>
      </c>
    </row>
    <row r="223" spans="1:9" hidden="1">
      <c r="A223" s="29" t="s">
        <v>799</v>
      </c>
      <c r="B223" s="145" t="s">
        <v>399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935</v>
      </c>
      <c r="I224" s="59" t="s">
        <v>192</v>
      </c>
    </row>
    <row r="225" spans="1:9" hidden="1">
      <c r="A225" s="29" t="s">
        <v>164</v>
      </c>
      <c r="B225" s="145" t="s">
        <v>392</v>
      </c>
      <c r="H225" t="str">
        <f t="shared" ref="H225:H242" si="9">A225</f>
        <v>211/0</v>
      </c>
      <c r="I225" s="29"/>
    </row>
    <row r="226" spans="1:9" hidden="1">
      <c r="A226" s="29" t="s">
        <v>800</v>
      </c>
      <c r="B226" s="145" t="s">
        <v>399</v>
      </c>
      <c r="H226" t="str">
        <f t="shared" si="9"/>
        <v>211/1</v>
      </c>
      <c r="I226" s="29"/>
    </row>
    <row r="227" spans="1:9" hidden="1">
      <c r="A227" s="29" t="s">
        <v>801</v>
      </c>
      <c r="B227" s="145" t="s">
        <v>353</v>
      </c>
      <c r="H227" t="str">
        <f t="shared" si="9"/>
        <v>211/2</v>
      </c>
      <c r="I227" s="29"/>
    </row>
    <row r="228" spans="1:9" hidden="1">
      <c r="A228" s="29" t="s">
        <v>802</v>
      </c>
      <c r="B228" s="145" t="s">
        <v>564</v>
      </c>
      <c r="H228" t="str">
        <f t="shared" si="9"/>
        <v>211/3</v>
      </c>
      <c r="I228" s="29"/>
    </row>
    <row r="229" spans="1:9" hidden="1">
      <c r="A229" s="29" t="s">
        <v>803</v>
      </c>
      <c r="B229" s="145" t="s">
        <v>399</v>
      </c>
      <c r="H229" t="str">
        <f t="shared" si="9"/>
        <v>211/4</v>
      </c>
      <c r="I229" s="29"/>
    </row>
    <row r="230" spans="1:9" hidden="1">
      <c r="A230" s="29" t="s">
        <v>804</v>
      </c>
      <c r="B230" s="145" t="s">
        <v>396</v>
      </c>
      <c r="H230" t="str">
        <f t="shared" si="9"/>
        <v>211/5</v>
      </c>
      <c r="I230" s="29"/>
    </row>
    <row r="231" spans="1:9">
      <c r="A231" s="29" t="s">
        <v>805</v>
      </c>
      <c r="B231" s="143" t="s">
        <v>936</v>
      </c>
      <c r="H231" t="str">
        <f t="shared" si="9"/>
        <v>212/0</v>
      </c>
      <c r="I231" s="29"/>
    </row>
    <row r="232" spans="1:9" hidden="1">
      <c r="A232" s="29" t="s">
        <v>806</v>
      </c>
      <c r="B232" s="145" t="s">
        <v>930</v>
      </c>
      <c r="H232" t="str">
        <f t="shared" si="9"/>
        <v>213/0</v>
      </c>
      <c r="I232" s="29"/>
    </row>
    <row r="233" spans="1:9" hidden="1">
      <c r="A233" s="29" t="s">
        <v>807</v>
      </c>
      <c r="B233" s="145" t="s">
        <v>917</v>
      </c>
      <c r="H233" t="str">
        <f t="shared" si="9"/>
        <v>214/0</v>
      </c>
      <c r="I233" s="29"/>
    </row>
    <row r="234" spans="1:9" hidden="1">
      <c r="A234" s="29" t="s">
        <v>808</v>
      </c>
      <c r="B234" s="145" t="s">
        <v>402</v>
      </c>
      <c r="H234" t="str">
        <f t="shared" si="9"/>
        <v>214/1</v>
      </c>
      <c r="I234" s="29"/>
    </row>
    <row r="235" spans="1:9" hidden="1">
      <c r="A235" s="29" t="s">
        <v>809</v>
      </c>
      <c r="B235" s="145" t="s">
        <v>399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399</v>
      </c>
      <c r="H236" t="str">
        <f t="shared" si="9"/>
        <v>214/3</v>
      </c>
      <c r="I236" s="29"/>
    </row>
    <row r="237" spans="1:9" hidden="1">
      <c r="A237" s="29" t="s">
        <v>810</v>
      </c>
      <c r="B237" s="145" t="s">
        <v>399</v>
      </c>
      <c r="H237" t="str">
        <f t="shared" si="9"/>
        <v>214/4</v>
      </c>
      <c r="I237" s="29"/>
    </row>
    <row r="238" spans="1:9" hidden="1">
      <c r="A238" s="29" t="s">
        <v>811</v>
      </c>
      <c r="B238" s="145" t="s">
        <v>353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360</v>
      </c>
      <c r="H239" t="str">
        <f t="shared" si="9"/>
        <v>214/6</v>
      </c>
      <c r="I239" s="29"/>
    </row>
    <row r="240" spans="1:9" hidden="1">
      <c r="A240" s="29" t="s">
        <v>812</v>
      </c>
      <c r="B240" s="145" t="s">
        <v>360</v>
      </c>
      <c r="H240" t="str">
        <f t="shared" si="9"/>
        <v>214/7</v>
      </c>
      <c r="I240" s="29"/>
    </row>
    <row r="241" spans="1:9" hidden="1">
      <c r="A241" s="29" t="s">
        <v>813</v>
      </c>
      <c r="B241" s="145" t="s">
        <v>563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563</v>
      </c>
      <c r="H242" t="str">
        <f t="shared" si="9"/>
        <v>216/0</v>
      </c>
      <c r="I242" s="29"/>
    </row>
    <row r="243" spans="1:9" hidden="1">
      <c r="A243" s="29" t="s">
        <v>814</v>
      </c>
      <c r="B243" s="145" t="s">
        <v>937</v>
      </c>
      <c r="I243" s="29"/>
    </row>
    <row r="244" spans="1:9" hidden="1">
      <c r="A244" s="29" t="s">
        <v>156</v>
      </c>
      <c r="B244" s="145" t="s">
        <v>938</v>
      </c>
      <c r="I244" s="29"/>
    </row>
    <row r="245" spans="1:9" hidden="1">
      <c r="A245" s="29" t="s">
        <v>157</v>
      </c>
      <c r="B245" s="145" t="s">
        <v>564</v>
      </c>
      <c r="I245" s="29"/>
    </row>
    <row r="246" spans="1:9" hidden="1">
      <c r="A246" s="29" t="s">
        <v>815</v>
      </c>
      <c r="B246" s="145" t="s">
        <v>931</v>
      </c>
      <c r="I246" s="29"/>
    </row>
    <row r="247" spans="1:9" hidden="1">
      <c r="A247" s="29" t="s">
        <v>816</v>
      </c>
      <c r="B247" s="145" t="s">
        <v>360</v>
      </c>
      <c r="I247" s="29"/>
    </row>
    <row r="248" spans="1:9" hidden="1">
      <c r="A248" s="29" t="s">
        <v>817</v>
      </c>
      <c r="B248" s="145" t="s">
        <v>353</v>
      </c>
      <c r="I248" s="29"/>
    </row>
    <row r="249" spans="1:9" hidden="1">
      <c r="A249" s="29" t="s">
        <v>818</v>
      </c>
      <c r="B249" s="145" t="s">
        <v>564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564</v>
      </c>
      <c r="H250" t="str">
        <f>A250</f>
        <v>217/4</v>
      </c>
      <c r="I250" s="131"/>
    </row>
    <row r="251" spans="1:9" hidden="1">
      <c r="A251" s="29" t="s">
        <v>819</v>
      </c>
      <c r="B251" s="145" t="s">
        <v>353</v>
      </c>
      <c r="H251" t="str">
        <f>A251</f>
        <v>217/5</v>
      </c>
      <c r="I251" s="131"/>
    </row>
    <row r="252" spans="1:9" hidden="1">
      <c r="A252" s="29" t="s">
        <v>820</v>
      </c>
      <c r="B252" s="145" t="s">
        <v>563</v>
      </c>
      <c r="I252" s="131" t="s">
        <v>523</v>
      </c>
    </row>
    <row r="253" spans="1:9" hidden="1">
      <c r="A253" s="29" t="s">
        <v>821</v>
      </c>
      <c r="B253" s="143" t="s">
        <v>588</v>
      </c>
      <c r="H253" t="str">
        <f>A253</f>
        <v>219/0</v>
      </c>
      <c r="I253" s="131"/>
    </row>
    <row r="254" spans="1:9" hidden="1">
      <c r="A254" s="29" t="s">
        <v>822</v>
      </c>
      <c r="B254" s="145" t="s">
        <v>564</v>
      </c>
      <c r="H254" t="str">
        <f>A254</f>
        <v>219/1</v>
      </c>
      <c r="I254" s="131"/>
    </row>
    <row r="255" spans="1:9" hidden="1">
      <c r="A255" s="29" t="s">
        <v>823</v>
      </c>
      <c r="B255" s="145" t="s">
        <v>305</v>
      </c>
      <c r="I255" s="131" t="s">
        <v>690</v>
      </c>
    </row>
    <row r="256" spans="1:9" hidden="1">
      <c r="A256" s="29" t="s">
        <v>824</v>
      </c>
      <c r="B256" s="145" t="s">
        <v>402</v>
      </c>
      <c r="I256" s="131" t="s">
        <v>717</v>
      </c>
    </row>
    <row r="257" spans="1:9" hidden="1">
      <c r="A257" s="29" t="s">
        <v>825</v>
      </c>
      <c r="B257" s="145" t="s">
        <v>918</v>
      </c>
      <c r="I257" s="131" t="s">
        <v>718</v>
      </c>
    </row>
    <row r="258" spans="1:9" hidden="1">
      <c r="A258" s="29" t="s">
        <v>826</v>
      </c>
      <c r="B258" s="145" t="s">
        <v>917</v>
      </c>
      <c r="I258" s="131" t="s">
        <v>689</v>
      </c>
    </row>
    <row r="259" spans="1:9" hidden="1">
      <c r="A259" s="29" t="s">
        <v>827</v>
      </c>
      <c r="B259" s="145" t="s">
        <v>939</v>
      </c>
      <c r="H259" t="str">
        <f>A259</f>
        <v>223/0</v>
      </c>
      <c r="I259" s="131"/>
    </row>
    <row r="260" spans="1:9" hidden="1">
      <c r="A260" s="29" t="s">
        <v>828</v>
      </c>
      <c r="B260" s="145" t="s">
        <v>353</v>
      </c>
      <c r="I260" s="131" t="s">
        <v>720</v>
      </c>
    </row>
    <row r="261" spans="1:9" hidden="1">
      <c r="A261" s="29" t="s">
        <v>829</v>
      </c>
      <c r="B261" s="145" t="s">
        <v>353</v>
      </c>
      <c r="I261" s="131" t="s">
        <v>728</v>
      </c>
    </row>
    <row r="262" spans="1:9" hidden="1">
      <c r="A262" s="29" t="s">
        <v>830</v>
      </c>
      <c r="B262" s="145" t="s">
        <v>399</v>
      </c>
      <c r="I262" s="131" t="s">
        <v>524</v>
      </c>
    </row>
    <row r="263" spans="1:9" hidden="1">
      <c r="A263" s="29" t="s">
        <v>831</v>
      </c>
      <c r="B263" s="145" t="s">
        <v>333</v>
      </c>
      <c r="I263" s="131" t="s">
        <v>722</v>
      </c>
    </row>
    <row r="264" spans="1:9" hidden="1">
      <c r="A264" s="29" t="s">
        <v>832</v>
      </c>
      <c r="B264" s="145" t="s">
        <v>360</v>
      </c>
      <c r="I264" s="131" t="s">
        <v>725</v>
      </c>
    </row>
    <row r="265" spans="1:9" hidden="1">
      <c r="A265" s="29" t="s">
        <v>833</v>
      </c>
      <c r="B265" s="145" t="s">
        <v>394</v>
      </c>
      <c r="I265" s="131" t="s">
        <v>546</v>
      </c>
    </row>
    <row r="266" spans="1:9" hidden="1">
      <c r="A266" s="29" t="s">
        <v>834</v>
      </c>
      <c r="B266" s="145" t="s">
        <v>303</v>
      </c>
      <c r="I266" s="131" t="s">
        <v>740</v>
      </c>
    </row>
    <row r="267" spans="1:9" hidden="1">
      <c r="A267" s="29" t="s">
        <v>835</v>
      </c>
      <c r="B267" s="145" t="s">
        <v>564</v>
      </c>
      <c r="H267" t="str">
        <f>A267</f>
        <v>225/1</v>
      </c>
      <c r="I267" s="131"/>
    </row>
    <row r="268" spans="1:9" hidden="1">
      <c r="A268" s="29" t="s">
        <v>836</v>
      </c>
      <c r="B268" s="145" t="s">
        <v>399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399</v>
      </c>
      <c r="I269" s="131" t="s">
        <v>176</v>
      </c>
    </row>
    <row r="270" spans="1:9" hidden="1">
      <c r="A270" s="29" t="s">
        <v>837</v>
      </c>
      <c r="B270" s="145" t="s">
        <v>360</v>
      </c>
      <c r="H270" t="str">
        <f>A270</f>
        <v>225/4</v>
      </c>
      <c r="I270" s="154"/>
    </row>
    <row r="271" spans="1:9">
      <c r="A271" s="29" t="s">
        <v>838</v>
      </c>
      <c r="B271" s="143" t="s">
        <v>353</v>
      </c>
      <c r="H271" t="str">
        <f>A271</f>
        <v>225/5</v>
      </c>
    </row>
    <row r="272" spans="1:9">
      <c r="A272" s="29" t="s">
        <v>839</v>
      </c>
      <c r="B272" s="143" t="s">
        <v>353</v>
      </c>
      <c r="I272" s="17" t="s">
        <v>177</v>
      </c>
    </row>
    <row r="273" spans="1:9">
      <c r="A273" s="29" t="s">
        <v>840</v>
      </c>
      <c r="B273" s="143" t="s">
        <v>402</v>
      </c>
      <c r="H273" t="str">
        <f t="shared" ref="H273:H280" si="10">A273</f>
        <v>225/7</v>
      </c>
    </row>
    <row r="274" spans="1:9">
      <c r="A274" s="29" t="s">
        <v>841</v>
      </c>
      <c r="B274" s="143" t="s">
        <v>915</v>
      </c>
      <c r="H274" t="str">
        <f t="shared" si="10"/>
        <v>226/0</v>
      </c>
    </row>
    <row r="275" spans="1:9" hidden="1">
      <c r="A275" s="29" t="s">
        <v>842</v>
      </c>
      <c r="B275" s="143" t="s">
        <v>402</v>
      </c>
      <c r="H275" t="str">
        <f t="shared" si="10"/>
        <v>226/1</v>
      </c>
    </row>
    <row r="276" spans="1:9" hidden="1">
      <c r="A276" s="29" t="s">
        <v>843</v>
      </c>
      <c r="B276" s="143" t="s">
        <v>353</v>
      </c>
      <c r="H276" t="str">
        <f t="shared" si="10"/>
        <v>226/2</v>
      </c>
    </row>
    <row r="277" spans="1:9" hidden="1">
      <c r="A277" s="29" t="s">
        <v>844</v>
      </c>
      <c r="B277" s="145" t="s">
        <v>353</v>
      </c>
      <c r="H277" t="str">
        <f t="shared" si="10"/>
        <v>226/3</v>
      </c>
      <c r="I277" s="154"/>
    </row>
    <row r="278" spans="1:9" hidden="1">
      <c r="A278" s="29" t="s">
        <v>845</v>
      </c>
      <c r="B278" s="145" t="s">
        <v>305</v>
      </c>
      <c r="H278" t="str">
        <f t="shared" si="10"/>
        <v>227/0</v>
      </c>
      <c r="I278" s="131"/>
    </row>
    <row r="279" spans="1:9" hidden="1">
      <c r="A279" s="29" t="s">
        <v>846</v>
      </c>
      <c r="B279" s="145" t="s">
        <v>402</v>
      </c>
      <c r="H279" t="str">
        <f t="shared" si="10"/>
        <v>227/1</v>
      </c>
      <c r="I279" s="131"/>
    </row>
    <row r="280" spans="1:9" hidden="1">
      <c r="A280" s="29" t="s">
        <v>847</v>
      </c>
      <c r="B280" s="143" t="s">
        <v>360</v>
      </c>
      <c r="H280" t="str">
        <f t="shared" si="10"/>
        <v>227/2</v>
      </c>
      <c r="I280" s="29"/>
    </row>
    <row r="281" spans="1:9" hidden="1">
      <c r="A281" s="29" t="s">
        <v>848</v>
      </c>
      <c r="B281" s="145" t="s">
        <v>305</v>
      </c>
      <c r="I281" s="131" t="s">
        <v>374</v>
      </c>
    </row>
    <row r="282" spans="1:9" hidden="1">
      <c r="A282" s="29" t="s">
        <v>849</v>
      </c>
      <c r="B282" s="145" t="s">
        <v>353</v>
      </c>
      <c r="H282" t="str">
        <f t="shared" ref="H282:H295" si="11">A282</f>
        <v>228/1</v>
      </c>
      <c r="I282" s="131"/>
    </row>
    <row r="283" spans="1:9">
      <c r="A283" s="29" t="s">
        <v>850</v>
      </c>
      <c r="B283" s="143" t="s">
        <v>305</v>
      </c>
      <c r="H283" t="str">
        <f t="shared" si="11"/>
        <v>229/0</v>
      </c>
      <c r="I283" s="29"/>
    </row>
    <row r="284" spans="1:9">
      <c r="A284" s="29" t="s">
        <v>851</v>
      </c>
      <c r="B284" s="143" t="s">
        <v>564</v>
      </c>
      <c r="H284" t="str">
        <f t="shared" si="11"/>
        <v>229/1</v>
      </c>
      <c r="I284" s="29"/>
    </row>
    <row r="285" spans="1:9">
      <c r="A285" s="29" t="s">
        <v>852</v>
      </c>
      <c r="B285" s="143" t="s">
        <v>910</v>
      </c>
      <c r="H285" t="str">
        <f t="shared" si="11"/>
        <v>229A/0</v>
      </c>
      <c r="I285" s="29"/>
    </row>
    <row r="286" spans="1:9">
      <c r="A286" s="29" t="s">
        <v>853</v>
      </c>
      <c r="B286" s="143" t="s">
        <v>940</v>
      </c>
      <c r="H286" t="str">
        <f t="shared" si="11"/>
        <v>229B/0</v>
      </c>
      <c r="I286" s="29"/>
    </row>
    <row r="287" spans="1:9" hidden="1">
      <c r="A287" s="29" t="s">
        <v>854</v>
      </c>
      <c r="B287" s="145" t="s">
        <v>939</v>
      </c>
      <c r="H287" t="str">
        <f t="shared" si="11"/>
        <v>230/0</v>
      </c>
      <c r="I287" s="131"/>
    </row>
    <row r="288" spans="1:9">
      <c r="A288" s="29" t="s">
        <v>855</v>
      </c>
      <c r="B288" s="143" t="s">
        <v>564</v>
      </c>
      <c r="H288" t="str">
        <f t="shared" si="11"/>
        <v>230/1</v>
      </c>
      <c r="I288" s="29"/>
    </row>
    <row r="289" spans="1:9">
      <c r="A289" s="29" t="s">
        <v>856</v>
      </c>
      <c r="B289" s="143" t="s">
        <v>305</v>
      </c>
      <c r="H289" t="str">
        <f t="shared" si="11"/>
        <v>230A/0</v>
      </c>
      <c r="I289" s="29"/>
    </row>
    <row r="290" spans="1:9" hidden="1">
      <c r="A290" s="29" t="s">
        <v>857</v>
      </c>
      <c r="B290" s="143" t="s">
        <v>338</v>
      </c>
      <c r="H290" t="str">
        <f t="shared" si="11"/>
        <v>231/0</v>
      </c>
      <c r="I290" s="29"/>
    </row>
    <row r="291" spans="1:9" hidden="1">
      <c r="A291" s="29" t="s">
        <v>858</v>
      </c>
      <c r="B291" s="143" t="s">
        <v>338</v>
      </c>
      <c r="H291" t="str">
        <f t="shared" si="11"/>
        <v>232/0</v>
      </c>
      <c r="I291" s="29"/>
    </row>
    <row r="292" spans="1:9">
      <c r="A292" s="29" t="s">
        <v>859</v>
      </c>
      <c r="B292" s="143" t="s">
        <v>353</v>
      </c>
      <c r="H292" t="str">
        <f t="shared" si="11"/>
        <v>232/1</v>
      </c>
      <c r="I292" s="29"/>
    </row>
    <row r="293" spans="1:9">
      <c r="A293" s="29" t="s">
        <v>860</v>
      </c>
      <c r="B293" s="143" t="s">
        <v>353</v>
      </c>
      <c r="H293" t="str">
        <f t="shared" si="11"/>
        <v>232/2</v>
      </c>
      <c r="I293" s="29"/>
    </row>
    <row r="294" spans="1:9">
      <c r="A294" s="29" t="s">
        <v>861</v>
      </c>
      <c r="B294" s="143" t="s">
        <v>353</v>
      </c>
      <c r="H294" t="str">
        <f t="shared" si="11"/>
        <v>232/3</v>
      </c>
      <c r="I294" s="29"/>
    </row>
    <row r="295" spans="1:9" hidden="1">
      <c r="A295" s="29" t="s">
        <v>862</v>
      </c>
      <c r="B295" s="145" t="s">
        <v>360</v>
      </c>
      <c r="H295" t="str">
        <f t="shared" si="11"/>
        <v>232/4</v>
      </c>
      <c r="I295" s="131"/>
    </row>
    <row r="296" spans="1:9" hidden="1">
      <c r="A296" s="29" t="s">
        <v>863</v>
      </c>
      <c r="B296" s="145" t="s">
        <v>333</v>
      </c>
      <c r="I296" s="131" t="s">
        <v>696</v>
      </c>
    </row>
    <row r="297" spans="1:9">
      <c r="A297" s="29" t="s">
        <v>864</v>
      </c>
      <c r="B297" s="143" t="s">
        <v>918</v>
      </c>
      <c r="H297" t="str">
        <f>A297</f>
        <v>234/0</v>
      </c>
      <c r="I297" s="29"/>
    </row>
    <row r="298" spans="1:9" hidden="1">
      <c r="A298" s="29" t="s">
        <v>865</v>
      </c>
      <c r="B298" s="145" t="s">
        <v>922</v>
      </c>
      <c r="I298" s="131" t="s">
        <v>371</v>
      </c>
    </row>
    <row r="299" spans="1:9" hidden="1">
      <c r="A299" s="29" t="s">
        <v>866</v>
      </c>
      <c r="B299" s="145" t="s">
        <v>564</v>
      </c>
      <c r="H299" t="str">
        <f>A299</f>
        <v>235/1</v>
      </c>
      <c r="I299" s="131"/>
    </row>
    <row r="300" spans="1:9" hidden="1">
      <c r="A300" s="29" t="s">
        <v>867</v>
      </c>
      <c r="B300" s="145" t="s">
        <v>353</v>
      </c>
      <c r="I300" s="131" t="s">
        <v>179</v>
      </c>
    </row>
    <row r="301" spans="1:9" hidden="1">
      <c r="A301" s="29" t="s">
        <v>868</v>
      </c>
      <c r="B301" s="145" t="s">
        <v>353</v>
      </c>
      <c r="H301" t="str">
        <f t="shared" ref="H301:H323" si="12">A301</f>
        <v>235/3</v>
      </c>
      <c r="I301" s="131"/>
    </row>
    <row r="302" spans="1:9">
      <c r="A302" s="29" t="s">
        <v>869</v>
      </c>
      <c r="B302" s="143" t="s">
        <v>360</v>
      </c>
      <c r="H302" t="str">
        <f t="shared" si="12"/>
        <v>235/4</v>
      </c>
      <c r="I302" s="29"/>
    </row>
    <row r="303" spans="1:9" hidden="1">
      <c r="A303" s="29" t="s">
        <v>870</v>
      </c>
      <c r="B303" s="145" t="s">
        <v>932</v>
      </c>
      <c r="H303" t="str">
        <f t="shared" si="12"/>
        <v>236/0</v>
      </c>
      <c r="I303" s="131"/>
    </row>
    <row r="304" spans="1:9" hidden="1">
      <c r="A304" s="29" t="s">
        <v>871</v>
      </c>
      <c r="B304" s="145" t="s">
        <v>941</v>
      </c>
      <c r="H304" t="str">
        <f t="shared" si="12"/>
        <v>237/0</v>
      </c>
      <c r="I304" s="131"/>
    </row>
    <row r="305" spans="1:9" hidden="1">
      <c r="A305" s="29" t="s">
        <v>872</v>
      </c>
      <c r="B305" s="145" t="s">
        <v>942</v>
      </c>
      <c r="H305" t="str">
        <f t="shared" si="12"/>
        <v>238/0</v>
      </c>
      <c r="I305" s="131"/>
    </row>
    <row r="306" spans="1:9" hidden="1">
      <c r="A306" s="29" t="s">
        <v>873</v>
      </c>
      <c r="B306" s="143" t="s">
        <v>305</v>
      </c>
      <c r="H306" t="str">
        <f t="shared" si="12"/>
        <v>239/0</v>
      </c>
      <c r="I306" s="29"/>
    </row>
    <row r="307" spans="1:9" hidden="1">
      <c r="A307" s="29" t="s">
        <v>874</v>
      </c>
      <c r="B307" s="143" t="s">
        <v>353</v>
      </c>
      <c r="H307" t="str">
        <f t="shared" si="12"/>
        <v>239/1</v>
      </c>
      <c r="I307" s="29"/>
    </row>
    <row r="308" spans="1:9" hidden="1">
      <c r="A308" s="29" t="s">
        <v>875</v>
      </c>
      <c r="B308" s="145" t="s">
        <v>303</v>
      </c>
      <c r="H308" t="str">
        <f t="shared" si="12"/>
        <v>240/0</v>
      </c>
      <c r="I308" s="131"/>
    </row>
    <row r="309" spans="1:9" hidden="1">
      <c r="A309" s="29" t="s">
        <v>876</v>
      </c>
      <c r="B309" s="143" t="s">
        <v>360</v>
      </c>
      <c r="H309" t="str">
        <f t="shared" si="12"/>
        <v>240/1</v>
      </c>
      <c r="I309" s="131"/>
    </row>
    <row r="310" spans="1:9" hidden="1">
      <c r="A310" s="29" t="s">
        <v>877</v>
      </c>
      <c r="B310" s="145" t="s">
        <v>301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353</v>
      </c>
      <c r="H311" t="str">
        <f t="shared" si="12"/>
        <v>241/1</v>
      </c>
      <c r="I311" s="131"/>
    </row>
    <row r="312" spans="1:9" hidden="1">
      <c r="A312" s="29" t="s">
        <v>704</v>
      </c>
      <c r="B312" s="145" t="s">
        <v>353</v>
      </c>
      <c r="H312" t="str">
        <f t="shared" si="12"/>
        <v>241/2</v>
      </c>
      <c r="I312" s="131"/>
    </row>
    <row r="313" spans="1:9" hidden="1">
      <c r="A313" s="29" t="s">
        <v>878</v>
      </c>
      <c r="B313" s="145" t="s">
        <v>353</v>
      </c>
      <c r="H313" t="str">
        <f t="shared" si="12"/>
        <v>241/3</v>
      </c>
      <c r="I313" s="131"/>
    </row>
    <row r="314" spans="1:9" hidden="1">
      <c r="A314" s="29" t="s">
        <v>879</v>
      </c>
      <c r="B314" s="145" t="s">
        <v>360</v>
      </c>
      <c r="H314" t="str">
        <f t="shared" si="12"/>
        <v>241/4</v>
      </c>
      <c r="I314" s="131"/>
    </row>
    <row r="315" spans="1:9" hidden="1">
      <c r="A315" s="29" t="s">
        <v>880</v>
      </c>
      <c r="B315" s="145" t="s">
        <v>563</v>
      </c>
      <c r="H315" t="str">
        <f t="shared" si="12"/>
        <v>242/0</v>
      </c>
      <c r="I315" s="131"/>
    </row>
    <row r="316" spans="1:9" hidden="1">
      <c r="A316" s="29" t="s">
        <v>881</v>
      </c>
      <c r="B316" s="145" t="s">
        <v>563</v>
      </c>
      <c r="H316" t="str">
        <f t="shared" si="12"/>
        <v>243/0</v>
      </c>
      <c r="I316" s="131"/>
    </row>
    <row r="317" spans="1:9" hidden="1">
      <c r="A317" s="29" t="s">
        <v>705</v>
      </c>
      <c r="B317" s="145" t="s">
        <v>353</v>
      </c>
      <c r="H317" t="str">
        <f t="shared" si="12"/>
        <v>243/1</v>
      </c>
      <c r="I317" s="131"/>
    </row>
    <row r="318" spans="1:9" hidden="1">
      <c r="A318" s="29" t="s">
        <v>882</v>
      </c>
      <c r="B318" s="145" t="s">
        <v>353</v>
      </c>
      <c r="H318" t="str">
        <f t="shared" si="12"/>
        <v>243/2</v>
      </c>
      <c r="I318" s="131"/>
    </row>
    <row r="319" spans="1:9" hidden="1">
      <c r="A319" s="29" t="s">
        <v>883</v>
      </c>
      <c r="B319" s="145" t="s">
        <v>353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305</v>
      </c>
      <c r="H320" t="str">
        <f t="shared" si="12"/>
        <v>244/0</v>
      </c>
      <c r="I320" s="25"/>
    </row>
    <row r="321" spans="1:9" hidden="1">
      <c r="A321" s="29" t="s">
        <v>884</v>
      </c>
      <c r="B321" s="145" t="s">
        <v>353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353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360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360</v>
      </c>
      <c r="I324" s="131" t="s">
        <v>705</v>
      </c>
    </row>
    <row r="325" spans="1:9" hidden="1">
      <c r="A325" s="29" t="s">
        <v>885</v>
      </c>
      <c r="B325" s="145" t="s">
        <v>353</v>
      </c>
      <c r="I325" s="132" t="s">
        <v>703</v>
      </c>
    </row>
    <row r="326" spans="1:9" hidden="1">
      <c r="A326" s="29" t="s">
        <v>886</v>
      </c>
      <c r="B326" s="145" t="s">
        <v>360</v>
      </c>
      <c r="H326" t="str">
        <f t="shared" ref="H326:H340" si="13">A326</f>
        <v>244/6</v>
      </c>
      <c r="I326" s="132"/>
    </row>
    <row r="327" spans="1:9" hidden="1">
      <c r="A327" s="29" t="s">
        <v>887</v>
      </c>
      <c r="B327" s="145" t="s">
        <v>305</v>
      </c>
      <c r="H327" t="str">
        <f t="shared" si="13"/>
        <v>245/0</v>
      </c>
      <c r="I327" s="132"/>
    </row>
    <row r="328" spans="1:9" hidden="1">
      <c r="A328" s="29" t="s">
        <v>888</v>
      </c>
      <c r="B328" s="145" t="s">
        <v>353</v>
      </c>
      <c r="H328" t="str">
        <f t="shared" si="13"/>
        <v>245/1</v>
      </c>
      <c r="I328" s="132"/>
    </row>
    <row r="329" spans="1:9" hidden="1">
      <c r="A329" s="29" t="s">
        <v>706</v>
      </c>
      <c r="B329" s="145" t="s">
        <v>295</v>
      </c>
      <c r="H329" t="str">
        <f t="shared" si="13"/>
        <v>246/0</v>
      </c>
      <c r="I329" s="132"/>
    </row>
    <row r="330" spans="1:9">
      <c r="A330" s="29" t="s">
        <v>889</v>
      </c>
      <c r="B330" s="143" t="s">
        <v>943</v>
      </c>
      <c r="H330" t="str">
        <f t="shared" si="13"/>
        <v>247/0</v>
      </c>
      <c r="I330" s="29"/>
    </row>
    <row r="331" spans="1:9" hidden="1">
      <c r="A331" s="29" t="s">
        <v>890</v>
      </c>
      <c r="B331" s="143" t="s">
        <v>943</v>
      </c>
      <c r="H331" t="str">
        <f t="shared" si="13"/>
        <v>248/0</v>
      </c>
      <c r="I331" s="132"/>
    </row>
    <row r="332" spans="1:9" hidden="1">
      <c r="A332" s="29" t="s">
        <v>707</v>
      </c>
      <c r="B332" s="145" t="s">
        <v>396</v>
      </c>
      <c r="H332" t="str">
        <f t="shared" si="13"/>
        <v>248/1</v>
      </c>
      <c r="I332" s="25"/>
    </row>
    <row r="333" spans="1:9" hidden="1">
      <c r="A333" s="29" t="s">
        <v>891</v>
      </c>
      <c r="B333" s="145" t="s">
        <v>402</v>
      </c>
      <c r="H333" t="str">
        <f t="shared" si="13"/>
        <v>248/2</v>
      </c>
      <c r="I333" s="25"/>
    </row>
    <row r="334" spans="1:9" hidden="1">
      <c r="A334" s="29" t="s">
        <v>892</v>
      </c>
      <c r="B334" s="145" t="s">
        <v>563</v>
      </c>
      <c r="H334" t="str">
        <f t="shared" si="13"/>
        <v>249/0</v>
      </c>
      <c r="I334" s="25"/>
    </row>
    <row r="335" spans="1:9" hidden="1">
      <c r="A335" s="29" t="s">
        <v>893</v>
      </c>
      <c r="B335" s="145" t="s">
        <v>564</v>
      </c>
      <c r="H335" t="str">
        <f t="shared" si="13"/>
        <v>249/1</v>
      </c>
      <c r="I335" s="25"/>
    </row>
    <row r="336" spans="1:9" hidden="1">
      <c r="A336" s="29" t="s">
        <v>894</v>
      </c>
      <c r="B336" s="145" t="s">
        <v>360</v>
      </c>
      <c r="H336" t="str">
        <f t="shared" si="13"/>
        <v>249/2</v>
      </c>
      <c r="I336" s="25"/>
    </row>
    <row r="337" spans="1:9" hidden="1">
      <c r="A337" s="29" t="s">
        <v>708</v>
      </c>
      <c r="B337" s="145" t="s">
        <v>360</v>
      </c>
      <c r="H337" t="str">
        <f t="shared" si="13"/>
        <v>249/3</v>
      </c>
      <c r="I337" s="25"/>
    </row>
    <row r="338" spans="1:9" hidden="1">
      <c r="A338" s="29" t="s">
        <v>895</v>
      </c>
      <c r="B338" s="145" t="s">
        <v>588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944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353</v>
      </c>
      <c r="H340" t="str">
        <f t="shared" si="13"/>
        <v>250/2</v>
      </c>
      <c r="I340" s="132"/>
    </row>
    <row r="341" spans="1:9" hidden="1">
      <c r="A341" s="29" t="s">
        <v>709</v>
      </c>
      <c r="B341" s="145" t="s">
        <v>564</v>
      </c>
      <c r="I341" s="132" t="s">
        <v>525</v>
      </c>
    </row>
    <row r="342" spans="1:9" hidden="1">
      <c r="A342" s="29" t="s">
        <v>161</v>
      </c>
      <c r="B342" s="145" t="s">
        <v>945</v>
      </c>
      <c r="H342" t="str">
        <f>A342</f>
        <v>250A/0</v>
      </c>
      <c r="I342" s="132"/>
    </row>
    <row r="343" spans="1:9" hidden="1">
      <c r="A343" s="29" t="s">
        <v>710</v>
      </c>
      <c r="B343" s="145" t="s">
        <v>402</v>
      </c>
      <c r="H343" t="str">
        <f>A343</f>
        <v>250A/1</v>
      </c>
      <c r="I343" s="132"/>
    </row>
    <row r="344" spans="1:9" hidden="1">
      <c r="A344" s="29" t="s">
        <v>711</v>
      </c>
      <c r="B344" s="145" t="s">
        <v>353</v>
      </c>
      <c r="H344" t="str">
        <f>A344</f>
        <v>250A/2</v>
      </c>
      <c r="I344" s="132"/>
    </row>
    <row r="345" spans="1:9" hidden="1">
      <c r="A345" s="29" t="s">
        <v>896</v>
      </c>
      <c r="B345" s="145" t="s">
        <v>305</v>
      </c>
      <c r="H345" t="str">
        <f>A345</f>
        <v>251/0</v>
      </c>
      <c r="I345" s="132"/>
    </row>
    <row r="346" spans="1:9">
      <c r="A346" s="29" t="s">
        <v>897</v>
      </c>
      <c r="B346" s="143" t="s">
        <v>946</v>
      </c>
      <c r="I346" s="59" t="s">
        <v>589</v>
      </c>
    </row>
    <row r="347" spans="1:9" hidden="1">
      <c r="A347" s="29" t="s">
        <v>898</v>
      </c>
      <c r="B347" s="145" t="s">
        <v>303</v>
      </c>
      <c r="H347" t="str">
        <f>A347</f>
        <v>252/0</v>
      </c>
      <c r="I347" s="132"/>
    </row>
    <row r="348" spans="1:9" hidden="1">
      <c r="A348" s="29" t="s">
        <v>899</v>
      </c>
      <c r="B348" s="145" t="s">
        <v>353</v>
      </c>
      <c r="H348" t="str">
        <f>A348</f>
        <v>252/1</v>
      </c>
      <c r="I348" s="132"/>
    </row>
    <row r="349" spans="1:9" hidden="1">
      <c r="A349" s="29" t="s">
        <v>900</v>
      </c>
      <c r="B349" s="145" t="s">
        <v>360</v>
      </c>
      <c r="I349" s="132" t="s">
        <v>191</v>
      </c>
    </row>
    <row r="350" spans="1:9" hidden="1">
      <c r="A350" s="29" t="s">
        <v>901</v>
      </c>
      <c r="B350" s="145" t="s">
        <v>402</v>
      </c>
      <c r="I350" s="132" t="s">
        <v>146</v>
      </c>
    </row>
    <row r="351" spans="1:9" hidden="1">
      <c r="A351" s="29" t="s">
        <v>902</v>
      </c>
      <c r="B351" s="145" t="s">
        <v>353</v>
      </c>
      <c r="H351" t="str">
        <f>A351</f>
        <v>252/4</v>
      </c>
      <c r="I351" s="25"/>
    </row>
    <row r="352" spans="1:9" hidden="1">
      <c r="A352" s="29" t="s">
        <v>712</v>
      </c>
      <c r="B352" s="145" t="s">
        <v>396</v>
      </c>
      <c r="H352" t="str">
        <f>A352</f>
        <v>252/5</v>
      </c>
      <c r="I352" s="25"/>
    </row>
    <row r="353" spans="1:9">
      <c r="A353" s="29" t="s">
        <v>903</v>
      </c>
      <c r="B353" s="143" t="s">
        <v>947</v>
      </c>
      <c r="I353" s="59" t="s">
        <v>181</v>
      </c>
    </row>
    <row r="354" spans="1:9">
      <c r="A354" s="29" t="s">
        <v>904</v>
      </c>
      <c r="B354" s="143" t="s">
        <v>947</v>
      </c>
      <c r="H354" t="str">
        <f>A354</f>
        <v>254/0</v>
      </c>
      <c r="I354" s="29"/>
    </row>
    <row r="355" spans="1:9" hidden="1">
      <c r="A355" s="29" t="s">
        <v>905</v>
      </c>
      <c r="B355" s="145" t="s">
        <v>396</v>
      </c>
      <c r="I355" s="25" t="s">
        <v>772</v>
      </c>
    </row>
    <row r="356" spans="1:9" hidden="1">
      <c r="A356" s="29" t="s">
        <v>162</v>
      </c>
      <c r="B356" s="145" t="s">
        <v>301</v>
      </c>
      <c r="H356" t="str">
        <f>A356</f>
        <v>255/0</v>
      </c>
      <c r="I356" s="25"/>
    </row>
    <row r="357" spans="1:9">
      <c r="A357" s="29" t="s">
        <v>906</v>
      </c>
      <c r="B357" s="143" t="s">
        <v>353</v>
      </c>
      <c r="H357" t="str">
        <f>A357</f>
        <v>255/1</v>
      </c>
      <c r="I357" s="29"/>
    </row>
    <row r="358" spans="1:9" hidden="1">
      <c r="A358" s="29" t="s">
        <v>907</v>
      </c>
      <c r="B358" s="145" t="s">
        <v>301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564</v>
      </c>
      <c r="H359" t="str">
        <f>A359</f>
        <v>256/1</v>
      </c>
      <c r="I359" s="25"/>
    </row>
    <row r="360" spans="1:9" hidden="1">
      <c r="A360" s="29" t="s">
        <v>908</v>
      </c>
      <c r="B360" s="145" t="s">
        <v>327</v>
      </c>
      <c r="I360" s="25" t="s">
        <v>809</v>
      </c>
    </row>
    <row r="361" spans="1:9">
      <c r="A361" s="29" t="s">
        <v>909</v>
      </c>
      <c r="B361" s="143" t="s">
        <v>948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704</v>
      </c>
      <c r="I364" s="25"/>
    </row>
    <row r="365" spans="1:9">
      <c r="A365" s="11" t="s">
        <v>877</v>
      </c>
      <c r="I365" s="25"/>
    </row>
    <row r="366" spans="1:9">
      <c r="A366" s="11" t="s">
        <v>522</v>
      </c>
      <c r="I366" s="25"/>
    </row>
    <row r="367" spans="1:9">
      <c r="A367" s="11" t="s">
        <v>718</v>
      </c>
      <c r="I367" s="25"/>
    </row>
    <row r="368" spans="1:9">
      <c r="A368" s="11" t="s">
        <v>723</v>
      </c>
      <c r="I368" s="25"/>
    </row>
    <row r="369" spans="1:9">
      <c r="A369" s="11" t="s">
        <v>717</v>
      </c>
      <c r="I369" s="25"/>
    </row>
    <row r="370" spans="1:9">
      <c r="A370" s="11" t="s">
        <v>722</v>
      </c>
      <c r="I370" s="25"/>
    </row>
    <row r="371" spans="1:9">
      <c r="A371" s="11" t="s">
        <v>691</v>
      </c>
      <c r="I371" s="25"/>
    </row>
    <row r="372" spans="1:9">
      <c r="A372" s="35" t="s">
        <v>186</v>
      </c>
      <c r="I372" s="25"/>
    </row>
    <row r="373" spans="1:9">
      <c r="A373" s="11" t="s">
        <v>523</v>
      </c>
      <c r="I373" s="25"/>
    </row>
    <row r="374" spans="1:9">
      <c r="A374" s="11" t="s">
        <v>692</v>
      </c>
      <c r="I374" s="25"/>
    </row>
    <row r="375" spans="1:9">
      <c r="A375" s="11" t="s">
        <v>719</v>
      </c>
      <c r="I375" s="25"/>
    </row>
    <row r="376" spans="1:9">
      <c r="A376" s="11" t="s">
        <v>525</v>
      </c>
      <c r="I376" s="25"/>
    </row>
    <row r="377" spans="1:9">
      <c r="A377" s="11" t="s">
        <v>886</v>
      </c>
      <c r="I377" s="25"/>
    </row>
    <row r="378" spans="1:9">
      <c r="A378" s="11" t="s">
        <v>410</v>
      </c>
      <c r="I378" s="25"/>
    </row>
    <row r="379" spans="1:9">
      <c r="A379" s="11" t="s">
        <v>893</v>
      </c>
      <c r="I379" s="25"/>
    </row>
    <row r="380" spans="1:9">
      <c r="A380" s="11" t="s">
        <v>714</v>
      </c>
      <c r="I380" s="25"/>
    </row>
    <row r="381" spans="1:9">
      <c r="A381" s="11" t="s">
        <v>715</v>
      </c>
      <c r="I381" s="25"/>
    </row>
    <row r="382" spans="1:9">
      <c r="A382" s="11" t="s">
        <v>724</v>
      </c>
      <c r="I382" s="25"/>
    </row>
    <row r="383" spans="1:9">
      <c r="A383" s="11" t="s">
        <v>892</v>
      </c>
      <c r="I383" s="25"/>
    </row>
    <row r="384" spans="1:9">
      <c r="A384" s="11" t="s">
        <v>894</v>
      </c>
      <c r="I384" s="25"/>
    </row>
    <row r="385" spans="1:9">
      <c r="A385" s="11" t="s">
        <v>720</v>
      </c>
      <c r="I385" s="25"/>
    </row>
    <row r="386" spans="1:9">
      <c r="A386" s="35" t="s">
        <v>735</v>
      </c>
      <c r="I386" s="25"/>
    </row>
    <row r="387" spans="1:9">
      <c r="A387" s="11" t="s">
        <v>695</v>
      </c>
      <c r="I387" s="25"/>
    </row>
    <row r="388" spans="1:9">
      <c r="A388" s="11" t="s">
        <v>721</v>
      </c>
      <c r="I388" s="132"/>
    </row>
    <row r="389" spans="1:9">
      <c r="A389" s="11" t="s">
        <v>725</v>
      </c>
      <c r="I389" s="132"/>
    </row>
    <row r="390" spans="1:9">
      <c r="A390" s="11" t="s">
        <v>407</v>
      </c>
      <c r="I390" s="132"/>
    </row>
    <row r="391" spans="1:9">
      <c r="A391" s="15" t="s">
        <v>690</v>
      </c>
    </row>
    <row r="392" spans="1:9">
      <c r="A392" s="15" t="s">
        <v>885</v>
      </c>
    </row>
    <row r="393" spans="1:9">
      <c r="A393" s="11" t="s">
        <v>895</v>
      </c>
    </row>
    <row r="394" spans="1:9">
      <c r="A394" s="15" t="s">
        <v>726</v>
      </c>
    </row>
    <row r="395" spans="1:9">
      <c r="A395" s="15" t="s">
        <v>901</v>
      </c>
    </row>
    <row r="396" spans="1:9">
      <c r="A396" s="15" t="s">
        <v>745</v>
      </c>
    </row>
    <row r="397" spans="1:9">
      <c r="A397" s="15" t="s">
        <v>552</v>
      </c>
    </row>
    <row r="398" spans="1:9">
      <c r="A398" s="15" t="s">
        <v>711</v>
      </c>
    </row>
    <row r="399" spans="1:9">
      <c r="A399" s="15" t="s">
        <v>898</v>
      </c>
    </row>
    <row r="400" spans="1:9">
      <c r="A400" s="15" t="s">
        <v>891</v>
      </c>
    </row>
    <row r="401" spans="1:1">
      <c r="A401" s="15" t="s">
        <v>746</v>
      </c>
    </row>
    <row r="402" spans="1:1">
      <c r="A402" s="15" t="s">
        <v>728</v>
      </c>
    </row>
    <row r="403" spans="1:1">
      <c r="A403" s="15" t="s">
        <v>879</v>
      </c>
    </row>
    <row r="404" spans="1:1">
      <c r="A404" s="15" t="s">
        <v>529</v>
      </c>
    </row>
    <row r="405" spans="1:1">
      <c r="A405" s="15" t="s">
        <v>694</v>
      </c>
    </row>
    <row r="406" spans="1:1">
      <c r="A406" s="15" t="s">
        <v>696</v>
      </c>
    </row>
    <row r="407" spans="1:1">
      <c r="A407" s="15" t="s">
        <v>698</v>
      </c>
    </row>
    <row r="408" spans="1:1">
      <c r="A408" s="15" t="s">
        <v>727</v>
      </c>
    </row>
    <row r="409" spans="1:1">
      <c r="A409" s="15" t="s">
        <v>707</v>
      </c>
    </row>
    <row r="410" spans="1:1">
      <c r="A410" s="15" t="s">
        <v>883</v>
      </c>
    </row>
    <row r="411" spans="1:1">
      <c r="A411" s="15" t="s">
        <v>693</v>
      </c>
    </row>
    <row r="412" spans="1:1">
      <c r="A412" s="15" t="s">
        <v>697</v>
      </c>
    </row>
    <row r="413" spans="1:1">
      <c r="A413" s="15" t="s">
        <v>371</v>
      </c>
    </row>
    <row r="414" spans="1:1">
      <c r="A414" s="15" t="s">
        <v>275</v>
      </c>
    </row>
    <row r="415" spans="1:1">
      <c r="A415" s="15" t="s">
        <v>882</v>
      </c>
    </row>
    <row r="416" spans="1:1">
      <c r="A416" s="15" t="s">
        <v>709</v>
      </c>
    </row>
    <row r="417" spans="1:1">
      <c r="A417" s="35" t="s">
        <v>734</v>
      </c>
    </row>
    <row r="418" spans="1:1">
      <c r="A418" s="15" t="s">
        <v>428</v>
      </c>
    </row>
    <row r="419" spans="1:1">
      <c r="A419" s="15" t="s">
        <v>733</v>
      </c>
    </row>
    <row r="420" spans="1:1">
      <c r="A420" s="15" t="s">
        <v>884</v>
      </c>
    </row>
    <row r="421" spans="1:1">
      <c r="A421" s="15" t="s">
        <v>740</v>
      </c>
    </row>
    <row r="422" spans="1:1">
      <c r="A422" s="35" t="s">
        <v>688</v>
      </c>
    </row>
    <row r="423" spans="1:1">
      <c r="A423" s="35" t="s">
        <v>713</v>
      </c>
    </row>
    <row r="424" spans="1:1">
      <c r="A424" s="35" t="s">
        <v>896</v>
      </c>
    </row>
    <row r="425" spans="1:1">
      <c r="A425" s="35" t="s">
        <v>624</v>
      </c>
    </row>
    <row r="426" spans="1:1">
      <c r="A426" s="35" t="s">
        <v>526</v>
      </c>
    </row>
    <row r="427" spans="1:1">
      <c r="A427" s="35" t="s">
        <v>700</v>
      </c>
    </row>
    <row r="428" spans="1:1">
      <c r="A428" s="35" t="s">
        <v>758</v>
      </c>
    </row>
    <row r="429" spans="1:1">
      <c r="A429" s="35" t="s">
        <v>701</v>
      </c>
    </row>
    <row r="430" spans="1:1">
      <c r="A430" s="35" t="s">
        <v>771</v>
      </c>
    </row>
    <row r="431" spans="1:1">
      <c r="A431" s="35" t="s">
        <v>759</v>
      </c>
    </row>
    <row r="432" spans="1:1">
      <c r="A432" s="35" t="s">
        <v>772</v>
      </c>
    </row>
    <row r="433" spans="1:1">
      <c r="A433" s="35" t="s">
        <v>757</v>
      </c>
    </row>
    <row r="434" spans="1:1">
      <c r="A434" s="35" t="s">
        <v>773</v>
      </c>
    </row>
    <row r="435" spans="1:1">
      <c r="A435" s="35" t="s">
        <v>774</v>
      </c>
    </row>
    <row r="436" spans="1:1">
      <c r="A436" s="35" t="s">
        <v>769</v>
      </c>
    </row>
    <row r="437" spans="1:1">
      <c r="A437" s="35" t="s">
        <v>548</v>
      </c>
    </row>
    <row r="438" spans="1:1">
      <c r="A438" s="35" t="s">
        <v>763</v>
      </c>
    </row>
    <row r="439" spans="1:1">
      <c r="A439" s="35" t="s">
        <v>765</v>
      </c>
    </row>
    <row r="440" spans="1:1">
      <c r="A440" s="35" t="s">
        <v>764</v>
      </c>
    </row>
    <row r="441" spans="1:1">
      <c r="A441" s="35" t="s">
        <v>761</v>
      </c>
    </row>
    <row r="442" spans="1:1">
      <c r="A442" s="35" t="s">
        <v>767</v>
      </c>
    </row>
    <row r="443" spans="1:1">
      <c r="A443" s="35" t="s">
        <v>625</v>
      </c>
    </row>
    <row r="444" spans="1:1">
      <c r="A444" s="35" t="s">
        <v>699</v>
      </c>
    </row>
    <row r="445" spans="1:1">
      <c r="A445" s="35" t="s">
        <v>768</v>
      </c>
    </row>
    <row r="446" spans="1:1">
      <c r="A446" s="35" t="s">
        <v>374</v>
      </c>
    </row>
    <row r="447" spans="1:1">
      <c r="A447" s="35" t="s">
        <v>628</v>
      </c>
    </row>
    <row r="448" spans="1:1">
      <c r="A448" s="35" t="s">
        <v>755</v>
      </c>
    </row>
    <row r="449" spans="1:1">
      <c r="A449" s="35" t="s">
        <v>388</v>
      </c>
    </row>
    <row r="450" spans="1:1">
      <c r="A450" s="35" t="s">
        <v>633</v>
      </c>
    </row>
    <row r="451" spans="1:1">
      <c r="A451" s="35" t="s">
        <v>614</v>
      </c>
    </row>
    <row r="452" spans="1:1">
      <c r="A452" s="35" t="s">
        <v>712</v>
      </c>
    </row>
    <row r="453" spans="1:1">
      <c r="A453" s="35" t="s">
        <v>881</v>
      </c>
    </row>
    <row r="454" spans="1:1">
      <c r="A454" s="35" t="s">
        <v>907</v>
      </c>
    </row>
    <row r="455" spans="1:1">
      <c r="A455" s="35" t="s">
        <v>706</v>
      </c>
    </row>
    <row r="456" spans="1:1">
      <c r="A456" s="35" t="s">
        <v>710</v>
      </c>
    </row>
    <row r="457" spans="1:1">
      <c r="A457" s="35" t="s">
        <v>546</v>
      </c>
    </row>
    <row r="458" spans="1:1">
      <c r="A458" s="35" t="s">
        <v>878</v>
      </c>
    </row>
    <row r="459" spans="1:1">
      <c r="A459" s="35" t="s">
        <v>626</v>
      </c>
    </row>
    <row r="460" spans="1:1">
      <c r="A460" s="35" t="s">
        <v>716</v>
      </c>
    </row>
    <row r="461" spans="1:1">
      <c r="A461" s="35" t="s">
        <v>832</v>
      </c>
    </row>
    <row r="462" spans="1:1">
      <c r="A462" s="35" t="s">
        <v>524</v>
      </c>
    </row>
    <row r="463" spans="1:1">
      <c r="A463" s="35" t="s">
        <v>833</v>
      </c>
    </row>
    <row r="464" spans="1:1">
      <c r="A464" s="35" t="s">
        <v>834</v>
      </c>
    </row>
    <row r="465" spans="1:1">
      <c r="A465" s="35" t="s">
        <v>689</v>
      </c>
    </row>
    <row r="466" spans="1:1">
      <c r="A466" s="35" t="s">
        <v>830</v>
      </c>
    </row>
    <row r="467" spans="1:1">
      <c r="A467" s="35" t="s">
        <v>825</v>
      </c>
    </row>
    <row r="468" spans="1:1">
      <c r="A468" s="35" t="s">
        <v>831</v>
      </c>
    </row>
    <row r="469" spans="1:1">
      <c r="A469" s="35" t="s">
        <v>372</v>
      </c>
    </row>
    <row r="470" spans="1:1">
      <c r="A470" s="35" t="s">
        <v>828</v>
      </c>
    </row>
    <row r="471" spans="1:1">
      <c r="A471" s="35" t="s">
        <v>824</v>
      </c>
    </row>
    <row r="472" spans="1:1">
      <c r="A472" s="35" t="s">
        <v>826</v>
      </c>
    </row>
    <row r="473" spans="1:1">
      <c r="A473" s="35" t="s">
        <v>638</v>
      </c>
    </row>
    <row r="474" spans="1:1">
      <c r="A474" s="35" t="s">
        <v>823</v>
      </c>
    </row>
    <row r="475" spans="1:1">
      <c r="A475" s="35" t="s">
        <v>465</v>
      </c>
    </row>
    <row r="476" spans="1:1">
      <c r="A476" s="35" t="s">
        <v>829</v>
      </c>
    </row>
    <row r="477" spans="1:1">
      <c r="A477" s="35" t="s">
        <v>822</v>
      </c>
    </row>
    <row r="478" spans="1:1">
      <c r="A478" s="35" t="s">
        <v>827</v>
      </c>
    </row>
    <row r="479" spans="1:1">
      <c r="A479" s="35" t="s">
        <v>820</v>
      </c>
    </row>
    <row r="480" spans="1:1">
      <c r="A480" s="35" t="s">
        <v>377</v>
      </c>
    </row>
    <row r="481" spans="1:1">
      <c r="A481" s="35" t="s">
        <v>466</v>
      </c>
    </row>
    <row r="482" spans="1:1">
      <c r="A482" s="35" t="s">
        <v>421</v>
      </c>
    </row>
    <row r="483" spans="1:1">
      <c r="A483" s="35" t="s">
        <v>835</v>
      </c>
    </row>
    <row r="484" spans="1:1">
      <c r="A484" s="35" t="s">
        <v>731</v>
      </c>
    </row>
    <row r="485" spans="1:1">
      <c r="A485" s="35" t="s">
        <v>644</v>
      </c>
    </row>
    <row r="486" spans="1:1">
      <c r="A486" s="35" t="s">
        <v>373</v>
      </c>
    </row>
    <row r="487" spans="1:1">
      <c r="A487" s="35" t="s">
        <v>809</v>
      </c>
    </row>
    <row r="488" spans="1:1">
      <c r="A488" s="35" t="s">
        <v>837</v>
      </c>
    </row>
    <row r="489" spans="1:1">
      <c r="A489" s="35" t="s">
        <v>386</v>
      </c>
    </row>
    <row r="490" spans="1:1">
      <c r="A490" s="35" t="s">
        <v>813</v>
      </c>
    </row>
    <row r="491" spans="1:1">
      <c r="A491" s="35" t="s">
        <v>467</v>
      </c>
    </row>
    <row r="492" spans="1:1">
      <c r="A492" s="35" t="s">
        <v>424</v>
      </c>
    </row>
    <row r="493" spans="1:1">
      <c r="A493" s="35" t="s">
        <v>766</v>
      </c>
    </row>
    <row r="494" spans="1:1">
      <c r="A494" s="35" t="s">
        <v>811</v>
      </c>
    </row>
    <row r="495" spans="1:1">
      <c r="A495" s="35" t="s">
        <v>812</v>
      </c>
    </row>
    <row r="496" spans="1:1">
      <c r="A496" s="35" t="s">
        <v>403</v>
      </c>
    </row>
    <row r="497" spans="1:1">
      <c r="A497" s="35" t="s">
        <v>810</v>
      </c>
    </row>
    <row r="498" spans="1:1">
      <c r="A498" s="35" t="s">
        <v>636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635</v>
      </c>
    </row>
    <row r="511" spans="1:1">
      <c r="A511" s="35" t="s">
        <v>708</v>
      </c>
    </row>
    <row r="512" spans="1:1">
      <c r="A512" s="35" t="s">
        <v>184</v>
      </c>
    </row>
    <row r="513" spans="1:1">
      <c r="A513" s="35" t="s">
        <v>836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705</v>
      </c>
    </row>
    <row r="517" spans="1:1">
      <c r="A517" s="35" t="s">
        <v>777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818</v>
      </c>
    </row>
    <row r="521" spans="1:1">
      <c r="A521" s="35" t="s">
        <v>177</v>
      </c>
    </row>
    <row r="522" spans="1:1">
      <c r="A522" s="35" t="s">
        <v>817</v>
      </c>
    </row>
    <row r="523" spans="1:1">
      <c r="A523" s="35" t="s">
        <v>182</v>
      </c>
    </row>
    <row r="524" spans="1:1">
      <c r="A524" s="35" t="s">
        <v>702</v>
      </c>
    </row>
    <row r="525" spans="1:1">
      <c r="A525" s="35" t="s">
        <v>660</v>
      </c>
    </row>
    <row r="526" spans="1:1">
      <c r="A526" s="35" t="s">
        <v>782</v>
      </c>
    </row>
    <row r="527" spans="1:1">
      <c r="A527" s="35" t="s">
        <v>908</v>
      </c>
    </row>
    <row r="528" spans="1:1">
      <c r="A528" s="35" t="s">
        <v>756</v>
      </c>
    </row>
    <row r="529" spans="1:1">
      <c r="A529" s="35" t="s">
        <v>905</v>
      </c>
    </row>
    <row r="530" spans="1:1">
      <c r="A530" s="35" t="s">
        <v>814</v>
      </c>
    </row>
    <row r="531" spans="1:1">
      <c r="A531" s="35" t="s">
        <v>736</v>
      </c>
    </row>
    <row r="532" spans="1:1">
      <c r="A532" s="35" t="s">
        <v>655</v>
      </c>
    </row>
    <row r="533" spans="1:1">
      <c r="A533" s="35" t="s">
        <v>426</v>
      </c>
    </row>
    <row r="534" spans="1:1">
      <c r="A534" s="35" t="s">
        <v>778</v>
      </c>
    </row>
    <row r="535" spans="1:1">
      <c r="A535" s="35" t="s">
        <v>780</v>
      </c>
    </row>
    <row r="536" spans="1:1">
      <c r="A536" s="35" t="s">
        <v>619</v>
      </c>
    </row>
    <row r="537" spans="1:1">
      <c r="A537" s="35" t="s">
        <v>142</v>
      </c>
    </row>
    <row r="538" spans="1:1">
      <c r="A538" s="35" t="s">
        <v>900</v>
      </c>
    </row>
    <row r="539" spans="1:1">
      <c r="A539" s="35" t="s">
        <v>143</v>
      </c>
    </row>
    <row r="540" spans="1:1">
      <c r="A540" s="35" t="s">
        <v>703</v>
      </c>
    </row>
    <row r="541" spans="1:1">
      <c r="A541" s="35" t="s">
        <v>779</v>
      </c>
    </row>
    <row r="542" spans="1:1">
      <c r="A542" s="35" t="s">
        <v>899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802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800</v>
      </c>
    </row>
    <row r="563" spans="1:1">
      <c r="A563" s="35" t="s">
        <v>854</v>
      </c>
    </row>
    <row r="564" spans="1:1">
      <c r="A564" s="35" t="s">
        <v>887</v>
      </c>
    </row>
    <row r="565" spans="1:1">
      <c r="A565" s="35" t="s">
        <v>742</v>
      </c>
    </row>
    <row r="566" spans="1:1">
      <c r="A566" s="35" t="s">
        <v>148</v>
      </c>
    </row>
    <row r="567" spans="1:1">
      <c r="A567" s="35" t="s">
        <v>589</v>
      </c>
    </row>
    <row r="568" spans="1:1">
      <c r="A568" s="35" t="s">
        <v>732</v>
      </c>
    </row>
    <row r="569" spans="1:1">
      <c r="A569" s="35" t="s">
        <v>166</v>
      </c>
    </row>
    <row r="570" spans="1:1">
      <c r="A570" s="35" t="s">
        <v>868</v>
      </c>
    </row>
    <row r="571" spans="1:1">
      <c r="A571" s="35" t="s">
        <v>888</v>
      </c>
    </row>
    <row r="572" spans="1:1">
      <c r="A572" s="35" t="s">
        <v>627</v>
      </c>
    </row>
    <row r="573" spans="1:1">
      <c r="A573" s="35" t="s">
        <v>151</v>
      </c>
    </row>
    <row r="574" spans="1:1">
      <c r="A574" s="35" t="s">
        <v>445</v>
      </c>
    </row>
    <row r="575" spans="1:1">
      <c r="A575" s="35" t="s">
        <v>762</v>
      </c>
    </row>
    <row r="576" spans="1:1">
      <c r="A576" s="35" t="s">
        <v>845</v>
      </c>
    </row>
    <row r="577" spans="1:1">
      <c r="A577" s="35" t="s">
        <v>161</v>
      </c>
    </row>
    <row r="578" spans="1:1">
      <c r="A578" s="35" t="s">
        <v>819</v>
      </c>
    </row>
    <row r="579" spans="1:1">
      <c r="A579" s="35" t="s">
        <v>803</v>
      </c>
    </row>
    <row r="580" spans="1:1">
      <c r="A580" s="35" t="s">
        <v>754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781</v>
      </c>
    </row>
    <row r="587" spans="1:1">
      <c r="A587" s="35" t="s">
        <v>159</v>
      </c>
    </row>
    <row r="588" spans="1:1">
      <c r="A588" s="35" t="s">
        <v>451</v>
      </c>
    </row>
    <row r="589" spans="1:1">
      <c r="A589" s="35" t="s">
        <v>730</v>
      </c>
    </row>
    <row r="590" spans="1:1">
      <c r="A590" s="35" t="s">
        <v>863</v>
      </c>
    </row>
    <row r="591" spans="1:1">
      <c r="A591" s="35" t="s">
        <v>844</v>
      </c>
    </row>
    <row r="592" spans="1:1">
      <c r="A592" s="35" t="s">
        <v>801</v>
      </c>
    </row>
    <row r="593" spans="1:1">
      <c r="A593" s="35" t="s">
        <v>870</v>
      </c>
    </row>
    <row r="594" spans="1:1">
      <c r="A594" s="35" t="s">
        <v>139</v>
      </c>
    </row>
    <row r="595" spans="1:1">
      <c r="A595" s="35" t="s">
        <v>846</v>
      </c>
    </row>
    <row r="596" spans="1:1">
      <c r="A596" s="35" t="s">
        <v>651</v>
      </c>
    </row>
    <row r="597" spans="1:1">
      <c r="A597" s="35" t="s">
        <v>617</v>
      </c>
    </row>
    <row r="598" spans="1:1">
      <c r="A598" s="35" t="s">
        <v>138</v>
      </c>
    </row>
    <row r="599" spans="1:1">
      <c r="A599" s="35" t="s">
        <v>799</v>
      </c>
    </row>
    <row r="600" spans="1:1">
      <c r="A600" s="35" t="s">
        <v>867</v>
      </c>
    </row>
    <row r="601" spans="1:1">
      <c r="A601" s="35" t="s">
        <v>862</v>
      </c>
    </row>
    <row r="602" spans="1:1">
      <c r="A602" s="35" t="s">
        <v>866</v>
      </c>
    </row>
    <row r="603" spans="1:1">
      <c r="A603" s="141" t="s">
        <v>381</v>
      </c>
    </row>
    <row r="604" spans="1:1">
      <c r="A604" s="141" t="s">
        <v>804</v>
      </c>
    </row>
    <row r="605" spans="1:1">
      <c r="A605" s="141" t="s">
        <v>164</v>
      </c>
    </row>
    <row r="606" spans="1:1">
      <c r="A606" s="141" t="s">
        <v>872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902</v>
      </c>
    </row>
    <row r="610" spans="1:1">
      <c r="A610" s="141" t="s">
        <v>875</v>
      </c>
    </row>
    <row r="611" spans="1:1">
      <c r="A611" s="141" t="s">
        <v>806</v>
      </c>
    </row>
    <row r="612" spans="1:1">
      <c r="A612" s="141" t="s">
        <v>280</v>
      </c>
    </row>
    <row r="613" spans="1:1">
      <c r="A613" s="141" t="s">
        <v>163</v>
      </c>
    </row>
    <row r="614" spans="1:1">
      <c r="A614" s="141" t="s">
        <v>605</v>
      </c>
    </row>
    <row r="615" spans="1:1">
      <c r="A615" s="141" t="s">
        <v>554</v>
      </c>
    </row>
    <row r="616" spans="1:1">
      <c r="A616" s="141" t="s">
        <v>530</v>
      </c>
    </row>
    <row r="617" spans="1:1">
      <c r="A617" s="141" t="s">
        <v>865</v>
      </c>
    </row>
    <row r="618" spans="1:1">
      <c r="A618" s="141" t="s">
        <v>848</v>
      </c>
    </row>
    <row r="619" spans="1:1">
      <c r="A619" s="10" t="s">
        <v>375</v>
      </c>
    </row>
    <row r="620" spans="1:1">
      <c r="A620" s="141" t="s">
        <v>871</v>
      </c>
    </row>
    <row r="621" spans="1:1">
      <c r="A621" s="141" t="s">
        <v>880</v>
      </c>
    </row>
    <row r="622" spans="1:1">
      <c r="A622" s="141" t="s">
        <v>807</v>
      </c>
    </row>
    <row r="623" spans="1:1">
      <c r="A623" s="141" t="s">
        <v>858</v>
      </c>
    </row>
    <row r="624" spans="1:1">
      <c r="A624" s="141" t="s">
        <v>744</v>
      </c>
    </row>
    <row r="625" spans="1:1">
      <c r="A625" s="141" t="s">
        <v>890</v>
      </c>
    </row>
    <row r="626" spans="1:1">
      <c r="A626" s="141" t="s">
        <v>849</v>
      </c>
    </row>
    <row r="627" spans="1:1">
      <c r="A627" s="141" t="s">
        <v>816</v>
      </c>
    </row>
    <row r="628" spans="1:1">
      <c r="A628" s="141" t="s">
        <v>815</v>
      </c>
    </row>
    <row r="629" spans="1:1">
      <c r="A629" s="141" t="s">
        <v>808</v>
      </c>
    </row>
    <row r="630" spans="1:1">
      <c r="A630" s="141" t="s">
        <v>876</v>
      </c>
    </row>
    <row r="631" spans="1:1">
      <c r="A631" s="141" t="s">
        <v>797</v>
      </c>
    </row>
    <row r="632" spans="1:1">
      <c r="A632" s="141" t="s">
        <v>798</v>
      </c>
    </row>
    <row r="633" spans="1:1">
      <c r="A633" s="141" t="s">
        <v>821</v>
      </c>
    </row>
    <row r="634" spans="1:1">
      <c r="A634" s="141" t="s">
        <v>873</v>
      </c>
    </row>
    <row r="635" spans="1:1">
      <c r="A635" s="141" t="s">
        <v>795</v>
      </c>
    </row>
    <row r="636" spans="1:1">
      <c r="A636" s="141" t="s">
        <v>842</v>
      </c>
    </row>
    <row r="637" spans="1:1">
      <c r="A637" s="141" t="s">
        <v>743</v>
      </c>
    </row>
    <row r="638" spans="1:1">
      <c r="A638" s="141" t="s">
        <v>874</v>
      </c>
    </row>
    <row r="639" spans="1:1" ht="15.75" thickBot="1">
      <c r="A639" s="153" t="s">
        <v>843</v>
      </c>
    </row>
    <row r="640" spans="1:1" ht="15.75" thickBot="1">
      <c r="A640" s="153" t="s">
        <v>857</v>
      </c>
    </row>
    <row r="641" spans="1:1" ht="15.75" thickBot="1">
      <c r="A641" s="153" t="s">
        <v>847</v>
      </c>
    </row>
    <row r="668" spans="9:10">
      <c r="I668" t="s">
        <v>950</v>
      </c>
    </row>
    <row r="669" spans="9:10">
      <c r="J669" t="s">
        <v>951</v>
      </c>
    </row>
    <row r="670" spans="9:10">
      <c r="I670" s="143" t="s">
        <v>729</v>
      </c>
      <c r="J670" s="143" t="s">
        <v>564</v>
      </c>
    </row>
    <row r="671" spans="9:10">
      <c r="I671" s="143" t="s">
        <v>568</v>
      </c>
      <c r="J671" s="143" t="s">
        <v>912</v>
      </c>
    </row>
    <row r="672" spans="9:10">
      <c r="I672" s="143" t="s">
        <v>572</v>
      </c>
      <c r="J672" s="143" t="s">
        <v>913</v>
      </c>
    </row>
    <row r="673" spans="9:10">
      <c r="I673" s="143" t="s">
        <v>544</v>
      </c>
      <c r="J673" s="143" t="s">
        <v>914</v>
      </c>
    </row>
    <row r="674" spans="9:10">
      <c r="I674" s="143" t="s">
        <v>545</v>
      </c>
      <c r="J674" s="143" t="s">
        <v>360</v>
      </c>
    </row>
    <row r="675" spans="9:10">
      <c r="I675" s="143" t="s">
        <v>737</v>
      </c>
      <c r="J675" s="143" t="s">
        <v>360</v>
      </c>
    </row>
    <row r="676" spans="9:10">
      <c r="I676" s="143" t="s">
        <v>738</v>
      </c>
      <c r="J676" s="143" t="s">
        <v>399</v>
      </c>
    </row>
    <row r="677" spans="9:10">
      <c r="I677" s="143" t="s">
        <v>739</v>
      </c>
      <c r="J677" s="143" t="s">
        <v>399</v>
      </c>
    </row>
    <row r="678" spans="9:10">
      <c r="I678" s="143" t="s">
        <v>741</v>
      </c>
      <c r="J678" s="143" t="s">
        <v>399</v>
      </c>
    </row>
    <row r="679" spans="9:10">
      <c r="I679" s="143" t="s">
        <v>743</v>
      </c>
      <c r="J679" s="143" t="s">
        <v>338</v>
      </c>
    </row>
    <row r="680" spans="9:10">
      <c r="I680" s="143" t="s">
        <v>136</v>
      </c>
      <c r="J680" s="143" t="s">
        <v>563</v>
      </c>
    </row>
    <row r="681" spans="9:10">
      <c r="I681" s="143" t="s">
        <v>391</v>
      </c>
      <c r="J681" s="143" t="s">
        <v>295</v>
      </c>
    </row>
    <row r="682" spans="9:10">
      <c r="I682" s="143" t="s">
        <v>395</v>
      </c>
      <c r="J682" s="143" t="s">
        <v>353</v>
      </c>
    </row>
    <row r="683" spans="9:10">
      <c r="I683" s="143" t="s">
        <v>557</v>
      </c>
      <c r="J683" s="143" t="s">
        <v>917</v>
      </c>
    </row>
    <row r="684" spans="9:10">
      <c r="I684" s="143" t="s">
        <v>558</v>
      </c>
      <c r="J684" s="143" t="s">
        <v>338</v>
      </c>
    </row>
    <row r="685" spans="9:10">
      <c r="I685" s="143" t="s">
        <v>560</v>
      </c>
      <c r="J685" s="143" t="s">
        <v>308</v>
      </c>
    </row>
    <row r="686" spans="9:10">
      <c r="I686" s="143" t="s">
        <v>747</v>
      </c>
      <c r="J686" s="143" t="s">
        <v>918</v>
      </c>
    </row>
    <row r="687" spans="9:10">
      <c r="I687" s="143" t="s">
        <v>561</v>
      </c>
      <c r="J687" s="143" t="s">
        <v>563</v>
      </c>
    </row>
    <row r="688" spans="9:10">
      <c r="I688" s="143" t="s">
        <v>448</v>
      </c>
      <c r="J688" s="143" t="s">
        <v>563</v>
      </c>
    </row>
    <row r="689" spans="9:10">
      <c r="I689" s="143" t="s">
        <v>456</v>
      </c>
      <c r="J689" s="143" t="s">
        <v>360</v>
      </c>
    </row>
    <row r="690" spans="9:10">
      <c r="I690" s="143" t="s">
        <v>748</v>
      </c>
      <c r="J690" s="143" t="s">
        <v>353</v>
      </c>
    </row>
    <row r="691" spans="9:10">
      <c r="I691" s="143" t="s">
        <v>749</v>
      </c>
      <c r="J691" s="143" t="s">
        <v>295</v>
      </c>
    </row>
    <row r="692" spans="9:10">
      <c r="I692" s="143" t="s">
        <v>458</v>
      </c>
      <c r="J692" s="143" t="s">
        <v>919</v>
      </c>
    </row>
    <row r="693" spans="9:10">
      <c r="I693" s="143" t="s">
        <v>453</v>
      </c>
      <c r="J693" s="143" t="s">
        <v>918</v>
      </c>
    </row>
    <row r="694" spans="9:10">
      <c r="I694" s="143" t="s">
        <v>364</v>
      </c>
      <c r="J694" s="143" t="s">
        <v>920</v>
      </c>
    </row>
    <row r="695" spans="9:10">
      <c r="I695" s="143" t="s">
        <v>363</v>
      </c>
      <c r="J695" s="143" t="s">
        <v>392</v>
      </c>
    </row>
    <row r="696" spans="9:10">
      <c r="I696" s="143" t="s">
        <v>750</v>
      </c>
      <c r="J696" s="143" t="s">
        <v>921</v>
      </c>
    </row>
    <row r="697" spans="9:10">
      <c r="I697" s="143" t="s">
        <v>751</v>
      </c>
      <c r="J697" s="143" t="s">
        <v>921</v>
      </c>
    </row>
    <row r="698" spans="9:10">
      <c r="I698" s="143" t="s">
        <v>752</v>
      </c>
      <c r="J698" s="143" t="s">
        <v>922</v>
      </c>
    </row>
    <row r="699" spans="9:10">
      <c r="I699" s="143" t="s">
        <v>605</v>
      </c>
      <c r="J699" s="143" t="s">
        <v>923</v>
      </c>
    </row>
    <row r="700" spans="9:10">
      <c r="I700" s="143" t="s">
        <v>606</v>
      </c>
      <c r="J700" s="143" t="s">
        <v>394</v>
      </c>
    </row>
    <row r="701" spans="9:10">
      <c r="I701" s="143" t="s">
        <v>610</v>
      </c>
      <c r="J701" s="143" t="s">
        <v>916</v>
      </c>
    </row>
    <row r="702" spans="9:10">
      <c r="I702" s="143" t="s">
        <v>612</v>
      </c>
      <c r="J702" s="143" t="s">
        <v>910</v>
      </c>
    </row>
    <row r="703" spans="9:10">
      <c r="I703" s="143" t="s">
        <v>613</v>
      </c>
      <c r="J703" s="143" t="s">
        <v>564</v>
      </c>
    </row>
    <row r="704" spans="9:10">
      <c r="I704" s="143" t="s">
        <v>753</v>
      </c>
      <c r="J704" s="143" t="s">
        <v>402</v>
      </c>
    </row>
    <row r="705" spans="9:10">
      <c r="I705" s="143" t="s">
        <v>618</v>
      </c>
      <c r="J705" s="143" t="s">
        <v>917</v>
      </c>
    </row>
    <row r="706" spans="9:10">
      <c r="I706" s="143" t="s">
        <v>770</v>
      </c>
      <c r="J706" s="143" t="s">
        <v>926</v>
      </c>
    </row>
    <row r="707" spans="9:10">
      <c r="I707" s="143" t="s">
        <v>632</v>
      </c>
      <c r="J707" s="143" t="s">
        <v>927</v>
      </c>
    </row>
    <row r="708" spans="9:10">
      <c r="I708" s="143" t="s">
        <v>776</v>
      </c>
      <c r="J708" s="143" t="s">
        <v>930</v>
      </c>
    </row>
    <row r="709" spans="9:10">
      <c r="I709" s="143" t="s">
        <v>678</v>
      </c>
      <c r="J709" s="143" t="s">
        <v>929</v>
      </c>
    </row>
    <row r="710" spans="9:10">
      <c r="I710" s="143" t="s">
        <v>783</v>
      </c>
      <c r="J710" s="143" t="s">
        <v>376</v>
      </c>
    </row>
    <row r="711" spans="9:10">
      <c r="I711" s="143" t="s">
        <v>784</v>
      </c>
      <c r="J711" s="143" t="s">
        <v>402</v>
      </c>
    </row>
    <row r="712" spans="9:10">
      <c r="I712" s="143" t="s">
        <v>785</v>
      </c>
      <c r="J712" s="143" t="s">
        <v>327</v>
      </c>
    </row>
    <row r="713" spans="9:10">
      <c r="I713" s="143" t="s">
        <v>786</v>
      </c>
      <c r="J713" s="143" t="s">
        <v>929</v>
      </c>
    </row>
    <row r="714" spans="9:10">
      <c r="I714" s="143" t="s">
        <v>787</v>
      </c>
      <c r="J714" s="143" t="s">
        <v>929</v>
      </c>
    </row>
    <row r="715" spans="9:10">
      <c r="I715" s="143" t="s">
        <v>788</v>
      </c>
      <c r="J715" s="143" t="s">
        <v>338</v>
      </c>
    </row>
    <row r="716" spans="9:10">
      <c r="I716" s="143" t="s">
        <v>789</v>
      </c>
      <c r="J716" s="143" t="s">
        <v>911</v>
      </c>
    </row>
    <row r="717" spans="9:10">
      <c r="I717" s="143" t="s">
        <v>790</v>
      </c>
      <c r="J717" s="143" t="s">
        <v>933</v>
      </c>
    </row>
    <row r="718" spans="9:10">
      <c r="I718" s="143" t="s">
        <v>791</v>
      </c>
      <c r="J718" s="143" t="s">
        <v>392</v>
      </c>
    </row>
    <row r="719" spans="9:10">
      <c r="I719" s="143" t="s">
        <v>792</v>
      </c>
      <c r="J719" s="143" t="s">
        <v>564</v>
      </c>
    </row>
    <row r="720" spans="9:10">
      <c r="I720" s="143" t="s">
        <v>793</v>
      </c>
      <c r="J720" s="143" t="s">
        <v>376</v>
      </c>
    </row>
    <row r="721" spans="9:10">
      <c r="I721" s="143" t="s">
        <v>794</v>
      </c>
      <c r="J721" s="143" t="s">
        <v>394</v>
      </c>
    </row>
    <row r="722" spans="9:10">
      <c r="I722" s="143" t="s">
        <v>795</v>
      </c>
      <c r="J722" s="143" t="s">
        <v>917</v>
      </c>
    </row>
    <row r="723" spans="9:10">
      <c r="I723" s="143" t="s">
        <v>796</v>
      </c>
      <c r="J723" s="143" t="s">
        <v>934</v>
      </c>
    </row>
    <row r="724" spans="9:10">
      <c r="I724" s="143" t="s">
        <v>797</v>
      </c>
      <c r="J724" s="143" t="s">
        <v>919</v>
      </c>
    </row>
    <row r="725" spans="9:10">
      <c r="I725" s="143" t="s">
        <v>798</v>
      </c>
      <c r="J725" s="143" t="s">
        <v>353</v>
      </c>
    </row>
    <row r="726" spans="9:10">
      <c r="I726" s="143" t="s">
        <v>805</v>
      </c>
      <c r="J726" s="143" t="s">
        <v>936</v>
      </c>
    </row>
    <row r="727" spans="9:10">
      <c r="I727" s="143" t="s">
        <v>838</v>
      </c>
      <c r="J727" s="143" t="s">
        <v>353</v>
      </c>
    </row>
    <row r="728" spans="9:10">
      <c r="I728" s="143" t="s">
        <v>839</v>
      </c>
      <c r="J728" s="143" t="s">
        <v>353</v>
      </c>
    </row>
    <row r="729" spans="9:10">
      <c r="I729" s="143" t="s">
        <v>840</v>
      </c>
      <c r="J729" s="143" t="s">
        <v>402</v>
      </c>
    </row>
    <row r="730" spans="9:10">
      <c r="I730" s="143" t="s">
        <v>841</v>
      </c>
      <c r="J730" s="143" t="s">
        <v>915</v>
      </c>
    </row>
    <row r="731" spans="9:10">
      <c r="I731" s="143" t="s">
        <v>842</v>
      </c>
      <c r="J731" s="143" t="s">
        <v>402</v>
      </c>
    </row>
    <row r="732" spans="9:10">
      <c r="I732" s="143" t="s">
        <v>843</v>
      </c>
      <c r="J732" s="143" t="s">
        <v>353</v>
      </c>
    </row>
    <row r="733" spans="9:10">
      <c r="I733" s="143" t="s">
        <v>847</v>
      </c>
      <c r="J733" s="143" t="s">
        <v>360</v>
      </c>
    </row>
    <row r="734" spans="9:10">
      <c r="I734" s="143" t="s">
        <v>850</v>
      </c>
      <c r="J734" s="143" t="s">
        <v>305</v>
      </c>
    </row>
    <row r="735" spans="9:10">
      <c r="I735" s="143" t="s">
        <v>851</v>
      </c>
      <c r="J735" s="143" t="s">
        <v>564</v>
      </c>
    </row>
    <row r="736" spans="9:10">
      <c r="I736" s="143" t="s">
        <v>852</v>
      </c>
      <c r="J736" s="143" t="s">
        <v>910</v>
      </c>
    </row>
    <row r="737" spans="9:10">
      <c r="I737" s="143" t="s">
        <v>853</v>
      </c>
      <c r="J737" s="143" t="s">
        <v>940</v>
      </c>
    </row>
    <row r="738" spans="9:10">
      <c r="I738" s="143" t="s">
        <v>855</v>
      </c>
      <c r="J738" s="143" t="s">
        <v>564</v>
      </c>
    </row>
    <row r="739" spans="9:10">
      <c r="I739" s="143" t="s">
        <v>856</v>
      </c>
      <c r="J739" s="143" t="s">
        <v>305</v>
      </c>
    </row>
    <row r="740" spans="9:10">
      <c r="I740" s="143" t="s">
        <v>857</v>
      </c>
      <c r="J740" s="143" t="s">
        <v>338</v>
      </c>
    </row>
    <row r="741" spans="9:10">
      <c r="I741" s="143" t="s">
        <v>858</v>
      </c>
      <c r="J741" s="143" t="s">
        <v>338</v>
      </c>
    </row>
    <row r="742" spans="9:10">
      <c r="I742" s="143" t="s">
        <v>859</v>
      </c>
      <c r="J742" s="143" t="s">
        <v>353</v>
      </c>
    </row>
    <row r="743" spans="9:10">
      <c r="I743" s="143" t="s">
        <v>860</v>
      </c>
      <c r="J743" s="143" t="s">
        <v>353</v>
      </c>
    </row>
    <row r="744" spans="9:10">
      <c r="I744" s="143" t="s">
        <v>861</v>
      </c>
      <c r="J744" s="143" t="s">
        <v>353</v>
      </c>
    </row>
    <row r="745" spans="9:10">
      <c r="I745" s="143" t="s">
        <v>864</v>
      </c>
      <c r="J745" s="143" t="s">
        <v>918</v>
      </c>
    </row>
    <row r="746" spans="9:10">
      <c r="I746" s="143" t="s">
        <v>869</v>
      </c>
      <c r="J746" s="143" t="s">
        <v>360</v>
      </c>
    </row>
    <row r="747" spans="9:10">
      <c r="I747" s="143" t="s">
        <v>873</v>
      </c>
      <c r="J747" s="143" t="s">
        <v>305</v>
      </c>
    </row>
    <row r="748" spans="9:10">
      <c r="I748" s="143" t="s">
        <v>874</v>
      </c>
      <c r="J748" s="143" t="s">
        <v>353</v>
      </c>
    </row>
    <row r="749" spans="9:10">
      <c r="I749" s="143" t="s">
        <v>889</v>
      </c>
      <c r="J749" s="143" t="s">
        <v>943</v>
      </c>
    </row>
    <row r="750" spans="9:10">
      <c r="I750" s="143" t="s">
        <v>897</v>
      </c>
      <c r="J750" s="143" t="s">
        <v>946</v>
      </c>
    </row>
    <row r="751" spans="9:10">
      <c r="I751" s="143" t="s">
        <v>903</v>
      </c>
      <c r="J751" s="143" t="s">
        <v>947</v>
      </c>
    </row>
    <row r="752" spans="9:10">
      <c r="I752" s="143" t="s">
        <v>904</v>
      </c>
      <c r="J752" s="143" t="s">
        <v>947</v>
      </c>
    </row>
    <row r="753" spans="9:16">
      <c r="I753" s="143" t="s">
        <v>906</v>
      </c>
      <c r="J753" s="143" t="s">
        <v>353</v>
      </c>
    </row>
    <row r="754" spans="9:16">
      <c r="I754" s="143" t="s">
        <v>909</v>
      </c>
      <c r="J754" s="143" t="s">
        <v>948</v>
      </c>
    </row>
    <row r="755" spans="9:16">
      <c r="P755" s="149" t="s">
        <v>568</v>
      </c>
    </row>
    <row r="756" spans="9:16">
      <c r="I756" s="149" t="s">
        <v>568</v>
      </c>
      <c r="P756" s="150" t="s">
        <v>572</v>
      </c>
    </row>
    <row r="757" spans="9:16">
      <c r="I757" s="150" t="s">
        <v>572</v>
      </c>
      <c r="P757" s="149" t="s">
        <v>743</v>
      </c>
    </row>
    <row r="758" spans="9:16">
      <c r="I758" s="149" t="s">
        <v>743</v>
      </c>
      <c r="P758" s="149" t="s">
        <v>544</v>
      </c>
    </row>
    <row r="759" spans="9:16">
      <c r="I759" s="149" t="s">
        <v>544</v>
      </c>
      <c r="P759" s="149" t="s">
        <v>545</v>
      </c>
    </row>
    <row r="760" spans="9:16">
      <c r="I760" s="149" t="s">
        <v>545</v>
      </c>
      <c r="P760" s="149" t="s">
        <v>737</v>
      </c>
    </row>
    <row r="761" spans="9:16">
      <c r="I761" s="149" t="s">
        <v>737</v>
      </c>
      <c r="P761" s="149" t="s">
        <v>738</v>
      </c>
    </row>
    <row r="762" spans="9:16">
      <c r="I762" s="149" t="s">
        <v>738</v>
      </c>
      <c r="P762" s="149" t="s">
        <v>395</v>
      </c>
    </row>
    <row r="763" spans="9:16">
      <c r="I763" s="149" t="s">
        <v>395</v>
      </c>
      <c r="P763" s="149" t="s">
        <v>391</v>
      </c>
    </row>
    <row r="764" spans="9:16">
      <c r="I764" s="149" t="s">
        <v>391</v>
      </c>
      <c r="P764" s="151" t="s">
        <v>456</v>
      </c>
    </row>
    <row r="765" spans="9:16">
      <c r="I765" s="151" t="s">
        <v>456</v>
      </c>
      <c r="P765" s="149" t="s">
        <v>729</v>
      </c>
    </row>
    <row r="766" spans="9:16">
      <c r="I766" s="149" t="s">
        <v>729</v>
      </c>
      <c r="P766" s="152" t="s">
        <v>557</v>
      </c>
    </row>
    <row r="767" spans="9:16">
      <c r="I767" s="152" t="s">
        <v>557</v>
      </c>
      <c r="P767" s="152" t="s">
        <v>558</v>
      </c>
    </row>
    <row r="768" spans="9:16">
      <c r="I768" s="152" t="s">
        <v>558</v>
      </c>
      <c r="P768" s="149" t="s">
        <v>610</v>
      </c>
    </row>
    <row r="769" spans="9:16">
      <c r="I769" s="149" t="s">
        <v>610</v>
      </c>
      <c r="P769" s="149" t="s">
        <v>606</v>
      </c>
    </row>
    <row r="770" spans="9:16">
      <c r="I770" s="149" t="s">
        <v>606</v>
      </c>
      <c r="P770" s="149" t="s">
        <v>612</v>
      </c>
    </row>
    <row r="771" spans="9:16">
      <c r="I771" s="149" t="s">
        <v>612</v>
      </c>
      <c r="P771" s="149" t="s">
        <v>613</v>
      </c>
    </row>
    <row r="772" spans="9:16">
      <c r="I772" s="149" t="s">
        <v>613</v>
      </c>
      <c r="P772" s="149" t="s">
        <v>605</v>
      </c>
    </row>
    <row r="773" spans="9:16">
      <c r="I773" s="149" t="s">
        <v>605</v>
      </c>
      <c r="P773" s="149" t="s">
        <v>753</v>
      </c>
    </row>
    <row r="774" spans="9:16">
      <c r="I774" s="149" t="s">
        <v>753</v>
      </c>
      <c r="P774" s="149" t="s">
        <v>618</v>
      </c>
    </row>
    <row r="775" spans="9:16">
      <c r="I775" s="149" t="s">
        <v>618</v>
      </c>
      <c r="P775" s="149" t="s">
        <v>558</v>
      </c>
    </row>
    <row r="776" spans="9:16">
      <c r="I776" s="149" t="s">
        <v>558</v>
      </c>
      <c r="P776" s="149" t="s">
        <v>797</v>
      </c>
    </row>
    <row r="777" spans="9:16">
      <c r="I777" s="149" t="s">
        <v>797</v>
      </c>
      <c r="P777" s="149" t="s">
        <v>796</v>
      </c>
    </row>
    <row r="778" spans="9:16">
      <c r="I778" s="149" t="s">
        <v>796</v>
      </c>
      <c r="P778" s="152" t="s">
        <v>786</v>
      </c>
    </row>
    <row r="779" spans="9:16">
      <c r="I779" s="152" t="s">
        <v>786</v>
      </c>
      <c r="P779" s="149" t="s">
        <v>805</v>
      </c>
    </row>
    <row r="780" spans="9:16">
      <c r="I780" s="149" t="s">
        <v>805</v>
      </c>
      <c r="P780" s="149" t="s">
        <v>795</v>
      </c>
    </row>
    <row r="781" spans="9:16">
      <c r="I781" s="149" t="s">
        <v>795</v>
      </c>
      <c r="P781" s="149" t="s">
        <v>798</v>
      </c>
    </row>
    <row r="782" spans="9:16">
      <c r="I782" s="149" t="s">
        <v>798</v>
      </c>
      <c r="P782" s="152" t="s">
        <v>787</v>
      </c>
    </row>
    <row r="783" spans="9:16">
      <c r="I783" s="152" t="s">
        <v>787</v>
      </c>
      <c r="P783" s="152" t="s">
        <v>783</v>
      </c>
    </row>
    <row r="784" spans="9:16">
      <c r="I784" s="152" t="s">
        <v>783</v>
      </c>
      <c r="P784" s="149" t="s">
        <v>842</v>
      </c>
    </row>
    <row r="785" spans="9:16">
      <c r="I785" s="149" t="s">
        <v>842</v>
      </c>
      <c r="P785" s="149" t="s">
        <v>840</v>
      </c>
    </row>
    <row r="786" spans="9:16">
      <c r="I786" s="149" t="s">
        <v>840</v>
      </c>
      <c r="P786" s="149" t="s">
        <v>841</v>
      </c>
    </row>
    <row r="787" spans="9:16">
      <c r="I787" s="149" t="s">
        <v>841</v>
      </c>
      <c r="P787" s="149" t="s">
        <v>843</v>
      </c>
    </row>
    <row r="788" spans="9:16">
      <c r="I788" s="149" t="s">
        <v>843</v>
      </c>
      <c r="P788" s="149" t="s">
        <v>847</v>
      </c>
    </row>
    <row r="789" spans="9:16">
      <c r="I789" s="149" t="s">
        <v>847</v>
      </c>
      <c r="P789" s="149" t="s">
        <v>850</v>
      </c>
    </row>
    <row r="790" spans="9:16">
      <c r="I790" s="149" t="s">
        <v>850</v>
      </c>
      <c r="P790" s="149" t="s">
        <v>852</v>
      </c>
    </row>
    <row r="791" spans="9:16">
      <c r="I791" s="149" t="s">
        <v>852</v>
      </c>
      <c r="P791" s="149" t="s">
        <v>873</v>
      </c>
    </row>
    <row r="792" spans="9:16">
      <c r="I792" s="149" t="s">
        <v>873</v>
      </c>
      <c r="P792" s="149" t="s">
        <v>874</v>
      </c>
    </row>
    <row r="793" spans="9:16">
      <c r="I793" s="149" t="s">
        <v>874</v>
      </c>
      <c r="P793" s="149" t="s">
        <v>864</v>
      </c>
    </row>
    <row r="794" spans="9:16">
      <c r="I794" s="149" t="s">
        <v>864</v>
      </c>
      <c r="P794" s="149" t="s">
        <v>869</v>
      </c>
    </row>
    <row r="795" spans="9:16">
      <c r="I795" s="149" t="s">
        <v>869</v>
      </c>
      <c r="P795" s="149" t="s">
        <v>861</v>
      </c>
    </row>
    <row r="796" spans="9:16">
      <c r="I796" s="149" t="s">
        <v>861</v>
      </c>
      <c r="P796" s="149" t="s">
        <v>858</v>
      </c>
    </row>
    <row r="797" spans="9:16">
      <c r="I797" s="149" t="s">
        <v>858</v>
      </c>
      <c r="P797" s="149" t="s">
        <v>857</v>
      </c>
    </row>
    <row r="798" spans="9:16">
      <c r="I798" s="149" t="s">
        <v>857</v>
      </c>
      <c r="P798" s="149" t="s">
        <v>860</v>
      </c>
    </row>
    <row r="799" spans="9:16">
      <c r="I799" s="149" t="s">
        <v>860</v>
      </c>
      <c r="P799" s="149" t="s">
        <v>859</v>
      </c>
    </row>
    <row r="800" spans="9:16">
      <c r="I800" s="149" t="s">
        <v>859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952</v>
      </c>
    </row>
    <row r="806" spans="9:17">
      <c r="L806" s="143" t="s">
        <v>729</v>
      </c>
    </row>
    <row r="807" spans="9:17">
      <c r="L807" s="143" t="s">
        <v>568</v>
      </c>
    </row>
    <row r="808" spans="9:17">
      <c r="L808" s="143" t="s">
        <v>572</v>
      </c>
    </row>
    <row r="809" spans="9:17">
      <c r="L809" s="143" t="s">
        <v>544</v>
      </c>
    </row>
    <row r="810" spans="9:17">
      <c r="L810" s="143" t="s">
        <v>545</v>
      </c>
    </row>
    <row r="811" spans="9:17">
      <c r="L811" s="143" t="s">
        <v>737</v>
      </c>
    </row>
    <row r="812" spans="9:17">
      <c r="L812" s="143" t="s">
        <v>738</v>
      </c>
    </row>
    <row r="813" spans="9:17">
      <c r="L813" s="143" t="s">
        <v>739</v>
      </c>
      <c r="Q813" s="143" t="s">
        <v>739</v>
      </c>
    </row>
    <row r="814" spans="9:17">
      <c r="L814" s="143" t="s">
        <v>741</v>
      </c>
      <c r="Q814" s="143" t="s">
        <v>741</v>
      </c>
    </row>
    <row r="815" spans="9:17">
      <c r="L815" s="143" t="s">
        <v>743</v>
      </c>
      <c r="Q815" s="143" t="s">
        <v>136</v>
      </c>
    </row>
    <row r="816" spans="9:17">
      <c r="L816" s="143" t="s">
        <v>136</v>
      </c>
      <c r="Q816" s="143" t="s">
        <v>557</v>
      </c>
    </row>
    <row r="817" spans="12:17">
      <c r="L817" s="143" t="s">
        <v>391</v>
      </c>
      <c r="Q817" s="143" t="s">
        <v>560</v>
      </c>
    </row>
    <row r="818" spans="12:17">
      <c r="L818" s="143" t="s">
        <v>395</v>
      </c>
      <c r="Q818" s="143" t="s">
        <v>747</v>
      </c>
    </row>
    <row r="819" spans="12:17">
      <c r="L819" s="143" t="s">
        <v>557</v>
      </c>
      <c r="Q819" s="143" t="s">
        <v>561</v>
      </c>
    </row>
    <row r="820" spans="12:17">
      <c r="L820" s="143" t="s">
        <v>558</v>
      </c>
      <c r="Q820" s="143" t="s">
        <v>448</v>
      </c>
    </row>
    <row r="821" spans="12:17">
      <c r="L821" s="143" t="s">
        <v>560</v>
      </c>
      <c r="Q821" s="143" t="s">
        <v>456</v>
      </c>
    </row>
    <row r="822" spans="12:17">
      <c r="L822" s="143" t="s">
        <v>747</v>
      </c>
      <c r="Q822" s="143" t="s">
        <v>748</v>
      </c>
    </row>
    <row r="823" spans="12:17">
      <c r="L823" s="143" t="s">
        <v>561</v>
      </c>
      <c r="Q823" s="143" t="s">
        <v>749</v>
      </c>
    </row>
    <row r="824" spans="12:17">
      <c r="L824" s="143" t="s">
        <v>448</v>
      </c>
      <c r="Q824" s="143" t="s">
        <v>458</v>
      </c>
    </row>
    <row r="825" spans="12:17">
      <c r="L825" s="143" t="s">
        <v>456</v>
      </c>
      <c r="Q825" s="143" t="s">
        <v>453</v>
      </c>
    </row>
    <row r="826" spans="12:17">
      <c r="L826" s="143" t="s">
        <v>748</v>
      </c>
      <c r="Q826" s="143" t="s">
        <v>364</v>
      </c>
    </row>
    <row r="827" spans="12:17">
      <c r="L827" s="143" t="s">
        <v>749</v>
      </c>
      <c r="Q827" s="143" t="s">
        <v>363</v>
      </c>
    </row>
    <row r="828" spans="12:17">
      <c r="L828" s="143" t="s">
        <v>458</v>
      </c>
      <c r="Q828" s="143" t="s">
        <v>750</v>
      </c>
    </row>
    <row r="829" spans="12:17">
      <c r="L829" s="143" t="s">
        <v>453</v>
      </c>
      <c r="Q829" s="143" t="s">
        <v>751</v>
      </c>
    </row>
    <row r="830" spans="12:17">
      <c r="L830" s="143" t="s">
        <v>364</v>
      </c>
      <c r="Q830" s="143" t="s">
        <v>752</v>
      </c>
    </row>
    <row r="831" spans="12:17">
      <c r="L831" s="143" t="s">
        <v>363</v>
      </c>
      <c r="Q831" s="143" t="s">
        <v>770</v>
      </c>
    </row>
    <row r="832" spans="12:17">
      <c r="L832" s="143" t="s">
        <v>750</v>
      </c>
      <c r="Q832" s="143" t="s">
        <v>632</v>
      </c>
    </row>
    <row r="833" spans="12:17">
      <c r="L833" s="143" t="s">
        <v>751</v>
      </c>
      <c r="Q833" s="143" t="s">
        <v>776</v>
      </c>
    </row>
    <row r="834" spans="12:17">
      <c r="L834" s="143" t="s">
        <v>752</v>
      </c>
      <c r="Q834" s="143" t="s">
        <v>678</v>
      </c>
    </row>
    <row r="835" spans="12:17">
      <c r="L835" s="143" t="s">
        <v>605</v>
      </c>
      <c r="Q835" s="143" t="s">
        <v>788</v>
      </c>
    </row>
    <row r="836" spans="12:17">
      <c r="L836" s="143" t="s">
        <v>606</v>
      </c>
      <c r="Q836" s="143" t="s">
        <v>789</v>
      </c>
    </row>
    <row r="837" spans="12:17">
      <c r="L837" s="143" t="s">
        <v>610</v>
      </c>
      <c r="Q837" s="143" t="s">
        <v>790</v>
      </c>
    </row>
    <row r="838" spans="12:17">
      <c r="L838" s="143" t="s">
        <v>612</v>
      </c>
      <c r="Q838" s="143" t="s">
        <v>791</v>
      </c>
    </row>
    <row r="839" spans="12:17">
      <c r="L839" s="143" t="s">
        <v>613</v>
      </c>
      <c r="Q839" s="143" t="s">
        <v>792</v>
      </c>
    </row>
    <row r="840" spans="12:17">
      <c r="L840" s="143" t="s">
        <v>753</v>
      </c>
      <c r="Q840" s="143" t="s">
        <v>838</v>
      </c>
    </row>
    <row r="841" spans="12:17">
      <c r="L841" s="143" t="s">
        <v>618</v>
      </c>
      <c r="Q841" s="143" t="s">
        <v>839</v>
      </c>
    </row>
    <row r="842" spans="12:17">
      <c r="L842" s="143" t="s">
        <v>770</v>
      </c>
      <c r="Q842" s="143" t="s">
        <v>853</v>
      </c>
    </row>
    <row r="843" spans="12:17">
      <c r="L843" s="143" t="s">
        <v>632</v>
      </c>
      <c r="Q843" s="143" t="s">
        <v>855</v>
      </c>
    </row>
    <row r="844" spans="12:17">
      <c r="L844" s="143" t="s">
        <v>776</v>
      </c>
      <c r="Q844" s="143" t="s">
        <v>889</v>
      </c>
    </row>
    <row r="845" spans="12:17">
      <c r="L845" s="143" t="s">
        <v>678</v>
      </c>
      <c r="Q845" s="143" t="s">
        <v>897</v>
      </c>
    </row>
    <row r="846" spans="12:17">
      <c r="L846" s="143" t="s">
        <v>783</v>
      </c>
      <c r="Q846" s="143" t="s">
        <v>903</v>
      </c>
    </row>
    <row r="847" spans="12:17">
      <c r="L847" s="143" t="s">
        <v>784</v>
      </c>
      <c r="Q847" s="143" t="s">
        <v>904</v>
      </c>
    </row>
    <row r="848" spans="12:17">
      <c r="L848" s="143" t="s">
        <v>785</v>
      </c>
      <c r="Q848" s="143" t="s">
        <v>906</v>
      </c>
    </row>
    <row r="849" spans="12:17">
      <c r="L849" s="143" t="s">
        <v>786</v>
      </c>
      <c r="Q849" s="143" t="s">
        <v>909</v>
      </c>
    </row>
    <row r="850" spans="12:17">
      <c r="L850" s="143" t="s">
        <v>787</v>
      </c>
    </row>
    <row r="851" spans="12:17">
      <c r="L851" s="143" t="s">
        <v>788</v>
      </c>
    </row>
    <row r="852" spans="12:17">
      <c r="L852" s="143" t="s">
        <v>789</v>
      </c>
    </row>
    <row r="853" spans="12:17">
      <c r="L853" s="143" t="s">
        <v>790</v>
      </c>
    </row>
    <row r="854" spans="12:17">
      <c r="L854" s="143" t="s">
        <v>791</v>
      </c>
    </row>
    <row r="855" spans="12:17">
      <c r="L855" s="143" t="s">
        <v>792</v>
      </c>
    </row>
    <row r="856" spans="12:17">
      <c r="L856" s="143" t="s">
        <v>793</v>
      </c>
    </row>
    <row r="857" spans="12:17">
      <c r="L857" s="143" t="s">
        <v>794</v>
      </c>
    </row>
    <row r="858" spans="12:17">
      <c r="L858" s="143" t="s">
        <v>795</v>
      </c>
    </row>
    <row r="859" spans="12:17">
      <c r="L859" s="143" t="s">
        <v>796</v>
      </c>
    </row>
    <row r="860" spans="12:17">
      <c r="L860" s="143" t="s">
        <v>797</v>
      </c>
    </row>
    <row r="861" spans="12:17">
      <c r="L861" s="143" t="s">
        <v>798</v>
      </c>
    </row>
    <row r="862" spans="12:17">
      <c r="L862" s="143" t="s">
        <v>805</v>
      </c>
    </row>
    <row r="863" spans="12:17">
      <c r="L863" s="143" t="s">
        <v>838</v>
      </c>
    </row>
    <row r="864" spans="12:17">
      <c r="L864" s="143" t="s">
        <v>839</v>
      </c>
    </row>
    <row r="865" spans="12:12">
      <c r="L865" s="143" t="s">
        <v>840</v>
      </c>
    </row>
    <row r="866" spans="12:12">
      <c r="L866" s="143" t="s">
        <v>841</v>
      </c>
    </row>
    <row r="867" spans="12:12">
      <c r="L867" s="143" t="s">
        <v>842</v>
      </c>
    </row>
    <row r="868" spans="12:12">
      <c r="L868" s="143" t="s">
        <v>843</v>
      </c>
    </row>
    <row r="869" spans="12:12">
      <c r="L869" s="143" t="s">
        <v>847</v>
      </c>
    </row>
    <row r="870" spans="12:12">
      <c r="L870" s="143" t="s">
        <v>850</v>
      </c>
    </row>
    <row r="871" spans="12:12">
      <c r="L871" s="143" t="s">
        <v>851</v>
      </c>
    </row>
    <row r="872" spans="12:12">
      <c r="L872" s="143" t="s">
        <v>852</v>
      </c>
    </row>
    <row r="873" spans="12:12">
      <c r="L873" s="143" t="s">
        <v>853</v>
      </c>
    </row>
    <row r="874" spans="12:12">
      <c r="L874" s="143" t="s">
        <v>855</v>
      </c>
    </row>
    <row r="875" spans="12:12">
      <c r="L875" s="143" t="s">
        <v>856</v>
      </c>
    </row>
    <row r="876" spans="12:12">
      <c r="L876" s="143" t="s">
        <v>857</v>
      </c>
    </row>
    <row r="877" spans="12:12">
      <c r="L877" s="143" t="s">
        <v>858</v>
      </c>
    </row>
    <row r="878" spans="12:12">
      <c r="L878" s="143" t="s">
        <v>859</v>
      </c>
    </row>
    <row r="879" spans="12:12">
      <c r="L879" s="143" t="s">
        <v>860</v>
      </c>
    </row>
    <row r="880" spans="12:12">
      <c r="L880" s="143" t="s">
        <v>861</v>
      </c>
    </row>
    <row r="881" spans="12:12">
      <c r="L881" s="143" t="s">
        <v>864</v>
      </c>
    </row>
    <row r="882" spans="12:12">
      <c r="L882" s="143" t="s">
        <v>869</v>
      </c>
    </row>
    <row r="883" spans="12:12">
      <c r="L883" s="143" t="s">
        <v>873</v>
      </c>
    </row>
    <row r="884" spans="12:12">
      <c r="L884" s="143" t="s">
        <v>874</v>
      </c>
    </row>
    <row r="885" spans="12:12">
      <c r="L885" s="143" t="s">
        <v>889</v>
      </c>
    </row>
    <row r="886" spans="12:12">
      <c r="L886" s="143" t="s">
        <v>897</v>
      </c>
    </row>
    <row r="887" spans="12:12">
      <c r="L887" s="143" t="s">
        <v>903</v>
      </c>
    </row>
    <row r="888" spans="12:12">
      <c r="L888" s="143" t="s">
        <v>904</v>
      </c>
    </row>
    <row r="889" spans="12:12">
      <c r="L889" s="143" t="s">
        <v>906</v>
      </c>
    </row>
    <row r="890" spans="12:12">
      <c r="L890" s="143" t="s">
        <v>909</v>
      </c>
    </row>
    <row r="892" spans="12:12">
      <c r="L892" s="146" t="s">
        <v>568</v>
      </c>
    </row>
    <row r="893" spans="12:12">
      <c r="L893" s="147" t="s">
        <v>572</v>
      </c>
    </row>
    <row r="894" spans="12:12">
      <c r="L894" s="146" t="s">
        <v>743</v>
      </c>
    </row>
    <row r="895" spans="12:12">
      <c r="L895" s="146" t="s">
        <v>544</v>
      </c>
    </row>
    <row r="896" spans="12:12">
      <c r="L896" s="146" t="s">
        <v>545</v>
      </c>
    </row>
    <row r="897" spans="12:12">
      <c r="L897" s="146" t="s">
        <v>737</v>
      </c>
    </row>
    <row r="898" spans="12:12">
      <c r="L898" s="146" t="s">
        <v>738</v>
      </c>
    </row>
    <row r="899" spans="12:12">
      <c r="L899" s="146" t="s">
        <v>391</v>
      </c>
    </row>
    <row r="900" spans="12:12">
      <c r="L900" s="146" t="s">
        <v>395</v>
      </c>
    </row>
    <row r="901" spans="12:12">
      <c r="L901" s="146" t="s">
        <v>729</v>
      </c>
    </row>
    <row r="902" spans="12:12">
      <c r="L902" s="146" t="s">
        <v>610</v>
      </c>
    </row>
    <row r="903" spans="12:12">
      <c r="L903" s="146" t="s">
        <v>606</v>
      </c>
    </row>
    <row r="904" spans="12:12">
      <c r="L904" s="146" t="s">
        <v>612</v>
      </c>
    </row>
    <row r="905" spans="12:12">
      <c r="L905" s="146" t="s">
        <v>613</v>
      </c>
    </row>
    <row r="906" spans="12:12">
      <c r="L906" s="146" t="s">
        <v>605</v>
      </c>
    </row>
    <row r="907" spans="12:12">
      <c r="L907" s="146" t="s">
        <v>753</v>
      </c>
    </row>
    <row r="908" spans="12:12">
      <c r="L908" s="146" t="s">
        <v>618</v>
      </c>
    </row>
    <row r="909" spans="12:12">
      <c r="L909" s="146" t="s">
        <v>558</v>
      </c>
    </row>
    <row r="910" spans="12:12">
      <c r="L910" s="146" t="s">
        <v>805</v>
      </c>
    </row>
    <row r="911" spans="12:12">
      <c r="L911" s="148" t="s">
        <v>794</v>
      </c>
    </row>
    <row r="912" spans="12:12">
      <c r="L912" s="148" t="s">
        <v>793</v>
      </c>
    </row>
    <row r="913" spans="12:12">
      <c r="L913" s="146" t="s">
        <v>797</v>
      </c>
    </row>
    <row r="914" spans="12:12">
      <c r="L914" s="146" t="s">
        <v>796</v>
      </c>
    </row>
    <row r="915" spans="12:12">
      <c r="L915" s="29" t="s">
        <v>786</v>
      </c>
    </row>
    <row r="916" spans="12:12">
      <c r="L916" s="146" t="s">
        <v>795</v>
      </c>
    </row>
    <row r="917" spans="12:12">
      <c r="L917" s="148" t="s">
        <v>783</v>
      </c>
    </row>
    <row r="918" spans="12:12">
      <c r="L918" s="148" t="s">
        <v>784</v>
      </c>
    </row>
    <row r="919" spans="12:12">
      <c r="L919" s="148" t="s">
        <v>785</v>
      </c>
    </row>
    <row r="920" spans="12:12">
      <c r="L920" s="146" t="s">
        <v>798</v>
      </c>
    </row>
    <row r="921" spans="12:12">
      <c r="L921" s="29" t="s">
        <v>787</v>
      </c>
    </row>
    <row r="922" spans="12:12">
      <c r="L922" s="29" t="s">
        <v>783</v>
      </c>
    </row>
    <row r="923" spans="12:12">
      <c r="L923" s="146" t="s">
        <v>842</v>
      </c>
    </row>
    <row r="924" spans="12:12">
      <c r="L924" s="146" t="s">
        <v>840</v>
      </c>
    </row>
    <row r="925" spans="12:12">
      <c r="L925" s="146" t="s">
        <v>841</v>
      </c>
    </row>
    <row r="926" spans="12:12">
      <c r="L926" s="146" t="s">
        <v>843</v>
      </c>
    </row>
    <row r="927" spans="12:12">
      <c r="L927" s="146" t="s">
        <v>847</v>
      </c>
    </row>
    <row r="928" spans="12:12">
      <c r="L928" s="148" t="s">
        <v>850</v>
      </c>
    </row>
    <row r="929" spans="12:12">
      <c r="L929" s="148" t="s">
        <v>851</v>
      </c>
    </row>
    <row r="930" spans="12:12">
      <c r="L930" s="148" t="s">
        <v>852</v>
      </c>
    </row>
    <row r="931" spans="12:12">
      <c r="L931" s="146" t="s">
        <v>873</v>
      </c>
    </row>
    <row r="932" spans="12:12">
      <c r="L932" s="146" t="s">
        <v>861</v>
      </c>
    </row>
    <row r="933" spans="12:12">
      <c r="L933" s="146" t="s">
        <v>864</v>
      </c>
    </row>
    <row r="934" spans="12:12">
      <c r="L934" s="146" t="s">
        <v>869</v>
      </c>
    </row>
    <row r="935" spans="12:12">
      <c r="L935" s="146" t="s">
        <v>874</v>
      </c>
    </row>
    <row r="936" spans="12:12">
      <c r="L936" s="146" t="s">
        <v>858</v>
      </c>
    </row>
    <row r="937" spans="12:12">
      <c r="L937" s="146" t="s">
        <v>857</v>
      </c>
    </row>
    <row r="938" spans="12:12">
      <c r="L938" s="146" t="s">
        <v>859</v>
      </c>
    </row>
    <row r="939" spans="12:12">
      <c r="L939" s="146" t="s">
        <v>860</v>
      </c>
    </row>
    <row r="940" spans="12:12">
      <c r="L940" s="146" t="s">
        <v>856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953</v>
      </c>
    </row>
    <row r="4" spans="2:2" hidden="1">
      <c r="B4" t="s">
        <v>688</v>
      </c>
    </row>
    <row r="5" spans="2:2" hidden="1">
      <c r="B5" t="s">
        <v>713</v>
      </c>
    </row>
    <row r="6" spans="2:2" hidden="1">
      <c r="B6" t="s">
        <v>522</v>
      </c>
    </row>
    <row r="7" spans="2:2" hidden="1">
      <c r="B7" t="s">
        <v>523</v>
      </c>
    </row>
    <row r="8" spans="2:2" hidden="1">
      <c r="B8" t="s">
        <v>524</v>
      </c>
    </row>
    <row r="9" spans="2:2" hidden="1">
      <c r="B9" t="s">
        <v>714</v>
      </c>
    </row>
    <row r="10" spans="2:2" hidden="1">
      <c r="B10" t="s">
        <v>715</v>
      </c>
    </row>
    <row r="11" spans="2:2" hidden="1">
      <c r="B11" t="s">
        <v>525</v>
      </c>
    </row>
    <row r="12" spans="2:2">
      <c r="B12" t="s">
        <v>716</v>
      </c>
    </row>
    <row r="13" spans="2:2" hidden="1">
      <c r="B13" t="s">
        <v>717</v>
      </c>
    </row>
    <row r="14" spans="2:2" hidden="1">
      <c r="B14" t="s">
        <v>718</v>
      </c>
    </row>
    <row r="15" spans="2:2" hidden="1">
      <c r="B15" t="s">
        <v>689</v>
      </c>
    </row>
    <row r="16" spans="2:2" hidden="1">
      <c r="B16" t="s">
        <v>719</v>
      </c>
    </row>
    <row r="17" spans="2:2" hidden="1">
      <c r="B17" t="s">
        <v>720</v>
      </c>
    </row>
    <row r="18" spans="2:2" hidden="1">
      <c r="B18" t="s">
        <v>690</v>
      </c>
    </row>
    <row r="19" spans="2:2">
      <c r="B19" t="s">
        <v>526</v>
      </c>
    </row>
    <row r="20" spans="2:2">
      <c r="B20" t="s">
        <v>721</v>
      </c>
    </row>
    <row r="21" spans="2:2" hidden="1">
      <c r="B21" t="s">
        <v>691</v>
      </c>
    </row>
    <row r="22" spans="2:2" hidden="1">
      <c r="B22" t="s">
        <v>692</v>
      </c>
    </row>
    <row r="23" spans="2:2" hidden="1">
      <c r="B23" t="s">
        <v>722</v>
      </c>
    </row>
    <row r="24" spans="2:2" hidden="1">
      <c r="B24" t="s">
        <v>723</v>
      </c>
    </row>
    <row r="25" spans="2:2" hidden="1">
      <c r="B25" t="s">
        <v>724</v>
      </c>
    </row>
    <row r="26" spans="2:2" hidden="1">
      <c r="B26" t="s">
        <v>725</v>
      </c>
    </row>
    <row r="27" spans="2:2">
      <c r="B27" t="s">
        <v>726</v>
      </c>
    </row>
    <row r="28" spans="2:2">
      <c r="B28" t="s">
        <v>727</v>
      </c>
    </row>
    <row r="29" spans="2:2" hidden="1">
      <c r="B29" t="s">
        <v>728</v>
      </c>
    </row>
    <row r="30" spans="2:2">
      <c r="B30" t="s">
        <v>275</v>
      </c>
    </row>
    <row r="31" spans="2:2">
      <c r="B31" t="s">
        <v>529</v>
      </c>
    </row>
    <row r="32" spans="2:2">
      <c r="B32" t="s">
        <v>530</v>
      </c>
    </row>
    <row r="33" spans="2:2">
      <c r="B33" t="s">
        <v>280</v>
      </c>
    </row>
    <row r="34" spans="2:2">
      <c r="B34" t="s">
        <v>730</v>
      </c>
    </row>
    <row r="35" spans="2:2">
      <c r="B35" t="s">
        <v>731</v>
      </c>
    </row>
    <row r="36" spans="2:2">
      <c r="B36" t="s">
        <v>732</v>
      </c>
    </row>
    <row r="37" spans="2:2" hidden="1">
      <c r="B37" t="s">
        <v>733</v>
      </c>
    </row>
    <row r="38" spans="2:2" hidden="1">
      <c r="B38" t="s">
        <v>693</v>
      </c>
    </row>
    <row r="39" spans="2:2">
      <c r="B39" t="s">
        <v>734</v>
      </c>
    </row>
    <row r="40" spans="2:2">
      <c r="B40" t="s">
        <v>735</v>
      </c>
    </row>
    <row r="41" spans="2:2">
      <c r="B41" t="s">
        <v>736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546</v>
      </c>
    </row>
    <row r="46" spans="2:2" hidden="1">
      <c r="B46" t="s">
        <v>740</v>
      </c>
    </row>
    <row r="47" spans="2:2">
      <c r="B47" t="s">
        <v>548</v>
      </c>
    </row>
    <row r="48" spans="2:2">
      <c r="B48" t="s">
        <v>742</v>
      </c>
    </row>
    <row r="49" spans="2:2">
      <c r="B49" t="s">
        <v>445</v>
      </c>
    </row>
    <row r="50" spans="2:2">
      <c r="B50" t="s">
        <v>451</v>
      </c>
    </row>
    <row r="51" spans="2:2">
      <c r="B51" t="s">
        <v>381</v>
      </c>
    </row>
    <row r="52" spans="2:2">
      <c r="B52" t="s">
        <v>744</v>
      </c>
    </row>
    <row r="53" spans="2:2">
      <c r="B53" t="s">
        <v>375</v>
      </c>
    </row>
    <row r="54" spans="2:2" hidden="1">
      <c r="B54" t="s">
        <v>373</v>
      </c>
    </row>
    <row r="55" spans="2:2" hidden="1">
      <c r="B55" t="s">
        <v>745</v>
      </c>
    </row>
    <row r="56" spans="2:2" hidden="1">
      <c r="B56" t="s">
        <v>371</v>
      </c>
    </row>
    <row r="57" spans="2:2" hidden="1">
      <c r="B57" t="s">
        <v>694</v>
      </c>
    </row>
    <row r="58" spans="2:2" hidden="1">
      <c r="B58" t="s">
        <v>695</v>
      </c>
    </row>
    <row r="59" spans="2:2" hidden="1">
      <c r="B59" t="s">
        <v>372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696</v>
      </c>
    </row>
    <row r="69" spans="2:2" hidden="1">
      <c r="B69" t="s">
        <v>746</v>
      </c>
    </row>
    <row r="70" spans="2:2" hidden="1">
      <c r="B70" t="s">
        <v>697</v>
      </c>
    </row>
    <row r="71" spans="2:2" hidden="1">
      <c r="B71" t="s">
        <v>465</v>
      </c>
    </row>
    <row r="72" spans="2:2" hidden="1">
      <c r="B72" t="s">
        <v>421</v>
      </c>
    </row>
    <row r="73" spans="2:2" hidden="1">
      <c r="B73" t="s">
        <v>403</v>
      </c>
    </row>
    <row r="74" spans="2:2">
      <c r="B74" t="s">
        <v>377</v>
      </c>
    </row>
    <row r="75" spans="2:2">
      <c r="B75" t="s">
        <v>552</v>
      </c>
    </row>
    <row r="76" spans="2:2" hidden="1">
      <c r="B76" t="s">
        <v>407</v>
      </c>
    </row>
    <row r="77" spans="2:2" hidden="1">
      <c r="B77" t="s">
        <v>410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698</v>
      </c>
    </row>
    <row r="81" spans="2:2">
      <c r="B81" t="s">
        <v>554</v>
      </c>
    </row>
    <row r="82" spans="2:2" hidden="1">
      <c r="B82" t="s">
        <v>428</v>
      </c>
    </row>
    <row r="83" spans="2:2" hidden="1">
      <c r="B83" t="s">
        <v>426</v>
      </c>
    </row>
    <row r="84" spans="2:2" hidden="1">
      <c r="B84" t="s">
        <v>388</v>
      </c>
    </row>
    <row r="85" spans="2:2" hidden="1">
      <c r="B85" t="s">
        <v>180</v>
      </c>
    </row>
    <row r="86" spans="2:2" hidden="1">
      <c r="B86" t="s">
        <v>374</v>
      </c>
    </row>
    <row r="87" spans="2:2" hidden="1">
      <c r="B87" t="s">
        <v>386</v>
      </c>
    </row>
    <row r="88" spans="2:2">
      <c r="B88" t="s">
        <v>169</v>
      </c>
    </row>
    <row r="89" spans="2:2">
      <c r="B89" t="s">
        <v>589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614</v>
      </c>
    </row>
    <row r="93" spans="2:2">
      <c r="B93" t="s">
        <v>754</v>
      </c>
    </row>
    <row r="94" spans="2:2">
      <c r="B94" t="s">
        <v>755</v>
      </c>
    </row>
    <row r="95" spans="2:2">
      <c r="B95" t="s">
        <v>756</v>
      </c>
    </row>
    <row r="96" spans="2:2">
      <c r="B96" t="s">
        <v>757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617</v>
      </c>
    </row>
    <row r="100" spans="2:2">
      <c r="B100" t="s">
        <v>619</v>
      </c>
    </row>
    <row r="101" spans="2:2">
      <c r="B101" t="s">
        <v>624</v>
      </c>
    </row>
    <row r="102" spans="2:2">
      <c r="B102" t="s">
        <v>758</v>
      </c>
    </row>
    <row r="103" spans="2:2">
      <c r="B103" t="s">
        <v>759</v>
      </c>
    </row>
    <row r="104" spans="2:2">
      <c r="B104" t="s">
        <v>760</v>
      </c>
    </row>
    <row r="105" spans="2:2">
      <c r="B105" t="s">
        <v>761</v>
      </c>
    </row>
    <row r="106" spans="2:2">
      <c r="B106" t="s">
        <v>144</v>
      </c>
    </row>
    <row r="107" spans="2:2">
      <c r="B107" t="s">
        <v>762</v>
      </c>
    </row>
    <row r="108" spans="2:2">
      <c r="B108" t="s">
        <v>763</v>
      </c>
    </row>
    <row r="109" spans="2:2">
      <c r="B109" t="s">
        <v>764</v>
      </c>
    </row>
    <row r="110" spans="2:2" hidden="1">
      <c r="B110" t="s">
        <v>765</v>
      </c>
    </row>
    <row r="111" spans="2:2" hidden="1">
      <c r="B111" t="s">
        <v>699</v>
      </c>
    </row>
    <row r="112" spans="2:2" hidden="1">
      <c r="B112" t="s">
        <v>183</v>
      </c>
    </row>
    <row r="113" spans="2:2" hidden="1">
      <c r="B113" t="s">
        <v>766</v>
      </c>
    </row>
    <row r="114" spans="2:2" hidden="1">
      <c r="B114" t="s">
        <v>767</v>
      </c>
    </row>
    <row r="115" spans="2:2" hidden="1">
      <c r="B115" t="s">
        <v>768</v>
      </c>
    </row>
    <row r="116" spans="2:2" hidden="1">
      <c r="B116" t="s">
        <v>625</v>
      </c>
    </row>
    <row r="117" spans="2:2">
      <c r="B117" t="s">
        <v>626</v>
      </c>
    </row>
    <row r="118" spans="2:2" hidden="1">
      <c r="B118" t="s">
        <v>627</v>
      </c>
    </row>
    <row r="119" spans="2:2" hidden="1">
      <c r="B119" t="s">
        <v>145</v>
      </c>
    </row>
    <row r="120" spans="2:2">
      <c r="B120" t="s">
        <v>628</v>
      </c>
    </row>
    <row r="121" spans="2:2" hidden="1">
      <c r="B121" t="s">
        <v>146</v>
      </c>
    </row>
    <row r="122" spans="2:2" hidden="1">
      <c r="B122" t="s">
        <v>769</v>
      </c>
    </row>
    <row r="123" spans="2:2">
      <c r="B123" t="s">
        <v>771</v>
      </c>
    </row>
    <row r="124" spans="2:2">
      <c r="B124" t="s">
        <v>633</v>
      </c>
    </row>
    <row r="125" spans="2:2" hidden="1">
      <c r="B125" t="s">
        <v>772</v>
      </c>
    </row>
    <row r="126" spans="2:2" hidden="1">
      <c r="B126" t="s">
        <v>700</v>
      </c>
    </row>
    <row r="127" spans="2:2" hidden="1">
      <c r="B127" t="s">
        <v>701</v>
      </c>
    </row>
    <row r="128" spans="2:2" hidden="1">
      <c r="B128" t="s">
        <v>773</v>
      </c>
    </row>
    <row r="129" spans="2:2" hidden="1">
      <c r="B129" t="s">
        <v>702</v>
      </c>
    </row>
    <row r="130" spans="2:2" hidden="1">
      <c r="B130" t="s">
        <v>774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635</v>
      </c>
    </row>
    <row r="135" spans="2:2">
      <c r="B135" t="s">
        <v>147</v>
      </c>
    </row>
    <row r="136" spans="2:2">
      <c r="B136" t="s">
        <v>636</v>
      </c>
    </row>
    <row r="137" spans="2:2">
      <c r="B137" t="s">
        <v>638</v>
      </c>
    </row>
    <row r="138" spans="2:2">
      <c r="B138" t="s">
        <v>467</v>
      </c>
    </row>
    <row r="139" spans="2:2" hidden="1">
      <c r="B139" t="s">
        <v>644</v>
      </c>
    </row>
    <row r="140" spans="2:2">
      <c r="B140" t="s">
        <v>775</v>
      </c>
    </row>
    <row r="141" spans="2:2" hidden="1">
      <c r="B141" t="s">
        <v>777</v>
      </c>
    </row>
    <row r="142" spans="2:2" hidden="1">
      <c r="B142" t="s">
        <v>655</v>
      </c>
    </row>
    <row r="143" spans="2:2" hidden="1">
      <c r="B143" t="s">
        <v>148</v>
      </c>
    </row>
    <row r="144" spans="2:2">
      <c r="B144" t="s">
        <v>660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424</v>
      </c>
    </row>
    <row r="149" spans="2:2" hidden="1">
      <c r="B149" t="s">
        <v>466</v>
      </c>
    </row>
    <row r="150" spans="2:2">
      <c r="B150" t="s">
        <v>778</v>
      </c>
    </row>
    <row r="151" spans="2:2" hidden="1">
      <c r="B151" t="s">
        <v>779</v>
      </c>
    </row>
    <row r="152" spans="2:2" hidden="1">
      <c r="B152" t="s">
        <v>780</v>
      </c>
    </row>
    <row r="153" spans="2:2" hidden="1">
      <c r="B153" t="s">
        <v>781</v>
      </c>
    </row>
    <row r="154" spans="2:2" hidden="1">
      <c r="B154" t="s">
        <v>703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782</v>
      </c>
    </row>
    <row r="158" spans="2:2">
      <c r="B158" t="s">
        <v>153</v>
      </c>
    </row>
    <row r="159" spans="2:2">
      <c r="B159" t="s">
        <v>799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800</v>
      </c>
    </row>
    <row r="163" spans="2:2">
      <c r="B163" t="s">
        <v>801</v>
      </c>
    </row>
    <row r="164" spans="2:2">
      <c r="B164" t="s">
        <v>802</v>
      </c>
    </row>
    <row r="165" spans="2:2">
      <c r="B165" t="s">
        <v>803</v>
      </c>
    </row>
    <row r="166" spans="2:2">
      <c r="B166" t="s">
        <v>804</v>
      </c>
    </row>
    <row r="167" spans="2:2">
      <c r="B167" t="s">
        <v>806</v>
      </c>
    </row>
    <row r="168" spans="2:2">
      <c r="B168" t="s">
        <v>807</v>
      </c>
    </row>
    <row r="169" spans="2:2">
      <c r="B169" t="s">
        <v>808</v>
      </c>
    </row>
    <row r="170" spans="2:2" hidden="1">
      <c r="B170" t="s">
        <v>809</v>
      </c>
    </row>
    <row r="171" spans="2:2">
      <c r="B171" t="s">
        <v>187</v>
      </c>
    </row>
    <row r="172" spans="2:2" hidden="1">
      <c r="B172" t="s">
        <v>810</v>
      </c>
    </row>
    <row r="173" spans="2:2" hidden="1">
      <c r="B173" t="s">
        <v>811</v>
      </c>
    </row>
    <row r="174" spans="2:2">
      <c r="B174" t="s">
        <v>188</v>
      </c>
    </row>
    <row r="175" spans="2:2">
      <c r="B175" t="s">
        <v>812</v>
      </c>
    </row>
    <row r="176" spans="2:2">
      <c r="B176" t="s">
        <v>813</v>
      </c>
    </row>
    <row r="177" spans="2:2">
      <c r="B177" t="s">
        <v>155</v>
      </c>
    </row>
    <row r="178" spans="2:2">
      <c r="B178" t="s">
        <v>814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815</v>
      </c>
    </row>
    <row r="182" spans="2:2">
      <c r="B182" t="s">
        <v>816</v>
      </c>
    </row>
    <row r="183" spans="2:2">
      <c r="B183" t="s">
        <v>817</v>
      </c>
    </row>
    <row r="184" spans="2:2">
      <c r="B184" t="s">
        <v>818</v>
      </c>
    </row>
    <row r="185" spans="2:2">
      <c r="B185" t="s">
        <v>189</v>
      </c>
    </row>
    <row r="186" spans="2:2">
      <c r="B186" t="s">
        <v>819</v>
      </c>
    </row>
    <row r="187" spans="2:2">
      <c r="B187" t="s">
        <v>820</v>
      </c>
    </row>
    <row r="188" spans="2:2">
      <c r="B188" t="s">
        <v>822</v>
      </c>
    </row>
    <row r="189" spans="2:2">
      <c r="B189" t="s">
        <v>823</v>
      </c>
    </row>
    <row r="190" spans="2:2" hidden="1">
      <c r="B190" t="s">
        <v>824</v>
      </c>
    </row>
    <row r="191" spans="2:2">
      <c r="B191" t="s">
        <v>825</v>
      </c>
    </row>
    <row r="192" spans="2:2">
      <c r="B192" t="s">
        <v>826</v>
      </c>
    </row>
    <row r="193" spans="2:2">
      <c r="B193" t="s">
        <v>827</v>
      </c>
    </row>
    <row r="194" spans="2:2">
      <c r="B194" t="s">
        <v>828</v>
      </c>
    </row>
    <row r="195" spans="2:2">
      <c r="B195" t="s">
        <v>829</v>
      </c>
    </row>
    <row r="196" spans="2:2">
      <c r="B196" t="s">
        <v>830</v>
      </c>
    </row>
    <row r="197" spans="2:2">
      <c r="B197" t="s">
        <v>831</v>
      </c>
    </row>
    <row r="198" spans="2:2">
      <c r="B198" t="s">
        <v>832</v>
      </c>
    </row>
    <row r="199" spans="2:2">
      <c r="B199" t="s">
        <v>833</v>
      </c>
    </row>
    <row r="200" spans="2:2">
      <c r="B200" t="s">
        <v>834</v>
      </c>
    </row>
    <row r="201" spans="2:2">
      <c r="B201" t="s">
        <v>835</v>
      </c>
    </row>
    <row r="202" spans="2:2">
      <c r="B202" t="s">
        <v>836</v>
      </c>
    </row>
    <row r="203" spans="2:2">
      <c r="B203" t="s">
        <v>190</v>
      </c>
    </row>
    <row r="204" spans="2:2">
      <c r="B204" t="s">
        <v>837</v>
      </c>
    </row>
    <row r="205" spans="2:2">
      <c r="B205" t="s">
        <v>844</v>
      </c>
    </row>
    <row r="206" spans="2:2">
      <c r="B206" t="s">
        <v>845</v>
      </c>
    </row>
    <row r="207" spans="2:2">
      <c r="B207" t="s">
        <v>846</v>
      </c>
    </row>
    <row r="208" spans="2:2">
      <c r="B208" t="s">
        <v>848</v>
      </c>
    </row>
    <row r="209" spans="2:2">
      <c r="B209" t="s">
        <v>849</v>
      </c>
    </row>
    <row r="210" spans="2:2">
      <c r="B210" t="s">
        <v>854</v>
      </c>
    </row>
    <row r="211" spans="2:2">
      <c r="B211" t="s">
        <v>862</v>
      </c>
    </row>
    <row r="212" spans="2:2">
      <c r="B212" t="s">
        <v>863</v>
      </c>
    </row>
    <row r="213" spans="2:2">
      <c r="B213" t="s">
        <v>865</v>
      </c>
    </row>
    <row r="214" spans="2:2">
      <c r="B214" t="s">
        <v>866</v>
      </c>
    </row>
    <row r="215" spans="2:2">
      <c r="B215" t="s">
        <v>867</v>
      </c>
    </row>
    <row r="216" spans="2:2">
      <c r="B216" t="s">
        <v>868</v>
      </c>
    </row>
    <row r="217" spans="2:2">
      <c r="B217" t="s">
        <v>870</v>
      </c>
    </row>
    <row r="218" spans="2:2">
      <c r="B218" t="s">
        <v>871</v>
      </c>
    </row>
    <row r="219" spans="2:2">
      <c r="B219" t="s">
        <v>872</v>
      </c>
    </row>
    <row r="220" spans="2:2">
      <c r="B220" t="s">
        <v>875</v>
      </c>
    </row>
    <row r="221" spans="2:2" hidden="1">
      <c r="B221" t="s">
        <v>877</v>
      </c>
    </row>
    <row r="222" spans="2:2">
      <c r="B222" t="s">
        <v>170</v>
      </c>
    </row>
    <row r="223" spans="2:2" hidden="1">
      <c r="B223" t="s">
        <v>704</v>
      </c>
    </row>
    <row r="224" spans="2:2" hidden="1">
      <c r="B224" t="s">
        <v>878</v>
      </c>
    </row>
    <row r="225" spans="2:2" hidden="1">
      <c r="B225" t="s">
        <v>879</v>
      </c>
    </row>
    <row r="226" spans="2:2">
      <c r="B226" t="s">
        <v>880</v>
      </c>
    </row>
    <row r="227" spans="2:2" hidden="1">
      <c r="B227" t="s">
        <v>881</v>
      </c>
    </row>
    <row r="228" spans="2:2" hidden="1">
      <c r="B228" t="s">
        <v>705</v>
      </c>
    </row>
    <row r="229" spans="2:2" hidden="1">
      <c r="B229" t="s">
        <v>882</v>
      </c>
    </row>
    <row r="230" spans="2:2">
      <c r="B230" t="s">
        <v>883</v>
      </c>
    </row>
    <row r="231" spans="2:2">
      <c r="B231" t="s">
        <v>171</v>
      </c>
    </row>
    <row r="232" spans="2:2" hidden="1">
      <c r="B232" t="s">
        <v>884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885</v>
      </c>
    </row>
    <row r="237" spans="2:2">
      <c r="B237" t="s">
        <v>886</v>
      </c>
    </row>
    <row r="238" spans="2:2">
      <c r="B238" t="s">
        <v>887</v>
      </c>
    </row>
    <row r="239" spans="2:2" hidden="1">
      <c r="B239" t="s">
        <v>888</v>
      </c>
    </row>
    <row r="240" spans="2:2" hidden="1">
      <c r="B240" t="s">
        <v>706</v>
      </c>
    </row>
    <row r="241" spans="2:2" hidden="1">
      <c r="B241" t="s">
        <v>707</v>
      </c>
    </row>
    <row r="242" spans="2:2" hidden="1">
      <c r="B242" t="s">
        <v>891</v>
      </c>
    </row>
    <row r="243" spans="2:2">
      <c r="B243" t="s">
        <v>892</v>
      </c>
    </row>
    <row r="244" spans="2:2">
      <c r="B244" t="s">
        <v>893</v>
      </c>
    </row>
    <row r="245" spans="2:2">
      <c r="B245" t="s">
        <v>894</v>
      </c>
    </row>
    <row r="246" spans="2:2" hidden="1">
      <c r="B246" t="s">
        <v>708</v>
      </c>
    </row>
    <row r="247" spans="2:2">
      <c r="B247" t="s">
        <v>895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709</v>
      </c>
    </row>
    <row r="251" spans="2:2">
      <c r="B251" t="s">
        <v>161</v>
      </c>
    </row>
    <row r="252" spans="2:2" hidden="1">
      <c r="B252" t="s">
        <v>710</v>
      </c>
    </row>
    <row r="253" spans="2:2" hidden="1">
      <c r="B253" t="s">
        <v>711</v>
      </c>
    </row>
    <row r="254" spans="2:2" hidden="1">
      <c r="B254" t="s">
        <v>896</v>
      </c>
    </row>
    <row r="255" spans="2:2" hidden="1">
      <c r="B255" t="s">
        <v>898</v>
      </c>
    </row>
    <row r="256" spans="2:2" hidden="1">
      <c r="B256" t="s">
        <v>899</v>
      </c>
    </row>
    <row r="257" spans="2:2" hidden="1">
      <c r="B257" t="s">
        <v>900</v>
      </c>
    </row>
    <row r="258" spans="2:2">
      <c r="B258" t="s">
        <v>901</v>
      </c>
    </row>
    <row r="259" spans="2:2">
      <c r="B259" t="s">
        <v>902</v>
      </c>
    </row>
    <row r="260" spans="2:2" hidden="1">
      <c r="B260" t="s">
        <v>712</v>
      </c>
    </row>
    <row r="261" spans="2:2">
      <c r="B261" t="s">
        <v>905</v>
      </c>
    </row>
    <row r="262" spans="2:2">
      <c r="B262" t="s">
        <v>162</v>
      </c>
    </row>
    <row r="263" spans="2:2">
      <c r="B263" t="s">
        <v>907</v>
      </c>
    </row>
    <row r="264" spans="2:2">
      <c r="B264" t="s">
        <v>163</v>
      </c>
    </row>
    <row r="265" spans="2:2">
      <c r="B265" t="s">
        <v>908</v>
      </c>
    </row>
    <row r="268" spans="2:2">
      <c r="B268" s="131" t="s">
        <v>713</v>
      </c>
    </row>
    <row r="269" spans="2:2">
      <c r="B269" s="131" t="s">
        <v>522</v>
      </c>
    </row>
    <row r="270" spans="2:2">
      <c r="B270" s="131" t="s">
        <v>523</v>
      </c>
    </row>
    <row r="271" spans="2:2">
      <c r="B271" s="131" t="s">
        <v>714</v>
      </c>
    </row>
    <row r="272" spans="2:2">
      <c r="B272" s="131" t="s">
        <v>715</v>
      </c>
    </row>
    <row r="273" spans="2:2">
      <c r="B273" s="131" t="s">
        <v>690</v>
      </c>
    </row>
    <row r="274" spans="2:2">
      <c r="B274" s="131" t="s">
        <v>717</v>
      </c>
    </row>
    <row r="275" spans="2:2">
      <c r="B275" s="131" t="s">
        <v>718</v>
      </c>
    </row>
    <row r="276" spans="2:2">
      <c r="B276" s="131" t="s">
        <v>689</v>
      </c>
    </row>
    <row r="277" spans="2:2">
      <c r="B277" s="131" t="s">
        <v>719</v>
      </c>
    </row>
    <row r="278" spans="2:2">
      <c r="B278" s="131" t="s">
        <v>720</v>
      </c>
    </row>
    <row r="279" spans="2:2">
      <c r="B279" s="131" t="s">
        <v>728</v>
      </c>
    </row>
    <row r="280" spans="2:2">
      <c r="B280" s="131" t="s">
        <v>524</v>
      </c>
    </row>
    <row r="281" spans="2:2">
      <c r="B281" s="131" t="s">
        <v>722</v>
      </c>
    </row>
    <row r="282" spans="2:2">
      <c r="B282" s="131" t="s">
        <v>725</v>
      </c>
    </row>
    <row r="283" spans="2:2">
      <c r="B283" s="131" t="s">
        <v>546</v>
      </c>
    </row>
    <row r="284" spans="2:2">
      <c r="B284" s="131" t="s">
        <v>740</v>
      </c>
    </row>
    <row r="285" spans="2:2">
      <c r="B285" s="131" t="s">
        <v>745</v>
      </c>
    </row>
    <row r="286" spans="2:2">
      <c r="B286" s="131" t="s">
        <v>695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465</v>
      </c>
    </row>
    <row r="290" spans="2:2">
      <c r="B290" s="131" t="s">
        <v>178</v>
      </c>
    </row>
    <row r="291" spans="2:2">
      <c r="B291" s="131" t="s">
        <v>388</v>
      </c>
    </row>
    <row r="292" spans="2:2">
      <c r="B292" s="131" t="s">
        <v>374</v>
      </c>
    </row>
    <row r="293" spans="2:2">
      <c r="B293" s="131" t="s">
        <v>183</v>
      </c>
    </row>
    <row r="294" spans="2:2">
      <c r="B294" s="131" t="s">
        <v>766</v>
      </c>
    </row>
    <row r="295" spans="2:2">
      <c r="B295" s="131" t="s">
        <v>769</v>
      </c>
    </row>
    <row r="296" spans="2:2">
      <c r="B296" s="131" t="s">
        <v>696</v>
      </c>
    </row>
    <row r="297" spans="2:2">
      <c r="B297" s="131" t="s">
        <v>371</v>
      </c>
    </row>
    <row r="298" spans="2:2">
      <c r="B298" s="131" t="s">
        <v>773</v>
      </c>
    </row>
    <row r="299" spans="2:2">
      <c r="B299" s="131" t="s">
        <v>179</v>
      </c>
    </row>
    <row r="300" spans="2:2">
      <c r="B300" s="131" t="s">
        <v>644</v>
      </c>
    </row>
    <row r="301" spans="2:2">
      <c r="B301" s="131" t="s">
        <v>877</v>
      </c>
    </row>
    <row r="302" spans="2:2">
      <c r="B302" s="131" t="s">
        <v>879</v>
      </c>
    </row>
    <row r="303" spans="2:2">
      <c r="B303" s="131" t="s">
        <v>881</v>
      </c>
    </row>
    <row r="304" spans="2:2">
      <c r="B304" s="131" t="s">
        <v>882</v>
      </c>
    </row>
    <row r="305" spans="2:2">
      <c r="B305" s="131" t="s">
        <v>884</v>
      </c>
    </row>
    <row r="306" spans="2:2">
      <c r="B306" s="131" t="s">
        <v>885</v>
      </c>
    </row>
    <row r="307" spans="2:2">
      <c r="B307" s="131" t="s">
        <v>697</v>
      </c>
    </row>
    <row r="308" spans="2:2">
      <c r="B308" s="131" t="s">
        <v>708</v>
      </c>
    </row>
    <row r="309" spans="2:2">
      <c r="B309" s="131" t="s">
        <v>709</v>
      </c>
    </row>
    <row r="310" spans="2:2">
      <c r="B310" s="131" t="s">
        <v>410</v>
      </c>
    </row>
    <row r="311" spans="2:2">
      <c r="B311" s="131" t="s">
        <v>699</v>
      </c>
    </row>
    <row r="312" spans="2:2">
      <c r="B312" s="131" t="s">
        <v>701</v>
      </c>
    </row>
    <row r="313" spans="2:2">
      <c r="B313" s="131" t="s">
        <v>711</v>
      </c>
    </row>
    <row r="314" spans="2:2">
      <c r="B314" s="131" t="s">
        <v>707</v>
      </c>
    </row>
    <row r="315" spans="2:2">
      <c r="B315" s="131" t="s">
        <v>693</v>
      </c>
    </row>
    <row r="316" spans="2:2">
      <c r="B316" s="25" t="s">
        <v>702</v>
      </c>
    </row>
    <row r="317" spans="2:2">
      <c r="B317" s="131" t="s">
        <v>712</v>
      </c>
    </row>
    <row r="318" spans="2:2">
      <c r="B318" s="131" t="s">
        <v>691</v>
      </c>
    </row>
    <row r="319" spans="2:2">
      <c r="B319" s="131" t="s">
        <v>407</v>
      </c>
    </row>
    <row r="320" spans="2:2">
      <c r="B320" s="131" t="s">
        <v>705</v>
      </c>
    </row>
    <row r="321" spans="2:2">
      <c r="B321" s="132" t="s">
        <v>703</v>
      </c>
    </row>
    <row r="322" spans="2:2">
      <c r="B322" s="132" t="s">
        <v>688</v>
      </c>
    </row>
    <row r="323" spans="2:2">
      <c r="B323" s="132" t="s">
        <v>180</v>
      </c>
    </row>
    <row r="324" spans="2:2">
      <c r="B324" s="132" t="s">
        <v>372</v>
      </c>
    </row>
    <row r="325" spans="2:2">
      <c r="B325" s="132" t="s">
        <v>700</v>
      </c>
    </row>
    <row r="326" spans="2:2">
      <c r="B326" s="132" t="s">
        <v>710</v>
      </c>
    </row>
    <row r="327" spans="2:2">
      <c r="B327" s="25" t="s">
        <v>185</v>
      </c>
    </row>
    <row r="328" spans="2:2">
      <c r="B328" s="25" t="s">
        <v>698</v>
      </c>
    </row>
    <row r="329" spans="2:2">
      <c r="B329" s="25" t="s">
        <v>403</v>
      </c>
    </row>
    <row r="330" spans="2:2">
      <c r="B330" s="25" t="s">
        <v>704</v>
      </c>
    </row>
    <row r="331" spans="2:2">
      <c r="B331" s="25" t="s">
        <v>421</v>
      </c>
    </row>
    <row r="332" spans="2:2">
      <c r="B332" s="25" t="s">
        <v>184</v>
      </c>
    </row>
    <row r="333" spans="2:2">
      <c r="B333" s="132" t="s">
        <v>655</v>
      </c>
    </row>
    <row r="334" spans="2:2">
      <c r="B334" s="132" t="s">
        <v>166</v>
      </c>
    </row>
    <row r="335" spans="2:2">
      <c r="B335" s="132" t="s">
        <v>692</v>
      </c>
    </row>
    <row r="336" spans="2:2">
      <c r="B336" s="132" t="s">
        <v>525</v>
      </c>
    </row>
    <row r="337" spans="2:2">
      <c r="B337" s="132" t="s">
        <v>386</v>
      </c>
    </row>
    <row r="338" spans="2:2">
      <c r="B338" s="132" t="s">
        <v>426</v>
      </c>
    </row>
    <row r="339" spans="2:2">
      <c r="B339" s="132" t="s">
        <v>694</v>
      </c>
    </row>
    <row r="340" spans="2:2">
      <c r="B340" s="132" t="s">
        <v>706</v>
      </c>
    </row>
    <row r="341" spans="2:2">
      <c r="B341" s="132" t="s">
        <v>900</v>
      </c>
    </row>
    <row r="342" spans="2:2">
      <c r="B342" s="132" t="s">
        <v>891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781</v>
      </c>
    </row>
    <row r="346" spans="2:2">
      <c r="B346" s="25" t="s">
        <v>899</v>
      </c>
    </row>
    <row r="347" spans="2:2">
      <c r="B347" s="25" t="s">
        <v>772</v>
      </c>
    </row>
    <row r="348" spans="2:2">
      <c r="B348" s="25" t="s">
        <v>765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809</v>
      </c>
    </row>
    <row r="352" spans="2:2">
      <c r="B352" s="25" t="s">
        <v>746</v>
      </c>
    </row>
    <row r="353" spans="2:2">
      <c r="B353" s="25" t="s">
        <v>777</v>
      </c>
    </row>
    <row r="354" spans="2:2">
      <c r="B354" s="25" t="s">
        <v>625</v>
      </c>
    </row>
    <row r="355" spans="2:2">
      <c r="B355" s="25" t="s">
        <v>878</v>
      </c>
    </row>
    <row r="356" spans="2:2">
      <c r="B356" s="25" t="s">
        <v>723</v>
      </c>
    </row>
    <row r="357" spans="2:2">
      <c r="B357" s="25" t="s">
        <v>152</v>
      </c>
    </row>
    <row r="358" spans="2:2">
      <c r="B358" s="25" t="s">
        <v>888</v>
      </c>
    </row>
    <row r="359" spans="2:2">
      <c r="B359" s="25" t="s">
        <v>810</v>
      </c>
    </row>
    <row r="360" spans="2:2">
      <c r="B360" s="25" t="s">
        <v>774</v>
      </c>
    </row>
    <row r="361" spans="2:2">
      <c r="B361" s="25" t="s">
        <v>627</v>
      </c>
    </row>
    <row r="362" spans="2:2">
      <c r="B362" s="25" t="s">
        <v>168</v>
      </c>
    </row>
    <row r="363" spans="2:2">
      <c r="B363" s="25" t="s">
        <v>635</v>
      </c>
    </row>
    <row r="364" spans="2:2">
      <c r="B364" s="25" t="s">
        <v>898</v>
      </c>
    </row>
    <row r="365" spans="2:2">
      <c r="B365" s="25" t="s">
        <v>174</v>
      </c>
    </row>
    <row r="366" spans="2:2">
      <c r="B366" s="25" t="s">
        <v>768</v>
      </c>
    </row>
    <row r="367" spans="2:2">
      <c r="B367" s="25" t="s">
        <v>466</v>
      </c>
    </row>
    <row r="368" spans="2:2">
      <c r="B368" s="25" t="s">
        <v>896</v>
      </c>
    </row>
    <row r="369" spans="2:2">
      <c r="B369" s="25" t="s">
        <v>780</v>
      </c>
    </row>
    <row r="370" spans="2:2">
      <c r="B370" s="25" t="s">
        <v>811</v>
      </c>
    </row>
    <row r="371" spans="2:2">
      <c r="B371" s="25" t="s">
        <v>733</v>
      </c>
    </row>
    <row r="372" spans="2:2">
      <c r="B372" s="25" t="s">
        <v>824</v>
      </c>
    </row>
    <row r="373" spans="2:2">
      <c r="B373" s="25" t="s">
        <v>767</v>
      </c>
    </row>
    <row r="374" spans="2:2">
      <c r="B374" s="25" t="s">
        <v>148</v>
      </c>
    </row>
    <row r="375" spans="2:2">
      <c r="B375" s="25" t="s">
        <v>428</v>
      </c>
    </row>
    <row r="376" spans="2:2">
      <c r="B376" s="25" t="s">
        <v>779</v>
      </c>
    </row>
    <row r="377" spans="2:2">
      <c r="B377" s="25" t="s">
        <v>724</v>
      </c>
    </row>
    <row r="378" spans="2:2">
      <c r="B378" s="132" t="s">
        <v>373</v>
      </c>
    </row>
    <row r="379" spans="2:2">
      <c r="B379" s="132" t="s">
        <v>424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954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955</v>
      </c>
      <c r="B3" s="117" t="s">
        <v>956</v>
      </c>
      <c r="C3" s="117" t="s">
        <v>957</v>
      </c>
      <c r="D3" s="117" t="s">
        <v>958</v>
      </c>
      <c r="E3" s="117" t="s">
        <v>959</v>
      </c>
      <c r="F3" s="52" t="s">
        <v>960</v>
      </c>
      <c r="G3" s="118" t="s">
        <v>961</v>
      </c>
      <c r="H3" s="119" t="s">
        <v>962</v>
      </c>
      <c r="I3" s="120" t="s">
        <v>963</v>
      </c>
      <c r="J3" s="52" t="s">
        <v>964</v>
      </c>
      <c r="K3" s="117" t="s">
        <v>965</v>
      </c>
      <c r="L3" s="52" t="s">
        <v>966</v>
      </c>
      <c r="M3" s="53" t="s">
        <v>967</v>
      </c>
      <c r="N3" s="116" t="s">
        <v>968</v>
      </c>
      <c r="O3" s="121" t="s">
        <v>969</v>
      </c>
      <c r="P3" s="54" t="s">
        <v>970</v>
      </c>
      <c r="Q3" s="122" t="s">
        <v>971</v>
      </c>
      <c r="R3" s="117" t="s">
        <v>265</v>
      </c>
      <c r="S3" s="117" t="s">
        <v>472</v>
      </c>
      <c r="T3" s="117" t="s">
        <v>972</v>
      </c>
      <c r="U3" s="117" t="s">
        <v>973</v>
      </c>
      <c r="V3" s="117" t="s">
        <v>974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3" t="s">
        <v>975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5"/>
    </row>
    <row r="2" spans="1:17" ht="21" customHeight="1">
      <c r="A2" s="806" t="s">
        <v>976</v>
      </c>
      <c r="B2" s="808" t="s">
        <v>203</v>
      </c>
      <c r="C2" s="808" t="s">
        <v>977</v>
      </c>
      <c r="D2" s="808" t="s">
        <v>978</v>
      </c>
      <c r="E2" s="808" t="s">
        <v>979</v>
      </c>
      <c r="F2" s="810" t="s">
        <v>112</v>
      </c>
      <c r="G2" s="810"/>
      <c r="H2" s="810" t="s">
        <v>114</v>
      </c>
      <c r="I2" s="810"/>
      <c r="J2" s="808" t="s">
        <v>980</v>
      </c>
      <c r="K2" s="808" t="s">
        <v>981</v>
      </c>
      <c r="L2" s="808" t="s">
        <v>982</v>
      </c>
      <c r="M2" s="808" t="s">
        <v>346</v>
      </c>
      <c r="N2" s="808" t="s">
        <v>478</v>
      </c>
      <c r="O2" s="808" t="s">
        <v>473</v>
      </c>
      <c r="P2" s="808" t="s">
        <v>474</v>
      </c>
      <c r="Q2" s="811" t="s">
        <v>33</v>
      </c>
    </row>
    <row r="3" spans="1:17" ht="25.35" customHeight="1">
      <c r="A3" s="807"/>
      <c r="B3" s="809"/>
      <c r="C3" s="809"/>
      <c r="D3" s="809"/>
      <c r="E3" s="809"/>
      <c r="F3" s="28" t="s">
        <v>983</v>
      </c>
      <c r="G3" s="28" t="s">
        <v>984</v>
      </c>
      <c r="H3" s="28" t="s">
        <v>983</v>
      </c>
      <c r="I3" s="28" t="s">
        <v>984</v>
      </c>
      <c r="J3" s="809"/>
      <c r="K3" s="809"/>
      <c r="L3" s="809"/>
      <c r="M3" s="809"/>
      <c r="N3" s="809"/>
      <c r="O3" s="809"/>
      <c r="P3" s="809"/>
      <c r="Q3" s="81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55.5703125" style="275" customWidth="1"/>
    <col min="10" max="10" width="9.140625" style="276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12" customWidth="1"/>
    <col min="17" max="16384" width="9.140625" style="275"/>
  </cols>
  <sheetData>
    <row r="1" spans="1:16" ht="16.5" thickBot="1">
      <c r="A1" s="813" t="s">
        <v>89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5"/>
    </row>
    <row r="2" spans="1:16" ht="39" thickBot="1">
      <c r="A2" s="289" t="s">
        <v>985</v>
      </c>
      <c r="B2" s="290" t="s">
        <v>986</v>
      </c>
      <c r="C2" s="290" t="s">
        <v>987</v>
      </c>
      <c r="D2" s="290" t="s">
        <v>988</v>
      </c>
      <c r="E2" s="290" t="s">
        <v>342</v>
      </c>
      <c r="F2" s="290" t="s">
        <v>989</v>
      </c>
      <c r="G2" s="290" t="s">
        <v>990</v>
      </c>
      <c r="H2" s="290" t="s">
        <v>991</v>
      </c>
      <c r="I2" s="290" t="s">
        <v>992</v>
      </c>
      <c r="J2" s="290" t="s">
        <v>509</v>
      </c>
      <c r="K2" s="290" t="s">
        <v>993</v>
      </c>
      <c r="L2" s="290" t="s">
        <v>265</v>
      </c>
      <c r="M2" s="290" t="s">
        <v>994</v>
      </c>
      <c r="N2" s="290" t="s">
        <v>995</v>
      </c>
      <c r="O2" s="290" t="s">
        <v>996</v>
      </c>
      <c r="P2" s="291" t="s">
        <v>33</v>
      </c>
    </row>
    <row r="3" spans="1:16" ht="12" customHeight="1">
      <c r="A3" s="292">
        <v>1</v>
      </c>
      <c r="B3" s="293" t="s">
        <v>522</v>
      </c>
      <c r="C3" s="294" t="s">
        <v>271</v>
      </c>
      <c r="D3" s="293" t="s">
        <v>523</v>
      </c>
      <c r="E3" s="294" t="s">
        <v>917</v>
      </c>
      <c r="F3" s="294" t="s">
        <v>997</v>
      </c>
      <c r="G3" s="294">
        <v>225.97</v>
      </c>
      <c r="H3" s="294" t="s">
        <v>998</v>
      </c>
      <c r="I3" s="300" t="s">
        <v>999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1000</v>
      </c>
      <c r="O3" s="296"/>
      <c r="P3" s="408" t="s">
        <v>1001</v>
      </c>
    </row>
    <row r="4" spans="1:16" ht="26.25">
      <c r="A4" s="297">
        <v>2</v>
      </c>
      <c r="B4" s="298" t="s">
        <v>525</v>
      </c>
      <c r="C4" s="294" t="s">
        <v>537</v>
      </c>
      <c r="D4" s="298" t="s">
        <v>526</v>
      </c>
      <c r="E4" s="294" t="s">
        <v>1002</v>
      </c>
      <c r="F4" s="294" t="s">
        <v>997</v>
      </c>
      <c r="G4" s="294">
        <v>284.73</v>
      </c>
      <c r="H4" s="294" t="s">
        <v>1003</v>
      </c>
      <c r="I4" s="301" t="s">
        <v>1004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1000</v>
      </c>
      <c r="O4" s="298"/>
      <c r="P4" s="408" t="s">
        <v>1001</v>
      </c>
    </row>
    <row r="5" spans="1:16" ht="16.899999999999999" customHeight="1">
      <c r="A5" s="297">
        <v>3</v>
      </c>
      <c r="B5" s="298" t="s">
        <v>527</v>
      </c>
      <c r="C5" s="294" t="s">
        <v>537</v>
      </c>
      <c r="D5" s="298" t="s">
        <v>528</v>
      </c>
      <c r="E5" s="294" t="s">
        <v>1002</v>
      </c>
      <c r="F5" s="294" t="s">
        <v>997</v>
      </c>
      <c r="G5" s="294">
        <v>164.96</v>
      </c>
      <c r="H5" s="294" t="s">
        <v>1003</v>
      </c>
      <c r="I5" s="301" t="s">
        <v>1005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1000</v>
      </c>
      <c r="O5" s="298"/>
      <c r="P5" s="408" t="s">
        <v>1001</v>
      </c>
    </row>
    <row r="6" spans="1:16" ht="26.25">
      <c r="A6" s="297">
        <v>4</v>
      </c>
      <c r="B6" s="298" t="s">
        <v>395</v>
      </c>
      <c r="C6" s="294" t="s">
        <v>396</v>
      </c>
      <c r="D6" s="298" t="s">
        <v>552</v>
      </c>
      <c r="E6" s="294" t="s">
        <v>360</v>
      </c>
      <c r="F6" s="294" t="s">
        <v>997</v>
      </c>
      <c r="G6" s="287">
        <v>448</v>
      </c>
      <c r="H6" s="294" t="s">
        <v>998</v>
      </c>
      <c r="I6" s="301" t="s">
        <v>1006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1000</v>
      </c>
      <c r="O6" s="298" t="s">
        <v>1000</v>
      </c>
      <c r="P6" s="408" t="s">
        <v>1001</v>
      </c>
    </row>
    <row r="7" spans="1:16" ht="26.25">
      <c r="A7" s="297">
        <v>5</v>
      </c>
      <c r="B7" s="298" t="s">
        <v>554</v>
      </c>
      <c r="C7" s="294" t="s">
        <v>301</v>
      </c>
      <c r="D7" s="298" t="s">
        <v>420</v>
      </c>
      <c r="E7" s="294" t="s">
        <v>399</v>
      </c>
      <c r="F7" s="294" t="s">
        <v>1007</v>
      </c>
      <c r="G7" s="294">
        <v>323</v>
      </c>
      <c r="H7" s="294" t="s">
        <v>1008</v>
      </c>
      <c r="I7" s="301" t="s">
        <v>1009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1000</v>
      </c>
      <c r="O7" s="298" t="s">
        <v>1000</v>
      </c>
      <c r="P7" s="408" t="s">
        <v>1001</v>
      </c>
    </row>
    <row r="8" spans="1:16" ht="26.25">
      <c r="A8" s="297">
        <v>6</v>
      </c>
      <c r="B8" s="298" t="s">
        <v>555</v>
      </c>
      <c r="C8" s="294" t="s">
        <v>376</v>
      </c>
      <c r="D8" s="298" t="s">
        <v>556</v>
      </c>
      <c r="E8" s="294" t="s">
        <v>333</v>
      </c>
      <c r="F8" s="294" t="s">
        <v>1007</v>
      </c>
      <c r="G8" s="294">
        <v>259.33999999999997</v>
      </c>
      <c r="H8" s="294" t="s">
        <v>1010</v>
      </c>
      <c r="I8" s="301" t="s">
        <v>1011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1000</v>
      </c>
      <c r="O8" s="298" t="s">
        <v>1000</v>
      </c>
      <c r="P8" s="408" t="s">
        <v>1001</v>
      </c>
    </row>
    <row r="9" spans="1:16" ht="26.25">
      <c r="A9" s="297">
        <v>7</v>
      </c>
      <c r="B9" s="298" t="s">
        <v>555</v>
      </c>
      <c r="C9" s="294" t="s">
        <v>376</v>
      </c>
      <c r="D9" s="298" t="s">
        <v>556</v>
      </c>
      <c r="E9" s="294" t="s">
        <v>333</v>
      </c>
      <c r="F9" s="294" t="s">
        <v>1007</v>
      </c>
      <c r="G9" s="294">
        <v>259.33999999999997</v>
      </c>
      <c r="H9" s="294" t="s">
        <v>1012</v>
      </c>
      <c r="I9" s="301" t="s">
        <v>1013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1000</v>
      </c>
      <c r="O9" s="298" t="s">
        <v>1000</v>
      </c>
      <c r="P9" s="408" t="s">
        <v>1001</v>
      </c>
    </row>
    <row r="10" spans="1:16" ht="26.25">
      <c r="A10" s="297">
        <v>8</v>
      </c>
      <c r="B10" s="298" t="s">
        <v>169</v>
      </c>
      <c r="C10" s="294" t="s">
        <v>308</v>
      </c>
      <c r="D10" s="298" t="s">
        <v>557</v>
      </c>
      <c r="E10" s="294" t="s">
        <v>308</v>
      </c>
      <c r="F10" s="294" t="s">
        <v>1014</v>
      </c>
      <c r="G10" s="294">
        <v>275.39</v>
      </c>
      <c r="H10" s="294" t="s">
        <v>1015</v>
      </c>
      <c r="I10" s="301" t="s">
        <v>1016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1000</v>
      </c>
      <c r="O10" s="298" t="s">
        <v>1000</v>
      </c>
      <c r="P10" s="408" t="s">
        <v>1001</v>
      </c>
    </row>
    <row r="11" spans="1:16">
      <c r="A11" s="320">
        <v>9</v>
      </c>
      <c r="B11" s="321" t="s">
        <v>559</v>
      </c>
      <c r="C11" s="322" t="s">
        <v>360</v>
      </c>
      <c r="D11" s="321" t="s">
        <v>560</v>
      </c>
      <c r="E11" s="322" t="s">
        <v>563</v>
      </c>
      <c r="F11" s="322" t="s">
        <v>997</v>
      </c>
      <c r="G11" s="322">
        <v>375.54</v>
      </c>
      <c r="H11" s="322" t="s">
        <v>998</v>
      </c>
      <c r="I11" s="323" t="s">
        <v>1017</v>
      </c>
      <c r="J11" s="321">
        <v>1</v>
      </c>
      <c r="K11" s="321" t="s">
        <v>200</v>
      </c>
      <c r="L11" s="321" t="s">
        <v>206</v>
      </c>
      <c r="M11" s="324">
        <v>45911</v>
      </c>
      <c r="N11" s="321" t="s">
        <v>1000</v>
      </c>
      <c r="O11" s="321" t="s">
        <v>1000</v>
      </c>
      <c r="P11" s="615" t="s">
        <v>1018</v>
      </c>
    </row>
    <row r="12" spans="1:16" ht="26.25">
      <c r="A12" s="297">
        <v>10</v>
      </c>
      <c r="B12" s="298" t="s">
        <v>560</v>
      </c>
      <c r="C12" s="294" t="s">
        <v>563</v>
      </c>
      <c r="D12" s="298" t="s">
        <v>561</v>
      </c>
      <c r="E12" s="294" t="s">
        <v>308</v>
      </c>
      <c r="F12" s="294" t="s">
        <v>1019</v>
      </c>
      <c r="G12" s="294">
        <v>297.52</v>
      </c>
      <c r="H12" s="294" t="s">
        <v>1020</v>
      </c>
      <c r="I12" s="301" t="s">
        <v>1021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1000</v>
      </c>
      <c r="O12" s="298" t="s">
        <v>1000</v>
      </c>
      <c r="P12" s="408" t="s">
        <v>1001</v>
      </c>
    </row>
    <row r="13" spans="1:16" ht="26.25">
      <c r="A13" s="297">
        <v>11</v>
      </c>
      <c r="B13" s="298" t="s">
        <v>560</v>
      </c>
      <c r="C13" s="294" t="s">
        <v>563</v>
      </c>
      <c r="D13" s="298" t="s">
        <v>561</v>
      </c>
      <c r="E13" s="294" t="s">
        <v>308</v>
      </c>
      <c r="F13" s="294" t="s">
        <v>1014</v>
      </c>
      <c r="G13" s="294">
        <v>297.52</v>
      </c>
      <c r="H13" s="286" t="s">
        <v>1015</v>
      </c>
      <c r="I13" s="301" t="s">
        <v>1022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1000</v>
      </c>
      <c r="O13" s="295" t="s">
        <v>1000</v>
      </c>
      <c r="P13" s="408" t="s">
        <v>1001</v>
      </c>
    </row>
    <row r="14" spans="1:16" ht="26.25">
      <c r="A14" s="297">
        <v>12</v>
      </c>
      <c r="B14" s="298" t="s">
        <v>456</v>
      </c>
      <c r="C14" s="294" t="s">
        <v>353</v>
      </c>
      <c r="D14" s="298" t="s">
        <v>458</v>
      </c>
      <c r="E14" s="294" t="s">
        <v>376</v>
      </c>
      <c r="F14" s="294" t="s">
        <v>1007</v>
      </c>
      <c r="G14" s="294">
        <v>234.98</v>
      </c>
      <c r="H14" s="294" t="s">
        <v>1023</v>
      </c>
      <c r="I14" s="301" t="s">
        <v>1024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1000</v>
      </c>
      <c r="O14" s="298" t="s">
        <v>1000</v>
      </c>
      <c r="P14" s="408" t="s">
        <v>1001</v>
      </c>
    </row>
    <row r="15" spans="1:16" ht="26.25">
      <c r="A15" s="297">
        <v>13</v>
      </c>
      <c r="B15" s="298" t="s">
        <v>458</v>
      </c>
      <c r="C15" s="294" t="s">
        <v>376</v>
      </c>
      <c r="D15" s="298" t="s">
        <v>462</v>
      </c>
      <c r="E15" s="294" t="s">
        <v>353</v>
      </c>
      <c r="F15" s="294" t="s">
        <v>1007</v>
      </c>
      <c r="G15" s="294">
        <v>375.72</v>
      </c>
      <c r="H15" s="294" t="s">
        <v>1008</v>
      </c>
      <c r="I15" s="301" t="s">
        <v>1025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1000</v>
      </c>
      <c r="O15" s="298" t="s">
        <v>1000</v>
      </c>
      <c r="P15" s="408" t="s">
        <v>1001</v>
      </c>
    </row>
    <row r="16" spans="1:16" ht="26.25">
      <c r="A16" s="297">
        <v>14</v>
      </c>
      <c r="B16" s="298" t="s">
        <v>431</v>
      </c>
      <c r="C16" s="294" t="s">
        <v>376</v>
      </c>
      <c r="D16" s="298" t="s">
        <v>430</v>
      </c>
      <c r="E16" s="294" t="s">
        <v>295</v>
      </c>
      <c r="F16" s="294" t="s">
        <v>1007</v>
      </c>
      <c r="G16" s="294">
        <v>378.53</v>
      </c>
      <c r="H16" s="294" t="s">
        <v>1008</v>
      </c>
      <c r="I16" s="301" t="s">
        <v>1026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1000</v>
      </c>
      <c r="O16" s="298" t="s">
        <v>1000</v>
      </c>
      <c r="P16" s="408" t="s">
        <v>1001</v>
      </c>
    </row>
    <row r="17" spans="1:16" ht="25.5">
      <c r="A17" s="297">
        <v>15</v>
      </c>
      <c r="B17" s="298" t="s">
        <v>431</v>
      </c>
      <c r="C17" s="294" t="s">
        <v>376</v>
      </c>
      <c r="D17" s="298" t="s">
        <v>430</v>
      </c>
      <c r="E17" s="294" t="s">
        <v>295</v>
      </c>
      <c r="F17" s="294" t="s">
        <v>997</v>
      </c>
      <c r="G17" s="294">
        <v>378.53</v>
      </c>
      <c r="H17" s="294" t="s">
        <v>998</v>
      </c>
      <c r="I17" s="301" t="s">
        <v>1027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1000</v>
      </c>
      <c r="O17" s="295" t="s">
        <v>1000</v>
      </c>
      <c r="P17" s="410" t="s">
        <v>1001</v>
      </c>
    </row>
    <row r="18" spans="1:16" ht="26.25">
      <c r="A18" s="297">
        <v>16</v>
      </c>
      <c r="B18" s="298" t="s">
        <v>580</v>
      </c>
      <c r="C18" s="294" t="s">
        <v>312</v>
      </c>
      <c r="D18" s="298" t="s">
        <v>581</v>
      </c>
      <c r="E18" s="294" t="s">
        <v>353</v>
      </c>
      <c r="F18" s="294" t="s">
        <v>1007</v>
      </c>
      <c r="G18" s="294">
        <v>406</v>
      </c>
      <c r="H18" s="294" t="s">
        <v>1010</v>
      </c>
      <c r="I18" s="301" t="s">
        <v>1028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1000</v>
      </c>
      <c r="O18" s="295" t="s">
        <v>1000</v>
      </c>
      <c r="P18" s="408" t="s">
        <v>1001</v>
      </c>
    </row>
    <row r="19" spans="1:16" ht="26.25">
      <c r="A19" s="297">
        <v>17</v>
      </c>
      <c r="B19" s="298" t="s">
        <v>584</v>
      </c>
      <c r="C19" s="294" t="s">
        <v>402</v>
      </c>
      <c r="D19" s="298" t="s">
        <v>585</v>
      </c>
      <c r="E19" s="294" t="s">
        <v>353</v>
      </c>
      <c r="F19" s="294" t="s">
        <v>1007</v>
      </c>
      <c r="G19" s="294">
        <v>426</v>
      </c>
      <c r="H19" s="294" t="s">
        <v>1008</v>
      </c>
      <c r="I19" s="301" t="s">
        <v>1029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1000</v>
      </c>
      <c r="O19" s="295" t="s">
        <v>1000</v>
      </c>
      <c r="P19" s="408" t="s">
        <v>1001</v>
      </c>
    </row>
    <row r="20" spans="1:16" ht="26.25">
      <c r="A20" s="297">
        <v>18</v>
      </c>
      <c r="B20" s="298" t="s">
        <v>584</v>
      </c>
      <c r="C20" s="294" t="s">
        <v>402</v>
      </c>
      <c r="D20" s="298" t="s">
        <v>585</v>
      </c>
      <c r="E20" s="294" t="s">
        <v>353</v>
      </c>
      <c r="F20" s="294" t="s">
        <v>1007</v>
      </c>
      <c r="G20" s="294">
        <v>426</v>
      </c>
      <c r="H20" s="294" t="s">
        <v>1030</v>
      </c>
      <c r="I20" s="301" t="s">
        <v>1031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1000</v>
      </c>
      <c r="O20" s="295" t="s">
        <v>1000</v>
      </c>
      <c r="P20" s="408" t="s">
        <v>1001</v>
      </c>
    </row>
    <row r="21" spans="1:16" ht="26.25">
      <c r="A21" s="297">
        <v>19</v>
      </c>
      <c r="B21" s="298" t="s">
        <v>181</v>
      </c>
      <c r="C21" s="294" t="s">
        <v>305</v>
      </c>
      <c r="D21" s="298" t="s">
        <v>593</v>
      </c>
      <c r="E21" s="294" t="s">
        <v>360</v>
      </c>
      <c r="F21" s="294" t="s">
        <v>1007</v>
      </c>
      <c r="G21" s="294">
        <v>410</v>
      </c>
      <c r="H21" s="294" t="s">
        <v>1030</v>
      </c>
      <c r="I21" s="301" t="s">
        <v>1032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1000</v>
      </c>
      <c r="O21" s="298" t="s">
        <v>1000</v>
      </c>
      <c r="P21" s="408" t="s">
        <v>1001</v>
      </c>
    </row>
    <row r="22" spans="1:16" ht="26.25">
      <c r="A22" s="297">
        <v>20</v>
      </c>
      <c r="B22" s="298" t="s">
        <v>601</v>
      </c>
      <c r="C22" s="294" t="s">
        <v>333</v>
      </c>
      <c r="D22" s="298" t="s">
        <v>602</v>
      </c>
      <c r="E22" s="294" t="s">
        <v>603</v>
      </c>
      <c r="F22" s="294" t="s">
        <v>1007</v>
      </c>
      <c r="G22" s="294">
        <v>404.98</v>
      </c>
      <c r="H22" s="294" t="s">
        <v>1033</v>
      </c>
      <c r="I22" s="301" t="s">
        <v>1034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1000</v>
      </c>
      <c r="O22" s="298" t="s">
        <v>1000</v>
      </c>
      <c r="P22" s="408" t="s">
        <v>1001</v>
      </c>
    </row>
    <row r="23" spans="1:16">
      <c r="A23" s="320">
        <v>21</v>
      </c>
      <c r="B23" s="321" t="s">
        <v>602</v>
      </c>
      <c r="C23" s="322" t="s">
        <v>603</v>
      </c>
      <c r="D23" s="321" t="s">
        <v>604</v>
      </c>
      <c r="E23" s="322" t="s">
        <v>353</v>
      </c>
      <c r="F23" s="322" t="s">
        <v>1007</v>
      </c>
      <c r="G23" s="322">
        <v>382.01</v>
      </c>
      <c r="H23" s="322" t="s">
        <v>1010</v>
      </c>
      <c r="I23" s="323" t="s">
        <v>1035</v>
      </c>
      <c r="J23" s="321">
        <v>1</v>
      </c>
      <c r="K23" s="321" t="s">
        <v>200</v>
      </c>
      <c r="L23" s="321" t="s">
        <v>206</v>
      </c>
      <c r="M23" s="324">
        <v>45882</v>
      </c>
      <c r="N23" s="324" t="s">
        <v>1000</v>
      </c>
      <c r="O23" s="321" t="s">
        <v>1000</v>
      </c>
      <c r="P23" s="409" t="s">
        <v>1036</v>
      </c>
    </row>
    <row r="24" spans="1:16">
      <c r="A24" s="320">
        <v>22</v>
      </c>
      <c r="B24" s="321" t="s">
        <v>165</v>
      </c>
      <c r="C24" s="322" t="s">
        <v>308</v>
      </c>
      <c r="D24" s="321" t="s">
        <v>605</v>
      </c>
      <c r="E24" s="322" t="s">
        <v>308</v>
      </c>
      <c r="F24" s="322" t="s">
        <v>997</v>
      </c>
      <c r="G24" s="322">
        <v>155.72999999999999</v>
      </c>
      <c r="H24" s="322" t="s">
        <v>998</v>
      </c>
      <c r="I24" s="323" t="s">
        <v>1037</v>
      </c>
      <c r="J24" s="321">
        <v>1</v>
      </c>
      <c r="K24" s="321" t="s">
        <v>200</v>
      </c>
      <c r="L24" s="321" t="s">
        <v>206</v>
      </c>
      <c r="M24" s="324">
        <v>45880</v>
      </c>
      <c r="N24" s="324" t="s">
        <v>1000</v>
      </c>
      <c r="O24" s="321" t="s">
        <v>1000</v>
      </c>
      <c r="P24" s="409" t="s">
        <v>1018</v>
      </c>
    </row>
    <row r="25" spans="1:16">
      <c r="A25" s="320">
        <v>23</v>
      </c>
      <c r="B25" s="321" t="s">
        <v>610</v>
      </c>
      <c r="C25" s="322" t="s">
        <v>325</v>
      </c>
      <c r="D25" s="321" t="s">
        <v>611</v>
      </c>
      <c r="E25" s="322" t="s">
        <v>564</v>
      </c>
      <c r="F25" s="322" t="s">
        <v>1007</v>
      </c>
      <c r="G25" s="322">
        <v>329</v>
      </c>
      <c r="H25" s="322" t="s">
        <v>1010</v>
      </c>
      <c r="I25" s="323" t="s">
        <v>1038</v>
      </c>
      <c r="J25" s="321">
        <v>1</v>
      </c>
      <c r="K25" s="321" t="s">
        <v>200</v>
      </c>
      <c r="L25" s="321" t="s">
        <v>206</v>
      </c>
      <c r="M25" s="324">
        <v>45888</v>
      </c>
      <c r="N25" s="324" t="s">
        <v>1000</v>
      </c>
      <c r="O25" s="321" t="s">
        <v>1000</v>
      </c>
      <c r="P25" s="409" t="s">
        <v>1036</v>
      </c>
    </row>
    <row r="26" spans="1:16">
      <c r="A26" s="320">
        <v>24</v>
      </c>
      <c r="B26" s="321" t="s">
        <v>610</v>
      </c>
      <c r="C26" s="322" t="s">
        <v>325</v>
      </c>
      <c r="D26" s="321" t="s">
        <v>611</v>
      </c>
      <c r="E26" s="322" t="s">
        <v>564</v>
      </c>
      <c r="F26" s="322" t="s">
        <v>997</v>
      </c>
      <c r="G26" s="322">
        <v>329</v>
      </c>
      <c r="H26" s="322" t="s">
        <v>998</v>
      </c>
      <c r="I26" s="323" t="s">
        <v>1039</v>
      </c>
      <c r="J26" s="321">
        <v>1</v>
      </c>
      <c r="K26" s="321" t="s">
        <v>200</v>
      </c>
      <c r="L26" s="321" t="s">
        <v>206</v>
      </c>
      <c r="M26" s="324">
        <v>45889</v>
      </c>
      <c r="N26" s="324" t="s">
        <v>1000</v>
      </c>
      <c r="O26" s="321" t="s">
        <v>1000</v>
      </c>
      <c r="P26" s="409" t="s">
        <v>1018</v>
      </c>
    </row>
    <row r="27" spans="1:16">
      <c r="A27" s="320">
        <v>25</v>
      </c>
      <c r="B27" s="321" t="s">
        <v>611</v>
      </c>
      <c r="C27" s="322" t="s">
        <v>564</v>
      </c>
      <c r="D27" s="321" t="s">
        <v>612</v>
      </c>
      <c r="E27" s="322" t="s">
        <v>305</v>
      </c>
      <c r="F27" s="322" t="s">
        <v>997</v>
      </c>
      <c r="G27" s="322">
        <v>428.04</v>
      </c>
      <c r="H27" s="322" t="s">
        <v>998</v>
      </c>
      <c r="I27" s="323" t="s">
        <v>1040</v>
      </c>
      <c r="J27" s="321">
        <v>1</v>
      </c>
      <c r="K27" s="321" t="s">
        <v>200</v>
      </c>
      <c r="L27" s="321" t="s">
        <v>206</v>
      </c>
      <c r="M27" s="324">
        <v>45891</v>
      </c>
      <c r="N27" s="324" t="s">
        <v>1000</v>
      </c>
      <c r="O27" s="321" t="s">
        <v>1000</v>
      </c>
      <c r="P27" s="409" t="s">
        <v>1018</v>
      </c>
    </row>
    <row r="28" spans="1:16">
      <c r="A28" s="320">
        <v>26</v>
      </c>
      <c r="B28" s="321" t="s">
        <v>613</v>
      </c>
      <c r="C28" s="322" t="s">
        <v>353</v>
      </c>
      <c r="D28" s="321" t="s">
        <v>614</v>
      </c>
      <c r="E28" s="322" t="s">
        <v>399</v>
      </c>
      <c r="F28" s="322" t="s">
        <v>997</v>
      </c>
      <c r="G28" s="322">
        <v>365.78</v>
      </c>
      <c r="H28" s="322" t="s">
        <v>998</v>
      </c>
      <c r="I28" s="323" t="s">
        <v>1041</v>
      </c>
      <c r="J28" s="321">
        <v>1</v>
      </c>
      <c r="K28" s="321" t="s">
        <v>200</v>
      </c>
      <c r="L28" s="321" t="s">
        <v>206</v>
      </c>
      <c r="M28" s="324">
        <v>45894</v>
      </c>
      <c r="N28" s="324" t="s">
        <v>1000</v>
      </c>
      <c r="O28" s="321" t="s">
        <v>1000</v>
      </c>
      <c r="P28" s="409" t="s">
        <v>1018</v>
      </c>
    </row>
    <row r="29" spans="1:16" ht="26.25">
      <c r="A29" s="297">
        <v>27</v>
      </c>
      <c r="B29" s="298" t="s">
        <v>182</v>
      </c>
      <c r="C29" s="294" t="s">
        <v>308</v>
      </c>
      <c r="D29" s="298" t="s">
        <v>141</v>
      </c>
      <c r="E29" s="294" t="s">
        <v>563</v>
      </c>
      <c r="F29" s="294" t="s">
        <v>1014</v>
      </c>
      <c r="G29" s="294">
        <v>276.3</v>
      </c>
      <c r="H29" s="294" t="s">
        <v>1015</v>
      </c>
      <c r="I29" s="301" t="s">
        <v>1042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1000</v>
      </c>
      <c r="O29" s="298" t="s">
        <v>1000</v>
      </c>
      <c r="P29" s="408" t="s">
        <v>1001</v>
      </c>
    </row>
    <row r="30" spans="1:16">
      <c r="A30" s="320">
        <v>28</v>
      </c>
      <c r="B30" s="321" t="s">
        <v>182</v>
      </c>
      <c r="C30" s="322" t="s">
        <v>308</v>
      </c>
      <c r="D30" s="321" t="s">
        <v>141</v>
      </c>
      <c r="E30" s="322" t="s">
        <v>563</v>
      </c>
      <c r="F30" s="322" t="s">
        <v>1043</v>
      </c>
      <c r="G30" s="322">
        <v>276.3</v>
      </c>
      <c r="H30" s="322" t="s">
        <v>998</v>
      </c>
      <c r="I30" s="323" t="s">
        <v>1044</v>
      </c>
      <c r="J30" s="321">
        <v>1</v>
      </c>
      <c r="K30" s="321" t="s">
        <v>200</v>
      </c>
      <c r="L30" s="321" t="s">
        <v>206</v>
      </c>
      <c r="M30" s="324">
        <v>45895</v>
      </c>
      <c r="N30" s="324" t="s">
        <v>1000</v>
      </c>
      <c r="O30" s="321" t="s">
        <v>1000</v>
      </c>
      <c r="P30" s="409" t="s">
        <v>1018</v>
      </c>
    </row>
    <row r="31" spans="1:16" ht="26.25">
      <c r="A31" s="297">
        <v>29</v>
      </c>
      <c r="B31" s="298" t="s">
        <v>618</v>
      </c>
      <c r="C31" s="294" t="s">
        <v>603</v>
      </c>
      <c r="D31" s="298" t="s">
        <v>619</v>
      </c>
      <c r="E31" s="294" t="s">
        <v>301</v>
      </c>
      <c r="F31" s="294" t="s">
        <v>1007</v>
      </c>
      <c r="G31" s="294">
        <v>381.59</v>
      </c>
      <c r="H31" s="294" t="s">
        <v>1030</v>
      </c>
      <c r="I31" s="301" t="s">
        <v>1032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1000</v>
      </c>
      <c r="O31" s="298" t="s">
        <v>1000</v>
      </c>
      <c r="P31" s="408" t="s">
        <v>1001</v>
      </c>
    </row>
    <row r="32" spans="1:16">
      <c r="A32" s="320">
        <v>30</v>
      </c>
      <c r="B32" s="321" t="s">
        <v>621</v>
      </c>
      <c r="C32" s="322" t="s">
        <v>353</v>
      </c>
      <c r="D32" s="321" t="s">
        <v>622</v>
      </c>
      <c r="E32" s="322" t="s">
        <v>353</v>
      </c>
      <c r="F32" s="322" t="s">
        <v>1007</v>
      </c>
      <c r="G32" s="322">
        <v>378</v>
      </c>
      <c r="H32" s="322" t="s">
        <v>1010</v>
      </c>
      <c r="I32" s="323" t="s">
        <v>1045</v>
      </c>
      <c r="J32" s="321">
        <v>2</v>
      </c>
      <c r="K32" s="321" t="s">
        <v>200</v>
      </c>
      <c r="L32" s="321" t="s">
        <v>206</v>
      </c>
      <c r="M32" s="324">
        <v>45756</v>
      </c>
      <c r="N32" s="324" t="s">
        <v>1000</v>
      </c>
      <c r="O32" s="321" t="s">
        <v>1000</v>
      </c>
      <c r="P32" s="409" t="s">
        <v>1036</v>
      </c>
    </row>
    <row r="33" spans="1:16" ht="39">
      <c r="A33" s="302">
        <v>31</v>
      </c>
      <c r="B33" s="303" t="s">
        <v>624</v>
      </c>
      <c r="C33" s="304" t="s">
        <v>392</v>
      </c>
      <c r="D33" s="303" t="s">
        <v>758</v>
      </c>
      <c r="E33" s="304" t="s">
        <v>327</v>
      </c>
      <c r="F33" s="304" t="s">
        <v>997</v>
      </c>
      <c r="G33" s="304">
        <v>240.05</v>
      </c>
      <c r="H33" s="305" t="s">
        <v>998</v>
      </c>
      <c r="I33" s="306" t="s">
        <v>1046</v>
      </c>
      <c r="J33" s="303">
        <v>1</v>
      </c>
      <c r="K33" s="303" t="s">
        <v>200</v>
      </c>
      <c r="L33" s="303" t="s">
        <v>1047</v>
      </c>
      <c r="M33" s="307"/>
      <c r="N33" s="307"/>
      <c r="O33" s="303"/>
      <c r="P33" s="411" t="s">
        <v>1048</v>
      </c>
    </row>
    <row r="34" spans="1:16" ht="39">
      <c r="A34" s="302">
        <v>32</v>
      </c>
      <c r="B34" s="303" t="s">
        <v>142</v>
      </c>
      <c r="C34" s="304" t="s">
        <v>931</v>
      </c>
      <c r="D34" s="303" t="s">
        <v>143</v>
      </c>
      <c r="E34" s="304" t="s">
        <v>396</v>
      </c>
      <c r="F34" s="304" t="s">
        <v>997</v>
      </c>
      <c r="G34" s="304">
        <v>249</v>
      </c>
      <c r="H34" s="305" t="s">
        <v>998</v>
      </c>
      <c r="I34" s="306" t="s">
        <v>1049</v>
      </c>
      <c r="J34" s="303">
        <v>1</v>
      </c>
      <c r="K34" s="303" t="s">
        <v>200</v>
      </c>
      <c r="L34" s="303" t="s">
        <v>1047</v>
      </c>
      <c r="M34" s="307"/>
      <c r="N34" s="307"/>
      <c r="O34" s="303"/>
      <c r="P34" s="411" t="s">
        <v>1048</v>
      </c>
    </row>
    <row r="35" spans="1:16" ht="26.25">
      <c r="A35" s="302">
        <v>33</v>
      </c>
      <c r="B35" s="303" t="s">
        <v>766</v>
      </c>
      <c r="C35" s="304" t="s">
        <v>301</v>
      </c>
      <c r="D35" s="303" t="s">
        <v>1050</v>
      </c>
      <c r="E35" s="304" t="s">
        <v>301</v>
      </c>
      <c r="F35" s="304" t="s">
        <v>1007</v>
      </c>
      <c r="G35" s="304">
        <v>172.61</v>
      </c>
      <c r="H35" s="305" t="s">
        <v>1008</v>
      </c>
      <c r="I35" s="306" t="s">
        <v>1051</v>
      </c>
      <c r="J35" s="303">
        <v>1</v>
      </c>
      <c r="K35" s="303" t="s">
        <v>200</v>
      </c>
      <c r="L35" s="303" t="s">
        <v>1047</v>
      </c>
      <c r="M35" s="307"/>
      <c r="N35" s="307"/>
      <c r="O35" s="303"/>
      <c r="P35" s="411" t="s">
        <v>1052</v>
      </c>
    </row>
    <row r="36" spans="1:16" ht="25.5">
      <c r="A36" s="402">
        <v>34</v>
      </c>
      <c r="B36" s="403" t="s">
        <v>625</v>
      </c>
      <c r="C36" s="404" t="s">
        <v>1053</v>
      </c>
      <c r="D36" s="403" t="s">
        <v>626</v>
      </c>
      <c r="E36" s="404" t="s">
        <v>1054</v>
      </c>
      <c r="F36" s="404" t="s">
        <v>997</v>
      </c>
      <c r="G36" s="404">
        <v>225.81</v>
      </c>
      <c r="H36" s="407" t="s">
        <v>1055</v>
      </c>
      <c r="I36" s="405" t="s">
        <v>1056</v>
      </c>
      <c r="J36" s="403">
        <v>1</v>
      </c>
      <c r="K36" s="403" t="s">
        <v>200</v>
      </c>
      <c r="L36" s="403" t="s">
        <v>206</v>
      </c>
      <c r="M36" s="406">
        <v>46150</v>
      </c>
      <c r="N36" s="406" t="s">
        <v>1000</v>
      </c>
      <c r="O36" s="403"/>
      <c r="P36" s="410" t="s">
        <v>1001</v>
      </c>
    </row>
    <row r="37" spans="1:16" ht="25.5">
      <c r="A37" s="402">
        <v>35</v>
      </c>
      <c r="B37" s="403" t="s">
        <v>625</v>
      </c>
      <c r="C37" s="404" t="s">
        <v>1053</v>
      </c>
      <c r="D37" s="403" t="s">
        <v>626</v>
      </c>
      <c r="E37" s="404" t="s">
        <v>1054</v>
      </c>
      <c r="F37" s="404" t="s">
        <v>1007</v>
      </c>
      <c r="G37" s="404">
        <v>225.81</v>
      </c>
      <c r="H37" s="407" t="s">
        <v>1030</v>
      </c>
      <c r="I37" s="405" t="s">
        <v>1032</v>
      </c>
      <c r="J37" s="403">
        <v>1</v>
      </c>
      <c r="K37" s="403" t="s">
        <v>200</v>
      </c>
      <c r="L37" s="403" t="s">
        <v>206</v>
      </c>
      <c r="M37" s="406">
        <v>46150</v>
      </c>
      <c r="N37" s="295" t="s">
        <v>1000</v>
      </c>
      <c r="O37" s="403"/>
      <c r="P37" s="410" t="s">
        <v>1001</v>
      </c>
    </row>
    <row r="38" spans="1:16" ht="25.5">
      <c r="A38" s="297">
        <v>36</v>
      </c>
      <c r="B38" s="298" t="s">
        <v>627</v>
      </c>
      <c r="C38" s="294" t="s">
        <v>353</v>
      </c>
      <c r="D38" s="298" t="s">
        <v>145</v>
      </c>
      <c r="E38" s="294" t="s">
        <v>360</v>
      </c>
      <c r="F38" s="294" t="s">
        <v>1007</v>
      </c>
      <c r="G38" s="294">
        <v>385</v>
      </c>
      <c r="H38" s="286" t="s">
        <v>1012</v>
      </c>
      <c r="I38" s="301" t="s">
        <v>1057</v>
      </c>
      <c r="J38" s="298">
        <v>1</v>
      </c>
      <c r="K38" s="298" t="s">
        <v>200</v>
      </c>
      <c r="L38" s="403" t="s">
        <v>206</v>
      </c>
      <c r="M38" s="295">
        <v>46153</v>
      </c>
      <c r="N38" s="295" t="s">
        <v>1000</v>
      </c>
      <c r="O38" s="298"/>
      <c r="P38" s="410" t="s">
        <v>1001</v>
      </c>
    </row>
    <row r="39" spans="1:16" s="616" customFormat="1">
      <c r="A39" s="302">
        <v>37</v>
      </c>
      <c r="B39" s="303" t="s">
        <v>145</v>
      </c>
      <c r="C39" s="304" t="s">
        <v>360</v>
      </c>
      <c r="D39" s="303" t="s">
        <v>628</v>
      </c>
      <c r="E39" s="304" t="s">
        <v>360</v>
      </c>
      <c r="F39" s="304" t="s">
        <v>1007</v>
      </c>
      <c r="G39" s="304">
        <v>429</v>
      </c>
      <c r="H39" s="305" t="s">
        <v>1023</v>
      </c>
      <c r="I39" s="306" t="s">
        <v>1058</v>
      </c>
      <c r="J39" s="303">
        <v>1</v>
      </c>
      <c r="K39" s="303" t="s">
        <v>200</v>
      </c>
      <c r="L39" s="303" t="s">
        <v>1047</v>
      </c>
      <c r="M39" s="307"/>
      <c r="N39" s="307"/>
      <c r="O39" s="303"/>
      <c r="P39" s="411" t="s">
        <v>1059</v>
      </c>
    </row>
    <row r="40" spans="1:16" s="616" customFormat="1">
      <c r="A40" s="302">
        <v>38</v>
      </c>
      <c r="B40" s="303" t="s">
        <v>145</v>
      </c>
      <c r="C40" s="304" t="s">
        <v>360</v>
      </c>
      <c r="D40" s="303" t="s">
        <v>628</v>
      </c>
      <c r="E40" s="304" t="s">
        <v>360</v>
      </c>
      <c r="F40" s="304" t="s">
        <v>1007</v>
      </c>
      <c r="G40" s="304">
        <v>429</v>
      </c>
      <c r="H40" s="305" t="s">
        <v>1008</v>
      </c>
      <c r="I40" s="306" t="s">
        <v>1060</v>
      </c>
      <c r="J40" s="303">
        <v>1</v>
      </c>
      <c r="K40" s="303" t="s">
        <v>200</v>
      </c>
      <c r="L40" s="303" t="s">
        <v>1047</v>
      </c>
      <c r="M40" s="307"/>
      <c r="N40" s="303"/>
      <c r="O40" s="303"/>
      <c r="P40" s="411" t="s">
        <v>1059</v>
      </c>
    </row>
    <row r="41" spans="1:16" s="616" customFormat="1">
      <c r="A41" s="302">
        <v>39</v>
      </c>
      <c r="B41" s="303" t="s">
        <v>145</v>
      </c>
      <c r="C41" s="304" t="s">
        <v>360</v>
      </c>
      <c r="D41" s="303" t="s">
        <v>628</v>
      </c>
      <c r="E41" s="304" t="s">
        <v>360</v>
      </c>
      <c r="F41" s="304" t="s">
        <v>1007</v>
      </c>
      <c r="G41" s="304">
        <v>429</v>
      </c>
      <c r="H41" s="305" t="s">
        <v>1010</v>
      </c>
      <c r="I41" s="306" t="s">
        <v>1061</v>
      </c>
      <c r="J41" s="303">
        <v>1</v>
      </c>
      <c r="K41" s="303" t="s">
        <v>200</v>
      </c>
      <c r="L41" s="303" t="s">
        <v>1047</v>
      </c>
      <c r="M41" s="307"/>
      <c r="N41" s="307"/>
      <c r="O41" s="303"/>
      <c r="P41" s="411" t="s">
        <v>1059</v>
      </c>
    </row>
    <row r="42" spans="1:16" ht="39">
      <c r="A42" s="302">
        <v>40</v>
      </c>
      <c r="B42" s="303" t="s">
        <v>1062</v>
      </c>
      <c r="C42" s="304" t="s">
        <v>399</v>
      </c>
      <c r="D42" s="303" t="s">
        <v>1063</v>
      </c>
      <c r="E42" s="304" t="s">
        <v>399</v>
      </c>
      <c r="F42" s="304" t="s">
        <v>1007</v>
      </c>
      <c r="G42" s="304">
        <v>360</v>
      </c>
      <c r="H42" s="304" t="s">
        <v>1008</v>
      </c>
      <c r="I42" s="306" t="s">
        <v>1064</v>
      </c>
      <c r="J42" s="303">
        <v>1</v>
      </c>
      <c r="K42" s="303" t="s">
        <v>200</v>
      </c>
      <c r="L42" s="303" t="s">
        <v>1047</v>
      </c>
      <c r="M42" s="307"/>
      <c r="N42" s="307"/>
      <c r="O42" s="303"/>
      <c r="P42" s="411" t="s">
        <v>1065</v>
      </c>
    </row>
    <row r="43" spans="1:16" ht="26.25">
      <c r="A43" s="297">
        <v>41</v>
      </c>
      <c r="B43" s="298" t="s">
        <v>638</v>
      </c>
      <c r="C43" s="294" t="s">
        <v>303</v>
      </c>
      <c r="D43" s="298" t="s">
        <v>467</v>
      </c>
      <c r="E43" s="294" t="s">
        <v>333</v>
      </c>
      <c r="F43" s="294" t="s">
        <v>1019</v>
      </c>
      <c r="G43" s="294">
        <v>244.02</v>
      </c>
      <c r="H43" s="294" t="s">
        <v>1020</v>
      </c>
      <c r="I43" s="301" t="s">
        <v>1066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1000</v>
      </c>
      <c r="O43" s="298" t="s">
        <v>1000</v>
      </c>
      <c r="P43" s="408" t="s">
        <v>1001</v>
      </c>
    </row>
    <row r="44" spans="1:16">
      <c r="A44" s="320">
        <v>42</v>
      </c>
      <c r="B44" s="321" t="s">
        <v>641</v>
      </c>
      <c r="C44" s="322" t="s">
        <v>353</v>
      </c>
      <c r="D44" s="321" t="s">
        <v>642</v>
      </c>
      <c r="E44" s="322" t="s">
        <v>338</v>
      </c>
      <c r="F44" s="322" t="s">
        <v>997</v>
      </c>
      <c r="G44" s="322">
        <v>364</v>
      </c>
      <c r="H44" s="322" t="s">
        <v>998</v>
      </c>
      <c r="I44" s="323" t="s">
        <v>1067</v>
      </c>
      <c r="J44" s="321">
        <v>1</v>
      </c>
      <c r="K44" s="321" t="s">
        <v>200</v>
      </c>
      <c r="L44" s="321" t="s">
        <v>206</v>
      </c>
      <c r="M44" s="324">
        <v>45854</v>
      </c>
      <c r="N44" s="324" t="s">
        <v>1000</v>
      </c>
      <c r="O44" s="321" t="s">
        <v>1000</v>
      </c>
      <c r="P44" s="409" t="s">
        <v>1018</v>
      </c>
    </row>
    <row r="45" spans="1:16">
      <c r="A45" s="320">
        <v>43</v>
      </c>
      <c r="B45" s="321" t="s">
        <v>642</v>
      </c>
      <c r="C45" s="322" t="s">
        <v>338</v>
      </c>
      <c r="D45" s="321" t="s">
        <v>643</v>
      </c>
      <c r="E45" s="322" t="s">
        <v>353</v>
      </c>
      <c r="F45" s="322" t="s">
        <v>997</v>
      </c>
      <c r="G45" s="322">
        <v>390</v>
      </c>
      <c r="H45" s="322" t="s">
        <v>998</v>
      </c>
      <c r="I45" s="323" t="s">
        <v>1068</v>
      </c>
      <c r="J45" s="321">
        <v>1</v>
      </c>
      <c r="K45" s="321" t="s">
        <v>200</v>
      </c>
      <c r="L45" s="321" t="s">
        <v>206</v>
      </c>
      <c r="M45" s="324">
        <v>45854</v>
      </c>
      <c r="N45" s="324" t="s">
        <v>1000</v>
      </c>
      <c r="O45" s="321" t="s">
        <v>1000</v>
      </c>
      <c r="P45" s="409" t="s">
        <v>1018</v>
      </c>
    </row>
    <row r="46" spans="1:16" ht="26.25">
      <c r="A46" s="297">
        <v>44</v>
      </c>
      <c r="B46" s="298" t="s">
        <v>654</v>
      </c>
      <c r="C46" s="294" t="s">
        <v>333</v>
      </c>
      <c r="D46" s="298" t="s">
        <v>655</v>
      </c>
      <c r="E46" s="294" t="s">
        <v>305</v>
      </c>
      <c r="F46" s="294" t="s">
        <v>1019</v>
      </c>
      <c r="G46" s="294">
        <v>242.91</v>
      </c>
      <c r="H46" s="294" t="s">
        <v>1020</v>
      </c>
      <c r="I46" s="301" t="s">
        <v>1069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1000</v>
      </c>
      <c r="O46" s="295" t="s">
        <v>1000</v>
      </c>
      <c r="P46" s="408" t="s">
        <v>1001</v>
      </c>
    </row>
    <row r="47" spans="1:16">
      <c r="A47" s="320">
        <v>45</v>
      </c>
      <c r="B47" s="321" t="s">
        <v>672</v>
      </c>
      <c r="C47" s="322" t="s">
        <v>679</v>
      </c>
      <c r="D47" s="321" t="s">
        <v>440</v>
      </c>
      <c r="E47" s="322" t="s">
        <v>360</v>
      </c>
      <c r="F47" s="322" t="s">
        <v>997</v>
      </c>
      <c r="G47" s="322">
        <v>437</v>
      </c>
      <c r="H47" s="322" t="s">
        <v>998</v>
      </c>
      <c r="I47" s="323" t="s">
        <v>1070</v>
      </c>
      <c r="J47" s="321">
        <v>1</v>
      </c>
      <c r="K47" s="321" t="s">
        <v>200</v>
      </c>
      <c r="L47" s="321" t="s">
        <v>206</v>
      </c>
      <c r="M47" s="324">
        <v>45897</v>
      </c>
      <c r="N47" s="324" t="s">
        <v>1000</v>
      </c>
      <c r="O47" s="321" t="s">
        <v>1000</v>
      </c>
      <c r="P47" s="409" t="s">
        <v>1018</v>
      </c>
    </row>
    <row r="48" spans="1:16">
      <c r="A48" s="402">
        <v>46</v>
      </c>
      <c r="B48" s="403" t="s">
        <v>678</v>
      </c>
      <c r="C48" s="404" t="s">
        <v>303</v>
      </c>
      <c r="D48" s="403" t="s">
        <v>466</v>
      </c>
      <c r="E48" s="404" t="s">
        <v>338</v>
      </c>
      <c r="F48" s="404" t="s">
        <v>1019</v>
      </c>
      <c r="G48" s="404">
        <v>210.48</v>
      </c>
      <c r="H48" s="404" t="s">
        <v>1020</v>
      </c>
      <c r="I48" s="405" t="s">
        <v>1071</v>
      </c>
      <c r="J48" s="403">
        <v>1</v>
      </c>
      <c r="K48" s="403" t="s">
        <v>201</v>
      </c>
      <c r="L48" s="403" t="s">
        <v>206</v>
      </c>
      <c r="M48" s="406">
        <v>46182</v>
      </c>
      <c r="N48" s="406" t="s">
        <v>1000</v>
      </c>
      <c r="O48" s="403"/>
      <c r="P48" s="410" t="s">
        <v>1102</v>
      </c>
    </row>
    <row r="49" spans="1:16" ht="25.5">
      <c r="A49" s="402">
        <v>47</v>
      </c>
      <c r="B49" s="403" t="s">
        <v>780</v>
      </c>
      <c r="C49" s="404" t="s">
        <v>1072</v>
      </c>
      <c r="D49" s="403" t="s">
        <v>152</v>
      </c>
      <c r="E49" s="404" t="s">
        <v>1073</v>
      </c>
      <c r="F49" s="404" t="s">
        <v>997</v>
      </c>
      <c r="G49" s="404">
        <v>233.53</v>
      </c>
      <c r="H49" s="404" t="s">
        <v>1074</v>
      </c>
      <c r="I49" s="405" t="s">
        <v>1075</v>
      </c>
      <c r="J49" s="403">
        <v>1</v>
      </c>
      <c r="K49" s="403" t="s">
        <v>201</v>
      </c>
      <c r="L49" s="403" t="s">
        <v>206</v>
      </c>
      <c r="M49" s="406">
        <v>46161</v>
      </c>
      <c r="N49" s="406" t="s">
        <v>1000</v>
      </c>
      <c r="O49" s="403"/>
      <c r="P49" s="410" t="s">
        <v>1001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34" t="s">
        <v>1076</v>
      </c>
      <c r="B1" s="333" t="s">
        <v>1077</v>
      </c>
      <c r="C1" s="333" t="s">
        <v>1090</v>
      </c>
      <c r="D1" s="333" t="s">
        <v>265</v>
      </c>
    </row>
    <row r="2" spans="1:12" ht="16.5" thickBot="1">
      <c r="A2" s="331">
        <v>1</v>
      </c>
      <c r="B2" s="332" t="s">
        <v>1094</v>
      </c>
      <c r="C2" s="332" t="s">
        <v>1091</v>
      </c>
      <c r="D2" s="338" t="s">
        <v>1078</v>
      </c>
      <c r="F2" s="601" t="s">
        <v>67</v>
      </c>
    </row>
    <row r="3" spans="1:12" ht="32.1" customHeight="1">
      <c r="A3" s="331">
        <v>2</v>
      </c>
      <c r="B3" s="332" t="s">
        <v>1095</v>
      </c>
      <c r="C3" s="332" t="s">
        <v>1092</v>
      </c>
      <c r="D3" s="338" t="s">
        <v>1078</v>
      </c>
      <c r="G3" s="623" t="s">
        <v>92</v>
      </c>
      <c r="H3" s="624" t="s">
        <v>1103</v>
      </c>
      <c r="I3" s="624" t="s">
        <v>1104</v>
      </c>
      <c r="J3" s="624" t="s">
        <v>473</v>
      </c>
      <c r="K3" s="624" t="s">
        <v>1105</v>
      </c>
      <c r="L3" s="625" t="s">
        <v>33</v>
      </c>
    </row>
    <row r="4" spans="1:12">
      <c r="A4" s="325">
        <v>3</v>
      </c>
      <c r="B4" s="326" t="s">
        <v>1095</v>
      </c>
      <c r="C4" s="332" t="s">
        <v>1093</v>
      </c>
      <c r="D4" s="338" t="s">
        <v>1078</v>
      </c>
      <c r="G4" s="617">
        <v>1</v>
      </c>
      <c r="H4" s="11" t="s">
        <v>1110</v>
      </c>
      <c r="I4" s="11" t="s">
        <v>1106</v>
      </c>
      <c r="J4" s="11">
        <v>12</v>
      </c>
      <c r="K4" s="11">
        <v>9923426296</v>
      </c>
      <c r="L4" s="618"/>
    </row>
    <row r="5" spans="1:12" ht="45">
      <c r="A5" s="327">
        <v>4</v>
      </c>
      <c r="B5" s="328" t="s">
        <v>67</v>
      </c>
      <c r="C5" s="328"/>
      <c r="D5" s="328"/>
      <c r="G5" s="617">
        <v>2</v>
      </c>
      <c r="H5" s="11" t="s">
        <v>1109</v>
      </c>
      <c r="I5" s="10" t="s">
        <v>1107</v>
      </c>
      <c r="J5" s="11">
        <v>10</v>
      </c>
      <c r="K5" s="11">
        <v>9923426296</v>
      </c>
      <c r="L5" s="618"/>
    </row>
    <row r="6" spans="1:12">
      <c r="A6" s="327">
        <v>5</v>
      </c>
      <c r="B6" s="328"/>
      <c r="C6" s="328"/>
      <c r="D6" s="328"/>
      <c r="G6" s="617">
        <v>3</v>
      </c>
      <c r="H6" s="11" t="s">
        <v>1108</v>
      </c>
      <c r="I6" s="11" t="s">
        <v>1111</v>
      </c>
      <c r="J6" s="11">
        <v>11</v>
      </c>
      <c r="K6" s="11">
        <v>7066720891</v>
      </c>
      <c r="L6" s="618"/>
    </row>
    <row r="7" spans="1:12" ht="45">
      <c r="A7" s="327">
        <v>6</v>
      </c>
      <c r="B7" s="328"/>
      <c r="C7" s="328"/>
      <c r="D7" s="328"/>
      <c r="G7" s="617">
        <v>4</v>
      </c>
      <c r="H7" s="11" t="s">
        <v>1112</v>
      </c>
      <c r="I7" s="10" t="s">
        <v>1107</v>
      </c>
      <c r="J7" s="11">
        <v>10</v>
      </c>
      <c r="K7" s="11">
        <v>7066720891</v>
      </c>
      <c r="L7" s="618"/>
    </row>
    <row r="8" spans="1:12">
      <c r="A8" s="327">
        <v>7</v>
      </c>
      <c r="B8" s="328"/>
      <c r="C8" s="328"/>
      <c r="D8" s="328"/>
      <c r="G8" s="617">
        <v>5</v>
      </c>
      <c r="H8" s="11" t="s">
        <v>405</v>
      </c>
      <c r="I8" s="11" t="s">
        <v>1113</v>
      </c>
      <c r="J8" s="11">
        <v>14</v>
      </c>
      <c r="K8" s="11">
        <v>7047832193</v>
      </c>
      <c r="L8" s="618"/>
    </row>
    <row r="9" spans="1:12">
      <c r="A9" s="327">
        <v>8</v>
      </c>
      <c r="B9" s="328"/>
      <c r="C9" s="328"/>
      <c r="D9" s="328"/>
      <c r="G9" s="617">
        <v>6</v>
      </c>
      <c r="H9" s="11" t="s">
        <v>1114</v>
      </c>
      <c r="I9" s="11" t="s">
        <v>1115</v>
      </c>
      <c r="J9" s="11">
        <v>12</v>
      </c>
      <c r="K9" s="11">
        <v>9512377438</v>
      </c>
      <c r="L9" s="618"/>
    </row>
    <row r="10" spans="1:12">
      <c r="A10" s="327">
        <v>9</v>
      </c>
      <c r="B10" s="328"/>
      <c r="C10" s="328"/>
      <c r="D10" s="328"/>
      <c r="G10" s="617">
        <v>7</v>
      </c>
      <c r="H10" s="11" t="s">
        <v>1116</v>
      </c>
      <c r="I10" s="308">
        <v>46193</v>
      </c>
      <c r="J10" s="11">
        <v>12</v>
      </c>
      <c r="K10" s="11">
        <v>9904772920</v>
      </c>
      <c r="L10" s="618"/>
    </row>
    <row r="11" spans="1:12">
      <c r="A11" s="327">
        <v>10</v>
      </c>
      <c r="B11" s="328"/>
      <c r="C11" s="328"/>
      <c r="D11" s="328"/>
      <c r="G11" s="617">
        <v>8</v>
      </c>
      <c r="H11" s="11" t="s">
        <v>1117</v>
      </c>
      <c r="I11" s="308">
        <v>46195</v>
      </c>
      <c r="J11" s="11">
        <v>15</v>
      </c>
      <c r="K11" s="11">
        <v>6299211179</v>
      </c>
      <c r="L11" s="618"/>
    </row>
    <row r="12" spans="1:12">
      <c r="A12" s="327">
        <v>11</v>
      </c>
      <c r="B12" s="328"/>
      <c r="C12" s="328"/>
      <c r="D12" s="328"/>
      <c r="G12" s="617">
        <v>9</v>
      </c>
      <c r="H12" s="11" t="s">
        <v>412</v>
      </c>
      <c r="I12" s="308">
        <v>46194</v>
      </c>
      <c r="J12" s="11">
        <v>15</v>
      </c>
      <c r="K12" s="11">
        <v>9822945752</v>
      </c>
      <c r="L12" s="618"/>
    </row>
    <row r="13" spans="1:12" ht="15.75" thickBot="1">
      <c r="A13" s="327">
        <v>12</v>
      </c>
      <c r="B13" s="328"/>
      <c r="C13" s="328"/>
      <c r="D13" s="328"/>
      <c r="G13" s="619">
        <v>10</v>
      </c>
      <c r="H13" s="620" t="s">
        <v>1118</v>
      </c>
      <c r="I13" s="621">
        <v>46194</v>
      </c>
      <c r="J13" s="620">
        <v>12</v>
      </c>
      <c r="K13" s="620">
        <v>8799693511</v>
      </c>
      <c r="L13" s="622"/>
    </row>
    <row r="14" spans="1:12">
      <c r="A14" s="327">
        <v>13</v>
      </c>
      <c r="B14" s="328"/>
      <c r="C14" s="328"/>
      <c r="D14" s="328"/>
    </row>
    <row r="15" spans="1:12">
      <c r="A15" s="327">
        <v>14</v>
      </c>
      <c r="B15" s="328"/>
      <c r="C15" s="328"/>
      <c r="D15" s="328"/>
    </row>
    <row r="16" spans="1:12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.7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1079</v>
      </c>
    </row>
    <row r="5" spans="1:9">
      <c r="A5" s="29" t="s">
        <v>1080</v>
      </c>
      <c r="B5" s="29" t="s">
        <v>1081</v>
      </c>
      <c r="C5" s="29" t="s">
        <v>1082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1083</v>
      </c>
    </row>
    <row r="6" spans="1:9">
      <c r="A6" s="29">
        <v>1</v>
      </c>
      <c r="B6" s="29" t="s">
        <v>1084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2026-06-17T16:50:20Z</dcterms:modified>
  <cp:category/>
  <cp:contentStatus/>
</cp:coreProperties>
</file>