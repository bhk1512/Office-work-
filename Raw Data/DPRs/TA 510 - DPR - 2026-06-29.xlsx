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ne 26/"/>
    </mc:Choice>
  </mc:AlternateContent>
  <xr:revisionPtr revIDLastSave="369" documentId="8_{B28E2191-7C54-4325-9FF5-47C842D50063}" xr6:coauthVersionLast="47" xr6:coauthVersionMax="47" xr10:uidLastSave="{5CADF3FB-80DA-4BBF-B68F-D0C045B3FA46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oil Inv." sheetId="69" r:id="rId9"/>
    <sheet name="Survey Anx" sheetId="38" r:id="rId10"/>
    <sheet name="Survey" sheetId="19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FDN!$A$2:$N$310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8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8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9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9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8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8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8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9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8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8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8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8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8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8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8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8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8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8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8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8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8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8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8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8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8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FDN!$A$1:$M$272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8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8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8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8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8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9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8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8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8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8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8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8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8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8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64" l="1"/>
  <c r="I44" i="38"/>
  <c r="H44" i="38"/>
  <c r="I47" i="64" s="1"/>
  <c r="G10" i="64"/>
  <c r="K10" i="64"/>
  <c r="K9" i="64"/>
  <c r="F42" i="38"/>
  <c r="G26" i="38"/>
  <c r="H26" i="38" s="1"/>
  <c r="D24" i="38"/>
  <c r="E24" i="38" s="1"/>
  <c r="F41" i="38" s="1"/>
  <c r="K39" i="38"/>
  <c r="C23" i="38"/>
  <c r="D23" i="38" s="1"/>
  <c r="E23" i="38" s="1"/>
  <c r="F23" i="38" s="1"/>
  <c r="F26" i="38"/>
  <c r="G3" i="7"/>
  <c r="H23" i="38" l="1"/>
  <c r="I23" i="38" s="1"/>
  <c r="G23" i="38"/>
  <c r="P2" i="70"/>
  <c r="E95" i="30"/>
  <c r="G38" i="38"/>
  <c r="H38" i="38" s="1"/>
  <c r="D25" i="38"/>
  <c r="E25" i="38" s="1"/>
  <c r="F25" i="38" s="1"/>
  <c r="I20" i="38"/>
  <c r="H20" i="38"/>
  <c r="G20" i="38"/>
  <c r="F20" i="38"/>
  <c r="E20" i="38"/>
  <c r="D20" i="38"/>
  <c r="C20" i="38"/>
  <c r="C39" i="38" s="1"/>
  <c r="D7" i="38"/>
  <c r="G6" i="38"/>
  <c r="E91" i="30"/>
  <c r="D39" i="38" l="1"/>
  <c r="E7" i="38"/>
  <c r="H6" i="38"/>
  <c r="E90" i="30"/>
  <c r="E85" i="30"/>
  <c r="E87" i="30"/>
  <c r="E84" i="30"/>
  <c r="E88" i="30"/>
  <c r="E89" i="30"/>
  <c r="E86" i="30"/>
  <c r="E83" i="30"/>
  <c r="F7" i="38" l="1"/>
  <c r="E39" i="38"/>
  <c r="I6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F39" i="38" l="1"/>
  <c r="G7" i="38"/>
  <c r="A92" i="30"/>
  <c r="J15" i="61"/>
  <c r="BV20" i="61"/>
  <c r="K15" i="64"/>
  <c r="E70" i="30"/>
  <c r="H7" i="38" l="1"/>
  <c r="G39" i="38"/>
  <c r="F40" i="38"/>
  <c r="H13" i="61"/>
  <c r="J13" i="61" s="1"/>
  <c r="F10" i="6"/>
  <c r="F6" i="6"/>
  <c r="I7" i="38" l="1"/>
  <c r="I39" i="38" s="1"/>
  <c r="I40" i="38" s="1"/>
  <c r="H39" i="38"/>
  <c r="J19" i="64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F9" i="64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E18" i="7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KEC</author>
  </authors>
  <commentList>
    <comment ref="C23" authorId="0" shapeId="0" xr:uid="{AB239BEB-E690-49A1-99C3-1724F3CE85D2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162/0-165/0-2.845 &amp; 165/0-167/5-3.405
</t>
        </r>
      </text>
    </comment>
    <comment ref="F30" authorId="0" shapeId="0" xr:uid="{AE473E4D-7EB4-41F5-AB60-25568A285017}">
      <text>
        <r>
          <rPr>
            <b/>
            <sz val="9"/>
            <color indexed="81"/>
            <rFont val="Tahoma"/>
            <family val="2"/>
          </rPr>
          <t>KEC:</t>
        </r>
        <r>
          <rPr>
            <sz val="9"/>
            <color indexed="81"/>
            <rFont val="Tahoma"/>
            <family val="2"/>
          </rPr>
          <t xml:space="preserve">
184/0-184/5 &amp; 184/10-185/0</t>
        </r>
      </text>
    </comment>
  </commentList>
</comments>
</file>

<file path=xl/sharedStrings.xml><?xml version="1.0" encoding="utf-8"?>
<sst xmlns="http://schemas.openxmlformats.org/spreadsheetml/2006/main" count="5525" uniqueCount="1140">
  <si>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</si>
  <si>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</si>
  <si>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</si>
  <si>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</si>
  <si>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</si>
  <si>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</si>
  <si>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</si>
  <si>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</si>
  <si>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</si>
  <si>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</si>
  <si>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</si>
  <si>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</si>
  <si>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</si>
  <si>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</si>
  <si>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</si>
  <si>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</si>
  <si>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</si>
  <si>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</si>
  <si>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</si>
  <si>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</si>
  <si>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</si>
  <si>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</si>
  <si>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</si>
  <si>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</si>
  <si>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</si>
  <si>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</si>
  <si>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</si>
  <si>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</si>
  <si>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</si>
  <si>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</si>
  <si>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</si>
  <si>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</si>
  <si>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</si>
  <si>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</si>
  <si>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</si>
  <si>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</si>
  <si>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</si>
  <si>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</si>
  <si>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</si>
  <si>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</si>
  <si>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</si>
  <si>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</si>
  <si>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</si>
  <si>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</si>
  <si>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</si>
  <si>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</si>
  <si>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</si>
  <si>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</si>
  <si>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</si>
  <si>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</si>
  <si>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</si>
  <si>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</si>
  <si>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</si>
  <si>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</si>
  <si>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</si>
  <si>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</si>
  <si>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</si>
  <si>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</si>
  <si>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</si>
  <si>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</si>
  <si>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</si>
  <si>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</si>
  <si>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</si>
  <si>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</si>
  <si>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</si>
  <si>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</si>
  <si>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</si>
  <si>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</si>
  <si>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</si>
  <si>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</si>
  <si>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</si>
  <si>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</si>
  <si>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</si>
  <si>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</si>
  <si>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</si>
  <si>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</si>
  <si>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</si>
  <si>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</si>
  <si>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</si>
  <si>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</si>
  <si>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</si>
  <si>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</si>
  <si>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</si>
  <si>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</si>
  <si>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</si>
  <si>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</si>
  <si>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</si>
  <si>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</si>
  <si>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</si>
  <si>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</si>
  <si>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</si>
  <si>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</si>
  <si>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</si>
  <si>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</si>
  <si>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</si>
  <si>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</si>
  <si>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</si>
  <si>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</si>
  <si>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</si>
  <si>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</si>
  <si>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</si>
  <si>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</si>
  <si>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</si>
  <si>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</si>
  <si>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</si>
  <si>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</si>
  <si>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</si>
  <si>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</si>
  <si>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</si>
  <si>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</si>
  <si>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</si>
  <si>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</si>
  <si>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</si>
  <si>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</si>
  <si>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</si>
  <si>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</si>
  <si>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</si>
  <si>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</si>
  <si>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</si>
  <si>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</si>
  <si>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</si>
  <si>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</si>
  <si>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</si>
  <si>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</si>
  <si>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</si>
  <si>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</si>
  <si>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</si>
  <si>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</si>
  <si>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</si>
  <si>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</si>
  <si>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</si>
  <si>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</si>
  <si>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</si>
  <si>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</si>
  <si>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</si>
  <si>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</si>
  <si>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</si>
  <si>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</si>
  <si>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</si>
  <si>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</si>
  <si>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</si>
  <si>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</si>
  <si>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</si>
  <si>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</si>
  <si>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</si>
  <si>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</si>
  <si>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</si>
  <si>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</si>
  <si>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</si>
  <si>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</si>
  <si>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</si>
  <si>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</si>
  <si>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</si>
  <si>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</si>
  <si>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</si>
  <si>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</si>
  <si>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</si>
  <si>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</si>
  <si>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</si>
  <si>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</si>
  <si>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</si>
  <si>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</si>
  <si>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</si>
  <si>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</si>
  <si>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</si>
  <si>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</si>
  <si>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</si>
  <si>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</si>
  <si>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</si>
  <si>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</si>
  <si>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</si>
  <si>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</si>
  <si>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</si>
  <si>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</si>
  <si>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</si>
  <si>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</si>
  <si>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</si>
  <si>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</si>
  <si>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</si>
  <si>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</si>
  <si>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</si>
  <si>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</si>
  <si>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</si>
  <si>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</si>
  <si>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</si>
  <si>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</si>
  <si>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</si>
  <si>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</si>
  <si>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</si>
  <si>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</si>
  <si>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</si>
  <si>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</si>
  <si>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</si>
  <si>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</si>
  <si>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</si>
  <si>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</si>
  <si>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</si>
  <si>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</si>
  <si>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</si>
  <si>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</si>
  <si>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</si>
  <si>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</si>
  <si>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</si>
  <si>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</si>
  <si>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</si>
  <si>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</si>
  <si>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</si>
  <si>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</si>
  <si>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</si>
  <si>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</si>
  <si>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</si>
  <si>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</si>
  <si>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</si>
  <si>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</si>
  <si>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</si>
  <si>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</si>
  <si>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</si>
  <si>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</si>
  <si>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</si>
  <si>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</si>
  <si>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</si>
  <si>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</si>
  <si>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</si>
  <si>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</si>
  <si>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</si>
  <si>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</si>
  <si>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</si>
  <si>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</si>
  <si>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</si>
  <si>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</si>
  <si>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</si>
  <si>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</si>
  <si>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</si>
  <si>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</si>
  <si>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</si>
  <si>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</si>
  <si>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</si>
  <si>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</si>
  <si>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</si>
  <si>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</si>
  <si>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</si>
  <si>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</si>
  <si>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</si>
  <si>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</si>
  <si>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</si>
  <si>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</si>
  <si>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</si>
  <si>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</si>
  <si>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</si>
  <si>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</si>
  <si>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</si>
  <si>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</si>
  <si>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</si>
  <si>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</si>
  <si>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</si>
  <si>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</si>
  <si>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</si>
  <si>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</si>
  <si>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</si>
  <si>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</si>
  <si>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</si>
  <si>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</si>
  <si>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</si>
  <si>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</si>
  <si>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</si>
  <si>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</si>
  <si>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</si>
  <si>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</si>
  <si>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</si>
  <si>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</si>
  <si>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</si>
  <si>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</si>
  <si>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</si>
  <si>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</si>
  <si>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</si>
  <si>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</si>
  <si>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</si>
  <si>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</si>
  <si>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</si>
  <si>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</si>
  <si>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</si>
  <si>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</si>
  <si>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</si>
  <si>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</si>
  <si>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</si>
  <si>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</si>
  <si>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</si>
  <si>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</si>
  <si>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</si>
  <si>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</si>
  <si>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</si>
  <si>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</si>
  <si>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</si>
  <si>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</si>
  <si>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</si>
  <si>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</si>
  <si>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</si>
  <si>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</si>
  <si>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</si>
  <si>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</si>
  <si>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</si>
  <si>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</si>
  <si>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</si>
  <si>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</si>
  <si>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</si>
  <si>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</si>
  <si>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</si>
  <si>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</si>
  <si>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</si>
  <si>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</si>
  <si>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</si>
  <si>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</si>
  <si>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</si>
  <si>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</si>
  <si>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</si>
  <si>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</si>
  <si>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</si>
  <si>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</si>
  <si>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</si>
  <si>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</si>
  <si>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</si>
  <si>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</si>
  <si>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</si>
  <si>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</si>
  <si>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</si>
  <si>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</si>
  <si>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</si>
  <si>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</si>
  <si>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</si>
  <si>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</si>
  <si>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</si>
  <si>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</si>
  <si>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</si>
  <si>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</si>
  <si>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</si>
  <si>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</si>
  <si>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</si>
  <si>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</si>
  <si>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</si>
  <si>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</si>
  <si>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</si>
  <si>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</si>
  <si>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</si>
  <si>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</si>
  <si>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</si>
  <si>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</si>
  <si>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</si>
  <si>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</si>
  <si>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</si>
  <si>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</si>
  <si>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</si>
  <si>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</si>
  <si>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</si>
  <si>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</si>
  <si>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</si>
  <si>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</si>
  <si>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</si>
  <si>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</si>
  <si>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</si>
  <si>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</si>
  <si>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</si>
  <si>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</si>
  <si>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</si>
  <si>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</si>
  <si>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</si>
  <si>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</si>
  <si>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</si>
  <si>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</si>
  <si>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</si>
  <si>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</si>
  <si>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</si>
  <si>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</si>
  <si>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</si>
  <si>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</si>
  <si>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</si>
  <si>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</si>
  <si>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</si>
  <si>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</si>
  <si>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</si>
  <si>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</si>
  <si>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</si>
  <si>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</si>
  <si>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</si>
  <si>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</si>
  <si>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</si>
  <si>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</si>
  <si>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</si>
  <si>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</si>
  <si>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</si>
  <si>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</si>
  <si>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</si>
  <si>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</si>
  <si>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</si>
  <si>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</si>
  <si>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</si>
  <si>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</si>
  <si>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</si>
  <si>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</si>
  <si>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</si>
  <si>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</si>
  <si>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</si>
  <si>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</si>
  <si>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</si>
  <si>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</si>
  <si>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</si>
  <si>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</si>
  <si>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</si>
  <si>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</si>
  <si>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</si>
  <si>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</si>
  <si>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</si>
  <si>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</si>
  <si>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</si>
  <si>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</si>
  <si>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</si>
  <si>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</si>
  <si>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</si>
  <si>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</si>
  <si>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</si>
  <si>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</si>
  <si>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</si>
  <si>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</si>
  <si>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</si>
  <si>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</si>
  <si>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</si>
  <si>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</si>
  <si>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</si>
  <si>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</si>
  <si>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</si>
  <si>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</si>
  <si>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</si>
  <si>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</si>
  <si>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</si>
  <si>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</si>
  <si>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</si>
  <si>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</si>
  <si>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</si>
  <si>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</si>
  <si>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</si>
  <si>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</si>
  <si>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</si>
  <si>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</si>
  <si>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</si>
  <si>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</si>
  <si>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</si>
  <si>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</si>
  <si>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</si>
  <si>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</si>
  <si>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</si>
  <si>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</si>
  <si>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</si>
  <si>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</si>
  <si>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</si>
  <si>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</si>
  <si>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</si>
  <si>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</si>
  <si>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</si>
  <si>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</si>
  <si>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</si>
  <si>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</si>
  <si>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</si>
  <si>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</si>
  <si>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</si>
  <si>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</si>
  <si>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</si>
  <si>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</si>
  <si>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</si>
  <si>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</si>
  <si>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</si>
  <si>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</si>
  <si>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</si>
  <si>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</si>
  <si>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</si>
  <si>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</si>
  <si>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</si>
  <si>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</si>
  <si>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</si>
  <si>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</si>
  <si>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</si>
  <si>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</si>
  <si>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</si>
  <si>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</si>
  <si>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</si>
  <si>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</si>
  <si>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</si>
  <si>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</si>
  <si>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</si>
  <si>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</si>
  <si>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</si>
  <si>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</si>
  <si>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</si>
  <si>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</si>
  <si>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</si>
  <si>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</si>
  <si>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</si>
  <si>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</si>
  <si>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</si>
  <si>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</si>
  <si>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</si>
  <si>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</si>
  <si>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</si>
  <si>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</si>
  <si>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</si>
  <si>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</si>
  <si>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</si>
  <si>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</si>
  <si>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</si>
  <si>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</si>
  <si>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</si>
  <si>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</si>
  <si>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</si>
  <si>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</si>
  <si>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</si>
  <si>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</si>
  <si>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</si>
  <si>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</si>
  <si>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</si>
  <si>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</si>
  <si>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</si>
  <si>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</si>
  <si>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</si>
  <si>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</si>
  <si>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</si>
  <si>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</si>
  <si>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</si>
  <si>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</si>
  <si>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</si>
  <si>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</si>
  <si>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</si>
  <si>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</si>
  <si>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</si>
  <si>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</si>
  <si>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</si>
  <si>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</si>
  <si>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</si>
  <si>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</si>
  <si>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</si>
  <si>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</si>
  <si>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</si>
  <si>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</si>
  <si>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</si>
  <si>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</si>
  <si>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</si>
  <si>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</si>
  <si>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</si>
  <si>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</si>
  <si>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</si>
  <si>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</si>
  <si>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</si>
  <si>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</si>
  <si>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</si>
  <si>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</si>
  <si>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</si>
  <si>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</si>
  <si>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</si>
  <si>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</si>
  <si>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</si>
  <si>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</si>
  <si>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</si>
  <si>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</si>
  <si>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</si>
  <si>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</si>
  <si>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</si>
  <si>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</si>
  <si>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</si>
  <si>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</si>
  <si>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</si>
  <si>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</si>
  <si>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</si>
  <si>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</si>
  <si>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</si>
  <si>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</si>
  <si>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</si>
  <si>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</si>
  <si>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</si>
  <si>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</si>
  <si>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</si>
  <si>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</si>
  <si>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</si>
  <si>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</si>
  <si>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</si>
  <si>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</si>
  <si>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</si>
  <si>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</si>
  <si>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</si>
  <si>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</si>
  <si>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</si>
  <si>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</si>
  <si>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</si>
  <si>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</si>
  <si>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</si>
  <si>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</si>
  <si>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</si>
  <si>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</si>
  <si>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</si>
  <si>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</si>
  <si>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</si>
  <si>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</si>
  <si>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</si>
  <si>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</si>
  <si>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</si>
  <si>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</si>
  <si>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</si>
  <si>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</si>
  <si>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</si>
  <si>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</si>
  <si>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</si>
  <si>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</si>
  <si>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</si>
  <si>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</si>
  <si>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</si>
  <si>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</si>
  <si>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</si>
  <si>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</si>
  <si>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</si>
  <si>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</si>
  <si>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</si>
  <si>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</si>
  <si>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</si>
  <si>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</si>
  <si>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</si>
  <si>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</si>
  <si>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</si>
  <si>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</si>
  <si>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</si>
  <si>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</si>
  <si>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</si>
  <si>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</si>
  <si>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</si>
  <si>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</si>
  <si>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</si>
  <si>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</si>
  <si>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</si>
  <si>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</si>
  <si>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</si>
  <si>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</si>
  <si>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</si>
  <si>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</si>
  <si>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</si>
  <si>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</si>
  <si>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</si>
  <si>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</si>
  <si>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</si>
  <si>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</si>
  <si>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</si>
  <si>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</si>
  <si>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</si>
  <si>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</si>
  <si>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</si>
  <si>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</si>
  <si>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</si>
  <si>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</si>
  <si>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</si>
  <si>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</si>
  <si>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</si>
  <si>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</si>
  <si>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</si>
  <si>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</si>
  <si>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</si>
  <si>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</si>
  <si>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</si>
  <si>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</si>
  <si>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</si>
  <si>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</si>
  <si>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</si>
  <si>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</si>
  <si>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</si>
  <si>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</si>
  <si>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</si>
  <si>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</si>
  <si>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</si>
  <si>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</si>
  <si>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</si>
  <si>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</si>
  <si>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</si>
  <si>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</si>
  <si>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</si>
  <si>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</si>
  <si>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</si>
  <si>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</si>
  <si>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</si>
  <si>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</si>
  <si>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</si>
  <si>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</si>
  <si>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</si>
  <si>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</si>
  <si>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</si>
  <si>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</si>
  <si>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</si>
  <si>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</si>
  <si>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</si>
  <si>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</si>
  <si>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</si>
  <si>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</si>
  <si>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</si>
  <si>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</si>
  <si>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</si>
  <si>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</si>
  <si>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</si>
  <si>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</si>
  <si>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</si>
  <si>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</si>
  <si>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</si>
  <si>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</si>
  <si>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</si>
  <si>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</si>
  <si>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</si>
  <si>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</si>
  <si>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</si>
  <si>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</si>
  <si>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</si>
  <si>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</si>
  <si>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</si>
  <si>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</si>
  <si>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</si>
  <si>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</si>
  <si>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</si>
  <si>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</si>
  <si>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</si>
  <si>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</si>
  <si>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</si>
  <si>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</si>
  <si>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</si>
  <si>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</si>
  <si>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</si>
  <si>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</si>
  <si>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</si>
  <si>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</si>
  <si>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</si>
  <si>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</si>
  <si>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</si>
  <si>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</si>
  <si>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</si>
  <si>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</si>
  <si>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</si>
  <si>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</si>
  <si>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</si>
  <si>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</si>
  <si>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</si>
  <si>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</si>
  <si>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</si>
  <si>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</si>
  <si>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</si>
  <si>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</si>
  <si>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</si>
  <si>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</si>
  <si>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</si>
  <si>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</si>
  <si>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</si>
  <si>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</si>
  <si>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</si>
  <si>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</si>
  <si>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</si>
  <si>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</si>
  <si>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</si>
  <si>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</si>
  <si>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</si>
  <si>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</si>
  <si>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</si>
  <si>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</si>
  <si>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</si>
  <si>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</si>
  <si>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</si>
  <si>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</si>
  <si>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</si>
  <si>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</si>
  <si>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</si>
  <si>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</si>
  <si>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</si>
  <si>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</si>
  <si>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</si>
  <si>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</si>
  <si>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</si>
  <si>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</si>
  <si>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</si>
  <si>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</si>
  <si>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</si>
  <si>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</si>
  <si>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</si>
  <si>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</si>
  <si>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</si>
  <si>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</si>
  <si>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</si>
  <si>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</si>
  <si>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</si>
  <si>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</si>
  <si>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</si>
  <si>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</si>
  <si>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</si>
  <si>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</si>
  <si>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</si>
  <si>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</si>
  <si>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</si>
  <si>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</si>
  <si>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</si>
  <si>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</si>
  <si>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</si>
  <si>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</si>
  <si>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</si>
  <si>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</si>
  <si>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</si>
  <si>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</si>
  <si>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</si>
  <si>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</si>
  <si>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</si>
  <si>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</si>
  <si>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</si>
  <si>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</si>
  <si>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</si>
  <si>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</si>
  <si>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</si>
  <si>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</si>
  <si>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</si>
  <si>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</si>
  <si>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</si>
  <si>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</si>
  <si>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</si>
  <si>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</si>
  <si>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</si>
  <si>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</si>
  <si>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</si>
  <si>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</si>
  <si>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</si>
  <si>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</si>
  <si>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</si>
  <si>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</si>
  <si>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</si>
  <si>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</si>
  <si>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</si>
  <si>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</si>
  <si>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</si>
  <si>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</si>
  <si>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</si>
  <si>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</si>
  <si>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</si>
  <si>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</si>
  <si>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</si>
  <si>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</si>
  <si>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</si>
  <si>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</si>
  <si>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</si>
  <si>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</si>
  <si>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</si>
  <si>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</si>
  <si>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</si>
  <si>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</si>
  <si>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</si>
  <si>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</si>
  <si>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</si>
  <si>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</si>
  <si>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</si>
  <si>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</si>
  <si>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</si>
  <si>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</si>
  <si>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</si>
  <si>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</si>
  <si>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</si>
  <si>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</si>
  <si>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</si>
  <si>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</si>
  <si>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</si>
  <si>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</si>
  <si>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</si>
  <si>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</si>
  <si>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</si>
  <si>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</si>
  <si>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</si>
  <si>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</si>
  <si>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</si>
  <si>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</si>
  <si>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</si>
  <si>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</si>
  <si>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</si>
  <si>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</si>
  <si>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</si>
  <si>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</si>
  <si>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</si>
  <si>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</si>
  <si>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</si>
  <si>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</si>
  <si>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</si>
  <si>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</si>
  <si>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</si>
  <si>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</si>
  <si>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</si>
  <si>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</si>
  <si>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</si>
  <si>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</si>
  <si>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</si>
  <si>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</si>
  <si>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</si>
  <si>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</si>
  <si>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</si>
  <si>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</si>
  <si>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</si>
  <si>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</si>
  <si>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</si>
  <si>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</si>
  <si>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</si>
  <si>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</si>
  <si>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</si>
  <si>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</si>
  <si>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</si>
  <si>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</si>
  <si>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</si>
  <si>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</si>
  <si>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</si>
  <si>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</si>
  <si>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</si>
  <si>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</si>
  <si>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</si>
  <si>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</si>
  <si>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</si>
  <si>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</si>
  <si>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</si>
  <si>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</si>
  <si>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</si>
  <si>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</si>
  <si>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</si>
  <si>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</si>
  <si>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</si>
  <si>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</si>
  <si>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</si>
  <si>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</si>
  <si>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</si>
  <si>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</si>
  <si>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</si>
  <si>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</si>
  <si>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</si>
  <si>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</si>
  <si>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</si>
  <si>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</si>
  <si>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</si>
  <si>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</si>
  <si>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</si>
  <si>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</si>
  <si>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</si>
  <si>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</si>
  <si>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</si>
  <si>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</si>
  <si>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</si>
  <si>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</si>
  <si>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</si>
  <si>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</si>
  <si>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</si>
  <si>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</si>
  <si>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</si>
  <si>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</si>
  <si>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</si>
  <si>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</si>
  <si>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</si>
  <si>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</si>
  <si>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</si>
  <si>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</si>
  <si>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</si>
  <si>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</si>
  <si>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</si>
  <si>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</si>
  <si>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</si>
  <si>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</si>
  <si>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</si>
  <si>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</si>
  <si>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</si>
  <si>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</si>
  <si>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</si>
  <si>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</si>
  <si>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</si>
  <si>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</si>
  <si>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</si>
  <si>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</si>
  <si>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</si>
  <si>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</si>
  <si>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</si>
  <si>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</si>
  <si>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</si>
  <si>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</si>
  <si>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</si>
  <si>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</si>
  <si>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</si>
  <si>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</si>
  <si>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</si>
  <si>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</si>
  <si>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</si>
  <si>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</si>
  <si>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</si>
  <si>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</si>
  <si>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</si>
  <si>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</si>
  <si>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</si>
  <si>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</si>
  <si>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</si>
  <si>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</si>
  <si>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</si>
  <si>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</si>
  <si>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</si>
  <si>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</si>
  <si>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</si>
  <si>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</si>
  <si>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</si>
  <si>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</si>
  <si>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</si>
  <si>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</si>
  <si>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</si>
  <si>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</si>
  <si>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</si>
  <si>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</si>
  <si>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</si>
  <si>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</si>
  <si>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</si>
  <si>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</si>
  <si>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</si>
  <si>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</si>
  <si>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</si>
  <si>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</si>
  <si>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</si>
  <si>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</si>
  <si>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</si>
  <si>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</si>
  <si>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</si>
  <si>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</si>
  <si>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</si>
  <si>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</si>
  <si>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</si>
  <si>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</si>
  <si>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</si>
  <si>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</si>
  <si>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</si>
  <si>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</si>
  <si>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</si>
  <si>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</si>
  <si>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</si>
  <si>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</si>
  <si>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</si>
  <si>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</si>
  <si>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</si>
  <si>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</si>
  <si>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</si>
  <si>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</si>
  <si>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</si>
  <si>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</si>
  <si>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</si>
  <si>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</si>
  <si>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</si>
  <si>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</si>
  <si>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</si>
  <si>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</si>
  <si>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</si>
  <si>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</si>
  <si>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</si>
  <si>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</si>
  <si>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</si>
  <si>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</si>
  <si>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</si>
  <si>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</si>
  <si>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</si>
  <si>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IPCL Hajira-Dahej</t>
  </si>
  <si>
    <t>DUPL Dahej-Hajira</t>
  </si>
  <si>
    <t>184/10</t>
  </si>
  <si>
    <t>184/11</t>
  </si>
  <si>
    <t>ALLA BET- Ankleshwar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</si>
  <si>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</si>
  <si>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</si>
  <si>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</si>
  <si>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</si>
  <si>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</si>
  <si>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</si>
  <si>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</si>
  <si>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</si>
  <si>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</si>
  <si>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</si>
  <si>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</si>
  <si>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</si>
  <si>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</si>
  <si>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</si>
  <si>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</si>
  <si>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</si>
  <si>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</si>
  <si>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</si>
  <si>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</si>
  <si>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>Cumulative L2 till Last Month (May'26)</t>
  </si>
  <si>
    <t>Cumulative Progress till Last Month(May 26)</t>
  </si>
  <si>
    <t>Cumm. Progress up to
till last Month May'26)</t>
  </si>
  <si>
    <t>Target as per L2 Schedule Cummulative (upto May'26)</t>
  </si>
  <si>
    <t>L3 Plan for the month (May'26 )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</si>
  <si>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</si>
  <si>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</si>
  <si>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</si>
  <si>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</si>
  <si>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</si>
  <si>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</si>
  <si>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765KV ANTL Line</t>
  </si>
  <si>
    <t>Mahi River</t>
  </si>
  <si>
    <t xml:space="preserve">Asmina Power </t>
  </si>
  <si>
    <t>Tower Tightening</t>
  </si>
  <si>
    <t>Complete</t>
  </si>
  <si>
    <t>Submitted today</t>
  </si>
  <si>
    <t xml:space="preserve">Gang </t>
  </si>
  <si>
    <t>Status/Arrival</t>
  </si>
  <si>
    <t>Contact</t>
  </si>
  <si>
    <t xml:space="preserve">WIP at 154/2  </t>
  </si>
  <si>
    <t>Clear Front not Provided from Client</t>
  </si>
  <si>
    <t>Vihan 1</t>
  </si>
  <si>
    <t>BLG Infra 2</t>
  </si>
  <si>
    <t>BLG Infra 1</t>
  </si>
  <si>
    <t>WIP at 148A/0</t>
  </si>
  <si>
    <t>Vihan 2</t>
  </si>
  <si>
    <t xml:space="preserve">Trial Pit </t>
  </si>
  <si>
    <t>RB</t>
  </si>
  <si>
    <t>20 06-2026</t>
  </si>
  <si>
    <t>BK Traders</t>
  </si>
  <si>
    <t>Raza Construction</t>
  </si>
  <si>
    <t>Nongha Bhai</t>
  </si>
  <si>
    <t>EARTHING PROGRESS SUMMARY</t>
  </si>
  <si>
    <t>20-062026</t>
  </si>
  <si>
    <t>162/0-167/5</t>
  </si>
  <si>
    <t>167/5-174A/0</t>
  </si>
  <si>
    <t>165/0-167/5</t>
  </si>
  <si>
    <t>162/0-165/0</t>
  </si>
  <si>
    <t>184/5-184/10</t>
  </si>
  <si>
    <t xml:space="preserve">Balance </t>
  </si>
  <si>
    <t>Under Preparation</t>
  </si>
  <si>
    <t>765KV VNTL Line,</t>
  </si>
  <si>
    <t>Nilgiri Garden</t>
  </si>
  <si>
    <t>Excavation WIP ,Work hampered due to ROW</t>
  </si>
  <si>
    <t xml:space="preserve">2nos 11 kv line </t>
  </si>
  <si>
    <t>66 kv dc line</t>
  </si>
  <si>
    <t>ONGC Pipeline</t>
  </si>
  <si>
    <t xml:space="preserve">66kv UG cable,3Nos Gas Pipeline , </t>
  </si>
  <si>
    <t>3Nos 11 kv line</t>
  </si>
  <si>
    <t>Railway Line</t>
  </si>
  <si>
    <t>NH-64 crossing,3nos 11kv line</t>
  </si>
  <si>
    <t xml:space="preserve">ONGC </t>
  </si>
  <si>
    <t>Gas Pipeline</t>
  </si>
  <si>
    <t>River</t>
  </si>
  <si>
    <t>Twastha Infrastruture</t>
  </si>
  <si>
    <t>ROW &amp; Fronts are not cleared for further work 3Teams are idle due to ROWand unvailability of clear front</t>
  </si>
  <si>
    <t>Location Complete today</t>
  </si>
  <si>
    <t>Rahul Kumar</t>
  </si>
  <si>
    <t>Excavation Work WIP</t>
  </si>
  <si>
    <t>Trial Pit is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</si>
</sst>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</font>
    <font>
      <b/>
      <sz val="8"/>
      <color theme="1"/>
      <name val="Calibri"/>
      <family val="2"/>
    </font>
    <font>
      <b/>
      <sz val="10"/>
      <color rgb="FF0070C0"/>
      <name val="Calibri"/>
      <family val="2"/>
      <scheme val="minor"/>
    </font>
    <font>
      <b/>
      <sz val="11"/>
      <color rgb="FF7030A0"/>
      <name val="Calibri"/>
      <family val="2"/>
    </font>
    <font>
      <b/>
      <sz val="11"/>
      <color rgb="FF002060"/>
      <name val="Calibri"/>
      <family val="2"/>
    </font>
  </fonts>
  <fills count="6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9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37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1" fillId="5" borderId="0" xfId="0" applyFont="1" applyFill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3" fillId="53" borderId="47" xfId="0" applyFont="1" applyFill="1" applyBorder="1" applyAlignment="1">
      <alignment horizontal="center" vertical="center"/>
    </xf>
    <xf numFmtId="0" fontId="133" fillId="53" borderId="48" xfId="0" applyFont="1" applyFill="1" applyBorder="1" applyAlignment="1">
      <alignment horizontal="center" vertical="center"/>
    </xf>
    <xf numFmtId="0" fontId="133" fillId="53" borderId="91" xfId="0" applyFont="1" applyFill="1" applyBorder="1" applyAlignment="1">
      <alignment horizontal="center" vertical="center"/>
    </xf>
    <xf numFmtId="0" fontId="123" fillId="63" borderId="9" xfId="0" applyFont="1" applyFill="1" applyBorder="1" applyAlignment="1">
      <alignment horizontal="center" vertical="center"/>
    </xf>
    <xf numFmtId="0" fontId="134" fillId="59" borderId="49" xfId="0" applyFont="1" applyFill="1" applyBorder="1" applyAlignment="1">
      <alignment horizontal="center" vertical="center"/>
    </xf>
    <xf numFmtId="0" fontId="134" fillId="59" borderId="51" xfId="0" applyFont="1" applyFill="1" applyBorder="1" applyAlignment="1">
      <alignment horizontal="center" vertical="center"/>
    </xf>
    <xf numFmtId="1" fontId="78" fillId="59" borderId="50" xfId="0" applyNumberFormat="1" applyFont="1" applyFill="1" applyBorder="1" applyAlignment="1">
      <alignment horizontal="center" vertical="center"/>
    </xf>
    <xf numFmtId="168" fontId="124" fillId="64" borderId="9" xfId="0" applyNumberFormat="1" applyFont="1" applyFill="1" applyBorder="1" applyAlignment="1">
      <alignment horizontal="center" vertical="center"/>
    </xf>
    <xf numFmtId="0" fontId="123" fillId="64" borderId="9" xfId="0" applyFont="1" applyFill="1" applyBorder="1" applyAlignment="1">
      <alignment vertical="center"/>
    </xf>
    <xf numFmtId="0" fontId="9" fillId="0" borderId="0" xfId="0" applyFont="1"/>
    <xf numFmtId="168" fontId="9" fillId="0" borderId="0" xfId="0" applyNumberFormat="1" applyFont="1"/>
    <xf numFmtId="0" fontId="9" fillId="0" borderId="0" xfId="0" applyFont="1" applyAlignment="1">
      <alignment horizontal="right"/>
    </xf>
    <xf numFmtId="0" fontId="116" fillId="49" borderId="13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/>
    </xf>
    <xf numFmtId="0" fontId="116" fillId="49" borderId="9" xfId="0" applyFont="1" applyFill="1" applyBorder="1" applyAlignment="1">
      <alignment horizontal="center" vertical="center" wrapText="1"/>
    </xf>
    <xf numFmtId="0" fontId="116" fillId="49" borderId="9" xfId="0" applyFont="1" applyFill="1" applyBorder="1" applyAlignment="1">
      <alignment horizontal="left" vertical="center" wrapText="1"/>
    </xf>
    <xf numFmtId="14" fontId="116" fillId="49" borderId="9" xfId="0" applyNumberFormat="1" applyFont="1" applyFill="1" applyBorder="1" applyAlignment="1">
      <alignment horizontal="center" vertical="center"/>
    </xf>
    <xf numFmtId="0" fontId="117" fillId="49" borderId="9" xfId="0" applyFont="1" applyFill="1" applyBorder="1" applyAlignment="1">
      <alignment horizontal="left" wrapText="1"/>
    </xf>
    <xf numFmtId="0" fontId="137" fillId="5" borderId="0" xfId="0" applyFont="1" applyFill="1" applyAlignment="1">
      <alignment horizontal="center" vertical="center"/>
    </xf>
    <xf numFmtId="0" fontId="71" fillId="5" borderId="32" xfId="0" applyFont="1" applyFill="1" applyBorder="1" applyAlignment="1">
      <alignment horizontal="center" vertical="center"/>
    </xf>
    <xf numFmtId="0" fontId="79" fillId="5" borderId="9" xfId="0" applyFont="1" applyFill="1" applyBorder="1" applyAlignment="1">
      <alignment horizontal="center" vertical="center"/>
    </xf>
    <xf numFmtId="0" fontId="71" fillId="5" borderId="31" xfId="0" applyFont="1" applyFill="1" applyBorder="1" applyAlignment="1">
      <alignment horizontal="center" vertical="center"/>
    </xf>
    <xf numFmtId="0" fontId="121" fillId="0" borderId="0" xfId="0" applyFont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138" fillId="5" borderId="0" xfId="0" applyFont="1" applyFill="1" applyAlignment="1">
      <alignment horizontal="center" vertical="center" textRotation="90" wrapText="1"/>
    </xf>
    <xf numFmtId="0" fontId="138" fillId="5" borderId="8" xfId="0" applyFont="1" applyFill="1" applyBorder="1" applyAlignment="1">
      <alignment horizontal="center" vertical="center" textRotation="90" wrapText="1"/>
    </xf>
    <xf numFmtId="0" fontId="96" fillId="0" borderId="9" xfId="0" applyFont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139" fillId="5" borderId="0" xfId="0" applyFont="1" applyFill="1" applyAlignment="1">
      <alignment horizontal="center" vertical="center"/>
    </xf>
    <xf numFmtId="0" fontId="140" fillId="5" borderId="0" xfId="0" applyFont="1" applyFill="1" applyAlignment="1">
      <alignment horizontal="center" vertical="center"/>
    </xf>
    <xf numFmtId="0" fontId="141" fillId="5" borderId="0" xfId="0" applyFont="1" applyFill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27" fillId="59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 wrapText="1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 wrapText="1"/>
    </xf>
    <xf numFmtId="1" fontId="64" fillId="50" borderId="50" xfId="0" applyNumberFormat="1" applyFont="1" applyFill="1" applyBorder="1" applyAlignment="1">
      <alignment horizontal="center" vertical="center" wrapText="1"/>
    </xf>
    <xf numFmtId="1" fontId="64" fillId="50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0" borderId="52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64" fillId="0" borderId="83" xfId="0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left" vertical="center" wrapText="1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FFFF66"/>
      <color rgb="FF00CCFF"/>
      <color rgb="FF66FF99"/>
      <color rgb="FF00FF00"/>
      <color rgb="FF7CEE9F"/>
      <color rgb="FF66FF66"/>
      <color rgb="FF66FFFF"/>
      <color rgb="FFFFCC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31005</xdr:rowOff>
    </xdr:from>
    <xdr:to>
      <xdr:col>31</xdr:col>
      <xdr:colOff>1075765</xdr:colOff>
      <xdr:row>19</xdr:row>
      <xdr:rowOff>44142</xdr:rowOff>
    </xdr:to>
    <xdr:pic>
      <xdr:nvPicPr>
        <xdr:cNvPr id="2110" name="Picture 2109">
          <a:extLst>
            <a:ext uri="{FF2B5EF4-FFF2-40B4-BE49-F238E27FC236}">
              <a16:creationId xmlns:a16="http://schemas.microsoft.com/office/drawing/2014/main" id="{AF869BED-883F-2732-38F9-A7408A401F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31" t="2221" r="1239"/>
        <a:stretch/>
      </xdr:blipFill>
      <xdr:spPr>
        <a:xfrm>
          <a:off x="8277369" y="1243278"/>
          <a:ext cx="8052828" cy="2942796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27</xdr:col>
      <xdr:colOff>148224</xdr:colOff>
      <xdr:row>17</xdr:row>
      <xdr:rowOff>66660</xdr:rowOff>
    </xdr:from>
    <xdr:to>
      <xdr:col>27</xdr:col>
      <xdr:colOff>557701</xdr:colOff>
      <xdr:row>18</xdr:row>
      <xdr:rowOff>110880</xdr:rowOff>
    </xdr:to>
    <xdr:pic>
      <xdr:nvPicPr>
        <xdr:cNvPr id="2111" name="Picture 2110" descr="Gas pipeline line icon concept. Gas ...">
          <a:extLst>
            <a:ext uri="{FF2B5EF4-FFF2-40B4-BE49-F238E27FC236}">
              <a16:creationId xmlns:a16="http://schemas.microsoft.com/office/drawing/2014/main" id="{23470FC8-7A92-5434-6D6F-3FEB41FF10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3411065" y="3761205"/>
          <a:ext cx="409477" cy="260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185479</xdr:colOff>
      <xdr:row>15</xdr:row>
      <xdr:rowOff>161776</xdr:rowOff>
    </xdr:from>
    <xdr:to>
      <xdr:col>29</xdr:col>
      <xdr:colOff>47925</xdr:colOff>
      <xdr:row>17</xdr:row>
      <xdr:rowOff>59428</xdr:rowOff>
    </xdr:to>
    <xdr:sp macro="" textlink="">
      <xdr:nvSpPr>
        <xdr:cNvPr id="2112" name="TextBox 2111">
          <a:extLst>
            <a:ext uri="{FF2B5EF4-FFF2-40B4-BE49-F238E27FC236}">
              <a16:creationId xmlns:a16="http://schemas.microsoft.com/office/drawing/2014/main" id="{F09E165F-4C65-4A92-A54E-1F6A540189CF}"/>
            </a:ext>
          </a:extLst>
        </xdr:cNvPr>
        <xdr:cNvSpPr txBox="1"/>
      </xdr:nvSpPr>
      <xdr:spPr>
        <a:xfrm>
          <a:off x="13448320" y="3423367"/>
          <a:ext cx="858241" cy="3306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GAS</a:t>
          </a:r>
          <a:r>
            <a:rPr lang="en-US" sz="700" b="1" baseline="0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rPr>
            <a:t> PIPELINE</a:t>
          </a:r>
          <a:endParaRPr lang="en-US" sz="700" b="1">
            <a:latin typeface="Arial Narrow" panose="020B0606020202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326033</xdr:colOff>
      <xdr:row>58</xdr:row>
      <xdr:rowOff>22838</xdr:rowOff>
    </xdr:from>
    <xdr:to>
      <xdr:col>24</xdr:col>
      <xdr:colOff>93199</xdr:colOff>
      <xdr:row>61</xdr:row>
      <xdr:rowOff>15783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201413" y="10801762"/>
          <a:ext cx="767894" cy="49933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409440</xdr:colOff>
      <xdr:row>104</xdr:row>
      <xdr:rowOff>35455</xdr:rowOff>
    </xdr:from>
    <xdr:to>
      <xdr:col>6</xdr:col>
      <xdr:colOff>35494</xdr:colOff>
      <xdr:row>107</xdr:row>
      <xdr:rowOff>23361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2292289" y="18819641"/>
          <a:ext cx="633932" cy="48630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3192700" y="18393103"/>
          <a:ext cx="123879" cy="288052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0564040" y="18393336"/>
          <a:ext cx="274320" cy="330263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1713609" y="18393336"/>
          <a:ext cx="274320" cy="330263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5162316" y="18393336"/>
          <a:ext cx="274320" cy="330263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6311885" y="18393336"/>
          <a:ext cx="274320" cy="330263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7461454" y="18393336"/>
          <a:ext cx="274320" cy="330263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48611023" y="18393336"/>
          <a:ext cx="274320" cy="330263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14609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37894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850915" y="13347446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438836" y="2812039"/>
          <a:ext cx="0" cy="284297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72155" y="9722071"/>
          <a:ext cx="238169" cy="328497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50</xdr:row>
      <xdr:rowOff>133350</xdr:rowOff>
    </xdr:from>
    <xdr:to>
      <xdr:col>6</xdr:col>
      <xdr:colOff>238169</xdr:colOff>
      <xdr:row>52</xdr:row>
      <xdr:rowOff>133399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73922" y="9773307"/>
          <a:ext cx="238169" cy="328497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75690" y="9804181"/>
          <a:ext cx="238169" cy="328497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77457" y="9804181"/>
          <a:ext cx="238169" cy="328497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900948" y="9804181"/>
          <a:ext cx="238169" cy="328497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906250" y="9804181"/>
          <a:ext cx="238169" cy="328497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908017" y="9804181"/>
          <a:ext cx="238169" cy="328497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909784" y="13909784"/>
          <a:ext cx="238169" cy="328498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900996" y="17571983"/>
          <a:ext cx="238169" cy="328498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82759" y="17571983"/>
          <a:ext cx="238169" cy="328498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94668" y="19341851"/>
          <a:ext cx="238169" cy="329450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902716" y="17571983"/>
          <a:ext cx="238169" cy="328498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904483" y="17571983"/>
          <a:ext cx="238169" cy="328498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906250" y="17571983"/>
          <a:ext cx="238169" cy="328498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908017" y="17571983"/>
          <a:ext cx="238169" cy="328498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912051" y="17593755"/>
          <a:ext cx="235901" cy="314346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9679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9679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42334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42334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9676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9676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177487</xdr:colOff>
      <xdr:row>38</xdr:row>
      <xdr:rowOff>136295</xdr:rowOff>
    </xdr:from>
    <xdr:to>
      <xdr:col>26</xdr:col>
      <xdr:colOff>330685</xdr:colOff>
      <xdr:row>41</xdr:row>
      <xdr:rowOff>55653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019428" y="7621824"/>
          <a:ext cx="153198" cy="558094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50</xdr:row>
      <xdr:rowOff>157843</xdr:rowOff>
    </xdr:from>
    <xdr:to>
      <xdr:col>2</xdr:col>
      <xdr:colOff>283827</xdr:colOff>
      <xdr:row>54</xdr:row>
      <xdr:rowOff>16876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5979" y="9787618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6</xdr:col>
      <xdr:colOff>175532</xdr:colOff>
      <xdr:row>50</xdr:row>
      <xdr:rowOff>140154</xdr:rowOff>
    </xdr:from>
    <xdr:to>
      <xdr:col>6</xdr:col>
      <xdr:colOff>328730</xdr:colOff>
      <xdr:row>54</xdr:row>
      <xdr:rowOff>2549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8282" y="9769929"/>
          <a:ext cx="153198" cy="544833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192026</xdr:colOff>
      <xdr:row>62</xdr:row>
      <xdr:rowOff>155204</xdr:rowOff>
    </xdr:from>
    <xdr:to>
      <xdr:col>8</xdr:col>
      <xdr:colOff>345224</xdr:colOff>
      <xdr:row>66</xdr:row>
      <xdr:rowOff>12500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66969" y="11736738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12</xdr:col>
      <xdr:colOff>192150</xdr:colOff>
      <xdr:row>62</xdr:row>
      <xdr:rowOff>147987</xdr:rowOff>
    </xdr:from>
    <xdr:to>
      <xdr:col>12</xdr:col>
      <xdr:colOff>345348</xdr:colOff>
      <xdr:row>66</xdr:row>
      <xdr:rowOff>5283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3116" y="11729521"/>
          <a:ext cx="153198" cy="550023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62</xdr:row>
      <xdr:rowOff>119741</xdr:rowOff>
    </xdr:from>
    <xdr:to>
      <xdr:col>18</xdr:col>
      <xdr:colOff>376146</xdr:colOff>
      <xdr:row>66</xdr:row>
      <xdr:rowOff>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39226" y="11761408"/>
          <a:ext cx="147545" cy="568175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264583</xdr:colOff>
      <xdr:row>66</xdr:row>
      <xdr:rowOff>72156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896045" y="11846303"/>
          <a:ext cx="155726" cy="555436"/>
        </a:xfrm>
        <a:prstGeom prst="rect">
          <a:avLst/>
        </a:prstGeom>
      </xdr:spPr>
    </xdr:pic>
    <xdr:clientData/>
  </xdr:twoCellAnchor>
  <xdr:twoCellAnchor editAs="oneCell">
    <xdr:from>
      <xdr:col>26</xdr:col>
      <xdr:colOff>183545</xdr:colOff>
      <xdr:row>63</xdr:row>
      <xdr:rowOff>8542</xdr:rowOff>
    </xdr:from>
    <xdr:to>
      <xdr:col>26</xdr:col>
      <xdr:colOff>336743</xdr:colOff>
      <xdr:row>66</xdr:row>
      <xdr:rowOff>39024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62920" y="11822188"/>
          <a:ext cx="153198" cy="546419"/>
        </a:xfrm>
        <a:prstGeom prst="rect">
          <a:avLst/>
        </a:prstGeom>
      </xdr:spPr>
    </xdr:pic>
    <xdr:clientData/>
  </xdr:twoCellAnchor>
  <xdr:twoCellAnchor editAs="oneCell">
    <xdr:from>
      <xdr:col>12</xdr:col>
      <xdr:colOff>185888</xdr:colOff>
      <xdr:row>76</xdr:row>
      <xdr:rowOff>0</xdr:rowOff>
    </xdr:from>
    <xdr:to>
      <xdr:col>12</xdr:col>
      <xdr:colOff>339086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721" y="14049375"/>
          <a:ext cx="153198" cy="546420"/>
        </a:xfrm>
        <a:prstGeom prst="rect">
          <a:avLst/>
        </a:prstGeom>
      </xdr:spPr>
    </xdr:pic>
    <xdr:clientData/>
  </xdr:twoCellAnchor>
  <xdr:twoCellAnchor editAs="oneCell">
    <xdr:from>
      <xdr:col>24</xdr:col>
      <xdr:colOff>165629</xdr:colOff>
      <xdr:row>75</xdr:row>
      <xdr:rowOff>158750</xdr:rowOff>
    </xdr:from>
    <xdr:to>
      <xdr:col>24</xdr:col>
      <xdr:colOff>318827</xdr:colOff>
      <xdr:row>79</xdr:row>
      <xdr:rowOff>20514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52817" y="14036146"/>
          <a:ext cx="153198" cy="549681"/>
        </a:xfrm>
        <a:prstGeom prst="rect">
          <a:avLst/>
        </a:prstGeom>
      </xdr:spPr>
    </xdr:pic>
    <xdr:clientData/>
  </xdr:twoCellAnchor>
  <xdr:twoCellAnchor editAs="oneCell">
    <xdr:from>
      <xdr:col>26</xdr:col>
      <xdr:colOff>210003</xdr:colOff>
      <xdr:row>75</xdr:row>
      <xdr:rowOff>163286</xdr:rowOff>
    </xdr:from>
    <xdr:to>
      <xdr:col>26</xdr:col>
      <xdr:colOff>363201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89378" y="14040682"/>
          <a:ext cx="153198" cy="562730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52250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199242</xdr:colOff>
      <xdr:row>109</xdr:row>
      <xdr:rowOff>0</xdr:rowOff>
    </xdr:from>
    <xdr:to>
      <xdr:col>16</xdr:col>
      <xdr:colOff>352440</xdr:colOff>
      <xdr:row>112</xdr:row>
      <xdr:rowOff>30479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719" y="19786023"/>
          <a:ext cx="153198" cy="550024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9679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84906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30480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52252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41366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74023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74024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2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292927</xdr:colOff>
      <xdr:row>131</xdr:row>
      <xdr:rowOff>10886</xdr:rowOff>
    </xdr:from>
    <xdr:to>
      <xdr:col>31</xdr:col>
      <xdr:colOff>13170</xdr:colOff>
      <xdr:row>134</xdr:row>
      <xdr:rowOff>41367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14404" y="23606909"/>
          <a:ext cx="153198" cy="550026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64309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2227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911552" y="17571983"/>
          <a:ext cx="238169" cy="328498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80991" y="11774871"/>
          <a:ext cx="238169" cy="328497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82759" y="11774871"/>
          <a:ext cx="238169" cy="328497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900948" y="11774871"/>
          <a:ext cx="238169" cy="328497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75690" y="11774871"/>
          <a:ext cx="238169" cy="328497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911552" y="11774871"/>
          <a:ext cx="238169" cy="328496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70388" y="11774871"/>
          <a:ext cx="238169" cy="328497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70388" y="9639957"/>
          <a:ext cx="238169" cy="328496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904483" y="11774871"/>
          <a:ext cx="238169" cy="328497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87323" y="9833232"/>
          <a:ext cx="238169" cy="321829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906258" y="13899107"/>
          <a:ext cx="238169" cy="321831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200</xdr:row>
      <xdr:rowOff>2</xdr:rowOff>
    </xdr:from>
    <xdr:to>
      <xdr:col>30</xdr:col>
      <xdr:colOff>238169</xdr:colOff>
      <xdr:row>202</xdr:row>
      <xdr:rowOff>51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911552" y="34322847"/>
          <a:ext cx="238169" cy="328497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908017" y="11738282"/>
          <a:ext cx="238169" cy="366991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75690" y="13745560"/>
          <a:ext cx="238169" cy="328498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902716" y="9747111"/>
          <a:ext cx="238169" cy="321829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909784" y="11810588"/>
          <a:ext cx="238169" cy="321829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900948" y="13769372"/>
          <a:ext cx="238169" cy="321830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77457" y="13840808"/>
          <a:ext cx="238169" cy="321830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73922" y="30664750"/>
          <a:ext cx="238169" cy="321829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chemeClr val="bg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136742</xdr:rowOff>
    </xdr:from>
    <xdr:to>
      <xdr:col>18</xdr:col>
      <xdr:colOff>238169</xdr:colOff>
      <xdr:row>201</xdr:row>
      <xdr:rowOff>130123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900948" y="34295363"/>
          <a:ext cx="238169" cy="321829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148648</xdr:rowOff>
    </xdr:from>
    <xdr:to>
      <xdr:col>28</xdr:col>
      <xdr:colOff>238169</xdr:colOff>
      <xdr:row>201</xdr:row>
      <xdr:rowOff>142029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909784" y="34307269"/>
          <a:ext cx="238169" cy="321829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58</xdr:row>
      <xdr:rowOff>862</xdr:rowOff>
    </xdr:from>
    <xdr:to>
      <xdr:col>14</xdr:col>
      <xdr:colOff>52303</xdr:colOff>
      <xdr:row>61</xdr:row>
      <xdr:rowOff>3509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6307214" y="10889669"/>
          <a:ext cx="629066" cy="522192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82759" y="13781278"/>
          <a:ext cx="238169" cy="321830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77457" y="11786773"/>
          <a:ext cx="238169" cy="321829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70388" y="13793184"/>
          <a:ext cx="238169" cy="321830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79224" y="13828902"/>
          <a:ext cx="238169" cy="321830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904483" y="13805090"/>
          <a:ext cx="238169" cy="321830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200</xdr:row>
      <xdr:rowOff>14432</xdr:rowOff>
    </xdr:from>
    <xdr:to>
      <xdr:col>24</xdr:col>
      <xdr:colOff>238169</xdr:colOff>
      <xdr:row>202</xdr:row>
      <xdr:rowOff>14481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906250" y="34337277"/>
          <a:ext cx="238169" cy="328497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163080</xdr:rowOff>
    </xdr:from>
    <xdr:to>
      <xdr:col>16</xdr:col>
      <xdr:colOff>238169</xdr:colOff>
      <xdr:row>213</xdr:row>
      <xdr:rowOff>156461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82759" y="36292390"/>
          <a:ext cx="238169" cy="321830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912247" y="13826524"/>
          <a:ext cx="238169" cy="321830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90487" y="19330909"/>
          <a:ext cx="238169" cy="321831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88545" y="19379406"/>
          <a:ext cx="222294" cy="329452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93174" y="13797784"/>
          <a:ext cx="238169" cy="321830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66691" y="13802385"/>
          <a:ext cx="238169" cy="321830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930807" y="7673868"/>
          <a:ext cx="238169" cy="328497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67399" y="9759517"/>
          <a:ext cx="238168" cy="328497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929045" y="13903707"/>
          <a:ext cx="238169" cy="321831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920748" y="13924730"/>
          <a:ext cx="238169" cy="321830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70496" y="15686530"/>
          <a:ext cx="235432" cy="321830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90547" y="15723976"/>
          <a:ext cx="238169" cy="371097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921965" y="17543737"/>
          <a:ext cx="238169" cy="328498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169323</xdr:rowOff>
    </xdr:from>
    <xdr:to>
      <xdr:col>26</xdr:col>
      <xdr:colOff>242764</xdr:colOff>
      <xdr:row>201</xdr:row>
      <xdr:rowOff>169372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912612" y="34327944"/>
          <a:ext cx="238169" cy="328497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78536" y="36214378"/>
          <a:ext cx="238169" cy="321830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152901</xdr:rowOff>
    </xdr:from>
    <xdr:to>
      <xdr:col>22</xdr:col>
      <xdr:colOff>242774</xdr:colOff>
      <xdr:row>201</xdr:row>
      <xdr:rowOff>152950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909088" y="34311522"/>
          <a:ext cx="238169" cy="328497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64947" y="36268245"/>
          <a:ext cx="238169" cy="321830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925499" y="9768135"/>
          <a:ext cx="238169" cy="321829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77271" y="9788564"/>
          <a:ext cx="238169" cy="321829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84204" y="36267372"/>
          <a:ext cx="271014" cy="321830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73</xdr:col>
      <xdr:colOff>357867</xdr:colOff>
      <xdr:row>24</xdr:row>
      <xdr:rowOff>61233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7236167" y="5157108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145596</xdr:colOff>
      <xdr:row>38</xdr:row>
      <xdr:rowOff>145597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337471" y="7670347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oneCellAnchor>
    <xdr:from>
      <xdr:col>14</xdr:col>
      <xdr:colOff>142875</xdr:colOff>
      <xdr:row>28</xdr:row>
      <xdr:rowOff>38100</xdr:rowOff>
    </xdr:from>
    <xdr:ext cx="134698" cy="425823"/>
    <xdr:pic>
      <xdr:nvPicPr>
        <xdr:cNvPr id="3712" name="Picture 11595">
          <a:extLst>
            <a:ext uri="{FF2B5EF4-FFF2-40B4-BE49-F238E27FC236}">
              <a16:creationId xmlns:a16="http://schemas.microsoft.com/office/drawing/2014/main" id="{08FDA6F0-80C3-4527-B049-FA33FDC3F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5781675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16</xdr:col>
      <xdr:colOff>171450</xdr:colOff>
      <xdr:row>27</xdr:row>
      <xdr:rowOff>133350</xdr:rowOff>
    </xdr:from>
    <xdr:ext cx="153198" cy="559647"/>
    <xdr:pic>
      <xdr:nvPicPr>
        <xdr:cNvPr id="3713" name="Picture 3712">
          <a:extLst>
            <a:ext uri="{FF2B5EF4-FFF2-40B4-BE49-F238E27FC236}">
              <a16:creationId xmlns:a16="http://schemas.microsoft.com/office/drawing/2014/main" id="{DE318731-0A36-4BF8-95C5-ADD33BCD7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67700" y="5715000"/>
          <a:ext cx="153198" cy="559647"/>
        </a:xfrm>
        <a:prstGeom prst="rect">
          <a:avLst/>
        </a:prstGeom>
      </xdr:spPr>
    </xdr:pic>
    <xdr:clientData/>
  </xdr:oneCellAnchor>
  <xdr:twoCellAnchor>
    <xdr:from>
      <xdr:col>30</xdr:col>
      <xdr:colOff>0</xdr:colOff>
      <xdr:row>39</xdr:row>
      <xdr:rowOff>0</xdr:rowOff>
    </xdr:from>
    <xdr:to>
      <xdr:col>30</xdr:col>
      <xdr:colOff>238169</xdr:colOff>
      <xdr:row>40</xdr:row>
      <xdr:rowOff>161974</xdr:rowOff>
    </xdr:to>
    <xdr:grpSp>
      <xdr:nvGrpSpPr>
        <xdr:cNvPr id="3715" name="Group 3714">
          <a:extLst>
            <a:ext uri="{FF2B5EF4-FFF2-40B4-BE49-F238E27FC236}">
              <a16:creationId xmlns:a16="http://schemas.microsoft.com/office/drawing/2014/main" id="{445D9F8F-CBC3-4C45-8D61-921247C9EC59}"/>
            </a:ext>
          </a:extLst>
        </xdr:cNvPr>
        <xdr:cNvGrpSpPr/>
      </xdr:nvGrpSpPr>
      <xdr:grpSpPr>
        <a:xfrm>
          <a:off x="14911552" y="7685690"/>
          <a:ext cx="238169" cy="326198"/>
          <a:chOff x="6143939" y="789134"/>
          <a:chExt cx="457200" cy="518966"/>
        </a:xfrm>
      </xdr:grpSpPr>
      <xdr:grpSp>
        <xdr:nvGrpSpPr>
          <xdr:cNvPr id="3716" name="Group 3715">
            <a:extLst>
              <a:ext uri="{FF2B5EF4-FFF2-40B4-BE49-F238E27FC236}">
                <a16:creationId xmlns:a16="http://schemas.microsoft.com/office/drawing/2014/main" id="{E12CE1DC-4290-D802-37EB-96FB69EC958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18" name="Straight Connector 3717">
              <a:extLst>
                <a:ext uri="{FF2B5EF4-FFF2-40B4-BE49-F238E27FC236}">
                  <a16:creationId xmlns:a16="http://schemas.microsoft.com/office/drawing/2014/main" id="{0419280F-9F7F-CE74-BBD6-4DDBE119EFE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9" name="Straight Connector 3718">
              <a:extLst>
                <a:ext uri="{FF2B5EF4-FFF2-40B4-BE49-F238E27FC236}">
                  <a16:creationId xmlns:a16="http://schemas.microsoft.com/office/drawing/2014/main" id="{13F0F86D-0415-8B52-D6FC-039F8D02CB5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0" name="Straight Connector 3719">
              <a:extLst>
                <a:ext uri="{FF2B5EF4-FFF2-40B4-BE49-F238E27FC236}">
                  <a16:creationId xmlns:a16="http://schemas.microsoft.com/office/drawing/2014/main" id="{5EE05DF6-F4FB-F780-0DE9-13797165897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21" name="Straight Connector 3720">
              <a:extLst>
                <a:ext uri="{FF2B5EF4-FFF2-40B4-BE49-F238E27FC236}">
                  <a16:creationId xmlns:a16="http://schemas.microsoft.com/office/drawing/2014/main" id="{8C5E81CC-A16B-81EE-2094-8A704CAC118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2" name="Straight Connector 3761">
              <a:extLst>
                <a:ext uri="{FF2B5EF4-FFF2-40B4-BE49-F238E27FC236}">
                  <a16:creationId xmlns:a16="http://schemas.microsoft.com/office/drawing/2014/main" id="{E334803E-9331-D1BC-19A3-C679D3E9E8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63" name="Straight Connector 3762">
              <a:extLst>
                <a:ext uri="{FF2B5EF4-FFF2-40B4-BE49-F238E27FC236}">
                  <a16:creationId xmlns:a16="http://schemas.microsoft.com/office/drawing/2014/main" id="{28B22724-7328-4598-6D4B-F1D67E01E42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17" name="Straight Connector 3716">
            <a:extLst>
              <a:ext uri="{FF2B5EF4-FFF2-40B4-BE49-F238E27FC236}">
                <a16:creationId xmlns:a16="http://schemas.microsoft.com/office/drawing/2014/main" id="{E4CA113D-0461-8E09-FF21-A64A55597A3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414617</xdr:colOff>
      <xdr:row>34</xdr:row>
      <xdr:rowOff>0</xdr:rowOff>
    </xdr:from>
    <xdr:to>
      <xdr:col>14</xdr:col>
      <xdr:colOff>40672</xdr:colOff>
      <xdr:row>36</xdr:row>
      <xdr:rowOff>149827</xdr:rowOff>
    </xdr:to>
    <xdr:sp macro="" textlink="">
      <xdr:nvSpPr>
        <xdr:cNvPr id="3764" name="Isosceles Triangle 3763">
          <a:extLst>
            <a:ext uri="{FF2B5EF4-FFF2-40B4-BE49-F238E27FC236}">
              <a16:creationId xmlns:a16="http://schemas.microsoft.com/office/drawing/2014/main" id="{78490C72-99C7-4036-8B04-66F35D413E18}"/>
            </a:ext>
          </a:extLst>
        </xdr:cNvPr>
        <xdr:cNvSpPr/>
      </xdr:nvSpPr>
      <xdr:spPr>
        <a:xfrm>
          <a:off x="6264088" y="6858000"/>
          <a:ext cx="623378" cy="46359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238169</xdr:colOff>
      <xdr:row>40</xdr:row>
      <xdr:rowOff>156932</xdr:rowOff>
    </xdr:to>
    <xdr:grpSp>
      <xdr:nvGrpSpPr>
        <xdr:cNvPr id="3765" name="Group 3764">
          <a:extLst>
            <a:ext uri="{FF2B5EF4-FFF2-40B4-BE49-F238E27FC236}">
              <a16:creationId xmlns:a16="http://schemas.microsoft.com/office/drawing/2014/main" id="{A54AFD5A-6CAB-4CFC-8F14-433CB1E971EB}"/>
            </a:ext>
          </a:extLst>
        </xdr:cNvPr>
        <xdr:cNvGrpSpPr/>
      </xdr:nvGrpSpPr>
      <xdr:grpSpPr>
        <a:xfrm>
          <a:off x="11906250" y="7685690"/>
          <a:ext cx="238169" cy="321156"/>
          <a:chOff x="6143939" y="789134"/>
          <a:chExt cx="457200" cy="518966"/>
        </a:xfrm>
      </xdr:grpSpPr>
      <xdr:grpSp>
        <xdr:nvGrpSpPr>
          <xdr:cNvPr id="3766" name="Group 3765">
            <a:extLst>
              <a:ext uri="{FF2B5EF4-FFF2-40B4-BE49-F238E27FC236}">
                <a16:creationId xmlns:a16="http://schemas.microsoft.com/office/drawing/2014/main" id="{91690BC4-8F89-23EA-C98A-83221C55F3C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1" name="Straight Connector 3770">
              <a:extLst>
                <a:ext uri="{FF2B5EF4-FFF2-40B4-BE49-F238E27FC236}">
                  <a16:creationId xmlns:a16="http://schemas.microsoft.com/office/drawing/2014/main" id="{2865CA40-3821-902D-E57B-1162663BF9C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2" name="Straight Connector 3771">
              <a:extLst>
                <a:ext uri="{FF2B5EF4-FFF2-40B4-BE49-F238E27FC236}">
                  <a16:creationId xmlns:a16="http://schemas.microsoft.com/office/drawing/2014/main" id="{9A12561B-EC47-55CE-4E35-15BFF20CC42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3" name="Straight Connector 3772">
              <a:extLst>
                <a:ext uri="{FF2B5EF4-FFF2-40B4-BE49-F238E27FC236}">
                  <a16:creationId xmlns:a16="http://schemas.microsoft.com/office/drawing/2014/main" id="{016C6FA6-8689-62E6-7811-6BDA436646D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4" name="Straight Connector 3773">
              <a:extLst>
                <a:ext uri="{FF2B5EF4-FFF2-40B4-BE49-F238E27FC236}">
                  <a16:creationId xmlns:a16="http://schemas.microsoft.com/office/drawing/2014/main" id="{31B32D51-C9D5-80A2-F856-CEE074D1D1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9" name="Straight Connector 2108">
              <a:extLst>
                <a:ext uri="{FF2B5EF4-FFF2-40B4-BE49-F238E27FC236}">
                  <a16:creationId xmlns:a16="http://schemas.microsoft.com/office/drawing/2014/main" id="{652D1450-F4B0-C677-3186-754E108FB9F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28" name="Straight Connector 2127">
              <a:extLst>
                <a:ext uri="{FF2B5EF4-FFF2-40B4-BE49-F238E27FC236}">
                  <a16:creationId xmlns:a16="http://schemas.microsoft.com/office/drawing/2014/main" id="{5E4D85BC-E84F-6F7E-B4EB-F98DE1EDD4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0" name="Straight Connector 3769">
            <a:extLst>
              <a:ext uri="{FF2B5EF4-FFF2-40B4-BE49-F238E27FC236}">
                <a16:creationId xmlns:a16="http://schemas.microsoft.com/office/drawing/2014/main" id="{949C99DE-24B9-D3E3-0F83-08E5F062122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39</xdr:row>
      <xdr:rowOff>0</xdr:rowOff>
    </xdr:from>
    <xdr:to>
      <xdr:col>26</xdr:col>
      <xdr:colOff>238169</xdr:colOff>
      <xdr:row>40</xdr:row>
      <xdr:rowOff>156932</xdr:rowOff>
    </xdr:to>
    <xdr:grpSp>
      <xdr:nvGrpSpPr>
        <xdr:cNvPr id="2129" name="Group 2128">
          <a:extLst>
            <a:ext uri="{FF2B5EF4-FFF2-40B4-BE49-F238E27FC236}">
              <a16:creationId xmlns:a16="http://schemas.microsoft.com/office/drawing/2014/main" id="{C3D90225-BEBE-422E-BADA-E5D9DBCC85F9}"/>
            </a:ext>
          </a:extLst>
        </xdr:cNvPr>
        <xdr:cNvGrpSpPr/>
      </xdr:nvGrpSpPr>
      <xdr:grpSpPr>
        <a:xfrm>
          <a:off x="12908017" y="7685690"/>
          <a:ext cx="238169" cy="321156"/>
          <a:chOff x="6143939" y="789134"/>
          <a:chExt cx="457200" cy="518966"/>
        </a:xfrm>
      </xdr:grpSpPr>
      <xdr:grpSp>
        <xdr:nvGrpSpPr>
          <xdr:cNvPr id="2251" name="Group 2250">
            <a:extLst>
              <a:ext uri="{FF2B5EF4-FFF2-40B4-BE49-F238E27FC236}">
                <a16:creationId xmlns:a16="http://schemas.microsoft.com/office/drawing/2014/main" id="{6E2B34AC-E003-7322-F4E6-70A07925EB5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55" name="Straight Connector 2254">
              <a:extLst>
                <a:ext uri="{FF2B5EF4-FFF2-40B4-BE49-F238E27FC236}">
                  <a16:creationId xmlns:a16="http://schemas.microsoft.com/office/drawing/2014/main" id="{3DB0FFB8-973E-EA06-3C8D-EF28D45BCBD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6" name="Straight Connector 2255">
              <a:extLst>
                <a:ext uri="{FF2B5EF4-FFF2-40B4-BE49-F238E27FC236}">
                  <a16:creationId xmlns:a16="http://schemas.microsoft.com/office/drawing/2014/main" id="{82503F91-7668-ADBB-E663-A988D204F52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7" name="Straight Connector 2256">
              <a:extLst>
                <a:ext uri="{FF2B5EF4-FFF2-40B4-BE49-F238E27FC236}">
                  <a16:creationId xmlns:a16="http://schemas.microsoft.com/office/drawing/2014/main" id="{F94FBB39-715C-5FEA-A6C1-E031C700987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8" name="Straight Connector 2257">
              <a:extLst>
                <a:ext uri="{FF2B5EF4-FFF2-40B4-BE49-F238E27FC236}">
                  <a16:creationId xmlns:a16="http://schemas.microsoft.com/office/drawing/2014/main" id="{C8392C4A-8695-1253-D322-E022DF4E3D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59" name="Straight Connector 2258">
              <a:extLst>
                <a:ext uri="{FF2B5EF4-FFF2-40B4-BE49-F238E27FC236}">
                  <a16:creationId xmlns:a16="http://schemas.microsoft.com/office/drawing/2014/main" id="{4191723A-46FB-CA2E-4102-84E69391218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0" name="Straight Connector 2259">
              <a:extLst>
                <a:ext uri="{FF2B5EF4-FFF2-40B4-BE49-F238E27FC236}">
                  <a16:creationId xmlns:a16="http://schemas.microsoft.com/office/drawing/2014/main" id="{EFD89A1F-4F1E-34A2-5ABA-744FD8E98C3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54" name="Straight Connector 2253">
            <a:extLst>
              <a:ext uri="{FF2B5EF4-FFF2-40B4-BE49-F238E27FC236}">
                <a16:creationId xmlns:a16="http://schemas.microsoft.com/office/drawing/2014/main" id="{81B03AC9-13B2-D8AF-5DF3-774D0926B8E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51</xdr:row>
      <xdr:rowOff>0</xdr:rowOff>
    </xdr:from>
    <xdr:to>
      <xdr:col>30</xdr:col>
      <xdr:colOff>238169</xdr:colOff>
      <xdr:row>53</xdr:row>
      <xdr:rowOff>49</xdr:rowOff>
    </xdr:to>
    <xdr:grpSp>
      <xdr:nvGrpSpPr>
        <xdr:cNvPr id="2261" name="Group 2260">
          <a:extLst>
            <a:ext uri="{FF2B5EF4-FFF2-40B4-BE49-F238E27FC236}">
              <a16:creationId xmlns:a16="http://schemas.microsoft.com/office/drawing/2014/main" id="{F3B51C2D-DA73-418A-82D2-AA1D5CD4C07B}"/>
            </a:ext>
          </a:extLst>
        </xdr:cNvPr>
        <xdr:cNvGrpSpPr/>
      </xdr:nvGrpSpPr>
      <xdr:grpSpPr>
        <a:xfrm>
          <a:off x="14911552" y="9804181"/>
          <a:ext cx="238169" cy="328497"/>
          <a:chOff x="6143939" y="789134"/>
          <a:chExt cx="457200" cy="518966"/>
        </a:xfrm>
      </xdr:grpSpPr>
      <xdr:grpSp>
        <xdr:nvGrpSpPr>
          <xdr:cNvPr id="2262" name="Group 2261">
            <a:extLst>
              <a:ext uri="{FF2B5EF4-FFF2-40B4-BE49-F238E27FC236}">
                <a16:creationId xmlns:a16="http://schemas.microsoft.com/office/drawing/2014/main" id="{D93DE450-A1B9-10F0-EC96-63A5F5797DF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64" name="Straight Connector 2263">
              <a:extLst>
                <a:ext uri="{FF2B5EF4-FFF2-40B4-BE49-F238E27FC236}">
                  <a16:creationId xmlns:a16="http://schemas.microsoft.com/office/drawing/2014/main" id="{6CE3B0D3-E978-7269-CFDC-9C3D3701A8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5" name="Straight Connector 2264">
              <a:extLst>
                <a:ext uri="{FF2B5EF4-FFF2-40B4-BE49-F238E27FC236}">
                  <a16:creationId xmlns:a16="http://schemas.microsoft.com/office/drawing/2014/main" id="{83A54A62-0BAF-01AD-548C-6F8FAE75326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6" name="Straight Connector 2265">
              <a:extLst>
                <a:ext uri="{FF2B5EF4-FFF2-40B4-BE49-F238E27FC236}">
                  <a16:creationId xmlns:a16="http://schemas.microsoft.com/office/drawing/2014/main" id="{38001499-12D7-6641-CF96-BE63AB383EF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7" name="Straight Connector 2266">
              <a:extLst>
                <a:ext uri="{FF2B5EF4-FFF2-40B4-BE49-F238E27FC236}">
                  <a16:creationId xmlns:a16="http://schemas.microsoft.com/office/drawing/2014/main" id="{8DA85D95-78A9-E664-A88A-CD0BAF7BDF1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8" name="Straight Connector 2267">
              <a:extLst>
                <a:ext uri="{FF2B5EF4-FFF2-40B4-BE49-F238E27FC236}">
                  <a16:creationId xmlns:a16="http://schemas.microsoft.com/office/drawing/2014/main" id="{0A3A92EF-9016-E015-3A45-AF57A145992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69" name="Straight Connector 2268">
              <a:extLst>
                <a:ext uri="{FF2B5EF4-FFF2-40B4-BE49-F238E27FC236}">
                  <a16:creationId xmlns:a16="http://schemas.microsoft.com/office/drawing/2014/main" id="{58B1BDF4-D2A9-098A-252A-4CCFB2206BA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63" name="Straight Connector 2262">
            <a:extLst>
              <a:ext uri="{FF2B5EF4-FFF2-40B4-BE49-F238E27FC236}">
                <a16:creationId xmlns:a16="http://schemas.microsoft.com/office/drawing/2014/main" id="{86A05E6B-615C-BF22-CCC0-3DC376956EF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0</xdr:rowOff>
    </xdr:from>
    <xdr:to>
      <xdr:col>28</xdr:col>
      <xdr:colOff>238169</xdr:colOff>
      <xdr:row>53</xdr:row>
      <xdr:rowOff>49</xdr:rowOff>
    </xdr:to>
    <xdr:grpSp>
      <xdr:nvGrpSpPr>
        <xdr:cNvPr id="2270" name="Group 2269">
          <a:extLst>
            <a:ext uri="{FF2B5EF4-FFF2-40B4-BE49-F238E27FC236}">
              <a16:creationId xmlns:a16="http://schemas.microsoft.com/office/drawing/2014/main" id="{026487E1-80CD-475D-9627-AF621BE91EF3}"/>
            </a:ext>
          </a:extLst>
        </xdr:cNvPr>
        <xdr:cNvGrpSpPr/>
      </xdr:nvGrpSpPr>
      <xdr:grpSpPr>
        <a:xfrm>
          <a:off x="13909784" y="9804181"/>
          <a:ext cx="238169" cy="328497"/>
          <a:chOff x="6143939" y="789134"/>
          <a:chExt cx="457200" cy="518966"/>
        </a:xfrm>
      </xdr:grpSpPr>
      <xdr:grpSp>
        <xdr:nvGrpSpPr>
          <xdr:cNvPr id="2271" name="Group 2270">
            <a:extLst>
              <a:ext uri="{FF2B5EF4-FFF2-40B4-BE49-F238E27FC236}">
                <a16:creationId xmlns:a16="http://schemas.microsoft.com/office/drawing/2014/main" id="{0DE58359-C0D3-E3C5-9094-30F5C8B743D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73" name="Straight Connector 2272">
              <a:extLst>
                <a:ext uri="{FF2B5EF4-FFF2-40B4-BE49-F238E27FC236}">
                  <a16:creationId xmlns:a16="http://schemas.microsoft.com/office/drawing/2014/main" id="{AB405701-0913-C5FB-D86D-0D37808A9C5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4" name="Straight Connector 2273">
              <a:extLst>
                <a:ext uri="{FF2B5EF4-FFF2-40B4-BE49-F238E27FC236}">
                  <a16:creationId xmlns:a16="http://schemas.microsoft.com/office/drawing/2014/main" id="{F61FA4DE-1ED4-04DF-2264-67C60EB6EB7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5" name="Straight Connector 2274">
              <a:extLst>
                <a:ext uri="{FF2B5EF4-FFF2-40B4-BE49-F238E27FC236}">
                  <a16:creationId xmlns:a16="http://schemas.microsoft.com/office/drawing/2014/main" id="{01607322-C023-9F5F-F97F-C61201B3BB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6" name="Straight Connector 2275">
              <a:extLst>
                <a:ext uri="{FF2B5EF4-FFF2-40B4-BE49-F238E27FC236}">
                  <a16:creationId xmlns:a16="http://schemas.microsoft.com/office/drawing/2014/main" id="{7819DF2C-794B-2972-3DC8-2206C3B645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7" name="Straight Connector 2276">
              <a:extLst>
                <a:ext uri="{FF2B5EF4-FFF2-40B4-BE49-F238E27FC236}">
                  <a16:creationId xmlns:a16="http://schemas.microsoft.com/office/drawing/2014/main" id="{DE52BB70-3C40-8D68-3D33-D76D9CD3552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78" name="Straight Connector 2277">
              <a:extLst>
                <a:ext uri="{FF2B5EF4-FFF2-40B4-BE49-F238E27FC236}">
                  <a16:creationId xmlns:a16="http://schemas.microsoft.com/office/drawing/2014/main" id="{263DBAA7-D23F-0E68-9981-502F4740736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72" name="Straight Connector 2271">
            <a:extLst>
              <a:ext uri="{FF2B5EF4-FFF2-40B4-BE49-F238E27FC236}">
                <a16:creationId xmlns:a16="http://schemas.microsoft.com/office/drawing/2014/main" id="{7B176DD9-2FD8-7146-A6E0-9B82DE1D0DB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63</xdr:row>
      <xdr:rowOff>0</xdr:rowOff>
    </xdr:from>
    <xdr:to>
      <xdr:col>4</xdr:col>
      <xdr:colOff>238169</xdr:colOff>
      <xdr:row>65</xdr:row>
      <xdr:rowOff>49</xdr:rowOff>
    </xdr:to>
    <xdr:grpSp>
      <xdr:nvGrpSpPr>
        <xdr:cNvPr id="2279" name="Group 2278">
          <a:extLst>
            <a:ext uri="{FF2B5EF4-FFF2-40B4-BE49-F238E27FC236}">
              <a16:creationId xmlns:a16="http://schemas.microsoft.com/office/drawing/2014/main" id="{5A3CB6F1-EF28-4CBD-BE45-56EFEC4FFE0E}"/>
            </a:ext>
          </a:extLst>
        </xdr:cNvPr>
        <xdr:cNvGrpSpPr/>
      </xdr:nvGrpSpPr>
      <xdr:grpSpPr>
        <a:xfrm>
          <a:off x="1872155" y="11774871"/>
          <a:ext cx="238169" cy="328497"/>
          <a:chOff x="6143939" y="789134"/>
          <a:chExt cx="457200" cy="518966"/>
        </a:xfrm>
      </xdr:grpSpPr>
      <xdr:grpSp>
        <xdr:nvGrpSpPr>
          <xdr:cNvPr id="2280" name="Group 2279">
            <a:extLst>
              <a:ext uri="{FF2B5EF4-FFF2-40B4-BE49-F238E27FC236}">
                <a16:creationId xmlns:a16="http://schemas.microsoft.com/office/drawing/2014/main" id="{F50AF68D-F4BC-C4F0-392B-994F9F0646D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82" name="Straight Connector 2281">
              <a:extLst>
                <a:ext uri="{FF2B5EF4-FFF2-40B4-BE49-F238E27FC236}">
                  <a16:creationId xmlns:a16="http://schemas.microsoft.com/office/drawing/2014/main" id="{74F0357F-DE2D-3A25-7DC5-13D720D3189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3" name="Straight Connector 2282">
              <a:extLst>
                <a:ext uri="{FF2B5EF4-FFF2-40B4-BE49-F238E27FC236}">
                  <a16:creationId xmlns:a16="http://schemas.microsoft.com/office/drawing/2014/main" id="{9ED3F89B-92C1-0E90-0C1C-DA44A56B22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4" name="Straight Connector 2283">
              <a:extLst>
                <a:ext uri="{FF2B5EF4-FFF2-40B4-BE49-F238E27FC236}">
                  <a16:creationId xmlns:a16="http://schemas.microsoft.com/office/drawing/2014/main" id="{AD0E22A5-87D9-7AC7-96D2-B0D50712212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5" name="Straight Connector 2284">
              <a:extLst>
                <a:ext uri="{FF2B5EF4-FFF2-40B4-BE49-F238E27FC236}">
                  <a16:creationId xmlns:a16="http://schemas.microsoft.com/office/drawing/2014/main" id="{11B4C2CF-3014-E8C6-5DFF-EE8D844049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6" name="Straight Connector 2285">
              <a:extLst>
                <a:ext uri="{FF2B5EF4-FFF2-40B4-BE49-F238E27FC236}">
                  <a16:creationId xmlns:a16="http://schemas.microsoft.com/office/drawing/2014/main" id="{B8DE6548-FF46-D25A-CC7D-50A8073DED2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87" name="Straight Connector 2286">
              <a:extLst>
                <a:ext uri="{FF2B5EF4-FFF2-40B4-BE49-F238E27FC236}">
                  <a16:creationId xmlns:a16="http://schemas.microsoft.com/office/drawing/2014/main" id="{496A4103-FCCB-64C8-4CEC-F1DA9BFACED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81" name="Straight Connector 2280">
            <a:extLst>
              <a:ext uri="{FF2B5EF4-FFF2-40B4-BE49-F238E27FC236}">
                <a16:creationId xmlns:a16="http://schemas.microsoft.com/office/drawing/2014/main" id="{29B02B55-77E4-EEA5-98B6-7D99E918B8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63</xdr:row>
      <xdr:rowOff>0</xdr:rowOff>
    </xdr:from>
    <xdr:to>
      <xdr:col>6</xdr:col>
      <xdr:colOff>238169</xdr:colOff>
      <xdr:row>65</xdr:row>
      <xdr:rowOff>49</xdr:rowOff>
    </xdr:to>
    <xdr:grpSp>
      <xdr:nvGrpSpPr>
        <xdr:cNvPr id="2288" name="Group 2287">
          <a:extLst>
            <a:ext uri="{FF2B5EF4-FFF2-40B4-BE49-F238E27FC236}">
              <a16:creationId xmlns:a16="http://schemas.microsoft.com/office/drawing/2014/main" id="{37AE7359-500B-44B5-A1FB-5D9FC8CF146C}"/>
            </a:ext>
          </a:extLst>
        </xdr:cNvPr>
        <xdr:cNvGrpSpPr/>
      </xdr:nvGrpSpPr>
      <xdr:grpSpPr>
        <a:xfrm>
          <a:off x="2873922" y="11774871"/>
          <a:ext cx="238169" cy="328497"/>
          <a:chOff x="6143939" y="789134"/>
          <a:chExt cx="457200" cy="518966"/>
        </a:xfrm>
      </xdr:grpSpPr>
      <xdr:grpSp>
        <xdr:nvGrpSpPr>
          <xdr:cNvPr id="2289" name="Group 2288">
            <a:extLst>
              <a:ext uri="{FF2B5EF4-FFF2-40B4-BE49-F238E27FC236}">
                <a16:creationId xmlns:a16="http://schemas.microsoft.com/office/drawing/2014/main" id="{C5B2DE43-A89D-0014-9DC3-A2899D7FD7E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291" name="Straight Connector 2290">
              <a:extLst>
                <a:ext uri="{FF2B5EF4-FFF2-40B4-BE49-F238E27FC236}">
                  <a16:creationId xmlns:a16="http://schemas.microsoft.com/office/drawing/2014/main" id="{DDD43DF4-64DE-9C16-933C-78C9090CC4F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5" name="Straight Connector 2294">
              <a:extLst>
                <a:ext uri="{FF2B5EF4-FFF2-40B4-BE49-F238E27FC236}">
                  <a16:creationId xmlns:a16="http://schemas.microsoft.com/office/drawing/2014/main" id="{379C5372-419D-BF31-8621-1284C53F446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6" name="Straight Connector 2295">
              <a:extLst>
                <a:ext uri="{FF2B5EF4-FFF2-40B4-BE49-F238E27FC236}">
                  <a16:creationId xmlns:a16="http://schemas.microsoft.com/office/drawing/2014/main" id="{A114C8BD-C921-EC25-9173-37D7B069AD1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7" name="Straight Connector 2296">
              <a:extLst>
                <a:ext uri="{FF2B5EF4-FFF2-40B4-BE49-F238E27FC236}">
                  <a16:creationId xmlns:a16="http://schemas.microsoft.com/office/drawing/2014/main" id="{B2695E68-6297-6FE3-00E3-A5875C16ADA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299" name="Straight Connector 2298">
              <a:extLst>
                <a:ext uri="{FF2B5EF4-FFF2-40B4-BE49-F238E27FC236}">
                  <a16:creationId xmlns:a16="http://schemas.microsoft.com/office/drawing/2014/main" id="{931B3F04-DB36-351E-7493-ADD69EF176A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2" name="Straight Connector 2431">
              <a:extLst>
                <a:ext uri="{FF2B5EF4-FFF2-40B4-BE49-F238E27FC236}">
                  <a16:creationId xmlns:a16="http://schemas.microsoft.com/office/drawing/2014/main" id="{AB6E710C-41DD-BC0B-82BA-BBD5F4FC283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90" name="Straight Connector 2289">
            <a:extLst>
              <a:ext uri="{FF2B5EF4-FFF2-40B4-BE49-F238E27FC236}">
                <a16:creationId xmlns:a16="http://schemas.microsoft.com/office/drawing/2014/main" id="{CB68986E-1F6C-A52C-AE02-2ED56FBE03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63</xdr:row>
      <xdr:rowOff>0</xdr:rowOff>
    </xdr:from>
    <xdr:to>
      <xdr:col>12</xdr:col>
      <xdr:colOff>238169</xdr:colOff>
      <xdr:row>65</xdr:row>
      <xdr:rowOff>49</xdr:rowOff>
    </xdr:to>
    <xdr:grpSp>
      <xdr:nvGrpSpPr>
        <xdr:cNvPr id="2433" name="Group 2432">
          <a:extLst>
            <a:ext uri="{FF2B5EF4-FFF2-40B4-BE49-F238E27FC236}">
              <a16:creationId xmlns:a16="http://schemas.microsoft.com/office/drawing/2014/main" id="{55775012-877E-493D-A90C-3CEBDDD12B04}"/>
            </a:ext>
          </a:extLst>
        </xdr:cNvPr>
        <xdr:cNvGrpSpPr/>
      </xdr:nvGrpSpPr>
      <xdr:grpSpPr>
        <a:xfrm>
          <a:off x="5879224" y="11774871"/>
          <a:ext cx="238169" cy="328497"/>
          <a:chOff x="6143939" y="789134"/>
          <a:chExt cx="457200" cy="518966"/>
        </a:xfrm>
      </xdr:grpSpPr>
      <xdr:grpSp>
        <xdr:nvGrpSpPr>
          <xdr:cNvPr id="2434" name="Group 2433">
            <a:extLst>
              <a:ext uri="{FF2B5EF4-FFF2-40B4-BE49-F238E27FC236}">
                <a16:creationId xmlns:a16="http://schemas.microsoft.com/office/drawing/2014/main" id="{957E816D-F528-3458-07BF-6BCB7EB66F4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36" name="Straight Connector 2435">
              <a:extLst>
                <a:ext uri="{FF2B5EF4-FFF2-40B4-BE49-F238E27FC236}">
                  <a16:creationId xmlns:a16="http://schemas.microsoft.com/office/drawing/2014/main" id="{87C8483C-F062-2FAC-E31E-6F446D70E81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7" name="Straight Connector 2436">
              <a:extLst>
                <a:ext uri="{FF2B5EF4-FFF2-40B4-BE49-F238E27FC236}">
                  <a16:creationId xmlns:a16="http://schemas.microsoft.com/office/drawing/2014/main" id="{F8A72C16-C0A1-88FC-4D4F-2D3C019839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8" name="Straight Connector 2437">
              <a:extLst>
                <a:ext uri="{FF2B5EF4-FFF2-40B4-BE49-F238E27FC236}">
                  <a16:creationId xmlns:a16="http://schemas.microsoft.com/office/drawing/2014/main" id="{38EAAD2A-2A38-AA28-A903-A8C3FA221EA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39" name="Straight Connector 2438">
              <a:extLst>
                <a:ext uri="{FF2B5EF4-FFF2-40B4-BE49-F238E27FC236}">
                  <a16:creationId xmlns:a16="http://schemas.microsoft.com/office/drawing/2014/main" id="{57B101BF-92F7-5999-4441-DCADC2077C0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0" name="Straight Connector 2439">
              <a:extLst>
                <a:ext uri="{FF2B5EF4-FFF2-40B4-BE49-F238E27FC236}">
                  <a16:creationId xmlns:a16="http://schemas.microsoft.com/office/drawing/2014/main" id="{439B3604-DE91-00FD-550D-7DE94C7F1D6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1" name="Straight Connector 2440">
              <a:extLst>
                <a:ext uri="{FF2B5EF4-FFF2-40B4-BE49-F238E27FC236}">
                  <a16:creationId xmlns:a16="http://schemas.microsoft.com/office/drawing/2014/main" id="{7FD73CCC-4AED-840B-471F-2C2CAA59470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35" name="Straight Connector 2434">
            <a:extLst>
              <a:ext uri="{FF2B5EF4-FFF2-40B4-BE49-F238E27FC236}">
                <a16:creationId xmlns:a16="http://schemas.microsoft.com/office/drawing/2014/main" id="{50B83DD3-26CA-8D4D-7380-62EEB0BA507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63</xdr:row>
      <xdr:rowOff>0</xdr:rowOff>
    </xdr:from>
    <xdr:to>
      <xdr:col>20</xdr:col>
      <xdr:colOff>238169</xdr:colOff>
      <xdr:row>65</xdr:row>
      <xdr:rowOff>49</xdr:rowOff>
    </xdr:to>
    <xdr:grpSp>
      <xdr:nvGrpSpPr>
        <xdr:cNvPr id="2442" name="Group 2441">
          <a:extLst>
            <a:ext uri="{FF2B5EF4-FFF2-40B4-BE49-F238E27FC236}">
              <a16:creationId xmlns:a16="http://schemas.microsoft.com/office/drawing/2014/main" id="{C2D1A5D6-97F1-475B-9EB7-66B691EABB7B}"/>
            </a:ext>
          </a:extLst>
        </xdr:cNvPr>
        <xdr:cNvGrpSpPr/>
      </xdr:nvGrpSpPr>
      <xdr:grpSpPr>
        <a:xfrm>
          <a:off x="9902716" y="11774871"/>
          <a:ext cx="238169" cy="328497"/>
          <a:chOff x="6143939" y="789134"/>
          <a:chExt cx="457200" cy="518966"/>
        </a:xfrm>
      </xdr:grpSpPr>
      <xdr:grpSp>
        <xdr:nvGrpSpPr>
          <xdr:cNvPr id="2443" name="Group 2442">
            <a:extLst>
              <a:ext uri="{FF2B5EF4-FFF2-40B4-BE49-F238E27FC236}">
                <a16:creationId xmlns:a16="http://schemas.microsoft.com/office/drawing/2014/main" id="{B45AE982-4997-B90E-DADF-E7D09ECF145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45" name="Straight Connector 2444">
              <a:extLst>
                <a:ext uri="{FF2B5EF4-FFF2-40B4-BE49-F238E27FC236}">
                  <a16:creationId xmlns:a16="http://schemas.microsoft.com/office/drawing/2014/main" id="{547F9396-02D3-6DB4-7EE3-287D19BB4A7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6" name="Straight Connector 2445">
              <a:extLst>
                <a:ext uri="{FF2B5EF4-FFF2-40B4-BE49-F238E27FC236}">
                  <a16:creationId xmlns:a16="http://schemas.microsoft.com/office/drawing/2014/main" id="{49DAE99A-0EF8-7847-1713-D5CDC7D8EB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7" name="Straight Connector 2446">
              <a:extLst>
                <a:ext uri="{FF2B5EF4-FFF2-40B4-BE49-F238E27FC236}">
                  <a16:creationId xmlns:a16="http://schemas.microsoft.com/office/drawing/2014/main" id="{EDE4666A-B2F4-9045-95EB-A8EDF8CC1D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8" name="Straight Connector 2447">
              <a:extLst>
                <a:ext uri="{FF2B5EF4-FFF2-40B4-BE49-F238E27FC236}">
                  <a16:creationId xmlns:a16="http://schemas.microsoft.com/office/drawing/2014/main" id="{19113D5F-9839-CB63-0A2F-1B2485E22B8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49" name="Straight Connector 2448">
              <a:extLst>
                <a:ext uri="{FF2B5EF4-FFF2-40B4-BE49-F238E27FC236}">
                  <a16:creationId xmlns:a16="http://schemas.microsoft.com/office/drawing/2014/main" id="{2D4452E6-4444-0127-5FD7-D2374ED44B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0" name="Straight Connector 2449">
              <a:extLst>
                <a:ext uri="{FF2B5EF4-FFF2-40B4-BE49-F238E27FC236}">
                  <a16:creationId xmlns:a16="http://schemas.microsoft.com/office/drawing/2014/main" id="{6306DEF7-4450-BC7D-431B-3DCA2AA0B0B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44" name="Straight Connector 2443">
            <a:extLst>
              <a:ext uri="{FF2B5EF4-FFF2-40B4-BE49-F238E27FC236}">
                <a16:creationId xmlns:a16="http://schemas.microsoft.com/office/drawing/2014/main" id="{3F24E3A1-6235-F88A-CBBF-00D8989964E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10</xdr:col>
      <xdr:colOff>187614</xdr:colOff>
      <xdr:row>62</xdr:row>
      <xdr:rowOff>151534</xdr:rowOff>
    </xdr:from>
    <xdr:to>
      <xdr:col>10</xdr:col>
      <xdr:colOff>340812</xdr:colOff>
      <xdr:row>66</xdr:row>
      <xdr:rowOff>8830</xdr:rowOff>
    </xdr:to>
    <xdr:pic>
      <xdr:nvPicPr>
        <xdr:cNvPr id="2451" name="Picture 2450">
          <a:extLst>
            <a:ext uri="{FF2B5EF4-FFF2-40B4-BE49-F238E27FC236}">
              <a16:creationId xmlns:a16="http://schemas.microsoft.com/office/drawing/2014/main" id="{DD8D8A18-86B1-4E26-86C3-55179CAFE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5569" y="11733068"/>
          <a:ext cx="153198" cy="550023"/>
        </a:xfrm>
        <a:prstGeom prst="rect">
          <a:avLst/>
        </a:prstGeom>
      </xdr:spPr>
    </xdr:pic>
    <xdr:clientData/>
  </xdr:twoCellAnchor>
  <xdr:oneCellAnchor>
    <xdr:from>
      <xdr:col>6</xdr:col>
      <xdr:colOff>26458</xdr:colOff>
      <xdr:row>83</xdr:row>
      <xdr:rowOff>0</xdr:rowOff>
    </xdr:from>
    <xdr:ext cx="382764" cy="287082"/>
    <xdr:pic>
      <xdr:nvPicPr>
        <xdr:cNvPr id="2452" name="Picture 2451" descr="Gas pipeline line icon concept. Gas ...">
          <a:extLst>
            <a:ext uri="{FF2B5EF4-FFF2-40B4-BE49-F238E27FC236}">
              <a16:creationId xmlns:a16="http://schemas.microsoft.com/office/drawing/2014/main" id="{07245E02-CFC5-4694-B0E7-8BEC57FE68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870729" y="15253229"/>
          <a:ext cx="382764" cy="287082"/>
        </a:xfrm>
        <a:prstGeom prst="rect">
          <a:avLst/>
        </a:prstGeom>
        <a:solidFill>
          <a:schemeClr val="accent1"/>
        </a:solidFill>
      </xdr:spPr>
    </xdr:pic>
    <xdr:clientData/>
  </xdr:oneCellAnchor>
  <xdr:oneCellAnchor>
    <xdr:from>
      <xdr:col>6</xdr:col>
      <xdr:colOff>26458</xdr:colOff>
      <xdr:row>86</xdr:row>
      <xdr:rowOff>145520</xdr:rowOff>
    </xdr:from>
    <xdr:ext cx="125542" cy="396875"/>
    <xdr:pic>
      <xdr:nvPicPr>
        <xdr:cNvPr id="2453" name="Picture 11595">
          <a:extLst>
            <a:ext uri="{FF2B5EF4-FFF2-40B4-BE49-F238E27FC236}">
              <a16:creationId xmlns:a16="http://schemas.microsoft.com/office/drawing/2014/main" id="{6B612CC5-6337-4F38-86CB-3E07C95BC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0729" y="15914687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6</xdr:col>
      <xdr:colOff>264584</xdr:colOff>
      <xdr:row>86</xdr:row>
      <xdr:rowOff>132293</xdr:rowOff>
    </xdr:from>
    <xdr:to>
      <xdr:col>6</xdr:col>
      <xdr:colOff>410104</xdr:colOff>
      <xdr:row>89</xdr:row>
      <xdr:rowOff>98800</xdr:rowOff>
    </xdr:to>
    <xdr:pic>
      <xdr:nvPicPr>
        <xdr:cNvPr id="2454" name="Picture 2453">
          <a:extLst>
            <a:ext uri="{FF2B5EF4-FFF2-40B4-BE49-F238E27FC236}">
              <a16:creationId xmlns:a16="http://schemas.microsoft.com/office/drawing/2014/main" id="{F6CC3A64-D299-4620-ACD2-04270E71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08855" y="15901460"/>
          <a:ext cx="145520" cy="522132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2</xdr:col>
      <xdr:colOff>238169</xdr:colOff>
      <xdr:row>100</xdr:row>
      <xdr:rowOff>50</xdr:rowOff>
    </xdr:to>
    <xdr:grpSp>
      <xdr:nvGrpSpPr>
        <xdr:cNvPr id="2455" name="Group 2454">
          <a:extLst>
            <a:ext uri="{FF2B5EF4-FFF2-40B4-BE49-F238E27FC236}">
              <a16:creationId xmlns:a16="http://schemas.microsoft.com/office/drawing/2014/main" id="{ABEF20D8-6149-4929-B417-45188DAED013}"/>
            </a:ext>
          </a:extLst>
        </xdr:cNvPr>
        <xdr:cNvGrpSpPr/>
      </xdr:nvGrpSpPr>
      <xdr:grpSpPr>
        <a:xfrm>
          <a:off x="870388" y="17571983"/>
          <a:ext cx="238169" cy="328498"/>
          <a:chOff x="6143939" y="789134"/>
          <a:chExt cx="457200" cy="518966"/>
        </a:xfrm>
      </xdr:grpSpPr>
      <xdr:grpSp>
        <xdr:nvGrpSpPr>
          <xdr:cNvPr id="2456" name="Group 2455">
            <a:extLst>
              <a:ext uri="{FF2B5EF4-FFF2-40B4-BE49-F238E27FC236}">
                <a16:creationId xmlns:a16="http://schemas.microsoft.com/office/drawing/2014/main" id="{AFB68005-4E8F-E5D6-D2F7-237202E71DF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458" name="Straight Connector 2457">
              <a:extLst>
                <a:ext uri="{FF2B5EF4-FFF2-40B4-BE49-F238E27FC236}">
                  <a16:creationId xmlns:a16="http://schemas.microsoft.com/office/drawing/2014/main" id="{0E179437-3C03-CFCB-E40F-7D6E6E4027B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59" name="Straight Connector 2458">
              <a:extLst>
                <a:ext uri="{FF2B5EF4-FFF2-40B4-BE49-F238E27FC236}">
                  <a16:creationId xmlns:a16="http://schemas.microsoft.com/office/drawing/2014/main" id="{5CAA4934-AD67-A834-57F7-6F4CA88D62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0" name="Straight Connector 2459">
              <a:extLst>
                <a:ext uri="{FF2B5EF4-FFF2-40B4-BE49-F238E27FC236}">
                  <a16:creationId xmlns:a16="http://schemas.microsoft.com/office/drawing/2014/main" id="{DF57546D-739B-C42A-E3DE-7613DC9850F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1" name="Straight Connector 2460">
              <a:extLst>
                <a:ext uri="{FF2B5EF4-FFF2-40B4-BE49-F238E27FC236}">
                  <a16:creationId xmlns:a16="http://schemas.microsoft.com/office/drawing/2014/main" id="{F70E2600-002D-2400-5EB5-EB240A909DB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2" name="Straight Connector 2461">
              <a:extLst>
                <a:ext uri="{FF2B5EF4-FFF2-40B4-BE49-F238E27FC236}">
                  <a16:creationId xmlns:a16="http://schemas.microsoft.com/office/drawing/2014/main" id="{1153B1DD-A790-5B2A-161F-993EB475AE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63" name="Straight Connector 2462">
              <a:extLst>
                <a:ext uri="{FF2B5EF4-FFF2-40B4-BE49-F238E27FC236}">
                  <a16:creationId xmlns:a16="http://schemas.microsoft.com/office/drawing/2014/main" id="{01F22046-3637-862B-F811-F89915708C4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57" name="Straight Connector 2456">
            <a:extLst>
              <a:ext uri="{FF2B5EF4-FFF2-40B4-BE49-F238E27FC236}">
                <a16:creationId xmlns:a16="http://schemas.microsoft.com/office/drawing/2014/main" id="{014AAB55-5604-81E4-02B6-3AC16D53E1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98</xdr:row>
      <xdr:rowOff>0</xdr:rowOff>
    </xdr:from>
    <xdr:to>
      <xdr:col>4</xdr:col>
      <xdr:colOff>238169</xdr:colOff>
      <xdr:row>100</xdr:row>
      <xdr:rowOff>50</xdr:rowOff>
    </xdr:to>
    <xdr:grpSp>
      <xdr:nvGrpSpPr>
        <xdr:cNvPr id="2464" name="Group 2463">
          <a:extLst>
            <a:ext uri="{FF2B5EF4-FFF2-40B4-BE49-F238E27FC236}">
              <a16:creationId xmlns:a16="http://schemas.microsoft.com/office/drawing/2014/main" id="{08553C29-73E5-47DF-8C8E-C7292BB011FD}"/>
            </a:ext>
          </a:extLst>
        </xdr:cNvPr>
        <xdr:cNvGrpSpPr/>
      </xdr:nvGrpSpPr>
      <xdr:grpSpPr>
        <a:xfrm>
          <a:off x="1872155" y="17571983"/>
          <a:ext cx="238169" cy="328498"/>
          <a:chOff x="6143939" y="789134"/>
          <a:chExt cx="457200" cy="518966"/>
        </a:xfrm>
      </xdr:grpSpPr>
      <xdr:grpSp>
        <xdr:nvGrpSpPr>
          <xdr:cNvPr id="2465" name="Group 2464">
            <a:extLst>
              <a:ext uri="{FF2B5EF4-FFF2-40B4-BE49-F238E27FC236}">
                <a16:creationId xmlns:a16="http://schemas.microsoft.com/office/drawing/2014/main" id="{A3B1FD98-A04D-1171-8B38-C502663380B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21" name="Straight Connector 2520">
              <a:extLst>
                <a:ext uri="{FF2B5EF4-FFF2-40B4-BE49-F238E27FC236}">
                  <a16:creationId xmlns:a16="http://schemas.microsoft.com/office/drawing/2014/main" id="{CDAE37DD-CF7C-4844-8B28-F057DDD6997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2" name="Straight Connector 2521">
              <a:extLst>
                <a:ext uri="{FF2B5EF4-FFF2-40B4-BE49-F238E27FC236}">
                  <a16:creationId xmlns:a16="http://schemas.microsoft.com/office/drawing/2014/main" id="{B233B7C1-58E3-4434-81C4-2FCC6D98D0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3" name="Straight Connector 2522">
              <a:extLst>
                <a:ext uri="{FF2B5EF4-FFF2-40B4-BE49-F238E27FC236}">
                  <a16:creationId xmlns:a16="http://schemas.microsoft.com/office/drawing/2014/main" id="{CE33C56A-FD1D-72D0-414C-0EAD6A4750A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4" name="Straight Connector 2523">
              <a:extLst>
                <a:ext uri="{FF2B5EF4-FFF2-40B4-BE49-F238E27FC236}">
                  <a16:creationId xmlns:a16="http://schemas.microsoft.com/office/drawing/2014/main" id="{62F33102-EC8E-39FC-0314-A833C0BB34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5" name="Straight Connector 2524">
              <a:extLst>
                <a:ext uri="{FF2B5EF4-FFF2-40B4-BE49-F238E27FC236}">
                  <a16:creationId xmlns:a16="http://schemas.microsoft.com/office/drawing/2014/main" id="{315A827B-99A7-A486-A71B-5276E7E9D29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6" name="Straight Connector 2525">
              <a:extLst>
                <a:ext uri="{FF2B5EF4-FFF2-40B4-BE49-F238E27FC236}">
                  <a16:creationId xmlns:a16="http://schemas.microsoft.com/office/drawing/2014/main" id="{D08959D5-0F0B-47E6-416F-9AD4CA8F838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6" name="Straight Connector 2465">
            <a:extLst>
              <a:ext uri="{FF2B5EF4-FFF2-40B4-BE49-F238E27FC236}">
                <a16:creationId xmlns:a16="http://schemas.microsoft.com/office/drawing/2014/main" id="{0B836D5C-F98E-15A4-E395-8CF33CE9B7F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98</xdr:row>
      <xdr:rowOff>0</xdr:rowOff>
    </xdr:from>
    <xdr:to>
      <xdr:col>6</xdr:col>
      <xdr:colOff>238169</xdr:colOff>
      <xdr:row>100</xdr:row>
      <xdr:rowOff>50</xdr:rowOff>
    </xdr:to>
    <xdr:grpSp>
      <xdr:nvGrpSpPr>
        <xdr:cNvPr id="2527" name="Group 2526">
          <a:extLst>
            <a:ext uri="{FF2B5EF4-FFF2-40B4-BE49-F238E27FC236}">
              <a16:creationId xmlns:a16="http://schemas.microsoft.com/office/drawing/2014/main" id="{594B5A93-4B98-4B6E-B2FA-ACB2B6A248E5}"/>
            </a:ext>
          </a:extLst>
        </xdr:cNvPr>
        <xdr:cNvGrpSpPr/>
      </xdr:nvGrpSpPr>
      <xdr:grpSpPr>
        <a:xfrm>
          <a:off x="2873922" y="17571983"/>
          <a:ext cx="238169" cy="328498"/>
          <a:chOff x="6143939" y="789134"/>
          <a:chExt cx="457200" cy="518966"/>
        </a:xfrm>
      </xdr:grpSpPr>
      <xdr:grpSp>
        <xdr:nvGrpSpPr>
          <xdr:cNvPr id="2528" name="Group 2527">
            <a:extLst>
              <a:ext uri="{FF2B5EF4-FFF2-40B4-BE49-F238E27FC236}">
                <a16:creationId xmlns:a16="http://schemas.microsoft.com/office/drawing/2014/main" id="{DBF651F6-4779-F560-7DA0-B441448D39D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0" name="Straight Connector 2529">
              <a:extLst>
                <a:ext uri="{FF2B5EF4-FFF2-40B4-BE49-F238E27FC236}">
                  <a16:creationId xmlns:a16="http://schemas.microsoft.com/office/drawing/2014/main" id="{E2F9B618-D951-471E-8938-F12E196A494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1" name="Straight Connector 2530">
              <a:extLst>
                <a:ext uri="{FF2B5EF4-FFF2-40B4-BE49-F238E27FC236}">
                  <a16:creationId xmlns:a16="http://schemas.microsoft.com/office/drawing/2014/main" id="{8DEB5261-56D3-333D-3C72-1A7D23C195F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2" name="Straight Connector 2531">
              <a:extLst>
                <a:ext uri="{FF2B5EF4-FFF2-40B4-BE49-F238E27FC236}">
                  <a16:creationId xmlns:a16="http://schemas.microsoft.com/office/drawing/2014/main" id="{C318B57A-01B8-893B-34B1-D2FA0457CC2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3" name="Straight Connector 2532">
              <a:extLst>
                <a:ext uri="{FF2B5EF4-FFF2-40B4-BE49-F238E27FC236}">
                  <a16:creationId xmlns:a16="http://schemas.microsoft.com/office/drawing/2014/main" id="{52554B29-80A8-32C0-29ED-766FCD000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4" name="Straight Connector 2533">
              <a:extLst>
                <a:ext uri="{FF2B5EF4-FFF2-40B4-BE49-F238E27FC236}">
                  <a16:creationId xmlns:a16="http://schemas.microsoft.com/office/drawing/2014/main" id="{8F2FC286-7DFE-6D67-E98D-3E50A21AF0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35" name="Straight Connector 2534">
              <a:extLst>
                <a:ext uri="{FF2B5EF4-FFF2-40B4-BE49-F238E27FC236}">
                  <a16:creationId xmlns:a16="http://schemas.microsoft.com/office/drawing/2014/main" id="{2998CC27-FE2A-2EE5-1F89-755220EFFF0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29" name="Straight Connector 2528">
            <a:extLst>
              <a:ext uri="{FF2B5EF4-FFF2-40B4-BE49-F238E27FC236}">
                <a16:creationId xmlns:a16="http://schemas.microsoft.com/office/drawing/2014/main" id="{1C402680-DC3F-37D1-E551-5694A113745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98</xdr:row>
      <xdr:rowOff>0</xdr:rowOff>
    </xdr:from>
    <xdr:to>
      <xdr:col>8</xdr:col>
      <xdr:colOff>238169</xdr:colOff>
      <xdr:row>100</xdr:row>
      <xdr:rowOff>50</xdr:rowOff>
    </xdr:to>
    <xdr:grpSp>
      <xdr:nvGrpSpPr>
        <xdr:cNvPr id="2536" name="Group 2535">
          <a:extLst>
            <a:ext uri="{FF2B5EF4-FFF2-40B4-BE49-F238E27FC236}">
              <a16:creationId xmlns:a16="http://schemas.microsoft.com/office/drawing/2014/main" id="{34775AA9-11CE-480D-86BD-0FD530E0C1C9}"/>
            </a:ext>
          </a:extLst>
        </xdr:cNvPr>
        <xdr:cNvGrpSpPr/>
      </xdr:nvGrpSpPr>
      <xdr:grpSpPr>
        <a:xfrm>
          <a:off x="3875690" y="17571983"/>
          <a:ext cx="238169" cy="328498"/>
          <a:chOff x="6143939" y="789134"/>
          <a:chExt cx="457200" cy="518966"/>
        </a:xfrm>
      </xdr:grpSpPr>
      <xdr:grpSp>
        <xdr:nvGrpSpPr>
          <xdr:cNvPr id="2537" name="Group 2536">
            <a:extLst>
              <a:ext uri="{FF2B5EF4-FFF2-40B4-BE49-F238E27FC236}">
                <a16:creationId xmlns:a16="http://schemas.microsoft.com/office/drawing/2014/main" id="{ABADCF7B-C5A1-D43F-2F4E-AF71DEFC2B2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39" name="Straight Connector 2538">
              <a:extLst>
                <a:ext uri="{FF2B5EF4-FFF2-40B4-BE49-F238E27FC236}">
                  <a16:creationId xmlns:a16="http://schemas.microsoft.com/office/drawing/2014/main" id="{71429078-560D-320E-1A80-CD0A2FD7F70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0" name="Straight Connector 2539">
              <a:extLst>
                <a:ext uri="{FF2B5EF4-FFF2-40B4-BE49-F238E27FC236}">
                  <a16:creationId xmlns:a16="http://schemas.microsoft.com/office/drawing/2014/main" id="{40ADB786-7C17-66E1-E22E-B3D755453D2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1" name="Straight Connector 2540">
              <a:extLst>
                <a:ext uri="{FF2B5EF4-FFF2-40B4-BE49-F238E27FC236}">
                  <a16:creationId xmlns:a16="http://schemas.microsoft.com/office/drawing/2014/main" id="{F6689F90-13EE-B07D-9F81-4E89EB21A64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2" name="Straight Connector 2541">
              <a:extLst>
                <a:ext uri="{FF2B5EF4-FFF2-40B4-BE49-F238E27FC236}">
                  <a16:creationId xmlns:a16="http://schemas.microsoft.com/office/drawing/2014/main" id="{3569CAAB-7D8F-41C2-4D72-854A3DF674D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3" name="Straight Connector 2542">
              <a:extLst>
                <a:ext uri="{FF2B5EF4-FFF2-40B4-BE49-F238E27FC236}">
                  <a16:creationId xmlns:a16="http://schemas.microsoft.com/office/drawing/2014/main" id="{D786C14B-F329-6B4E-3255-F7343743620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4" name="Straight Connector 2543">
              <a:extLst>
                <a:ext uri="{FF2B5EF4-FFF2-40B4-BE49-F238E27FC236}">
                  <a16:creationId xmlns:a16="http://schemas.microsoft.com/office/drawing/2014/main" id="{D4D19735-32E9-D14A-0B14-2A7DCD859AE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38" name="Straight Connector 2537">
            <a:extLst>
              <a:ext uri="{FF2B5EF4-FFF2-40B4-BE49-F238E27FC236}">
                <a16:creationId xmlns:a16="http://schemas.microsoft.com/office/drawing/2014/main" id="{279E3A86-1CC6-C439-A053-A2B966D44DC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98</xdr:row>
      <xdr:rowOff>0</xdr:rowOff>
    </xdr:from>
    <xdr:to>
      <xdr:col>10</xdr:col>
      <xdr:colOff>238169</xdr:colOff>
      <xdr:row>100</xdr:row>
      <xdr:rowOff>50</xdr:rowOff>
    </xdr:to>
    <xdr:grpSp>
      <xdr:nvGrpSpPr>
        <xdr:cNvPr id="2545" name="Group 2544">
          <a:extLst>
            <a:ext uri="{FF2B5EF4-FFF2-40B4-BE49-F238E27FC236}">
              <a16:creationId xmlns:a16="http://schemas.microsoft.com/office/drawing/2014/main" id="{AFB5C5AF-9DD9-4A05-AFAF-5E0B7AFAB41F}"/>
            </a:ext>
          </a:extLst>
        </xdr:cNvPr>
        <xdr:cNvGrpSpPr/>
      </xdr:nvGrpSpPr>
      <xdr:grpSpPr>
        <a:xfrm>
          <a:off x="4877457" y="17571983"/>
          <a:ext cx="238169" cy="328498"/>
          <a:chOff x="6143939" y="789134"/>
          <a:chExt cx="457200" cy="518966"/>
        </a:xfrm>
      </xdr:grpSpPr>
      <xdr:grpSp>
        <xdr:nvGrpSpPr>
          <xdr:cNvPr id="2546" name="Group 2545">
            <a:extLst>
              <a:ext uri="{FF2B5EF4-FFF2-40B4-BE49-F238E27FC236}">
                <a16:creationId xmlns:a16="http://schemas.microsoft.com/office/drawing/2014/main" id="{B4877CF3-7D53-E8E3-9868-CA7BD09DE36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48" name="Straight Connector 2547">
              <a:extLst>
                <a:ext uri="{FF2B5EF4-FFF2-40B4-BE49-F238E27FC236}">
                  <a16:creationId xmlns:a16="http://schemas.microsoft.com/office/drawing/2014/main" id="{9F8E2BFB-9AA5-7FEF-5232-3EEFE78CCED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49" name="Straight Connector 2548">
              <a:extLst>
                <a:ext uri="{FF2B5EF4-FFF2-40B4-BE49-F238E27FC236}">
                  <a16:creationId xmlns:a16="http://schemas.microsoft.com/office/drawing/2014/main" id="{25582BEC-EE7B-73B4-0D40-932E454F882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0" name="Straight Connector 2549">
              <a:extLst>
                <a:ext uri="{FF2B5EF4-FFF2-40B4-BE49-F238E27FC236}">
                  <a16:creationId xmlns:a16="http://schemas.microsoft.com/office/drawing/2014/main" id="{70813975-3EAE-5AC8-EBF2-1685C3D1DC9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1" name="Straight Connector 2550">
              <a:extLst>
                <a:ext uri="{FF2B5EF4-FFF2-40B4-BE49-F238E27FC236}">
                  <a16:creationId xmlns:a16="http://schemas.microsoft.com/office/drawing/2014/main" id="{912191D0-7908-7B1C-9F33-D308E182577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2" name="Straight Connector 2551">
              <a:extLst>
                <a:ext uri="{FF2B5EF4-FFF2-40B4-BE49-F238E27FC236}">
                  <a16:creationId xmlns:a16="http://schemas.microsoft.com/office/drawing/2014/main" id="{763C0031-EB2C-ED56-8BD4-1A481114DD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3" name="Straight Connector 2552">
              <a:extLst>
                <a:ext uri="{FF2B5EF4-FFF2-40B4-BE49-F238E27FC236}">
                  <a16:creationId xmlns:a16="http://schemas.microsoft.com/office/drawing/2014/main" id="{F13A2EFF-7E9D-247A-5FF2-55FCB39BC9F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47" name="Straight Connector 2546">
            <a:extLst>
              <a:ext uri="{FF2B5EF4-FFF2-40B4-BE49-F238E27FC236}">
                <a16:creationId xmlns:a16="http://schemas.microsoft.com/office/drawing/2014/main" id="{D3319D00-2B06-7A13-E3AF-18EBD407B94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98</xdr:row>
      <xdr:rowOff>0</xdr:rowOff>
    </xdr:from>
    <xdr:to>
      <xdr:col>14</xdr:col>
      <xdr:colOff>238169</xdr:colOff>
      <xdr:row>100</xdr:row>
      <xdr:rowOff>50</xdr:rowOff>
    </xdr:to>
    <xdr:grpSp>
      <xdr:nvGrpSpPr>
        <xdr:cNvPr id="2554" name="Group 2553">
          <a:extLst>
            <a:ext uri="{FF2B5EF4-FFF2-40B4-BE49-F238E27FC236}">
              <a16:creationId xmlns:a16="http://schemas.microsoft.com/office/drawing/2014/main" id="{909BE18C-85B2-4E0F-9A0A-EB18E693E6B9}"/>
            </a:ext>
          </a:extLst>
        </xdr:cNvPr>
        <xdr:cNvGrpSpPr/>
      </xdr:nvGrpSpPr>
      <xdr:grpSpPr>
        <a:xfrm>
          <a:off x="6880991" y="17571983"/>
          <a:ext cx="238169" cy="328498"/>
          <a:chOff x="6143939" y="789134"/>
          <a:chExt cx="457200" cy="518966"/>
        </a:xfrm>
      </xdr:grpSpPr>
      <xdr:grpSp>
        <xdr:nvGrpSpPr>
          <xdr:cNvPr id="2555" name="Group 2554">
            <a:extLst>
              <a:ext uri="{FF2B5EF4-FFF2-40B4-BE49-F238E27FC236}">
                <a16:creationId xmlns:a16="http://schemas.microsoft.com/office/drawing/2014/main" id="{77B1780B-6012-34B8-DADB-811EE195F64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557" name="Straight Connector 2556">
              <a:extLst>
                <a:ext uri="{FF2B5EF4-FFF2-40B4-BE49-F238E27FC236}">
                  <a16:creationId xmlns:a16="http://schemas.microsoft.com/office/drawing/2014/main" id="{1E5A2AF4-721D-161C-285C-4BF5E827ACD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8" name="Straight Connector 2557">
              <a:extLst>
                <a:ext uri="{FF2B5EF4-FFF2-40B4-BE49-F238E27FC236}">
                  <a16:creationId xmlns:a16="http://schemas.microsoft.com/office/drawing/2014/main" id="{49631DA3-52EC-5F2F-CE4C-64857A91301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59" name="Straight Connector 2558">
              <a:extLst>
                <a:ext uri="{FF2B5EF4-FFF2-40B4-BE49-F238E27FC236}">
                  <a16:creationId xmlns:a16="http://schemas.microsoft.com/office/drawing/2014/main" id="{F8E5BA76-B2CC-E832-7774-BFC59373B68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4" name="Straight Connector 2623">
              <a:extLst>
                <a:ext uri="{FF2B5EF4-FFF2-40B4-BE49-F238E27FC236}">
                  <a16:creationId xmlns:a16="http://schemas.microsoft.com/office/drawing/2014/main" id="{0F1DBCA6-5102-3736-C17E-16A7D50FF89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5" name="Straight Connector 2624">
              <a:extLst>
                <a:ext uri="{FF2B5EF4-FFF2-40B4-BE49-F238E27FC236}">
                  <a16:creationId xmlns:a16="http://schemas.microsoft.com/office/drawing/2014/main" id="{10120097-A607-DAB1-D3FD-7D2FA000FBE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26" name="Straight Connector 2625">
              <a:extLst>
                <a:ext uri="{FF2B5EF4-FFF2-40B4-BE49-F238E27FC236}">
                  <a16:creationId xmlns:a16="http://schemas.microsoft.com/office/drawing/2014/main" id="{33592113-078C-4C5B-4B83-246A8043BD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56" name="Straight Connector 2555">
            <a:extLst>
              <a:ext uri="{FF2B5EF4-FFF2-40B4-BE49-F238E27FC236}">
                <a16:creationId xmlns:a16="http://schemas.microsoft.com/office/drawing/2014/main" id="{4892D9BB-BFA1-2E4C-97F6-43C1C1F8A6F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87</xdr:row>
      <xdr:rowOff>0</xdr:rowOff>
    </xdr:from>
    <xdr:to>
      <xdr:col>12</xdr:col>
      <xdr:colOff>238169</xdr:colOff>
      <xdr:row>88</xdr:row>
      <xdr:rowOff>173231</xdr:rowOff>
    </xdr:to>
    <xdr:grpSp>
      <xdr:nvGrpSpPr>
        <xdr:cNvPr id="2627" name="Group 2626">
          <a:extLst>
            <a:ext uri="{FF2B5EF4-FFF2-40B4-BE49-F238E27FC236}">
              <a16:creationId xmlns:a16="http://schemas.microsoft.com/office/drawing/2014/main" id="{5780E56C-8490-4107-9258-30B57DE6412D}"/>
            </a:ext>
          </a:extLst>
        </xdr:cNvPr>
        <xdr:cNvGrpSpPr/>
      </xdr:nvGrpSpPr>
      <xdr:grpSpPr>
        <a:xfrm>
          <a:off x="5879224" y="15716250"/>
          <a:ext cx="238169" cy="337455"/>
          <a:chOff x="6143939" y="789134"/>
          <a:chExt cx="457200" cy="518966"/>
        </a:xfrm>
      </xdr:grpSpPr>
      <xdr:grpSp>
        <xdr:nvGrpSpPr>
          <xdr:cNvPr id="2628" name="Group 2627">
            <a:extLst>
              <a:ext uri="{FF2B5EF4-FFF2-40B4-BE49-F238E27FC236}">
                <a16:creationId xmlns:a16="http://schemas.microsoft.com/office/drawing/2014/main" id="{36FF6CC3-28AE-03A1-4FF4-D009C074227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0" name="Straight Connector 2629">
              <a:extLst>
                <a:ext uri="{FF2B5EF4-FFF2-40B4-BE49-F238E27FC236}">
                  <a16:creationId xmlns:a16="http://schemas.microsoft.com/office/drawing/2014/main" id="{CD6CDF7A-7B4B-7706-0CB7-E59BA68F2D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1" name="Straight Connector 2630">
              <a:extLst>
                <a:ext uri="{FF2B5EF4-FFF2-40B4-BE49-F238E27FC236}">
                  <a16:creationId xmlns:a16="http://schemas.microsoft.com/office/drawing/2014/main" id="{CDF362F6-4BDF-45F0-A08E-B726CA82923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2" name="Straight Connector 2631">
              <a:extLst>
                <a:ext uri="{FF2B5EF4-FFF2-40B4-BE49-F238E27FC236}">
                  <a16:creationId xmlns:a16="http://schemas.microsoft.com/office/drawing/2014/main" id="{8C12FF6F-4FF4-37F3-7532-204D6B315B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3" name="Straight Connector 2632">
              <a:extLst>
                <a:ext uri="{FF2B5EF4-FFF2-40B4-BE49-F238E27FC236}">
                  <a16:creationId xmlns:a16="http://schemas.microsoft.com/office/drawing/2014/main" id="{0BE32F17-1426-19D1-256A-B2DB1912F28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4" name="Straight Connector 2633">
              <a:extLst>
                <a:ext uri="{FF2B5EF4-FFF2-40B4-BE49-F238E27FC236}">
                  <a16:creationId xmlns:a16="http://schemas.microsoft.com/office/drawing/2014/main" id="{B1C33530-02EF-39DA-BC16-A095345A332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35" name="Straight Connector 2634">
              <a:extLst>
                <a:ext uri="{FF2B5EF4-FFF2-40B4-BE49-F238E27FC236}">
                  <a16:creationId xmlns:a16="http://schemas.microsoft.com/office/drawing/2014/main" id="{6964E8CE-13AD-5091-AB10-0504CE085E3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29" name="Straight Connector 2628">
            <a:extLst>
              <a:ext uri="{FF2B5EF4-FFF2-40B4-BE49-F238E27FC236}">
                <a16:creationId xmlns:a16="http://schemas.microsoft.com/office/drawing/2014/main" id="{DCAB367F-A451-2E1B-6E13-D49825ED4B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87</xdr:row>
      <xdr:rowOff>0</xdr:rowOff>
    </xdr:from>
    <xdr:to>
      <xdr:col>14</xdr:col>
      <xdr:colOff>238169</xdr:colOff>
      <xdr:row>88</xdr:row>
      <xdr:rowOff>173231</xdr:rowOff>
    </xdr:to>
    <xdr:grpSp>
      <xdr:nvGrpSpPr>
        <xdr:cNvPr id="2636" name="Group 2635">
          <a:extLst>
            <a:ext uri="{FF2B5EF4-FFF2-40B4-BE49-F238E27FC236}">
              <a16:creationId xmlns:a16="http://schemas.microsoft.com/office/drawing/2014/main" id="{70B01DD5-FD01-4D1E-AA9D-FA42A12E855E}"/>
            </a:ext>
          </a:extLst>
        </xdr:cNvPr>
        <xdr:cNvGrpSpPr/>
      </xdr:nvGrpSpPr>
      <xdr:grpSpPr>
        <a:xfrm>
          <a:off x="6880991" y="15716250"/>
          <a:ext cx="238169" cy="337455"/>
          <a:chOff x="6143939" y="789134"/>
          <a:chExt cx="457200" cy="518966"/>
        </a:xfrm>
      </xdr:grpSpPr>
      <xdr:grpSp>
        <xdr:nvGrpSpPr>
          <xdr:cNvPr id="2637" name="Group 2636">
            <a:extLst>
              <a:ext uri="{FF2B5EF4-FFF2-40B4-BE49-F238E27FC236}">
                <a16:creationId xmlns:a16="http://schemas.microsoft.com/office/drawing/2014/main" id="{8EFA8824-8AD9-8B52-4E34-CF02FBA70DB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39" name="Straight Connector 2638">
              <a:extLst>
                <a:ext uri="{FF2B5EF4-FFF2-40B4-BE49-F238E27FC236}">
                  <a16:creationId xmlns:a16="http://schemas.microsoft.com/office/drawing/2014/main" id="{785AC85F-88B1-8823-4613-FE57C0544C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0" name="Straight Connector 2639">
              <a:extLst>
                <a:ext uri="{FF2B5EF4-FFF2-40B4-BE49-F238E27FC236}">
                  <a16:creationId xmlns:a16="http://schemas.microsoft.com/office/drawing/2014/main" id="{E6C78AF4-D1BC-2D83-8FC0-1BABA8605AF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1" name="Straight Connector 2640">
              <a:extLst>
                <a:ext uri="{FF2B5EF4-FFF2-40B4-BE49-F238E27FC236}">
                  <a16:creationId xmlns:a16="http://schemas.microsoft.com/office/drawing/2014/main" id="{39675C81-1F89-B688-784E-9110253254E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2" name="Straight Connector 2641">
              <a:extLst>
                <a:ext uri="{FF2B5EF4-FFF2-40B4-BE49-F238E27FC236}">
                  <a16:creationId xmlns:a16="http://schemas.microsoft.com/office/drawing/2014/main" id="{4790A0FA-52B3-A65F-7357-817D3DB93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3" name="Straight Connector 2642">
              <a:extLst>
                <a:ext uri="{FF2B5EF4-FFF2-40B4-BE49-F238E27FC236}">
                  <a16:creationId xmlns:a16="http://schemas.microsoft.com/office/drawing/2014/main" id="{DA395315-1237-A8F9-0D38-F95EBA67230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44" name="Straight Connector 2643">
              <a:extLst>
                <a:ext uri="{FF2B5EF4-FFF2-40B4-BE49-F238E27FC236}">
                  <a16:creationId xmlns:a16="http://schemas.microsoft.com/office/drawing/2014/main" id="{32B8D277-8BD1-2173-742B-597349BF35C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E7D49049-AC74-3DDA-34E8-8B22291A6C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87</xdr:row>
      <xdr:rowOff>0</xdr:rowOff>
    </xdr:from>
    <xdr:to>
      <xdr:col>16</xdr:col>
      <xdr:colOff>238169</xdr:colOff>
      <xdr:row>88</xdr:row>
      <xdr:rowOff>173231</xdr:rowOff>
    </xdr:to>
    <xdr:grpSp>
      <xdr:nvGrpSpPr>
        <xdr:cNvPr id="2645" name="Group 2644">
          <a:extLst>
            <a:ext uri="{FF2B5EF4-FFF2-40B4-BE49-F238E27FC236}">
              <a16:creationId xmlns:a16="http://schemas.microsoft.com/office/drawing/2014/main" id="{19FE8109-9902-41AD-AB1F-758F19F28CC2}"/>
            </a:ext>
          </a:extLst>
        </xdr:cNvPr>
        <xdr:cNvGrpSpPr/>
      </xdr:nvGrpSpPr>
      <xdr:grpSpPr>
        <a:xfrm>
          <a:off x="7882759" y="15716250"/>
          <a:ext cx="238169" cy="337455"/>
          <a:chOff x="6143939" y="789134"/>
          <a:chExt cx="457200" cy="518966"/>
        </a:xfrm>
      </xdr:grpSpPr>
      <xdr:grpSp>
        <xdr:nvGrpSpPr>
          <xdr:cNvPr id="2646" name="Group 2645">
            <a:extLst>
              <a:ext uri="{FF2B5EF4-FFF2-40B4-BE49-F238E27FC236}">
                <a16:creationId xmlns:a16="http://schemas.microsoft.com/office/drawing/2014/main" id="{81D5C975-C969-311F-D5AA-F0BD799AB00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58" name="Straight Connector 2657">
              <a:extLst>
                <a:ext uri="{FF2B5EF4-FFF2-40B4-BE49-F238E27FC236}">
                  <a16:creationId xmlns:a16="http://schemas.microsoft.com/office/drawing/2014/main" id="{AE4B1394-9DD6-CF0D-D6D0-92B23F74EC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59" name="Straight Connector 2658">
              <a:extLst>
                <a:ext uri="{FF2B5EF4-FFF2-40B4-BE49-F238E27FC236}">
                  <a16:creationId xmlns:a16="http://schemas.microsoft.com/office/drawing/2014/main" id="{7033CFBE-BD4C-5BF5-6BEA-F04BA28CEF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4" name="Straight Connector 2703">
              <a:extLst>
                <a:ext uri="{FF2B5EF4-FFF2-40B4-BE49-F238E27FC236}">
                  <a16:creationId xmlns:a16="http://schemas.microsoft.com/office/drawing/2014/main" id="{9D467B8B-C233-32F7-AB60-100D5E022E2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5" name="Straight Connector 2704">
              <a:extLst>
                <a:ext uri="{FF2B5EF4-FFF2-40B4-BE49-F238E27FC236}">
                  <a16:creationId xmlns:a16="http://schemas.microsoft.com/office/drawing/2014/main" id="{5BEE2630-4E08-8812-6C56-2A380D44BBD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6" name="Straight Connector 2705">
              <a:extLst>
                <a:ext uri="{FF2B5EF4-FFF2-40B4-BE49-F238E27FC236}">
                  <a16:creationId xmlns:a16="http://schemas.microsoft.com/office/drawing/2014/main" id="{C821A278-1DB6-3EA1-928F-2D9AEA27CFE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07" name="Straight Connector 2706">
              <a:extLst>
                <a:ext uri="{FF2B5EF4-FFF2-40B4-BE49-F238E27FC236}">
                  <a16:creationId xmlns:a16="http://schemas.microsoft.com/office/drawing/2014/main" id="{DD6B352B-42EC-5E44-ADA0-1BA6CCCFFC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57" name="Straight Connector 2656">
            <a:extLst>
              <a:ext uri="{FF2B5EF4-FFF2-40B4-BE49-F238E27FC236}">
                <a16:creationId xmlns:a16="http://schemas.microsoft.com/office/drawing/2014/main" id="{7E5650CB-BE09-3E21-EF77-C9DE147E9CD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87</xdr:row>
      <xdr:rowOff>0</xdr:rowOff>
    </xdr:from>
    <xdr:to>
      <xdr:col>18</xdr:col>
      <xdr:colOff>238169</xdr:colOff>
      <xdr:row>88</xdr:row>
      <xdr:rowOff>173231</xdr:rowOff>
    </xdr:to>
    <xdr:grpSp>
      <xdr:nvGrpSpPr>
        <xdr:cNvPr id="2708" name="Group 2707">
          <a:extLst>
            <a:ext uri="{FF2B5EF4-FFF2-40B4-BE49-F238E27FC236}">
              <a16:creationId xmlns:a16="http://schemas.microsoft.com/office/drawing/2014/main" id="{BD4B946B-AB9F-4C51-A06D-B2A84A3DAABA}"/>
            </a:ext>
          </a:extLst>
        </xdr:cNvPr>
        <xdr:cNvGrpSpPr/>
      </xdr:nvGrpSpPr>
      <xdr:grpSpPr>
        <a:xfrm>
          <a:off x="8900948" y="15716250"/>
          <a:ext cx="238169" cy="337455"/>
          <a:chOff x="6143939" y="789134"/>
          <a:chExt cx="457200" cy="518966"/>
        </a:xfrm>
      </xdr:grpSpPr>
      <xdr:grpSp>
        <xdr:nvGrpSpPr>
          <xdr:cNvPr id="2709" name="Group 2708">
            <a:extLst>
              <a:ext uri="{FF2B5EF4-FFF2-40B4-BE49-F238E27FC236}">
                <a16:creationId xmlns:a16="http://schemas.microsoft.com/office/drawing/2014/main" id="{B29FD8D6-43AA-9273-FA0B-DDA57288521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29" name="Straight Connector 2728">
              <a:extLst>
                <a:ext uri="{FF2B5EF4-FFF2-40B4-BE49-F238E27FC236}">
                  <a16:creationId xmlns:a16="http://schemas.microsoft.com/office/drawing/2014/main" id="{D2CCC873-0E58-F49B-5A71-8BF6C9B1191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0" name="Straight Connector 2729">
              <a:extLst>
                <a:ext uri="{FF2B5EF4-FFF2-40B4-BE49-F238E27FC236}">
                  <a16:creationId xmlns:a16="http://schemas.microsoft.com/office/drawing/2014/main" id="{7BC1FD8A-FB9B-BF52-1B8E-59D5A05148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1" name="Straight Connector 2730">
              <a:extLst>
                <a:ext uri="{FF2B5EF4-FFF2-40B4-BE49-F238E27FC236}">
                  <a16:creationId xmlns:a16="http://schemas.microsoft.com/office/drawing/2014/main" id="{6FCB99DF-558E-BDF6-1F1D-32E62E56CE9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ADAB98B8-C9FC-7857-85EF-4202BD6A65F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522E2E7D-B272-4F08-0A08-8BA08CF7DB5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C99CD15A-736F-9655-C760-2AF9260509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10" name="Straight Connector 2709">
            <a:extLst>
              <a:ext uri="{FF2B5EF4-FFF2-40B4-BE49-F238E27FC236}">
                <a16:creationId xmlns:a16="http://schemas.microsoft.com/office/drawing/2014/main" id="{AA9D3FCE-6432-B13F-8D92-D0B04BEB2B9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87</xdr:row>
      <xdr:rowOff>0</xdr:rowOff>
    </xdr:from>
    <xdr:to>
      <xdr:col>20</xdr:col>
      <xdr:colOff>238169</xdr:colOff>
      <xdr:row>88</xdr:row>
      <xdr:rowOff>173231</xdr:rowOff>
    </xdr:to>
    <xdr:grpSp>
      <xdr:nvGrpSpPr>
        <xdr:cNvPr id="2735" name="Group 2734">
          <a:extLst>
            <a:ext uri="{FF2B5EF4-FFF2-40B4-BE49-F238E27FC236}">
              <a16:creationId xmlns:a16="http://schemas.microsoft.com/office/drawing/2014/main" id="{E3EFB97B-C381-486F-A97A-B06B3FA35A7F}"/>
            </a:ext>
          </a:extLst>
        </xdr:cNvPr>
        <xdr:cNvGrpSpPr/>
      </xdr:nvGrpSpPr>
      <xdr:grpSpPr>
        <a:xfrm>
          <a:off x="9902716" y="15716250"/>
          <a:ext cx="238169" cy="337455"/>
          <a:chOff x="6143939" y="789134"/>
          <a:chExt cx="457200" cy="518966"/>
        </a:xfrm>
      </xdr:grpSpPr>
      <xdr:grpSp>
        <xdr:nvGrpSpPr>
          <xdr:cNvPr id="2736" name="Group 2735">
            <a:extLst>
              <a:ext uri="{FF2B5EF4-FFF2-40B4-BE49-F238E27FC236}">
                <a16:creationId xmlns:a16="http://schemas.microsoft.com/office/drawing/2014/main" id="{8FE2306B-660D-EE47-B85B-F2BBF3E761A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63" name="Straight Connector 2962">
              <a:extLst>
                <a:ext uri="{FF2B5EF4-FFF2-40B4-BE49-F238E27FC236}">
                  <a16:creationId xmlns:a16="http://schemas.microsoft.com/office/drawing/2014/main" id="{65111306-C2D0-ABAF-2BEB-AA339A0670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5" name="Straight Connector 2964">
              <a:extLst>
                <a:ext uri="{FF2B5EF4-FFF2-40B4-BE49-F238E27FC236}">
                  <a16:creationId xmlns:a16="http://schemas.microsoft.com/office/drawing/2014/main" id="{67098454-E108-452A-1666-C08F93AD668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6" name="Straight Connector 2965">
              <a:extLst>
                <a:ext uri="{FF2B5EF4-FFF2-40B4-BE49-F238E27FC236}">
                  <a16:creationId xmlns:a16="http://schemas.microsoft.com/office/drawing/2014/main" id="{9C6000CB-1B5F-173A-DC26-3F9BFF2B766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7" name="Straight Connector 2966">
              <a:extLst>
                <a:ext uri="{FF2B5EF4-FFF2-40B4-BE49-F238E27FC236}">
                  <a16:creationId xmlns:a16="http://schemas.microsoft.com/office/drawing/2014/main" id="{1EE7C7C8-97E5-0551-6202-C6D75942F45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8" name="Straight Connector 2967">
              <a:extLst>
                <a:ext uri="{FF2B5EF4-FFF2-40B4-BE49-F238E27FC236}">
                  <a16:creationId xmlns:a16="http://schemas.microsoft.com/office/drawing/2014/main" id="{989CC96C-2ED3-3CCD-44A0-B880E69F6DB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9" name="Straight Connector 2968">
              <a:extLst>
                <a:ext uri="{FF2B5EF4-FFF2-40B4-BE49-F238E27FC236}">
                  <a16:creationId xmlns:a16="http://schemas.microsoft.com/office/drawing/2014/main" id="{F47B1237-B9C5-50A5-61AF-5EA34086EA1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7" name="Straight Connector 2736">
            <a:extLst>
              <a:ext uri="{FF2B5EF4-FFF2-40B4-BE49-F238E27FC236}">
                <a16:creationId xmlns:a16="http://schemas.microsoft.com/office/drawing/2014/main" id="{009ACBD0-FB63-A18A-41D2-AEAC25E79D5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87</xdr:row>
      <xdr:rowOff>0</xdr:rowOff>
    </xdr:from>
    <xdr:to>
      <xdr:col>22</xdr:col>
      <xdr:colOff>238169</xdr:colOff>
      <xdr:row>88</xdr:row>
      <xdr:rowOff>173231</xdr:rowOff>
    </xdr:to>
    <xdr:grpSp>
      <xdr:nvGrpSpPr>
        <xdr:cNvPr id="2970" name="Group 2969">
          <a:extLst>
            <a:ext uri="{FF2B5EF4-FFF2-40B4-BE49-F238E27FC236}">
              <a16:creationId xmlns:a16="http://schemas.microsoft.com/office/drawing/2014/main" id="{78703646-C607-46F0-AA7F-83B80832E672}"/>
            </a:ext>
          </a:extLst>
        </xdr:cNvPr>
        <xdr:cNvGrpSpPr/>
      </xdr:nvGrpSpPr>
      <xdr:grpSpPr>
        <a:xfrm>
          <a:off x="10904483" y="15716250"/>
          <a:ext cx="238169" cy="337455"/>
          <a:chOff x="6143939" y="789134"/>
          <a:chExt cx="457200" cy="518966"/>
        </a:xfrm>
      </xdr:grpSpPr>
      <xdr:grpSp>
        <xdr:nvGrpSpPr>
          <xdr:cNvPr id="2971" name="Group 2970">
            <a:extLst>
              <a:ext uri="{FF2B5EF4-FFF2-40B4-BE49-F238E27FC236}">
                <a16:creationId xmlns:a16="http://schemas.microsoft.com/office/drawing/2014/main" id="{C96043DB-FEBA-3C8A-CE01-B44D6285D7E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92" name="Straight Connector 2991">
              <a:extLst>
                <a:ext uri="{FF2B5EF4-FFF2-40B4-BE49-F238E27FC236}">
                  <a16:creationId xmlns:a16="http://schemas.microsoft.com/office/drawing/2014/main" id="{F86F6D3F-BFC5-37FC-02D9-27FA26409AB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3" name="Straight Connector 2992">
              <a:extLst>
                <a:ext uri="{FF2B5EF4-FFF2-40B4-BE49-F238E27FC236}">
                  <a16:creationId xmlns:a16="http://schemas.microsoft.com/office/drawing/2014/main" id="{F3ABA9B1-184E-5899-57CA-FB99FEAE9E8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4" name="Straight Connector 2993">
              <a:extLst>
                <a:ext uri="{FF2B5EF4-FFF2-40B4-BE49-F238E27FC236}">
                  <a16:creationId xmlns:a16="http://schemas.microsoft.com/office/drawing/2014/main" id="{BFD21A43-5684-6E82-A455-5131320E867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5" name="Straight Connector 2994">
              <a:extLst>
                <a:ext uri="{FF2B5EF4-FFF2-40B4-BE49-F238E27FC236}">
                  <a16:creationId xmlns:a16="http://schemas.microsoft.com/office/drawing/2014/main" id="{87E776CD-6D3E-4063-DA62-212EDA9E2F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6" name="Straight Connector 2995">
              <a:extLst>
                <a:ext uri="{FF2B5EF4-FFF2-40B4-BE49-F238E27FC236}">
                  <a16:creationId xmlns:a16="http://schemas.microsoft.com/office/drawing/2014/main" id="{742E6698-EE75-AD0B-0AD6-31DBF3F004F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97" name="Straight Connector 2996">
              <a:extLst>
                <a:ext uri="{FF2B5EF4-FFF2-40B4-BE49-F238E27FC236}">
                  <a16:creationId xmlns:a16="http://schemas.microsoft.com/office/drawing/2014/main" id="{C43DCB8B-3285-3D0D-45E6-8328F412A72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91" name="Straight Connector 2990">
            <a:extLst>
              <a:ext uri="{FF2B5EF4-FFF2-40B4-BE49-F238E27FC236}">
                <a16:creationId xmlns:a16="http://schemas.microsoft.com/office/drawing/2014/main" id="{7C36C8C1-D5EC-CB08-24E6-B90B7E33CC3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87</xdr:row>
      <xdr:rowOff>0</xdr:rowOff>
    </xdr:from>
    <xdr:to>
      <xdr:col>24</xdr:col>
      <xdr:colOff>238169</xdr:colOff>
      <xdr:row>88</xdr:row>
      <xdr:rowOff>173231</xdr:rowOff>
    </xdr:to>
    <xdr:grpSp>
      <xdr:nvGrpSpPr>
        <xdr:cNvPr id="2998" name="Group 2997">
          <a:extLst>
            <a:ext uri="{FF2B5EF4-FFF2-40B4-BE49-F238E27FC236}">
              <a16:creationId xmlns:a16="http://schemas.microsoft.com/office/drawing/2014/main" id="{57A24742-AB6E-4EE2-B55E-08271256A6D2}"/>
            </a:ext>
          </a:extLst>
        </xdr:cNvPr>
        <xdr:cNvGrpSpPr/>
      </xdr:nvGrpSpPr>
      <xdr:grpSpPr>
        <a:xfrm>
          <a:off x="11906250" y="15716250"/>
          <a:ext cx="238169" cy="337455"/>
          <a:chOff x="6143939" y="789134"/>
          <a:chExt cx="457200" cy="518966"/>
        </a:xfrm>
      </xdr:grpSpPr>
      <xdr:grpSp>
        <xdr:nvGrpSpPr>
          <xdr:cNvPr id="2999" name="Group 2998">
            <a:extLst>
              <a:ext uri="{FF2B5EF4-FFF2-40B4-BE49-F238E27FC236}">
                <a16:creationId xmlns:a16="http://schemas.microsoft.com/office/drawing/2014/main" id="{FEFF8192-4E7B-0248-89B8-9C48C9F645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001" name="Straight Connector 3000">
              <a:extLst>
                <a:ext uri="{FF2B5EF4-FFF2-40B4-BE49-F238E27FC236}">
                  <a16:creationId xmlns:a16="http://schemas.microsoft.com/office/drawing/2014/main" id="{4C3C0F48-A631-66BA-209B-E7766EEABBB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02" name="Straight Connector 3001">
              <a:extLst>
                <a:ext uri="{FF2B5EF4-FFF2-40B4-BE49-F238E27FC236}">
                  <a16:creationId xmlns:a16="http://schemas.microsoft.com/office/drawing/2014/main" id="{C5FF9FC7-6621-EE1A-F2D4-0183FCF1100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0" name="Straight Connector 3019">
              <a:extLst>
                <a:ext uri="{FF2B5EF4-FFF2-40B4-BE49-F238E27FC236}">
                  <a16:creationId xmlns:a16="http://schemas.microsoft.com/office/drawing/2014/main" id="{5AC2ED9B-4CC7-9D44-0C2B-B2941F77F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1" name="Straight Connector 3020">
              <a:extLst>
                <a:ext uri="{FF2B5EF4-FFF2-40B4-BE49-F238E27FC236}">
                  <a16:creationId xmlns:a16="http://schemas.microsoft.com/office/drawing/2014/main" id="{22EE1E86-27F9-1A5E-5117-73A75DC8722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2" name="Straight Connector 3021">
              <a:extLst>
                <a:ext uri="{FF2B5EF4-FFF2-40B4-BE49-F238E27FC236}">
                  <a16:creationId xmlns:a16="http://schemas.microsoft.com/office/drawing/2014/main" id="{6CA98456-B62F-7B35-E7C7-AF8DB6F502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023" name="Straight Connector 3022">
              <a:extLst>
                <a:ext uri="{FF2B5EF4-FFF2-40B4-BE49-F238E27FC236}">
                  <a16:creationId xmlns:a16="http://schemas.microsoft.com/office/drawing/2014/main" id="{D5495C97-E3FF-55B7-D9BC-2E3B13AD677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000" name="Straight Connector 2999">
            <a:extLst>
              <a:ext uri="{FF2B5EF4-FFF2-40B4-BE49-F238E27FC236}">
                <a16:creationId xmlns:a16="http://schemas.microsoft.com/office/drawing/2014/main" id="{5A922F35-FE11-6CE0-D6C1-F24E483E165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87</xdr:row>
      <xdr:rowOff>0</xdr:rowOff>
    </xdr:from>
    <xdr:to>
      <xdr:col>26</xdr:col>
      <xdr:colOff>238169</xdr:colOff>
      <xdr:row>88</xdr:row>
      <xdr:rowOff>173231</xdr:rowOff>
    </xdr:to>
    <xdr:grpSp>
      <xdr:nvGrpSpPr>
        <xdr:cNvPr id="3024" name="Group 3023">
          <a:extLst>
            <a:ext uri="{FF2B5EF4-FFF2-40B4-BE49-F238E27FC236}">
              <a16:creationId xmlns:a16="http://schemas.microsoft.com/office/drawing/2014/main" id="{BFBD76C7-C36A-4BE1-AEFB-08C94BC60C20}"/>
            </a:ext>
          </a:extLst>
        </xdr:cNvPr>
        <xdr:cNvGrpSpPr/>
      </xdr:nvGrpSpPr>
      <xdr:grpSpPr>
        <a:xfrm>
          <a:off x="12908017" y="15716250"/>
          <a:ext cx="238169" cy="337455"/>
          <a:chOff x="6143939" y="789134"/>
          <a:chExt cx="457200" cy="518966"/>
        </a:xfrm>
      </xdr:grpSpPr>
      <xdr:grpSp>
        <xdr:nvGrpSpPr>
          <xdr:cNvPr id="3146" name="Group 3145">
            <a:extLst>
              <a:ext uri="{FF2B5EF4-FFF2-40B4-BE49-F238E27FC236}">
                <a16:creationId xmlns:a16="http://schemas.microsoft.com/office/drawing/2014/main" id="{A8715C3B-62C8-D344-9D76-97BE59C5D30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153" name="Straight Connector 3152">
              <a:extLst>
                <a:ext uri="{FF2B5EF4-FFF2-40B4-BE49-F238E27FC236}">
                  <a16:creationId xmlns:a16="http://schemas.microsoft.com/office/drawing/2014/main" id="{AE9700CB-7594-9957-A75D-E6173177692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4" name="Straight Connector 3153">
              <a:extLst>
                <a:ext uri="{FF2B5EF4-FFF2-40B4-BE49-F238E27FC236}">
                  <a16:creationId xmlns:a16="http://schemas.microsoft.com/office/drawing/2014/main" id="{1D2B9096-139C-3CA3-089B-CFC6111FA6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5" name="Straight Connector 3154">
              <a:extLst>
                <a:ext uri="{FF2B5EF4-FFF2-40B4-BE49-F238E27FC236}">
                  <a16:creationId xmlns:a16="http://schemas.microsoft.com/office/drawing/2014/main" id="{52888542-D437-8A15-D97E-0A616BD3807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6" name="Straight Connector 3155">
              <a:extLst>
                <a:ext uri="{FF2B5EF4-FFF2-40B4-BE49-F238E27FC236}">
                  <a16:creationId xmlns:a16="http://schemas.microsoft.com/office/drawing/2014/main" id="{6B9C4517-6F7B-7A6F-F671-F5437AFDC12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7" name="Straight Connector 3156">
              <a:extLst>
                <a:ext uri="{FF2B5EF4-FFF2-40B4-BE49-F238E27FC236}">
                  <a16:creationId xmlns:a16="http://schemas.microsoft.com/office/drawing/2014/main" id="{027F2456-6F6D-F75F-7BDC-28590C9CE8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158" name="Straight Connector 3157">
              <a:extLst>
                <a:ext uri="{FF2B5EF4-FFF2-40B4-BE49-F238E27FC236}">
                  <a16:creationId xmlns:a16="http://schemas.microsoft.com/office/drawing/2014/main" id="{540A2EA1-72F7-EF0E-A000-DAF0E9E7190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52" name="Straight Connector 3151">
            <a:extLst>
              <a:ext uri="{FF2B5EF4-FFF2-40B4-BE49-F238E27FC236}">
                <a16:creationId xmlns:a16="http://schemas.microsoft.com/office/drawing/2014/main" id="{57B19387-EDD0-B32F-C870-C4C62CB8E3D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87</xdr:row>
      <xdr:rowOff>0</xdr:rowOff>
    </xdr:from>
    <xdr:to>
      <xdr:col>28</xdr:col>
      <xdr:colOff>238169</xdr:colOff>
      <xdr:row>88</xdr:row>
      <xdr:rowOff>173231</xdr:rowOff>
    </xdr:to>
    <xdr:grpSp>
      <xdr:nvGrpSpPr>
        <xdr:cNvPr id="3503" name="Group 3502">
          <a:extLst>
            <a:ext uri="{FF2B5EF4-FFF2-40B4-BE49-F238E27FC236}">
              <a16:creationId xmlns:a16="http://schemas.microsoft.com/office/drawing/2014/main" id="{1D22D655-BEAF-4CE9-B656-6080F934E3F1}"/>
            </a:ext>
          </a:extLst>
        </xdr:cNvPr>
        <xdr:cNvGrpSpPr/>
      </xdr:nvGrpSpPr>
      <xdr:grpSpPr>
        <a:xfrm>
          <a:off x="13909784" y="15716250"/>
          <a:ext cx="238169" cy="337455"/>
          <a:chOff x="6143939" y="789134"/>
          <a:chExt cx="457200" cy="518966"/>
        </a:xfrm>
      </xdr:grpSpPr>
      <xdr:grpSp>
        <xdr:nvGrpSpPr>
          <xdr:cNvPr id="3504" name="Group 3503">
            <a:extLst>
              <a:ext uri="{FF2B5EF4-FFF2-40B4-BE49-F238E27FC236}">
                <a16:creationId xmlns:a16="http://schemas.microsoft.com/office/drawing/2014/main" id="{2C0906A8-E439-A3F5-A8A5-29E5E6CEB3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06" name="Straight Connector 3505">
              <a:extLst>
                <a:ext uri="{FF2B5EF4-FFF2-40B4-BE49-F238E27FC236}">
                  <a16:creationId xmlns:a16="http://schemas.microsoft.com/office/drawing/2014/main" id="{2C2A745C-FE62-9250-EB8E-055B384C12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7" name="Straight Connector 3506">
              <a:extLst>
                <a:ext uri="{FF2B5EF4-FFF2-40B4-BE49-F238E27FC236}">
                  <a16:creationId xmlns:a16="http://schemas.microsoft.com/office/drawing/2014/main" id="{2BA06E63-60EF-A5D5-371B-0E23105F57B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8" name="Straight Connector 3507">
              <a:extLst>
                <a:ext uri="{FF2B5EF4-FFF2-40B4-BE49-F238E27FC236}">
                  <a16:creationId xmlns:a16="http://schemas.microsoft.com/office/drawing/2014/main" id="{9C042372-2D01-9788-3ED2-446ADC96DCF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9" name="Straight Connector 3508">
              <a:extLst>
                <a:ext uri="{FF2B5EF4-FFF2-40B4-BE49-F238E27FC236}">
                  <a16:creationId xmlns:a16="http://schemas.microsoft.com/office/drawing/2014/main" id="{71D00007-6821-207C-E5C2-B692FC58FAE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0" name="Straight Connector 3509">
              <a:extLst>
                <a:ext uri="{FF2B5EF4-FFF2-40B4-BE49-F238E27FC236}">
                  <a16:creationId xmlns:a16="http://schemas.microsoft.com/office/drawing/2014/main" id="{C5E81A14-BE5F-2441-5DE5-3E64EC04E3C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1" name="Straight Connector 3510">
              <a:extLst>
                <a:ext uri="{FF2B5EF4-FFF2-40B4-BE49-F238E27FC236}">
                  <a16:creationId xmlns:a16="http://schemas.microsoft.com/office/drawing/2014/main" id="{67CB9F5A-0711-1F56-53BC-DFBC29F7A5B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05" name="Straight Connector 3504">
            <a:extLst>
              <a:ext uri="{FF2B5EF4-FFF2-40B4-BE49-F238E27FC236}">
                <a16:creationId xmlns:a16="http://schemas.microsoft.com/office/drawing/2014/main" id="{FA4E7074-AC17-BCEF-805A-DA9B2D81EB7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87</xdr:row>
      <xdr:rowOff>0</xdr:rowOff>
    </xdr:from>
    <xdr:to>
      <xdr:col>30</xdr:col>
      <xdr:colOff>238169</xdr:colOff>
      <xdr:row>88</xdr:row>
      <xdr:rowOff>173231</xdr:rowOff>
    </xdr:to>
    <xdr:grpSp>
      <xdr:nvGrpSpPr>
        <xdr:cNvPr id="3512" name="Group 3511">
          <a:extLst>
            <a:ext uri="{FF2B5EF4-FFF2-40B4-BE49-F238E27FC236}">
              <a16:creationId xmlns:a16="http://schemas.microsoft.com/office/drawing/2014/main" id="{8CD554F2-6A16-4E60-AD95-EE5DF434F50D}"/>
            </a:ext>
          </a:extLst>
        </xdr:cNvPr>
        <xdr:cNvGrpSpPr/>
      </xdr:nvGrpSpPr>
      <xdr:grpSpPr>
        <a:xfrm>
          <a:off x="14911552" y="15716250"/>
          <a:ext cx="238169" cy="337455"/>
          <a:chOff x="6143939" y="789134"/>
          <a:chExt cx="457200" cy="518966"/>
        </a:xfrm>
      </xdr:grpSpPr>
      <xdr:grpSp>
        <xdr:nvGrpSpPr>
          <xdr:cNvPr id="3513" name="Group 3512">
            <a:extLst>
              <a:ext uri="{FF2B5EF4-FFF2-40B4-BE49-F238E27FC236}">
                <a16:creationId xmlns:a16="http://schemas.microsoft.com/office/drawing/2014/main" id="{40CABD58-62CC-8922-1B91-F2642EA9C5A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15" name="Straight Connector 3514">
              <a:extLst>
                <a:ext uri="{FF2B5EF4-FFF2-40B4-BE49-F238E27FC236}">
                  <a16:creationId xmlns:a16="http://schemas.microsoft.com/office/drawing/2014/main" id="{42F3ABF8-55A5-42D4-4A20-97FA0CCEED2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6" name="Straight Connector 3515">
              <a:extLst>
                <a:ext uri="{FF2B5EF4-FFF2-40B4-BE49-F238E27FC236}">
                  <a16:creationId xmlns:a16="http://schemas.microsoft.com/office/drawing/2014/main" id="{559ACB6F-93C0-8A2A-77E6-CF692F32705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7" name="Straight Connector 3516">
              <a:extLst>
                <a:ext uri="{FF2B5EF4-FFF2-40B4-BE49-F238E27FC236}">
                  <a16:creationId xmlns:a16="http://schemas.microsoft.com/office/drawing/2014/main" id="{E5FA946A-B43F-3580-9294-9C8D014F3AC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8" name="Straight Connector 3517">
              <a:extLst>
                <a:ext uri="{FF2B5EF4-FFF2-40B4-BE49-F238E27FC236}">
                  <a16:creationId xmlns:a16="http://schemas.microsoft.com/office/drawing/2014/main" id="{55ABF53D-B1ED-715E-CB7F-96343EB567A7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19" name="Straight Connector 3518">
              <a:extLst>
                <a:ext uri="{FF2B5EF4-FFF2-40B4-BE49-F238E27FC236}">
                  <a16:creationId xmlns:a16="http://schemas.microsoft.com/office/drawing/2014/main" id="{A4EC576F-3C43-1A99-1315-265E2BE4B93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4" name="Straight Connector 3583">
              <a:extLst>
                <a:ext uri="{FF2B5EF4-FFF2-40B4-BE49-F238E27FC236}">
                  <a16:creationId xmlns:a16="http://schemas.microsoft.com/office/drawing/2014/main" id="{A72E0017-3D9E-C295-0B85-C9478D035BD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14" name="Straight Connector 3513">
            <a:extLst>
              <a:ext uri="{FF2B5EF4-FFF2-40B4-BE49-F238E27FC236}">
                <a16:creationId xmlns:a16="http://schemas.microsoft.com/office/drawing/2014/main" id="{BC7C3C5B-A119-5151-1BEC-B6D4663D930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109</xdr:row>
      <xdr:rowOff>0</xdr:rowOff>
    </xdr:from>
    <xdr:to>
      <xdr:col>18</xdr:col>
      <xdr:colOff>238169</xdr:colOff>
      <xdr:row>111</xdr:row>
      <xdr:rowOff>50</xdr:rowOff>
    </xdr:to>
    <xdr:grpSp>
      <xdr:nvGrpSpPr>
        <xdr:cNvPr id="3585" name="Group 3584">
          <a:extLst>
            <a:ext uri="{FF2B5EF4-FFF2-40B4-BE49-F238E27FC236}">
              <a16:creationId xmlns:a16="http://schemas.microsoft.com/office/drawing/2014/main" id="{079CE9B7-FC51-4F92-A0F0-4B2187089487}"/>
            </a:ext>
          </a:extLst>
        </xdr:cNvPr>
        <xdr:cNvGrpSpPr/>
      </xdr:nvGrpSpPr>
      <xdr:grpSpPr>
        <a:xfrm>
          <a:off x="8900948" y="19378448"/>
          <a:ext cx="238169" cy="328499"/>
          <a:chOff x="6143939" y="789134"/>
          <a:chExt cx="457200" cy="518966"/>
        </a:xfrm>
      </xdr:grpSpPr>
      <xdr:grpSp>
        <xdr:nvGrpSpPr>
          <xdr:cNvPr id="3586" name="Group 3585">
            <a:extLst>
              <a:ext uri="{FF2B5EF4-FFF2-40B4-BE49-F238E27FC236}">
                <a16:creationId xmlns:a16="http://schemas.microsoft.com/office/drawing/2014/main" id="{7BC99F11-EEA8-BF22-14BB-DD5FB92C5A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88" name="Straight Connector 3587">
              <a:extLst>
                <a:ext uri="{FF2B5EF4-FFF2-40B4-BE49-F238E27FC236}">
                  <a16:creationId xmlns:a16="http://schemas.microsoft.com/office/drawing/2014/main" id="{6497A0D3-7F14-E7C5-2091-A1BEC3858A9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89" name="Straight Connector 3588">
              <a:extLst>
                <a:ext uri="{FF2B5EF4-FFF2-40B4-BE49-F238E27FC236}">
                  <a16:creationId xmlns:a16="http://schemas.microsoft.com/office/drawing/2014/main" id="{CBFD0677-73CA-A9FB-5941-1DB880731DC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0" name="Straight Connector 3589">
              <a:extLst>
                <a:ext uri="{FF2B5EF4-FFF2-40B4-BE49-F238E27FC236}">
                  <a16:creationId xmlns:a16="http://schemas.microsoft.com/office/drawing/2014/main" id="{635F70F5-FD59-A11D-0E2D-2C97E1670D5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1" name="Straight Connector 3590">
              <a:extLst>
                <a:ext uri="{FF2B5EF4-FFF2-40B4-BE49-F238E27FC236}">
                  <a16:creationId xmlns:a16="http://schemas.microsoft.com/office/drawing/2014/main" id="{B3967CF1-644C-9EB7-C7E8-29AE4137D57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2" name="Straight Connector 3591">
              <a:extLst>
                <a:ext uri="{FF2B5EF4-FFF2-40B4-BE49-F238E27FC236}">
                  <a16:creationId xmlns:a16="http://schemas.microsoft.com/office/drawing/2014/main" id="{2A973F47-1691-0BD2-D367-347DD210473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3" name="Straight Connector 3592">
              <a:extLst>
                <a:ext uri="{FF2B5EF4-FFF2-40B4-BE49-F238E27FC236}">
                  <a16:creationId xmlns:a16="http://schemas.microsoft.com/office/drawing/2014/main" id="{2784875B-F582-24F9-61E7-970763D83FE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87" name="Straight Connector 3586">
            <a:extLst>
              <a:ext uri="{FF2B5EF4-FFF2-40B4-BE49-F238E27FC236}">
                <a16:creationId xmlns:a16="http://schemas.microsoft.com/office/drawing/2014/main" id="{5F8259E1-D0B2-91AA-0A56-F6B14396BA4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131</xdr:row>
      <xdr:rowOff>0</xdr:rowOff>
    </xdr:from>
    <xdr:to>
      <xdr:col>30</xdr:col>
      <xdr:colOff>238169</xdr:colOff>
      <xdr:row>133</xdr:row>
      <xdr:rowOff>50</xdr:rowOff>
    </xdr:to>
    <xdr:grpSp>
      <xdr:nvGrpSpPr>
        <xdr:cNvPr id="3594" name="Group 3593">
          <a:extLst>
            <a:ext uri="{FF2B5EF4-FFF2-40B4-BE49-F238E27FC236}">
              <a16:creationId xmlns:a16="http://schemas.microsoft.com/office/drawing/2014/main" id="{9AA3E68F-0103-44DB-9C8A-EBBA2C95EC66}"/>
            </a:ext>
          </a:extLst>
        </xdr:cNvPr>
        <xdr:cNvGrpSpPr/>
      </xdr:nvGrpSpPr>
      <xdr:grpSpPr>
        <a:xfrm>
          <a:off x="14911552" y="22991379"/>
          <a:ext cx="238169" cy="328499"/>
          <a:chOff x="6143939" y="789134"/>
          <a:chExt cx="457200" cy="518966"/>
        </a:xfrm>
      </xdr:grpSpPr>
      <xdr:grpSp>
        <xdr:nvGrpSpPr>
          <xdr:cNvPr id="3595" name="Group 3594">
            <a:extLst>
              <a:ext uri="{FF2B5EF4-FFF2-40B4-BE49-F238E27FC236}">
                <a16:creationId xmlns:a16="http://schemas.microsoft.com/office/drawing/2014/main" id="{41DDF4B1-A12F-91C4-A794-AA27DA434B5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597" name="Straight Connector 3596">
              <a:extLst>
                <a:ext uri="{FF2B5EF4-FFF2-40B4-BE49-F238E27FC236}">
                  <a16:creationId xmlns:a16="http://schemas.microsoft.com/office/drawing/2014/main" id="{5745EA9D-71A7-1F62-135C-469A011E793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8" name="Straight Connector 3597">
              <a:extLst>
                <a:ext uri="{FF2B5EF4-FFF2-40B4-BE49-F238E27FC236}">
                  <a16:creationId xmlns:a16="http://schemas.microsoft.com/office/drawing/2014/main" id="{EC76932A-C385-1541-5724-88AC4C069CC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99" name="Straight Connector 3598">
              <a:extLst>
                <a:ext uri="{FF2B5EF4-FFF2-40B4-BE49-F238E27FC236}">
                  <a16:creationId xmlns:a16="http://schemas.microsoft.com/office/drawing/2014/main" id="{8749C27C-6EE8-6561-20A0-6F83FDA0493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0" name="Straight Connector 3599">
              <a:extLst>
                <a:ext uri="{FF2B5EF4-FFF2-40B4-BE49-F238E27FC236}">
                  <a16:creationId xmlns:a16="http://schemas.microsoft.com/office/drawing/2014/main" id="{C48259BA-7E1A-EA6B-A869-0DA6F8714EC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1" name="Straight Connector 3600">
              <a:extLst>
                <a:ext uri="{FF2B5EF4-FFF2-40B4-BE49-F238E27FC236}">
                  <a16:creationId xmlns:a16="http://schemas.microsoft.com/office/drawing/2014/main" id="{4F50B38D-4595-5E9D-E70E-6C837772D38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2" name="Straight Connector 3601">
              <a:extLst>
                <a:ext uri="{FF2B5EF4-FFF2-40B4-BE49-F238E27FC236}">
                  <a16:creationId xmlns:a16="http://schemas.microsoft.com/office/drawing/2014/main" id="{92596157-8503-01BE-AFA7-B1AF7C984D0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596" name="Straight Connector 3595">
            <a:extLst>
              <a:ext uri="{FF2B5EF4-FFF2-40B4-BE49-F238E27FC236}">
                <a16:creationId xmlns:a16="http://schemas.microsoft.com/office/drawing/2014/main" id="{5F963E8B-FF17-F3BF-9968-7886872470A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144</xdr:row>
      <xdr:rowOff>0</xdr:rowOff>
    </xdr:from>
    <xdr:to>
      <xdr:col>2</xdr:col>
      <xdr:colOff>238169</xdr:colOff>
      <xdr:row>146</xdr:row>
      <xdr:rowOff>49</xdr:rowOff>
    </xdr:to>
    <xdr:grpSp>
      <xdr:nvGrpSpPr>
        <xdr:cNvPr id="3603" name="Group 3602">
          <a:extLst>
            <a:ext uri="{FF2B5EF4-FFF2-40B4-BE49-F238E27FC236}">
              <a16:creationId xmlns:a16="http://schemas.microsoft.com/office/drawing/2014/main" id="{4737D03C-B7FB-42E8-9B19-231A4E7619C0}"/>
            </a:ext>
          </a:extLst>
        </xdr:cNvPr>
        <xdr:cNvGrpSpPr/>
      </xdr:nvGrpSpPr>
      <xdr:grpSpPr>
        <a:xfrm>
          <a:off x="870388" y="25126293"/>
          <a:ext cx="238169" cy="328497"/>
          <a:chOff x="6143939" y="789134"/>
          <a:chExt cx="457200" cy="518966"/>
        </a:xfrm>
      </xdr:grpSpPr>
      <xdr:grpSp>
        <xdr:nvGrpSpPr>
          <xdr:cNvPr id="3604" name="Group 3603">
            <a:extLst>
              <a:ext uri="{FF2B5EF4-FFF2-40B4-BE49-F238E27FC236}">
                <a16:creationId xmlns:a16="http://schemas.microsoft.com/office/drawing/2014/main" id="{E0164791-FDD9-916B-65F2-A0E33D9E047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06" name="Straight Connector 3605">
              <a:extLst>
                <a:ext uri="{FF2B5EF4-FFF2-40B4-BE49-F238E27FC236}">
                  <a16:creationId xmlns:a16="http://schemas.microsoft.com/office/drawing/2014/main" id="{06E4A974-47D0-9535-CD2F-B536CA11B63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7" name="Straight Connector 3606">
              <a:extLst>
                <a:ext uri="{FF2B5EF4-FFF2-40B4-BE49-F238E27FC236}">
                  <a16:creationId xmlns:a16="http://schemas.microsoft.com/office/drawing/2014/main" id="{1699CC01-C0A8-0B15-9DB9-D08F0778DF4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8" name="Straight Connector 3607">
              <a:extLst>
                <a:ext uri="{FF2B5EF4-FFF2-40B4-BE49-F238E27FC236}">
                  <a16:creationId xmlns:a16="http://schemas.microsoft.com/office/drawing/2014/main" id="{4A92792C-2E0F-6263-988D-0CA50CAB275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09" name="Straight Connector 3608">
              <a:extLst>
                <a:ext uri="{FF2B5EF4-FFF2-40B4-BE49-F238E27FC236}">
                  <a16:creationId xmlns:a16="http://schemas.microsoft.com/office/drawing/2014/main" id="{F19E0907-6A6B-15C9-FB0B-39DD0E1687F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0" name="Straight Connector 3609">
              <a:extLst>
                <a:ext uri="{FF2B5EF4-FFF2-40B4-BE49-F238E27FC236}">
                  <a16:creationId xmlns:a16="http://schemas.microsoft.com/office/drawing/2014/main" id="{4CBD2D91-D834-8405-9FA7-76393FDE0B8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1" name="Straight Connector 3610">
              <a:extLst>
                <a:ext uri="{FF2B5EF4-FFF2-40B4-BE49-F238E27FC236}">
                  <a16:creationId xmlns:a16="http://schemas.microsoft.com/office/drawing/2014/main" id="{71BB1C92-7DF5-7E4E-4918-FE24D89D10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05" name="Straight Connector 3604">
            <a:extLst>
              <a:ext uri="{FF2B5EF4-FFF2-40B4-BE49-F238E27FC236}">
                <a16:creationId xmlns:a16="http://schemas.microsoft.com/office/drawing/2014/main" id="{0D0FB49E-445E-66E9-3765-89CC5200708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144</xdr:row>
      <xdr:rowOff>0</xdr:rowOff>
    </xdr:from>
    <xdr:to>
      <xdr:col>4</xdr:col>
      <xdr:colOff>238169</xdr:colOff>
      <xdr:row>146</xdr:row>
      <xdr:rowOff>49</xdr:rowOff>
    </xdr:to>
    <xdr:grpSp>
      <xdr:nvGrpSpPr>
        <xdr:cNvPr id="3612" name="Group 3611">
          <a:extLst>
            <a:ext uri="{FF2B5EF4-FFF2-40B4-BE49-F238E27FC236}">
              <a16:creationId xmlns:a16="http://schemas.microsoft.com/office/drawing/2014/main" id="{D94C8ACD-C07E-4B4B-96CD-F9C431B71150}"/>
            </a:ext>
          </a:extLst>
        </xdr:cNvPr>
        <xdr:cNvGrpSpPr/>
      </xdr:nvGrpSpPr>
      <xdr:grpSpPr>
        <a:xfrm>
          <a:off x="1872155" y="25126293"/>
          <a:ext cx="238169" cy="328497"/>
          <a:chOff x="6143939" y="789134"/>
          <a:chExt cx="457200" cy="518966"/>
        </a:xfrm>
      </xdr:grpSpPr>
      <xdr:grpSp>
        <xdr:nvGrpSpPr>
          <xdr:cNvPr id="3613" name="Group 3612">
            <a:extLst>
              <a:ext uri="{FF2B5EF4-FFF2-40B4-BE49-F238E27FC236}">
                <a16:creationId xmlns:a16="http://schemas.microsoft.com/office/drawing/2014/main" id="{A459F0B2-7897-9958-2BFC-9E87BEFD3BE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15" name="Straight Connector 3614">
              <a:extLst>
                <a:ext uri="{FF2B5EF4-FFF2-40B4-BE49-F238E27FC236}">
                  <a16:creationId xmlns:a16="http://schemas.microsoft.com/office/drawing/2014/main" id="{AE0A9686-E2EA-F6B8-9FFF-693A9835576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6" name="Straight Connector 3615">
              <a:extLst>
                <a:ext uri="{FF2B5EF4-FFF2-40B4-BE49-F238E27FC236}">
                  <a16:creationId xmlns:a16="http://schemas.microsoft.com/office/drawing/2014/main" id="{148586FE-3DE6-9BF6-39EC-712F032FF86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7" name="Straight Connector 3616">
              <a:extLst>
                <a:ext uri="{FF2B5EF4-FFF2-40B4-BE49-F238E27FC236}">
                  <a16:creationId xmlns:a16="http://schemas.microsoft.com/office/drawing/2014/main" id="{4C5D8B13-31B7-8E70-4E3E-1FA33FF8274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8" name="Straight Connector 3617">
              <a:extLst>
                <a:ext uri="{FF2B5EF4-FFF2-40B4-BE49-F238E27FC236}">
                  <a16:creationId xmlns:a16="http://schemas.microsoft.com/office/drawing/2014/main" id="{1B31F6A3-1881-794E-330A-11844CDA22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19" name="Straight Connector 3618">
              <a:extLst>
                <a:ext uri="{FF2B5EF4-FFF2-40B4-BE49-F238E27FC236}">
                  <a16:creationId xmlns:a16="http://schemas.microsoft.com/office/drawing/2014/main" id="{005CCF91-64CF-89C6-BECE-EE586EA1876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0" name="Straight Connector 3619">
              <a:extLst>
                <a:ext uri="{FF2B5EF4-FFF2-40B4-BE49-F238E27FC236}">
                  <a16:creationId xmlns:a16="http://schemas.microsoft.com/office/drawing/2014/main" id="{C6D275EC-ADB6-9EC8-892C-23E6A449E40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14" name="Straight Connector 3613">
            <a:extLst>
              <a:ext uri="{FF2B5EF4-FFF2-40B4-BE49-F238E27FC236}">
                <a16:creationId xmlns:a16="http://schemas.microsoft.com/office/drawing/2014/main" id="{CE5254F5-987B-E0CD-2886-7DD6A698E8D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144</xdr:row>
      <xdr:rowOff>0</xdr:rowOff>
    </xdr:from>
    <xdr:to>
      <xdr:col>6</xdr:col>
      <xdr:colOff>238169</xdr:colOff>
      <xdr:row>146</xdr:row>
      <xdr:rowOff>49</xdr:rowOff>
    </xdr:to>
    <xdr:grpSp>
      <xdr:nvGrpSpPr>
        <xdr:cNvPr id="3621" name="Group 3620">
          <a:extLst>
            <a:ext uri="{FF2B5EF4-FFF2-40B4-BE49-F238E27FC236}">
              <a16:creationId xmlns:a16="http://schemas.microsoft.com/office/drawing/2014/main" id="{72F658E7-CC56-421F-98FB-0DDA9A541404}"/>
            </a:ext>
          </a:extLst>
        </xdr:cNvPr>
        <xdr:cNvGrpSpPr/>
      </xdr:nvGrpSpPr>
      <xdr:grpSpPr>
        <a:xfrm>
          <a:off x="2873922" y="25126293"/>
          <a:ext cx="238169" cy="328497"/>
          <a:chOff x="6143939" y="789134"/>
          <a:chExt cx="457200" cy="518966"/>
        </a:xfrm>
      </xdr:grpSpPr>
      <xdr:grpSp>
        <xdr:nvGrpSpPr>
          <xdr:cNvPr id="3622" name="Group 3621">
            <a:extLst>
              <a:ext uri="{FF2B5EF4-FFF2-40B4-BE49-F238E27FC236}">
                <a16:creationId xmlns:a16="http://schemas.microsoft.com/office/drawing/2014/main" id="{3558DDC0-7DD6-84F1-2529-192B643E478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24" name="Straight Connector 3623">
              <a:extLst>
                <a:ext uri="{FF2B5EF4-FFF2-40B4-BE49-F238E27FC236}">
                  <a16:creationId xmlns:a16="http://schemas.microsoft.com/office/drawing/2014/main" id="{B0F67A69-8BD7-3A09-D7CA-777DA767AD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5" name="Straight Connector 3624">
              <a:extLst>
                <a:ext uri="{FF2B5EF4-FFF2-40B4-BE49-F238E27FC236}">
                  <a16:creationId xmlns:a16="http://schemas.microsoft.com/office/drawing/2014/main" id="{799D26BB-D495-F30A-DF23-269460F17DC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6" name="Straight Connector 3625">
              <a:extLst>
                <a:ext uri="{FF2B5EF4-FFF2-40B4-BE49-F238E27FC236}">
                  <a16:creationId xmlns:a16="http://schemas.microsoft.com/office/drawing/2014/main" id="{91EC7434-1BA5-2FB3-850E-D0305F706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7" name="Straight Connector 3626">
              <a:extLst>
                <a:ext uri="{FF2B5EF4-FFF2-40B4-BE49-F238E27FC236}">
                  <a16:creationId xmlns:a16="http://schemas.microsoft.com/office/drawing/2014/main" id="{947931BF-E17B-8E0E-12BF-C931E155BF8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8" name="Straight Connector 3627">
              <a:extLst>
                <a:ext uri="{FF2B5EF4-FFF2-40B4-BE49-F238E27FC236}">
                  <a16:creationId xmlns:a16="http://schemas.microsoft.com/office/drawing/2014/main" id="{1BA0A8B4-ECE7-C0E7-1CA9-2EF5848B68F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29" name="Straight Connector 3628">
              <a:extLst>
                <a:ext uri="{FF2B5EF4-FFF2-40B4-BE49-F238E27FC236}">
                  <a16:creationId xmlns:a16="http://schemas.microsoft.com/office/drawing/2014/main" id="{37B70606-5E78-003C-B997-09165B7A27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23" name="Straight Connector 3622">
            <a:extLst>
              <a:ext uri="{FF2B5EF4-FFF2-40B4-BE49-F238E27FC236}">
                <a16:creationId xmlns:a16="http://schemas.microsoft.com/office/drawing/2014/main" id="{0AF385E4-3730-2242-A229-65BD3A4964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200</xdr:row>
      <xdr:rowOff>0</xdr:rowOff>
    </xdr:from>
    <xdr:to>
      <xdr:col>20</xdr:col>
      <xdr:colOff>238169</xdr:colOff>
      <xdr:row>202</xdr:row>
      <xdr:rowOff>49</xdr:rowOff>
    </xdr:to>
    <xdr:grpSp>
      <xdr:nvGrpSpPr>
        <xdr:cNvPr id="3630" name="Group 3629">
          <a:extLst>
            <a:ext uri="{FF2B5EF4-FFF2-40B4-BE49-F238E27FC236}">
              <a16:creationId xmlns:a16="http://schemas.microsoft.com/office/drawing/2014/main" id="{AB9480AC-A498-49B0-A538-CBF726900417}"/>
            </a:ext>
          </a:extLst>
        </xdr:cNvPr>
        <xdr:cNvGrpSpPr/>
      </xdr:nvGrpSpPr>
      <xdr:grpSpPr>
        <a:xfrm>
          <a:off x="9902716" y="34322845"/>
          <a:ext cx="238169" cy="328497"/>
          <a:chOff x="6143939" y="789134"/>
          <a:chExt cx="457200" cy="518966"/>
        </a:xfrm>
      </xdr:grpSpPr>
      <xdr:grpSp>
        <xdr:nvGrpSpPr>
          <xdr:cNvPr id="3631" name="Group 3630">
            <a:extLst>
              <a:ext uri="{FF2B5EF4-FFF2-40B4-BE49-F238E27FC236}">
                <a16:creationId xmlns:a16="http://schemas.microsoft.com/office/drawing/2014/main" id="{2D4DAAA0-BDD5-1E9F-3198-ACCC12F5B21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33" name="Straight Connector 3632">
              <a:extLst>
                <a:ext uri="{FF2B5EF4-FFF2-40B4-BE49-F238E27FC236}">
                  <a16:creationId xmlns:a16="http://schemas.microsoft.com/office/drawing/2014/main" id="{1EF0EC3F-CE43-3C44-8B89-94203B2F017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4" name="Straight Connector 3633">
              <a:extLst>
                <a:ext uri="{FF2B5EF4-FFF2-40B4-BE49-F238E27FC236}">
                  <a16:creationId xmlns:a16="http://schemas.microsoft.com/office/drawing/2014/main" id="{003C7F8B-44BD-A0FC-5CA6-70D16C019E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5" name="Straight Connector 3634">
              <a:extLst>
                <a:ext uri="{FF2B5EF4-FFF2-40B4-BE49-F238E27FC236}">
                  <a16:creationId xmlns:a16="http://schemas.microsoft.com/office/drawing/2014/main" id="{8F52992E-0F80-238D-78BA-216A5131BE4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6" name="Straight Connector 3635">
              <a:extLst>
                <a:ext uri="{FF2B5EF4-FFF2-40B4-BE49-F238E27FC236}">
                  <a16:creationId xmlns:a16="http://schemas.microsoft.com/office/drawing/2014/main" id="{2F355AD8-5D91-1F3A-25A7-B49F6722856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7" name="Straight Connector 3636">
              <a:extLst>
                <a:ext uri="{FF2B5EF4-FFF2-40B4-BE49-F238E27FC236}">
                  <a16:creationId xmlns:a16="http://schemas.microsoft.com/office/drawing/2014/main" id="{F1558D4A-94C0-BD9D-6531-4B7E9F00769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38" name="Straight Connector 3637">
              <a:extLst>
                <a:ext uri="{FF2B5EF4-FFF2-40B4-BE49-F238E27FC236}">
                  <a16:creationId xmlns:a16="http://schemas.microsoft.com/office/drawing/2014/main" id="{FCC8D92B-8DA5-A920-70A5-8CDE879BC4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24BEC3F6-175C-A1F3-EC0B-60D10F0E533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212</xdr:row>
      <xdr:rowOff>0</xdr:rowOff>
    </xdr:from>
    <xdr:to>
      <xdr:col>10</xdr:col>
      <xdr:colOff>238169</xdr:colOff>
      <xdr:row>214</xdr:row>
      <xdr:rowOff>50</xdr:rowOff>
    </xdr:to>
    <xdr:grpSp>
      <xdr:nvGrpSpPr>
        <xdr:cNvPr id="3639" name="Group 3638">
          <a:extLst>
            <a:ext uri="{FF2B5EF4-FFF2-40B4-BE49-F238E27FC236}">
              <a16:creationId xmlns:a16="http://schemas.microsoft.com/office/drawing/2014/main" id="{674BF926-16E6-4DF9-A0EC-108CF5E959B8}"/>
            </a:ext>
          </a:extLst>
        </xdr:cNvPr>
        <xdr:cNvGrpSpPr/>
      </xdr:nvGrpSpPr>
      <xdr:grpSpPr>
        <a:xfrm>
          <a:off x="4877457" y="36293534"/>
          <a:ext cx="238169" cy="328499"/>
          <a:chOff x="6143939" y="789134"/>
          <a:chExt cx="457200" cy="518966"/>
        </a:xfrm>
      </xdr:grpSpPr>
      <xdr:grpSp>
        <xdr:nvGrpSpPr>
          <xdr:cNvPr id="3640" name="Group 3639">
            <a:extLst>
              <a:ext uri="{FF2B5EF4-FFF2-40B4-BE49-F238E27FC236}">
                <a16:creationId xmlns:a16="http://schemas.microsoft.com/office/drawing/2014/main" id="{CDA52312-8E25-ADE4-8A77-55C697D77E8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42" name="Straight Connector 3641">
              <a:extLst>
                <a:ext uri="{FF2B5EF4-FFF2-40B4-BE49-F238E27FC236}">
                  <a16:creationId xmlns:a16="http://schemas.microsoft.com/office/drawing/2014/main" id="{221F7FCD-E631-3747-B442-5EF359E7A24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48" name="Straight Connector 3647">
              <a:extLst>
                <a:ext uri="{FF2B5EF4-FFF2-40B4-BE49-F238E27FC236}">
                  <a16:creationId xmlns:a16="http://schemas.microsoft.com/office/drawing/2014/main" id="{85EED373-B9E6-4F1A-935D-F05F3B16E03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1" name="Straight Connector 3660">
              <a:extLst>
                <a:ext uri="{FF2B5EF4-FFF2-40B4-BE49-F238E27FC236}">
                  <a16:creationId xmlns:a16="http://schemas.microsoft.com/office/drawing/2014/main" id="{9FC86A25-1C6C-BC08-C1C7-5FDA86EDE85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5" name="Straight Connector 3664">
              <a:extLst>
                <a:ext uri="{FF2B5EF4-FFF2-40B4-BE49-F238E27FC236}">
                  <a16:creationId xmlns:a16="http://schemas.microsoft.com/office/drawing/2014/main" id="{2CC4FC9E-8B69-0CA1-E313-09685C42E29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6" name="Straight Connector 3665">
              <a:extLst>
                <a:ext uri="{FF2B5EF4-FFF2-40B4-BE49-F238E27FC236}">
                  <a16:creationId xmlns:a16="http://schemas.microsoft.com/office/drawing/2014/main" id="{9BC139D4-B20A-4DE7-99EF-85118648751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67" name="Straight Connector 3666">
              <a:extLst>
                <a:ext uri="{FF2B5EF4-FFF2-40B4-BE49-F238E27FC236}">
                  <a16:creationId xmlns:a16="http://schemas.microsoft.com/office/drawing/2014/main" id="{249CDE4D-FC18-1A34-A9A5-FB56ACDCBD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41" name="Straight Connector 3640">
            <a:extLst>
              <a:ext uri="{FF2B5EF4-FFF2-40B4-BE49-F238E27FC236}">
                <a16:creationId xmlns:a16="http://schemas.microsoft.com/office/drawing/2014/main" id="{0732DD54-DF52-722E-1598-F2C23585656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212</xdr:row>
      <xdr:rowOff>0</xdr:rowOff>
    </xdr:from>
    <xdr:to>
      <xdr:col>12</xdr:col>
      <xdr:colOff>238169</xdr:colOff>
      <xdr:row>214</xdr:row>
      <xdr:rowOff>50</xdr:rowOff>
    </xdr:to>
    <xdr:grpSp>
      <xdr:nvGrpSpPr>
        <xdr:cNvPr id="3668" name="Group 3667">
          <a:extLst>
            <a:ext uri="{FF2B5EF4-FFF2-40B4-BE49-F238E27FC236}">
              <a16:creationId xmlns:a16="http://schemas.microsoft.com/office/drawing/2014/main" id="{A9AD0C6A-0A6D-40E9-A723-3CC1A35075DE}"/>
            </a:ext>
          </a:extLst>
        </xdr:cNvPr>
        <xdr:cNvGrpSpPr/>
      </xdr:nvGrpSpPr>
      <xdr:grpSpPr>
        <a:xfrm>
          <a:off x="5879224" y="36293534"/>
          <a:ext cx="238169" cy="328499"/>
          <a:chOff x="6143939" y="789134"/>
          <a:chExt cx="457200" cy="518966"/>
        </a:xfrm>
      </xdr:grpSpPr>
      <xdr:grpSp>
        <xdr:nvGrpSpPr>
          <xdr:cNvPr id="3695" name="Group 3694">
            <a:extLst>
              <a:ext uri="{FF2B5EF4-FFF2-40B4-BE49-F238E27FC236}">
                <a16:creationId xmlns:a16="http://schemas.microsoft.com/office/drawing/2014/main" id="{274B743F-58D2-2675-E58B-705281F68C0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697" name="Straight Connector 3696">
              <a:extLst>
                <a:ext uri="{FF2B5EF4-FFF2-40B4-BE49-F238E27FC236}">
                  <a16:creationId xmlns:a16="http://schemas.microsoft.com/office/drawing/2014/main" id="{7A0E2F32-9769-C885-101B-7CE16EAD313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8" name="Straight Connector 3697">
              <a:extLst>
                <a:ext uri="{FF2B5EF4-FFF2-40B4-BE49-F238E27FC236}">
                  <a16:creationId xmlns:a16="http://schemas.microsoft.com/office/drawing/2014/main" id="{C967E9F4-8F9F-4399-054A-162E1033BAF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99" name="Straight Connector 3698">
              <a:extLst>
                <a:ext uri="{FF2B5EF4-FFF2-40B4-BE49-F238E27FC236}">
                  <a16:creationId xmlns:a16="http://schemas.microsoft.com/office/drawing/2014/main" id="{20031716-EB1A-A932-2363-C8FA6503546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7" name="Straight Connector 3706">
              <a:extLst>
                <a:ext uri="{FF2B5EF4-FFF2-40B4-BE49-F238E27FC236}">
                  <a16:creationId xmlns:a16="http://schemas.microsoft.com/office/drawing/2014/main" id="{5507093E-9D8B-FEF5-B724-AFF2B2B470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09" name="Straight Connector 3708">
              <a:extLst>
                <a:ext uri="{FF2B5EF4-FFF2-40B4-BE49-F238E27FC236}">
                  <a16:creationId xmlns:a16="http://schemas.microsoft.com/office/drawing/2014/main" id="{07328133-458A-47CD-4483-8194357276D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10" name="Straight Connector 3709">
              <a:extLst>
                <a:ext uri="{FF2B5EF4-FFF2-40B4-BE49-F238E27FC236}">
                  <a16:creationId xmlns:a16="http://schemas.microsoft.com/office/drawing/2014/main" id="{D40261FE-AB9C-BE2F-FDC0-5039500842B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696" name="Straight Connector 3695">
            <a:extLst>
              <a:ext uri="{FF2B5EF4-FFF2-40B4-BE49-F238E27FC236}">
                <a16:creationId xmlns:a16="http://schemas.microsoft.com/office/drawing/2014/main" id="{5B47EEFD-F0E1-F732-337D-34AB3D87420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212</xdr:row>
      <xdr:rowOff>0</xdr:rowOff>
    </xdr:from>
    <xdr:to>
      <xdr:col>14</xdr:col>
      <xdr:colOff>238169</xdr:colOff>
      <xdr:row>214</xdr:row>
      <xdr:rowOff>50</xdr:rowOff>
    </xdr:to>
    <xdr:grpSp>
      <xdr:nvGrpSpPr>
        <xdr:cNvPr id="3711" name="Group 3710">
          <a:extLst>
            <a:ext uri="{FF2B5EF4-FFF2-40B4-BE49-F238E27FC236}">
              <a16:creationId xmlns:a16="http://schemas.microsoft.com/office/drawing/2014/main" id="{D4B27873-A598-4DC2-99F9-A360E4DC5BFF}"/>
            </a:ext>
          </a:extLst>
        </xdr:cNvPr>
        <xdr:cNvGrpSpPr/>
      </xdr:nvGrpSpPr>
      <xdr:grpSpPr>
        <a:xfrm>
          <a:off x="6880991" y="36293534"/>
          <a:ext cx="238169" cy="328499"/>
          <a:chOff x="6143939" y="789134"/>
          <a:chExt cx="457200" cy="518966"/>
        </a:xfrm>
      </xdr:grpSpPr>
      <xdr:grpSp>
        <xdr:nvGrpSpPr>
          <xdr:cNvPr id="3776" name="Group 3775">
            <a:extLst>
              <a:ext uri="{FF2B5EF4-FFF2-40B4-BE49-F238E27FC236}">
                <a16:creationId xmlns:a16="http://schemas.microsoft.com/office/drawing/2014/main" id="{074122F0-61FF-C56E-D0BA-C0179B465C7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778" name="Straight Connector 3777">
              <a:extLst>
                <a:ext uri="{FF2B5EF4-FFF2-40B4-BE49-F238E27FC236}">
                  <a16:creationId xmlns:a16="http://schemas.microsoft.com/office/drawing/2014/main" id="{7D783015-5CE6-41C6-281A-0245B3AA42D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79" name="Straight Connector 3778">
              <a:extLst>
                <a:ext uri="{FF2B5EF4-FFF2-40B4-BE49-F238E27FC236}">
                  <a16:creationId xmlns:a16="http://schemas.microsoft.com/office/drawing/2014/main" id="{C5AC9977-8611-7004-E078-AA6B21FC78C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0" name="Straight Connector 3779">
              <a:extLst>
                <a:ext uri="{FF2B5EF4-FFF2-40B4-BE49-F238E27FC236}">
                  <a16:creationId xmlns:a16="http://schemas.microsoft.com/office/drawing/2014/main" id="{187FFD08-5517-E7E6-ADC3-0315DE41A3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1" name="Straight Connector 3780">
              <a:extLst>
                <a:ext uri="{FF2B5EF4-FFF2-40B4-BE49-F238E27FC236}">
                  <a16:creationId xmlns:a16="http://schemas.microsoft.com/office/drawing/2014/main" id="{3CB234AA-C7CF-6447-C99C-76E80A4272A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2" name="Straight Connector 3781">
              <a:extLst>
                <a:ext uri="{FF2B5EF4-FFF2-40B4-BE49-F238E27FC236}">
                  <a16:creationId xmlns:a16="http://schemas.microsoft.com/office/drawing/2014/main" id="{4A579216-66CE-0C09-4931-3C0208BF5E6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83" name="Straight Connector 3782">
              <a:extLst>
                <a:ext uri="{FF2B5EF4-FFF2-40B4-BE49-F238E27FC236}">
                  <a16:creationId xmlns:a16="http://schemas.microsoft.com/office/drawing/2014/main" id="{9F54FBB1-F732-D75E-697D-B014F1F09F4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777" name="Straight Connector 3776">
            <a:extLst>
              <a:ext uri="{FF2B5EF4-FFF2-40B4-BE49-F238E27FC236}">
                <a16:creationId xmlns:a16="http://schemas.microsoft.com/office/drawing/2014/main" id="{0FC4C258-83C3-38F3-C2A4-0EEE03B45E8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173184</xdr:colOff>
      <xdr:row>87</xdr:row>
      <xdr:rowOff>0</xdr:rowOff>
    </xdr:from>
    <xdr:to>
      <xdr:col>10</xdr:col>
      <xdr:colOff>261470</xdr:colOff>
      <xdr:row>89</xdr:row>
      <xdr:rowOff>37353</xdr:rowOff>
    </xdr:to>
    <xdr:sp macro="" textlink="">
      <xdr:nvSpPr>
        <xdr:cNvPr id="3784" name="Rectangle 11590" descr="Light horizontal">
          <a:extLst>
            <a:ext uri="{FF2B5EF4-FFF2-40B4-BE49-F238E27FC236}">
              <a16:creationId xmlns:a16="http://schemas.microsoft.com/office/drawing/2014/main" id="{2D3A0237-3089-48D2-BEA0-B0944CC089F7}"/>
            </a:ext>
          </a:extLst>
        </xdr:cNvPr>
        <xdr:cNvSpPr>
          <a:spLocks noChangeArrowheads="1"/>
        </xdr:cNvSpPr>
      </xdr:nvSpPr>
      <xdr:spPr bwMode="auto">
        <a:xfrm>
          <a:off x="5038405" y="15669559"/>
          <a:ext cx="88286" cy="410882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12</xdr:col>
      <xdr:colOff>214777</xdr:colOff>
      <xdr:row>86</xdr:row>
      <xdr:rowOff>158750</xdr:rowOff>
    </xdr:from>
    <xdr:to>
      <xdr:col>12</xdr:col>
      <xdr:colOff>360297</xdr:colOff>
      <xdr:row>89</xdr:row>
      <xdr:rowOff>125257</xdr:rowOff>
    </xdr:to>
    <xdr:pic>
      <xdr:nvPicPr>
        <xdr:cNvPr id="3785" name="Picture 3784">
          <a:extLst>
            <a:ext uri="{FF2B5EF4-FFF2-40B4-BE49-F238E27FC236}">
              <a16:creationId xmlns:a16="http://schemas.microsoft.com/office/drawing/2014/main" id="{D8EB8F36-627F-4247-8FAB-5BCE728AA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79189" y="15660221"/>
          <a:ext cx="145520" cy="508124"/>
        </a:xfrm>
        <a:prstGeom prst="rect">
          <a:avLst/>
        </a:prstGeom>
      </xdr:spPr>
    </xdr:pic>
    <xdr:clientData/>
  </xdr:twoCellAnchor>
  <xdr:oneCellAnchor>
    <xdr:from>
      <xdr:col>22</xdr:col>
      <xdr:colOff>261470</xdr:colOff>
      <xdr:row>87</xdr:row>
      <xdr:rowOff>0</xdr:rowOff>
    </xdr:from>
    <xdr:ext cx="125542" cy="396875"/>
    <xdr:pic>
      <xdr:nvPicPr>
        <xdr:cNvPr id="3786" name="Picture 11595">
          <a:extLst>
            <a:ext uri="{FF2B5EF4-FFF2-40B4-BE49-F238E27FC236}">
              <a16:creationId xmlns:a16="http://schemas.microsoft.com/office/drawing/2014/main" id="{5ED2535B-5562-4E2B-8A5F-D85AAC529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1176" y="15669559"/>
          <a:ext cx="125542" cy="396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24</xdr:col>
      <xdr:colOff>182242</xdr:colOff>
      <xdr:row>86</xdr:row>
      <xdr:rowOff>149412</xdr:rowOff>
    </xdr:from>
    <xdr:to>
      <xdr:col>24</xdr:col>
      <xdr:colOff>307936</xdr:colOff>
      <xdr:row>89</xdr:row>
      <xdr:rowOff>46691</xdr:rowOff>
    </xdr:to>
    <xdr:pic>
      <xdr:nvPicPr>
        <xdr:cNvPr id="3787" name="Picture 3786">
          <a:extLst>
            <a:ext uri="{FF2B5EF4-FFF2-40B4-BE49-F238E27FC236}">
              <a16:creationId xmlns:a16="http://schemas.microsoft.com/office/drawing/2014/main" id="{50408610-CFD0-4DCE-AD1A-CB646973A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03855" y="16014170"/>
          <a:ext cx="125694" cy="450344"/>
        </a:xfrm>
        <a:prstGeom prst="rect">
          <a:avLst/>
        </a:prstGeom>
      </xdr:spPr>
    </xdr:pic>
    <xdr:clientData/>
  </xdr:twoCellAnchor>
  <xdr:twoCellAnchor>
    <xdr:from>
      <xdr:col>24</xdr:col>
      <xdr:colOff>252430</xdr:colOff>
      <xdr:row>86</xdr:row>
      <xdr:rowOff>113869</xdr:rowOff>
    </xdr:from>
    <xdr:to>
      <xdr:col>25</xdr:col>
      <xdr:colOff>29741</xdr:colOff>
      <xdr:row>89</xdr:row>
      <xdr:rowOff>25083</xdr:rowOff>
    </xdr:to>
    <xdr:sp macro="" textlink="">
      <xdr:nvSpPr>
        <xdr:cNvPr id="3788" name="Equals 2636">
          <a:extLst>
            <a:ext uri="{FF2B5EF4-FFF2-40B4-BE49-F238E27FC236}">
              <a16:creationId xmlns:a16="http://schemas.microsoft.com/office/drawing/2014/main" id="{0498A352-B3B9-4240-A102-BC87857AE3F7}"/>
            </a:ext>
          </a:extLst>
        </xdr:cNvPr>
        <xdr:cNvSpPr/>
      </xdr:nvSpPr>
      <xdr:spPr>
        <a:xfrm rot="5400000">
          <a:off x="12050760" y="16101910"/>
          <a:ext cx="464279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184356</xdr:colOff>
      <xdr:row>98</xdr:row>
      <xdr:rowOff>0</xdr:rowOff>
    </xdr:from>
    <xdr:to>
      <xdr:col>8</xdr:col>
      <xdr:colOff>334035</xdr:colOff>
      <xdr:row>100</xdr:row>
      <xdr:rowOff>46967</xdr:rowOff>
    </xdr:to>
    <xdr:sp macro="" textlink="">
      <xdr:nvSpPr>
        <xdr:cNvPr id="3789" name="AutoShape 10732">
          <a:extLst>
            <a:ext uri="{FF2B5EF4-FFF2-40B4-BE49-F238E27FC236}">
              <a16:creationId xmlns:a16="http://schemas.microsoft.com/office/drawing/2014/main" id="{63CC68E9-F456-4B98-862D-A03469D1E196}"/>
            </a:ext>
          </a:extLst>
        </xdr:cNvPr>
        <xdr:cNvSpPr>
          <a:spLocks noChangeArrowheads="1"/>
        </xdr:cNvSpPr>
      </xdr:nvSpPr>
      <xdr:spPr bwMode="auto">
        <a:xfrm rot="5400000">
          <a:off x="3943293" y="18107596"/>
          <a:ext cx="395193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46"/>
      <c r="B1" s="69" t="s">
        <v>0</v>
      </c>
      <c r="C1" s="70" t="s">
        <v>1</v>
      </c>
      <c r="D1" s="71" t="s">
        <v>2</v>
      </c>
      <c r="E1" s="72"/>
      <c r="F1" s="73">
        <f ca="1">TODAY()-1</f>
        <v>46201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47"/>
      <c r="B2" s="80" t="s">
        <v>5</v>
      </c>
      <c r="C2" s="649" t="s">
        <v>6</v>
      </c>
      <c r="D2" s="650"/>
      <c r="E2" s="651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47"/>
      <c r="B3" s="80" t="s">
        <v>10</v>
      </c>
      <c r="C3" s="649" t="s">
        <v>11</v>
      </c>
      <c r="D3" s="650"/>
      <c r="E3" s="651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48"/>
      <c r="B4" s="80" t="s">
        <v>15</v>
      </c>
      <c r="C4" s="652">
        <v>46153</v>
      </c>
      <c r="D4" s="652"/>
      <c r="E4" s="653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54" t="s">
        <v>20</v>
      </c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/>
    </row>
    <row r="6" spans="1:15" ht="28.5">
      <c r="A6" s="645" t="s">
        <v>21</v>
      </c>
      <c r="B6" s="645"/>
      <c r="C6" s="645"/>
      <c r="D6" s="645"/>
      <c r="E6" s="645"/>
      <c r="F6" s="645"/>
      <c r="G6" s="645"/>
      <c r="H6" s="645"/>
      <c r="I6" s="645"/>
      <c r="J6" s="645"/>
      <c r="K6" s="645"/>
      <c r="L6" s="645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58" t="s">
        <v>39</v>
      </c>
      <c r="B12" s="658"/>
      <c r="C12" s="658"/>
      <c r="D12" s="658"/>
      <c r="E12" s="658"/>
      <c r="F12" s="658"/>
      <c r="G12" s="658"/>
      <c r="H12" s="658"/>
      <c r="I12" s="658"/>
      <c r="J12" s="658"/>
      <c r="K12" s="658"/>
      <c r="L12" s="658"/>
      <c r="M12" s="658"/>
      <c r="N12" s="658"/>
      <c r="O12" s="658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59" t="s">
        <v>33</v>
      </c>
      <c r="O13" s="659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60" t="s">
        <v>53</v>
      </c>
      <c r="O14" s="660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55"/>
      <c r="O15" s="655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 t="str">
        <f>'AOTL - KEC'!G13</f>
        <v xml:space="preserve"> </v>
      </c>
      <c r="H16" s="100">
        <f>'AOTL - KEC'!H13</f>
        <v>7</v>
      </c>
      <c r="I16" s="99">
        <f t="shared" si="1"/>
        <v>0</v>
      </c>
      <c r="J16" s="101">
        <f t="shared" ref="J16:J19" si="3">D16+H16</f>
        <v>243</v>
      </c>
      <c r="K16" s="102">
        <f t="shared" si="2"/>
        <v>108</v>
      </c>
      <c r="L16" s="104"/>
      <c r="M16" s="104"/>
      <c r="N16" s="655"/>
      <c r="O16" s="655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 t="str">
        <f>'AOTL - KEC'!G14</f>
        <v xml:space="preserve"> </v>
      </c>
      <c r="H17" s="100">
        <f>'AOTL - KEC'!H14</f>
        <v>5</v>
      </c>
      <c r="I17" s="99">
        <f t="shared" si="1"/>
        <v>0</v>
      </c>
      <c r="J17" s="101">
        <f>D17+H17</f>
        <v>128</v>
      </c>
      <c r="K17" s="102">
        <f t="shared" si="2"/>
        <v>223</v>
      </c>
      <c r="L17" s="99" t="str">
        <f>'AOTL - KEC'!K14</f>
        <v xml:space="preserve"> </v>
      </c>
      <c r="M17" s="99">
        <f>'AOTL - KEC'!L14</f>
        <v>1</v>
      </c>
      <c r="N17" s="655"/>
      <c r="O17" s="655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55"/>
      <c r="O18" s="655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56"/>
      <c r="O19" s="656"/>
    </row>
    <row r="20" spans="1:15" ht="24" customHeight="1">
      <c r="N20" s="657"/>
      <c r="O20" s="657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47"/>
  <sheetViews>
    <sheetView tabSelected="1" zoomScale="50" zoomScaleNormal="50" zoomScaleSheetLayoutView="40" workbookViewId="0">
      <selection activeCell="G1" sqref="G1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65"/>
      <c r="B1" s="280" t="s">
        <v>0</v>
      </c>
      <c r="C1" s="668" t="s">
        <v>59</v>
      </c>
      <c r="D1" s="668"/>
      <c r="E1" s="668"/>
      <c r="F1" s="280" t="s">
        <v>2</v>
      </c>
      <c r="G1" s="284">
        <v>46202</v>
      </c>
      <c r="H1" s="280" t="s">
        <v>3</v>
      </c>
      <c r="I1" s="285" t="s">
        <v>4</v>
      </c>
      <c r="J1" s="77"/>
      <c r="K1" s="78"/>
      <c r="L1" s="79"/>
    </row>
    <row r="2" spans="1:15" ht="21">
      <c r="A2" s="665"/>
      <c r="B2" s="280" t="s">
        <v>5</v>
      </c>
      <c r="C2" s="666" t="s">
        <v>60</v>
      </c>
      <c r="D2" s="666"/>
      <c r="E2" s="666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65"/>
      <c r="B3" s="280" t="s">
        <v>10</v>
      </c>
      <c r="C3" s="666" t="s">
        <v>61</v>
      </c>
      <c r="D3" s="666"/>
      <c r="E3" s="666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65"/>
      <c r="B4" s="280" t="s">
        <v>15</v>
      </c>
      <c r="C4" s="667"/>
      <c r="D4" s="667"/>
      <c r="E4" s="667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54"/>
      <c r="B5" s="654"/>
      <c r="C5" s="654"/>
      <c r="D5" s="654"/>
      <c r="E5" s="654"/>
      <c r="F5" s="654"/>
      <c r="G5" s="654"/>
      <c r="H5" s="654"/>
      <c r="I5" s="654"/>
      <c r="J5" s="654"/>
      <c r="K5" s="654"/>
      <c r="L5" s="654"/>
      <c r="M5"/>
    </row>
    <row r="6" spans="1:15" ht="28.5">
      <c r="A6" s="664" t="s">
        <v>65</v>
      </c>
      <c r="B6" s="664"/>
      <c r="C6" s="664"/>
      <c r="D6" s="664"/>
      <c r="E6" s="664"/>
      <c r="F6" s="664"/>
      <c r="G6" s="664"/>
      <c r="H6" s="664"/>
      <c r="I6" s="664"/>
      <c r="J6" s="664"/>
      <c r="K6" s="664"/>
      <c r="L6" s="664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Anx'!E39</f>
        <v>114.38447999999998</v>
      </c>
      <c r="F9" s="90">
        <f>'Survey Anx'!F39</f>
        <v>107.97099999999999</v>
      </c>
      <c r="G9" s="90">
        <f>D9-E9</f>
        <v>0.13152000000002317</v>
      </c>
      <c r="H9" s="90">
        <f>D9-F9</f>
        <v>6.5450000000000159</v>
      </c>
      <c r="I9" s="90">
        <v>0</v>
      </c>
      <c r="J9" s="283">
        <v>0</v>
      </c>
      <c r="K9" s="282">
        <f>'Survey Anx'!F39</f>
        <v>107.97099999999999</v>
      </c>
      <c r="L9" s="283"/>
      <c r="M9"/>
      <c r="O9" s="213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Anx'!G39</f>
        <v>103.45700000000001</v>
      </c>
      <c r="F10" s="90">
        <v>90.948999999999998</v>
      </c>
      <c r="G10" s="90">
        <f>'Survey Anx'!H44</f>
        <v>10.927479999999974</v>
      </c>
      <c r="H10" s="90">
        <f>'Survey Anx'!I44</f>
        <v>8.9379999999999882</v>
      </c>
      <c r="I10" s="90">
        <v>0</v>
      </c>
      <c r="J10" s="282">
        <v>0</v>
      </c>
      <c r="K10" s="282">
        <f>'Survey Anx'!I39</f>
        <v>94.51900000000002</v>
      </c>
      <c r="L10" s="283"/>
      <c r="O10" s="157"/>
    </row>
    <row r="12" spans="1:15" ht="31.5">
      <c r="A12" s="661" t="s">
        <v>39</v>
      </c>
      <c r="B12" s="661"/>
      <c r="C12" s="661"/>
      <c r="D12" s="661"/>
      <c r="E12" s="661"/>
      <c r="F12" s="661"/>
      <c r="G12" s="661"/>
      <c r="H12" s="661"/>
      <c r="I12" s="661"/>
      <c r="J12" s="661"/>
      <c r="K12" s="661"/>
      <c r="L12" s="661"/>
      <c r="M12" s="661"/>
      <c r="N12" s="661"/>
      <c r="O12" s="661"/>
    </row>
    <row r="13" spans="1:15" ht="93">
      <c r="A13" s="279" t="s">
        <v>22</v>
      </c>
      <c r="B13" s="279" t="s">
        <v>40</v>
      </c>
      <c r="C13" s="279" t="s">
        <v>1079</v>
      </c>
      <c r="D13" s="279" t="s">
        <v>1080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62" t="s">
        <v>33</v>
      </c>
      <c r="O13" s="662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63"/>
      <c r="O14" s="663"/>
    </row>
    <row r="15" spans="1:15" ht="75.75" customHeight="1">
      <c r="A15" s="98" t="s">
        <v>54</v>
      </c>
      <c r="B15" s="99">
        <v>299</v>
      </c>
      <c r="C15" s="99">
        <v>16</v>
      </c>
      <c r="D15" s="99">
        <v>85</v>
      </c>
      <c r="E15" s="99">
        <v>0</v>
      </c>
      <c r="F15" s="99">
        <v>47</v>
      </c>
      <c r="G15" s="100" t="s">
        <v>67</v>
      </c>
      <c r="H15" s="100">
        <v>10</v>
      </c>
      <c r="I15" s="99">
        <v>293</v>
      </c>
      <c r="J15" s="101">
        <v>95</v>
      </c>
      <c r="K15" s="102">
        <f>B15-J15</f>
        <v>204</v>
      </c>
      <c r="L15" s="99">
        <v>1</v>
      </c>
      <c r="M15" s="99">
        <v>4</v>
      </c>
      <c r="N15" s="663" t="s">
        <v>1135</v>
      </c>
      <c r="O15" s="663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78</v>
      </c>
      <c r="E16" s="99">
        <v>8</v>
      </c>
      <c r="F16" s="99">
        <v>47</v>
      </c>
      <c r="G16" s="100"/>
      <c r="H16" s="100">
        <v>11</v>
      </c>
      <c r="I16" s="99">
        <v>293</v>
      </c>
      <c r="J16" s="101">
        <v>89</v>
      </c>
      <c r="K16" s="102">
        <f t="shared" si="0"/>
        <v>210</v>
      </c>
      <c r="L16" s="104"/>
      <c r="M16" s="104"/>
      <c r="N16" s="663"/>
      <c r="O16" s="663"/>
    </row>
    <row r="17" spans="1:15" ht="40.35" customHeight="1">
      <c r="A17" s="98" t="s">
        <v>56</v>
      </c>
      <c r="B17" s="99">
        <v>299</v>
      </c>
      <c r="C17" s="99">
        <v>30</v>
      </c>
      <c r="D17" s="99">
        <v>40</v>
      </c>
      <c r="E17" s="99">
        <v>8</v>
      </c>
      <c r="F17" s="99">
        <v>30</v>
      </c>
      <c r="G17" s="100" t="s">
        <v>67</v>
      </c>
      <c r="H17" s="100">
        <v>5</v>
      </c>
      <c r="I17" s="99">
        <v>270</v>
      </c>
      <c r="J17" s="101">
        <v>45</v>
      </c>
      <c r="K17" s="102">
        <f>B17-J17</f>
        <v>254</v>
      </c>
      <c r="L17" s="99" t="s">
        <v>67</v>
      </c>
      <c r="M17" s="99">
        <v>1</v>
      </c>
      <c r="N17" s="663" t="s">
        <v>67</v>
      </c>
      <c r="O17" s="663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30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 t="s">
        <v>337</v>
      </c>
      <c r="N18" s="655"/>
      <c r="O18" s="655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11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56"/>
      <c r="O19" s="656"/>
    </row>
    <row r="20" spans="1:15" ht="40.35" customHeight="1">
      <c r="N20" s="657"/>
      <c r="O20" s="657"/>
    </row>
    <row r="47" spans="9:9">
      <c r="I47">
        <f>'Survey Anx'!H44</f>
        <v>10.927479999999974</v>
      </c>
    </row>
  </sheetData>
  <mergeCells count="16">
    <mergeCell ref="A6:L6"/>
    <mergeCell ref="A1:A4"/>
    <mergeCell ref="C2:E2"/>
    <mergeCell ref="C3:E3"/>
    <mergeCell ref="C4:E4"/>
    <mergeCell ref="A5:L5"/>
    <mergeCell ref="C1:E1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workbookViewId="0">
      <selection activeCell="A3" sqref="A3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8" activePane="bottomRight" state="frozen"/>
      <selection pane="topRight" activeCell="C1" sqref="C1"/>
      <selection pane="bottomLeft" activeCell="A7" sqref="A7"/>
      <selection pane="bottomRight" activeCell="C2" sqref="C2:M2"/>
    </sheetView>
  </sheetViews>
  <sheetFormatPr defaultColWidth="9.42578125" defaultRowHeight="15.75"/>
  <cols>
    <col min="1" max="1" width="7.42578125" style="238" customWidth="1"/>
    <col min="2" max="2" width="23.42578125" style="214" bestFit="1" customWidth="1"/>
    <col min="3" max="3" width="15.42578125" style="214" bestFit="1" customWidth="1"/>
    <col min="4" max="4" width="21.42578125" style="214" customWidth="1"/>
    <col min="5" max="5" width="19.42578125" style="238" bestFit="1" customWidth="1"/>
    <col min="6" max="6" width="17" style="238" bestFit="1" customWidth="1"/>
    <col min="7" max="7" width="8.85546875" style="214" bestFit="1" customWidth="1"/>
    <col min="8" max="8" width="11.42578125" style="214" bestFit="1" customWidth="1"/>
    <col min="9" max="9" width="14.5703125" style="214" customWidth="1"/>
    <col min="10" max="10" width="10.42578125" style="214" customWidth="1"/>
    <col min="11" max="11" width="4.5703125" style="214" bestFit="1" customWidth="1"/>
    <col min="12" max="12" width="6.5703125" style="238" bestFit="1" customWidth="1"/>
    <col min="13" max="13" width="16.7109375" style="214" customWidth="1"/>
    <col min="14" max="14" width="25.5703125" style="214" hidden="1" customWidth="1"/>
    <col min="15" max="15" width="11.5703125" style="214" bestFit="1" customWidth="1"/>
    <col min="16" max="16384" width="9.42578125" style="214"/>
  </cols>
  <sheetData>
    <row r="1" spans="1:15" ht="21" customHeight="1">
      <c r="A1" s="669" t="s">
        <v>86</v>
      </c>
      <c r="B1" s="669"/>
      <c r="C1" s="669"/>
      <c r="D1" s="669"/>
      <c r="E1" s="669"/>
      <c r="F1" s="669"/>
      <c r="G1" s="669"/>
      <c r="H1" s="669"/>
      <c r="I1" s="669"/>
      <c r="J1" s="669"/>
      <c r="K1" s="669"/>
      <c r="L1" s="669"/>
      <c r="M1" s="252">
        <v>46202</v>
      </c>
    </row>
    <row r="2" spans="1:15" s="215" customFormat="1">
      <c r="A2" s="241" t="s">
        <v>87</v>
      </c>
      <c r="B2" s="242"/>
      <c r="C2" s="670" t="s">
        <v>72</v>
      </c>
      <c r="D2" s="670"/>
      <c r="E2" s="670"/>
      <c r="F2" s="670"/>
      <c r="G2" s="670"/>
      <c r="H2" s="670"/>
      <c r="I2" s="670"/>
      <c r="J2" s="670"/>
      <c r="K2" s="670"/>
      <c r="L2" s="670"/>
      <c r="M2" s="670"/>
    </row>
    <row r="3" spans="1:15" s="215" customFormat="1">
      <c r="A3" s="241" t="s">
        <v>88</v>
      </c>
      <c r="B3" s="242"/>
      <c r="C3" s="670" t="s">
        <v>89</v>
      </c>
      <c r="D3" s="670"/>
      <c r="E3" s="670"/>
      <c r="F3" s="670"/>
      <c r="G3" s="670"/>
      <c r="H3" s="670"/>
      <c r="I3" s="670"/>
      <c r="J3" s="670"/>
      <c r="K3" s="670"/>
      <c r="L3" s="670"/>
      <c r="M3" s="670"/>
    </row>
    <row r="4" spans="1:15" s="215" customFormat="1">
      <c r="A4" s="243" t="s">
        <v>90</v>
      </c>
      <c r="B4" s="243"/>
      <c r="C4" s="671" t="s">
        <v>91</v>
      </c>
      <c r="D4" s="671"/>
      <c r="E4" s="671"/>
      <c r="F4" s="671"/>
      <c r="G4" s="671"/>
      <c r="H4" s="671"/>
      <c r="I4" s="671"/>
      <c r="J4" s="671"/>
      <c r="K4" s="671"/>
      <c r="L4" s="671"/>
      <c r="M4" s="671"/>
      <c r="O4" s="217"/>
    </row>
    <row r="5" spans="1:15" s="215" customFormat="1" ht="63">
      <c r="A5" s="244" t="s">
        <v>92</v>
      </c>
      <c r="B5" s="244" t="s">
        <v>22</v>
      </c>
      <c r="C5" s="244" t="s">
        <v>93</v>
      </c>
      <c r="D5" s="244" t="s">
        <v>1081</v>
      </c>
      <c r="E5" s="244" t="s">
        <v>1082</v>
      </c>
      <c r="F5" s="244" t="s">
        <v>1083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35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35" customHeight="1">
      <c r="A7" s="245">
        <v>2</v>
      </c>
      <c r="B7" s="218" t="s">
        <v>101</v>
      </c>
      <c r="C7" s="219">
        <v>114.51600000000001</v>
      </c>
      <c r="D7" s="219">
        <f>'Survey Anx'!F39</f>
        <v>107.97099999999999</v>
      </c>
      <c r="E7" s="220">
        <v>0</v>
      </c>
      <c r="F7" s="219">
        <f t="shared" ref="F7:F9" si="2">C7-D7</f>
        <v>6.5450000000000159</v>
      </c>
      <c r="G7" s="220"/>
      <c r="H7" s="220"/>
      <c r="I7" s="221">
        <f t="shared" si="0"/>
        <v>107.97099999999999</v>
      </c>
      <c r="J7" s="221">
        <f>C7-I7</f>
        <v>6.5450000000000159</v>
      </c>
      <c r="K7" s="220"/>
      <c r="L7" s="220"/>
      <c r="M7" s="247"/>
      <c r="N7" s="222"/>
      <c r="O7" s="217"/>
    </row>
    <row r="8" spans="1:15" s="228" customFormat="1" ht="25.35" customHeight="1">
      <c r="A8" s="248">
        <v>3</v>
      </c>
      <c r="B8" s="223" t="s">
        <v>102</v>
      </c>
      <c r="C8" s="224">
        <v>114.51600000000001</v>
      </c>
      <c r="D8" s="224">
        <f>'Survey Anx'!C39-'Survey Anx'!C38</f>
        <v>107.65647999999999</v>
      </c>
      <c r="E8" s="239">
        <v>0</v>
      </c>
      <c r="F8" s="219">
        <f t="shared" si="2"/>
        <v>6.8595200000000176</v>
      </c>
      <c r="G8" s="224"/>
      <c r="H8" s="225"/>
      <c r="I8" s="226">
        <f t="shared" si="0"/>
        <v>107.65647999999999</v>
      </c>
      <c r="J8" s="226">
        <f t="shared" si="1"/>
        <v>6.8595200000000176</v>
      </c>
      <c r="K8" s="225"/>
      <c r="L8" s="225"/>
      <c r="M8" s="246"/>
      <c r="N8" s="227"/>
      <c r="O8" s="227"/>
    </row>
    <row r="9" spans="1:15" s="215" customFormat="1" ht="25.35" customHeight="1">
      <c r="A9" s="245">
        <v>4</v>
      </c>
      <c r="B9" s="218" t="s">
        <v>103</v>
      </c>
      <c r="C9" s="219">
        <v>114.51600000000001</v>
      </c>
      <c r="D9" s="219">
        <f>'Survey Anx'!I39</f>
        <v>94.51900000000002</v>
      </c>
      <c r="E9" s="220">
        <v>0</v>
      </c>
      <c r="F9" s="219">
        <f t="shared" si="2"/>
        <v>19.996999999999986</v>
      </c>
      <c r="G9" s="220"/>
      <c r="H9" s="220"/>
      <c r="I9" s="221">
        <f t="shared" si="0"/>
        <v>94.51900000000002</v>
      </c>
      <c r="J9" s="221">
        <f t="shared" si="1"/>
        <v>19.996999999999986</v>
      </c>
      <c r="K9" s="220"/>
      <c r="L9" s="220"/>
      <c r="M9" s="249"/>
      <c r="O9" s="217"/>
    </row>
    <row r="10" spans="1:15" s="215" customFormat="1" ht="25.35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35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92</v>
      </c>
      <c r="J11" s="230">
        <f t="shared" si="1"/>
        <v>201</v>
      </c>
      <c r="K11" s="220"/>
      <c r="L11" s="220"/>
      <c r="M11" s="250"/>
      <c r="N11" s="217"/>
    </row>
    <row r="12" spans="1:15" s="215" customFormat="1" ht="53.25" customHeight="1">
      <c r="A12" s="245">
        <v>7</v>
      </c>
      <c r="B12" s="218" t="s">
        <v>106</v>
      </c>
      <c r="C12" s="220">
        <v>293</v>
      </c>
      <c r="D12" s="220">
        <v>85</v>
      </c>
      <c r="E12" s="220">
        <v>16</v>
      </c>
      <c r="F12" s="220">
        <v>42</v>
      </c>
      <c r="G12" s="220" t="s">
        <v>67</v>
      </c>
      <c r="H12" s="220">
        <v>10</v>
      </c>
      <c r="I12" s="230">
        <v>95</v>
      </c>
      <c r="J12" s="230">
        <f t="shared" si="1"/>
        <v>198</v>
      </c>
      <c r="K12" s="220">
        <v>1</v>
      </c>
      <c r="L12" s="220">
        <v>4</v>
      </c>
      <c r="M12" s="672" t="s">
        <v>1135</v>
      </c>
      <c r="N12" s="672"/>
    </row>
    <row r="13" spans="1:15" s="228" customFormat="1" ht="25.35" customHeight="1">
      <c r="A13" s="248">
        <v>8</v>
      </c>
      <c r="B13" s="223" t="s">
        <v>107</v>
      </c>
      <c r="C13" s="225">
        <v>293</v>
      </c>
      <c r="D13" s="225">
        <v>78</v>
      </c>
      <c r="E13" s="225">
        <v>16</v>
      </c>
      <c r="F13" s="225">
        <v>30</v>
      </c>
      <c r="G13" s="225" t="s">
        <v>67</v>
      </c>
      <c r="H13" s="220">
        <v>7</v>
      </c>
      <c r="I13" s="231">
        <v>85</v>
      </c>
      <c r="J13" s="231">
        <f t="shared" si="1"/>
        <v>208</v>
      </c>
      <c r="K13" s="225"/>
      <c r="L13" s="225"/>
      <c r="M13" s="253"/>
    </row>
    <row r="14" spans="1:15" s="215" customFormat="1" ht="25.35" customHeight="1">
      <c r="A14" s="245">
        <v>9</v>
      </c>
      <c r="B14" s="218" t="s">
        <v>108</v>
      </c>
      <c r="C14" s="220">
        <v>293</v>
      </c>
      <c r="D14" s="220">
        <v>40</v>
      </c>
      <c r="E14" s="220">
        <v>30</v>
      </c>
      <c r="F14" s="220">
        <v>18</v>
      </c>
      <c r="G14" s="220" t="s">
        <v>67</v>
      </c>
      <c r="H14" s="220">
        <v>5</v>
      </c>
      <c r="I14" s="230">
        <v>45</v>
      </c>
      <c r="J14" s="230">
        <f t="shared" si="1"/>
        <v>248</v>
      </c>
      <c r="K14" s="220" t="s">
        <v>67</v>
      </c>
      <c r="L14" s="220">
        <v>1</v>
      </c>
      <c r="M14" s="253"/>
    </row>
    <row r="15" spans="1:15" s="215" customFormat="1" ht="25.35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30</v>
      </c>
      <c r="F15" s="220">
        <v>18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35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11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35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11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35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11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35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20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5">
    <mergeCell ref="A1:L1"/>
    <mergeCell ref="C2:M2"/>
    <mergeCell ref="C3:M3"/>
    <mergeCell ref="C4:M4"/>
    <mergeCell ref="M12:N12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2" sqref="B22:G22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85" t="s">
        <v>86</v>
      </c>
      <c r="C2" s="686"/>
      <c r="D2" s="686"/>
      <c r="E2" s="686"/>
      <c r="F2" s="686"/>
      <c r="G2" s="687"/>
    </row>
    <row r="3" spans="2:11" ht="16.5" thickBot="1">
      <c r="B3" s="688" t="s">
        <v>116</v>
      </c>
      <c r="C3" s="689"/>
      <c r="D3" s="689"/>
      <c r="E3" s="689"/>
      <c r="F3" s="689"/>
      <c r="G3" s="254">
        <f>+'AOTL - KEC'!M1</f>
        <v>46202</v>
      </c>
    </row>
    <row r="4" spans="2:11" ht="16.5" thickBot="1">
      <c r="B4" s="690" t="s">
        <v>117</v>
      </c>
      <c r="C4" s="691"/>
      <c r="D4" s="695" t="s">
        <v>89</v>
      </c>
      <c r="E4" s="696"/>
      <c r="F4" s="696"/>
      <c r="G4" s="697"/>
    </row>
    <row r="5" spans="2:11" ht="16.5" thickBot="1">
      <c r="B5" s="690" t="s">
        <v>118</v>
      </c>
      <c r="C5" s="691"/>
      <c r="D5" s="692" t="s">
        <v>119</v>
      </c>
      <c r="E5" s="693"/>
      <c r="F5" s="693"/>
      <c r="G5" s="694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82" t="s">
        <v>120</v>
      </c>
      <c r="C7" s="683"/>
      <c r="D7" s="683"/>
      <c r="E7" s="683"/>
      <c r="F7" s="683"/>
      <c r="G7" s="684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5" t="s">
        <v>125</v>
      </c>
      <c r="G8" s="676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73">
        <f>'AOTL - KEC'!J6</f>
        <v>0</v>
      </c>
      <c r="G9" s="674"/>
    </row>
    <row r="10" spans="2:11" ht="15.75" thickBot="1">
      <c r="B10" s="679" t="s">
        <v>126</v>
      </c>
      <c r="C10" s="680"/>
      <c r="D10" s="680"/>
      <c r="E10" s="680"/>
      <c r="F10" s="680"/>
      <c r="G10" s="681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5" t="s">
        <v>125</v>
      </c>
      <c r="G11" s="676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77">
        <f>B12-E12</f>
        <v>0</v>
      </c>
      <c r="G12" s="678"/>
    </row>
    <row r="13" spans="2:11" ht="15.75" thickBot="1">
      <c r="B13" s="679" t="s">
        <v>127</v>
      </c>
      <c r="C13" s="680"/>
      <c r="D13" s="680"/>
      <c r="E13" s="680"/>
      <c r="F13" s="680"/>
      <c r="G13" s="681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5" t="s">
        <v>125</v>
      </c>
      <c r="G14" s="676"/>
    </row>
    <row r="15" spans="2:11" ht="15.75" thickBot="1">
      <c r="B15" s="5">
        <f>'AOTL - KEC'!C7</f>
        <v>114.51600000000001</v>
      </c>
      <c r="C15" s="4">
        <f>'Survey Anx'!F39</f>
        <v>107.97099999999999</v>
      </c>
      <c r="D15" s="4">
        <f>'AOTL - KEC'!H7</f>
        <v>0</v>
      </c>
      <c r="E15" s="4">
        <f>D15+C15</f>
        <v>107.97099999999999</v>
      </c>
      <c r="F15" s="673">
        <f>B15-E15</f>
        <v>6.5450000000000159</v>
      </c>
      <c r="G15" s="674"/>
      <c r="K15" s="6"/>
    </row>
    <row r="16" spans="2:11" ht="15.75" thickBot="1">
      <c r="B16" s="679" t="s">
        <v>128</v>
      </c>
      <c r="C16" s="680"/>
      <c r="D16" s="680"/>
      <c r="E16" s="680"/>
      <c r="F16" s="680"/>
      <c r="G16" s="681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5" t="s">
        <v>125</v>
      </c>
      <c r="G17" s="676"/>
    </row>
    <row r="18" spans="2:11" ht="15.75" thickBot="1">
      <c r="B18" s="5">
        <f>'AOTL - KEC'!C9</f>
        <v>114.51600000000001</v>
      </c>
      <c r="C18" s="4">
        <f>'Survey Anx'!I39</f>
        <v>94.51900000000002</v>
      </c>
      <c r="D18" s="407">
        <v>0</v>
      </c>
      <c r="E18" s="4">
        <f>C18+D18</f>
        <v>94.51900000000002</v>
      </c>
      <c r="F18" s="673">
        <f>B18-E18</f>
        <v>19.996999999999986</v>
      </c>
      <c r="G18" s="674"/>
      <c r="K18" s="13"/>
    </row>
    <row r="19" spans="2:11" ht="15.75" thickBot="1">
      <c r="B19" s="679" t="s">
        <v>129</v>
      </c>
      <c r="C19" s="680"/>
      <c r="D19" s="680"/>
      <c r="E19" s="680"/>
      <c r="F19" s="680"/>
      <c r="G19" s="681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5" t="s">
        <v>125</v>
      </c>
      <c r="G20" s="676"/>
      <c r="K20" s="14"/>
    </row>
    <row r="21" spans="2:11" ht="15.75" thickBot="1">
      <c r="B21" s="9">
        <f>'AOTL - KEC'!C12</f>
        <v>293</v>
      </c>
      <c r="C21" s="16">
        <v>85</v>
      </c>
      <c r="D21" s="16">
        <v>10</v>
      </c>
      <c r="E21" s="19">
        <v>95</v>
      </c>
      <c r="F21" s="677">
        <f>B21-E21</f>
        <v>198</v>
      </c>
      <c r="G21" s="678"/>
    </row>
    <row r="22" spans="2:11" ht="15.75" thickBot="1">
      <c r="B22" s="679" t="s">
        <v>1112</v>
      </c>
      <c r="C22" s="680"/>
      <c r="D22" s="680"/>
      <c r="E22" s="680"/>
      <c r="F22" s="680"/>
      <c r="G22" s="681"/>
    </row>
    <row r="23" spans="2:11" ht="45">
      <c r="B23" s="7" t="s">
        <v>130</v>
      </c>
      <c r="C23" s="8" t="s">
        <v>122</v>
      </c>
      <c r="D23" s="8" t="s">
        <v>123</v>
      </c>
      <c r="E23" s="8" t="s">
        <v>124</v>
      </c>
      <c r="F23" s="675" t="s">
        <v>125</v>
      </c>
      <c r="G23" s="676"/>
    </row>
    <row r="24" spans="2:11" ht="15.75" thickBot="1">
      <c r="B24" s="3">
        <f>'AOTL - KEC'!C13</f>
        <v>293</v>
      </c>
      <c r="C24" s="16">
        <v>78</v>
      </c>
      <c r="D24" s="16">
        <v>11</v>
      </c>
      <c r="E24" s="19">
        <v>89</v>
      </c>
      <c r="F24" s="677">
        <f>B24-E24</f>
        <v>204</v>
      </c>
      <c r="G24" s="678"/>
    </row>
    <row r="25" spans="2:11" ht="15.75" thickBot="1">
      <c r="B25" s="679" t="s">
        <v>131</v>
      </c>
      <c r="C25" s="680"/>
      <c r="D25" s="680"/>
      <c r="E25" s="680"/>
      <c r="F25" s="680"/>
      <c r="G25" s="681"/>
    </row>
    <row r="26" spans="2:11" ht="45">
      <c r="B26" s="7" t="s">
        <v>130</v>
      </c>
      <c r="C26" s="8" t="s">
        <v>122</v>
      </c>
      <c r="D26" s="8" t="s">
        <v>123</v>
      </c>
      <c r="E26" s="8" t="s">
        <v>124</v>
      </c>
      <c r="F26" s="675" t="s">
        <v>125</v>
      </c>
      <c r="G26" s="676"/>
    </row>
    <row r="27" spans="2:11" ht="15.75" thickBot="1">
      <c r="B27" s="3">
        <f>'AOTL - KEC'!C14</f>
        <v>293</v>
      </c>
      <c r="C27" s="16">
        <v>40</v>
      </c>
      <c r="D27" s="16">
        <v>5</v>
      </c>
      <c r="E27" s="12">
        <v>45</v>
      </c>
      <c r="F27" s="677">
        <f>B27-E27</f>
        <v>248</v>
      </c>
      <c r="G27" s="678"/>
    </row>
    <row r="28" spans="2:11" ht="15.75" thickBot="1">
      <c r="B28" s="679" t="s">
        <v>132</v>
      </c>
      <c r="C28" s="680"/>
      <c r="D28" s="680"/>
      <c r="E28" s="680"/>
      <c r="F28" s="680"/>
      <c r="G28" s="681"/>
    </row>
    <row r="29" spans="2:11" ht="45">
      <c r="B29" s="7" t="s">
        <v>130</v>
      </c>
      <c r="C29" s="8" t="s">
        <v>122</v>
      </c>
      <c r="D29" s="8" t="s">
        <v>123</v>
      </c>
      <c r="E29" s="8" t="s">
        <v>124</v>
      </c>
      <c r="F29" s="675" t="s">
        <v>133</v>
      </c>
      <c r="G29" s="676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73">
        <f>B30-E30</f>
        <v>114.51600000000001</v>
      </c>
      <c r="G30" s="674"/>
    </row>
    <row r="31" spans="2:11" ht="15.75" thickBot="1">
      <c r="B31" s="679" t="s">
        <v>134</v>
      </c>
      <c r="C31" s="680"/>
      <c r="D31" s="680"/>
      <c r="E31" s="680"/>
      <c r="F31" s="680"/>
      <c r="G31" s="681"/>
    </row>
    <row r="32" spans="2:11" ht="45">
      <c r="B32" s="7" t="s">
        <v>130</v>
      </c>
      <c r="C32" s="8" t="s">
        <v>122</v>
      </c>
      <c r="D32" s="8" t="s">
        <v>123</v>
      </c>
      <c r="E32" s="8" t="s">
        <v>124</v>
      </c>
      <c r="F32" s="675" t="s">
        <v>125</v>
      </c>
      <c r="G32" s="676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73">
        <f>B33-E33</f>
        <v>114.51600000000001</v>
      </c>
      <c r="G33" s="674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135</v>
      </c>
    </row>
    <row r="8" spans="2:2">
      <c r="B8" s="67" t="s">
        <v>136</v>
      </c>
    </row>
    <row r="9" spans="2:2">
      <c r="B9" s="67" t="s">
        <v>137</v>
      </c>
    </row>
    <row r="10" spans="2:2">
      <c r="B10" s="67" t="s">
        <v>138</v>
      </c>
    </row>
    <row r="11" spans="2:2">
      <c r="B11" s="67" t="s">
        <v>139</v>
      </c>
    </row>
    <row r="12" spans="2:2">
      <c r="B12" s="67" t="s">
        <v>140</v>
      </c>
    </row>
    <row r="13" spans="2:2">
      <c r="B13" s="67" t="s">
        <v>141</v>
      </c>
    </row>
    <row r="14" spans="2:2">
      <c r="B14" s="67" t="s">
        <v>142</v>
      </c>
    </row>
    <row r="15" spans="2:2">
      <c r="B15" s="67" t="s">
        <v>143</v>
      </c>
    </row>
    <row r="16" spans="2:2">
      <c r="B16" s="67" t="s">
        <v>144</v>
      </c>
    </row>
    <row r="17" spans="2:2">
      <c r="B17" s="67" t="s">
        <v>145</v>
      </c>
    </row>
    <row r="18" spans="2:2">
      <c r="B18" s="67" t="s">
        <v>146</v>
      </c>
    </row>
    <row r="19" spans="2:2">
      <c r="B19" s="67" t="s">
        <v>147</v>
      </c>
    </row>
    <row r="20" spans="2:2">
      <c r="B20" s="67" t="s">
        <v>148</v>
      </c>
    </row>
    <row r="21" spans="2:2">
      <c r="B21" s="67" t="s">
        <v>149</v>
      </c>
    </row>
    <row r="22" spans="2:2">
      <c r="B22" s="67" t="s">
        <v>150</v>
      </c>
    </row>
    <row r="23" spans="2:2">
      <c r="B23" s="67" t="s">
        <v>151</v>
      </c>
    </row>
    <row r="24" spans="2:2">
      <c r="B24" s="67" t="s">
        <v>152</v>
      </c>
    </row>
    <row r="25" spans="2:2">
      <c r="B25" s="67" t="s">
        <v>153</v>
      </c>
    </row>
    <row r="26" spans="2:2">
      <c r="B26" s="67" t="s">
        <v>154</v>
      </c>
    </row>
    <row r="27" spans="2:2">
      <c r="B27" s="67" t="s">
        <v>155</v>
      </c>
    </row>
    <row r="28" spans="2:2">
      <c r="B28" s="67" t="s">
        <v>156</v>
      </c>
    </row>
    <row r="29" spans="2:2">
      <c r="B29" s="67" t="s">
        <v>157</v>
      </c>
    </row>
    <row r="30" spans="2:2">
      <c r="B30" s="67" t="s">
        <v>158</v>
      </c>
    </row>
    <row r="31" spans="2:2">
      <c r="B31" s="67" t="s">
        <v>159</v>
      </c>
    </row>
    <row r="32" spans="2:2">
      <c r="B32" s="67" t="s">
        <v>160</v>
      </c>
    </row>
    <row r="33" spans="2:2">
      <c r="B33" s="67" t="s">
        <v>161</v>
      </c>
    </row>
    <row r="34" spans="2:2">
      <c r="B34" s="67" t="s">
        <v>162</v>
      </c>
    </row>
    <row r="35" spans="2:2">
      <c r="B35" s="67" t="s">
        <v>163</v>
      </c>
    </row>
    <row r="36" spans="2:2">
      <c r="B36" s="67" t="s">
        <v>164</v>
      </c>
    </row>
    <row r="37" spans="2:2">
      <c r="B37" s="67" t="s">
        <v>165</v>
      </c>
    </row>
    <row r="38" spans="2:2">
      <c r="B38" s="67" t="s">
        <v>166</v>
      </c>
    </row>
    <row r="41" spans="2:2">
      <c r="B41" s="55" t="s">
        <v>135</v>
      </c>
    </row>
    <row r="42" spans="2:2">
      <c r="B42" s="56" t="s">
        <v>167</v>
      </c>
    </row>
    <row r="43" spans="2:2">
      <c r="B43" s="56" t="s">
        <v>136</v>
      </c>
    </row>
    <row r="44" spans="2:2">
      <c r="B44" s="55" t="s">
        <v>137</v>
      </c>
    </row>
    <row r="45" spans="2:2">
      <c r="B45" s="56" t="s">
        <v>138</v>
      </c>
    </row>
    <row r="46" spans="2:2">
      <c r="B46" s="55" t="s">
        <v>139</v>
      </c>
    </row>
    <row r="47" spans="2:2">
      <c r="B47" s="55" t="s">
        <v>140</v>
      </c>
    </row>
    <row r="48" spans="2:2">
      <c r="B48" s="55" t="s">
        <v>168</v>
      </c>
    </row>
    <row r="49" spans="2:2">
      <c r="B49" s="55" t="s">
        <v>169</v>
      </c>
    </row>
    <row r="50" spans="2:2">
      <c r="B50" s="55" t="s">
        <v>165</v>
      </c>
    </row>
    <row r="51" spans="2:2">
      <c r="B51" s="55" t="s">
        <v>141</v>
      </c>
    </row>
    <row r="52" spans="2:2">
      <c r="B52" s="55" t="s">
        <v>142</v>
      </c>
    </row>
    <row r="53" spans="2:2">
      <c r="B53" s="55" t="s">
        <v>143</v>
      </c>
    </row>
    <row r="54" spans="2:2">
      <c r="B54" s="55" t="s">
        <v>144</v>
      </c>
    </row>
    <row r="55" spans="2:2">
      <c r="B55" s="55" t="s">
        <v>145</v>
      </c>
    </row>
    <row r="56" spans="2:2">
      <c r="B56" s="55" t="s">
        <v>146</v>
      </c>
    </row>
    <row r="57" spans="2:2">
      <c r="B57" s="55" t="s">
        <v>147</v>
      </c>
    </row>
    <row r="58" spans="2:2">
      <c r="B58" s="55" t="s">
        <v>148</v>
      </c>
    </row>
    <row r="59" spans="2:2">
      <c r="B59" s="55" t="s">
        <v>149</v>
      </c>
    </row>
    <row r="60" spans="2:2">
      <c r="B60" s="55" t="s">
        <v>150</v>
      </c>
    </row>
    <row r="61" spans="2:2">
      <c r="B61" s="47" t="s">
        <v>151</v>
      </c>
    </row>
    <row r="62" spans="2:2">
      <c r="B62" s="55" t="s">
        <v>152</v>
      </c>
    </row>
    <row r="63" spans="2:2">
      <c r="B63" s="55" t="s">
        <v>153</v>
      </c>
    </row>
    <row r="64" spans="2:2">
      <c r="B64" s="55" t="s">
        <v>154</v>
      </c>
    </row>
    <row r="65" spans="2:2">
      <c r="B65" s="55" t="s">
        <v>155</v>
      </c>
    </row>
    <row r="66" spans="2:2">
      <c r="B66" s="55" t="s">
        <v>156</v>
      </c>
    </row>
    <row r="67" spans="2:2">
      <c r="B67" s="55" t="s">
        <v>157</v>
      </c>
    </row>
    <row r="68" spans="2:2">
      <c r="B68" s="35" t="s">
        <v>170</v>
      </c>
    </row>
    <row r="69" spans="2:2">
      <c r="B69" s="57" t="s">
        <v>171</v>
      </c>
    </row>
    <row r="70" spans="2:2">
      <c r="B70" s="55" t="s">
        <v>158</v>
      </c>
    </row>
    <row r="71" spans="2:2">
      <c r="B71" s="55" t="s">
        <v>159</v>
      </c>
    </row>
    <row r="72" spans="2:2">
      <c r="B72" s="55" t="s">
        <v>160</v>
      </c>
    </row>
    <row r="73" spans="2:2">
      <c r="B73" s="55" t="s">
        <v>161</v>
      </c>
    </row>
    <row r="74" spans="2:2">
      <c r="B74" s="55" t="s">
        <v>162</v>
      </c>
    </row>
    <row r="75" spans="2:2">
      <c r="B75" s="58" t="s">
        <v>163</v>
      </c>
    </row>
    <row r="76" spans="2:2">
      <c r="B76" s="55" t="s">
        <v>164</v>
      </c>
    </row>
    <row r="77" spans="2:2">
      <c r="B77" s="55" t="s">
        <v>166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172</v>
      </c>
    </row>
    <row r="2" spans="1:4">
      <c r="A2" s="56" t="s">
        <v>173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167</v>
      </c>
    </row>
    <row r="4" spans="1:4">
      <c r="A4" s="56" t="s">
        <v>136</v>
      </c>
    </row>
    <row r="5" spans="1:4">
      <c r="A5" s="56" t="s">
        <v>174</v>
      </c>
      <c r="D5" t="s">
        <v>175</v>
      </c>
    </row>
    <row r="6" spans="1:4">
      <c r="A6" s="56" t="s">
        <v>138</v>
      </c>
    </row>
    <row r="7" spans="1:4">
      <c r="A7" s="56" t="s">
        <v>176</v>
      </c>
    </row>
    <row r="8" spans="1:4">
      <c r="A8" s="56" t="s">
        <v>177</v>
      </c>
    </row>
    <row r="9" spans="1:4">
      <c r="A9" s="56" t="s">
        <v>178</v>
      </c>
    </row>
    <row r="10" spans="1:4">
      <c r="A10" s="56" t="s">
        <v>179</v>
      </c>
    </row>
    <row r="11" spans="1:4">
      <c r="A11" s="56" t="s">
        <v>180</v>
      </c>
    </row>
    <row r="12" spans="1:4">
      <c r="A12" s="55" t="s">
        <v>181</v>
      </c>
    </row>
    <row r="13" spans="1:4">
      <c r="A13" s="55" t="s">
        <v>182</v>
      </c>
    </row>
    <row r="14" spans="1:4">
      <c r="A14" s="55" t="s">
        <v>183</v>
      </c>
    </row>
    <row r="15" spans="1:4">
      <c r="A15" s="55" t="s">
        <v>184</v>
      </c>
    </row>
    <row r="16" spans="1:4">
      <c r="A16" s="55" t="s">
        <v>185</v>
      </c>
    </row>
    <row r="17" spans="1:1">
      <c r="A17" s="55" t="s">
        <v>186</v>
      </c>
    </row>
    <row r="18" spans="1:1">
      <c r="A18" s="55" t="s">
        <v>147</v>
      </c>
    </row>
    <row r="19" spans="1:1">
      <c r="A19" s="55" t="s">
        <v>151</v>
      </c>
    </row>
    <row r="20" spans="1:1">
      <c r="A20" s="55" t="s">
        <v>187</v>
      </c>
    </row>
    <row r="21" spans="1:1">
      <c r="A21" s="55" t="s">
        <v>188</v>
      </c>
    </row>
    <row r="22" spans="1:1">
      <c r="A22" s="55" t="s">
        <v>189</v>
      </c>
    </row>
    <row r="23" spans="1:1">
      <c r="A23" s="55" t="s">
        <v>190</v>
      </c>
    </row>
    <row r="24" spans="1:1">
      <c r="A24" s="57" t="s">
        <v>171</v>
      </c>
    </row>
    <row r="25" spans="1:1">
      <c r="A25" s="57" t="s">
        <v>191</v>
      </c>
    </row>
    <row r="26" spans="1:1">
      <c r="A26" s="57" t="s">
        <v>192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193</v>
      </c>
      <c r="B2" s="44" t="s">
        <v>194</v>
      </c>
      <c r="C2" s="44" t="s">
        <v>195</v>
      </c>
      <c r="D2" s="44" t="s">
        <v>196</v>
      </c>
      <c r="E2" s="44" t="s">
        <v>197</v>
      </c>
      <c r="F2" s="44" t="s">
        <v>198</v>
      </c>
      <c r="G2" s="44" t="s">
        <v>199</v>
      </c>
    </row>
    <row r="3" spans="1:7">
      <c r="A3" s="44" t="s">
        <v>200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201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202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topLeftCell="A23" zoomScaleNormal="100" zoomScaleSheetLayoutView="101" workbookViewId="0">
      <selection activeCell="N33" sqref="N32:N33"/>
    </sheetView>
  </sheetViews>
  <sheetFormatPr defaultColWidth="8.85546875" defaultRowHeight="15.75"/>
  <cols>
    <col min="1" max="1" width="8.85546875" style="255"/>
    <col min="2" max="2" width="14.140625" style="255" bestFit="1" customWidth="1"/>
    <col min="3" max="3" width="13.42578125" style="255" bestFit="1" customWidth="1"/>
    <col min="4" max="4" width="3.42578125" style="255" bestFit="1" customWidth="1"/>
    <col min="5" max="5" width="6.5703125" style="255" customWidth="1"/>
    <col min="6" max="6" width="33.7109375" style="255" customWidth="1"/>
    <col min="7" max="7" width="22.5703125" style="255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55" hidden="1" customWidth="1"/>
    <col min="12" max="16384" width="8.85546875" style="255"/>
  </cols>
  <sheetData>
    <row r="1" spans="1:11" ht="14.85" customHeight="1">
      <c r="A1" s="698" t="s">
        <v>257</v>
      </c>
      <c r="B1" s="698"/>
      <c r="C1" s="698"/>
      <c r="D1" s="698"/>
      <c r="E1" s="698"/>
      <c r="F1" s="698"/>
      <c r="G1" s="698"/>
      <c r="H1" s="698"/>
      <c r="I1" s="419"/>
      <c r="J1" s="420"/>
    </row>
    <row r="2" spans="1:11" ht="47.25">
      <c r="A2" s="421" t="s">
        <v>244</v>
      </c>
      <c r="B2" s="421" t="s">
        <v>258</v>
      </c>
      <c r="C2" s="421" t="s">
        <v>259</v>
      </c>
      <c r="D2" s="421" t="s">
        <v>260</v>
      </c>
      <c r="E2" s="421" t="s">
        <v>261</v>
      </c>
      <c r="F2" s="421" t="s">
        <v>262</v>
      </c>
      <c r="G2" s="421" t="s">
        <v>263</v>
      </c>
      <c r="H2" s="421" t="s">
        <v>264</v>
      </c>
      <c r="I2" s="421" t="s">
        <v>33</v>
      </c>
      <c r="J2" s="421" t="s">
        <v>265</v>
      </c>
      <c r="K2" s="421" t="s">
        <v>266</v>
      </c>
    </row>
    <row r="3" spans="1:11">
      <c r="A3" s="422">
        <v>1</v>
      </c>
      <c r="B3" s="422" t="s">
        <v>267</v>
      </c>
      <c r="C3" s="423" t="s">
        <v>268</v>
      </c>
      <c r="D3" s="422"/>
      <c r="E3" s="422">
        <v>10</v>
      </c>
      <c r="F3" s="439" t="s">
        <v>207</v>
      </c>
      <c r="G3" s="440" t="s">
        <v>269</v>
      </c>
      <c r="H3" s="424">
        <v>45802</v>
      </c>
      <c r="I3" s="424"/>
      <c r="J3" s="424" t="s">
        <v>270</v>
      </c>
      <c r="K3" s="440" t="s">
        <v>271</v>
      </c>
    </row>
    <row r="4" spans="1:11">
      <c r="A4" s="422">
        <f>A3+1</f>
        <v>2</v>
      </c>
      <c r="B4" s="422" t="s">
        <v>272</v>
      </c>
      <c r="C4" s="437" t="s">
        <v>273</v>
      </c>
      <c r="D4" s="422"/>
      <c r="E4" s="422">
        <v>20</v>
      </c>
      <c r="F4" s="439" t="s">
        <v>207</v>
      </c>
      <c r="G4" s="440" t="s">
        <v>274</v>
      </c>
      <c r="H4" s="424">
        <v>46173</v>
      </c>
      <c r="I4" s="440" t="s">
        <v>275</v>
      </c>
      <c r="J4" s="427" t="s">
        <v>270</v>
      </c>
      <c r="K4" s="441" t="s">
        <v>276</v>
      </c>
    </row>
    <row r="5" spans="1:11">
      <c r="A5" s="422">
        <f t="shared" ref="A5:A34" si="0">A4+1</f>
        <v>3</v>
      </c>
      <c r="B5" s="422" t="s">
        <v>277</v>
      </c>
      <c r="C5" s="437" t="s">
        <v>278</v>
      </c>
      <c r="D5" s="422"/>
      <c r="E5" s="422">
        <v>20</v>
      </c>
      <c r="F5" s="439" t="s">
        <v>207</v>
      </c>
      <c r="G5" s="440" t="s">
        <v>279</v>
      </c>
      <c r="H5" s="424">
        <v>46173</v>
      </c>
      <c r="I5" s="584" t="s">
        <v>280</v>
      </c>
      <c r="J5" s="427" t="s">
        <v>270</v>
      </c>
      <c r="K5" s="441" t="s">
        <v>276</v>
      </c>
    </row>
    <row r="6" spans="1:11">
      <c r="A6" s="422">
        <f t="shared" si="0"/>
        <v>4</v>
      </c>
      <c r="B6" s="422" t="s">
        <v>281</v>
      </c>
      <c r="C6" s="437" t="s">
        <v>278</v>
      </c>
      <c r="D6" s="422"/>
      <c r="E6" s="422">
        <v>20</v>
      </c>
      <c r="F6" s="439" t="s">
        <v>207</v>
      </c>
      <c r="G6" s="440" t="s">
        <v>282</v>
      </c>
      <c r="H6" s="424">
        <v>46173</v>
      </c>
      <c r="I6" s="440" t="s">
        <v>283</v>
      </c>
      <c r="J6" s="427" t="s">
        <v>270</v>
      </c>
      <c r="K6" s="441" t="s">
        <v>276</v>
      </c>
    </row>
    <row r="7" spans="1:11">
      <c r="A7" s="422">
        <f t="shared" si="0"/>
        <v>5</v>
      </c>
      <c r="B7" s="422" t="s">
        <v>284</v>
      </c>
      <c r="C7" s="437" t="s">
        <v>285</v>
      </c>
      <c r="D7" s="422"/>
      <c r="E7" s="422">
        <v>20</v>
      </c>
      <c r="F7" s="439" t="s">
        <v>207</v>
      </c>
      <c r="G7" s="440" t="s">
        <v>282</v>
      </c>
      <c r="H7" s="424">
        <v>46173</v>
      </c>
      <c r="I7" s="584" t="s">
        <v>280</v>
      </c>
      <c r="J7" s="427" t="s">
        <v>270</v>
      </c>
      <c r="K7" s="441" t="s">
        <v>276</v>
      </c>
    </row>
    <row r="8" spans="1:11">
      <c r="A8" s="428">
        <f t="shared" si="0"/>
        <v>6</v>
      </c>
      <c r="B8" s="428" t="s">
        <v>286</v>
      </c>
      <c r="C8" s="429"/>
      <c r="D8" s="428"/>
      <c r="E8" s="428">
        <v>10</v>
      </c>
      <c r="F8" s="442" t="s">
        <v>207</v>
      </c>
      <c r="G8" s="443" t="s">
        <v>269</v>
      </c>
      <c r="H8" s="430">
        <v>45802</v>
      </c>
      <c r="I8" s="430" t="s">
        <v>287</v>
      </c>
      <c r="J8" s="256" t="s">
        <v>270</v>
      </c>
      <c r="K8" s="257" t="s">
        <v>271</v>
      </c>
    </row>
    <row r="9" spans="1:11">
      <c r="A9" s="431"/>
      <c r="B9" s="431" t="s">
        <v>288</v>
      </c>
      <c r="C9" s="432"/>
      <c r="D9" s="431"/>
      <c r="E9" s="431"/>
      <c r="F9" s="444"/>
      <c r="G9" s="445"/>
      <c r="H9" s="432"/>
      <c r="I9" s="433" t="s">
        <v>287</v>
      </c>
      <c r="J9" s="256" t="s">
        <v>270</v>
      </c>
      <c r="K9" s="257"/>
    </row>
    <row r="10" spans="1:11" ht="15.6" customHeight="1">
      <c r="A10" s="422">
        <f>A8+1</f>
        <v>7</v>
      </c>
      <c r="B10" s="422" t="s">
        <v>289</v>
      </c>
      <c r="C10" s="437" t="s">
        <v>290</v>
      </c>
      <c r="D10" s="423"/>
      <c r="E10" s="423">
        <v>10</v>
      </c>
      <c r="F10" s="439" t="s">
        <v>207</v>
      </c>
      <c r="G10" s="440" t="s">
        <v>274</v>
      </c>
      <c r="H10" s="424">
        <v>46160</v>
      </c>
      <c r="I10" s="423"/>
      <c r="J10" s="427" t="s">
        <v>270</v>
      </c>
      <c r="K10" s="434" t="s">
        <v>271</v>
      </c>
    </row>
    <row r="11" spans="1:11">
      <c r="A11" s="422">
        <f t="shared" si="0"/>
        <v>8</v>
      </c>
      <c r="B11" s="423" t="s">
        <v>291</v>
      </c>
      <c r="C11" s="437" t="s">
        <v>292</v>
      </c>
      <c r="D11" s="423"/>
      <c r="E11" s="423">
        <v>40</v>
      </c>
      <c r="F11" s="439" t="s">
        <v>207</v>
      </c>
      <c r="G11" s="440" t="s">
        <v>293</v>
      </c>
      <c r="H11" s="424">
        <v>46092</v>
      </c>
      <c r="I11" s="424"/>
      <c r="J11" s="424" t="s">
        <v>270</v>
      </c>
      <c r="K11" s="440" t="s">
        <v>271</v>
      </c>
    </row>
    <row r="12" spans="1:11" ht="15.6" customHeight="1">
      <c r="A12" s="422">
        <f t="shared" si="0"/>
        <v>9</v>
      </c>
      <c r="B12" s="423" t="s">
        <v>294</v>
      </c>
      <c r="C12" s="437" t="s">
        <v>295</v>
      </c>
      <c r="D12" s="423"/>
      <c r="E12" s="423">
        <v>40</v>
      </c>
      <c r="F12" s="439" t="s">
        <v>207</v>
      </c>
      <c r="G12" s="440" t="s">
        <v>293</v>
      </c>
      <c r="H12" s="424">
        <v>46160</v>
      </c>
      <c r="I12" s="423"/>
      <c r="J12" s="424" t="s">
        <v>270</v>
      </c>
      <c r="K12" s="440" t="s">
        <v>271</v>
      </c>
    </row>
    <row r="13" spans="1:11">
      <c r="A13" s="422">
        <f t="shared" si="0"/>
        <v>10</v>
      </c>
      <c r="B13" s="422" t="s">
        <v>296</v>
      </c>
      <c r="C13" s="437" t="s">
        <v>295</v>
      </c>
      <c r="D13" s="423"/>
      <c r="E13" s="423">
        <v>10</v>
      </c>
      <c r="F13" s="439" t="s">
        <v>207</v>
      </c>
      <c r="G13" s="440" t="s">
        <v>269</v>
      </c>
      <c r="H13" s="423"/>
      <c r="I13" s="423"/>
      <c r="J13" s="424" t="s">
        <v>270</v>
      </c>
      <c r="K13" s="440" t="s">
        <v>271</v>
      </c>
    </row>
    <row r="14" spans="1:11">
      <c r="A14" s="422">
        <f t="shared" si="0"/>
        <v>11</v>
      </c>
      <c r="B14" s="422" t="s">
        <v>297</v>
      </c>
      <c r="C14" s="437" t="s">
        <v>298</v>
      </c>
      <c r="D14" s="423"/>
      <c r="E14" s="423">
        <v>10</v>
      </c>
      <c r="F14" s="439" t="s">
        <v>207</v>
      </c>
      <c r="G14" s="440" t="s">
        <v>269</v>
      </c>
      <c r="H14" s="424">
        <v>45802</v>
      </c>
      <c r="I14" s="424"/>
      <c r="J14" s="424" t="s">
        <v>270</v>
      </c>
      <c r="K14" s="440" t="s">
        <v>271</v>
      </c>
    </row>
    <row r="15" spans="1:11">
      <c r="A15" s="422">
        <f t="shared" si="0"/>
        <v>12</v>
      </c>
      <c r="B15" s="422" t="s">
        <v>299</v>
      </c>
      <c r="C15" s="423" t="s">
        <v>300</v>
      </c>
      <c r="D15" s="423"/>
      <c r="E15" s="423">
        <v>10</v>
      </c>
      <c r="F15" s="439" t="s">
        <v>207</v>
      </c>
      <c r="G15" s="440" t="s">
        <v>269</v>
      </c>
      <c r="H15" s="424">
        <v>45802</v>
      </c>
      <c r="I15" s="424"/>
      <c r="J15" s="424" t="s">
        <v>270</v>
      </c>
      <c r="K15" s="440" t="s">
        <v>271</v>
      </c>
    </row>
    <row r="16" spans="1:11">
      <c r="A16" s="422">
        <f t="shared" si="0"/>
        <v>13</v>
      </c>
      <c r="B16" s="422" t="s">
        <v>301</v>
      </c>
      <c r="C16" s="423" t="s">
        <v>302</v>
      </c>
      <c r="D16" s="423"/>
      <c r="E16" s="423">
        <v>10</v>
      </c>
      <c r="F16" s="439" t="s">
        <v>207</v>
      </c>
      <c r="G16" s="440" t="s">
        <v>303</v>
      </c>
      <c r="H16" s="424">
        <v>45802</v>
      </c>
      <c r="I16" s="424"/>
      <c r="J16" s="424" t="s">
        <v>270</v>
      </c>
      <c r="K16" s="440" t="s">
        <v>271</v>
      </c>
    </row>
    <row r="17" spans="1:11">
      <c r="A17" s="422">
        <f t="shared" si="0"/>
        <v>14</v>
      </c>
      <c r="B17" s="422" t="s">
        <v>304</v>
      </c>
      <c r="C17" s="423" t="s">
        <v>305</v>
      </c>
      <c r="D17" s="423"/>
      <c r="E17" s="423">
        <v>10</v>
      </c>
      <c r="F17" s="439" t="s">
        <v>207</v>
      </c>
      <c r="G17" s="440" t="s">
        <v>306</v>
      </c>
      <c r="H17" s="424">
        <v>45802</v>
      </c>
      <c r="I17" s="424"/>
      <c r="J17" s="424" t="s">
        <v>270</v>
      </c>
      <c r="K17" s="440" t="s">
        <v>271</v>
      </c>
    </row>
    <row r="18" spans="1:11">
      <c r="A18" s="422">
        <f t="shared" si="0"/>
        <v>15</v>
      </c>
      <c r="B18" s="422" t="s">
        <v>307</v>
      </c>
      <c r="C18" s="423" t="s">
        <v>300</v>
      </c>
      <c r="D18" s="423"/>
      <c r="E18" s="423">
        <v>10</v>
      </c>
      <c r="F18" s="439" t="s">
        <v>207</v>
      </c>
      <c r="G18" s="440" t="s">
        <v>303</v>
      </c>
      <c r="H18" s="424">
        <v>45802</v>
      </c>
      <c r="I18" s="424"/>
      <c r="J18" s="424" t="s">
        <v>270</v>
      </c>
      <c r="K18" s="440" t="s">
        <v>271</v>
      </c>
    </row>
    <row r="19" spans="1:11" ht="15" customHeight="1">
      <c r="A19" s="422">
        <f t="shared" si="0"/>
        <v>16</v>
      </c>
      <c r="B19" s="422" t="s">
        <v>308</v>
      </c>
      <c r="C19" s="423" t="s">
        <v>309</v>
      </c>
      <c r="D19" s="423"/>
      <c r="E19" s="423">
        <v>10</v>
      </c>
      <c r="F19" s="439" t="s">
        <v>207</v>
      </c>
      <c r="G19" s="440" t="s">
        <v>303</v>
      </c>
      <c r="H19" s="424">
        <v>45802</v>
      </c>
      <c r="I19" s="424"/>
      <c r="J19" s="424" t="s">
        <v>270</v>
      </c>
      <c r="K19" s="440" t="s">
        <v>271</v>
      </c>
    </row>
    <row r="20" spans="1:11">
      <c r="A20" s="422">
        <f t="shared" si="0"/>
        <v>17</v>
      </c>
      <c r="B20" s="422" t="s">
        <v>310</v>
      </c>
      <c r="C20" s="423" t="s">
        <v>305</v>
      </c>
      <c r="D20" s="423"/>
      <c r="E20" s="423">
        <v>10</v>
      </c>
      <c r="F20" s="439" t="s">
        <v>207</v>
      </c>
      <c r="G20" s="440" t="s">
        <v>303</v>
      </c>
      <c r="H20" s="424">
        <v>45802</v>
      </c>
      <c r="I20" s="424"/>
      <c r="J20" s="424" t="s">
        <v>270</v>
      </c>
      <c r="K20" s="440" t="s">
        <v>271</v>
      </c>
    </row>
    <row r="21" spans="1:11">
      <c r="A21" s="422">
        <f t="shared" si="0"/>
        <v>18</v>
      </c>
      <c r="B21" s="422" t="s">
        <v>311</v>
      </c>
      <c r="C21" s="423" t="s">
        <v>305</v>
      </c>
      <c r="D21" s="423"/>
      <c r="E21" s="423">
        <v>10</v>
      </c>
      <c r="F21" s="439" t="s">
        <v>207</v>
      </c>
      <c r="G21" s="440" t="s">
        <v>303</v>
      </c>
      <c r="H21" s="424">
        <v>45802</v>
      </c>
      <c r="I21" s="424"/>
      <c r="J21" s="424" t="s">
        <v>270</v>
      </c>
      <c r="K21" s="440" t="s">
        <v>271</v>
      </c>
    </row>
    <row r="22" spans="1:11">
      <c r="A22" s="422">
        <f t="shared" si="0"/>
        <v>19</v>
      </c>
      <c r="B22" s="422" t="s">
        <v>312</v>
      </c>
      <c r="C22" s="423"/>
      <c r="D22" s="423"/>
      <c r="E22" s="423">
        <v>10</v>
      </c>
      <c r="F22" s="439" t="s">
        <v>207</v>
      </c>
      <c r="G22" s="440" t="s">
        <v>303</v>
      </c>
      <c r="H22" s="424">
        <v>45802</v>
      </c>
      <c r="I22" s="424"/>
      <c r="J22" s="424" t="s">
        <v>270</v>
      </c>
      <c r="K22" s="440" t="s">
        <v>271</v>
      </c>
    </row>
    <row r="23" spans="1:11">
      <c r="A23" s="422">
        <f t="shared" si="0"/>
        <v>20</v>
      </c>
      <c r="B23" s="422" t="s">
        <v>313</v>
      </c>
      <c r="C23" s="423"/>
      <c r="D23" s="423"/>
      <c r="E23" s="423">
        <v>10</v>
      </c>
      <c r="F23" s="439" t="s">
        <v>207</v>
      </c>
      <c r="G23" s="440" t="s">
        <v>303</v>
      </c>
      <c r="H23" s="424">
        <v>45802</v>
      </c>
      <c r="I23" s="424"/>
      <c r="J23" s="424" t="s">
        <v>270</v>
      </c>
      <c r="K23" s="440" t="s">
        <v>271</v>
      </c>
    </row>
    <row r="24" spans="1:11" ht="15.6" customHeight="1">
      <c r="A24" s="425">
        <f t="shared" si="0"/>
        <v>21</v>
      </c>
      <c r="B24" s="425" t="s">
        <v>314</v>
      </c>
      <c r="C24" s="426" t="s">
        <v>290</v>
      </c>
      <c r="D24" s="426"/>
      <c r="E24" s="426">
        <v>10</v>
      </c>
      <c r="F24" s="438" t="s">
        <v>315</v>
      </c>
      <c r="G24" s="434"/>
      <c r="H24" s="426"/>
      <c r="I24" s="426"/>
      <c r="J24" s="427" t="s">
        <v>316</v>
      </c>
      <c r="K24" s="441" t="s">
        <v>276</v>
      </c>
    </row>
    <row r="25" spans="1:11">
      <c r="A25" s="422">
        <f t="shared" si="0"/>
        <v>22</v>
      </c>
      <c r="B25" s="423" t="s">
        <v>317</v>
      </c>
      <c r="C25" s="423" t="s">
        <v>318</v>
      </c>
      <c r="D25" s="423"/>
      <c r="E25" s="423">
        <v>40</v>
      </c>
      <c r="F25" s="439" t="s">
        <v>207</v>
      </c>
      <c r="G25" s="440" t="s">
        <v>293</v>
      </c>
      <c r="H25" s="424">
        <v>46094</v>
      </c>
      <c r="I25" s="424"/>
      <c r="J25" s="424" t="s">
        <v>270</v>
      </c>
      <c r="K25" s="440" t="s">
        <v>271</v>
      </c>
    </row>
    <row r="26" spans="1:11">
      <c r="A26" s="422">
        <f t="shared" si="0"/>
        <v>23</v>
      </c>
      <c r="B26" s="422" t="s">
        <v>319</v>
      </c>
      <c r="C26" s="423" t="s">
        <v>320</v>
      </c>
      <c r="D26" s="423"/>
      <c r="E26" s="423">
        <v>40</v>
      </c>
      <c r="F26" s="439" t="s">
        <v>207</v>
      </c>
      <c r="G26" s="440" t="s">
        <v>293</v>
      </c>
      <c r="H26" s="424">
        <v>46095</v>
      </c>
      <c r="I26" s="424"/>
      <c r="J26" s="424" t="s">
        <v>270</v>
      </c>
      <c r="K26" s="440" t="s">
        <v>271</v>
      </c>
    </row>
    <row r="27" spans="1:11">
      <c r="A27" s="422">
        <f t="shared" si="0"/>
        <v>24</v>
      </c>
      <c r="B27" s="422" t="s">
        <v>321</v>
      </c>
      <c r="C27" s="423" t="s">
        <v>322</v>
      </c>
      <c r="D27" s="423"/>
      <c r="E27" s="423">
        <v>40</v>
      </c>
      <c r="F27" s="439" t="s">
        <v>207</v>
      </c>
      <c r="G27" s="440" t="s">
        <v>293</v>
      </c>
      <c r="H27" s="424">
        <v>46095</v>
      </c>
      <c r="I27" s="424"/>
      <c r="J27" s="424" t="s">
        <v>270</v>
      </c>
      <c r="K27" s="440" t="s">
        <v>271</v>
      </c>
    </row>
    <row r="28" spans="1:11">
      <c r="A28" s="425">
        <f t="shared" si="0"/>
        <v>25</v>
      </c>
      <c r="B28" s="425" t="s">
        <v>323</v>
      </c>
      <c r="C28" s="426" t="s">
        <v>324</v>
      </c>
      <c r="D28" s="426"/>
      <c r="E28" s="426">
        <v>10</v>
      </c>
      <c r="F28" s="438" t="s">
        <v>315</v>
      </c>
      <c r="G28" s="434" t="s">
        <v>303</v>
      </c>
      <c r="H28" s="426"/>
      <c r="I28" s="426"/>
      <c r="J28" s="256" t="s">
        <v>270</v>
      </c>
      <c r="K28" s="445" t="s">
        <v>276</v>
      </c>
    </row>
    <row r="29" spans="1:11">
      <c r="A29" s="425">
        <f t="shared" si="0"/>
        <v>26</v>
      </c>
      <c r="B29" s="425" t="s">
        <v>325</v>
      </c>
      <c r="C29" s="426" t="s">
        <v>326</v>
      </c>
      <c r="D29" s="426"/>
      <c r="E29" s="426">
        <v>10</v>
      </c>
      <c r="F29" s="438" t="s">
        <v>315</v>
      </c>
      <c r="G29" s="434" t="s">
        <v>279</v>
      </c>
      <c r="H29" s="426"/>
      <c r="I29" s="426"/>
      <c r="J29" s="256" t="s">
        <v>270</v>
      </c>
      <c r="K29" s="445" t="s">
        <v>276</v>
      </c>
    </row>
    <row r="30" spans="1:11">
      <c r="A30" s="435"/>
      <c r="B30" s="435" t="s">
        <v>327</v>
      </c>
      <c r="C30" s="436"/>
      <c r="D30" s="436"/>
      <c r="E30" s="436"/>
      <c r="F30" s="251"/>
      <c r="G30" s="446"/>
      <c r="H30" s="436"/>
      <c r="I30" s="446" t="s">
        <v>328</v>
      </c>
      <c r="J30" s="256"/>
      <c r="K30" s="257"/>
    </row>
    <row r="31" spans="1:11">
      <c r="A31" s="422">
        <f>A29+1</f>
        <v>27</v>
      </c>
      <c r="B31" s="422" t="s">
        <v>329</v>
      </c>
      <c r="C31" s="423" t="s">
        <v>330</v>
      </c>
      <c r="D31" s="423"/>
      <c r="E31" s="423">
        <v>10</v>
      </c>
      <c r="F31" s="439" t="s">
        <v>207</v>
      </c>
      <c r="G31" s="440" t="s">
        <v>303</v>
      </c>
      <c r="H31" s="424">
        <v>46099</v>
      </c>
      <c r="I31" s="440" t="s">
        <v>331</v>
      </c>
      <c r="J31" s="424" t="s">
        <v>270</v>
      </c>
      <c r="K31" s="440" t="s">
        <v>271</v>
      </c>
    </row>
    <row r="32" spans="1:11">
      <c r="A32" s="422">
        <f t="shared" si="0"/>
        <v>28</v>
      </c>
      <c r="B32" s="422" t="s">
        <v>332</v>
      </c>
      <c r="C32" s="423" t="s">
        <v>300</v>
      </c>
      <c r="D32" s="423"/>
      <c r="E32" s="423">
        <v>10</v>
      </c>
      <c r="F32" s="439" t="s">
        <v>207</v>
      </c>
      <c r="G32" s="440" t="s">
        <v>303</v>
      </c>
      <c r="H32" s="424">
        <v>46099</v>
      </c>
      <c r="I32" s="424"/>
      <c r="J32" s="424" t="s">
        <v>270</v>
      </c>
      <c r="K32" s="440" t="s">
        <v>271</v>
      </c>
    </row>
    <row r="33" spans="1:11">
      <c r="A33" s="422">
        <f t="shared" si="0"/>
        <v>29</v>
      </c>
      <c r="B33" s="422" t="s">
        <v>333</v>
      </c>
      <c r="C33" s="423" t="s">
        <v>330</v>
      </c>
      <c r="D33" s="423"/>
      <c r="E33" s="423">
        <v>10</v>
      </c>
      <c r="F33" s="439" t="s">
        <v>207</v>
      </c>
      <c r="G33" s="440" t="s">
        <v>303</v>
      </c>
      <c r="H33" s="424">
        <v>46099</v>
      </c>
      <c r="I33" s="424"/>
      <c r="J33" s="424" t="s">
        <v>270</v>
      </c>
      <c r="K33" s="440" t="s">
        <v>271</v>
      </c>
    </row>
    <row r="34" spans="1:11">
      <c r="A34" s="422">
        <f t="shared" si="0"/>
        <v>30</v>
      </c>
      <c r="B34" s="422" t="s">
        <v>334</v>
      </c>
      <c r="C34" s="423" t="s">
        <v>335</v>
      </c>
      <c r="D34" s="423"/>
      <c r="E34" s="423">
        <v>10</v>
      </c>
      <c r="F34" s="439" t="s">
        <v>207</v>
      </c>
      <c r="G34" s="440" t="s">
        <v>303</v>
      </c>
      <c r="H34" s="424">
        <v>46099</v>
      </c>
      <c r="I34" s="424"/>
      <c r="J34" s="424" t="s">
        <v>270</v>
      </c>
      <c r="K34" s="440" t="s">
        <v>271</v>
      </c>
    </row>
    <row r="35" spans="1:11">
      <c r="A35" s="422"/>
      <c r="B35" s="422"/>
      <c r="C35" s="423"/>
      <c r="D35" s="423"/>
      <c r="E35" s="423"/>
      <c r="F35" s="447"/>
      <c r="G35" s="440"/>
      <c r="H35" s="423"/>
      <c r="I35" s="423"/>
      <c r="J35" s="424" t="s">
        <v>270</v>
      </c>
      <c r="K35" s="440" t="s">
        <v>271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K154"/>
  <sheetViews>
    <sheetView zoomScale="80" zoomScaleNormal="80" zoomScaleSheetLayoutView="100" workbookViewId="0">
      <pane xSplit="3" ySplit="3" topLeftCell="D30" activePane="bottomRight" state="frozen"/>
      <selection activeCell="D6" sqref="D6"/>
      <selection pane="topRight" activeCell="D6" sqref="D6"/>
      <selection pane="bottomLeft" activeCell="D6" sqref="D6"/>
      <selection pane="bottomRight" activeCell="I44" sqref="I44"/>
    </sheetView>
  </sheetViews>
  <sheetFormatPr defaultColWidth="9.28515625" defaultRowHeight="15.75"/>
  <cols>
    <col min="1" max="1" width="11.28515625" style="258" customWidth="1"/>
    <col min="2" max="2" width="15.140625" style="258" bestFit="1" customWidth="1"/>
    <col min="3" max="7" width="12.5703125" style="258" customWidth="1"/>
    <col min="8" max="8" width="11.7109375" style="258" bestFit="1" customWidth="1"/>
    <col min="9" max="9" width="12.5703125" style="258" customWidth="1"/>
    <col min="10" max="11" width="12.5703125" style="258" hidden="1" customWidth="1"/>
    <col min="12" max="16384" width="9.28515625" style="258"/>
  </cols>
  <sheetData>
    <row r="1" spans="1:10">
      <c r="A1" s="699" t="s">
        <v>89</v>
      </c>
      <c r="B1" s="699"/>
      <c r="C1" s="699"/>
      <c r="D1" s="699"/>
      <c r="E1" s="699"/>
      <c r="F1" s="699"/>
      <c r="G1" s="699"/>
      <c r="H1" s="699"/>
      <c r="I1" s="699"/>
    </row>
    <row r="2" spans="1:10" ht="20.100000000000001" customHeight="1">
      <c r="A2" s="700" t="s">
        <v>193</v>
      </c>
      <c r="B2" s="700" t="s">
        <v>203</v>
      </c>
      <c r="C2" s="702" t="s">
        <v>204</v>
      </c>
      <c r="D2" s="700" t="s">
        <v>205</v>
      </c>
      <c r="E2" s="700"/>
      <c r="F2" s="700"/>
      <c r="G2" s="700" t="s">
        <v>21</v>
      </c>
      <c r="H2" s="700"/>
      <c r="I2" s="700"/>
    </row>
    <row r="3" spans="1:10" ht="20.100000000000001" customHeight="1">
      <c r="A3" s="700"/>
      <c r="B3" s="700"/>
      <c r="C3" s="703"/>
      <c r="D3" s="401" t="s">
        <v>38</v>
      </c>
      <c r="E3" s="401" t="s">
        <v>206</v>
      </c>
      <c r="F3" s="401" t="s">
        <v>207</v>
      </c>
      <c r="G3" s="401" t="s">
        <v>38</v>
      </c>
      <c r="H3" s="401" t="s">
        <v>206</v>
      </c>
      <c r="I3" s="401" t="s">
        <v>207</v>
      </c>
    </row>
    <row r="4" spans="1:10" ht="20.100000000000001" customHeight="1">
      <c r="A4" s="402" t="s">
        <v>208</v>
      </c>
      <c r="B4" s="402" t="s">
        <v>209</v>
      </c>
      <c r="C4" s="403">
        <v>0.62</v>
      </c>
      <c r="D4" s="403">
        <v>0.62</v>
      </c>
      <c r="E4" s="403">
        <v>0.62</v>
      </c>
      <c r="F4" s="403">
        <v>0.62</v>
      </c>
      <c r="G4" s="403">
        <v>0.62</v>
      </c>
      <c r="H4" s="403">
        <v>0.62</v>
      </c>
      <c r="I4" s="403">
        <v>0.62</v>
      </c>
    </row>
    <row r="5" spans="1:10" ht="20.100000000000001" customHeight="1">
      <c r="A5" s="402" t="s">
        <v>208</v>
      </c>
      <c r="B5" s="402" t="s">
        <v>210</v>
      </c>
      <c r="C5" s="403">
        <v>1.5720000000000001</v>
      </c>
      <c r="D5" s="403">
        <v>1.5720000000000001</v>
      </c>
      <c r="E5" s="403">
        <v>1.5720000000000001</v>
      </c>
      <c r="F5" s="403">
        <v>1.5720000000000001</v>
      </c>
      <c r="G5" s="403">
        <v>1.5720000000000001</v>
      </c>
      <c r="H5" s="403">
        <v>1.5720000000000001</v>
      </c>
      <c r="I5" s="403">
        <v>1.5720000000000001</v>
      </c>
    </row>
    <row r="6" spans="1:10" ht="20.100000000000001" customHeight="1">
      <c r="A6" s="402" t="s">
        <v>208</v>
      </c>
      <c r="B6" s="402" t="s">
        <v>211</v>
      </c>
      <c r="C6" s="403">
        <v>1.228</v>
      </c>
      <c r="D6" s="403">
        <v>1.228</v>
      </c>
      <c r="E6" s="403">
        <v>1.228</v>
      </c>
      <c r="F6" s="403">
        <v>1.228</v>
      </c>
      <c r="G6" s="403">
        <f>F6</f>
        <v>1.228</v>
      </c>
      <c r="H6" s="403">
        <f t="shared" ref="H6:I6" si="0">G6</f>
        <v>1.228</v>
      </c>
      <c r="I6" s="403">
        <f t="shared" si="0"/>
        <v>1.228</v>
      </c>
    </row>
    <row r="7" spans="1:10" ht="20.100000000000001" customHeight="1">
      <c r="A7" s="402" t="s">
        <v>208</v>
      </c>
      <c r="B7" s="402" t="s">
        <v>212</v>
      </c>
      <c r="C7" s="404">
        <v>3.9940000000000002</v>
      </c>
      <c r="D7" s="403">
        <f>C7</f>
        <v>3.9940000000000002</v>
      </c>
      <c r="E7" s="403">
        <f>D7</f>
        <v>3.9940000000000002</v>
      </c>
      <c r="F7" s="403">
        <f t="shared" ref="F7:I7" si="1">E7</f>
        <v>3.9940000000000002</v>
      </c>
      <c r="G7" s="403">
        <f t="shared" si="1"/>
        <v>3.9940000000000002</v>
      </c>
      <c r="H7" s="403">
        <f t="shared" si="1"/>
        <v>3.9940000000000002</v>
      </c>
      <c r="I7" s="403">
        <f t="shared" si="1"/>
        <v>3.9940000000000002</v>
      </c>
      <c r="J7" s="405"/>
    </row>
    <row r="8" spans="1:10" ht="20.100000000000001" customHeight="1">
      <c r="A8" s="402" t="s">
        <v>213</v>
      </c>
      <c r="B8" s="402" t="s">
        <v>214</v>
      </c>
      <c r="C8" s="404">
        <v>2.694</v>
      </c>
      <c r="D8" s="403">
        <v>2.694</v>
      </c>
      <c r="E8" s="403">
        <v>2.694</v>
      </c>
      <c r="F8" s="403">
        <v>2.694</v>
      </c>
      <c r="G8" s="403">
        <v>2.694</v>
      </c>
      <c r="H8" s="403">
        <v>2.694</v>
      </c>
      <c r="I8" s="403">
        <v>2.694</v>
      </c>
      <c r="J8" s="405"/>
    </row>
    <row r="9" spans="1:10" ht="20.100000000000001" customHeight="1">
      <c r="A9" s="402" t="s">
        <v>213</v>
      </c>
      <c r="B9" s="402" t="s">
        <v>215</v>
      </c>
      <c r="C9" s="403">
        <v>1.5549999999999999</v>
      </c>
      <c r="D9" s="403">
        <v>1.5549999999999999</v>
      </c>
      <c r="E9" s="403">
        <v>1.5549999999999999</v>
      </c>
      <c r="F9" s="403">
        <v>1.5549999999999999</v>
      </c>
      <c r="G9" s="403">
        <v>1.5549999999999999</v>
      </c>
      <c r="H9" s="403">
        <v>1.5549999999999999</v>
      </c>
      <c r="I9" s="403">
        <v>1.5549999999999999</v>
      </c>
    </row>
    <row r="10" spans="1:10" ht="20.100000000000001" customHeight="1">
      <c r="A10" s="402" t="s">
        <v>200</v>
      </c>
      <c r="B10" s="402" t="s">
        <v>216</v>
      </c>
      <c r="C10" s="403">
        <v>0.42199999999999999</v>
      </c>
      <c r="D10" s="403">
        <v>0.42199999999999999</v>
      </c>
      <c r="E10" s="403">
        <v>0.42199999999999999</v>
      </c>
      <c r="F10" s="403">
        <v>0.42199999999999999</v>
      </c>
      <c r="G10" s="403">
        <v>0.42199999999999999</v>
      </c>
      <c r="H10" s="403">
        <v>0.42199999999999999</v>
      </c>
      <c r="I10" s="403">
        <v>0.42199999999999999</v>
      </c>
    </row>
    <row r="11" spans="1:10" ht="20.100000000000001" customHeight="1">
      <c r="A11" s="402" t="s">
        <v>200</v>
      </c>
      <c r="B11" s="402" t="s">
        <v>217</v>
      </c>
      <c r="C11" s="403">
        <v>3.8809999999999998</v>
      </c>
      <c r="D11" s="403">
        <v>3.8809999999999998</v>
      </c>
      <c r="E11" s="403">
        <v>3.8809999999999998</v>
      </c>
      <c r="F11" s="403">
        <v>3.8809999999999998</v>
      </c>
      <c r="G11" s="403">
        <v>3.8809999999999998</v>
      </c>
      <c r="H11" s="403">
        <v>3.8809999999999998</v>
      </c>
      <c r="I11" s="403">
        <v>3.8809999999999998</v>
      </c>
    </row>
    <row r="12" spans="1:10" ht="20.100000000000001" customHeight="1">
      <c r="A12" s="402" t="s">
        <v>200</v>
      </c>
      <c r="B12" s="402" t="s">
        <v>218</v>
      </c>
      <c r="C12" s="403">
        <v>4.3280000000000003</v>
      </c>
      <c r="D12" s="403">
        <v>4.3280000000000003</v>
      </c>
      <c r="E12" s="403">
        <v>4.3280000000000003</v>
      </c>
      <c r="F12" s="403">
        <v>4.3280000000000003</v>
      </c>
      <c r="G12" s="403">
        <v>4.3280000000000003</v>
      </c>
      <c r="H12" s="403">
        <v>4.3280000000000003</v>
      </c>
      <c r="I12" s="403">
        <v>4.3280000000000003</v>
      </c>
    </row>
    <row r="13" spans="1:10" ht="20.100000000000001" customHeight="1">
      <c r="A13" s="402" t="s">
        <v>200</v>
      </c>
      <c r="B13" s="402" t="s">
        <v>219</v>
      </c>
      <c r="C13" s="403">
        <v>2.9</v>
      </c>
      <c r="D13" s="403">
        <v>2.9</v>
      </c>
      <c r="E13" s="403">
        <v>2.9</v>
      </c>
      <c r="F13" s="403">
        <v>2.9</v>
      </c>
      <c r="G13" s="403">
        <v>2.9</v>
      </c>
      <c r="H13" s="403">
        <v>2.9</v>
      </c>
      <c r="I13" s="403">
        <v>2.9</v>
      </c>
    </row>
    <row r="14" spans="1:10" ht="20.100000000000001" customHeight="1">
      <c r="A14" s="402" t="s">
        <v>200</v>
      </c>
      <c r="B14" s="402" t="s">
        <v>220</v>
      </c>
      <c r="C14" s="403">
        <v>3.5259999999999998</v>
      </c>
      <c r="D14" s="403">
        <v>3.5259999999999998</v>
      </c>
      <c r="E14" s="403">
        <v>3.5259999999999998</v>
      </c>
      <c r="F14" s="403">
        <v>3.5259999999999998</v>
      </c>
      <c r="G14" s="403">
        <v>3.5259999999999998</v>
      </c>
      <c r="H14" s="403">
        <v>3.5259999999999998</v>
      </c>
      <c r="I14" s="403">
        <v>3.5259999999999998</v>
      </c>
    </row>
    <row r="15" spans="1:10" ht="20.100000000000001" customHeight="1">
      <c r="A15" s="402" t="s">
        <v>200</v>
      </c>
      <c r="B15" s="402" t="s">
        <v>221</v>
      </c>
      <c r="C15" s="403">
        <v>2.3119999999999998</v>
      </c>
      <c r="D15" s="403">
        <v>2.3119999999999998</v>
      </c>
      <c r="E15" s="403">
        <v>2.3119999999999998</v>
      </c>
      <c r="F15" s="403">
        <v>2.3119999999999998</v>
      </c>
      <c r="G15" s="403">
        <v>2.3119999999999998</v>
      </c>
      <c r="H15" s="403">
        <v>2.3119999999999998</v>
      </c>
      <c r="I15" s="403">
        <v>2.3119999999999998</v>
      </c>
    </row>
    <row r="16" spans="1:10" ht="20.100000000000001" customHeight="1">
      <c r="A16" s="402" t="s">
        <v>200</v>
      </c>
      <c r="B16" s="402" t="s">
        <v>222</v>
      </c>
      <c r="C16" s="403">
        <v>4.7039999999999997</v>
      </c>
      <c r="D16" s="403">
        <v>4.7039999999999997</v>
      </c>
      <c r="E16" s="403">
        <v>4.7039999999999997</v>
      </c>
      <c r="F16" s="403">
        <v>4.7039999999999997</v>
      </c>
      <c r="G16" s="403">
        <v>4.7039999999999997</v>
      </c>
      <c r="H16" s="403">
        <v>4.7039999999999997</v>
      </c>
      <c r="I16" s="403">
        <v>4.7039999999999997</v>
      </c>
    </row>
    <row r="17" spans="1:11" ht="20.100000000000001" customHeight="1">
      <c r="A17" s="402" t="s">
        <v>200</v>
      </c>
      <c r="B17" s="402" t="s">
        <v>223</v>
      </c>
      <c r="C17" s="403">
        <v>1.5569999999999999</v>
      </c>
      <c r="D17" s="403">
        <v>1.5569999999999999</v>
      </c>
      <c r="E17" s="403">
        <v>1.5569999999999999</v>
      </c>
      <c r="F17" s="403">
        <v>1.5569999999999999</v>
      </c>
      <c r="G17" s="403">
        <v>1.5569999999999999</v>
      </c>
      <c r="H17" s="403">
        <v>1.5569999999999999</v>
      </c>
      <c r="I17" s="403">
        <v>1.5569999999999999</v>
      </c>
    </row>
    <row r="18" spans="1:11" ht="20.100000000000001" customHeight="1">
      <c r="A18" s="402" t="s">
        <v>200</v>
      </c>
      <c r="B18" s="402" t="s">
        <v>224</v>
      </c>
      <c r="C18" s="403">
        <v>1.9470000000000001</v>
      </c>
      <c r="D18" s="403">
        <v>1.9470000000000001</v>
      </c>
      <c r="E18" s="403">
        <v>1.9470000000000001</v>
      </c>
      <c r="F18" s="403">
        <v>1.9470000000000001</v>
      </c>
      <c r="G18" s="403">
        <v>1.9470000000000001</v>
      </c>
      <c r="H18" s="403">
        <v>1.9470000000000001</v>
      </c>
      <c r="I18" s="403">
        <v>1.9470000000000001</v>
      </c>
    </row>
    <row r="19" spans="1:11" ht="20.100000000000001" customHeight="1">
      <c r="A19" s="402" t="s">
        <v>200</v>
      </c>
      <c r="B19" s="402" t="s">
        <v>225</v>
      </c>
      <c r="C19" s="403">
        <v>0.40500000000000003</v>
      </c>
      <c r="D19" s="403">
        <v>0.40500000000000003</v>
      </c>
      <c r="E19" s="403">
        <v>0.40500000000000003</v>
      </c>
      <c r="F19" s="403">
        <v>0.40500000000000003</v>
      </c>
      <c r="G19" s="403">
        <v>0.40500000000000003</v>
      </c>
      <c r="H19" s="403">
        <v>0.40500000000000003</v>
      </c>
      <c r="I19" s="403">
        <v>0.40500000000000003</v>
      </c>
    </row>
    <row r="20" spans="1:11" ht="20.100000000000001" customHeight="1">
      <c r="A20" s="402" t="s">
        <v>200</v>
      </c>
      <c r="B20" s="402" t="s">
        <v>226</v>
      </c>
      <c r="C20" s="403">
        <f>5.966+2.39</f>
        <v>8.3559999999999999</v>
      </c>
      <c r="D20" s="403">
        <f t="shared" ref="D20:I20" si="2">5.966+2.39</f>
        <v>8.3559999999999999</v>
      </c>
      <c r="E20" s="403">
        <f t="shared" si="2"/>
        <v>8.3559999999999999</v>
      </c>
      <c r="F20" s="403">
        <f t="shared" si="2"/>
        <v>8.3559999999999999</v>
      </c>
      <c r="G20" s="403">
        <f t="shared" si="2"/>
        <v>8.3559999999999999</v>
      </c>
      <c r="H20" s="403">
        <f t="shared" si="2"/>
        <v>8.3559999999999999</v>
      </c>
      <c r="I20" s="403">
        <f t="shared" si="2"/>
        <v>8.3559999999999999</v>
      </c>
    </row>
    <row r="21" spans="1:11" ht="20.100000000000001" customHeight="1">
      <c r="A21" s="402" t="s">
        <v>200</v>
      </c>
      <c r="B21" s="402" t="s">
        <v>227</v>
      </c>
      <c r="C21" s="403">
        <v>0.81699999999999995</v>
      </c>
      <c r="D21" s="403">
        <v>0.81699999999999995</v>
      </c>
      <c r="E21" s="403">
        <v>0.81699999999999995</v>
      </c>
      <c r="F21" s="403">
        <v>0.81699999999999995</v>
      </c>
      <c r="G21" s="403">
        <v>0.81699999999999995</v>
      </c>
      <c r="H21" s="403">
        <v>0.81699999999999995</v>
      </c>
      <c r="I21" s="403">
        <v>0.81699999999999995</v>
      </c>
    </row>
    <row r="22" spans="1:11" ht="20.100000000000001" customHeight="1">
      <c r="A22" s="406" t="s">
        <v>200</v>
      </c>
      <c r="B22" s="402" t="s">
        <v>228</v>
      </c>
      <c r="C22" s="403">
        <v>5.2190000000000003</v>
      </c>
      <c r="D22" s="403">
        <v>5.2190000000000003</v>
      </c>
      <c r="E22" s="403">
        <v>5.2190000000000003</v>
      </c>
      <c r="F22" s="403">
        <v>5.2190000000000003</v>
      </c>
      <c r="G22" s="403">
        <v>5.2190000000000003</v>
      </c>
      <c r="H22" s="403">
        <v>5.2190000000000003</v>
      </c>
      <c r="I22" s="403">
        <v>5.2190000000000003</v>
      </c>
    </row>
    <row r="23" spans="1:11" ht="20.100000000000001" customHeight="1">
      <c r="A23" s="406" t="s">
        <v>200</v>
      </c>
      <c r="B23" s="402" t="s">
        <v>1114</v>
      </c>
      <c r="C23" s="403">
        <f>2.845+3.405</f>
        <v>6.25</v>
      </c>
      <c r="D23" s="403">
        <f>C23</f>
        <v>6.25</v>
      </c>
      <c r="E23" s="403">
        <f>D23</f>
        <v>6.25</v>
      </c>
      <c r="F23" s="403">
        <f>E23</f>
        <v>6.25</v>
      </c>
      <c r="G23" s="403">
        <f>F23</f>
        <v>6.25</v>
      </c>
      <c r="H23" s="403">
        <f>F23</f>
        <v>6.25</v>
      </c>
      <c r="I23" s="403">
        <f>H23</f>
        <v>6.25</v>
      </c>
      <c r="J23" s="258" t="s">
        <v>1117</v>
      </c>
      <c r="K23" s="258">
        <v>2.8450000000000002</v>
      </c>
    </row>
    <row r="24" spans="1:11" ht="20.100000000000001" customHeight="1">
      <c r="A24" s="615" t="s">
        <v>200</v>
      </c>
      <c r="B24" s="615" t="s">
        <v>1115</v>
      </c>
      <c r="C24" s="614">
        <v>5.0114799999999997</v>
      </c>
      <c r="D24" s="614">
        <f>C24</f>
        <v>5.0114799999999997</v>
      </c>
      <c r="E24" s="614">
        <f>D24</f>
        <v>5.0114799999999997</v>
      </c>
      <c r="F24" s="614"/>
      <c r="G24" s="614"/>
      <c r="H24" s="614"/>
      <c r="I24" s="614"/>
      <c r="J24" s="258" t="s">
        <v>1116</v>
      </c>
      <c r="K24" s="258">
        <v>3.4049999999999998</v>
      </c>
    </row>
    <row r="25" spans="1:11" ht="20.100000000000001" customHeight="1">
      <c r="A25" s="402" t="s">
        <v>200</v>
      </c>
      <c r="B25" s="402" t="s">
        <v>229</v>
      </c>
      <c r="C25" s="403">
        <v>5.3010000000000002</v>
      </c>
      <c r="D25" s="403">
        <f>C25</f>
        <v>5.3010000000000002</v>
      </c>
      <c r="E25" s="403">
        <f>D25</f>
        <v>5.3010000000000002</v>
      </c>
      <c r="F25" s="403">
        <f>E25</f>
        <v>5.3010000000000002</v>
      </c>
      <c r="G25" s="403">
        <v>5.3010000000000002</v>
      </c>
      <c r="H25" s="403">
        <v>5.3010000000000002</v>
      </c>
      <c r="I25" s="614">
        <v>4.49</v>
      </c>
    </row>
    <row r="26" spans="1:11" ht="20.100000000000001" customHeight="1">
      <c r="A26" s="402" t="s">
        <v>200</v>
      </c>
      <c r="B26" s="402" t="s">
        <v>230</v>
      </c>
      <c r="C26" s="403">
        <v>3.992</v>
      </c>
      <c r="D26" s="403">
        <v>3.992</v>
      </c>
      <c r="E26" s="403">
        <v>3.992</v>
      </c>
      <c r="F26" s="403">
        <f>E26</f>
        <v>3.992</v>
      </c>
      <c r="G26" s="403">
        <f t="shared" ref="G26:H26" si="3">F26</f>
        <v>3.992</v>
      </c>
      <c r="H26" s="403">
        <f t="shared" si="3"/>
        <v>3.992</v>
      </c>
      <c r="I26" s="614"/>
    </row>
    <row r="27" spans="1:11" ht="20.100000000000001" customHeight="1">
      <c r="A27" s="402" t="s">
        <v>200</v>
      </c>
      <c r="B27" s="402" t="s">
        <v>231</v>
      </c>
      <c r="C27" s="403">
        <v>3.1419999999999999</v>
      </c>
      <c r="D27" s="403">
        <v>3.1419999999999999</v>
      </c>
      <c r="E27" s="403">
        <v>3.1419999999999999</v>
      </c>
      <c r="F27" s="403">
        <v>3.1419999999999999</v>
      </c>
      <c r="G27" s="403">
        <v>3.1419999999999999</v>
      </c>
      <c r="H27" s="403">
        <v>3.1419999999999999</v>
      </c>
      <c r="I27" s="403">
        <v>3.1419999999999999</v>
      </c>
    </row>
    <row r="28" spans="1:11" ht="20.100000000000001" customHeight="1">
      <c r="A28" s="402" t="s">
        <v>200</v>
      </c>
      <c r="B28" s="402" t="s">
        <v>232</v>
      </c>
      <c r="C28" s="403">
        <v>2.4769999999999999</v>
      </c>
      <c r="D28" s="403">
        <v>2.4769999999999999</v>
      </c>
      <c r="E28" s="403">
        <v>2.4769999999999999</v>
      </c>
      <c r="F28" s="403">
        <v>2.4769999999999999</v>
      </c>
      <c r="G28" s="403">
        <v>2.4769999999999999</v>
      </c>
      <c r="H28" s="403">
        <v>2.4769999999999999</v>
      </c>
      <c r="I28" s="403">
        <v>2.4769999999999999</v>
      </c>
      <c r="J28" s="405"/>
      <c r="K28" s="258">
        <v>353.55</v>
      </c>
    </row>
    <row r="29" spans="1:11" ht="20.100000000000001" customHeight="1">
      <c r="A29" s="402" t="s">
        <v>200</v>
      </c>
      <c r="B29" s="402" t="s">
        <v>233</v>
      </c>
      <c r="C29" s="403">
        <v>1.1279999999999999</v>
      </c>
      <c r="D29" s="403">
        <v>1.1279999999999999</v>
      </c>
      <c r="E29" s="403">
        <v>1.1279999999999999</v>
      </c>
      <c r="F29" s="403">
        <v>1.1279999999999999</v>
      </c>
      <c r="G29" s="403">
        <v>1.1279999999999999</v>
      </c>
      <c r="H29" s="403">
        <v>1.1279999999999999</v>
      </c>
      <c r="I29" s="403">
        <v>1.1279999999999999</v>
      </c>
      <c r="K29" s="258">
        <v>362.84</v>
      </c>
    </row>
    <row r="30" spans="1:11" ht="20.100000000000001" customHeight="1">
      <c r="A30" s="402" t="s">
        <v>200</v>
      </c>
      <c r="B30" s="402" t="s">
        <v>234</v>
      </c>
      <c r="C30" s="403">
        <v>5.9160000000000004</v>
      </c>
      <c r="D30" s="403">
        <v>5.9160000000000004</v>
      </c>
      <c r="E30" s="403">
        <v>5.9160000000000004</v>
      </c>
      <c r="F30" s="614">
        <v>4.5140000000000002</v>
      </c>
      <c r="G30" s="614"/>
      <c r="H30" s="614"/>
      <c r="I30" s="614"/>
      <c r="J30" s="405"/>
      <c r="K30" s="258">
        <v>410.43</v>
      </c>
    </row>
    <row r="31" spans="1:11" ht="20.100000000000001" customHeight="1">
      <c r="A31" s="402" t="s">
        <v>200</v>
      </c>
      <c r="B31" s="402" t="s">
        <v>235</v>
      </c>
      <c r="C31" s="403">
        <v>0.24399999999999999</v>
      </c>
      <c r="D31" s="403">
        <v>0.24399999999999999</v>
      </c>
      <c r="E31" s="403">
        <v>0.24399999999999999</v>
      </c>
      <c r="F31" s="403">
        <v>0.24399999999999999</v>
      </c>
      <c r="G31" s="403">
        <v>0.24399999999999999</v>
      </c>
      <c r="H31" s="403">
        <v>0.24399999999999999</v>
      </c>
      <c r="I31" s="403">
        <v>0.24399999999999999</v>
      </c>
      <c r="K31" s="258">
        <v>406.38</v>
      </c>
    </row>
    <row r="32" spans="1:11" ht="20.100000000000001" customHeight="1">
      <c r="A32" s="402" t="s">
        <v>200</v>
      </c>
      <c r="B32" s="402" t="s">
        <v>236</v>
      </c>
      <c r="C32" s="403">
        <v>6.5970000000000004</v>
      </c>
      <c r="D32" s="403">
        <v>6.5970000000000004</v>
      </c>
      <c r="E32" s="403">
        <v>6.5970000000000004</v>
      </c>
      <c r="F32" s="403">
        <v>6.5970000000000004</v>
      </c>
      <c r="G32" s="403">
        <v>6.5970000000000004</v>
      </c>
      <c r="H32" s="403">
        <v>6.5970000000000004</v>
      </c>
      <c r="I32" s="403">
        <v>6.5970000000000004</v>
      </c>
      <c r="K32" s="258">
        <v>413.88</v>
      </c>
    </row>
    <row r="33" spans="1:11" ht="20.100000000000001" customHeight="1">
      <c r="A33" s="402" t="s">
        <v>200</v>
      </c>
      <c r="B33" s="402" t="s">
        <v>237</v>
      </c>
      <c r="C33" s="403">
        <v>0.24299999999999999</v>
      </c>
      <c r="D33" s="403">
        <v>0.24299999999999999</v>
      </c>
      <c r="E33" s="403">
        <v>0.24299999999999999</v>
      </c>
      <c r="F33" s="403">
        <v>0.24299999999999999</v>
      </c>
      <c r="G33" s="403">
        <v>0.24299999999999999</v>
      </c>
      <c r="H33" s="403">
        <v>0.24299999999999999</v>
      </c>
      <c r="I33" s="403">
        <v>0.24299999999999999</v>
      </c>
      <c r="K33" s="258">
        <v>397.98</v>
      </c>
    </row>
    <row r="34" spans="1:11" ht="20.100000000000001" customHeight="1">
      <c r="A34" s="402" t="s">
        <v>200</v>
      </c>
      <c r="B34" s="402" t="s">
        <v>238</v>
      </c>
      <c r="C34" s="403">
        <v>5.0609999999999999</v>
      </c>
      <c r="D34" s="403">
        <v>5.0609999999999999</v>
      </c>
      <c r="E34" s="403">
        <v>5.0609999999999999</v>
      </c>
      <c r="F34" s="403">
        <v>5.0609999999999999</v>
      </c>
      <c r="G34" s="403">
        <v>5.0609999999999999</v>
      </c>
      <c r="H34" s="403">
        <v>5.0609999999999999</v>
      </c>
      <c r="I34" s="403">
        <v>5.0609999999999999</v>
      </c>
      <c r="K34" s="258">
        <v>444.34</v>
      </c>
    </row>
    <row r="35" spans="1:11" ht="20.100000000000001" customHeight="1">
      <c r="A35" s="402" t="s">
        <v>200</v>
      </c>
      <c r="B35" s="402" t="s">
        <v>239</v>
      </c>
      <c r="C35" s="403">
        <v>4.7119999999999997</v>
      </c>
      <c r="D35" s="403">
        <v>4.7119999999999997</v>
      </c>
      <c r="E35" s="403">
        <v>4.7119999999999997</v>
      </c>
      <c r="F35" s="403">
        <v>4.7119999999999997</v>
      </c>
      <c r="G35" s="403">
        <v>4.7119999999999997</v>
      </c>
      <c r="H35" s="403">
        <v>4.7119999999999997</v>
      </c>
      <c r="I35" s="403">
        <v>4.7119999999999997</v>
      </c>
      <c r="K35" s="258">
        <v>163.1</v>
      </c>
    </row>
    <row r="36" spans="1:11" ht="20.100000000000001" customHeight="1">
      <c r="A36" s="402" t="s">
        <v>200</v>
      </c>
      <c r="B36" s="402" t="s">
        <v>240</v>
      </c>
      <c r="C36" s="403">
        <v>2.794</v>
      </c>
      <c r="D36" s="403">
        <v>2.794</v>
      </c>
      <c r="E36" s="403">
        <v>2.794</v>
      </c>
      <c r="F36" s="403">
        <v>2.794</v>
      </c>
      <c r="G36" s="403">
        <v>2.794</v>
      </c>
      <c r="H36" s="403">
        <v>2.794</v>
      </c>
      <c r="I36" s="403">
        <v>2.794</v>
      </c>
      <c r="K36" s="258">
        <v>516.34</v>
      </c>
    </row>
    <row r="37" spans="1:11" ht="20.100000000000001" customHeight="1">
      <c r="A37" s="402" t="s">
        <v>201</v>
      </c>
      <c r="B37" s="402" t="s">
        <v>241</v>
      </c>
      <c r="C37" s="403">
        <v>2.7509999999999999</v>
      </c>
      <c r="D37" s="403">
        <v>2.7509999999999999</v>
      </c>
      <c r="E37" s="403">
        <v>2.7509999999999999</v>
      </c>
      <c r="F37" s="403">
        <v>2.7509999999999999</v>
      </c>
      <c r="G37" s="403">
        <v>2.7509999999999999</v>
      </c>
      <c r="H37" s="403">
        <v>2.7509999999999999</v>
      </c>
      <c r="I37" s="403">
        <v>2.7509999999999999</v>
      </c>
      <c r="K37" s="258">
        <v>300.73</v>
      </c>
    </row>
    <row r="38" spans="1:11" ht="20.100000000000001" customHeight="1">
      <c r="A38" s="402" t="s">
        <v>201</v>
      </c>
      <c r="B38" s="402" t="s">
        <v>242</v>
      </c>
      <c r="C38" s="403">
        <v>6.7279999999999998</v>
      </c>
      <c r="D38" s="403">
        <v>6.7279999999999998</v>
      </c>
      <c r="E38" s="403">
        <v>6.7279999999999998</v>
      </c>
      <c r="F38" s="403">
        <v>6.7279999999999998</v>
      </c>
      <c r="G38" s="403">
        <f>F38</f>
        <v>6.7279999999999998</v>
      </c>
      <c r="H38" s="403">
        <f>G38</f>
        <v>6.7279999999999998</v>
      </c>
      <c r="I38" s="403">
        <v>2.593</v>
      </c>
      <c r="K38" s="258">
        <v>491.39</v>
      </c>
    </row>
    <row r="39" spans="1:11" ht="20.100000000000001" customHeight="1">
      <c r="A39" s="701"/>
      <c r="B39" s="701"/>
      <c r="C39" s="408">
        <f t="shared" ref="C39:I39" si="4">SUM(C4:C38)</f>
        <v>114.38447999999998</v>
      </c>
      <c r="D39" s="408">
        <f t="shared" si="4"/>
        <v>114.38447999999998</v>
      </c>
      <c r="E39" s="408">
        <f t="shared" si="4"/>
        <v>114.38447999999998</v>
      </c>
      <c r="F39" s="408">
        <f t="shared" si="4"/>
        <v>107.97099999999999</v>
      </c>
      <c r="G39" s="408">
        <f t="shared" si="4"/>
        <v>103.45700000000001</v>
      </c>
      <c r="H39" s="408">
        <f t="shared" si="4"/>
        <v>103.45700000000001</v>
      </c>
      <c r="I39" s="408">
        <f t="shared" si="4"/>
        <v>94.51900000000002</v>
      </c>
      <c r="K39" s="258">
        <f>SUM(K26:K38)</f>
        <v>4260.96</v>
      </c>
    </row>
    <row r="40" spans="1:11" ht="20.100000000000001" hidden="1" customHeight="1">
      <c r="E40" s="616" t="s">
        <v>1119</v>
      </c>
      <c r="F40" s="617">
        <f>C39-F39</f>
        <v>6.4134799999999927</v>
      </c>
      <c r="I40" s="617">
        <f>F39-I39</f>
        <v>13.45199999999997</v>
      </c>
    </row>
    <row r="41" spans="1:11" ht="20.100000000000001" hidden="1" customHeight="1">
      <c r="E41" s="618" t="s">
        <v>1115</v>
      </c>
      <c r="F41" s="617">
        <f>E24</f>
        <v>5.0114799999999997</v>
      </c>
      <c r="K41" s="258" t="s">
        <v>67</v>
      </c>
    </row>
    <row r="42" spans="1:11" ht="20.100000000000001" hidden="1" customHeight="1">
      <c r="E42" s="618" t="s">
        <v>1118</v>
      </c>
      <c r="F42" s="617">
        <f>E30-F30</f>
        <v>1.4020000000000001</v>
      </c>
    </row>
    <row r="43" spans="1:11" ht="20.100000000000001" hidden="1" customHeight="1">
      <c r="F43" s="405"/>
    </row>
    <row r="44" spans="1:11" ht="20.100000000000001" customHeight="1">
      <c r="H44" s="405">
        <f>C39-H39</f>
        <v>10.927479999999974</v>
      </c>
      <c r="I44" s="405">
        <f>H39-I39</f>
        <v>8.9379999999999882</v>
      </c>
      <c r="K44" s="405" t="s">
        <v>67</v>
      </c>
    </row>
    <row r="45" spans="1:11" ht="20.100000000000001" customHeight="1"/>
    <row r="46" spans="1:11" ht="20.100000000000001" customHeight="1"/>
    <row r="47" spans="1:11" ht="20.100000000000001" customHeight="1"/>
    <row r="48" spans="1:11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20.100000000000001" customHeight="1"/>
    <row r="98" ht="20.100000000000001" customHeight="1"/>
    <row r="99" ht="20.100000000000001" customHeight="1"/>
    <row r="100" ht="20.100000000000001" customHeight="1"/>
    <row r="101" ht="20.100000000000001" customHeight="1"/>
    <row r="102" ht="20.100000000000001" customHeight="1"/>
    <row r="103" ht="20.100000000000001" customHeight="1"/>
    <row r="104" ht="20.100000000000001" customHeight="1"/>
    <row r="105" ht="20.100000000000001" customHeight="1"/>
    <row r="106" ht="20.100000000000001" customHeight="1"/>
    <row r="107" ht="20.100000000000001" customHeight="1"/>
    <row r="108" ht="20.100000000000001" customHeight="1"/>
    <row r="109" ht="20.100000000000001" customHeight="1"/>
    <row r="110" ht="20.100000000000001" customHeight="1"/>
    <row r="111" ht="20.100000000000001" customHeight="1"/>
    <row r="112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2" spans="9:9" ht="20.100000000000001" customHeight="1"/>
    <row r="153" spans="9:9" ht="20.100000000000001" customHeight="1"/>
    <row r="154" spans="9:9" ht="20.100000000000001" customHeight="1">
      <c r="I154" s="405"/>
    </row>
  </sheetData>
  <mergeCells count="7">
    <mergeCell ref="A1:I1"/>
    <mergeCell ref="G2:I2"/>
    <mergeCell ref="A39:B39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4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8" sqref="D8"/>
    </sheetView>
  </sheetViews>
  <sheetFormatPr defaultColWidth="12.85546875" defaultRowHeight="15"/>
  <cols>
    <col min="1" max="1" width="12.85546875" style="409"/>
    <col min="2" max="2" width="25.28515625" style="409" bestFit="1" customWidth="1"/>
    <col min="3" max="4" width="12.85546875" style="409"/>
    <col min="5" max="5" width="30.28515625" style="409" bestFit="1" customWidth="1"/>
    <col min="6" max="16384" width="12.85546875" style="409"/>
  </cols>
  <sheetData>
    <row r="1" spans="1:6" ht="15.75">
      <c r="A1" s="558"/>
      <c r="B1" s="559"/>
      <c r="C1" s="559"/>
      <c r="D1" s="560" t="s">
        <v>2</v>
      </c>
      <c r="E1" s="561">
        <f>+'AOTL - KEC'!M1</f>
        <v>46202</v>
      </c>
    </row>
    <row r="2" spans="1:6">
      <c r="A2" s="562"/>
      <c r="E2" s="563"/>
    </row>
    <row r="3" spans="1:6" ht="15.75">
      <c r="A3" s="704" t="s">
        <v>243</v>
      </c>
      <c r="B3" s="705"/>
      <c r="C3" s="705"/>
      <c r="D3" s="705"/>
      <c r="E3" s="706"/>
    </row>
    <row r="4" spans="1:6" s="411" customFormat="1" ht="22.35" customHeight="1">
      <c r="A4" s="564" t="s">
        <v>244</v>
      </c>
      <c r="B4" s="410" t="s">
        <v>245</v>
      </c>
      <c r="C4" s="410" t="s">
        <v>246</v>
      </c>
      <c r="D4" s="410" t="s">
        <v>247</v>
      </c>
      <c r="E4" s="565" t="s">
        <v>33</v>
      </c>
    </row>
    <row r="5" spans="1:6" s="415" customFormat="1" ht="27.6" customHeight="1">
      <c r="A5" s="566">
        <v>1</v>
      </c>
      <c r="B5" s="413" t="s">
        <v>248</v>
      </c>
      <c r="C5" s="412" t="s">
        <v>249</v>
      </c>
      <c r="D5" s="414">
        <f>'Survey Anx'!C39</f>
        <v>114.38447999999998</v>
      </c>
      <c r="E5" s="567"/>
    </row>
    <row r="6" spans="1:6" s="415" customFormat="1" ht="27.6" customHeight="1">
      <c r="A6" s="566">
        <v>2</v>
      </c>
      <c r="B6" s="413" t="s">
        <v>250</v>
      </c>
      <c r="C6" s="412" t="s">
        <v>249</v>
      </c>
      <c r="D6" s="414">
        <f>'Survey Anx'!D39</f>
        <v>114.38447999999998</v>
      </c>
      <c r="E6" s="567"/>
    </row>
    <row r="7" spans="1:6" s="415" customFormat="1" ht="27.6" customHeight="1">
      <c r="A7" s="566">
        <v>3</v>
      </c>
      <c r="B7" s="413" t="s">
        <v>28</v>
      </c>
      <c r="C7" s="412" t="s">
        <v>249</v>
      </c>
      <c r="D7" s="414">
        <f>D5-D6</f>
        <v>0</v>
      </c>
      <c r="E7" s="567" t="s">
        <v>251</v>
      </c>
      <c r="F7" s="416"/>
    </row>
    <row r="8" spans="1:6" s="415" customFormat="1" ht="27.6" customHeight="1">
      <c r="A8" s="566">
        <v>4</v>
      </c>
      <c r="B8" s="413" t="s">
        <v>252</v>
      </c>
      <c r="C8" s="412" t="s">
        <v>249</v>
      </c>
      <c r="D8" s="414">
        <f>'Survey Anx'!F39</f>
        <v>107.97099999999999</v>
      </c>
      <c r="E8" s="567"/>
    </row>
    <row r="9" spans="1:6" s="415" customFormat="1" ht="27.6" customHeight="1">
      <c r="A9" s="566">
        <v>5</v>
      </c>
      <c r="B9" s="413" t="s">
        <v>29</v>
      </c>
      <c r="C9" s="412" t="s">
        <v>249</v>
      </c>
      <c r="D9" s="414">
        <v>16.838999999999999</v>
      </c>
      <c r="E9" s="567" t="s">
        <v>253</v>
      </c>
    </row>
    <row r="10" spans="1:6" s="415" customFormat="1" ht="27.6" customHeight="1">
      <c r="A10" s="566">
        <v>6</v>
      </c>
      <c r="B10" s="413" t="s">
        <v>254</v>
      </c>
      <c r="C10" s="412" t="s">
        <v>249</v>
      </c>
      <c r="D10" s="414">
        <f>'Survey Anx'!G39</f>
        <v>103.45700000000001</v>
      </c>
      <c r="E10" s="568"/>
      <c r="F10" s="417"/>
    </row>
    <row r="11" spans="1:6" s="415" customFormat="1" ht="27.6" customHeight="1">
      <c r="A11" s="566">
        <v>7</v>
      </c>
      <c r="B11" s="413" t="s">
        <v>255</v>
      </c>
      <c r="C11" s="412" t="s">
        <v>249</v>
      </c>
      <c r="D11" s="414">
        <f>'Survey Anx'!I39</f>
        <v>94.51900000000002</v>
      </c>
      <c r="E11" s="567"/>
      <c r="F11" s="416">
        <f>D10-D11</f>
        <v>8.9379999999999882</v>
      </c>
    </row>
    <row r="12" spans="1:6" s="415" customFormat="1" ht="27.6" customHeight="1">
      <c r="A12" s="566">
        <v>8</v>
      </c>
      <c r="B12" s="413" t="s">
        <v>29</v>
      </c>
      <c r="C12" s="412" t="s">
        <v>249</v>
      </c>
      <c r="D12" s="414">
        <f>D10-D11</f>
        <v>8.9379999999999882</v>
      </c>
      <c r="E12" s="567"/>
    </row>
    <row r="13" spans="1:6" s="415" customFormat="1" ht="27.6" customHeight="1" thickBot="1">
      <c r="A13" s="569">
        <v>9</v>
      </c>
      <c r="B13" s="570" t="s">
        <v>256</v>
      </c>
      <c r="C13" s="571" t="s">
        <v>249</v>
      </c>
      <c r="D13" s="572">
        <f>D8-D11</f>
        <v>13.45199999999997</v>
      </c>
      <c r="E13" s="573"/>
    </row>
    <row r="14" spans="1:6" s="415" customFormat="1" ht="22.35" customHeight="1"/>
    <row r="15" spans="1:6">
      <c r="D15" s="418"/>
      <c r="E15" s="418"/>
    </row>
    <row r="16" spans="1:6">
      <c r="D16" s="418"/>
      <c r="E16" s="418"/>
    </row>
    <row r="17" spans="4:5">
      <c r="D17" s="418"/>
      <c r="E17" s="418"/>
    </row>
    <row r="18" spans="4:5">
      <c r="D18" s="418"/>
      <c r="E18" s="418"/>
    </row>
    <row r="19" spans="4:5">
      <c r="D19" s="418"/>
      <c r="E19" s="418"/>
    </row>
    <row r="20" spans="4:5">
      <c r="D20" s="418"/>
      <c r="E20" s="418"/>
    </row>
    <row r="21" spans="4:5">
      <c r="D21" s="418"/>
      <c r="E21" s="418"/>
    </row>
    <row r="22" spans="4:5">
      <c r="D22" s="418"/>
      <c r="E22" s="418"/>
    </row>
    <row r="23" spans="4:5">
      <c r="D23" s="418"/>
      <c r="E23" s="418"/>
    </row>
    <row r="24" spans="4:5">
      <c r="D24" s="418"/>
      <c r="E24" s="418"/>
    </row>
    <row r="25" spans="4:5">
      <c r="D25" s="418"/>
      <c r="E25" s="418"/>
    </row>
    <row r="26" spans="4:5">
      <c r="D26" s="418"/>
      <c r="E26" s="418"/>
    </row>
    <row r="27" spans="4:5">
      <c r="D27" s="418"/>
      <c r="E27" s="418"/>
    </row>
    <row r="28" spans="4:5">
      <c r="D28" s="418"/>
      <c r="E28" s="418"/>
    </row>
    <row r="29" spans="4:5">
      <c r="D29" s="418"/>
      <c r="E29" s="418"/>
    </row>
    <row r="30" spans="4:5">
      <c r="D30" s="418"/>
      <c r="E30" s="418"/>
    </row>
    <row r="31" spans="4:5">
      <c r="D31" s="418"/>
      <c r="E31" s="418"/>
    </row>
    <row r="32" spans="4:5">
      <c r="D32" s="418"/>
      <c r="E32" s="418"/>
    </row>
    <row r="33" spans="4:5">
      <c r="D33" s="418"/>
      <c r="E33" s="418"/>
    </row>
    <row r="34" spans="4:5">
      <c r="D34" s="418"/>
      <c r="E34" s="418"/>
    </row>
    <row r="35" spans="4:5">
      <c r="D35" s="418"/>
      <c r="E35" s="418"/>
    </row>
    <row r="36" spans="4:5">
      <c r="D36" s="418"/>
      <c r="E36" s="418"/>
    </row>
    <row r="37" spans="4:5">
      <c r="D37" s="418"/>
      <c r="E37" s="418"/>
    </row>
    <row r="38" spans="4:5">
      <c r="D38" s="418"/>
      <c r="E38" s="418"/>
    </row>
    <row r="39" spans="4:5">
      <c r="D39" s="418"/>
      <c r="E39" s="418"/>
    </row>
    <row r="40" spans="4:5">
      <c r="D40" s="418"/>
      <c r="E40" s="418"/>
    </row>
    <row r="41" spans="4:5">
      <c r="D41" s="418"/>
      <c r="E41" s="418"/>
    </row>
    <row r="42" spans="4:5">
      <c r="D42" s="418"/>
      <c r="E42" s="418"/>
    </row>
    <row r="43" spans="4:5">
      <c r="D43" s="418"/>
      <c r="E43" s="418"/>
    </row>
    <row r="44" spans="4:5">
      <c r="D44" s="418"/>
      <c r="E44" s="418"/>
    </row>
    <row r="45" spans="4:5">
      <c r="D45" s="418"/>
      <c r="E45" s="418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7"/>
  <sheetViews>
    <sheetView zoomScale="67" zoomScaleNormal="90" zoomScaleSheetLayoutView="81" workbookViewId="0">
      <pane ySplit="2" topLeftCell="A93" activePane="bottomLeft" state="frozen"/>
      <selection pane="bottomLeft" activeCell="K102" sqref="K102"/>
    </sheetView>
  </sheetViews>
  <sheetFormatPr defaultColWidth="9.42578125" defaultRowHeight="15"/>
  <cols>
    <col min="1" max="1" width="7.5703125" style="415" customWidth="1"/>
    <col min="2" max="2" width="11.28515625" style="415" customWidth="1"/>
    <col min="3" max="3" width="13.28515625" style="415" customWidth="1"/>
    <col min="4" max="4" width="11.7109375" style="415" customWidth="1"/>
    <col min="5" max="5" width="16.7109375" style="416" customWidth="1"/>
    <col min="6" max="6" width="16.5703125" style="415" customWidth="1"/>
    <col min="7" max="7" width="34.42578125" style="485" customWidth="1"/>
    <col min="8" max="8" width="16.7109375" style="452" customWidth="1"/>
    <col min="9" max="9" width="15" style="415" customWidth="1"/>
    <col min="10" max="10" width="12.85546875" style="415" customWidth="1"/>
    <col min="11" max="11" width="23.7109375" style="458" bestFit="1" customWidth="1"/>
    <col min="12" max="12" width="13" style="415" customWidth="1"/>
    <col min="13" max="13" width="20.5703125" style="415" customWidth="1"/>
    <col min="14" max="14" width="16.28515625" style="415" customWidth="1"/>
    <col min="15" max="16384" width="9.42578125" style="448"/>
  </cols>
  <sheetData>
    <row r="1" spans="1:16" s="460" customFormat="1" ht="15.75">
      <c r="A1" s="707" t="s">
        <v>336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9"/>
      <c r="N1" s="472">
        <v>46202</v>
      </c>
      <c r="P1" s="460" t="s">
        <v>337</v>
      </c>
    </row>
    <row r="2" spans="1:16" s="411" customFormat="1" ht="34.5">
      <c r="A2" s="449" t="s">
        <v>244</v>
      </c>
      <c r="B2" s="449" t="s">
        <v>338</v>
      </c>
      <c r="C2" s="449" t="s">
        <v>339</v>
      </c>
      <c r="D2" s="449" t="s">
        <v>263</v>
      </c>
      <c r="E2" s="450" t="s">
        <v>340</v>
      </c>
      <c r="F2" s="449" t="s">
        <v>341</v>
      </c>
      <c r="G2" s="449" t="s">
        <v>342</v>
      </c>
      <c r="H2" s="449" t="s">
        <v>343</v>
      </c>
      <c r="I2" s="449" t="s">
        <v>344</v>
      </c>
      <c r="J2" s="449" t="s">
        <v>33</v>
      </c>
      <c r="K2" s="449" t="s">
        <v>345</v>
      </c>
      <c r="L2" s="449" t="s">
        <v>346</v>
      </c>
      <c r="M2" s="449" t="s">
        <v>347</v>
      </c>
      <c r="N2" s="449" t="s">
        <v>348</v>
      </c>
    </row>
    <row r="3" spans="1:16" ht="25.15" customHeight="1">
      <c r="A3" s="488">
        <v>1</v>
      </c>
      <c r="B3" s="488" t="s">
        <v>349</v>
      </c>
      <c r="C3" s="488" t="s">
        <v>350</v>
      </c>
      <c r="D3" s="488" t="s">
        <v>351</v>
      </c>
      <c r="E3" s="489">
        <f>3.264+35.862</f>
        <v>39.126000000000005</v>
      </c>
      <c r="F3" s="490">
        <v>45706</v>
      </c>
      <c r="G3" s="491"/>
      <c r="H3" s="488" t="s">
        <v>38</v>
      </c>
      <c r="I3" s="490">
        <v>45713</v>
      </c>
      <c r="J3" s="492"/>
      <c r="K3" s="493" t="s">
        <v>352</v>
      </c>
      <c r="L3" s="488" t="s">
        <v>353</v>
      </c>
      <c r="M3" s="490">
        <v>45715</v>
      </c>
      <c r="N3" s="488"/>
    </row>
    <row r="4" spans="1:16" ht="25.15" customHeight="1">
      <c r="A4" s="488">
        <f>A3+1</f>
        <v>2</v>
      </c>
      <c r="B4" s="488" t="s">
        <v>354</v>
      </c>
      <c r="C4" s="488" t="s">
        <v>350</v>
      </c>
      <c r="D4" s="488" t="s">
        <v>351</v>
      </c>
      <c r="E4" s="489">
        <f>3.264+35.862</f>
        <v>39.126000000000005</v>
      </c>
      <c r="F4" s="490">
        <v>45706</v>
      </c>
      <c r="G4" s="491"/>
      <c r="H4" s="488" t="s">
        <v>38</v>
      </c>
      <c r="I4" s="490">
        <v>45710</v>
      </c>
      <c r="J4" s="492"/>
      <c r="K4" s="493" t="s">
        <v>355</v>
      </c>
      <c r="L4" s="488" t="s">
        <v>353</v>
      </c>
      <c r="M4" s="490">
        <v>45717</v>
      </c>
      <c r="N4" s="488"/>
    </row>
    <row r="5" spans="1:16" ht="25.15" customHeight="1">
      <c r="A5" s="488">
        <f t="shared" ref="A5:A68" si="0">A4+1</f>
        <v>3</v>
      </c>
      <c r="B5" s="488" t="s">
        <v>356</v>
      </c>
      <c r="C5" s="488" t="s">
        <v>357</v>
      </c>
      <c r="D5" s="488" t="s">
        <v>351</v>
      </c>
      <c r="E5" s="489">
        <f>3.486+37.148</f>
        <v>40.634</v>
      </c>
      <c r="F5" s="490">
        <v>45711</v>
      </c>
      <c r="G5" s="491"/>
      <c r="H5" s="488" t="s">
        <v>38</v>
      </c>
      <c r="I5" s="490">
        <v>45715</v>
      </c>
      <c r="J5" s="492"/>
      <c r="K5" s="493" t="s">
        <v>355</v>
      </c>
      <c r="L5" s="488" t="s">
        <v>353</v>
      </c>
      <c r="M5" s="490">
        <v>45717</v>
      </c>
      <c r="N5" s="488"/>
    </row>
    <row r="6" spans="1:16" ht="25.15" customHeight="1">
      <c r="A6" s="488">
        <f t="shared" si="0"/>
        <v>4</v>
      </c>
      <c r="B6" s="488" t="s">
        <v>358</v>
      </c>
      <c r="C6" s="488" t="s">
        <v>350</v>
      </c>
      <c r="D6" s="488" t="s">
        <v>274</v>
      </c>
      <c r="E6" s="489">
        <f>5.618+57.728</f>
        <v>63.346000000000004</v>
      </c>
      <c r="F6" s="490">
        <v>45700</v>
      </c>
      <c r="G6" s="491"/>
      <c r="H6" s="488" t="s">
        <v>38</v>
      </c>
      <c r="I6" s="490">
        <v>45705</v>
      </c>
      <c r="J6" s="492"/>
      <c r="K6" s="493" t="s">
        <v>352</v>
      </c>
      <c r="L6" s="488" t="s">
        <v>353</v>
      </c>
      <c r="M6" s="490">
        <v>45720</v>
      </c>
      <c r="N6" s="488"/>
    </row>
    <row r="7" spans="1:16" ht="25.15" customHeight="1">
      <c r="A7" s="488">
        <f t="shared" si="0"/>
        <v>5</v>
      </c>
      <c r="B7" s="488" t="s">
        <v>359</v>
      </c>
      <c r="C7" s="488" t="s">
        <v>350</v>
      </c>
      <c r="D7" s="488" t="s">
        <v>351</v>
      </c>
      <c r="E7" s="489">
        <f>3.264+35.862</f>
        <v>39.126000000000005</v>
      </c>
      <c r="F7" s="490">
        <v>45742</v>
      </c>
      <c r="G7" s="491"/>
      <c r="H7" s="488" t="s">
        <v>38</v>
      </c>
      <c r="I7" s="490">
        <v>45746</v>
      </c>
      <c r="J7" s="492"/>
      <c r="K7" s="493" t="s">
        <v>352</v>
      </c>
      <c r="L7" s="488" t="s">
        <v>353</v>
      </c>
      <c r="M7" s="490">
        <v>45750</v>
      </c>
      <c r="N7" s="488"/>
    </row>
    <row r="8" spans="1:16" ht="25.15" customHeight="1">
      <c r="A8" s="488">
        <f t="shared" si="0"/>
        <v>6</v>
      </c>
      <c r="B8" s="488" t="s">
        <v>360</v>
      </c>
      <c r="C8" s="488" t="s">
        <v>357</v>
      </c>
      <c r="D8" s="488" t="s">
        <v>274</v>
      </c>
      <c r="E8" s="489">
        <f>5.951+59.68</f>
        <v>65.631</v>
      </c>
      <c r="F8" s="490">
        <v>45721</v>
      </c>
      <c r="G8" s="491"/>
      <c r="H8" s="488" t="s">
        <v>38</v>
      </c>
      <c r="I8" s="490">
        <v>45729</v>
      </c>
      <c r="J8" s="492"/>
      <c r="K8" s="493" t="s">
        <v>352</v>
      </c>
      <c r="L8" s="488" t="s">
        <v>353</v>
      </c>
      <c r="M8" s="490">
        <v>45731</v>
      </c>
      <c r="N8" s="488"/>
    </row>
    <row r="9" spans="1:16" ht="25.15" customHeight="1">
      <c r="A9" s="488">
        <f t="shared" si="0"/>
        <v>7</v>
      </c>
      <c r="B9" s="488" t="s">
        <v>361</v>
      </c>
      <c r="C9" s="488" t="s">
        <v>300</v>
      </c>
      <c r="D9" s="488" t="s">
        <v>351</v>
      </c>
      <c r="E9" s="489">
        <f>5.294+57.588</f>
        <v>62.881999999999998</v>
      </c>
      <c r="F9" s="511">
        <v>45721</v>
      </c>
      <c r="G9" s="512"/>
      <c r="H9" s="513" t="s">
        <v>38</v>
      </c>
      <c r="I9" s="511">
        <v>45728</v>
      </c>
      <c r="J9" s="514"/>
      <c r="K9" s="515" t="s">
        <v>355</v>
      </c>
      <c r="L9" s="513" t="s">
        <v>353</v>
      </c>
      <c r="M9" s="511">
        <v>45732</v>
      </c>
      <c r="N9" s="513"/>
    </row>
    <row r="10" spans="1:16" ht="25.15" customHeight="1">
      <c r="A10" s="488">
        <f t="shared" si="0"/>
        <v>8</v>
      </c>
      <c r="B10" s="488" t="s">
        <v>362</v>
      </c>
      <c r="C10" s="488" t="s">
        <v>350</v>
      </c>
      <c r="D10" s="488" t="s">
        <v>351</v>
      </c>
      <c r="E10" s="489">
        <f>3.264+35.862</f>
        <v>39.126000000000005</v>
      </c>
      <c r="F10" s="490">
        <v>45729</v>
      </c>
      <c r="G10" s="491"/>
      <c r="H10" s="488" t="s">
        <v>38</v>
      </c>
      <c r="I10" s="490">
        <v>45732</v>
      </c>
      <c r="J10" s="492"/>
      <c r="K10" s="493" t="s">
        <v>355</v>
      </c>
      <c r="L10" s="488" t="s">
        <v>353</v>
      </c>
      <c r="M10" s="490">
        <v>45733</v>
      </c>
      <c r="N10" s="488"/>
    </row>
    <row r="11" spans="1:16" ht="25.15" customHeight="1">
      <c r="A11" s="488">
        <f t="shared" si="0"/>
        <v>9</v>
      </c>
      <c r="B11" s="488" t="s">
        <v>363</v>
      </c>
      <c r="C11" s="488" t="s">
        <v>357</v>
      </c>
      <c r="D11" s="488" t="s">
        <v>351</v>
      </c>
      <c r="E11" s="489">
        <f>3.486+37.148</f>
        <v>40.634</v>
      </c>
      <c r="F11" s="490">
        <v>45737</v>
      </c>
      <c r="G11" s="494"/>
      <c r="H11" s="488" t="s">
        <v>38</v>
      </c>
      <c r="I11" s="490">
        <v>45741</v>
      </c>
      <c r="J11" s="492"/>
      <c r="K11" s="495" t="s">
        <v>352</v>
      </c>
      <c r="L11" s="488" t="s">
        <v>353</v>
      </c>
      <c r="M11" s="490">
        <v>45744</v>
      </c>
      <c r="N11" s="488"/>
    </row>
    <row r="12" spans="1:16" ht="25.15" customHeight="1">
      <c r="A12" s="488">
        <f t="shared" si="0"/>
        <v>10</v>
      </c>
      <c r="B12" s="488" t="s">
        <v>364</v>
      </c>
      <c r="C12" s="488" t="s">
        <v>350</v>
      </c>
      <c r="D12" s="488" t="s">
        <v>351</v>
      </c>
      <c r="E12" s="489">
        <f>3.264+35.862</f>
        <v>39.126000000000005</v>
      </c>
      <c r="F12" s="490">
        <v>45761</v>
      </c>
      <c r="G12" s="491"/>
      <c r="H12" s="488" t="s">
        <v>38</v>
      </c>
      <c r="I12" s="490">
        <v>45768</v>
      </c>
      <c r="J12" s="492"/>
      <c r="K12" s="493" t="s">
        <v>355</v>
      </c>
      <c r="L12" s="488" t="s">
        <v>353</v>
      </c>
      <c r="M12" s="490">
        <v>45770</v>
      </c>
      <c r="N12" s="488"/>
    </row>
    <row r="13" spans="1:16" ht="25.15" customHeight="1">
      <c r="A13" s="488">
        <f t="shared" si="0"/>
        <v>11</v>
      </c>
      <c r="B13" s="488" t="s">
        <v>365</v>
      </c>
      <c r="C13" s="488" t="s">
        <v>350</v>
      </c>
      <c r="D13" s="488" t="s">
        <v>351</v>
      </c>
      <c r="E13" s="489">
        <f>3.264+35.862</f>
        <v>39.126000000000005</v>
      </c>
      <c r="F13" s="490">
        <v>45770</v>
      </c>
      <c r="G13" s="491"/>
      <c r="H13" s="488" t="s">
        <v>38</v>
      </c>
      <c r="I13" s="490">
        <v>45775</v>
      </c>
      <c r="J13" s="492"/>
      <c r="K13" s="493" t="s">
        <v>355</v>
      </c>
      <c r="L13" s="488" t="s">
        <v>353</v>
      </c>
      <c r="M13" s="490">
        <v>45779</v>
      </c>
      <c r="N13" s="488"/>
    </row>
    <row r="14" spans="1:16" ht="25.15" customHeight="1">
      <c r="A14" s="488">
        <f t="shared" si="0"/>
        <v>12</v>
      </c>
      <c r="B14" s="488" t="s">
        <v>137</v>
      </c>
      <c r="C14" s="488" t="s">
        <v>350</v>
      </c>
      <c r="D14" s="488" t="s">
        <v>351</v>
      </c>
      <c r="E14" s="489">
        <f>3.264+35.862</f>
        <v>39.126000000000005</v>
      </c>
      <c r="F14" s="490">
        <v>45742</v>
      </c>
      <c r="G14" s="491"/>
      <c r="H14" s="488" t="s">
        <v>38</v>
      </c>
      <c r="I14" s="490">
        <v>45763</v>
      </c>
      <c r="J14" s="492"/>
      <c r="K14" s="493" t="s">
        <v>366</v>
      </c>
      <c r="L14" s="488" t="s">
        <v>353</v>
      </c>
      <c r="M14" s="490">
        <v>45783</v>
      </c>
      <c r="N14" s="488"/>
    </row>
    <row r="15" spans="1:16" ht="25.15" customHeight="1">
      <c r="A15" s="488">
        <f t="shared" si="0"/>
        <v>13</v>
      </c>
      <c r="B15" s="488" t="s">
        <v>367</v>
      </c>
      <c r="C15" s="488" t="s">
        <v>350</v>
      </c>
      <c r="D15" s="488" t="s">
        <v>351</v>
      </c>
      <c r="E15" s="489">
        <f>3.264+35.862</f>
        <v>39.126000000000005</v>
      </c>
      <c r="F15" s="490">
        <v>45761</v>
      </c>
      <c r="G15" s="491"/>
      <c r="H15" s="488" t="s">
        <v>38</v>
      </c>
      <c r="I15" s="490">
        <v>45776</v>
      </c>
      <c r="J15" s="492"/>
      <c r="K15" s="493" t="s">
        <v>366</v>
      </c>
      <c r="L15" s="488" t="s">
        <v>353</v>
      </c>
      <c r="M15" s="490">
        <v>45783</v>
      </c>
      <c r="N15" s="488"/>
    </row>
    <row r="16" spans="1:16" ht="25.15" customHeight="1">
      <c r="A16" s="488">
        <f t="shared" si="0"/>
        <v>14</v>
      </c>
      <c r="B16" s="488" t="s">
        <v>368</v>
      </c>
      <c r="C16" s="488" t="s">
        <v>302</v>
      </c>
      <c r="D16" s="488" t="s">
        <v>351</v>
      </c>
      <c r="E16" s="489">
        <f>9.059+119.368</f>
        <v>128.42699999999999</v>
      </c>
      <c r="F16" s="490">
        <v>45761</v>
      </c>
      <c r="G16" s="491"/>
      <c r="H16" s="488" t="s">
        <v>38</v>
      </c>
      <c r="I16" s="490">
        <v>45774</v>
      </c>
      <c r="J16" s="492"/>
      <c r="K16" s="493" t="s">
        <v>366</v>
      </c>
      <c r="L16" s="488" t="s">
        <v>353</v>
      </c>
      <c r="M16" s="490">
        <v>45788</v>
      </c>
      <c r="N16" s="488"/>
    </row>
    <row r="17" spans="1:14" ht="25.15" customHeight="1">
      <c r="A17" s="488">
        <f t="shared" si="0"/>
        <v>15</v>
      </c>
      <c r="B17" s="488" t="s">
        <v>369</v>
      </c>
      <c r="C17" s="488" t="s">
        <v>298</v>
      </c>
      <c r="D17" s="488" t="s">
        <v>351</v>
      </c>
      <c r="E17" s="489">
        <f>11.31+166.88</f>
        <v>178.19</v>
      </c>
      <c r="F17" s="490">
        <v>45752</v>
      </c>
      <c r="G17" s="491"/>
      <c r="H17" s="488" t="s">
        <v>38</v>
      </c>
      <c r="I17" s="490">
        <v>45768</v>
      </c>
      <c r="J17" s="492"/>
      <c r="K17" s="493" t="s">
        <v>366</v>
      </c>
      <c r="L17" s="488" t="s">
        <v>353</v>
      </c>
      <c r="M17" s="490">
        <v>45788</v>
      </c>
      <c r="N17" s="488"/>
    </row>
    <row r="18" spans="1:14" ht="25.15" customHeight="1">
      <c r="A18" s="488">
        <f t="shared" si="0"/>
        <v>16</v>
      </c>
      <c r="B18" s="488" t="s">
        <v>370</v>
      </c>
      <c r="C18" s="488" t="s">
        <v>298</v>
      </c>
      <c r="D18" s="488" t="s">
        <v>351</v>
      </c>
      <c r="E18" s="489">
        <f>11.31+166.88</f>
        <v>178.19</v>
      </c>
      <c r="F18" s="490">
        <v>45772</v>
      </c>
      <c r="G18" s="491"/>
      <c r="H18" s="488" t="s">
        <v>38</v>
      </c>
      <c r="I18" s="490">
        <v>45791</v>
      </c>
      <c r="J18" s="492"/>
      <c r="K18" s="493" t="s">
        <v>366</v>
      </c>
      <c r="L18" s="488" t="s">
        <v>353</v>
      </c>
      <c r="M18" s="490">
        <v>45791</v>
      </c>
      <c r="N18" s="488"/>
    </row>
    <row r="19" spans="1:14" ht="25.15" customHeight="1">
      <c r="A19" s="488">
        <f t="shared" si="0"/>
        <v>17</v>
      </c>
      <c r="B19" s="488" t="s">
        <v>371</v>
      </c>
      <c r="C19" s="488" t="s">
        <v>357</v>
      </c>
      <c r="D19" s="488" t="s">
        <v>351</v>
      </c>
      <c r="E19" s="489">
        <f>3.486+37.148</f>
        <v>40.634</v>
      </c>
      <c r="F19" s="490">
        <v>45790</v>
      </c>
      <c r="G19" s="491"/>
      <c r="H19" s="488" t="s">
        <v>38</v>
      </c>
      <c r="I19" s="490">
        <v>45798</v>
      </c>
      <c r="J19" s="492"/>
      <c r="K19" s="493" t="s">
        <v>355</v>
      </c>
      <c r="L19" s="488" t="s">
        <v>353</v>
      </c>
      <c r="M19" s="490">
        <v>45801</v>
      </c>
      <c r="N19" s="488"/>
    </row>
    <row r="20" spans="1:14" ht="25.15" customHeight="1">
      <c r="A20" s="488">
        <f t="shared" si="0"/>
        <v>18</v>
      </c>
      <c r="B20" s="488" t="s">
        <v>372</v>
      </c>
      <c r="C20" s="488" t="s">
        <v>373</v>
      </c>
      <c r="D20" s="488" t="s">
        <v>351</v>
      </c>
      <c r="E20" s="489">
        <f>7.224+85.068</f>
        <v>92.292000000000002</v>
      </c>
      <c r="F20" s="490">
        <v>45792</v>
      </c>
      <c r="G20" s="491"/>
      <c r="H20" s="488" t="s">
        <v>38</v>
      </c>
      <c r="I20" s="490">
        <v>45802</v>
      </c>
      <c r="J20" s="492"/>
      <c r="K20" s="493" t="s">
        <v>366</v>
      </c>
      <c r="L20" s="488" t="s">
        <v>353</v>
      </c>
      <c r="M20" s="490">
        <v>45803</v>
      </c>
      <c r="N20" s="488"/>
    </row>
    <row r="21" spans="1:14" ht="25.15" customHeight="1">
      <c r="A21" s="488">
        <f t="shared" si="0"/>
        <v>19</v>
      </c>
      <c r="B21" s="488" t="s">
        <v>374</v>
      </c>
      <c r="C21" s="488" t="s">
        <v>335</v>
      </c>
      <c r="D21" s="488" t="s">
        <v>351</v>
      </c>
      <c r="E21" s="489">
        <f>4.343+50.332</f>
        <v>54.674999999999997</v>
      </c>
      <c r="F21" s="490">
        <v>45809</v>
      </c>
      <c r="G21" s="491"/>
      <c r="H21" s="488" t="s">
        <v>38</v>
      </c>
      <c r="I21" s="490">
        <v>45875</v>
      </c>
      <c r="J21" s="492"/>
      <c r="K21" s="493" t="s">
        <v>375</v>
      </c>
      <c r="L21" s="488" t="s">
        <v>353</v>
      </c>
      <c r="M21" s="490">
        <v>45816</v>
      </c>
      <c r="N21" s="488"/>
    </row>
    <row r="22" spans="1:14" ht="25.15" customHeight="1">
      <c r="A22" s="488">
        <f t="shared" si="0"/>
        <v>20</v>
      </c>
      <c r="B22" s="488" t="s">
        <v>376</v>
      </c>
      <c r="C22" s="488" t="s">
        <v>357</v>
      </c>
      <c r="D22" s="488" t="s">
        <v>351</v>
      </c>
      <c r="E22" s="489">
        <f>3.486+37.148</f>
        <v>40.634</v>
      </c>
      <c r="F22" s="490">
        <v>45802</v>
      </c>
      <c r="G22" s="491"/>
      <c r="H22" s="488" t="s">
        <v>38</v>
      </c>
      <c r="I22" s="490">
        <v>45810</v>
      </c>
      <c r="J22" s="492"/>
      <c r="K22" s="493" t="s">
        <v>375</v>
      </c>
      <c r="L22" s="488" t="s">
        <v>353</v>
      </c>
      <c r="M22" s="490">
        <v>45818</v>
      </c>
      <c r="N22" s="488"/>
    </row>
    <row r="23" spans="1:14" ht="25.15" customHeight="1">
      <c r="A23" s="488">
        <f t="shared" si="0"/>
        <v>21</v>
      </c>
      <c r="B23" s="488" t="s">
        <v>377</v>
      </c>
      <c r="C23" s="488" t="s">
        <v>350</v>
      </c>
      <c r="D23" s="488" t="s">
        <v>351</v>
      </c>
      <c r="E23" s="489">
        <f>3.264+35.862</f>
        <v>39.126000000000005</v>
      </c>
      <c r="F23" s="490">
        <v>45807</v>
      </c>
      <c r="G23" s="491"/>
      <c r="H23" s="488" t="s">
        <v>38</v>
      </c>
      <c r="I23" s="490">
        <v>45813</v>
      </c>
      <c r="J23" s="492"/>
      <c r="K23" s="493" t="s">
        <v>375</v>
      </c>
      <c r="L23" s="488" t="s">
        <v>353</v>
      </c>
      <c r="M23" s="490">
        <v>45818</v>
      </c>
      <c r="N23" s="488"/>
    </row>
    <row r="24" spans="1:14" ht="25.15" customHeight="1">
      <c r="A24" s="488">
        <f t="shared" si="0"/>
        <v>22</v>
      </c>
      <c r="B24" s="488" t="s">
        <v>168</v>
      </c>
      <c r="C24" s="488" t="s">
        <v>300</v>
      </c>
      <c r="D24" s="488" t="s">
        <v>351</v>
      </c>
      <c r="E24" s="489">
        <f>5.294+57.588</f>
        <v>62.881999999999998</v>
      </c>
      <c r="F24" s="490">
        <v>45861</v>
      </c>
      <c r="G24" s="491"/>
      <c r="H24" s="488" t="s">
        <v>38</v>
      </c>
      <c r="I24" s="490">
        <v>45916</v>
      </c>
      <c r="J24" s="492"/>
      <c r="K24" s="493"/>
      <c r="L24" s="488" t="s">
        <v>353</v>
      </c>
      <c r="M24" s="490">
        <v>45921</v>
      </c>
      <c r="N24" s="488"/>
    </row>
    <row r="25" spans="1:14" ht="25.15" customHeight="1">
      <c r="A25" s="488">
        <f t="shared" si="0"/>
        <v>23</v>
      </c>
      <c r="B25" s="488" t="s">
        <v>378</v>
      </c>
      <c r="C25" s="488" t="s">
        <v>350</v>
      </c>
      <c r="D25" s="488" t="s">
        <v>351</v>
      </c>
      <c r="E25" s="489">
        <f>3.264+35.862</f>
        <v>39.126000000000005</v>
      </c>
      <c r="F25" s="490">
        <v>45900</v>
      </c>
      <c r="G25" s="494"/>
      <c r="H25" s="488" t="s">
        <v>38</v>
      </c>
      <c r="I25" s="490">
        <v>45918</v>
      </c>
      <c r="J25" s="492"/>
      <c r="K25" s="495" t="s">
        <v>355</v>
      </c>
      <c r="L25" s="488" t="s">
        <v>353</v>
      </c>
      <c r="M25" s="490">
        <v>45922</v>
      </c>
      <c r="N25" s="488"/>
    </row>
    <row r="26" spans="1:14" ht="25.15" customHeight="1">
      <c r="A26" s="488">
        <f t="shared" si="0"/>
        <v>24</v>
      </c>
      <c r="B26" s="488" t="s">
        <v>176</v>
      </c>
      <c r="C26" s="488" t="s">
        <v>350</v>
      </c>
      <c r="D26" s="488" t="s">
        <v>351</v>
      </c>
      <c r="E26" s="489">
        <f>3.264+35.862</f>
        <v>39.126000000000005</v>
      </c>
      <c r="F26" s="490">
        <v>45921</v>
      </c>
      <c r="G26" s="491"/>
      <c r="H26" s="488" t="s">
        <v>38</v>
      </c>
      <c r="I26" s="490">
        <v>45934</v>
      </c>
      <c r="J26" s="492"/>
      <c r="K26" s="493" t="s">
        <v>379</v>
      </c>
      <c r="L26" s="488" t="s">
        <v>353</v>
      </c>
      <c r="M26" s="490">
        <v>45938</v>
      </c>
      <c r="N26" s="488"/>
    </row>
    <row r="27" spans="1:14" ht="25.15" customHeight="1">
      <c r="A27" s="488">
        <f t="shared" si="0"/>
        <v>25</v>
      </c>
      <c r="B27" s="488" t="s">
        <v>380</v>
      </c>
      <c r="C27" s="488" t="s">
        <v>350</v>
      </c>
      <c r="D27" s="488" t="s">
        <v>351</v>
      </c>
      <c r="E27" s="489">
        <f>3.264+35.862</f>
        <v>39.126000000000005</v>
      </c>
      <c r="F27" s="490">
        <v>45919</v>
      </c>
      <c r="G27" s="491"/>
      <c r="H27" s="488" t="s">
        <v>38</v>
      </c>
      <c r="I27" s="490">
        <v>45935</v>
      </c>
      <c r="J27" s="492"/>
      <c r="K27" s="493" t="s">
        <v>381</v>
      </c>
      <c r="L27" s="488" t="s">
        <v>353</v>
      </c>
      <c r="M27" s="490">
        <v>45941</v>
      </c>
      <c r="N27" s="488"/>
    </row>
    <row r="28" spans="1:14" ht="25.15" customHeight="1">
      <c r="A28" s="488">
        <f t="shared" si="0"/>
        <v>26</v>
      </c>
      <c r="B28" s="488" t="s">
        <v>382</v>
      </c>
      <c r="C28" s="488" t="s">
        <v>357</v>
      </c>
      <c r="D28" s="488" t="s">
        <v>351</v>
      </c>
      <c r="E28" s="489">
        <f>3.486+37.148</f>
        <v>40.634</v>
      </c>
      <c r="F28" s="490">
        <v>45924</v>
      </c>
      <c r="G28" s="491"/>
      <c r="H28" s="488" t="s">
        <v>38</v>
      </c>
      <c r="I28" s="490">
        <v>45940</v>
      </c>
      <c r="J28" s="492"/>
      <c r="K28" s="493" t="s">
        <v>379</v>
      </c>
      <c r="L28" s="488" t="s">
        <v>353</v>
      </c>
      <c r="M28" s="490">
        <v>45921</v>
      </c>
      <c r="N28" s="488"/>
    </row>
    <row r="29" spans="1:14" s="507" customFormat="1" ht="25.15" customHeight="1">
      <c r="A29" s="488">
        <f t="shared" si="0"/>
        <v>27</v>
      </c>
      <c r="B29" s="508" t="s">
        <v>383</v>
      </c>
      <c r="C29" s="508" t="s">
        <v>350</v>
      </c>
      <c r="D29" s="508" t="s">
        <v>274</v>
      </c>
      <c r="E29" s="506">
        <f>5.618+57.728</f>
        <v>63.346000000000004</v>
      </c>
      <c r="F29" s="509">
        <v>45780</v>
      </c>
      <c r="G29" s="498"/>
      <c r="H29" s="508" t="s">
        <v>38</v>
      </c>
      <c r="I29" s="509">
        <v>45792</v>
      </c>
      <c r="J29" s="504"/>
      <c r="K29" s="510" t="s">
        <v>355</v>
      </c>
      <c r="L29" s="513" t="s">
        <v>384</v>
      </c>
      <c r="M29" s="513"/>
      <c r="N29" s="508"/>
    </row>
    <row r="30" spans="1:14" ht="25.15" customHeight="1">
      <c r="A30" s="488">
        <f t="shared" si="0"/>
        <v>28</v>
      </c>
      <c r="B30" s="488" t="s">
        <v>385</v>
      </c>
      <c r="C30" s="488" t="s">
        <v>350</v>
      </c>
      <c r="D30" s="488" t="s">
        <v>351</v>
      </c>
      <c r="E30" s="489">
        <f>3.264+35.862</f>
        <v>39.126000000000005</v>
      </c>
      <c r="F30" s="490">
        <v>45792</v>
      </c>
      <c r="G30" s="491"/>
      <c r="H30" s="488" t="s">
        <v>38</v>
      </c>
      <c r="I30" s="490">
        <v>45800</v>
      </c>
      <c r="J30" s="492"/>
      <c r="K30" s="493" t="s">
        <v>355</v>
      </c>
      <c r="L30" s="513" t="s">
        <v>384</v>
      </c>
      <c r="M30" s="513"/>
      <c r="N30" s="488"/>
    </row>
    <row r="31" spans="1:14" ht="25.15" customHeight="1">
      <c r="A31" s="488">
        <f t="shared" si="0"/>
        <v>29</v>
      </c>
      <c r="B31" s="488" t="s">
        <v>386</v>
      </c>
      <c r="C31" s="488" t="s">
        <v>350</v>
      </c>
      <c r="D31" s="488" t="s">
        <v>274</v>
      </c>
      <c r="E31" s="506">
        <f>5.618+57.728</f>
        <v>63.346000000000004</v>
      </c>
      <c r="F31" s="490">
        <v>45796</v>
      </c>
      <c r="G31" s="491"/>
      <c r="H31" s="488" t="s">
        <v>38</v>
      </c>
      <c r="I31" s="490">
        <v>45808</v>
      </c>
      <c r="J31" s="492"/>
      <c r="K31" s="493" t="s">
        <v>355</v>
      </c>
      <c r="L31" s="513" t="s">
        <v>384</v>
      </c>
      <c r="M31" s="513"/>
      <c r="N31" s="488"/>
    </row>
    <row r="32" spans="1:14" ht="25.15" customHeight="1">
      <c r="A32" s="488">
        <f t="shared" si="0"/>
        <v>30</v>
      </c>
      <c r="B32" s="488" t="s">
        <v>387</v>
      </c>
      <c r="C32" s="488" t="s">
        <v>350</v>
      </c>
      <c r="D32" s="488" t="s">
        <v>351</v>
      </c>
      <c r="E32" s="489">
        <f>3.264+35.862</f>
        <v>39.126000000000005</v>
      </c>
      <c r="F32" s="490">
        <v>45794</v>
      </c>
      <c r="G32" s="491"/>
      <c r="H32" s="488" t="s">
        <v>38</v>
      </c>
      <c r="I32" s="490">
        <v>45805</v>
      </c>
      <c r="J32" s="492"/>
      <c r="K32" s="493" t="s">
        <v>355</v>
      </c>
      <c r="L32" s="513" t="s">
        <v>384</v>
      </c>
      <c r="M32" s="513"/>
      <c r="N32" s="488"/>
    </row>
    <row r="33" spans="1:14" ht="25.15" customHeight="1">
      <c r="A33" s="488">
        <f t="shared" si="0"/>
        <v>31</v>
      </c>
      <c r="B33" s="488" t="s">
        <v>388</v>
      </c>
      <c r="C33" s="488" t="s">
        <v>389</v>
      </c>
      <c r="D33" s="488" t="s">
        <v>351</v>
      </c>
      <c r="E33" s="489">
        <f>5.555+59.58</f>
        <v>65.134999999999991</v>
      </c>
      <c r="F33" s="490">
        <v>45925</v>
      </c>
      <c r="G33" s="491"/>
      <c r="H33" s="488" t="s">
        <v>38</v>
      </c>
      <c r="I33" s="490">
        <v>45949</v>
      </c>
      <c r="J33" s="492"/>
      <c r="K33" s="493" t="s">
        <v>381</v>
      </c>
      <c r="L33" s="488" t="s">
        <v>353</v>
      </c>
      <c r="M33" s="490">
        <v>45969</v>
      </c>
      <c r="N33" s="488"/>
    </row>
    <row r="34" spans="1:14" ht="25.15" customHeight="1">
      <c r="A34" s="488">
        <f t="shared" si="0"/>
        <v>32</v>
      </c>
      <c r="B34" s="488" t="s">
        <v>138</v>
      </c>
      <c r="C34" s="488" t="s">
        <v>357</v>
      </c>
      <c r="D34" s="488" t="s">
        <v>351</v>
      </c>
      <c r="E34" s="489">
        <f>3.486+37.148</f>
        <v>40.634</v>
      </c>
      <c r="F34" s="490">
        <v>45945</v>
      </c>
      <c r="G34" s="491"/>
      <c r="H34" s="488" t="s">
        <v>38</v>
      </c>
      <c r="I34" s="490">
        <v>45954</v>
      </c>
      <c r="J34" s="492"/>
      <c r="K34" s="493" t="s">
        <v>379</v>
      </c>
      <c r="L34" s="488" t="s">
        <v>353</v>
      </c>
      <c r="M34" s="490">
        <v>46022</v>
      </c>
      <c r="N34" s="488"/>
    </row>
    <row r="35" spans="1:14" ht="25.15" customHeight="1">
      <c r="A35" s="488">
        <f t="shared" si="0"/>
        <v>33</v>
      </c>
      <c r="B35" s="488" t="s">
        <v>390</v>
      </c>
      <c r="C35" s="488" t="s">
        <v>350</v>
      </c>
      <c r="D35" s="488" t="s">
        <v>351</v>
      </c>
      <c r="E35" s="489">
        <f>3.264+35.862</f>
        <v>39.126000000000005</v>
      </c>
      <c r="F35" s="490">
        <v>45910</v>
      </c>
      <c r="G35" s="491"/>
      <c r="H35" s="488" t="s">
        <v>38</v>
      </c>
      <c r="I35" s="490">
        <v>45980</v>
      </c>
      <c r="J35" s="492"/>
      <c r="K35" s="493" t="s">
        <v>379</v>
      </c>
      <c r="L35" s="488" t="s">
        <v>353</v>
      </c>
      <c r="M35" s="490">
        <v>45987</v>
      </c>
      <c r="N35" s="488"/>
    </row>
    <row r="36" spans="1:14" ht="25.15" customHeight="1">
      <c r="A36" s="488">
        <f t="shared" si="0"/>
        <v>34</v>
      </c>
      <c r="B36" s="488" t="s">
        <v>136</v>
      </c>
      <c r="C36" s="488" t="s">
        <v>391</v>
      </c>
      <c r="D36" s="488" t="s">
        <v>351</v>
      </c>
      <c r="E36" s="489">
        <f>4.38+50.612</f>
        <v>54.992000000000004</v>
      </c>
      <c r="F36" s="490">
        <v>45972</v>
      </c>
      <c r="G36" s="491"/>
      <c r="H36" s="488" t="s">
        <v>38</v>
      </c>
      <c r="I36" s="490">
        <v>45985</v>
      </c>
      <c r="J36" s="492"/>
      <c r="K36" s="493" t="s">
        <v>355</v>
      </c>
      <c r="L36" s="488" t="s">
        <v>353</v>
      </c>
      <c r="M36" s="490">
        <v>45989</v>
      </c>
      <c r="N36" s="488"/>
    </row>
    <row r="37" spans="1:14" ht="25.15" customHeight="1">
      <c r="A37" s="488">
        <f t="shared" si="0"/>
        <v>35</v>
      </c>
      <c r="B37" s="488" t="s">
        <v>392</v>
      </c>
      <c r="C37" s="488" t="s">
        <v>393</v>
      </c>
      <c r="D37" s="488" t="s">
        <v>351</v>
      </c>
      <c r="E37" s="489">
        <f>4.38+50.612</f>
        <v>54.992000000000004</v>
      </c>
      <c r="F37" s="490">
        <v>45972</v>
      </c>
      <c r="G37" s="491"/>
      <c r="H37" s="488" t="s">
        <v>38</v>
      </c>
      <c r="I37" s="490">
        <v>45985</v>
      </c>
      <c r="J37" s="492"/>
      <c r="K37" s="493" t="s">
        <v>394</v>
      </c>
      <c r="L37" s="488" t="s">
        <v>353</v>
      </c>
      <c r="M37" s="490">
        <v>45988</v>
      </c>
      <c r="N37" s="488"/>
    </row>
    <row r="38" spans="1:14" ht="25.15" customHeight="1">
      <c r="A38" s="488">
        <f t="shared" si="0"/>
        <v>36</v>
      </c>
      <c r="B38" s="488" t="s">
        <v>395</v>
      </c>
      <c r="C38" s="488" t="s">
        <v>396</v>
      </c>
      <c r="D38" s="488" t="s">
        <v>351</v>
      </c>
      <c r="E38" s="489">
        <f>3.264+35.862</f>
        <v>39.126000000000005</v>
      </c>
      <c r="F38" s="490">
        <v>45979</v>
      </c>
      <c r="G38" s="491"/>
      <c r="H38" s="488" t="s">
        <v>38</v>
      </c>
      <c r="I38" s="490">
        <v>45988</v>
      </c>
      <c r="J38" s="492"/>
      <c r="K38" s="493" t="s">
        <v>379</v>
      </c>
      <c r="L38" s="488" t="s">
        <v>353</v>
      </c>
      <c r="M38" s="490">
        <v>45989</v>
      </c>
      <c r="N38" s="488"/>
    </row>
    <row r="39" spans="1:14" ht="25.15" customHeight="1">
      <c r="A39" s="488">
        <f t="shared" si="0"/>
        <v>37</v>
      </c>
      <c r="B39" s="488" t="s">
        <v>397</v>
      </c>
      <c r="C39" s="488" t="s">
        <v>357</v>
      </c>
      <c r="D39" s="488" t="s">
        <v>274</v>
      </c>
      <c r="E39" s="489">
        <f>5.951+59.68</f>
        <v>65.631</v>
      </c>
      <c r="F39" s="490">
        <v>45976</v>
      </c>
      <c r="G39" s="491"/>
      <c r="H39" s="488" t="s">
        <v>38</v>
      </c>
      <c r="I39" s="490">
        <v>45991</v>
      </c>
      <c r="J39" s="492"/>
      <c r="K39" s="493" t="s">
        <v>398</v>
      </c>
      <c r="L39" s="488" t="s">
        <v>353</v>
      </c>
      <c r="M39" s="490">
        <v>46013</v>
      </c>
      <c r="N39" s="488"/>
    </row>
    <row r="40" spans="1:14" ht="25.15" customHeight="1">
      <c r="A40" s="488">
        <f t="shared" si="0"/>
        <v>38</v>
      </c>
      <c r="B40" s="488" t="s">
        <v>177</v>
      </c>
      <c r="C40" s="488" t="s">
        <v>399</v>
      </c>
      <c r="D40" s="488" t="s">
        <v>351</v>
      </c>
      <c r="E40" s="489">
        <f>3.486+37.148</f>
        <v>40.634</v>
      </c>
      <c r="F40" s="490">
        <v>45991</v>
      </c>
      <c r="G40" s="491"/>
      <c r="H40" s="488" t="s">
        <v>38</v>
      </c>
      <c r="I40" s="490">
        <v>45998</v>
      </c>
      <c r="J40" s="492"/>
      <c r="K40" s="493" t="s">
        <v>394</v>
      </c>
      <c r="L40" s="488" t="s">
        <v>353</v>
      </c>
      <c r="M40" s="490">
        <v>46000</v>
      </c>
      <c r="N40" s="488"/>
    </row>
    <row r="41" spans="1:14" ht="25.15" customHeight="1">
      <c r="A41" s="488">
        <f t="shared" si="0"/>
        <v>39</v>
      </c>
      <c r="B41" s="488" t="s">
        <v>400</v>
      </c>
      <c r="C41" s="488" t="s">
        <v>373</v>
      </c>
      <c r="D41" s="488" t="s">
        <v>351</v>
      </c>
      <c r="E41" s="489">
        <f>7.224+85.068</f>
        <v>92.292000000000002</v>
      </c>
      <c r="F41" s="490">
        <v>45991</v>
      </c>
      <c r="G41" s="491"/>
      <c r="H41" s="488" t="s">
        <v>38</v>
      </c>
      <c r="I41" s="490">
        <v>46000</v>
      </c>
      <c r="J41" s="492"/>
      <c r="K41" s="493" t="s">
        <v>379</v>
      </c>
      <c r="L41" s="488" t="s">
        <v>353</v>
      </c>
      <c r="M41" s="490">
        <v>46000</v>
      </c>
      <c r="N41" s="488"/>
    </row>
    <row r="42" spans="1:14" ht="25.15" customHeight="1">
      <c r="A42" s="488">
        <f t="shared" si="0"/>
        <v>40</v>
      </c>
      <c r="B42" s="488" t="s">
        <v>178</v>
      </c>
      <c r="C42" s="488" t="s">
        <v>350</v>
      </c>
      <c r="D42" s="488" t="s">
        <v>351</v>
      </c>
      <c r="E42" s="489">
        <f>3.264+35.862</f>
        <v>39.126000000000005</v>
      </c>
      <c r="F42" s="490">
        <v>45976</v>
      </c>
      <c r="G42" s="491"/>
      <c r="H42" s="488" t="s">
        <v>38</v>
      </c>
      <c r="I42" s="490">
        <v>46000</v>
      </c>
      <c r="J42" s="492"/>
      <c r="K42" s="493" t="s">
        <v>401</v>
      </c>
      <c r="L42" s="488" t="s">
        <v>353</v>
      </c>
      <c r="M42" s="490">
        <v>46005</v>
      </c>
      <c r="N42" s="488"/>
    </row>
    <row r="43" spans="1:14" ht="25.15" customHeight="1">
      <c r="A43" s="488">
        <f t="shared" si="0"/>
        <v>41</v>
      </c>
      <c r="B43" s="488" t="s">
        <v>180</v>
      </c>
      <c r="C43" s="488" t="s">
        <v>350</v>
      </c>
      <c r="D43" s="488" t="s">
        <v>274</v>
      </c>
      <c r="E43" s="489">
        <f>5.618+57.728</f>
        <v>63.346000000000004</v>
      </c>
      <c r="F43" s="490">
        <v>45988</v>
      </c>
      <c r="G43" s="491"/>
      <c r="H43" s="488" t="s">
        <v>38</v>
      </c>
      <c r="I43" s="490">
        <v>46005</v>
      </c>
      <c r="J43" s="492"/>
      <c r="K43" s="495" t="s">
        <v>402</v>
      </c>
      <c r="L43" s="488" t="s">
        <v>353</v>
      </c>
      <c r="M43" s="490">
        <v>46004</v>
      </c>
      <c r="N43" s="488"/>
    </row>
    <row r="44" spans="1:14" ht="25.15" customHeight="1">
      <c r="A44" s="488">
        <f t="shared" si="0"/>
        <v>42</v>
      </c>
      <c r="B44" s="488" t="s">
        <v>403</v>
      </c>
      <c r="C44" s="488" t="s">
        <v>350</v>
      </c>
      <c r="D44" s="488" t="s">
        <v>274</v>
      </c>
      <c r="E44" s="489">
        <f>5.618+57.728</f>
        <v>63.346000000000004</v>
      </c>
      <c r="F44" s="490">
        <v>45992</v>
      </c>
      <c r="G44" s="491"/>
      <c r="H44" s="488" t="s">
        <v>38</v>
      </c>
      <c r="I44" s="490">
        <v>46014</v>
      </c>
      <c r="J44" s="492"/>
      <c r="K44" s="493" t="s">
        <v>398</v>
      </c>
      <c r="L44" s="488" t="s">
        <v>353</v>
      </c>
      <c r="M44" s="490">
        <v>46016</v>
      </c>
      <c r="N44" s="488"/>
    </row>
    <row r="45" spans="1:14" ht="25.15" customHeight="1">
      <c r="A45" s="488">
        <f t="shared" si="0"/>
        <v>43</v>
      </c>
      <c r="B45" s="488" t="s">
        <v>404</v>
      </c>
      <c r="C45" s="488" t="s">
        <v>350</v>
      </c>
      <c r="D45" s="488" t="s">
        <v>274</v>
      </c>
      <c r="E45" s="489">
        <f>5.618+57.728</f>
        <v>63.346000000000004</v>
      </c>
      <c r="F45" s="490">
        <v>45992</v>
      </c>
      <c r="G45" s="491"/>
      <c r="H45" s="488" t="s">
        <v>38</v>
      </c>
      <c r="I45" s="490">
        <v>46018</v>
      </c>
      <c r="J45" s="492"/>
      <c r="K45" s="493" t="s">
        <v>381</v>
      </c>
      <c r="L45" s="488" t="s">
        <v>353</v>
      </c>
      <c r="M45" s="490">
        <v>46019</v>
      </c>
      <c r="N45" s="488"/>
    </row>
    <row r="46" spans="1:14" ht="25.15" customHeight="1">
      <c r="A46" s="488">
        <f t="shared" si="0"/>
        <v>44</v>
      </c>
      <c r="B46" s="488" t="s">
        <v>405</v>
      </c>
      <c r="C46" s="488" t="s">
        <v>350</v>
      </c>
      <c r="D46" s="488" t="s">
        <v>274</v>
      </c>
      <c r="E46" s="489">
        <f>5.618+57.728</f>
        <v>63.346000000000004</v>
      </c>
      <c r="F46" s="490">
        <v>46001</v>
      </c>
      <c r="G46" s="491"/>
      <c r="H46" s="488" t="s">
        <v>38</v>
      </c>
      <c r="I46" s="490">
        <v>46020</v>
      </c>
      <c r="J46" s="492"/>
      <c r="K46" s="493" t="s">
        <v>394</v>
      </c>
      <c r="L46" s="488" t="s">
        <v>353</v>
      </c>
      <c r="M46" s="490">
        <v>46019</v>
      </c>
      <c r="N46" s="488"/>
    </row>
    <row r="47" spans="1:14" ht="25.15" customHeight="1">
      <c r="A47" s="488">
        <f t="shared" si="0"/>
        <v>45</v>
      </c>
      <c r="B47" s="488" t="s">
        <v>406</v>
      </c>
      <c r="C47" s="488" t="s">
        <v>350</v>
      </c>
      <c r="D47" s="488" t="s">
        <v>274</v>
      </c>
      <c r="E47" s="489">
        <f>5.618+57.728</f>
        <v>63.346000000000004</v>
      </c>
      <c r="F47" s="490">
        <v>46012</v>
      </c>
      <c r="G47" s="491"/>
      <c r="H47" s="488" t="s">
        <v>38</v>
      </c>
      <c r="I47" s="490">
        <v>46021</v>
      </c>
      <c r="J47" s="492"/>
      <c r="K47" s="495" t="s">
        <v>402</v>
      </c>
      <c r="L47" s="488" t="s">
        <v>353</v>
      </c>
      <c r="M47" s="490">
        <v>46021</v>
      </c>
      <c r="N47" s="488"/>
    </row>
    <row r="48" spans="1:14" ht="25.15" customHeight="1">
      <c r="A48" s="488">
        <f t="shared" si="0"/>
        <v>46</v>
      </c>
      <c r="B48" s="488" t="s">
        <v>140</v>
      </c>
      <c r="C48" s="488" t="s">
        <v>302</v>
      </c>
      <c r="D48" s="488" t="s">
        <v>351</v>
      </c>
      <c r="E48" s="489">
        <f>9.059+119.368</f>
        <v>128.42699999999999</v>
      </c>
      <c r="F48" s="490">
        <v>46007</v>
      </c>
      <c r="G48" s="491"/>
      <c r="H48" s="488" t="s">
        <v>38</v>
      </c>
      <c r="I48" s="490">
        <v>46021</v>
      </c>
      <c r="J48" s="492"/>
      <c r="K48" s="493" t="s">
        <v>379</v>
      </c>
      <c r="L48" s="488" t="s">
        <v>353</v>
      </c>
      <c r="M48" s="490">
        <v>46023</v>
      </c>
      <c r="N48" s="488"/>
    </row>
    <row r="49" spans="1:14" ht="25.15" customHeight="1">
      <c r="A49" s="488">
        <f t="shared" si="0"/>
        <v>47</v>
      </c>
      <c r="B49" s="488" t="s">
        <v>407</v>
      </c>
      <c r="C49" s="488" t="s">
        <v>350</v>
      </c>
      <c r="D49" s="488" t="s">
        <v>274</v>
      </c>
      <c r="E49" s="489">
        <f>5.618+57.728</f>
        <v>63.346000000000004</v>
      </c>
      <c r="F49" s="490">
        <v>46001</v>
      </c>
      <c r="G49" s="491"/>
      <c r="H49" s="488" t="s">
        <v>38</v>
      </c>
      <c r="I49" s="490">
        <v>46022</v>
      </c>
      <c r="J49" s="492"/>
      <c r="K49" s="493" t="s">
        <v>379</v>
      </c>
      <c r="L49" s="488" t="s">
        <v>353</v>
      </c>
      <c r="M49" s="490">
        <v>46023</v>
      </c>
      <c r="N49" s="488"/>
    </row>
    <row r="50" spans="1:14" ht="25.15" customHeight="1">
      <c r="A50" s="488">
        <f t="shared" si="0"/>
        <v>48</v>
      </c>
      <c r="B50" s="488" t="s">
        <v>408</v>
      </c>
      <c r="C50" s="488" t="s">
        <v>350</v>
      </c>
      <c r="D50" s="488" t="s">
        <v>274</v>
      </c>
      <c r="E50" s="489">
        <f>5.618+57.728</f>
        <v>63.346000000000004</v>
      </c>
      <c r="F50" s="490">
        <v>46012</v>
      </c>
      <c r="G50" s="491"/>
      <c r="H50" s="488" t="s">
        <v>38</v>
      </c>
      <c r="I50" s="490">
        <v>46026</v>
      </c>
      <c r="J50" s="492"/>
      <c r="K50" s="503" t="s">
        <v>409</v>
      </c>
      <c r="L50" s="488" t="s">
        <v>353</v>
      </c>
      <c r="M50" s="490">
        <v>46069</v>
      </c>
      <c r="N50" s="488"/>
    </row>
    <row r="51" spans="1:14" ht="25.15" customHeight="1">
      <c r="A51" s="488">
        <f t="shared" si="0"/>
        <v>49</v>
      </c>
      <c r="B51" s="488" t="s">
        <v>410</v>
      </c>
      <c r="C51" s="488" t="s">
        <v>396</v>
      </c>
      <c r="D51" s="488" t="s">
        <v>351</v>
      </c>
      <c r="E51" s="489">
        <v>39.125999999999998</v>
      </c>
      <c r="F51" s="490">
        <v>46023</v>
      </c>
      <c r="G51" s="491"/>
      <c r="H51" s="488" t="s">
        <v>38</v>
      </c>
      <c r="I51" s="490">
        <v>46030</v>
      </c>
      <c r="J51" s="492"/>
      <c r="K51" s="493" t="s">
        <v>394</v>
      </c>
      <c r="L51" s="488" t="s">
        <v>353</v>
      </c>
      <c r="M51" s="490">
        <v>46031</v>
      </c>
      <c r="N51" s="488"/>
    </row>
    <row r="52" spans="1:14" ht="25.15" customHeight="1">
      <c r="A52" s="488">
        <f t="shared" si="0"/>
        <v>50</v>
      </c>
      <c r="B52" s="488" t="s">
        <v>411</v>
      </c>
      <c r="C52" s="488" t="s">
        <v>300</v>
      </c>
      <c r="D52" s="488" t="s">
        <v>274</v>
      </c>
      <c r="E52" s="496">
        <f>83.272+6.633</f>
        <v>89.905000000000001</v>
      </c>
      <c r="F52" s="490">
        <v>46006</v>
      </c>
      <c r="G52" s="491"/>
      <c r="H52" s="488" t="s">
        <v>38</v>
      </c>
      <c r="I52" s="490">
        <v>46035</v>
      </c>
      <c r="J52" s="492"/>
      <c r="K52" s="495" t="s">
        <v>402</v>
      </c>
      <c r="L52" s="488" t="s">
        <v>353</v>
      </c>
      <c r="M52" s="490">
        <v>46035</v>
      </c>
      <c r="N52" s="488"/>
    </row>
    <row r="53" spans="1:14" ht="25.15" customHeight="1">
      <c r="A53" s="488">
        <f t="shared" si="0"/>
        <v>51</v>
      </c>
      <c r="B53" s="488" t="s">
        <v>412</v>
      </c>
      <c r="C53" s="488" t="s">
        <v>350</v>
      </c>
      <c r="D53" s="488" t="s">
        <v>274</v>
      </c>
      <c r="E53" s="489">
        <f>5.618+57.728</f>
        <v>63.346000000000004</v>
      </c>
      <c r="F53" s="490">
        <v>46027</v>
      </c>
      <c r="G53" s="491"/>
      <c r="H53" s="488" t="s">
        <v>38</v>
      </c>
      <c r="I53" s="490">
        <v>46035</v>
      </c>
      <c r="J53" s="492"/>
      <c r="K53" s="493" t="s">
        <v>413</v>
      </c>
      <c r="L53" s="488" t="s">
        <v>353</v>
      </c>
      <c r="M53" s="490">
        <v>46031</v>
      </c>
      <c r="N53" s="488"/>
    </row>
    <row r="54" spans="1:14" ht="25.15" customHeight="1">
      <c r="A54" s="488">
        <f t="shared" si="0"/>
        <v>52</v>
      </c>
      <c r="B54" s="488" t="s">
        <v>414</v>
      </c>
      <c r="C54" s="488" t="s">
        <v>335</v>
      </c>
      <c r="D54" s="488" t="s">
        <v>274</v>
      </c>
      <c r="E54" s="489">
        <f>72.684+7.26</f>
        <v>79.944000000000003</v>
      </c>
      <c r="F54" s="490">
        <v>46031</v>
      </c>
      <c r="G54" s="491"/>
      <c r="H54" s="488" t="s">
        <v>38</v>
      </c>
      <c r="I54" s="490">
        <v>46043</v>
      </c>
      <c r="J54" s="492"/>
      <c r="K54" s="503" t="s">
        <v>409</v>
      </c>
      <c r="L54" s="488" t="s">
        <v>353</v>
      </c>
      <c r="M54" s="490">
        <v>46045</v>
      </c>
      <c r="N54" s="488"/>
    </row>
    <row r="55" spans="1:14" ht="25.15" customHeight="1">
      <c r="A55" s="488">
        <f t="shared" si="0"/>
        <v>53</v>
      </c>
      <c r="B55" s="488" t="s">
        <v>415</v>
      </c>
      <c r="C55" s="488" t="s">
        <v>399</v>
      </c>
      <c r="D55" s="488" t="s">
        <v>416</v>
      </c>
      <c r="E55" s="489">
        <f>8.411+86.212</f>
        <v>94.623000000000005</v>
      </c>
      <c r="F55" s="490">
        <v>46038</v>
      </c>
      <c r="G55" s="491"/>
      <c r="H55" s="488" t="s">
        <v>38</v>
      </c>
      <c r="I55" s="490">
        <v>46047</v>
      </c>
      <c r="J55" s="492"/>
      <c r="K55" s="493" t="s">
        <v>413</v>
      </c>
      <c r="L55" s="488" t="s">
        <v>353</v>
      </c>
      <c r="M55" s="490">
        <v>46049</v>
      </c>
      <c r="N55" s="488"/>
    </row>
    <row r="56" spans="1:14" ht="25.15" customHeight="1">
      <c r="A56" s="488">
        <f t="shared" si="0"/>
        <v>54</v>
      </c>
      <c r="B56" s="488" t="s">
        <v>417</v>
      </c>
      <c r="C56" s="488" t="s">
        <v>396</v>
      </c>
      <c r="D56" s="488" t="s">
        <v>274</v>
      </c>
      <c r="E56" s="489">
        <f>5.618+57.728</f>
        <v>63.346000000000004</v>
      </c>
      <c r="F56" s="490">
        <v>46030</v>
      </c>
      <c r="G56" s="491"/>
      <c r="H56" s="488" t="s">
        <v>38</v>
      </c>
      <c r="I56" s="490">
        <v>46052</v>
      </c>
      <c r="J56" s="492"/>
      <c r="K56" s="493" t="s">
        <v>381</v>
      </c>
      <c r="L56" s="488" t="s">
        <v>353</v>
      </c>
      <c r="M56" s="490">
        <v>46055</v>
      </c>
      <c r="N56" s="488"/>
    </row>
    <row r="57" spans="1:14" ht="25.15" customHeight="1">
      <c r="A57" s="488">
        <f t="shared" si="0"/>
        <v>55</v>
      </c>
      <c r="B57" s="488" t="s">
        <v>418</v>
      </c>
      <c r="C57" s="488" t="s">
        <v>300</v>
      </c>
      <c r="D57" s="488" t="s">
        <v>351</v>
      </c>
      <c r="E57" s="489">
        <f>57.588+5.294</f>
        <v>62.881999999999998</v>
      </c>
      <c r="F57" s="490">
        <v>46049</v>
      </c>
      <c r="G57" s="491"/>
      <c r="H57" s="488" t="s">
        <v>38</v>
      </c>
      <c r="I57" s="490">
        <v>46055</v>
      </c>
      <c r="J57" s="492"/>
      <c r="K57" s="495" t="s">
        <v>402</v>
      </c>
      <c r="L57" s="488" t="s">
        <v>353</v>
      </c>
      <c r="M57" s="490">
        <v>45690</v>
      </c>
      <c r="N57" s="488"/>
    </row>
    <row r="58" spans="1:14" ht="25.15" customHeight="1">
      <c r="A58" s="488">
        <f t="shared" si="0"/>
        <v>56</v>
      </c>
      <c r="B58" s="488" t="s">
        <v>419</v>
      </c>
      <c r="C58" s="488" t="s">
        <v>302</v>
      </c>
      <c r="D58" s="488" t="s">
        <v>420</v>
      </c>
      <c r="E58" s="489">
        <f>289.172+21.966</f>
        <v>311.13800000000003</v>
      </c>
      <c r="F58" s="490">
        <v>46028</v>
      </c>
      <c r="G58" s="491"/>
      <c r="H58" s="488" t="s">
        <v>38</v>
      </c>
      <c r="I58" s="490">
        <v>46056</v>
      </c>
      <c r="J58" s="492"/>
      <c r="K58" s="493" t="s">
        <v>394</v>
      </c>
      <c r="L58" s="488" t="s">
        <v>353</v>
      </c>
      <c r="M58" s="490">
        <v>46057</v>
      </c>
      <c r="N58" s="488"/>
    </row>
    <row r="59" spans="1:14" ht="25.15" customHeight="1">
      <c r="A59" s="488">
        <f t="shared" si="0"/>
        <v>57</v>
      </c>
      <c r="B59" s="488" t="s">
        <v>421</v>
      </c>
      <c r="C59" s="488" t="s">
        <v>399</v>
      </c>
      <c r="D59" s="488" t="s">
        <v>274</v>
      </c>
      <c r="E59" s="489">
        <f>5.951+59.68</f>
        <v>65.631</v>
      </c>
      <c r="F59" s="490">
        <v>46054</v>
      </c>
      <c r="G59" s="491"/>
      <c r="H59" s="488" t="s">
        <v>38</v>
      </c>
      <c r="I59" s="490">
        <v>46063</v>
      </c>
      <c r="J59" s="492"/>
      <c r="K59" s="503" t="s">
        <v>409</v>
      </c>
      <c r="L59" s="488" t="s">
        <v>353</v>
      </c>
      <c r="M59" s="490">
        <v>46065</v>
      </c>
      <c r="N59" s="488"/>
    </row>
    <row r="60" spans="1:14" ht="25.15" customHeight="1">
      <c r="A60" s="488">
        <f t="shared" si="0"/>
        <v>58</v>
      </c>
      <c r="B60" s="488" t="s">
        <v>422</v>
      </c>
      <c r="C60" s="488" t="s">
        <v>350</v>
      </c>
      <c r="D60" s="488" t="s">
        <v>274</v>
      </c>
      <c r="E60" s="489">
        <f>5.618+57.728</f>
        <v>63.346000000000004</v>
      </c>
      <c r="F60" s="490">
        <v>46055</v>
      </c>
      <c r="G60" s="491"/>
      <c r="H60" s="488" t="s">
        <v>38</v>
      </c>
      <c r="I60" s="490">
        <v>46065</v>
      </c>
      <c r="J60" s="492"/>
      <c r="K60" s="493" t="s">
        <v>402</v>
      </c>
      <c r="L60" s="488" t="s">
        <v>353</v>
      </c>
      <c r="M60" s="490">
        <v>46066</v>
      </c>
      <c r="N60" s="488"/>
    </row>
    <row r="61" spans="1:14" ht="25.15" customHeight="1">
      <c r="A61" s="488">
        <f t="shared" si="0"/>
        <v>59</v>
      </c>
      <c r="B61" s="488" t="s">
        <v>423</v>
      </c>
      <c r="C61" s="488" t="s">
        <v>350</v>
      </c>
      <c r="D61" s="488" t="s">
        <v>274</v>
      </c>
      <c r="E61" s="489">
        <f>5.618+57.728</f>
        <v>63.346000000000004</v>
      </c>
      <c r="F61" s="490">
        <v>46056</v>
      </c>
      <c r="G61" s="491"/>
      <c r="H61" s="488" t="s">
        <v>38</v>
      </c>
      <c r="I61" s="490">
        <v>46067</v>
      </c>
      <c r="J61" s="492"/>
      <c r="K61" s="493" t="s">
        <v>424</v>
      </c>
      <c r="L61" s="488" t="s">
        <v>353</v>
      </c>
      <c r="M61" s="490">
        <v>46067</v>
      </c>
      <c r="N61" s="488"/>
    </row>
    <row r="62" spans="1:14" ht="25.15" customHeight="1">
      <c r="A62" s="488">
        <f t="shared" si="0"/>
        <v>60</v>
      </c>
      <c r="B62" s="488" t="s">
        <v>425</v>
      </c>
      <c r="C62" s="488" t="s">
        <v>330</v>
      </c>
      <c r="D62" s="488" t="s">
        <v>274</v>
      </c>
      <c r="E62" s="496">
        <f>107.372+9.661</f>
        <v>117.033</v>
      </c>
      <c r="F62" s="490">
        <v>46054</v>
      </c>
      <c r="G62" s="491"/>
      <c r="H62" s="488" t="s">
        <v>38</v>
      </c>
      <c r="I62" s="490">
        <v>46080</v>
      </c>
      <c r="J62" s="492"/>
      <c r="K62" s="493" t="s">
        <v>426</v>
      </c>
      <c r="L62" s="488" t="s">
        <v>353</v>
      </c>
      <c r="M62" s="490">
        <v>46080</v>
      </c>
      <c r="N62" s="488"/>
    </row>
    <row r="63" spans="1:14" ht="25.15" customHeight="1">
      <c r="A63" s="488">
        <f t="shared" si="0"/>
        <v>61</v>
      </c>
      <c r="B63" s="488" t="s">
        <v>427</v>
      </c>
      <c r="C63" s="488" t="s">
        <v>292</v>
      </c>
      <c r="D63" s="488" t="s">
        <v>274</v>
      </c>
      <c r="E63" s="497">
        <f>178.06+14.314</f>
        <v>192.374</v>
      </c>
      <c r="F63" s="490">
        <v>46069</v>
      </c>
      <c r="G63" s="498"/>
      <c r="H63" s="488" t="s">
        <v>38</v>
      </c>
      <c r="I63" s="490">
        <v>46092</v>
      </c>
      <c r="J63" s="499"/>
      <c r="K63" s="495" t="s">
        <v>402</v>
      </c>
      <c r="L63" s="488" t="s">
        <v>353</v>
      </c>
      <c r="M63" s="490">
        <v>46096</v>
      </c>
      <c r="N63" s="488"/>
    </row>
    <row r="64" spans="1:14" ht="25.15" customHeight="1">
      <c r="A64" s="488">
        <f t="shared" si="0"/>
        <v>62</v>
      </c>
      <c r="B64" s="488" t="s">
        <v>428</v>
      </c>
      <c r="C64" s="488" t="s">
        <v>373</v>
      </c>
      <c r="D64" s="488" t="s">
        <v>274</v>
      </c>
      <c r="E64" s="489">
        <f>123.384+11.401</f>
        <v>134.785</v>
      </c>
      <c r="F64" s="490">
        <v>46070</v>
      </c>
      <c r="G64" s="491"/>
      <c r="H64" s="488" t="s">
        <v>38</v>
      </c>
      <c r="I64" s="490">
        <v>46103</v>
      </c>
      <c r="J64" s="492"/>
      <c r="K64" s="493" t="s">
        <v>424</v>
      </c>
      <c r="L64" s="488" t="s">
        <v>353</v>
      </c>
      <c r="M64" s="490">
        <v>46103</v>
      </c>
      <c r="N64" s="488"/>
    </row>
    <row r="65" spans="1:14" ht="25.15" customHeight="1">
      <c r="A65" s="488">
        <f t="shared" si="0"/>
        <v>63</v>
      </c>
      <c r="B65" s="488" t="s">
        <v>429</v>
      </c>
      <c r="C65" s="488" t="s">
        <v>357</v>
      </c>
      <c r="D65" s="488" t="s">
        <v>274</v>
      </c>
      <c r="E65" s="489">
        <f>59.68+5.951</f>
        <v>65.631</v>
      </c>
      <c r="F65" s="490">
        <v>46095</v>
      </c>
      <c r="G65" s="491"/>
      <c r="H65" s="488" t="s">
        <v>38</v>
      </c>
      <c r="I65" s="490">
        <v>46104</v>
      </c>
      <c r="J65" s="492"/>
      <c r="K65" s="495" t="s">
        <v>402</v>
      </c>
      <c r="L65" s="488" t="s">
        <v>353</v>
      </c>
      <c r="M65" s="490">
        <v>46105</v>
      </c>
      <c r="N65" s="488"/>
    </row>
    <row r="66" spans="1:14" ht="25.15" customHeight="1">
      <c r="A66" s="488">
        <f t="shared" si="0"/>
        <v>64</v>
      </c>
      <c r="B66" s="501" t="s">
        <v>430</v>
      </c>
      <c r="C66" s="500" t="s">
        <v>350</v>
      </c>
      <c r="D66" s="502" t="s">
        <v>274</v>
      </c>
      <c r="E66" s="489">
        <f>57.728+5.618</f>
        <v>63.346000000000004</v>
      </c>
      <c r="F66" s="490">
        <v>46070</v>
      </c>
      <c r="G66" s="491"/>
      <c r="H66" s="488" t="s">
        <v>38</v>
      </c>
      <c r="I66" s="490">
        <v>46112</v>
      </c>
      <c r="J66" s="492"/>
      <c r="K66" s="495" t="s">
        <v>402</v>
      </c>
      <c r="L66" s="488" t="s">
        <v>353</v>
      </c>
      <c r="M66" s="490">
        <v>46112</v>
      </c>
      <c r="N66" s="488"/>
    </row>
    <row r="67" spans="1:14" ht="25.15" customHeight="1">
      <c r="A67" s="488">
        <f t="shared" si="0"/>
        <v>65</v>
      </c>
      <c r="B67" s="501" t="s">
        <v>431</v>
      </c>
      <c r="C67" s="500" t="s">
        <v>350</v>
      </c>
      <c r="D67" s="502" t="s">
        <v>274</v>
      </c>
      <c r="E67" s="489">
        <f t="shared" ref="E67:E68" si="1">57.728+5.618</f>
        <v>63.346000000000004</v>
      </c>
      <c r="F67" s="490">
        <v>46126</v>
      </c>
      <c r="G67" s="491"/>
      <c r="H67" s="488" t="s">
        <v>38</v>
      </c>
      <c r="I67" s="490">
        <v>46132</v>
      </c>
      <c r="J67" s="492"/>
      <c r="K67" s="503" t="s">
        <v>409</v>
      </c>
      <c r="L67" s="513" t="s">
        <v>353</v>
      </c>
      <c r="M67" s="511">
        <v>46160</v>
      </c>
      <c r="N67" s="488"/>
    </row>
    <row r="68" spans="1:14" ht="25.15" customHeight="1">
      <c r="A68" s="488">
        <f t="shared" si="0"/>
        <v>66</v>
      </c>
      <c r="B68" s="501" t="s">
        <v>432</v>
      </c>
      <c r="C68" s="500" t="s">
        <v>350</v>
      </c>
      <c r="D68" s="502" t="s">
        <v>274</v>
      </c>
      <c r="E68" s="489">
        <f t="shared" si="1"/>
        <v>63.346000000000004</v>
      </c>
      <c r="F68" s="490">
        <v>46141</v>
      </c>
      <c r="G68" s="491" t="s">
        <v>67</v>
      </c>
      <c r="H68" s="488" t="s">
        <v>38</v>
      </c>
      <c r="I68" s="490">
        <v>46148</v>
      </c>
      <c r="J68" s="504"/>
      <c r="K68" s="503" t="s">
        <v>433</v>
      </c>
      <c r="L68" s="488" t="s">
        <v>353</v>
      </c>
      <c r="M68" s="490">
        <v>46150</v>
      </c>
      <c r="N68" s="488"/>
    </row>
    <row r="69" spans="1:14" ht="25.15" customHeight="1">
      <c r="A69" s="488">
        <f t="shared" ref="A69:A92" si="2">A68+1</f>
        <v>67</v>
      </c>
      <c r="B69" s="501" t="s">
        <v>434</v>
      </c>
      <c r="C69" s="500" t="s">
        <v>357</v>
      </c>
      <c r="D69" s="502" t="s">
        <v>274</v>
      </c>
      <c r="E69" s="489">
        <f>59.68+5.951</f>
        <v>65.631</v>
      </c>
      <c r="F69" s="490">
        <v>46114</v>
      </c>
      <c r="G69" s="491"/>
      <c r="H69" s="488" t="s">
        <v>38</v>
      </c>
      <c r="I69" s="490">
        <v>46119</v>
      </c>
      <c r="J69" s="492"/>
      <c r="K69" s="495" t="s">
        <v>433</v>
      </c>
      <c r="L69" s="488" t="s">
        <v>353</v>
      </c>
      <c r="M69" s="490">
        <v>46119</v>
      </c>
      <c r="N69" s="488"/>
    </row>
    <row r="70" spans="1:14" ht="25.15" customHeight="1">
      <c r="A70" s="488">
        <f t="shared" si="2"/>
        <v>68</v>
      </c>
      <c r="B70" s="501" t="s">
        <v>174</v>
      </c>
      <c r="C70" s="500" t="s">
        <v>298</v>
      </c>
      <c r="D70" s="502" t="s">
        <v>351</v>
      </c>
      <c r="E70" s="489">
        <f>166.88+11.31</f>
        <v>178.19</v>
      </c>
      <c r="F70" s="490">
        <v>46113</v>
      </c>
      <c r="G70" s="491"/>
      <c r="H70" s="488" t="s">
        <v>38</v>
      </c>
      <c r="I70" s="490">
        <v>46133</v>
      </c>
      <c r="J70" s="492"/>
      <c r="K70" s="495" t="s">
        <v>402</v>
      </c>
      <c r="L70" s="488" t="s">
        <v>353</v>
      </c>
      <c r="M70" s="490">
        <v>46134</v>
      </c>
      <c r="N70" s="488"/>
    </row>
    <row r="71" spans="1:14" ht="25.15" customHeight="1">
      <c r="A71" s="488">
        <f t="shared" si="2"/>
        <v>69</v>
      </c>
      <c r="B71" s="501" t="s">
        <v>139</v>
      </c>
      <c r="C71" s="500" t="s">
        <v>357</v>
      </c>
      <c r="D71" s="502" t="s">
        <v>351</v>
      </c>
      <c r="E71" s="489">
        <f>37.148+3.486</f>
        <v>40.634</v>
      </c>
      <c r="F71" s="490">
        <v>46116</v>
      </c>
      <c r="G71" s="491"/>
      <c r="H71" s="488" t="s">
        <v>38</v>
      </c>
      <c r="I71" s="490">
        <v>46125</v>
      </c>
      <c r="J71" s="492"/>
      <c r="K71" s="495" t="s">
        <v>402</v>
      </c>
      <c r="L71" s="488" t="s">
        <v>353</v>
      </c>
      <c r="M71" s="490">
        <v>46133</v>
      </c>
      <c r="N71" s="488"/>
    </row>
    <row r="72" spans="1:14" ht="25.15" customHeight="1">
      <c r="A72" s="488">
        <f t="shared" si="2"/>
        <v>70</v>
      </c>
      <c r="B72" s="501" t="s">
        <v>435</v>
      </c>
      <c r="C72" s="500" t="s">
        <v>350</v>
      </c>
      <c r="D72" s="502" t="s">
        <v>274</v>
      </c>
      <c r="E72" s="489">
        <f>57.728+5.618</f>
        <v>63.346000000000004</v>
      </c>
      <c r="F72" s="490">
        <v>46120</v>
      </c>
      <c r="G72" s="491"/>
      <c r="H72" s="488" t="s">
        <v>38</v>
      </c>
      <c r="I72" s="490">
        <v>46125</v>
      </c>
      <c r="J72" s="492"/>
      <c r="K72" s="495" t="s">
        <v>433</v>
      </c>
      <c r="L72" s="488" t="s">
        <v>353</v>
      </c>
      <c r="M72" s="490">
        <v>46126</v>
      </c>
      <c r="N72" s="488"/>
    </row>
    <row r="73" spans="1:14" ht="25.15" customHeight="1">
      <c r="A73" s="488">
        <f t="shared" si="2"/>
        <v>71</v>
      </c>
      <c r="B73" s="501" t="s">
        <v>436</v>
      </c>
      <c r="C73" s="500" t="s">
        <v>357</v>
      </c>
      <c r="D73" s="502" t="s">
        <v>351</v>
      </c>
      <c r="E73" s="489">
        <f t="shared" ref="E73:E74" si="3">3.486+37.148</f>
        <v>40.634</v>
      </c>
      <c r="F73" s="490">
        <v>46124</v>
      </c>
      <c r="G73" s="491"/>
      <c r="H73" s="488" t="s">
        <v>38</v>
      </c>
      <c r="I73" s="490">
        <v>46131</v>
      </c>
      <c r="J73" s="492"/>
      <c r="K73" s="495" t="s">
        <v>433</v>
      </c>
      <c r="L73" s="488" t="s">
        <v>353</v>
      </c>
      <c r="M73" s="490">
        <v>46131</v>
      </c>
      <c r="N73" s="488"/>
    </row>
    <row r="74" spans="1:14" ht="25.15" customHeight="1">
      <c r="A74" s="488">
        <f t="shared" si="2"/>
        <v>72</v>
      </c>
      <c r="B74" s="501" t="s">
        <v>437</v>
      </c>
      <c r="C74" s="500" t="s">
        <v>357</v>
      </c>
      <c r="D74" s="502" t="s">
        <v>351</v>
      </c>
      <c r="E74" s="489">
        <f t="shared" si="3"/>
        <v>40.634</v>
      </c>
      <c r="F74" s="490">
        <v>46131</v>
      </c>
      <c r="G74" s="491" t="s">
        <v>67</v>
      </c>
      <c r="H74" s="488" t="s">
        <v>38</v>
      </c>
      <c r="I74" s="490">
        <v>46141</v>
      </c>
      <c r="J74" s="492"/>
      <c r="K74" s="503" t="s">
        <v>409</v>
      </c>
      <c r="L74" s="508" t="s">
        <v>353</v>
      </c>
      <c r="M74" s="509">
        <v>46171</v>
      </c>
      <c r="N74" s="488"/>
    </row>
    <row r="75" spans="1:14" ht="25.15" customHeight="1">
      <c r="A75" s="488">
        <f t="shared" si="2"/>
        <v>73</v>
      </c>
      <c r="B75" s="501" t="s">
        <v>150</v>
      </c>
      <c r="C75" s="500" t="s">
        <v>309</v>
      </c>
      <c r="D75" s="502" t="s">
        <v>274</v>
      </c>
      <c r="E75" s="496">
        <f>9.997+110.464</f>
        <v>120.461</v>
      </c>
      <c r="F75" s="490">
        <v>46131</v>
      </c>
      <c r="G75" s="491" t="s">
        <v>67</v>
      </c>
      <c r="H75" s="488" t="s">
        <v>38</v>
      </c>
      <c r="I75" s="490">
        <v>46140</v>
      </c>
      <c r="J75" s="492"/>
      <c r="K75" s="495" t="s">
        <v>433</v>
      </c>
      <c r="L75" s="488" t="s">
        <v>353</v>
      </c>
      <c r="M75" s="490">
        <v>46140</v>
      </c>
      <c r="N75" s="488"/>
    </row>
    <row r="76" spans="1:14" ht="25.15" customHeight="1">
      <c r="A76" s="488">
        <f t="shared" si="2"/>
        <v>74</v>
      </c>
      <c r="B76" s="501" t="s">
        <v>438</v>
      </c>
      <c r="C76" s="500" t="s">
        <v>350</v>
      </c>
      <c r="D76" s="502" t="s">
        <v>351</v>
      </c>
      <c r="E76" s="489">
        <f>3.264+35.862</f>
        <v>39.126000000000005</v>
      </c>
      <c r="F76" s="490">
        <v>46149</v>
      </c>
      <c r="G76" s="491"/>
      <c r="H76" s="488" t="s">
        <v>38</v>
      </c>
      <c r="I76" s="490">
        <v>46155</v>
      </c>
      <c r="J76" s="492"/>
      <c r="K76" s="495" t="s">
        <v>433</v>
      </c>
      <c r="L76" s="488" t="s">
        <v>353</v>
      </c>
      <c r="M76" s="490">
        <v>46157</v>
      </c>
      <c r="N76" s="488"/>
    </row>
    <row r="77" spans="1:14" ht="25.15" customHeight="1">
      <c r="A77" s="488">
        <f t="shared" si="2"/>
        <v>75</v>
      </c>
      <c r="B77" s="501" t="s">
        <v>439</v>
      </c>
      <c r="C77" s="500" t="s">
        <v>350</v>
      </c>
      <c r="D77" s="502" t="s">
        <v>274</v>
      </c>
      <c r="E77" s="489">
        <f>57.728+5.618</f>
        <v>63.346000000000004</v>
      </c>
      <c r="F77" s="490">
        <v>46134</v>
      </c>
      <c r="G77" s="500" t="s">
        <v>67</v>
      </c>
      <c r="H77" s="488" t="s">
        <v>38</v>
      </c>
      <c r="I77" s="490">
        <v>46158</v>
      </c>
      <c r="J77" s="492"/>
      <c r="K77" s="495" t="s">
        <v>440</v>
      </c>
      <c r="L77" s="488" t="s">
        <v>353</v>
      </c>
      <c r="M77" s="490">
        <v>46159</v>
      </c>
      <c r="N77" s="488"/>
    </row>
    <row r="78" spans="1:14" ht="25.15" customHeight="1">
      <c r="A78" s="488">
        <f t="shared" si="2"/>
        <v>76</v>
      </c>
      <c r="B78" s="501" t="s">
        <v>441</v>
      </c>
      <c r="C78" s="500" t="s">
        <v>350</v>
      </c>
      <c r="D78" s="502" t="s">
        <v>351</v>
      </c>
      <c r="E78" s="489">
        <f>3.264+35.862</f>
        <v>39.126000000000005</v>
      </c>
      <c r="F78" s="490">
        <v>46153</v>
      </c>
      <c r="G78" s="500" t="s">
        <v>67</v>
      </c>
      <c r="H78" s="488" t="s">
        <v>38</v>
      </c>
      <c r="I78" s="490">
        <v>46159</v>
      </c>
      <c r="J78" s="492"/>
      <c r="K78" s="495" t="s">
        <v>433</v>
      </c>
      <c r="L78" s="488" t="s">
        <v>353</v>
      </c>
      <c r="M78" s="490">
        <v>46160</v>
      </c>
      <c r="N78" s="488"/>
    </row>
    <row r="79" spans="1:14" ht="25.15" customHeight="1">
      <c r="A79" s="488">
        <f t="shared" si="2"/>
        <v>77</v>
      </c>
      <c r="B79" s="501" t="s">
        <v>442</v>
      </c>
      <c r="C79" s="500" t="s">
        <v>373</v>
      </c>
      <c r="D79" s="502" t="s">
        <v>351</v>
      </c>
      <c r="E79" s="489">
        <f>7.224+85.068</f>
        <v>92.292000000000002</v>
      </c>
      <c r="F79" s="490">
        <v>46151</v>
      </c>
      <c r="G79" s="500"/>
      <c r="H79" s="488" t="s">
        <v>38</v>
      </c>
      <c r="I79" s="490">
        <v>46160</v>
      </c>
      <c r="J79" s="492"/>
      <c r="K79" s="495" t="s">
        <v>402</v>
      </c>
      <c r="L79" s="488" t="s">
        <v>353</v>
      </c>
      <c r="M79" s="490">
        <v>46159</v>
      </c>
      <c r="N79" s="488"/>
    </row>
    <row r="80" spans="1:14" ht="33" customHeight="1">
      <c r="A80" s="488">
        <f t="shared" si="2"/>
        <v>78</v>
      </c>
      <c r="B80" s="501" t="s">
        <v>443</v>
      </c>
      <c r="C80" s="500" t="s">
        <v>357</v>
      </c>
      <c r="D80" s="502" t="s">
        <v>351</v>
      </c>
      <c r="E80" s="489">
        <f>37.148+3.486</f>
        <v>40.634</v>
      </c>
      <c r="F80" s="490">
        <v>46159</v>
      </c>
      <c r="G80" s="491" t="s">
        <v>67</v>
      </c>
      <c r="H80" s="488" t="s">
        <v>38</v>
      </c>
      <c r="I80" s="490">
        <v>46162</v>
      </c>
      <c r="J80" s="492"/>
      <c r="K80" s="495" t="s">
        <v>433</v>
      </c>
      <c r="L80" s="488" t="s">
        <v>353</v>
      </c>
      <c r="M80" s="490">
        <v>46162</v>
      </c>
      <c r="N80" s="488" t="s">
        <v>444</v>
      </c>
    </row>
    <row r="81" spans="1:14" ht="29.45" customHeight="1">
      <c r="A81" s="488">
        <f t="shared" si="2"/>
        <v>79</v>
      </c>
      <c r="B81" s="501" t="s">
        <v>445</v>
      </c>
      <c r="C81" s="500" t="s">
        <v>298</v>
      </c>
      <c r="D81" s="502" t="s">
        <v>446</v>
      </c>
      <c r="E81" s="489">
        <f>19.88+286.172</f>
        <v>306.05200000000002</v>
      </c>
      <c r="F81" s="490">
        <v>46116</v>
      </c>
      <c r="G81" s="491" t="s">
        <v>67</v>
      </c>
      <c r="H81" s="488" t="s">
        <v>38</v>
      </c>
      <c r="I81" s="490">
        <v>46162</v>
      </c>
      <c r="J81" s="492"/>
      <c r="K81" s="495" t="s">
        <v>447</v>
      </c>
      <c r="L81" s="488" t="s">
        <v>353</v>
      </c>
      <c r="M81" s="490">
        <v>46150</v>
      </c>
      <c r="N81" s="488"/>
    </row>
    <row r="82" spans="1:14" ht="29.45" customHeight="1">
      <c r="A82" s="488">
        <f t="shared" si="2"/>
        <v>80</v>
      </c>
      <c r="B82" s="501" t="s">
        <v>448</v>
      </c>
      <c r="C82" s="500" t="s">
        <v>357</v>
      </c>
      <c r="D82" s="502" t="s">
        <v>351</v>
      </c>
      <c r="E82" s="489">
        <f>37.148+3.486</f>
        <v>40.634</v>
      </c>
      <c r="F82" s="490">
        <v>46161</v>
      </c>
      <c r="G82" s="491" t="s">
        <v>67</v>
      </c>
      <c r="H82" s="488" t="s">
        <v>38</v>
      </c>
      <c r="I82" s="490">
        <v>46165</v>
      </c>
      <c r="J82" s="492"/>
      <c r="K82" s="495" t="s">
        <v>402</v>
      </c>
      <c r="L82" s="488" t="s">
        <v>353</v>
      </c>
      <c r="M82" s="490">
        <v>46166</v>
      </c>
      <c r="N82" s="488" t="s">
        <v>67</v>
      </c>
    </row>
    <row r="83" spans="1:14" ht="29.45" customHeight="1">
      <c r="A83" s="488">
        <f t="shared" si="2"/>
        <v>81</v>
      </c>
      <c r="B83" s="501" t="s">
        <v>449</v>
      </c>
      <c r="C83" s="500" t="s">
        <v>357</v>
      </c>
      <c r="D83" s="502" t="s">
        <v>274</v>
      </c>
      <c r="E83" s="489">
        <f>59.68+5.951</f>
        <v>65.631</v>
      </c>
      <c r="F83" s="490">
        <v>46162</v>
      </c>
      <c r="G83" s="491" t="s">
        <v>67</v>
      </c>
      <c r="H83" s="488" t="s">
        <v>38</v>
      </c>
      <c r="I83" s="490">
        <v>46168</v>
      </c>
      <c r="J83" s="492"/>
      <c r="K83" s="495" t="s">
        <v>433</v>
      </c>
      <c r="L83" s="488" t="s">
        <v>353</v>
      </c>
      <c r="M83" s="490">
        <v>46169</v>
      </c>
      <c r="N83" s="488" t="s">
        <v>67</v>
      </c>
    </row>
    <row r="84" spans="1:14" ht="29.45" customHeight="1">
      <c r="A84" s="488">
        <f t="shared" si="2"/>
        <v>82</v>
      </c>
      <c r="B84" s="501" t="s">
        <v>151</v>
      </c>
      <c r="C84" s="500" t="s">
        <v>335</v>
      </c>
      <c r="D84" s="502" t="s">
        <v>274</v>
      </c>
      <c r="E84" s="489">
        <f>72.684+7.26</f>
        <v>79.944000000000003</v>
      </c>
      <c r="F84" s="490">
        <v>46142</v>
      </c>
      <c r="G84" s="491" t="s">
        <v>67</v>
      </c>
      <c r="H84" s="488" t="s">
        <v>38</v>
      </c>
      <c r="I84" s="490">
        <v>46169</v>
      </c>
      <c r="J84" s="492"/>
      <c r="K84" s="495" t="s">
        <v>409</v>
      </c>
      <c r="L84" s="488" t="s">
        <v>353</v>
      </c>
      <c r="M84" s="490">
        <v>46173</v>
      </c>
      <c r="N84" s="488"/>
    </row>
    <row r="85" spans="1:14" ht="29.45" customHeight="1">
      <c r="A85" s="488">
        <f t="shared" si="2"/>
        <v>83</v>
      </c>
      <c r="B85" s="488" t="s">
        <v>450</v>
      </c>
      <c r="C85" s="488" t="s">
        <v>300</v>
      </c>
      <c r="D85" s="502" t="s">
        <v>420</v>
      </c>
      <c r="E85" s="497">
        <f>111.81+15.7</f>
        <v>127.51</v>
      </c>
      <c r="F85" s="490">
        <v>46164</v>
      </c>
      <c r="G85" s="494"/>
      <c r="H85" s="488" t="s">
        <v>38</v>
      </c>
      <c r="I85" s="490">
        <v>46173</v>
      </c>
      <c r="J85" s="492"/>
      <c r="K85" s="495" t="s">
        <v>451</v>
      </c>
      <c r="L85" s="488" t="s">
        <v>353</v>
      </c>
      <c r="M85" s="490">
        <v>46181</v>
      </c>
      <c r="N85" s="488"/>
    </row>
    <row r="86" spans="1:14" ht="29.45" customHeight="1">
      <c r="A86" s="488">
        <f t="shared" si="2"/>
        <v>84</v>
      </c>
      <c r="B86" s="501" t="s">
        <v>452</v>
      </c>
      <c r="C86" s="500" t="s">
        <v>357</v>
      </c>
      <c r="D86" s="502" t="s">
        <v>274</v>
      </c>
      <c r="E86" s="489">
        <f>59.68+5.951</f>
        <v>65.631</v>
      </c>
      <c r="F86" s="490">
        <v>46164</v>
      </c>
      <c r="G86" s="491"/>
      <c r="H86" s="488" t="s">
        <v>38</v>
      </c>
      <c r="I86" s="490">
        <v>46173</v>
      </c>
      <c r="J86" s="492"/>
      <c r="K86" s="495" t="s">
        <v>381</v>
      </c>
      <c r="L86" s="488" t="s">
        <v>353</v>
      </c>
      <c r="M86" s="490">
        <v>46182</v>
      </c>
      <c r="N86" s="488"/>
    </row>
    <row r="87" spans="1:14" ht="36.6" customHeight="1">
      <c r="A87" s="488">
        <f t="shared" si="2"/>
        <v>85</v>
      </c>
      <c r="B87" s="488" t="s">
        <v>453</v>
      </c>
      <c r="C87" s="488" t="s">
        <v>350</v>
      </c>
      <c r="D87" s="502" t="s">
        <v>274</v>
      </c>
      <c r="E87" s="489">
        <f>57.728+5.618</f>
        <v>63.346000000000004</v>
      </c>
      <c r="F87" s="490">
        <v>46170</v>
      </c>
      <c r="G87" s="494"/>
      <c r="H87" s="488" t="s">
        <v>38</v>
      </c>
      <c r="I87" s="490">
        <v>46173</v>
      </c>
      <c r="J87" s="492"/>
      <c r="K87" s="495" t="s">
        <v>433</v>
      </c>
      <c r="L87" s="488" t="s">
        <v>353</v>
      </c>
      <c r="M87" s="490">
        <v>46176</v>
      </c>
      <c r="N87" s="488"/>
    </row>
    <row r="88" spans="1:14" ht="36.6" customHeight="1">
      <c r="A88" s="488">
        <f t="shared" si="2"/>
        <v>86</v>
      </c>
      <c r="B88" s="488" t="s">
        <v>454</v>
      </c>
      <c r="C88" s="488" t="s">
        <v>357</v>
      </c>
      <c r="D88" s="502" t="s">
        <v>351</v>
      </c>
      <c r="E88" s="489">
        <f>37.148+3.486</f>
        <v>40.634</v>
      </c>
      <c r="F88" s="490">
        <v>46170</v>
      </c>
      <c r="G88" s="494" t="s">
        <v>67</v>
      </c>
      <c r="H88" s="488" t="s">
        <v>38</v>
      </c>
      <c r="I88" s="490">
        <v>46179</v>
      </c>
      <c r="J88" s="492"/>
      <c r="K88" s="495" t="s">
        <v>381</v>
      </c>
      <c r="L88" s="488" t="s">
        <v>353</v>
      </c>
      <c r="M88" s="490">
        <v>46181</v>
      </c>
      <c r="N88" s="488" t="s">
        <v>67</v>
      </c>
    </row>
    <row r="89" spans="1:14" ht="36.6" customHeight="1">
      <c r="A89" s="488">
        <v>87</v>
      </c>
      <c r="B89" s="488" t="s">
        <v>456</v>
      </c>
      <c r="C89" s="488" t="s">
        <v>357</v>
      </c>
      <c r="D89" s="502" t="s">
        <v>351</v>
      </c>
      <c r="E89" s="489">
        <f>37.148+3.486</f>
        <v>40.634</v>
      </c>
      <c r="F89" s="490">
        <v>46162</v>
      </c>
      <c r="G89" s="494" t="s">
        <v>67</v>
      </c>
      <c r="H89" s="488" t="s">
        <v>38</v>
      </c>
      <c r="I89" s="490">
        <v>46179</v>
      </c>
      <c r="J89" s="492"/>
      <c r="K89" s="495" t="s">
        <v>457</v>
      </c>
      <c r="L89" s="488"/>
      <c r="M89" s="490"/>
      <c r="N89" s="488" t="s">
        <v>67</v>
      </c>
    </row>
    <row r="90" spans="1:14" ht="36.6" customHeight="1">
      <c r="A90" s="488">
        <v>88</v>
      </c>
      <c r="B90" s="488" t="s">
        <v>455</v>
      </c>
      <c r="C90" s="488" t="s">
        <v>373</v>
      </c>
      <c r="D90" s="502" t="s">
        <v>446</v>
      </c>
      <c r="E90" s="489">
        <f>155.628+13.285</f>
        <v>168.91299999999998</v>
      </c>
      <c r="F90" s="490">
        <v>46170</v>
      </c>
      <c r="G90" s="494" t="s">
        <v>67</v>
      </c>
      <c r="H90" s="488" t="s">
        <v>38</v>
      </c>
      <c r="I90" s="490">
        <v>46183</v>
      </c>
      <c r="J90" s="492"/>
      <c r="K90" s="495" t="s">
        <v>433</v>
      </c>
      <c r="L90" s="488"/>
      <c r="M90" s="490"/>
      <c r="N90" s="488" t="s">
        <v>67</v>
      </c>
    </row>
    <row r="91" spans="1:14" ht="36.6" customHeight="1">
      <c r="A91" s="488">
        <v>89</v>
      </c>
      <c r="B91" s="488" t="s">
        <v>458</v>
      </c>
      <c r="C91" s="488" t="s">
        <v>357</v>
      </c>
      <c r="D91" s="502" t="s">
        <v>351</v>
      </c>
      <c r="E91" s="489">
        <f>37.148+3.486</f>
        <v>40.634</v>
      </c>
      <c r="F91" s="490">
        <v>46176</v>
      </c>
      <c r="G91" s="494" t="s">
        <v>67</v>
      </c>
      <c r="H91" s="488" t="s">
        <v>38</v>
      </c>
      <c r="I91" s="490">
        <v>46184</v>
      </c>
      <c r="J91" s="492"/>
      <c r="K91" s="495" t="s">
        <v>381</v>
      </c>
      <c r="L91" s="488"/>
      <c r="M91" s="490"/>
      <c r="N91" s="488"/>
    </row>
    <row r="92" spans="1:14" ht="36.6" customHeight="1">
      <c r="A92" s="488">
        <f t="shared" si="2"/>
        <v>90</v>
      </c>
      <c r="B92" s="488" t="s">
        <v>459</v>
      </c>
      <c r="C92" s="488" t="s">
        <v>460</v>
      </c>
      <c r="D92" s="502" t="s">
        <v>274</v>
      </c>
      <c r="E92" s="489">
        <v>117.033</v>
      </c>
      <c r="F92" s="490">
        <v>46181</v>
      </c>
      <c r="G92" s="494" t="s">
        <v>67</v>
      </c>
      <c r="H92" s="488" t="s">
        <v>38</v>
      </c>
      <c r="I92" s="490">
        <v>46187</v>
      </c>
      <c r="J92" s="492"/>
      <c r="K92" s="495" t="s">
        <v>433</v>
      </c>
      <c r="L92" s="488" t="s">
        <v>353</v>
      </c>
      <c r="M92" s="490">
        <v>46188</v>
      </c>
      <c r="N92" s="488"/>
    </row>
    <row r="93" spans="1:14" ht="45.6" customHeight="1">
      <c r="A93" s="488">
        <v>91</v>
      </c>
      <c r="B93" s="488" t="s">
        <v>589</v>
      </c>
      <c r="C93" s="488" t="s">
        <v>350</v>
      </c>
      <c r="D93" s="502" t="s">
        <v>274</v>
      </c>
      <c r="E93" s="489">
        <v>63.346000000000004</v>
      </c>
      <c r="F93" s="490">
        <v>46181</v>
      </c>
      <c r="G93" s="494" t="s">
        <v>67</v>
      </c>
      <c r="H93" s="488" t="s">
        <v>38</v>
      </c>
      <c r="I93" s="490">
        <v>46187</v>
      </c>
      <c r="J93" s="492"/>
      <c r="K93" s="495" t="s">
        <v>402</v>
      </c>
      <c r="L93" s="488" t="s">
        <v>353</v>
      </c>
      <c r="M93" s="490">
        <v>46188</v>
      </c>
      <c r="N93" s="488"/>
    </row>
    <row r="94" spans="1:14" ht="45.6" customHeight="1">
      <c r="A94" s="488">
        <v>92</v>
      </c>
      <c r="B94" s="488" t="s">
        <v>555</v>
      </c>
      <c r="C94" s="488" t="s">
        <v>350</v>
      </c>
      <c r="D94" s="502" t="s">
        <v>351</v>
      </c>
      <c r="E94" s="489">
        <v>39.126000000000005</v>
      </c>
      <c r="F94" s="490">
        <v>46181</v>
      </c>
      <c r="G94" s="494" t="s">
        <v>67</v>
      </c>
      <c r="H94" s="488" t="s">
        <v>38</v>
      </c>
      <c r="I94" s="490">
        <v>46188</v>
      </c>
      <c r="J94" s="492"/>
      <c r="K94" s="495" t="s">
        <v>426</v>
      </c>
      <c r="L94" s="488" t="s">
        <v>353</v>
      </c>
      <c r="M94" s="490">
        <v>46189</v>
      </c>
      <c r="N94" s="488"/>
    </row>
    <row r="95" spans="1:14" ht="45.6" customHeight="1">
      <c r="A95" s="488">
        <v>93</v>
      </c>
      <c r="B95" s="488" t="s">
        <v>562</v>
      </c>
      <c r="C95" s="488" t="s">
        <v>396</v>
      </c>
      <c r="D95" s="502" t="s">
        <v>274</v>
      </c>
      <c r="E95" s="489">
        <f>5.618+57.728</f>
        <v>63.346000000000004</v>
      </c>
      <c r="F95" s="490">
        <v>46188</v>
      </c>
      <c r="G95" s="494"/>
      <c r="H95" s="488" t="s">
        <v>38</v>
      </c>
      <c r="I95" s="490">
        <v>46193</v>
      </c>
      <c r="J95" s="492"/>
      <c r="K95" s="495" t="s">
        <v>433</v>
      </c>
      <c r="L95" s="488"/>
      <c r="M95" s="490"/>
      <c r="N95" s="488"/>
    </row>
    <row r="96" spans="1:14" ht="45.6" customHeight="1">
      <c r="A96" s="488">
        <v>94</v>
      </c>
      <c r="B96" s="488" t="s">
        <v>552</v>
      </c>
      <c r="C96" s="488" t="s">
        <v>373</v>
      </c>
      <c r="D96" s="502" t="s">
        <v>274</v>
      </c>
      <c r="E96" s="489">
        <v>134.785</v>
      </c>
      <c r="F96" s="490">
        <v>46185</v>
      </c>
      <c r="G96" s="494" t="s">
        <v>1136</v>
      </c>
      <c r="H96" s="488" t="s">
        <v>38</v>
      </c>
      <c r="I96" s="490">
        <v>46198</v>
      </c>
      <c r="J96" s="492"/>
      <c r="K96" s="495" t="s">
        <v>1101</v>
      </c>
      <c r="L96" s="488" t="s">
        <v>353</v>
      </c>
      <c r="M96" s="490">
        <v>46199</v>
      </c>
      <c r="N96" s="488"/>
    </row>
    <row r="97" spans="1:14" ht="45.6" customHeight="1">
      <c r="A97" s="488">
        <v>97</v>
      </c>
      <c r="B97" s="488" t="s">
        <v>559</v>
      </c>
      <c r="C97" s="488" t="s">
        <v>561</v>
      </c>
      <c r="D97" s="502" t="s">
        <v>274</v>
      </c>
      <c r="E97" s="489">
        <v>65.631</v>
      </c>
      <c r="F97" s="490">
        <v>46194</v>
      </c>
      <c r="G97" s="494" t="s">
        <v>1136</v>
      </c>
      <c r="H97" s="488" t="s">
        <v>38</v>
      </c>
      <c r="I97" s="490">
        <v>46198</v>
      </c>
      <c r="J97" s="492"/>
      <c r="K97" s="495" t="s">
        <v>433</v>
      </c>
      <c r="L97" s="488" t="s">
        <v>353</v>
      </c>
      <c r="M97" s="490">
        <v>46199</v>
      </c>
      <c r="N97" s="488"/>
    </row>
    <row r="98" spans="1:14" ht="51.75" customHeight="1">
      <c r="A98" s="610">
        <v>95</v>
      </c>
      <c r="B98" s="581" t="s">
        <v>588</v>
      </c>
      <c r="C98" s="582" t="s">
        <v>350</v>
      </c>
      <c r="D98" s="576" t="s">
        <v>351</v>
      </c>
      <c r="E98" s="580">
        <v>39.126000000000005</v>
      </c>
      <c r="F98" s="577" t="s">
        <v>1113</v>
      </c>
      <c r="G98" s="644" t="s">
        <v>1123</v>
      </c>
      <c r="H98" s="575"/>
      <c r="I98" s="577"/>
      <c r="J98" s="578"/>
      <c r="K98" s="579" t="s">
        <v>1105</v>
      </c>
      <c r="L98" s="577"/>
      <c r="M98" s="583"/>
      <c r="N98" s="575"/>
    </row>
    <row r="99" spans="1:14" ht="49.5" customHeight="1">
      <c r="A99" s="610">
        <v>96</v>
      </c>
      <c r="B99" s="581" t="s">
        <v>574</v>
      </c>
      <c r="C99" s="582" t="s">
        <v>300</v>
      </c>
      <c r="D99" s="576" t="s">
        <v>274</v>
      </c>
      <c r="E99" s="580">
        <v>89.905000000000001</v>
      </c>
      <c r="F99" s="577">
        <v>46193</v>
      </c>
      <c r="G99" s="575" t="s">
        <v>1138</v>
      </c>
      <c r="H99" s="575"/>
      <c r="I99" s="577" t="s">
        <v>67</v>
      </c>
      <c r="J99" s="578"/>
      <c r="K99" s="579" t="s">
        <v>355</v>
      </c>
      <c r="L99" s="575"/>
      <c r="M99" s="583"/>
      <c r="N99" s="575"/>
    </row>
    <row r="100" spans="1:14" ht="49.5" customHeight="1">
      <c r="A100" s="610">
        <v>98</v>
      </c>
      <c r="B100" s="581" t="s">
        <v>635</v>
      </c>
      <c r="C100" s="582" t="s">
        <v>300</v>
      </c>
      <c r="D100" s="576"/>
      <c r="E100" s="580"/>
      <c r="F100" s="577"/>
      <c r="G100" s="836" t="s">
        <v>1139</v>
      </c>
      <c r="H100" s="575"/>
      <c r="I100" s="577"/>
      <c r="J100" s="578"/>
      <c r="K100" s="579" t="s">
        <v>1134</v>
      </c>
      <c r="L100" s="575"/>
      <c r="M100" s="583"/>
      <c r="N100" s="575"/>
    </row>
    <row r="101" spans="1:14" ht="30" customHeight="1">
      <c r="A101" s="452"/>
      <c r="B101" s="453"/>
      <c r="C101" s="454"/>
      <c r="D101" s="455"/>
      <c r="E101" s="456"/>
      <c r="F101" s="486"/>
      <c r="G101" s="461"/>
      <c r="H101" s="471"/>
      <c r="I101" s="487"/>
      <c r="J101" s="459"/>
      <c r="K101" s="476"/>
      <c r="M101" s="473"/>
    </row>
    <row r="102" spans="1:14" ht="30" customHeight="1">
      <c r="A102" s="452"/>
      <c r="C102" s="454"/>
      <c r="D102" s="455"/>
      <c r="E102" s="456"/>
      <c r="F102" s="486"/>
      <c r="G102" s="461"/>
      <c r="H102" s="471"/>
      <c r="I102" s="487"/>
      <c r="J102" s="459"/>
      <c r="K102" s="476"/>
      <c r="M102" s="474"/>
    </row>
    <row r="103" spans="1:14" ht="30" customHeight="1">
      <c r="A103" s="452"/>
      <c r="B103" s="453"/>
      <c r="C103" s="454"/>
      <c r="D103" s="455"/>
      <c r="E103" s="456"/>
      <c r="F103" s="486"/>
      <c r="G103" s="461"/>
      <c r="H103" s="457"/>
      <c r="I103" s="487"/>
      <c r="J103" s="459"/>
      <c r="K103" s="476"/>
      <c r="M103" s="473"/>
    </row>
    <row r="104" spans="1:14" ht="30" customHeight="1">
      <c r="A104" s="452"/>
      <c r="B104" s="453"/>
      <c r="C104" s="454"/>
      <c r="D104" s="455"/>
      <c r="E104" s="456"/>
      <c r="F104" s="486"/>
      <c r="G104" s="461"/>
      <c r="H104" s="471"/>
      <c r="I104" s="487"/>
      <c r="J104" s="459"/>
      <c r="K104" s="476"/>
      <c r="M104" s="473"/>
    </row>
    <row r="105" spans="1:14" ht="30" customHeight="1">
      <c r="A105" s="452"/>
      <c r="B105" s="453"/>
      <c r="C105" s="454"/>
      <c r="D105" s="455"/>
      <c r="E105" s="456"/>
      <c r="F105" s="486"/>
      <c r="G105" s="461"/>
      <c r="H105" s="471"/>
      <c r="I105" s="487"/>
      <c r="J105" s="459"/>
      <c r="K105" s="476"/>
    </row>
    <row r="106" spans="1:14" ht="30" customHeight="1">
      <c r="A106" s="452"/>
      <c r="B106" s="453"/>
      <c r="C106" s="454"/>
      <c r="D106" s="455"/>
      <c r="E106" s="456"/>
      <c r="F106" s="486"/>
      <c r="G106" s="464"/>
      <c r="H106" s="471"/>
      <c r="I106" s="487"/>
      <c r="J106" s="459"/>
      <c r="K106" s="476"/>
      <c r="M106" s="473"/>
    </row>
    <row r="107" spans="1:14" ht="30" customHeight="1">
      <c r="A107" s="452"/>
      <c r="B107" s="453"/>
      <c r="C107" s="454"/>
      <c r="D107" s="455"/>
      <c r="E107" s="456"/>
      <c r="F107" s="486"/>
      <c r="G107" s="461"/>
      <c r="H107" s="471"/>
      <c r="I107" s="487"/>
      <c r="J107" s="459"/>
      <c r="K107" s="476"/>
    </row>
    <row r="108" spans="1:14" ht="30" customHeight="1">
      <c r="A108" s="452"/>
      <c r="B108" s="453"/>
      <c r="C108" s="454"/>
      <c r="D108" s="455"/>
      <c r="E108" s="456"/>
      <c r="F108" s="486"/>
      <c r="G108" s="461"/>
      <c r="H108" s="471"/>
      <c r="I108" s="487"/>
      <c r="J108" s="459"/>
      <c r="K108" s="476"/>
      <c r="M108" s="473"/>
    </row>
    <row r="109" spans="1:14" ht="30" customHeight="1">
      <c r="A109" s="452"/>
      <c r="B109" s="453"/>
      <c r="C109" s="454"/>
      <c r="D109" s="455"/>
      <c r="E109" s="456"/>
      <c r="F109" s="486"/>
      <c r="G109" s="461"/>
      <c r="H109" s="471"/>
      <c r="I109" s="487"/>
      <c r="J109" s="459"/>
      <c r="K109" s="476"/>
    </row>
    <row r="110" spans="1:14" ht="30" customHeight="1">
      <c r="A110" s="452"/>
      <c r="B110" s="453"/>
      <c r="C110" s="454"/>
      <c r="D110" s="455"/>
      <c r="E110" s="456"/>
      <c r="F110" s="486"/>
      <c r="G110" s="461"/>
      <c r="H110" s="471"/>
      <c r="I110" s="487"/>
      <c r="J110" s="459"/>
      <c r="K110" s="476"/>
    </row>
    <row r="111" spans="1:14" ht="30" customHeight="1">
      <c r="A111" s="452"/>
      <c r="B111" s="453"/>
      <c r="C111" s="454"/>
      <c r="D111" s="455"/>
      <c r="E111" s="456"/>
      <c r="F111" s="486"/>
      <c r="G111" s="461"/>
      <c r="H111" s="471"/>
      <c r="I111" s="487"/>
      <c r="J111" s="459"/>
      <c r="K111" s="476"/>
      <c r="M111" s="473"/>
    </row>
    <row r="112" spans="1:14" ht="30" customHeight="1">
      <c r="A112" s="452"/>
      <c r="B112" s="453"/>
      <c r="C112" s="454"/>
      <c r="D112" s="455"/>
      <c r="E112" s="456"/>
      <c r="F112" s="486"/>
      <c r="G112" s="461"/>
      <c r="H112" s="471"/>
      <c r="I112" s="487"/>
      <c r="J112" s="459"/>
      <c r="K112" s="476"/>
    </row>
    <row r="113" spans="1:14" ht="30" customHeight="1">
      <c r="A113" s="452"/>
      <c r="B113" s="453"/>
      <c r="C113" s="454"/>
      <c r="D113" s="455"/>
      <c r="E113" s="456"/>
      <c r="F113" s="486"/>
      <c r="G113" s="464"/>
      <c r="H113" s="457"/>
      <c r="I113" s="487"/>
      <c r="J113" s="459"/>
      <c r="K113" s="476"/>
    </row>
    <row r="114" spans="1:14" ht="30" customHeight="1">
      <c r="A114" s="452"/>
      <c r="B114" s="453"/>
      <c r="C114" s="454"/>
      <c r="D114" s="455"/>
      <c r="E114" s="456"/>
      <c r="F114" s="486"/>
      <c r="G114" s="461"/>
      <c r="H114" s="457"/>
      <c r="I114" s="487"/>
      <c r="J114" s="459"/>
      <c r="K114" s="476"/>
    </row>
    <row r="115" spans="1:14" ht="30" customHeight="1">
      <c r="A115" s="452"/>
      <c r="B115" s="453"/>
      <c r="C115" s="454"/>
      <c r="D115" s="455"/>
      <c r="E115" s="456"/>
      <c r="F115" s="486"/>
      <c r="G115" s="461"/>
      <c r="H115" s="457"/>
      <c r="I115" s="487"/>
      <c r="J115" s="459"/>
      <c r="K115" s="476"/>
    </row>
    <row r="116" spans="1:14" ht="30" customHeight="1">
      <c r="A116" s="452"/>
      <c r="B116" s="453"/>
      <c r="C116" s="454"/>
      <c r="D116" s="455"/>
      <c r="E116" s="456"/>
      <c r="F116" s="486"/>
      <c r="G116" s="461"/>
      <c r="H116" s="457"/>
      <c r="I116" s="487"/>
      <c r="J116" s="459"/>
      <c r="K116" s="476"/>
      <c r="M116" s="473"/>
    </row>
    <row r="117" spans="1:14" ht="30" customHeight="1">
      <c r="A117" s="452"/>
      <c r="B117" s="453"/>
      <c r="C117" s="454"/>
      <c r="D117" s="455"/>
      <c r="E117" s="456"/>
      <c r="F117" s="486"/>
      <c r="G117" s="461"/>
      <c r="H117" s="457"/>
      <c r="I117" s="487"/>
      <c r="J117" s="459"/>
      <c r="K117" s="476"/>
      <c r="M117" s="473"/>
    </row>
    <row r="118" spans="1:14" s="451" customFormat="1" ht="44.1" customHeight="1">
      <c r="A118" s="452"/>
      <c r="B118" s="453"/>
      <c r="C118" s="454"/>
      <c r="D118" s="455"/>
      <c r="E118" s="456"/>
      <c r="F118" s="486"/>
      <c r="G118" s="461"/>
      <c r="H118" s="457"/>
      <c r="I118" s="487"/>
      <c r="J118" s="462"/>
      <c r="K118" s="476"/>
      <c r="L118" s="415"/>
      <c r="M118" s="473"/>
      <c r="N118" s="471"/>
    </row>
    <row r="119" spans="1:14" ht="44.1" customHeight="1">
      <c r="A119" s="452"/>
      <c r="B119" s="453"/>
      <c r="C119" s="454"/>
      <c r="D119" s="455"/>
      <c r="E119" s="456"/>
      <c r="F119" s="486"/>
      <c r="G119" s="461"/>
      <c r="H119" s="457"/>
      <c r="I119" s="487"/>
      <c r="J119" s="462"/>
      <c r="K119" s="476"/>
      <c r="M119" s="467"/>
      <c r="N119" s="471"/>
    </row>
    <row r="120" spans="1:14" s="451" customFormat="1" ht="44.1" customHeight="1">
      <c r="A120" s="452"/>
      <c r="B120" s="453"/>
      <c r="C120" s="454"/>
      <c r="D120" s="455"/>
      <c r="E120" s="456"/>
      <c r="F120" s="486"/>
      <c r="G120" s="461"/>
      <c r="H120" s="457"/>
      <c r="I120" s="487"/>
      <c r="J120" s="463"/>
      <c r="K120" s="476"/>
      <c r="L120" s="471"/>
      <c r="M120" s="471"/>
      <c r="N120" s="471"/>
    </row>
    <row r="121" spans="1:14" ht="30" customHeight="1">
      <c r="A121" s="452"/>
      <c r="B121" s="453"/>
      <c r="C121" s="454"/>
      <c r="D121" s="455"/>
      <c r="E121" s="456"/>
      <c r="F121" s="486"/>
      <c r="G121" s="461"/>
      <c r="H121" s="457"/>
      <c r="I121" s="487"/>
      <c r="J121" s="459"/>
      <c r="K121" s="476"/>
    </row>
    <row r="122" spans="1:14" s="451" customFormat="1" ht="48" customHeight="1">
      <c r="A122" s="452"/>
      <c r="B122" s="453"/>
      <c r="C122" s="454"/>
      <c r="D122" s="455"/>
      <c r="E122" s="456"/>
      <c r="F122" s="486"/>
      <c r="G122" s="464"/>
      <c r="H122" s="457"/>
      <c r="I122" s="487"/>
      <c r="J122" s="459"/>
      <c r="K122" s="476"/>
      <c r="L122" s="415"/>
      <c r="M122" s="415"/>
      <c r="N122" s="415"/>
    </row>
    <row r="123" spans="1:14" ht="43.35" customHeight="1">
      <c r="A123" s="452"/>
      <c r="B123" s="453"/>
      <c r="C123" s="454"/>
      <c r="D123" s="455"/>
      <c r="E123" s="456"/>
      <c r="F123" s="486"/>
      <c r="G123" s="461"/>
      <c r="H123" s="457"/>
      <c r="I123" s="487"/>
      <c r="J123" s="459"/>
      <c r="K123" s="476"/>
    </row>
    <row r="124" spans="1:14" ht="30" customHeight="1">
      <c r="A124" s="452"/>
      <c r="B124" s="453"/>
      <c r="C124" s="454"/>
      <c r="D124" s="455"/>
      <c r="E124" s="456"/>
      <c r="F124" s="486"/>
      <c r="G124" s="464"/>
      <c r="H124" s="454"/>
      <c r="I124" s="487"/>
      <c r="J124" s="459"/>
      <c r="K124" s="476"/>
    </row>
    <row r="125" spans="1:14" ht="30" customHeight="1">
      <c r="A125" s="452"/>
      <c r="B125" s="453"/>
      <c r="C125" s="454"/>
      <c r="D125" s="455"/>
      <c r="E125" s="456"/>
      <c r="F125" s="486"/>
      <c r="G125" s="461"/>
      <c r="H125" s="457"/>
      <c r="I125" s="487"/>
      <c r="J125" s="459"/>
      <c r="K125" s="476"/>
    </row>
    <row r="126" spans="1:14" ht="30" customHeight="1">
      <c r="A126" s="452"/>
      <c r="B126" s="453"/>
      <c r="C126" s="454"/>
      <c r="D126" s="455"/>
      <c r="E126" s="456"/>
      <c r="F126" s="486"/>
      <c r="G126" s="461"/>
      <c r="H126" s="457"/>
      <c r="I126" s="487"/>
      <c r="J126" s="459"/>
      <c r="K126" s="476"/>
    </row>
    <row r="127" spans="1:14" s="451" customFormat="1" ht="30" customHeight="1">
      <c r="A127" s="452"/>
      <c r="B127" s="453"/>
      <c r="C127" s="454"/>
      <c r="D127" s="455"/>
      <c r="E127" s="456"/>
      <c r="F127" s="486"/>
      <c r="G127" s="464"/>
      <c r="H127" s="457"/>
      <c r="I127" s="487"/>
      <c r="J127" s="462"/>
      <c r="K127" s="476"/>
      <c r="L127" s="471"/>
      <c r="M127" s="471"/>
      <c r="N127" s="471"/>
    </row>
    <row r="128" spans="1:14" s="451" customFormat="1" ht="30" customHeight="1">
      <c r="A128" s="452"/>
      <c r="B128" s="453"/>
      <c r="C128" s="454"/>
      <c r="D128" s="455"/>
      <c r="E128" s="456"/>
      <c r="F128" s="486"/>
      <c r="G128" s="461"/>
      <c r="H128" s="457"/>
      <c r="I128" s="487"/>
      <c r="J128" s="459"/>
      <c r="K128" s="476"/>
      <c r="L128" s="415"/>
      <c r="M128" s="473"/>
      <c r="N128" s="415"/>
    </row>
    <row r="129" spans="1:14" ht="30" customHeight="1">
      <c r="A129" s="452"/>
      <c r="B129" s="453"/>
      <c r="C129" s="454"/>
      <c r="D129" s="455"/>
      <c r="E129" s="456"/>
      <c r="F129" s="486"/>
      <c r="G129" s="461"/>
      <c r="H129" s="457"/>
      <c r="I129" s="487"/>
      <c r="J129" s="459"/>
      <c r="K129" s="476"/>
    </row>
    <row r="130" spans="1:14" ht="30" customHeight="1">
      <c r="A130" s="452"/>
      <c r="B130" s="453"/>
      <c r="C130" s="454"/>
      <c r="D130" s="455"/>
      <c r="E130" s="456"/>
      <c r="F130" s="486"/>
      <c r="G130" s="461"/>
      <c r="H130" s="471"/>
      <c r="I130" s="487"/>
      <c r="J130" s="459"/>
      <c r="K130" s="476"/>
      <c r="M130" s="473"/>
    </row>
    <row r="131" spans="1:14" ht="30" customHeight="1">
      <c r="A131" s="452"/>
      <c r="B131" s="453"/>
      <c r="C131" s="454"/>
      <c r="D131" s="455"/>
      <c r="E131" s="456"/>
      <c r="F131" s="486"/>
      <c r="G131" s="464"/>
      <c r="H131" s="454"/>
      <c r="I131" s="487"/>
      <c r="J131" s="459"/>
      <c r="K131" s="476"/>
    </row>
    <row r="132" spans="1:14" ht="30" customHeight="1">
      <c r="A132" s="452"/>
      <c r="B132" s="453"/>
      <c r="C132" s="454"/>
      <c r="D132" s="455"/>
      <c r="E132" s="456"/>
      <c r="F132" s="486"/>
      <c r="G132" s="461"/>
      <c r="H132" s="457"/>
      <c r="I132" s="487"/>
      <c r="J132" s="459"/>
      <c r="K132" s="476"/>
    </row>
    <row r="133" spans="1:14" ht="30" customHeight="1">
      <c r="A133" s="452"/>
      <c r="B133" s="453"/>
      <c r="C133" s="454"/>
      <c r="D133" s="455"/>
      <c r="E133" s="456"/>
      <c r="F133" s="486"/>
      <c r="G133" s="461"/>
      <c r="H133" s="457"/>
      <c r="I133" s="487"/>
      <c r="J133" s="459"/>
      <c r="K133" s="476"/>
    </row>
    <row r="134" spans="1:14" ht="30" customHeight="1">
      <c r="A134" s="452"/>
      <c r="B134" s="453"/>
      <c r="C134" s="454"/>
      <c r="D134" s="455"/>
      <c r="E134" s="456"/>
      <c r="F134" s="486"/>
      <c r="G134" s="461"/>
      <c r="H134" s="457"/>
      <c r="I134" s="487"/>
      <c r="J134" s="459"/>
      <c r="K134" s="476"/>
    </row>
    <row r="135" spans="1:14" ht="30" customHeight="1">
      <c r="A135" s="452"/>
      <c r="B135" s="453"/>
      <c r="C135" s="454"/>
      <c r="D135" s="455"/>
      <c r="E135" s="456"/>
      <c r="F135" s="486"/>
      <c r="G135" s="461"/>
      <c r="H135" s="457"/>
      <c r="I135" s="487"/>
      <c r="J135" s="459"/>
      <c r="K135" s="476"/>
    </row>
    <row r="136" spans="1:14" ht="30" customHeight="1">
      <c r="A136" s="452"/>
      <c r="B136" s="453"/>
      <c r="C136" s="454"/>
      <c r="D136" s="455"/>
      <c r="E136" s="456"/>
      <c r="F136" s="486"/>
      <c r="G136" s="461"/>
      <c r="H136" s="457"/>
      <c r="I136" s="487"/>
      <c r="J136" s="459"/>
      <c r="K136" s="476"/>
    </row>
    <row r="137" spans="1:14" ht="30" customHeight="1">
      <c r="A137" s="452"/>
      <c r="B137" s="453"/>
      <c r="C137" s="454"/>
      <c r="D137" s="455"/>
      <c r="E137" s="456"/>
      <c r="F137" s="486"/>
      <c r="G137" s="461"/>
      <c r="H137" s="457"/>
      <c r="I137" s="487"/>
      <c r="J137" s="462"/>
      <c r="K137" s="476"/>
      <c r="L137" s="471"/>
      <c r="M137" s="471"/>
      <c r="N137" s="471"/>
    </row>
    <row r="138" spans="1:14" ht="30" customHeight="1">
      <c r="A138" s="452"/>
      <c r="B138" s="453"/>
      <c r="C138" s="454"/>
      <c r="D138" s="455"/>
      <c r="E138" s="456"/>
      <c r="F138" s="486"/>
      <c r="G138" s="461"/>
      <c r="H138" s="457"/>
      <c r="I138" s="487"/>
      <c r="J138" s="459"/>
      <c r="K138" s="476"/>
    </row>
    <row r="139" spans="1:14" ht="30" customHeight="1">
      <c r="A139" s="452"/>
      <c r="B139" s="453"/>
      <c r="C139" s="454"/>
      <c r="D139" s="455"/>
      <c r="E139" s="456"/>
      <c r="F139" s="486"/>
      <c r="G139" s="461"/>
      <c r="H139" s="457"/>
      <c r="I139" s="487"/>
      <c r="J139" s="459"/>
      <c r="K139" s="476"/>
    </row>
    <row r="140" spans="1:14" ht="30" customHeight="1">
      <c r="A140" s="452"/>
      <c r="B140" s="453"/>
      <c r="C140" s="454"/>
      <c r="D140" s="455"/>
      <c r="E140" s="456"/>
      <c r="F140" s="486"/>
      <c r="G140" s="461"/>
      <c r="H140" s="457"/>
      <c r="I140" s="487"/>
      <c r="J140" s="459"/>
      <c r="K140" s="476"/>
    </row>
    <row r="141" spans="1:14" ht="30" customHeight="1">
      <c r="A141" s="452"/>
      <c r="B141" s="453"/>
      <c r="C141" s="454"/>
      <c r="D141" s="455"/>
      <c r="E141" s="456"/>
      <c r="F141" s="486"/>
      <c r="G141" s="461"/>
      <c r="H141" s="457"/>
      <c r="I141" s="487"/>
      <c r="J141" s="459"/>
      <c r="K141" s="476"/>
    </row>
    <row r="142" spans="1:14" ht="30" customHeight="1">
      <c r="A142" s="452"/>
      <c r="B142" s="453"/>
      <c r="C142" s="454"/>
      <c r="D142" s="455"/>
      <c r="E142" s="456"/>
      <c r="F142" s="486"/>
      <c r="G142" s="461"/>
      <c r="H142" s="457"/>
      <c r="I142" s="487"/>
      <c r="J142" s="459"/>
      <c r="K142" s="476"/>
      <c r="M142" s="473"/>
    </row>
    <row r="143" spans="1:14" ht="30" customHeight="1">
      <c r="A143" s="452"/>
      <c r="B143" s="453"/>
      <c r="C143" s="454"/>
      <c r="D143" s="455"/>
      <c r="E143" s="456"/>
      <c r="F143" s="486"/>
      <c r="G143" s="461"/>
      <c r="H143" s="457"/>
      <c r="I143" s="487"/>
      <c r="J143" s="459"/>
      <c r="K143" s="476"/>
    </row>
    <row r="144" spans="1:14" ht="30" customHeight="1">
      <c r="A144" s="452"/>
      <c r="B144" s="453"/>
      <c r="C144" s="454"/>
      <c r="D144" s="455"/>
      <c r="E144" s="456"/>
      <c r="F144" s="486"/>
      <c r="G144" s="461"/>
      <c r="H144" s="457"/>
      <c r="I144" s="487"/>
      <c r="J144" s="459"/>
      <c r="K144" s="476"/>
    </row>
    <row r="145" spans="1:13" ht="30" customHeight="1">
      <c r="A145" s="452"/>
      <c r="B145" s="453"/>
      <c r="C145" s="454"/>
      <c r="D145" s="455"/>
      <c r="E145" s="456"/>
      <c r="F145" s="486"/>
      <c r="G145" s="461"/>
      <c r="H145" s="457"/>
      <c r="I145" s="487"/>
      <c r="J145" s="459"/>
      <c r="K145" s="476"/>
    </row>
    <row r="146" spans="1:13" ht="30" customHeight="1">
      <c r="A146" s="452"/>
      <c r="B146" s="453"/>
      <c r="C146" s="454"/>
      <c r="D146" s="455"/>
      <c r="E146" s="456"/>
      <c r="F146" s="486"/>
      <c r="G146" s="461"/>
      <c r="H146" s="457"/>
      <c r="I146" s="487"/>
      <c r="J146" s="459"/>
      <c r="K146" s="476"/>
    </row>
    <row r="147" spans="1:13" ht="30" customHeight="1">
      <c r="A147" s="452"/>
      <c r="B147" s="453"/>
      <c r="C147" s="454"/>
      <c r="D147" s="455"/>
      <c r="E147" s="456"/>
      <c r="F147" s="486"/>
      <c r="G147" s="461"/>
      <c r="H147" s="457"/>
      <c r="I147" s="487"/>
      <c r="J147" s="459"/>
      <c r="K147" s="476"/>
      <c r="M147" s="473"/>
    </row>
    <row r="148" spans="1:13" ht="30" customHeight="1">
      <c r="A148" s="452"/>
      <c r="B148" s="453"/>
      <c r="C148" s="454"/>
      <c r="D148" s="455"/>
      <c r="E148" s="456"/>
      <c r="F148" s="486"/>
      <c r="G148" s="461"/>
      <c r="H148" s="457"/>
      <c r="I148" s="487"/>
      <c r="J148" s="459"/>
      <c r="K148" s="476"/>
      <c r="M148" s="473"/>
    </row>
    <row r="149" spans="1:13" ht="30" customHeight="1">
      <c r="A149" s="452"/>
      <c r="B149" s="453"/>
      <c r="C149" s="454"/>
      <c r="D149" s="455"/>
      <c r="E149" s="456"/>
      <c r="F149" s="486"/>
      <c r="G149" s="461"/>
      <c r="H149" s="457"/>
      <c r="I149" s="487"/>
      <c r="J149" s="459"/>
      <c r="K149" s="476"/>
      <c r="M149" s="473"/>
    </row>
    <row r="150" spans="1:13" ht="30" customHeight="1">
      <c r="A150" s="452"/>
      <c r="B150" s="453"/>
      <c r="C150" s="454"/>
      <c r="D150" s="455"/>
      <c r="E150" s="456"/>
      <c r="F150" s="486"/>
      <c r="G150" s="461"/>
      <c r="H150" s="457"/>
      <c r="I150" s="487"/>
      <c r="J150" s="459"/>
      <c r="K150" s="476"/>
    </row>
    <row r="151" spans="1:13" ht="30" customHeight="1">
      <c r="A151" s="452"/>
      <c r="B151" s="453"/>
      <c r="C151" s="454"/>
      <c r="D151" s="455"/>
      <c r="E151" s="456"/>
      <c r="F151" s="486"/>
      <c r="G151" s="461"/>
      <c r="H151" s="457"/>
      <c r="I151" s="487"/>
      <c r="J151" s="459"/>
      <c r="K151" s="476"/>
    </row>
    <row r="152" spans="1:13" ht="30" customHeight="1">
      <c r="A152" s="452"/>
      <c r="B152" s="453"/>
      <c r="C152" s="454"/>
      <c r="D152" s="455"/>
      <c r="E152" s="456"/>
      <c r="F152" s="486"/>
      <c r="G152" s="461"/>
      <c r="H152" s="457"/>
      <c r="I152" s="487"/>
      <c r="J152" s="459"/>
      <c r="K152" s="476"/>
      <c r="M152" s="474"/>
    </row>
    <row r="153" spans="1:13" ht="30" customHeight="1">
      <c r="A153" s="452"/>
      <c r="B153" s="453"/>
      <c r="C153" s="454"/>
      <c r="D153" s="455"/>
      <c r="E153" s="456"/>
      <c r="F153" s="486"/>
      <c r="G153" s="461"/>
      <c r="H153" s="457"/>
      <c r="I153" s="487"/>
      <c r="J153" s="459"/>
      <c r="K153" s="476"/>
    </row>
    <row r="154" spans="1:13" ht="30" customHeight="1">
      <c r="A154" s="452"/>
      <c r="B154" s="465"/>
      <c r="C154" s="452"/>
      <c r="D154" s="466"/>
      <c r="E154" s="456"/>
      <c r="F154" s="487"/>
      <c r="G154" s="461"/>
      <c r="H154" s="457"/>
      <c r="I154" s="487"/>
      <c r="J154" s="459"/>
      <c r="K154" s="477"/>
    </row>
    <row r="155" spans="1:13" ht="30" customHeight="1">
      <c r="A155" s="452"/>
      <c r="B155" s="453"/>
      <c r="C155" s="454"/>
      <c r="D155" s="455"/>
      <c r="E155" s="456"/>
      <c r="F155" s="486"/>
      <c r="G155" s="461"/>
      <c r="H155" s="457"/>
      <c r="I155" s="487"/>
      <c r="J155" s="459"/>
      <c r="K155" s="476"/>
    </row>
    <row r="156" spans="1:13" ht="30" customHeight="1">
      <c r="A156" s="452"/>
      <c r="B156" s="453"/>
      <c r="C156" s="454"/>
      <c r="D156" s="455"/>
      <c r="E156" s="456"/>
      <c r="F156" s="486"/>
      <c r="G156" s="461"/>
      <c r="H156" s="457"/>
      <c r="I156" s="487"/>
      <c r="J156" s="459"/>
      <c r="K156" s="476"/>
    </row>
    <row r="157" spans="1:13" ht="30" customHeight="1">
      <c r="A157" s="452"/>
      <c r="B157" s="453"/>
      <c r="C157" s="454"/>
      <c r="D157" s="455"/>
      <c r="E157" s="456"/>
      <c r="F157" s="486"/>
      <c r="G157" s="461"/>
      <c r="H157" s="457"/>
      <c r="I157" s="487"/>
      <c r="J157" s="459"/>
      <c r="K157" s="476"/>
    </row>
    <row r="158" spans="1:13" ht="30" customHeight="1">
      <c r="A158" s="452"/>
      <c r="B158" s="453"/>
      <c r="C158" s="454"/>
      <c r="D158" s="455"/>
      <c r="E158" s="456"/>
      <c r="F158" s="486"/>
      <c r="G158" s="461"/>
      <c r="H158" s="457"/>
      <c r="I158" s="487"/>
      <c r="J158" s="459"/>
      <c r="K158" s="476"/>
    </row>
    <row r="159" spans="1:13" ht="30" customHeight="1">
      <c r="A159" s="452"/>
      <c r="B159" s="453"/>
      <c r="C159" s="454"/>
      <c r="D159" s="455"/>
      <c r="E159" s="456"/>
      <c r="F159" s="486"/>
      <c r="G159" s="464"/>
      <c r="H159" s="457"/>
      <c r="I159" s="487"/>
      <c r="J159" s="459"/>
      <c r="K159" s="476"/>
    </row>
    <row r="160" spans="1:13" ht="30" customHeight="1">
      <c r="A160" s="452"/>
      <c r="B160" s="453"/>
      <c r="C160" s="454"/>
      <c r="D160" s="455"/>
      <c r="E160" s="456"/>
      <c r="F160" s="486"/>
      <c r="G160" s="461"/>
      <c r="H160" s="457"/>
      <c r="I160" s="487"/>
      <c r="J160" s="459"/>
      <c r="K160" s="476"/>
    </row>
    <row r="161" spans="1:14" ht="30" customHeight="1">
      <c r="A161" s="452"/>
      <c r="B161" s="453"/>
      <c r="C161" s="454"/>
      <c r="D161" s="455"/>
      <c r="E161" s="456"/>
      <c r="F161" s="486"/>
      <c r="G161" s="461"/>
      <c r="H161" s="457"/>
      <c r="I161" s="487"/>
      <c r="J161" s="459"/>
      <c r="K161" s="476"/>
    </row>
    <row r="162" spans="1:14" ht="30" customHeight="1">
      <c r="A162" s="452"/>
      <c r="B162" s="453"/>
      <c r="C162" s="454"/>
      <c r="D162" s="455"/>
      <c r="E162" s="456"/>
      <c r="F162" s="486"/>
      <c r="G162" s="464"/>
      <c r="H162" s="457"/>
      <c r="I162" s="487"/>
      <c r="J162" s="459"/>
      <c r="K162" s="476"/>
    </row>
    <row r="163" spans="1:14" ht="30" customHeight="1">
      <c r="A163" s="452"/>
      <c r="B163" s="453"/>
      <c r="C163" s="454"/>
      <c r="D163" s="455"/>
      <c r="E163" s="456"/>
      <c r="F163" s="486"/>
      <c r="G163" s="461"/>
      <c r="H163" s="457"/>
      <c r="I163" s="487"/>
      <c r="J163" s="459"/>
      <c r="K163" s="476"/>
    </row>
    <row r="164" spans="1:14" ht="30" customHeight="1">
      <c r="A164" s="452"/>
      <c r="B164" s="453"/>
      <c r="C164" s="454"/>
      <c r="D164" s="455"/>
      <c r="E164" s="456"/>
      <c r="F164" s="486"/>
      <c r="G164" s="461"/>
      <c r="H164" s="457"/>
      <c r="I164" s="487"/>
      <c r="J164" s="459"/>
      <c r="K164" s="476"/>
    </row>
    <row r="165" spans="1:14" ht="30" customHeight="1">
      <c r="A165" s="452"/>
      <c r="B165" s="453"/>
      <c r="C165" s="454"/>
      <c r="D165" s="455"/>
      <c r="E165" s="456"/>
      <c r="F165" s="486"/>
      <c r="G165" s="461"/>
      <c r="H165" s="457"/>
      <c r="I165" s="487"/>
      <c r="J165" s="459"/>
      <c r="K165" s="476"/>
    </row>
    <row r="166" spans="1:14" ht="30" customHeight="1">
      <c r="A166" s="452"/>
      <c r="B166" s="453"/>
      <c r="C166" s="454"/>
      <c r="D166" s="455"/>
      <c r="E166" s="456"/>
      <c r="F166" s="486"/>
      <c r="G166" s="461"/>
      <c r="H166" s="457"/>
      <c r="I166" s="487"/>
      <c r="J166" s="459"/>
      <c r="K166" s="476"/>
    </row>
    <row r="167" spans="1:14" ht="30" customHeight="1">
      <c r="A167" s="452"/>
      <c r="B167" s="453"/>
      <c r="C167" s="454"/>
      <c r="D167" s="455"/>
      <c r="E167" s="456"/>
      <c r="F167" s="486"/>
      <c r="G167" s="461"/>
      <c r="H167" s="457"/>
      <c r="I167" s="487"/>
      <c r="J167" s="459"/>
      <c r="K167" s="476"/>
    </row>
    <row r="168" spans="1:14" s="451" customFormat="1" ht="30" customHeight="1">
      <c r="A168" s="452"/>
      <c r="B168" s="453"/>
      <c r="C168" s="454"/>
      <c r="D168" s="455"/>
      <c r="E168" s="456"/>
      <c r="F168" s="487"/>
      <c r="G168" s="480"/>
      <c r="H168" s="457"/>
      <c r="I168" s="487"/>
      <c r="J168" s="459"/>
      <c r="K168" s="476"/>
      <c r="L168" s="471"/>
      <c r="M168" s="415"/>
      <c r="N168" s="415"/>
    </row>
    <row r="169" spans="1:14" ht="30" customHeight="1">
      <c r="A169" s="452"/>
      <c r="B169" s="453"/>
      <c r="C169" s="454"/>
      <c r="D169" s="455"/>
      <c r="E169" s="456"/>
      <c r="F169" s="486"/>
      <c r="G169" s="461"/>
      <c r="H169" s="457"/>
      <c r="I169" s="487"/>
      <c r="J169" s="459"/>
      <c r="K169" s="476"/>
    </row>
    <row r="170" spans="1:14" ht="30" customHeight="1">
      <c r="A170" s="452"/>
      <c r="B170" s="453"/>
      <c r="C170" s="454"/>
      <c r="D170" s="455"/>
      <c r="E170" s="456"/>
      <c r="F170" s="486"/>
      <c r="G170" s="461"/>
      <c r="H170" s="457"/>
      <c r="I170" s="487"/>
      <c r="J170" s="459"/>
      <c r="K170" s="476"/>
    </row>
    <row r="171" spans="1:14" ht="30" customHeight="1">
      <c r="A171" s="452"/>
      <c r="B171" s="453"/>
      <c r="C171" s="454"/>
      <c r="D171" s="455"/>
      <c r="E171" s="456"/>
      <c r="F171" s="486"/>
      <c r="G171" s="464"/>
      <c r="H171" s="454"/>
      <c r="I171" s="487"/>
      <c r="J171" s="459"/>
      <c r="K171" s="476"/>
    </row>
    <row r="172" spans="1:14" ht="30" customHeight="1">
      <c r="A172" s="452"/>
      <c r="B172" s="453"/>
      <c r="C172" s="454"/>
      <c r="D172" s="455"/>
      <c r="E172" s="456"/>
      <c r="F172" s="486"/>
      <c r="G172" s="461"/>
      <c r="H172" s="457"/>
      <c r="I172" s="487"/>
      <c r="J172" s="459"/>
      <c r="K172" s="476"/>
    </row>
    <row r="173" spans="1:14" ht="30" customHeight="1">
      <c r="A173" s="452"/>
      <c r="B173" s="453"/>
      <c r="C173" s="454"/>
      <c r="D173" s="455"/>
      <c r="E173" s="456"/>
      <c r="F173" s="486"/>
      <c r="G173" s="461"/>
      <c r="H173" s="457"/>
      <c r="I173" s="487"/>
      <c r="J173" s="459"/>
      <c r="K173" s="476"/>
    </row>
    <row r="174" spans="1:14" ht="30" customHeight="1">
      <c r="A174" s="452"/>
      <c r="B174" s="453"/>
      <c r="C174" s="454"/>
      <c r="D174" s="455"/>
      <c r="E174" s="456"/>
      <c r="F174" s="486"/>
      <c r="G174" s="461"/>
      <c r="H174" s="457"/>
      <c r="I174" s="487"/>
      <c r="J174" s="459"/>
      <c r="K174" s="476"/>
    </row>
    <row r="175" spans="1:14" ht="30" customHeight="1">
      <c r="A175" s="452"/>
      <c r="B175" s="453"/>
      <c r="C175" s="454"/>
      <c r="D175" s="455"/>
      <c r="E175" s="456"/>
      <c r="F175" s="486"/>
      <c r="G175" s="461"/>
      <c r="H175" s="457"/>
      <c r="I175" s="487"/>
      <c r="J175" s="459"/>
      <c r="K175" s="476"/>
    </row>
    <row r="176" spans="1:14" ht="30" customHeight="1">
      <c r="A176" s="452"/>
      <c r="B176" s="453"/>
      <c r="C176" s="454"/>
      <c r="D176" s="455"/>
      <c r="E176" s="456"/>
      <c r="F176" s="486"/>
      <c r="G176" s="461"/>
      <c r="H176" s="457"/>
      <c r="I176" s="487"/>
      <c r="J176" s="459"/>
      <c r="K176" s="476"/>
    </row>
    <row r="177" spans="1:12" ht="30" customHeight="1">
      <c r="A177" s="452"/>
      <c r="B177" s="453"/>
      <c r="C177" s="454"/>
      <c r="D177" s="455"/>
      <c r="E177" s="456"/>
      <c r="F177" s="486"/>
      <c r="G177" s="461"/>
      <c r="H177" s="457"/>
      <c r="I177" s="487"/>
      <c r="J177" s="459"/>
      <c r="K177" s="476"/>
    </row>
    <row r="178" spans="1:12" ht="30" customHeight="1">
      <c r="A178" s="452"/>
      <c r="B178" s="453"/>
      <c r="C178" s="454"/>
      <c r="D178" s="455"/>
      <c r="E178" s="456"/>
      <c r="F178" s="486"/>
      <c r="G178" s="461"/>
      <c r="H178" s="457"/>
      <c r="I178" s="487"/>
      <c r="J178" s="459"/>
      <c r="K178" s="476"/>
    </row>
    <row r="179" spans="1:12" ht="30" customHeight="1">
      <c r="A179" s="452"/>
      <c r="B179" s="453"/>
      <c r="C179" s="454"/>
      <c r="D179" s="455"/>
      <c r="E179" s="456"/>
      <c r="F179" s="486"/>
      <c r="G179" s="461"/>
      <c r="H179" s="457"/>
      <c r="I179" s="487"/>
      <c r="J179" s="459"/>
      <c r="K179" s="476"/>
    </row>
    <row r="180" spans="1:12" ht="30" customHeight="1">
      <c r="A180" s="452"/>
      <c r="B180" s="453"/>
      <c r="C180" s="454"/>
      <c r="D180" s="455"/>
      <c r="E180" s="456"/>
      <c r="F180" s="486"/>
      <c r="G180" s="461"/>
      <c r="H180" s="457"/>
      <c r="I180" s="487"/>
      <c r="J180" s="459"/>
      <c r="K180" s="476"/>
    </row>
    <row r="181" spans="1:12" ht="30" customHeight="1">
      <c r="A181" s="452"/>
      <c r="B181" s="453"/>
      <c r="C181" s="454"/>
      <c r="D181" s="455"/>
      <c r="E181" s="456"/>
      <c r="F181" s="486"/>
      <c r="G181" s="461"/>
      <c r="H181" s="457"/>
      <c r="I181" s="487"/>
      <c r="J181" s="459"/>
      <c r="K181" s="476"/>
    </row>
    <row r="182" spans="1:12" ht="30" customHeight="1">
      <c r="A182" s="452"/>
      <c r="B182" s="453"/>
      <c r="C182" s="454"/>
      <c r="D182" s="455"/>
      <c r="E182" s="456"/>
      <c r="F182" s="486"/>
      <c r="G182" s="461"/>
      <c r="H182" s="457"/>
      <c r="I182" s="487"/>
      <c r="J182" s="459"/>
      <c r="K182" s="476"/>
    </row>
    <row r="183" spans="1:12" ht="30" customHeight="1">
      <c r="A183" s="452"/>
      <c r="B183" s="453"/>
      <c r="C183" s="454"/>
      <c r="D183" s="455"/>
      <c r="E183" s="456"/>
      <c r="F183" s="486"/>
      <c r="G183" s="461"/>
      <c r="H183" s="457"/>
      <c r="I183" s="487"/>
      <c r="J183" s="459"/>
      <c r="K183" s="476"/>
    </row>
    <row r="184" spans="1:12" ht="30" customHeight="1">
      <c r="A184" s="452"/>
      <c r="B184" s="453"/>
      <c r="C184" s="454"/>
      <c r="D184" s="455"/>
      <c r="E184" s="456"/>
      <c r="F184" s="486"/>
      <c r="G184" s="461"/>
      <c r="H184" s="457"/>
      <c r="I184" s="487"/>
      <c r="J184" s="459"/>
      <c r="K184" s="476"/>
    </row>
    <row r="185" spans="1:12" ht="30" customHeight="1">
      <c r="A185" s="452"/>
      <c r="B185" s="453"/>
      <c r="C185" s="454"/>
      <c r="D185" s="466"/>
      <c r="E185" s="456"/>
      <c r="F185" s="487"/>
      <c r="G185" s="481"/>
      <c r="H185" s="457"/>
      <c r="I185" s="487"/>
      <c r="J185" s="462"/>
      <c r="K185" s="476"/>
      <c r="L185" s="471"/>
    </row>
    <row r="186" spans="1:12" ht="30" customHeight="1">
      <c r="A186" s="452"/>
      <c r="B186" s="453"/>
      <c r="C186" s="454"/>
      <c r="D186" s="455"/>
      <c r="E186" s="456"/>
      <c r="F186" s="486"/>
      <c r="G186" s="461"/>
      <c r="H186" s="457"/>
      <c r="I186" s="487"/>
      <c r="J186" s="459"/>
      <c r="K186" s="476"/>
    </row>
    <row r="187" spans="1:12" ht="30" customHeight="1">
      <c r="A187" s="452"/>
      <c r="B187" s="453"/>
      <c r="C187" s="454"/>
      <c r="D187" s="466"/>
      <c r="E187" s="456"/>
      <c r="F187" s="487"/>
      <c r="G187" s="464"/>
      <c r="H187" s="471"/>
      <c r="I187" s="487"/>
      <c r="J187" s="462"/>
      <c r="K187" s="476"/>
      <c r="L187" s="471"/>
    </row>
    <row r="188" spans="1:12" ht="30" customHeight="1">
      <c r="A188" s="452"/>
      <c r="B188" s="453"/>
      <c r="C188" s="454"/>
      <c r="D188" s="455"/>
      <c r="E188" s="456"/>
      <c r="F188" s="486"/>
      <c r="G188" s="461"/>
      <c r="H188" s="457"/>
      <c r="I188" s="487"/>
      <c r="J188" s="459"/>
      <c r="K188" s="476"/>
    </row>
    <row r="189" spans="1:12" ht="30" customHeight="1">
      <c r="A189" s="452"/>
      <c r="B189" s="453"/>
      <c r="C189" s="454"/>
      <c r="D189" s="455"/>
      <c r="E189" s="456"/>
      <c r="F189" s="486"/>
      <c r="G189" s="461"/>
      <c r="H189" s="457"/>
      <c r="I189" s="487"/>
      <c r="J189" s="459"/>
      <c r="K189" s="476"/>
    </row>
    <row r="190" spans="1:12" ht="30" customHeight="1">
      <c r="A190" s="452"/>
      <c r="B190" s="453"/>
      <c r="C190" s="454"/>
      <c r="D190" s="455"/>
      <c r="E190" s="456"/>
      <c r="F190" s="486"/>
      <c r="G190" s="461"/>
      <c r="H190" s="457"/>
      <c r="I190" s="487"/>
      <c r="J190" s="459"/>
      <c r="K190" s="477"/>
    </row>
    <row r="191" spans="1:12" ht="30" customHeight="1">
      <c r="A191" s="452"/>
      <c r="B191" s="453"/>
      <c r="C191" s="454"/>
      <c r="D191" s="455"/>
      <c r="E191" s="456"/>
      <c r="F191" s="486"/>
      <c r="G191" s="464"/>
      <c r="H191" s="457"/>
      <c r="I191" s="487"/>
      <c r="J191" s="459"/>
      <c r="K191" s="477"/>
    </row>
    <row r="192" spans="1:12" ht="30" customHeight="1">
      <c r="A192" s="452"/>
      <c r="B192" s="453"/>
      <c r="C192" s="454"/>
      <c r="D192" s="455"/>
      <c r="E192" s="456"/>
      <c r="F192" s="486"/>
      <c r="G192" s="461"/>
      <c r="H192" s="457"/>
      <c r="I192" s="487"/>
      <c r="J192" s="459"/>
      <c r="K192" s="478"/>
    </row>
    <row r="193" spans="1:14" ht="30" customHeight="1">
      <c r="A193" s="452"/>
      <c r="B193" s="453"/>
      <c r="C193" s="454"/>
      <c r="D193" s="455"/>
      <c r="E193" s="456"/>
      <c r="F193" s="486"/>
      <c r="G193" s="461"/>
      <c r="H193" s="457"/>
      <c r="I193" s="487"/>
      <c r="J193" s="459"/>
      <c r="K193" s="477"/>
    </row>
    <row r="194" spans="1:14" ht="30" customHeight="1">
      <c r="A194" s="452"/>
      <c r="B194" s="453"/>
      <c r="C194" s="454"/>
      <c r="D194" s="455"/>
      <c r="E194" s="456"/>
      <c r="F194" s="486"/>
      <c r="G194" s="461"/>
      <c r="H194" s="457"/>
      <c r="I194" s="487"/>
      <c r="J194" s="459"/>
      <c r="K194" s="477"/>
    </row>
    <row r="195" spans="1:14" ht="30" customHeight="1">
      <c r="A195" s="452"/>
      <c r="B195" s="453"/>
      <c r="C195" s="454"/>
      <c r="D195" s="455"/>
      <c r="E195" s="456"/>
      <c r="F195" s="486"/>
      <c r="G195" s="461"/>
      <c r="H195" s="457"/>
      <c r="I195" s="487"/>
      <c r="J195" s="459"/>
      <c r="K195" s="477"/>
    </row>
    <row r="196" spans="1:14" ht="30" customHeight="1">
      <c r="A196" s="452"/>
      <c r="B196" s="453"/>
      <c r="C196" s="454"/>
      <c r="D196" s="455"/>
      <c r="E196" s="456"/>
      <c r="F196" s="486"/>
      <c r="G196" s="461"/>
      <c r="H196" s="457"/>
      <c r="I196" s="487"/>
      <c r="J196" s="459"/>
      <c r="K196" s="478"/>
    </row>
    <row r="197" spans="1:14" ht="30" customHeight="1">
      <c r="A197" s="452"/>
      <c r="B197" s="453"/>
      <c r="C197" s="454"/>
      <c r="D197" s="455"/>
      <c r="E197" s="456"/>
      <c r="F197" s="486"/>
      <c r="G197" s="461"/>
      <c r="H197" s="457"/>
      <c r="I197" s="487"/>
      <c r="J197" s="459"/>
      <c r="K197" s="476"/>
    </row>
    <row r="198" spans="1:14" ht="30" customHeight="1">
      <c r="A198" s="452"/>
      <c r="B198" s="453"/>
      <c r="C198" s="454"/>
      <c r="D198" s="455"/>
      <c r="E198" s="456"/>
      <c r="F198" s="486"/>
      <c r="G198" s="461"/>
      <c r="H198" s="457"/>
      <c r="I198" s="487"/>
      <c r="J198" s="459"/>
      <c r="K198" s="476"/>
      <c r="L198" s="471"/>
    </row>
    <row r="199" spans="1:14" ht="30" customHeight="1">
      <c r="A199" s="452"/>
      <c r="B199" s="453"/>
      <c r="C199" s="454"/>
      <c r="D199" s="455"/>
      <c r="E199" s="456"/>
      <c r="F199" s="486"/>
      <c r="G199" s="461"/>
      <c r="H199" s="457"/>
      <c r="I199" s="487"/>
      <c r="J199" s="462"/>
      <c r="K199" s="476"/>
      <c r="L199" s="471"/>
    </row>
    <row r="200" spans="1:14" ht="30" customHeight="1">
      <c r="A200" s="452"/>
      <c r="B200" s="453"/>
      <c r="C200" s="454"/>
      <c r="D200" s="455"/>
      <c r="E200" s="456"/>
      <c r="F200" s="486"/>
      <c r="G200" s="461"/>
      <c r="H200" s="457"/>
      <c r="I200" s="487"/>
      <c r="J200" s="459"/>
      <c r="K200" s="477"/>
    </row>
    <row r="201" spans="1:14" ht="30" customHeight="1">
      <c r="A201" s="452"/>
      <c r="B201" s="453"/>
      <c r="C201" s="454"/>
      <c r="D201" s="455"/>
      <c r="E201" s="456"/>
      <c r="F201" s="486"/>
      <c r="G201" s="461"/>
      <c r="H201" s="457"/>
      <c r="I201" s="487"/>
      <c r="J201" s="459"/>
      <c r="K201" s="476"/>
      <c r="L201" s="471"/>
      <c r="N201" s="471"/>
    </row>
    <row r="202" spans="1:14" ht="30" customHeight="1">
      <c r="A202" s="452"/>
      <c r="B202" s="453"/>
      <c r="C202" s="454"/>
      <c r="D202" s="455"/>
      <c r="E202" s="456"/>
      <c r="F202" s="486"/>
      <c r="G202" s="461"/>
      <c r="H202" s="457"/>
      <c r="I202" s="487"/>
      <c r="J202" s="462"/>
      <c r="K202" s="476"/>
      <c r="L202" s="471"/>
    </row>
    <row r="203" spans="1:14" ht="30" customHeight="1">
      <c r="A203" s="452"/>
      <c r="B203" s="453"/>
      <c r="C203" s="454"/>
      <c r="D203" s="455"/>
      <c r="E203" s="456"/>
      <c r="F203" s="486"/>
      <c r="G203" s="461"/>
      <c r="H203" s="457"/>
      <c r="I203" s="487"/>
      <c r="J203" s="462"/>
      <c r="K203" s="476"/>
      <c r="L203" s="471"/>
    </row>
    <row r="204" spans="1:14" ht="30" customHeight="1">
      <c r="A204" s="452"/>
      <c r="B204" s="453"/>
      <c r="C204" s="454"/>
      <c r="D204" s="455"/>
      <c r="E204" s="456"/>
      <c r="F204" s="486"/>
      <c r="G204" s="461"/>
      <c r="H204" s="457"/>
      <c r="I204" s="487"/>
      <c r="J204" s="462"/>
      <c r="K204" s="476"/>
      <c r="L204" s="471"/>
    </row>
    <row r="205" spans="1:14" ht="30" customHeight="1">
      <c r="A205" s="452"/>
      <c r="B205" s="453"/>
      <c r="C205" s="454"/>
      <c r="D205" s="455"/>
      <c r="E205" s="456"/>
      <c r="F205" s="486"/>
      <c r="G205" s="461"/>
      <c r="H205" s="457"/>
      <c r="I205" s="487"/>
      <c r="J205" s="459"/>
      <c r="K205" s="476"/>
      <c r="L205" s="471"/>
    </row>
    <row r="206" spans="1:14" ht="30" customHeight="1">
      <c r="A206" s="452"/>
      <c r="B206" s="453"/>
      <c r="C206" s="454"/>
      <c r="D206" s="455"/>
      <c r="E206" s="456"/>
      <c r="F206" s="486"/>
      <c r="G206" s="461"/>
      <c r="H206" s="457"/>
      <c r="I206" s="487"/>
      <c r="J206" s="462"/>
      <c r="K206" s="476"/>
      <c r="L206" s="471"/>
    </row>
    <row r="207" spans="1:14" ht="30" customHeight="1">
      <c r="A207" s="452"/>
      <c r="B207" s="453"/>
      <c r="C207" s="454"/>
      <c r="D207" s="455"/>
      <c r="E207" s="456"/>
      <c r="F207" s="486"/>
      <c r="G207" s="461"/>
      <c r="H207" s="457"/>
      <c r="I207" s="487"/>
      <c r="J207" s="462"/>
      <c r="K207" s="476"/>
      <c r="L207" s="471"/>
    </row>
    <row r="208" spans="1:14" ht="30" customHeight="1">
      <c r="A208" s="452"/>
      <c r="B208" s="453"/>
      <c r="C208" s="454"/>
      <c r="D208" s="455"/>
      <c r="E208" s="456"/>
      <c r="F208" s="486"/>
      <c r="G208" s="461"/>
      <c r="H208" s="457"/>
      <c r="I208" s="487"/>
      <c r="J208" s="459"/>
      <c r="K208" s="476"/>
      <c r="L208" s="471"/>
    </row>
    <row r="209" spans="1:13" ht="30" customHeight="1">
      <c r="A209" s="452"/>
      <c r="B209" s="453"/>
      <c r="C209" s="454"/>
      <c r="D209" s="455"/>
      <c r="E209" s="456"/>
      <c r="F209" s="486"/>
      <c r="G209" s="461"/>
      <c r="H209" s="457"/>
      <c r="I209" s="487"/>
      <c r="J209" s="462"/>
      <c r="K209" s="476"/>
      <c r="L209" s="471"/>
    </row>
    <row r="210" spans="1:13" ht="30" customHeight="1">
      <c r="A210" s="452"/>
      <c r="B210" s="453"/>
      <c r="C210" s="454"/>
      <c r="D210" s="455"/>
      <c r="E210" s="456"/>
      <c r="F210" s="486"/>
      <c r="G210" s="464"/>
      <c r="H210" s="457"/>
      <c r="I210" s="487"/>
      <c r="J210" s="459"/>
      <c r="K210" s="477"/>
    </row>
    <row r="211" spans="1:13" ht="30" customHeight="1">
      <c r="A211" s="452"/>
      <c r="B211" s="453"/>
      <c r="C211" s="454"/>
      <c r="D211" s="455"/>
      <c r="E211" s="456"/>
      <c r="F211" s="486"/>
      <c r="G211" s="461"/>
      <c r="H211" s="457"/>
      <c r="I211" s="487"/>
      <c r="J211" s="459"/>
      <c r="K211" s="476"/>
    </row>
    <row r="212" spans="1:13" ht="30" customHeight="1">
      <c r="A212" s="452"/>
      <c r="B212" s="453"/>
      <c r="C212" s="454"/>
      <c r="D212" s="455"/>
      <c r="E212" s="456"/>
      <c r="F212" s="486"/>
      <c r="G212" s="461"/>
      <c r="H212" s="457"/>
      <c r="I212" s="487"/>
      <c r="J212" s="462"/>
      <c r="K212" s="476"/>
      <c r="L212" s="471"/>
    </row>
    <row r="213" spans="1:13" ht="30" customHeight="1">
      <c r="A213" s="452"/>
      <c r="B213" s="453"/>
      <c r="C213" s="454"/>
      <c r="D213" s="455"/>
      <c r="E213" s="456"/>
      <c r="F213" s="486"/>
      <c r="G213" s="461"/>
      <c r="H213" s="457"/>
      <c r="I213" s="487"/>
      <c r="J213" s="459"/>
      <c r="K213" s="479"/>
      <c r="L213" s="471"/>
    </row>
    <row r="214" spans="1:13" ht="30" customHeight="1">
      <c r="A214" s="452"/>
      <c r="B214" s="453"/>
      <c r="C214" s="454"/>
      <c r="D214" s="455"/>
      <c r="E214" s="456"/>
      <c r="F214" s="486"/>
      <c r="G214" s="461"/>
      <c r="H214" s="457"/>
      <c r="I214" s="487"/>
      <c r="J214" s="462"/>
      <c r="K214" s="476"/>
      <c r="L214" s="471"/>
    </row>
    <row r="215" spans="1:13" ht="30" customHeight="1">
      <c r="A215" s="452"/>
      <c r="B215" s="453"/>
      <c r="C215" s="454"/>
      <c r="D215" s="455"/>
      <c r="E215" s="456"/>
      <c r="F215" s="486"/>
      <c r="G215" s="461"/>
      <c r="H215" s="457"/>
      <c r="I215" s="487"/>
      <c r="J215" s="459"/>
      <c r="K215" s="476"/>
      <c r="L215" s="471"/>
    </row>
    <row r="216" spans="1:13" ht="30" customHeight="1">
      <c r="A216" s="452"/>
      <c r="B216" s="453"/>
      <c r="C216" s="454"/>
      <c r="D216" s="455"/>
      <c r="E216" s="456"/>
      <c r="F216" s="486"/>
      <c r="G216" s="461"/>
      <c r="H216" s="457"/>
      <c r="I216" s="487"/>
      <c r="J216" s="459"/>
      <c r="K216" s="479"/>
      <c r="L216" s="471"/>
    </row>
    <row r="217" spans="1:13" ht="30" customHeight="1">
      <c r="A217" s="452"/>
      <c r="B217" s="453"/>
      <c r="C217" s="454"/>
      <c r="D217" s="455"/>
      <c r="E217" s="456"/>
      <c r="F217" s="486"/>
      <c r="G217" s="461"/>
      <c r="H217" s="457"/>
      <c r="I217" s="487"/>
      <c r="J217" s="462"/>
      <c r="K217" s="476"/>
      <c r="L217" s="471"/>
    </row>
    <row r="218" spans="1:13" ht="30" customHeight="1">
      <c r="A218" s="452"/>
      <c r="B218" s="465"/>
      <c r="C218" s="452"/>
      <c r="D218" s="466"/>
      <c r="E218" s="456"/>
      <c r="F218" s="487"/>
      <c r="G218" s="464"/>
      <c r="H218" s="455"/>
      <c r="I218" s="487"/>
      <c r="J218" s="459"/>
      <c r="K218" s="477"/>
    </row>
    <row r="219" spans="1:13" ht="30" customHeight="1">
      <c r="A219" s="452"/>
      <c r="B219" s="453"/>
      <c r="C219" s="454"/>
      <c r="D219" s="455"/>
      <c r="E219" s="456"/>
      <c r="F219" s="486"/>
      <c r="G219" s="461"/>
      <c r="H219" s="457"/>
      <c r="I219" s="487"/>
      <c r="J219" s="462"/>
      <c r="K219" s="476"/>
      <c r="L219" s="471"/>
    </row>
    <row r="220" spans="1:13" ht="30" customHeight="1">
      <c r="A220" s="452"/>
      <c r="B220" s="453"/>
      <c r="C220" s="454"/>
      <c r="D220" s="455"/>
      <c r="E220" s="456"/>
      <c r="F220" s="486"/>
      <c r="G220" s="461"/>
      <c r="H220" s="457"/>
      <c r="I220" s="487"/>
      <c r="J220" s="459"/>
      <c r="K220" s="479"/>
      <c r="L220" s="471"/>
    </row>
    <row r="221" spans="1:13" ht="30" customHeight="1">
      <c r="A221" s="452"/>
      <c r="B221" s="453"/>
      <c r="C221" s="454"/>
      <c r="D221" s="455"/>
      <c r="E221" s="456"/>
      <c r="F221" s="486"/>
      <c r="G221" s="461"/>
      <c r="H221" s="457"/>
      <c r="I221" s="487"/>
      <c r="J221" s="462"/>
      <c r="K221" s="476"/>
      <c r="L221" s="471"/>
      <c r="M221" s="471"/>
    </row>
    <row r="222" spans="1:13" ht="30" customHeight="1">
      <c r="A222" s="452"/>
      <c r="B222" s="453"/>
      <c r="C222" s="454"/>
      <c r="D222" s="455"/>
      <c r="E222" s="456"/>
      <c r="F222" s="486"/>
      <c r="G222" s="482"/>
      <c r="H222" s="457"/>
      <c r="I222" s="487"/>
      <c r="J222" s="459"/>
      <c r="K222" s="479"/>
      <c r="L222" s="471"/>
    </row>
    <row r="223" spans="1:13" ht="30" customHeight="1">
      <c r="A223" s="452"/>
      <c r="B223" s="453"/>
      <c r="C223" s="454"/>
      <c r="D223" s="455"/>
      <c r="E223" s="456"/>
      <c r="F223" s="486"/>
      <c r="G223" s="482"/>
      <c r="H223" s="457"/>
      <c r="I223" s="487"/>
      <c r="J223" s="459"/>
      <c r="K223" s="476"/>
      <c r="L223" s="471"/>
    </row>
    <row r="224" spans="1:13" ht="30" customHeight="1">
      <c r="A224" s="452"/>
      <c r="B224" s="453"/>
      <c r="C224" s="454"/>
      <c r="D224" s="455"/>
      <c r="E224" s="456"/>
      <c r="F224" s="486"/>
      <c r="G224" s="461"/>
      <c r="H224" s="457"/>
      <c r="I224" s="487"/>
      <c r="J224" s="459"/>
      <c r="K224" s="476"/>
    </row>
    <row r="225" spans="1:12" ht="30" customHeight="1">
      <c r="A225" s="452"/>
      <c r="B225" s="453"/>
      <c r="C225" s="454"/>
      <c r="D225" s="455"/>
      <c r="E225" s="456"/>
      <c r="F225" s="486"/>
      <c r="G225" s="461"/>
      <c r="H225" s="457"/>
      <c r="I225" s="487"/>
      <c r="J225" s="459"/>
      <c r="K225" s="476"/>
      <c r="L225" s="471"/>
    </row>
    <row r="226" spans="1:12" ht="30" customHeight="1">
      <c r="A226" s="452"/>
      <c r="B226" s="453"/>
      <c r="C226" s="454"/>
      <c r="D226" s="455"/>
      <c r="E226" s="456"/>
      <c r="F226" s="486"/>
      <c r="G226" s="461"/>
      <c r="H226" s="457"/>
      <c r="I226" s="487"/>
      <c r="J226" s="459"/>
      <c r="K226" s="479"/>
      <c r="L226" s="471"/>
    </row>
    <row r="227" spans="1:12" ht="30" customHeight="1">
      <c r="A227" s="452"/>
      <c r="B227" s="453"/>
      <c r="C227" s="454"/>
      <c r="D227" s="455"/>
      <c r="E227" s="456"/>
      <c r="F227" s="486"/>
      <c r="G227" s="461"/>
      <c r="H227" s="457"/>
      <c r="I227" s="487"/>
      <c r="J227" s="459"/>
      <c r="K227" s="479"/>
      <c r="L227" s="471"/>
    </row>
    <row r="228" spans="1:12" ht="30" customHeight="1">
      <c r="A228" s="452"/>
      <c r="B228" s="453"/>
      <c r="C228" s="454"/>
      <c r="D228" s="455"/>
      <c r="E228" s="456"/>
      <c r="F228" s="486"/>
      <c r="G228" s="461"/>
      <c r="H228" s="462"/>
      <c r="I228" s="487"/>
      <c r="J228" s="459"/>
      <c r="K228" s="479"/>
      <c r="L228" s="471"/>
    </row>
    <row r="229" spans="1:12" ht="30" customHeight="1">
      <c r="A229" s="452"/>
      <c r="B229" s="453"/>
      <c r="C229" s="454"/>
      <c r="D229" s="455"/>
      <c r="E229" s="456"/>
      <c r="F229" s="486"/>
      <c r="G229" s="461"/>
      <c r="H229" s="457"/>
      <c r="I229" s="487"/>
      <c r="J229" s="459"/>
      <c r="K229" s="476"/>
      <c r="L229" s="471"/>
    </row>
    <row r="230" spans="1:12" ht="30" customHeight="1">
      <c r="A230" s="452"/>
      <c r="B230" s="453"/>
      <c r="C230" s="454"/>
      <c r="D230" s="455"/>
      <c r="E230" s="456"/>
      <c r="F230" s="486"/>
      <c r="G230" s="461"/>
      <c r="H230" s="457"/>
      <c r="I230" s="487"/>
      <c r="J230" s="462"/>
      <c r="K230" s="476"/>
      <c r="L230" s="471"/>
    </row>
    <row r="231" spans="1:12" ht="30" customHeight="1">
      <c r="A231" s="452"/>
      <c r="B231" s="453"/>
      <c r="C231" s="454"/>
      <c r="D231" s="455"/>
      <c r="E231" s="456"/>
      <c r="F231" s="486"/>
      <c r="G231" s="461"/>
      <c r="H231" s="457"/>
      <c r="I231" s="487"/>
      <c r="J231" s="462"/>
      <c r="K231" s="476"/>
      <c r="L231" s="471"/>
    </row>
    <row r="232" spans="1:12" ht="30" customHeight="1">
      <c r="A232" s="452"/>
      <c r="B232" s="465"/>
      <c r="C232" s="452"/>
      <c r="D232" s="466"/>
      <c r="E232" s="456"/>
      <c r="F232" s="487"/>
      <c r="G232" s="483"/>
      <c r="H232" s="457"/>
      <c r="I232" s="487"/>
      <c r="J232" s="459"/>
      <c r="K232" s="477"/>
    </row>
    <row r="233" spans="1:12" ht="30" customHeight="1">
      <c r="A233" s="452"/>
      <c r="B233" s="453"/>
      <c r="C233" s="454"/>
      <c r="D233" s="455"/>
      <c r="E233" s="456"/>
      <c r="F233" s="486"/>
      <c r="G233" s="461"/>
      <c r="H233" s="457"/>
      <c r="I233" s="487"/>
      <c r="J233" s="462"/>
      <c r="K233" s="476"/>
      <c r="L233" s="471"/>
    </row>
    <row r="234" spans="1:12" ht="30" customHeight="1">
      <c r="A234" s="452"/>
      <c r="B234" s="453"/>
      <c r="C234" s="454"/>
      <c r="D234" s="455"/>
      <c r="E234" s="456"/>
      <c r="F234" s="486"/>
      <c r="G234" s="461"/>
      <c r="H234" s="457"/>
      <c r="I234" s="487"/>
      <c r="J234" s="462"/>
      <c r="K234" s="476"/>
      <c r="L234" s="471"/>
    </row>
    <row r="235" spans="1:12" ht="30" customHeight="1">
      <c r="A235" s="452"/>
      <c r="B235" s="453"/>
      <c r="C235" s="454"/>
      <c r="D235" s="455"/>
      <c r="E235" s="456"/>
      <c r="F235" s="486"/>
      <c r="G235" s="461"/>
      <c r="H235" s="457"/>
      <c r="I235" s="487"/>
      <c r="J235" s="459"/>
      <c r="K235" s="479"/>
      <c r="L235" s="471"/>
    </row>
    <row r="236" spans="1:12" ht="30" customHeight="1">
      <c r="A236" s="452"/>
      <c r="B236" s="453"/>
      <c r="C236" s="454"/>
      <c r="D236" s="455"/>
      <c r="E236" s="456"/>
      <c r="F236" s="486"/>
      <c r="G236" s="461"/>
      <c r="H236" s="457"/>
      <c r="I236" s="487"/>
      <c r="J236" s="462"/>
      <c r="K236" s="476"/>
      <c r="L236" s="471"/>
    </row>
    <row r="237" spans="1:12" ht="30" customHeight="1">
      <c r="A237" s="452"/>
      <c r="B237" s="453"/>
      <c r="C237" s="454"/>
      <c r="D237" s="455"/>
      <c r="E237" s="456"/>
      <c r="F237" s="486"/>
      <c r="G237" s="461"/>
      <c r="H237" s="462"/>
      <c r="I237" s="487"/>
      <c r="J237" s="459"/>
      <c r="K237" s="479"/>
      <c r="L237" s="471"/>
    </row>
    <row r="238" spans="1:12" ht="30" customHeight="1">
      <c r="A238" s="452"/>
      <c r="B238" s="453"/>
      <c r="C238" s="454"/>
      <c r="D238" s="455"/>
      <c r="E238" s="456"/>
      <c r="F238" s="486"/>
      <c r="G238" s="461"/>
      <c r="H238" s="457"/>
      <c r="I238" s="487"/>
      <c r="J238" s="459"/>
      <c r="K238" s="479"/>
      <c r="L238" s="471"/>
    </row>
    <row r="239" spans="1:12" ht="30" customHeight="1">
      <c r="A239" s="452"/>
      <c r="B239" s="453"/>
      <c r="C239" s="454"/>
      <c r="D239" s="455"/>
      <c r="E239" s="456"/>
      <c r="F239" s="486"/>
      <c r="G239" s="461"/>
      <c r="H239" s="457"/>
      <c r="I239" s="487"/>
      <c r="J239" s="459"/>
      <c r="K239" s="479"/>
      <c r="L239" s="471"/>
    </row>
    <row r="240" spans="1:12" ht="30" customHeight="1">
      <c r="A240" s="452"/>
      <c r="B240" s="453"/>
      <c r="C240" s="454"/>
      <c r="D240" s="455"/>
      <c r="E240" s="456"/>
      <c r="F240" s="486"/>
      <c r="G240" s="461"/>
      <c r="H240" s="462"/>
      <c r="I240" s="487"/>
      <c r="J240" s="459"/>
      <c r="K240" s="479"/>
      <c r="L240" s="471"/>
    </row>
    <row r="241" spans="1:24" ht="30" customHeight="1">
      <c r="A241" s="452"/>
      <c r="B241" s="453"/>
      <c r="C241" s="454"/>
      <c r="D241" s="455"/>
      <c r="E241" s="456"/>
      <c r="F241" s="486"/>
      <c r="G241" s="461"/>
      <c r="H241" s="457"/>
      <c r="I241" s="487"/>
      <c r="J241" s="459"/>
      <c r="K241" s="479"/>
      <c r="L241" s="471"/>
    </row>
    <row r="242" spans="1:24" ht="30" customHeight="1">
      <c r="A242" s="452"/>
      <c r="B242" s="453"/>
      <c r="C242" s="454"/>
      <c r="D242" s="455"/>
      <c r="E242" s="456"/>
      <c r="F242" s="486"/>
      <c r="G242" s="461"/>
      <c r="H242" s="462"/>
      <c r="I242" s="487"/>
      <c r="J242" s="459"/>
      <c r="K242" s="479"/>
      <c r="L242" s="471"/>
    </row>
    <row r="243" spans="1:24" ht="30" customHeight="1">
      <c r="A243" s="452"/>
      <c r="B243" s="453"/>
      <c r="C243" s="454"/>
      <c r="D243" s="455"/>
      <c r="E243" s="456"/>
      <c r="F243" s="486"/>
      <c r="G243" s="461"/>
      <c r="H243" s="457"/>
      <c r="I243" s="487"/>
      <c r="J243" s="459"/>
      <c r="K243" s="476"/>
      <c r="L243" s="471"/>
    </row>
    <row r="244" spans="1:24" ht="30" customHeight="1">
      <c r="A244" s="452"/>
      <c r="B244" s="453"/>
      <c r="C244" s="454"/>
      <c r="D244" s="455"/>
      <c r="E244" s="456"/>
      <c r="F244" s="486"/>
      <c r="G244" s="461"/>
      <c r="H244" s="457"/>
      <c r="I244" s="487"/>
      <c r="J244" s="459"/>
      <c r="K244" s="476"/>
    </row>
    <row r="245" spans="1:24" ht="30" customHeight="1">
      <c r="A245" s="452"/>
      <c r="B245" s="465"/>
      <c r="C245" s="454"/>
      <c r="D245" s="466"/>
      <c r="E245" s="456"/>
      <c r="F245" s="487"/>
      <c r="G245" s="480"/>
      <c r="H245" s="459"/>
      <c r="I245" s="487"/>
      <c r="J245" s="459"/>
      <c r="K245" s="479"/>
      <c r="L245" s="471"/>
    </row>
    <row r="246" spans="1:24" ht="30" customHeight="1">
      <c r="A246" s="452"/>
      <c r="B246" s="453"/>
      <c r="C246" s="454"/>
      <c r="D246" s="455"/>
      <c r="E246" s="456"/>
      <c r="F246" s="486"/>
      <c r="G246" s="461"/>
      <c r="H246" s="462"/>
      <c r="I246" s="487"/>
      <c r="J246" s="459"/>
      <c r="K246" s="479"/>
      <c r="L246" s="471"/>
    </row>
    <row r="247" spans="1:24" ht="30" customHeight="1">
      <c r="A247" s="452"/>
      <c r="B247" s="453"/>
      <c r="C247" s="454"/>
      <c r="D247" s="455"/>
      <c r="E247" s="456"/>
      <c r="F247" s="486"/>
      <c r="G247" s="461"/>
      <c r="H247" s="462"/>
      <c r="I247" s="487"/>
      <c r="J247" s="459"/>
      <c r="K247" s="479"/>
      <c r="L247" s="471"/>
    </row>
    <row r="248" spans="1:24" ht="30" customHeight="1">
      <c r="A248" s="452"/>
      <c r="B248" s="453"/>
      <c r="C248" s="454"/>
      <c r="D248" s="455"/>
      <c r="E248" s="456"/>
      <c r="F248" s="486"/>
      <c r="G248" s="464"/>
      <c r="H248" s="462"/>
      <c r="I248" s="487"/>
      <c r="J248" s="459"/>
      <c r="K248" s="476"/>
      <c r="L248" s="471"/>
    </row>
    <row r="249" spans="1:24" ht="30" customHeight="1">
      <c r="A249" s="452"/>
      <c r="B249" s="465"/>
      <c r="C249" s="454"/>
      <c r="D249" s="466"/>
      <c r="E249" s="456"/>
      <c r="F249" s="487"/>
      <c r="G249" s="480"/>
      <c r="H249" s="457"/>
      <c r="I249" s="487"/>
      <c r="J249" s="459"/>
      <c r="K249" s="479"/>
      <c r="L249" s="471"/>
    </row>
    <row r="250" spans="1:24" ht="30" customHeight="1">
      <c r="A250" s="452"/>
      <c r="B250" s="453"/>
      <c r="C250" s="454"/>
      <c r="D250" s="455"/>
      <c r="E250" s="456"/>
      <c r="F250" s="486"/>
      <c r="G250" s="461"/>
      <c r="H250" s="462"/>
      <c r="I250" s="487"/>
      <c r="J250" s="459"/>
      <c r="K250" s="479"/>
      <c r="L250" s="471"/>
    </row>
    <row r="251" spans="1:24" ht="30" customHeight="1">
      <c r="A251" s="452"/>
      <c r="B251" s="453"/>
      <c r="C251" s="454"/>
      <c r="D251" s="455"/>
      <c r="E251" s="456"/>
      <c r="F251" s="486"/>
      <c r="G251" s="461"/>
      <c r="H251" s="462"/>
      <c r="I251" s="487"/>
      <c r="J251" s="459"/>
      <c r="K251" s="479"/>
      <c r="L251" s="471"/>
    </row>
    <row r="252" spans="1:24" ht="30" customHeight="1">
      <c r="A252" s="452"/>
      <c r="B252" s="453"/>
      <c r="C252" s="454"/>
      <c r="D252" s="466"/>
      <c r="E252" s="456"/>
      <c r="F252" s="487"/>
      <c r="G252" s="461"/>
      <c r="H252" s="459"/>
      <c r="I252" s="487"/>
      <c r="J252" s="459"/>
      <c r="K252" s="479"/>
      <c r="L252" s="471"/>
    </row>
    <row r="253" spans="1:24" ht="30" customHeight="1">
      <c r="A253" s="452"/>
      <c r="B253" s="453"/>
      <c r="C253" s="454"/>
      <c r="D253" s="466"/>
      <c r="E253" s="456"/>
      <c r="F253" s="487"/>
      <c r="G253" s="484"/>
      <c r="H253" s="468"/>
      <c r="I253" s="487"/>
      <c r="J253" s="459"/>
      <c r="K253" s="479"/>
      <c r="L253" s="471"/>
    </row>
    <row r="254" spans="1:24" ht="30" customHeight="1">
      <c r="A254" s="452"/>
      <c r="B254" s="453"/>
      <c r="C254" s="454"/>
      <c r="D254" s="455"/>
      <c r="E254" s="456"/>
      <c r="F254" s="486"/>
      <c r="G254" s="461"/>
      <c r="H254" s="457"/>
      <c r="I254" s="487"/>
      <c r="J254" s="459"/>
      <c r="K254" s="479"/>
      <c r="L254" s="471"/>
    </row>
    <row r="255" spans="1:24" ht="30" customHeight="1">
      <c r="A255" s="452"/>
      <c r="B255" s="453"/>
      <c r="C255" s="454"/>
      <c r="D255" s="455"/>
      <c r="E255" s="456"/>
      <c r="F255" s="486"/>
      <c r="G255" s="461"/>
      <c r="H255" s="462"/>
      <c r="I255" s="487"/>
      <c r="J255" s="459"/>
      <c r="K255" s="479"/>
      <c r="L255" s="471"/>
    </row>
    <row r="256" spans="1:24" ht="30" customHeight="1">
      <c r="A256" s="452"/>
      <c r="B256" s="453"/>
      <c r="C256" s="454"/>
      <c r="D256" s="455"/>
      <c r="E256" s="456"/>
      <c r="F256" s="486"/>
      <c r="G256" s="461"/>
      <c r="H256" s="457"/>
      <c r="I256" s="487"/>
      <c r="J256" s="462"/>
      <c r="K256" s="476"/>
      <c r="L256" s="471"/>
      <c r="X256" s="465" t="s">
        <v>462</v>
      </c>
    </row>
    <row r="257" spans="1:24" ht="30" customHeight="1">
      <c r="A257" s="452"/>
      <c r="B257" s="453"/>
      <c r="C257" s="454"/>
      <c r="D257" s="455"/>
      <c r="E257" s="456"/>
      <c r="F257" s="486"/>
      <c r="G257" s="461"/>
      <c r="H257" s="462"/>
      <c r="I257" s="487"/>
      <c r="J257" s="459"/>
      <c r="K257" s="479"/>
      <c r="L257" s="471"/>
      <c r="X257" s="465" t="s">
        <v>463</v>
      </c>
    </row>
    <row r="258" spans="1:24" ht="30" customHeight="1">
      <c r="A258" s="452"/>
      <c r="B258" s="453"/>
      <c r="C258" s="454"/>
      <c r="D258" s="455"/>
      <c r="E258" s="456"/>
      <c r="F258" s="486"/>
      <c r="G258" s="461"/>
      <c r="H258" s="457"/>
      <c r="I258" s="487"/>
      <c r="J258" s="462"/>
      <c r="K258" s="476"/>
      <c r="L258" s="471"/>
      <c r="X258" s="465" t="s">
        <v>464</v>
      </c>
    </row>
    <row r="259" spans="1:24" ht="30" customHeight="1">
      <c r="A259" s="452"/>
      <c r="B259" s="453"/>
      <c r="C259" s="454"/>
      <c r="D259" s="455"/>
      <c r="E259" s="456"/>
      <c r="F259" s="486"/>
      <c r="G259" s="461"/>
      <c r="H259" s="457"/>
      <c r="I259" s="487"/>
      <c r="J259" s="459"/>
      <c r="K259" s="476"/>
      <c r="L259" s="471"/>
      <c r="X259" s="465"/>
    </row>
    <row r="260" spans="1:24" ht="30" customHeight="1">
      <c r="A260" s="452"/>
      <c r="B260" s="453"/>
      <c r="C260" s="454"/>
      <c r="D260" s="455"/>
      <c r="E260" s="456"/>
      <c r="F260" s="486"/>
      <c r="G260" s="461"/>
      <c r="H260" s="462"/>
      <c r="I260" s="487"/>
      <c r="J260" s="459"/>
      <c r="K260" s="479"/>
      <c r="L260" s="471"/>
      <c r="X260" s="465"/>
    </row>
    <row r="261" spans="1:24" ht="30" customHeight="1">
      <c r="A261" s="452"/>
      <c r="B261" s="453"/>
      <c r="C261" s="454"/>
      <c r="D261" s="455"/>
      <c r="E261" s="456"/>
      <c r="F261" s="486"/>
      <c r="G261" s="461"/>
      <c r="H261" s="462"/>
      <c r="I261" s="487"/>
      <c r="J261" s="459"/>
      <c r="K261" s="479"/>
      <c r="L261" s="471"/>
      <c r="X261" s="465" t="s">
        <v>418</v>
      </c>
    </row>
    <row r="262" spans="1:24" ht="30" customHeight="1">
      <c r="A262" s="452"/>
      <c r="B262" s="453"/>
      <c r="C262" s="454"/>
      <c r="D262" s="455"/>
      <c r="E262" s="456"/>
      <c r="F262" s="486"/>
      <c r="G262" s="461"/>
      <c r="H262" s="462"/>
      <c r="I262" s="487"/>
      <c r="J262" s="459"/>
      <c r="K262" s="479"/>
      <c r="L262" s="471"/>
      <c r="X262" s="465" t="s">
        <v>174</v>
      </c>
    </row>
    <row r="263" spans="1:24" ht="30" customHeight="1">
      <c r="A263" s="452"/>
      <c r="B263" s="453"/>
      <c r="C263" s="454"/>
      <c r="D263" s="455"/>
      <c r="E263" s="456"/>
      <c r="F263" s="486"/>
      <c r="G263" s="461"/>
      <c r="H263" s="462"/>
      <c r="I263" s="487"/>
      <c r="J263" s="459"/>
      <c r="K263" s="479"/>
      <c r="L263" s="471"/>
      <c r="X263" s="465" t="s">
        <v>178</v>
      </c>
    </row>
    <row r="264" spans="1:24" ht="30" customHeight="1">
      <c r="A264" s="452"/>
      <c r="B264" s="465"/>
      <c r="C264" s="454"/>
      <c r="D264" s="466"/>
      <c r="E264" s="456"/>
      <c r="F264" s="487"/>
      <c r="G264" s="483"/>
      <c r="H264" s="457"/>
      <c r="I264" s="487"/>
      <c r="J264" s="459"/>
      <c r="K264" s="479"/>
      <c r="L264" s="471"/>
      <c r="X264" s="465" t="s">
        <v>179</v>
      </c>
    </row>
    <row r="265" spans="1:24" ht="30" customHeight="1">
      <c r="A265" s="452"/>
      <c r="B265" s="453"/>
      <c r="C265" s="454"/>
      <c r="D265" s="466"/>
      <c r="E265" s="456"/>
      <c r="F265" s="487"/>
      <c r="G265" s="461"/>
      <c r="H265" s="459"/>
      <c r="I265" s="487"/>
      <c r="J265" s="459"/>
      <c r="K265" s="476"/>
      <c r="L265" s="471"/>
      <c r="X265" s="465" t="s">
        <v>176</v>
      </c>
    </row>
    <row r="266" spans="1:24" ht="30" customHeight="1">
      <c r="A266" s="452"/>
      <c r="B266" s="465"/>
      <c r="C266" s="454"/>
      <c r="D266" s="466"/>
      <c r="E266" s="456"/>
      <c r="F266" s="487"/>
      <c r="G266" s="480"/>
      <c r="H266" s="457"/>
      <c r="I266" s="487"/>
      <c r="J266" s="459"/>
      <c r="K266" s="479"/>
      <c r="L266" s="471"/>
      <c r="X266" s="465"/>
    </row>
    <row r="267" spans="1:24" ht="30" customHeight="1">
      <c r="A267" s="452"/>
      <c r="B267" s="453"/>
      <c r="C267" s="454"/>
      <c r="D267" s="466"/>
      <c r="E267" s="456"/>
      <c r="F267" s="487"/>
      <c r="G267" s="481"/>
      <c r="H267" s="457"/>
      <c r="I267" s="487"/>
      <c r="J267" s="459"/>
      <c r="K267" s="479"/>
      <c r="L267" s="471"/>
      <c r="X267" s="465"/>
    </row>
    <row r="268" spans="1:24" ht="30" customHeight="1">
      <c r="A268" s="452"/>
      <c r="B268" s="453"/>
      <c r="C268" s="454"/>
      <c r="D268" s="466"/>
      <c r="E268" s="456"/>
      <c r="F268" s="487"/>
      <c r="G268" s="461"/>
      <c r="H268" s="462"/>
      <c r="I268" s="487"/>
      <c r="J268" s="459"/>
      <c r="K268" s="479"/>
      <c r="L268" s="471"/>
      <c r="X268" s="465"/>
    </row>
    <row r="269" spans="1:24" ht="30" customHeight="1">
      <c r="A269" s="452"/>
      <c r="B269" s="453"/>
      <c r="C269" s="454"/>
      <c r="D269" s="466"/>
      <c r="E269" s="456"/>
      <c r="F269" s="487"/>
      <c r="G269" s="461"/>
      <c r="H269" s="459"/>
      <c r="I269" s="487"/>
      <c r="J269" s="459"/>
      <c r="K269" s="479"/>
      <c r="L269" s="471"/>
      <c r="X269" s="465"/>
    </row>
    <row r="270" spans="1:24" ht="30" customHeight="1">
      <c r="A270" s="452"/>
      <c r="B270" s="453"/>
      <c r="C270" s="454"/>
      <c r="D270" s="466"/>
      <c r="E270" s="456"/>
      <c r="F270" s="487"/>
      <c r="G270" s="461"/>
      <c r="H270" s="459"/>
      <c r="I270" s="487"/>
      <c r="J270" s="459"/>
      <c r="K270" s="479"/>
      <c r="L270" s="471"/>
      <c r="X270" s="465"/>
    </row>
    <row r="271" spans="1:24" ht="30" customHeight="1">
      <c r="A271" s="452"/>
      <c r="B271" s="453"/>
      <c r="C271" s="454"/>
      <c r="D271" s="466"/>
      <c r="E271" s="456"/>
      <c r="F271" s="487"/>
      <c r="G271" s="461"/>
      <c r="H271" s="459"/>
      <c r="I271" s="487"/>
      <c r="J271" s="459"/>
      <c r="K271" s="479"/>
      <c r="L271" s="471"/>
      <c r="X271" s="465"/>
    </row>
    <row r="272" spans="1:24" ht="30" customHeight="1">
      <c r="A272" s="452"/>
      <c r="B272" s="454"/>
      <c r="C272" s="454"/>
      <c r="D272" s="466"/>
      <c r="E272" s="456"/>
      <c r="F272" s="487"/>
      <c r="G272" s="461"/>
      <c r="H272" s="459"/>
      <c r="I272" s="487"/>
      <c r="J272" s="459"/>
      <c r="K272" s="479"/>
      <c r="L272" s="471"/>
      <c r="X272" s="465"/>
    </row>
    <row r="273" spans="1:24" ht="30" customHeight="1">
      <c r="A273" s="452"/>
      <c r="B273" s="453"/>
      <c r="C273" s="454"/>
      <c r="D273" s="466"/>
      <c r="E273" s="456"/>
      <c r="F273" s="487"/>
      <c r="G273" s="461"/>
      <c r="H273" s="462"/>
      <c r="I273" s="487"/>
      <c r="J273" s="459"/>
      <c r="K273" s="479"/>
      <c r="L273" s="471"/>
      <c r="X273" s="465"/>
    </row>
    <row r="274" spans="1:24" ht="30" customHeight="1">
      <c r="A274" s="452"/>
      <c r="B274" s="453"/>
      <c r="C274" s="454"/>
      <c r="D274" s="466"/>
      <c r="E274" s="456"/>
      <c r="F274" s="487"/>
      <c r="G274" s="461"/>
      <c r="H274" s="459"/>
      <c r="I274" s="487"/>
      <c r="J274" s="459"/>
      <c r="K274" s="479"/>
      <c r="L274" s="471"/>
      <c r="X274" s="465"/>
    </row>
    <row r="275" spans="1:24" ht="30" customHeight="1">
      <c r="A275" s="452"/>
      <c r="B275" s="453"/>
      <c r="C275" s="454"/>
      <c r="D275" s="466"/>
      <c r="E275" s="456"/>
      <c r="F275" s="487"/>
      <c r="G275" s="461"/>
      <c r="H275" s="462"/>
      <c r="I275" s="487"/>
      <c r="J275" s="459"/>
      <c r="K275" s="479"/>
      <c r="L275" s="471"/>
      <c r="X275" s="465"/>
    </row>
    <row r="276" spans="1:24" ht="30" customHeight="1">
      <c r="A276" s="452"/>
      <c r="B276" s="453"/>
      <c r="C276" s="454"/>
      <c r="D276" s="454"/>
      <c r="E276" s="456"/>
      <c r="F276" s="487"/>
      <c r="G276" s="481"/>
      <c r="H276" s="457"/>
      <c r="I276" s="487"/>
      <c r="J276" s="459"/>
      <c r="K276" s="479"/>
      <c r="L276" s="471"/>
      <c r="X276" s="465"/>
    </row>
    <row r="277" spans="1:24" ht="30" customHeight="1">
      <c r="A277" s="452"/>
      <c r="B277" s="453"/>
      <c r="C277" s="454"/>
      <c r="D277" s="454"/>
      <c r="E277" s="456"/>
      <c r="F277" s="487"/>
      <c r="G277" s="481"/>
      <c r="H277" s="457"/>
      <c r="I277" s="487"/>
      <c r="J277" s="459"/>
      <c r="K277" s="479"/>
      <c r="L277" s="471"/>
      <c r="X277" s="465"/>
    </row>
    <row r="278" spans="1:24" ht="30" customHeight="1">
      <c r="A278" s="452"/>
      <c r="B278" s="453"/>
      <c r="C278" s="454"/>
      <c r="D278" s="454"/>
      <c r="E278" s="456"/>
      <c r="F278" s="487"/>
      <c r="G278" s="481"/>
      <c r="H278" s="457"/>
      <c r="I278" s="487"/>
      <c r="J278" s="459"/>
      <c r="K278" s="479"/>
      <c r="L278" s="471"/>
      <c r="X278" s="465"/>
    </row>
    <row r="279" spans="1:24" ht="30" customHeight="1">
      <c r="A279" s="452"/>
      <c r="B279" s="453"/>
      <c r="C279" s="454"/>
      <c r="D279" s="454"/>
      <c r="E279" s="456"/>
      <c r="F279" s="487"/>
      <c r="G279" s="461"/>
      <c r="H279" s="462"/>
      <c r="I279" s="487"/>
      <c r="J279" s="459"/>
      <c r="K279" s="479"/>
      <c r="L279" s="471"/>
      <c r="X279" s="465"/>
    </row>
    <row r="280" spans="1:24" ht="30" customHeight="1">
      <c r="A280" s="452"/>
      <c r="B280" s="453"/>
      <c r="C280" s="454"/>
      <c r="D280" s="454"/>
      <c r="E280" s="456"/>
      <c r="F280" s="487"/>
      <c r="G280" s="461"/>
      <c r="H280" s="462"/>
      <c r="I280" s="487"/>
      <c r="J280" s="459"/>
      <c r="K280" s="479"/>
      <c r="L280" s="471"/>
      <c r="X280" s="465"/>
    </row>
    <row r="281" spans="1:24" ht="30" customHeight="1">
      <c r="A281" s="452"/>
      <c r="B281" s="453"/>
      <c r="C281" s="454"/>
      <c r="D281" s="454"/>
      <c r="E281" s="456"/>
      <c r="F281" s="487"/>
      <c r="G281" s="481"/>
      <c r="H281" s="475"/>
      <c r="I281" s="487"/>
      <c r="J281" s="459"/>
      <c r="K281" s="479"/>
      <c r="L281" s="471"/>
      <c r="X281" s="465"/>
    </row>
    <row r="282" spans="1:24" ht="30" customHeight="1">
      <c r="A282" s="452"/>
      <c r="B282" s="453"/>
      <c r="C282" s="454"/>
      <c r="D282" s="454"/>
      <c r="E282" s="456"/>
      <c r="F282" s="487"/>
      <c r="G282" s="481"/>
      <c r="H282" s="457"/>
      <c r="I282" s="487"/>
      <c r="J282" s="459"/>
      <c r="K282" s="479"/>
      <c r="L282" s="471"/>
      <c r="X282" s="465"/>
    </row>
    <row r="283" spans="1:24" ht="30" customHeight="1">
      <c r="A283" s="452"/>
      <c r="B283" s="453"/>
      <c r="C283" s="454"/>
      <c r="D283" s="454"/>
      <c r="E283" s="456"/>
      <c r="F283" s="487"/>
      <c r="G283" s="461"/>
      <c r="H283" s="457"/>
      <c r="I283" s="487"/>
      <c r="J283" s="459"/>
      <c r="K283" s="479"/>
      <c r="L283" s="471"/>
      <c r="X283" s="465"/>
    </row>
    <row r="284" spans="1:24" ht="30" customHeight="1">
      <c r="A284" s="452"/>
      <c r="B284" s="465"/>
      <c r="C284" s="454"/>
      <c r="D284" s="454"/>
      <c r="E284" s="456"/>
      <c r="F284" s="487"/>
      <c r="G284" s="480"/>
      <c r="H284" s="457"/>
      <c r="I284" s="487"/>
      <c r="J284" s="459"/>
      <c r="K284" s="479"/>
      <c r="L284" s="471"/>
      <c r="X284" s="465"/>
    </row>
    <row r="285" spans="1:24" ht="30" customHeight="1">
      <c r="A285" s="452"/>
      <c r="B285" s="453"/>
      <c r="C285" s="454"/>
      <c r="D285" s="454"/>
      <c r="E285" s="456"/>
      <c r="F285" s="487"/>
      <c r="G285" s="481"/>
      <c r="H285" s="457"/>
      <c r="I285" s="487"/>
      <c r="J285" s="459"/>
      <c r="K285" s="479"/>
      <c r="L285" s="471"/>
      <c r="X285" s="465"/>
    </row>
    <row r="286" spans="1:24" ht="30" customHeight="1">
      <c r="A286" s="452"/>
      <c r="B286" s="453"/>
      <c r="C286" s="454"/>
      <c r="D286" s="454"/>
      <c r="E286" s="456"/>
      <c r="F286" s="487"/>
      <c r="G286" s="481"/>
      <c r="H286" s="457"/>
      <c r="I286" s="487"/>
      <c r="J286" s="459"/>
      <c r="K286" s="479"/>
      <c r="L286" s="471"/>
      <c r="X286" s="465"/>
    </row>
    <row r="287" spans="1:24" ht="30" customHeight="1">
      <c r="A287" s="452"/>
      <c r="B287" s="453"/>
      <c r="C287" s="454"/>
      <c r="D287" s="454"/>
      <c r="E287" s="456"/>
      <c r="F287" s="487"/>
      <c r="G287" s="481"/>
      <c r="H287" s="457"/>
      <c r="I287" s="487"/>
      <c r="J287" s="459"/>
      <c r="K287" s="479"/>
      <c r="L287" s="471"/>
      <c r="X287" s="465"/>
    </row>
    <row r="288" spans="1:24" ht="30" customHeight="1">
      <c r="A288" s="452"/>
      <c r="B288" s="453"/>
      <c r="C288" s="454"/>
      <c r="D288" s="454"/>
      <c r="E288" s="456"/>
      <c r="F288" s="487"/>
      <c r="G288" s="481"/>
      <c r="H288" s="457"/>
      <c r="I288" s="487"/>
      <c r="J288" s="459"/>
      <c r="K288" s="479"/>
      <c r="L288" s="471"/>
      <c r="X288" s="465"/>
    </row>
    <row r="289" spans="1:24" ht="30" customHeight="1">
      <c r="A289" s="452"/>
      <c r="B289" s="465"/>
      <c r="C289" s="454"/>
      <c r="D289" s="454"/>
      <c r="E289" s="456"/>
      <c r="F289" s="487"/>
      <c r="G289" s="481"/>
      <c r="H289" s="457"/>
      <c r="I289" s="487"/>
      <c r="J289" s="459"/>
      <c r="K289" s="479"/>
      <c r="L289" s="471"/>
      <c r="X289" s="465"/>
    </row>
    <row r="290" spans="1:24" ht="30" customHeight="1">
      <c r="A290" s="452"/>
      <c r="B290" s="469"/>
      <c r="C290" s="454"/>
      <c r="D290" s="454"/>
      <c r="E290" s="456"/>
      <c r="F290" s="487"/>
      <c r="G290" s="481"/>
      <c r="H290" s="457"/>
      <c r="I290" s="487"/>
      <c r="J290" s="459"/>
      <c r="K290" s="479"/>
      <c r="L290" s="471"/>
      <c r="X290" s="465"/>
    </row>
    <row r="291" spans="1:24" ht="30" customHeight="1">
      <c r="A291" s="452"/>
      <c r="B291" s="465"/>
      <c r="C291" s="454"/>
      <c r="D291" s="454"/>
      <c r="E291" s="456"/>
      <c r="F291" s="487"/>
      <c r="G291" s="481"/>
      <c r="H291" s="457"/>
      <c r="I291" s="487"/>
      <c r="J291" s="459"/>
      <c r="K291" s="479"/>
      <c r="L291" s="471"/>
      <c r="X291" s="465"/>
    </row>
    <row r="292" spans="1:24" ht="30" customHeight="1">
      <c r="A292" s="452"/>
      <c r="B292" s="469"/>
      <c r="C292" s="454"/>
      <c r="D292" s="454"/>
      <c r="E292" s="456"/>
      <c r="F292" s="487"/>
      <c r="G292" s="481"/>
      <c r="H292" s="457"/>
      <c r="I292" s="487"/>
      <c r="J292" s="459"/>
      <c r="K292" s="479"/>
      <c r="L292" s="471"/>
      <c r="X292" s="465"/>
    </row>
    <row r="293" spans="1:24" ht="30" customHeight="1">
      <c r="A293" s="452"/>
      <c r="B293" s="469"/>
      <c r="C293" s="454"/>
      <c r="D293" s="454"/>
      <c r="E293" s="456"/>
      <c r="F293" s="487"/>
      <c r="G293" s="481"/>
      <c r="H293" s="457"/>
      <c r="I293" s="487"/>
      <c r="J293" s="459"/>
      <c r="K293" s="479"/>
      <c r="L293" s="471"/>
      <c r="X293" s="465"/>
    </row>
    <row r="294" spans="1:24" ht="30" customHeight="1">
      <c r="A294" s="452"/>
      <c r="B294" s="465"/>
      <c r="C294" s="454"/>
      <c r="D294" s="454"/>
      <c r="E294" s="456"/>
      <c r="F294" s="487"/>
      <c r="G294" s="481"/>
      <c r="H294" s="457"/>
      <c r="I294" s="487"/>
      <c r="J294" s="459"/>
      <c r="K294" s="479"/>
      <c r="L294" s="471"/>
      <c r="X294" s="465"/>
    </row>
    <row r="295" spans="1:24" ht="30" customHeight="1">
      <c r="A295" s="452"/>
      <c r="B295" s="465"/>
      <c r="C295" s="454"/>
      <c r="D295" s="454"/>
      <c r="E295" s="470"/>
      <c r="F295" s="487"/>
      <c r="G295" s="481"/>
      <c r="H295" s="457"/>
      <c r="I295" s="487"/>
      <c r="J295" s="459"/>
      <c r="K295" s="479"/>
      <c r="L295" s="471"/>
      <c r="X295" s="465"/>
    </row>
    <row r="296" spans="1:24" ht="30" customHeight="1">
      <c r="A296" s="452"/>
      <c r="B296" s="465"/>
      <c r="C296" s="454"/>
      <c r="D296" s="454"/>
      <c r="E296" s="470"/>
      <c r="F296" s="487"/>
      <c r="G296" s="481"/>
      <c r="H296" s="457"/>
      <c r="I296" s="487"/>
      <c r="J296" s="459"/>
      <c r="K296" s="479"/>
      <c r="L296" s="471"/>
      <c r="X296" s="465"/>
    </row>
    <row r="297" spans="1:24" ht="30" customHeight="1">
      <c r="A297" s="452"/>
      <c r="B297" s="465"/>
      <c r="C297" s="454"/>
      <c r="D297" s="454"/>
      <c r="E297" s="456"/>
      <c r="F297" s="487"/>
      <c r="G297" s="481"/>
      <c r="H297" s="457"/>
      <c r="I297" s="487"/>
      <c r="J297" s="459"/>
      <c r="K297" s="479"/>
      <c r="L297" s="471"/>
      <c r="X297" s="465"/>
    </row>
    <row r="298" spans="1:24" ht="30" customHeight="1">
      <c r="A298" s="452"/>
      <c r="B298" s="465"/>
      <c r="C298" s="454"/>
      <c r="D298" s="454"/>
      <c r="E298" s="456"/>
      <c r="F298" s="487"/>
      <c r="G298" s="481"/>
      <c r="H298" s="457"/>
      <c r="I298" s="487"/>
      <c r="J298" s="459"/>
      <c r="K298" s="479"/>
      <c r="L298" s="471"/>
      <c r="X298" s="465"/>
    </row>
    <row r="299" spans="1:24" ht="30" customHeight="1">
      <c r="A299" s="452"/>
      <c r="B299" s="465"/>
      <c r="C299" s="454"/>
      <c r="D299" s="454"/>
      <c r="E299" s="470"/>
      <c r="F299" s="487"/>
      <c r="G299" s="483"/>
      <c r="H299" s="457"/>
      <c r="I299" s="487"/>
      <c r="J299" s="459"/>
      <c r="K299" s="479"/>
      <c r="L299" s="471"/>
      <c r="X299" s="465"/>
    </row>
    <row r="300" spans="1:24" ht="30" customHeight="1">
      <c r="A300" s="452"/>
      <c r="B300" s="465"/>
      <c r="C300" s="454"/>
      <c r="D300" s="454"/>
      <c r="E300" s="470"/>
      <c r="F300" s="487"/>
      <c r="G300" s="483"/>
      <c r="H300" s="457"/>
      <c r="I300" s="487"/>
      <c r="J300" s="459"/>
      <c r="K300" s="479"/>
      <c r="L300" s="471"/>
      <c r="X300" s="465"/>
    </row>
    <row r="301" spans="1:24" ht="30" customHeight="1">
      <c r="A301" s="452"/>
      <c r="B301" s="465"/>
      <c r="C301" s="454"/>
      <c r="D301" s="454"/>
      <c r="E301" s="470"/>
      <c r="F301" s="487"/>
      <c r="G301" s="481"/>
      <c r="H301" s="457"/>
      <c r="I301" s="487"/>
      <c r="J301" s="459"/>
      <c r="K301" s="479"/>
      <c r="L301" s="471"/>
      <c r="X301" s="465"/>
    </row>
    <row r="302" spans="1:24" ht="30" customHeight="1">
      <c r="A302" s="452"/>
      <c r="B302" s="465"/>
      <c r="C302" s="454"/>
      <c r="D302" s="454"/>
      <c r="E302" s="470"/>
      <c r="F302" s="487"/>
      <c r="G302" s="481"/>
      <c r="H302" s="475"/>
      <c r="I302" s="475"/>
      <c r="J302" s="459"/>
      <c r="K302" s="479"/>
      <c r="L302" s="471"/>
      <c r="X302" s="465"/>
    </row>
    <row r="303" spans="1:24" ht="30" customHeight="1">
      <c r="A303" s="452"/>
      <c r="B303" s="465"/>
      <c r="C303" s="454"/>
      <c r="D303" s="454"/>
      <c r="E303" s="470"/>
      <c r="F303" s="487"/>
      <c r="G303" s="481"/>
      <c r="H303" s="475"/>
      <c r="I303" s="475"/>
      <c r="J303" s="459"/>
      <c r="K303" s="479"/>
      <c r="L303" s="471"/>
      <c r="X303" s="465"/>
    </row>
    <row r="304" spans="1:24">
      <c r="B304" s="465"/>
      <c r="C304" s="454"/>
      <c r="F304" s="487"/>
      <c r="G304" s="483"/>
      <c r="H304" s="457"/>
    </row>
    <row r="305" spans="1:24" ht="30" customHeight="1">
      <c r="A305" s="452"/>
      <c r="B305" s="465"/>
      <c r="C305" s="454"/>
      <c r="D305" s="454"/>
      <c r="E305" s="470"/>
      <c r="F305" s="487"/>
      <c r="G305" s="481"/>
      <c r="H305" s="457"/>
      <c r="I305" s="487"/>
      <c r="J305" s="459"/>
      <c r="K305" s="479"/>
      <c r="L305" s="471"/>
      <c r="X305" s="465"/>
    </row>
    <row r="306" spans="1:24" ht="30" customHeight="1">
      <c r="A306" s="452"/>
      <c r="B306" s="465"/>
      <c r="C306" s="454"/>
      <c r="D306" s="454"/>
      <c r="E306" s="470"/>
      <c r="F306" s="487"/>
      <c r="G306" s="483"/>
      <c r="H306" s="457"/>
      <c r="I306" s="487"/>
      <c r="J306" s="459"/>
      <c r="K306" s="479"/>
      <c r="L306" s="471"/>
      <c r="X306" s="465"/>
    </row>
    <row r="307" spans="1:24" ht="30" customHeight="1">
      <c r="A307" s="452"/>
      <c r="B307" s="465"/>
      <c r="C307" s="454"/>
      <c r="D307" s="454"/>
      <c r="E307" s="470"/>
      <c r="F307" s="487"/>
      <c r="G307" s="483"/>
      <c r="H307" s="457"/>
      <c r="I307" s="487"/>
      <c r="J307" s="459"/>
      <c r="K307" s="479"/>
      <c r="L307" s="471"/>
      <c r="X307" s="465"/>
    </row>
    <row r="308" spans="1:24" ht="30" customHeight="1">
      <c r="A308" s="452"/>
      <c r="B308" s="465"/>
      <c r="C308" s="454"/>
      <c r="D308" s="454"/>
      <c r="E308" s="470"/>
      <c r="F308" s="487"/>
      <c r="G308" s="483"/>
      <c r="H308" s="457"/>
      <c r="I308" s="487"/>
      <c r="J308" s="459"/>
      <c r="K308" s="479"/>
      <c r="L308" s="471"/>
      <c r="X308" s="465"/>
    </row>
    <row r="309" spans="1:24" ht="30" customHeight="1">
      <c r="A309" s="452"/>
      <c r="B309" s="465"/>
      <c r="C309" s="454"/>
      <c r="D309" s="454"/>
      <c r="E309" s="470"/>
      <c r="F309" s="487"/>
      <c r="G309" s="483"/>
      <c r="H309" s="457"/>
      <c r="I309" s="487"/>
      <c r="J309" s="459"/>
      <c r="K309" s="479"/>
      <c r="L309" s="471"/>
      <c r="X309" s="465"/>
    </row>
    <row r="310" spans="1:24" ht="30" customHeight="1">
      <c r="A310" s="452"/>
      <c r="B310" s="465"/>
      <c r="C310" s="454"/>
      <c r="D310" s="454"/>
      <c r="E310" s="470"/>
      <c r="F310" s="487"/>
      <c r="G310" s="483"/>
      <c r="H310" s="457"/>
      <c r="I310" s="487"/>
      <c r="J310" s="459"/>
      <c r="K310" s="479"/>
      <c r="L310" s="471"/>
      <c r="X310" s="465"/>
    </row>
    <row r="327" spans="2:2">
      <c r="B327" s="505"/>
    </row>
    <row r="328" spans="2:2">
      <c r="B328" s="505"/>
    </row>
    <row r="329" spans="2:2">
      <c r="B329" s="505"/>
    </row>
    <row r="330" spans="2:2">
      <c r="B330" s="505"/>
    </row>
    <row r="331" spans="2:2">
      <c r="B331" s="505"/>
    </row>
    <row r="332" spans="2:2">
      <c r="B332" s="505"/>
    </row>
    <row r="333" spans="2:2">
      <c r="B333" s="505"/>
    </row>
    <row r="334" spans="2:2">
      <c r="B334" s="505"/>
    </row>
    <row r="335" spans="2:2">
      <c r="B335" s="505"/>
    </row>
    <row r="336" spans="2:2">
      <c r="B336" s="505"/>
    </row>
    <row r="337" spans="2:2">
      <c r="B337" s="505"/>
    </row>
  </sheetData>
  <autoFilter ref="A2:N310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103:B265 B3:B76 B98:B101">
    <cfRule type="duplicateValues" dxfId="204" priority="962"/>
  </conditionalFormatting>
  <conditionalFormatting sqref="B154:B303">
    <cfRule type="duplicateValues" dxfId="203" priority="720"/>
  </conditionalFormatting>
  <conditionalFormatting sqref="B266:B271 B273:B303">
    <cfRule type="duplicateValues" dxfId="202" priority="722"/>
  </conditionalFormatting>
  <conditionalFormatting sqref="B273:B303 B3:B76 B103:B271 B98:B101">
    <cfRule type="duplicateValues" dxfId="201" priority="717"/>
  </conditionalFormatting>
  <conditionalFormatting sqref="B273:B1048576 B2:B76 B103:B271 B98:B101">
    <cfRule type="duplicateValues" dxfId="200" priority="258"/>
  </conditionalFormatting>
  <conditionalFormatting sqref="B304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5:B310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11:B321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8:B1048576 B273:B303 B2:B76 B103:B271 B98:B101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6:X265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6:X303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5:X310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3622047244094491" right="0.23622047244094491" top="0.74803149606299213" bottom="0.74803149606299213" header="0.31496062992125984" footer="0.31496062992125984"/>
  <pageSetup paperSize="9" scale="6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zoomScale="55" zoomScaleNormal="55" zoomScaleSheetLayoutView="72" workbookViewId="0">
      <selection activeCell="F50" sqref="F50"/>
    </sheetView>
  </sheetViews>
  <sheetFormatPr defaultColWidth="8.85546875" defaultRowHeight="15.75"/>
  <cols>
    <col min="1" max="1" width="8.85546875" style="255"/>
    <col min="2" max="2" width="9.5703125" style="255" customWidth="1"/>
    <col min="3" max="3" width="12.42578125" style="255" customWidth="1"/>
    <col min="4" max="4" width="14.42578125" style="255" bestFit="1" customWidth="1"/>
    <col min="5" max="5" width="12.5703125" style="255" customWidth="1"/>
    <col min="6" max="6" width="21" style="255" bestFit="1" customWidth="1"/>
    <col min="7" max="7" width="17.42578125" style="113" customWidth="1"/>
    <col min="8" max="9" width="29.7109375" style="255" customWidth="1"/>
    <col min="10" max="10" width="20.42578125" style="255" customWidth="1"/>
    <col min="11" max="11" width="16.42578125" style="255" customWidth="1"/>
    <col min="12" max="12" width="15.140625" style="255" bestFit="1" customWidth="1"/>
    <col min="13" max="13" width="14.85546875" style="255" customWidth="1"/>
    <col min="14" max="14" width="16.42578125" style="255" customWidth="1"/>
    <col min="15" max="15" width="21.5703125" style="255" customWidth="1"/>
    <col min="16" max="16" width="23.42578125" style="255" customWidth="1"/>
    <col min="17" max="16384" width="8.85546875" style="255"/>
  </cols>
  <sheetData>
    <row r="1" spans="1:16" ht="16.5" thickBot="1"/>
    <row r="2" spans="1:16" ht="38.1" customHeight="1">
      <c r="A2" s="710" t="s">
        <v>465</v>
      </c>
      <c r="B2" s="711"/>
      <c r="C2" s="711"/>
      <c r="D2" s="711"/>
      <c r="E2" s="711"/>
      <c r="F2" s="711"/>
      <c r="G2" s="711"/>
      <c r="H2" s="711"/>
      <c r="I2" s="711"/>
      <c r="J2" s="711"/>
      <c r="K2" s="711"/>
      <c r="L2" s="711"/>
      <c r="M2" s="711"/>
      <c r="N2" s="711"/>
      <c r="O2" s="711"/>
      <c r="P2" s="516">
        <f>FDN!N1</f>
        <v>46202</v>
      </c>
    </row>
    <row r="3" spans="1:16" ht="47.25">
      <c r="A3" s="517" t="s">
        <v>244</v>
      </c>
      <c r="B3" s="518" t="s">
        <v>466</v>
      </c>
      <c r="C3" s="518" t="s">
        <v>467</v>
      </c>
      <c r="D3" s="519" t="s">
        <v>341</v>
      </c>
      <c r="E3" s="518" t="s">
        <v>468</v>
      </c>
      <c r="F3" s="518" t="s">
        <v>262</v>
      </c>
      <c r="G3" s="519" t="s">
        <v>344</v>
      </c>
      <c r="H3" s="520" t="s">
        <v>469</v>
      </c>
      <c r="I3" s="520" t="s">
        <v>1093</v>
      </c>
      <c r="J3" s="521" t="s">
        <v>470</v>
      </c>
      <c r="K3" s="521" t="s">
        <v>471</v>
      </c>
      <c r="L3" s="521" t="s">
        <v>33</v>
      </c>
      <c r="M3" s="518" t="s">
        <v>472</v>
      </c>
      <c r="N3" s="518" t="s">
        <v>473</v>
      </c>
      <c r="O3" s="518" t="s">
        <v>474</v>
      </c>
      <c r="P3" s="522" t="s">
        <v>475</v>
      </c>
    </row>
    <row r="4" spans="1:16" ht="25.15" customHeight="1">
      <c r="A4" s="523">
        <v>1</v>
      </c>
      <c r="B4" s="524" t="s">
        <v>176</v>
      </c>
      <c r="C4" s="524" t="s">
        <v>350</v>
      </c>
      <c r="D4" s="524">
        <v>46023</v>
      </c>
      <c r="E4" s="525">
        <v>37.729999999999997</v>
      </c>
      <c r="F4" s="526" t="s">
        <v>38</v>
      </c>
      <c r="G4" s="524">
        <v>46029</v>
      </c>
      <c r="H4" s="527" t="s">
        <v>476</v>
      </c>
      <c r="I4" s="527" t="s">
        <v>1094</v>
      </c>
      <c r="J4" s="528"/>
      <c r="K4" s="529"/>
      <c r="L4" s="530"/>
      <c r="M4" s="530"/>
      <c r="N4" s="530"/>
      <c r="O4" s="526"/>
      <c r="P4" s="531"/>
    </row>
    <row r="5" spans="1:16" ht="25.15" customHeight="1">
      <c r="A5" s="523">
        <v>2</v>
      </c>
      <c r="B5" s="524" t="s">
        <v>138</v>
      </c>
      <c r="C5" s="524" t="s">
        <v>357</v>
      </c>
      <c r="D5" s="524">
        <v>46027</v>
      </c>
      <c r="E5" s="532">
        <v>39.457999999999998</v>
      </c>
      <c r="F5" s="526" t="s">
        <v>38</v>
      </c>
      <c r="G5" s="524">
        <v>46034</v>
      </c>
      <c r="H5" s="530" t="s">
        <v>477</v>
      </c>
      <c r="I5" s="530"/>
      <c r="J5" s="526"/>
      <c r="K5" s="526"/>
      <c r="L5" s="526"/>
      <c r="M5" s="526"/>
      <c r="N5" s="526"/>
      <c r="O5" s="526"/>
      <c r="P5" s="526"/>
    </row>
    <row r="6" spans="1:16" ht="25.15" customHeight="1">
      <c r="A6" s="523">
        <v>3</v>
      </c>
      <c r="B6" s="524" t="s">
        <v>168</v>
      </c>
      <c r="C6" s="524" t="s">
        <v>300</v>
      </c>
      <c r="D6" s="524">
        <v>46030</v>
      </c>
      <c r="E6" s="525">
        <v>54.417999999999999</v>
      </c>
      <c r="F6" s="526" t="s">
        <v>38</v>
      </c>
      <c r="G6" s="524">
        <v>46035</v>
      </c>
      <c r="H6" s="527" t="s">
        <v>476</v>
      </c>
      <c r="I6" s="527" t="s">
        <v>1094</v>
      </c>
      <c r="J6" s="526"/>
      <c r="K6" s="526"/>
      <c r="L6" s="526"/>
      <c r="M6" s="526"/>
      <c r="N6" s="526"/>
      <c r="O6" s="526"/>
      <c r="P6" s="526"/>
    </row>
    <row r="7" spans="1:16" ht="25.15" customHeight="1">
      <c r="A7" s="523">
        <v>5</v>
      </c>
      <c r="B7" s="524" t="s">
        <v>382</v>
      </c>
      <c r="C7" s="524" t="s">
        <v>357</v>
      </c>
      <c r="D7" s="524">
        <v>46036</v>
      </c>
      <c r="E7" s="525">
        <v>39.457999999999998</v>
      </c>
      <c r="F7" s="526" t="s">
        <v>38</v>
      </c>
      <c r="G7" s="524">
        <v>46043</v>
      </c>
      <c r="H7" s="527" t="s">
        <v>476</v>
      </c>
      <c r="I7" s="527" t="s">
        <v>1094</v>
      </c>
      <c r="J7" s="526"/>
      <c r="K7" s="526"/>
      <c r="L7" s="526"/>
      <c r="M7" s="526"/>
      <c r="N7" s="526"/>
      <c r="O7" s="526"/>
      <c r="P7" s="526"/>
    </row>
    <row r="8" spans="1:16" ht="25.15" customHeight="1">
      <c r="A8" s="523">
        <v>4</v>
      </c>
      <c r="B8" s="524" t="s">
        <v>136</v>
      </c>
      <c r="C8" s="524" t="s">
        <v>391</v>
      </c>
      <c r="D8" s="524">
        <v>46035</v>
      </c>
      <c r="E8" s="532">
        <v>63.509</v>
      </c>
      <c r="F8" s="526" t="s">
        <v>38</v>
      </c>
      <c r="G8" s="524">
        <v>46047</v>
      </c>
      <c r="H8" s="529" t="s">
        <v>477</v>
      </c>
      <c r="I8" s="529"/>
      <c r="J8" s="526"/>
      <c r="K8" s="526"/>
      <c r="L8" s="526"/>
      <c r="M8" s="526"/>
      <c r="N8" s="526"/>
      <c r="O8" s="526"/>
      <c r="P8" s="526"/>
    </row>
    <row r="9" spans="1:16" ht="25.15" customHeight="1">
      <c r="A9" s="523">
        <v>7</v>
      </c>
      <c r="B9" s="528" t="s">
        <v>407</v>
      </c>
      <c r="C9" s="524" t="s">
        <v>350</v>
      </c>
      <c r="D9" s="524">
        <v>46040</v>
      </c>
      <c r="E9" s="532">
        <v>37.729999999999997</v>
      </c>
      <c r="F9" s="526" t="s">
        <v>38</v>
      </c>
      <c r="G9" s="524">
        <v>46050</v>
      </c>
      <c r="H9" s="529" t="s">
        <v>477</v>
      </c>
      <c r="I9" s="529"/>
      <c r="J9" s="526"/>
      <c r="K9" s="526"/>
      <c r="L9" s="526"/>
      <c r="M9" s="526"/>
      <c r="N9" s="526"/>
      <c r="O9" s="592"/>
      <c r="P9" s="526"/>
    </row>
    <row r="10" spans="1:16" ht="25.15" customHeight="1">
      <c r="A10" s="523">
        <v>6</v>
      </c>
      <c r="B10" s="528" t="s">
        <v>376</v>
      </c>
      <c r="C10" s="524" t="s">
        <v>357</v>
      </c>
      <c r="D10" s="524">
        <v>46038</v>
      </c>
      <c r="E10" s="525">
        <v>39.457999999999998</v>
      </c>
      <c r="F10" s="526" t="s">
        <v>38</v>
      </c>
      <c r="G10" s="524">
        <v>46051</v>
      </c>
      <c r="H10" s="533" t="s">
        <v>478</v>
      </c>
      <c r="I10" s="533"/>
      <c r="J10" s="528"/>
      <c r="K10" s="530"/>
      <c r="L10" s="530"/>
      <c r="M10" s="526" t="s">
        <v>38</v>
      </c>
      <c r="N10" s="592">
        <v>46090</v>
      </c>
      <c r="O10" s="592">
        <v>46090</v>
      </c>
      <c r="P10" s="530" t="s">
        <v>1092</v>
      </c>
    </row>
    <row r="11" spans="1:16" ht="25.15" customHeight="1">
      <c r="A11" s="523">
        <v>8</v>
      </c>
      <c r="B11" s="528" t="s">
        <v>388</v>
      </c>
      <c r="C11" s="524" t="s">
        <v>389</v>
      </c>
      <c r="D11" s="524">
        <v>46044</v>
      </c>
      <c r="E11" s="525">
        <v>65.757000000000005</v>
      </c>
      <c r="F11" s="526" t="s">
        <v>38</v>
      </c>
      <c r="G11" s="524">
        <v>46052</v>
      </c>
      <c r="H11" s="533" t="s">
        <v>476</v>
      </c>
      <c r="I11" s="527" t="s">
        <v>1094</v>
      </c>
      <c r="J11" s="526"/>
      <c r="K11" s="526"/>
      <c r="L11" s="526"/>
      <c r="M11" s="526" t="s">
        <v>38</v>
      </c>
      <c r="N11" s="592">
        <v>46091</v>
      </c>
      <c r="O11" s="592">
        <v>46091</v>
      </c>
      <c r="P11" s="530" t="s">
        <v>1092</v>
      </c>
    </row>
    <row r="12" spans="1:16" ht="25.15" customHeight="1">
      <c r="A12" s="523">
        <v>9</v>
      </c>
      <c r="B12" s="528" t="s">
        <v>178</v>
      </c>
      <c r="C12" s="524" t="s">
        <v>350</v>
      </c>
      <c r="D12" s="524">
        <v>46049</v>
      </c>
      <c r="E12" s="525">
        <v>37.729999999999997</v>
      </c>
      <c r="F12" s="526" t="s">
        <v>38</v>
      </c>
      <c r="G12" s="524">
        <v>46053</v>
      </c>
      <c r="H12" s="529" t="s">
        <v>477</v>
      </c>
      <c r="I12" s="529"/>
      <c r="J12" s="528"/>
      <c r="K12" s="530"/>
      <c r="L12" s="530"/>
      <c r="M12" s="530"/>
      <c r="N12" s="530"/>
      <c r="O12" s="526"/>
      <c r="P12" s="530"/>
    </row>
    <row r="13" spans="1:16" ht="25.15" customHeight="1">
      <c r="A13" s="523">
        <v>11</v>
      </c>
      <c r="B13" s="528" t="s">
        <v>372</v>
      </c>
      <c r="C13" s="524" t="s">
        <v>373</v>
      </c>
      <c r="D13" s="524">
        <v>46054</v>
      </c>
      <c r="E13" s="525">
        <v>64.254000000000005</v>
      </c>
      <c r="F13" s="526" t="s">
        <v>38</v>
      </c>
      <c r="G13" s="524">
        <v>46060</v>
      </c>
      <c r="H13" s="533" t="s">
        <v>476</v>
      </c>
      <c r="I13" s="527" t="s">
        <v>1094</v>
      </c>
      <c r="J13" s="526"/>
      <c r="K13" s="526"/>
      <c r="L13" s="526"/>
      <c r="M13" s="526"/>
      <c r="N13" s="526"/>
      <c r="O13" s="530"/>
      <c r="P13" s="526"/>
    </row>
    <row r="14" spans="1:16" ht="25.15" customHeight="1">
      <c r="A14" s="523">
        <v>10</v>
      </c>
      <c r="B14" s="528" t="s">
        <v>392</v>
      </c>
      <c r="C14" s="524" t="s">
        <v>393</v>
      </c>
      <c r="D14" s="524">
        <v>46052</v>
      </c>
      <c r="E14" s="525">
        <v>65.757000000000005</v>
      </c>
      <c r="F14" s="526" t="s">
        <v>38</v>
      </c>
      <c r="G14" s="524">
        <v>46064</v>
      </c>
      <c r="H14" s="533" t="s">
        <v>478</v>
      </c>
      <c r="I14" s="533"/>
      <c r="J14" s="528"/>
      <c r="K14" s="530"/>
      <c r="L14" s="530"/>
      <c r="M14" s="530"/>
      <c r="N14" s="530"/>
      <c r="O14" s="530"/>
      <c r="P14" s="530"/>
    </row>
    <row r="15" spans="1:16" ht="25.15" customHeight="1">
      <c r="A15" s="523">
        <v>12</v>
      </c>
      <c r="B15" s="528" t="s">
        <v>390</v>
      </c>
      <c r="C15" s="524" t="s">
        <v>350</v>
      </c>
      <c r="D15" s="524">
        <v>46061</v>
      </c>
      <c r="E15" s="525">
        <v>37.729999999999997</v>
      </c>
      <c r="F15" s="526" t="s">
        <v>38</v>
      </c>
      <c r="G15" s="524">
        <v>46066</v>
      </c>
      <c r="H15" s="533" t="s">
        <v>476</v>
      </c>
      <c r="I15" s="527" t="s">
        <v>1094</v>
      </c>
      <c r="J15" s="528"/>
      <c r="K15" s="530"/>
      <c r="L15" s="530"/>
      <c r="M15" s="530"/>
      <c r="N15" s="530"/>
      <c r="O15" s="592"/>
      <c r="P15" s="530"/>
    </row>
    <row r="16" spans="1:16" ht="25.15" customHeight="1">
      <c r="A16" s="523">
        <v>13</v>
      </c>
      <c r="B16" s="528" t="s">
        <v>180</v>
      </c>
      <c r="C16" s="524" t="s">
        <v>350</v>
      </c>
      <c r="D16" s="524">
        <v>46066</v>
      </c>
      <c r="E16" s="525">
        <v>37.729999999999997</v>
      </c>
      <c r="F16" s="526" t="s">
        <v>38</v>
      </c>
      <c r="G16" s="524">
        <v>46070</v>
      </c>
      <c r="H16" s="533" t="s">
        <v>476</v>
      </c>
      <c r="I16" s="527" t="s">
        <v>1094</v>
      </c>
      <c r="J16" s="528"/>
      <c r="K16" s="530"/>
      <c r="L16" s="530"/>
      <c r="M16" s="526" t="s">
        <v>38</v>
      </c>
      <c r="N16" s="592">
        <v>46155</v>
      </c>
      <c r="O16" s="592">
        <v>46155</v>
      </c>
      <c r="P16" s="530" t="s">
        <v>1092</v>
      </c>
    </row>
    <row r="17" spans="1:20" ht="25.15" customHeight="1">
      <c r="A17" s="523">
        <v>14</v>
      </c>
      <c r="B17" s="528" t="s">
        <v>400</v>
      </c>
      <c r="C17" s="524" t="s">
        <v>373</v>
      </c>
      <c r="D17" s="524">
        <v>46065</v>
      </c>
      <c r="E17" s="525">
        <v>64.254000000000005</v>
      </c>
      <c r="F17" s="526" t="s">
        <v>38</v>
      </c>
      <c r="G17" s="524">
        <v>46073</v>
      </c>
      <c r="H17" s="533" t="s">
        <v>478</v>
      </c>
      <c r="I17" s="533"/>
      <c r="J17" s="534"/>
      <c r="K17" s="526"/>
      <c r="L17" s="526"/>
      <c r="M17" s="526"/>
      <c r="N17" s="526"/>
      <c r="O17" s="526"/>
      <c r="P17" s="526"/>
    </row>
    <row r="18" spans="1:20" ht="25.15" customHeight="1">
      <c r="A18" s="523">
        <v>15</v>
      </c>
      <c r="B18" s="528" t="s">
        <v>385</v>
      </c>
      <c r="C18" s="524" t="s">
        <v>350</v>
      </c>
      <c r="D18" s="524">
        <v>46071</v>
      </c>
      <c r="E18" s="525">
        <v>37.729999999999997</v>
      </c>
      <c r="F18" s="526" t="s">
        <v>38</v>
      </c>
      <c r="G18" s="524">
        <v>46075</v>
      </c>
      <c r="H18" s="533" t="s">
        <v>476</v>
      </c>
      <c r="I18" s="527" t="s">
        <v>1094</v>
      </c>
      <c r="J18" s="528"/>
      <c r="K18" s="530"/>
      <c r="L18" s="530"/>
      <c r="M18" s="526" t="s">
        <v>38</v>
      </c>
      <c r="N18" s="592">
        <v>46155</v>
      </c>
      <c r="O18" s="592">
        <v>46155</v>
      </c>
      <c r="P18" s="530" t="s">
        <v>1092</v>
      </c>
    </row>
    <row r="19" spans="1:20" ht="25.15" customHeight="1">
      <c r="A19" s="523">
        <v>16</v>
      </c>
      <c r="B19" s="528" t="s">
        <v>423</v>
      </c>
      <c r="C19" s="524" t="s">
        <v>350</v>
      </c>
      <c r="D19" s="524">
        <v>46076</v>
      </c>
      <c r="E19" s="525">
        <v>37.729999999999997</v>
      </c>
      <c r="F19" s="526" t="s">
        <v>38</v>
      </c>
      <c r="G19" s="524">
        <v>46080</v>
      </c>
      <c r="H19" s="533" t="s">
        <v>476</v>
      </c>
      <c r="I19" s="527" t="s">
        <v>1094</v>
      </c>
      <c r="J19" s="528"/>
      <c r="K19" s="530"/>
      <c r="L19" s="530"/>
      <c r="M19" s="526" t="s">
        <v>38</v>
      </c>
      <c r="N19" s="592">
        <v>46157</v>
      </c>
      <c r="O19" s="592">
        <v>46157</v>
      </c>
      <c r="P19" s="530" t="s">
        <v>1092</v>
      </c>
    </row>
    <row r="20" spans="1:20" ht="25.15" customHeight="1">
      <c r="A20" s="523">
        <v>17</v>
      </c>
      <c r="B20" s="528" t="s">
        <v>403</v>
      </c>
      <c r="C20" s="524" t="s">
        <v>350</v>
      </c>
      <c r="D20" s="524">
        <v>46075</v>
      </c>
      <c r="E20" s="525">
        <v>37.729999999999997</v>
      </c>
      <c r="F20" s="526" t="s">
        <v>38</v>
      </c>
      <c r="G20" s="524">
        <v>46081</v>
      </c>
      <c r="H20" s="533" t="s">
        <v>478</v>
      </c>
      <c r="I20" s="533"/>
      <c r="J20" s="528"/>
      <c r="K20" s="530"/>
      <c r="L20" s="530"/>
      <c r="M20" s="530"/>
      <c r="N20" s="530"/>
      <c r="O20" s="530"/>
      <c r="P20" s="530"/>
    </row>
    <row r="21" spans="1:20" ht="25.15" customHeight="1">
      <c r="A21" s="523">
        <v>18</v>
      </c>
      <c r="B21" s="528" t="s">
        <v>371</v>
      </c>
      <c r="C21" s="524" t="s">
        <v>357</v>
      </c>
      <c r="D21" s="524">
        <v>46080</v>
      </c>
      <c r="E21" s="532">
        <v>39.457999999999998</v>
      </c>
      <c r="F21" s="526" t="s">
        <v>38</v>
      </c>
      <c r="G21" s="524">
        <v>46086</v>
      </c>
      <c r="H21" s="533" t="s">
        <v>476</v>
      </c>
      <c r="I21" s="527" t="s">
        <v>1094</v>
      </c>
      <c r="J21" s="528"/>
      <c r="K21" s="530"/>
      <c r="L21" s="530"/>
      <c r="M21" s="526" t="s">
        <v>38</v>
      </c>
      <c r="N21" s="592">
        <v>46155</v>
      </c>
      <c r="O21" s="592">
        <v>46155</v>
      </c>
      <c r="P21" s="530" t="s">
        <v>1092</v>
      </c>
    </row>
    <row r="22" spans="1:20" ht="25.15" customHeight="1">
      <c r="A22" s="523">
        <v>19</v>
      </c>
      <c r="B22" s="528" t="s">
        <v>397</v>
      </c>
      <c r="C22" s="524" t="s">
        <v>357</v>
      </c>
      <c r="D22" s="524">
        <v>46082</v>
      </c>
      <c r="E22" s="532">
        <v>39.457999999999998</v>
      </c>
      <c r="F22" s="526" t="s">
        <v>38</v>
      </c>
      <c r="G22" s="524">
        <v>46090</v>
      </c>
      <c r="H22" s="533" t="s">
        <v>478</v>
      </c>
      <c r="I22" s="533"/>
      <c r="J22" s="528"/>
      <c r="K22" s="530"/>
      <c r="L22" s="530"/>
      <c r="M22" s="530"/>
      <c r="N22" s="530"/>
      <c r="O22" s="530"/>
      <c r="P22" s="530"/>
    </row>
    <row r="23" spans="1:20" ht="25.15" customHeight="1">
      <c r="A23" s="523">
        <v>20</v>
      </c>
      <c r="B23" s="528" t="s">
        <v>177</v>
      </c>
      <c r="C23" s="524" t="s">
        <v>399</v>
      </c>
      <c r="D23" s="524">
        <v>46089</v>
      </c>
      <c r="E23" s="525">
        <v>44.726999999999997</v>
      </c>
      <c r="F23" s="526" t="s">
        <v>38</v>
      </c>
      <c r="G23" s="524">
        <v>46097</v>
      </c>
      <c r="H23" s="533" t="s">
        <v>476</v>
      </c>
      <c r="I23" s="527" t="s">
        <v>1094</v>
      </c>
      <c r="J23" s="528"/>
      <c r="K23" s="530"/>
      <c r="L23" s="530"/>
      <c r="M23" s="530"/>
      <c r="N23" s="530"/>
      <c r="O23" s="530"/>
      <c r="P23" s="530"/>
    </row>
    <row r="24" spans="1:20" ht="25.15" customHeight="1">
      <c r="A24" s="523">
        <v>21</v>
      </c>
      <c r="B24" s="528" t="s">
        <v>412</v>
      </c>
      <c r="C24" s="524" t="s">
        <v>350</v>
      </c>
      <c r="D24" s="524">
        <v>46091</v>
      </c>
      <c r="E24" s="525">
        <v>37.729999999999997</v>
      </c>
      <c r="F24" s="526" t="s">
        <v>38</v>
      </c>
      <c r="G24" s="524">
        <v>46098</v>
      </c>
      <c r="H24" s="533" t="s">
        <v>478</v>
      </c>
      <c r="I24" s="533"/>
      <c r="J24" s="528"/>
      <c r="K24" s="530"/>
      <c r="L24" s="530"/>
      <c r="M24" s="530"/>
      <c r="N24" s="530"/>
      <c r="O24" s="535"/>
      <c r="P24" s="530"/>
    </row>
    <row r="25" spans="1:20" ht="25.15" customHeight="1">
      <c r="A25" s="523">
        <v>22</v>
      </c>
      <c r="B25" s="528" t="s">
        <v>140</v>
      </c>
      <c r="C25" s="528" t="s">
        <v>302</v>
      </c>
      <c r="D25" s="524">
        <v>46097</v>
      </c>
      <c r="E25" s="525">
        <v>72.233999999999995</v>
      </c>
      <c r="F25" s="526" t="s">
        <v>38</v>
      </c>
      <c r="G25" s="524">
        <v>46105</v>
      </c>
      <c r="H25" s="533" t="s">
        <v>476</v>
      </c>
      <c r="I25" s="527" t="s">
        <v>1094</v>
      </c>
      <c r="J25" s="528"/>
      <c r="K25" s="530"/>
      <c r="L25" s="523"/>
      <c r="M25" s="528"/>
      <c r="N25" s="528"/>
      <c r="O25" s="530"/>
      <c r="P25" s="525"/>
      <c r="Q25" s="593"/>
      <c r="R25" s="594"/>
      <c r="S25" s="595"/>
      <c r="T25" s="113"/>
    </row>
    <row r="26" spans="1:20" ht="25.15" customHeight="1">
      <c r="A26" s="523">
        <v>23</v>
      </c>
      <c r="B26" s="528" t="s">
        <v>421</v>
      </c>
      <c r="C26" s="524" t="s">
        <v>399</v>
      </c>
      <c r="D26" s="524">
        <v>46098</v>
      </c>
      <c r="E26" s="525">
        <v>44.726999999999997</v>
      </c>
      <c r="F26" s="526" t="s">
        <v>38</v>
      </c>
      <c r="G26" s="524">
        <v>46107</v>
      </c>
      <c r="H26" s="533" t="s">
        <v>478</v>
      </c>
      <c r="I26" s="533"/>
      <c r="J26" s="528"/>
      <c r="K26" s="530"/>
      <c r="L26" s="530"/>
      <c r="M26" s="530"/>
      <c r="N26" s="530"/>
      <c r="O26" s="530"/>
      <c r="P26" s="530"/>
    </row>
    <row r="27" spans="1:20" ht="25.15" customHeight="1">
      <c r="A27" s="523">
        <v>24</v>
      </c>
      <c r="B27" s="528" t="s">
        <v>411</v>
      </c>
      <c r="C27" s="524" t="s">
        <v>300</v>
      </c>
      <c r="D27" s="524">
        <v>46105</v>
      </c>
      <c r="E27" s="525">
        <v>54.417999999999999</v>
      </c>
      <c r="F27" s="526" t="s">
        <v>38</v>
      </c>
      <c r="G27" s="524">
        <v>46111</v>
      </c>
      <c r="H27" s="533" t="s">
        <v>476</v>
      </c>
      <c r="I27" s="527" t="s">
        <v>1094</v>
      </c>
      <c r="J27" s="528"/>
      <c r="K27" s="530"/>
      <c r="L27" s="528"/>
      <c r="M27" s="526" t="s">
        <v>38</v>
      </c>
      <c r="N27" s="592">
        <v>46161</v>
      </c>
      <c r="O27" s="592">
        <v>46161</v>
      </c>
      <c r="P27" s="530" t="s">
        <v>1092</v>
      </c>
      <c r="Q27" s="596"/>
      <c r="R27" s="113"/>
      <c r="S27" s="596"/>
      <c r="T27" s="113"/>
    </row>
    <row r="28" spans="1:20" ht="25.15" customHeight="1">
      <c r="A28" s="523">
        <v>25</v>
      </c>
      <c r="B28" s="528" t="s">
        <v>408</v>
      </c>
      <c r="C28" s="524" t="s">
        <v>350</v>
      </c>
      <c r="D28" s="524">
        <v>46107</v>
      </c>
      <c r="E28" s="525">
        <v>37.729999999999997</v>
      </c>
      <c r="F28" s="526" t="s">
        <v>38</v>
      </c>
      <c r="G28" s="524">
        <v>46112</v>
      </c>
      <c r="H28" s="533" t="s">
        <v>478</v>
      </c>
      <c r="I28" s="533"/>
      <c r="J28" s="528"/>
      <c r="K28" s="530"/>
      <c r="L28" s="530"/>
      <c r="M28" s="530"/>
      <c r="N28" s="530"/>
      <c r="O28" s="592"/>
      <c r="P28" s="530"/>
    </row>
    <row r="29" spans="1:20" ht="25.15" customHeight="1">
      <c r="A29" s="523">
        <v>26</v>
      </c>
      <c r="B29" s="528" t="s">
        <v>419</v>
      </c>
      <c r="C29" s="524" t="s">
        <v>302</v>
      </c>
      <c r="D29" s="524">
        <v>46114</v>
      </c>
      <c r="E29" s="526">
        <v>72.233999999999995</v>
      </c>
      <c r="F29" s="526" t="s">
        <v>38</v>
      </c>
      <c r="G29" s="524">
        <v>46121</v>
      </c>
      <c r="H29" s="529" t="s">
        <v>476</v>
      </c>
      <c r="I29" s="527" t="s">
        <v>1094</v>
      </c>
      <c r="J29" s="528"/>
      <c r="K29" s="530"/>
      <c r="L29" s="530"/>
      <c r="M29" s="526" t="s">
        <v>38</v>
      </c>
      <c r="N29" s="592">
        <v>46158</v>
      </c>
      <c r="O29" s="592">
        <v>46158</v>
      </c>
      <c r="P29" s="530" t="s">
        <v>1092</v>
      </c>
    </row>
    <row r="30" spans="1:20" ht="25.15" customHeight="1">
      <c r="A30" s="523">
        <v>27</v>
      </c>
      <c r="B30" s="528" t="s">
        <v>405</v>
      </c>
      <c r="C30" s="528" t="s">
        <v>350</v>
      </c>
      <c r="D30" s="524">
        <v>46121</v>
      </c>
      <c r="E30" s="525">
        <v>37.795999999999999</v>
      </c>
      <c r="F30" s="526" t="s">
        <v>38</v>
      </c>
      <c r="G30" s="524">
        <v>46127</v>
      </c>
      <c r="H30" s="529" t="s">
        <v>476</v>
      </c>
      <c r="I30" s="527" t="s">
        <v>1094</v>
      </c>
      <c r="J30" s="528"/>
      <c r="K30" s="530"/>
      <c r="L30" s="530"/>
      <c r="M30" s="526" t="s">
        <v>38</v>
      </c>
      <c r="N30" s="592">
        <v>46159</v>
      </c>
      <c r="O30" s="592">
        <v>46159</v>
      </c>
      <c r="P30" s="530" t="s">
        <v>1092</v>
      </c>
    </row>
    <row r="31" spans="1:20" ht="25.15" customHeight="1">
      <c r="A31" s="523">
        <v>28</v>
      </c>
      <c r="B31" s="528" t="s">
        <v>430</v>
      </c>
      <c r="C31" s="528" t="s">
        <v>350</v>
      </c>
      <c r="D31" s="524">
        <v>46127</v>
      </c>
      <c r="E31" s="525">
        <v>37.795999999999999</v>
      </c>
      <c r="F31" s="526" t="s">
        <v>38</v>
      </c>
      <c r="G31" s="524">
        <v>46133</v>
      </c>
      <c r="H31" s="529" t="s">
        <v>476</v>
      </c>
      <c r="I31" s="527" t="s">
        <v>1094</v>
      </c>
      <c r="J31" s="528"/>
      <c r="K31" s="530"/>
      <c r="L31" s="530"/>
      <c r="M31" s="526" t="s">
        <v>38</v>
      </c>
      <c r="N31" s="592">
        <v>46160</v>
      </c>
      <c r="O31" s="592">
        <v>46160</v>
      </c>
      <c r="P31" s="530" t="s">
        <v>1092</v>
      </c>
    </row>
    <row r="32" spans="1:20" ht="25.15" customHeight="1">
      <c r="A32" s="523">
        <v>29</v>
      </c>
      <c r="B32" s="528" t="s">
        <v>406</v>
      </c>
      <c r="C32" s="528" t="s">
        <v>350</v>
      </c>
      <c r="D32" s="524">
        <v>46134</v>
      </c>
      <c r="E32" s="525">
        <v>37.795999999999999</v>
      </c>
      <c r="F32" s="526" t="s">
        <v>38</v>
      </c>
      <c r="G32" s="524">
        <v>46141</v>
      </c>
      <c r="H32" s="533" t="s">
        <v>476</v>
      </c>
      <c r="I32" s="527" t="s">
        <v>1094</v>
      </c>
      <c r="J32" s="528"/>
      <c r="K32" s="530"/>
      <c r="L32" s="530"/>
      <c r="M32" s="526" t="s">
        <v>38</v>
      </c>
      <c r="N32" s="592">
        <v>46160</v>
      </c>
      <c r="O32" s="592">
        <v>46160</v>
      </c>
      <c r="P32" s="530" t="s">
        <v>1092</v>
      </c>
    </row>
    <row r="33" spans="1:16" s="540" customFormat="1" ht="25.15" customHeight="1">
      <c r="A33" s="523">
        <v>30</v>
      </c>
      <c r="B33" s="528" t="s">
        <v>404</v>
      </c>
      <c r="C33" s="528" t="s">
        <v>350</v>
      </c>
      <c r="D33" s="524">
        <v>46142</v>
      </c>
      <c r="E33" s="525">
        <v>37.795999999999999</v>
      </c>
      <c r="F33" s="526" t="s">
        <v>38</v>
      </c>
      <c r="G33" s="524">
        <v>46148</v>
      </c>
      <c r="H33" s="533" t="s">
        <v>476</v>
      </c>
      <c r="I33" s="533" t="s">
        <v>1094</v>
      </c>
      <c r="J33" s="528"/>
      <c r="K33" s="530"/>
      <c r="L33" s="530"/>
      <c r="M33" s="526" t="s">
        <v>38</v>
      </c>
      <c r="N33" s="592">
        <v>46163</v>
      </c>
      <c r="O33" s="592">
        <v>46163</v>
      </c>
      <c r="P33" s="530" t="s">
        <v>1092</v>
      </c>
    </row>
    <row r="34" spans="1:16" s="540" customFormat="1" ht="25.15" customHeight="1">
      <c r="A34" s="523">
        <v>31</v>
      </c>
      <c r="B34" s="528" t="s">
        <v>383</v>
      </c>
      <c r="C34" s="528" t="s">
        <v>350</v>
      </c>
      <c r="D34" s="524">
        <v>46145</v>
      </c>
      <c r="E34" s="525">
        <v>37.795999999999999</v>
      </c>
      <c r="F34" s="526" t="s">
        <v>38</v>
      </c>
      <c r="G34" s="524">
        <v>46149</v>
      </c>
      <c r="H34" s="533" t="s">
        <v>479</v>
      </c>
      <c r="I34" s="533"/>
      <c r="J34" s="528"/>
      <c r="K34" s="530"/>
      <c r="L34" s="530"/>
      <c r="M34" s="530"/>
      <c r="N34" s="530"/>
      <c r="O34" s="530"/>
      <c r="P34" s="530"/>
    </row>
    <row r="35" spans="1:16" s="540" customFormat="1" ht="25.15" customHeight="1">
      <c r="A35" s="523">
        <v>32</v>
      </c>
      <c r="B35" s="528" t="s">
        <v>422</v>
      </c>
      <c r="C35" s="528" t="s">
        <v>350</v>
      </c>
      <c r="D35" s="524">
        <v>46149</v>
      </c>
      <c r="E35" s="525">
        <v>37.795999999999999</v>
      </c>
      <c r="F35" s="526" t="s">
        <v>38</v>
      </c>
      <c r="G35" s="524">
        <v>46155</v>
      </c>
      <c r="H35" s="533" t="s">
        <v>476</v>
      </c>
      <c r="I35" s="527" t="s">
        <v>1094</v>
      </c>
      <c r="J35" s="528"/>
      <c r="K35" s="530"/>
      <c r="L35" s="530"/>
      <c r="M35" s="526" t="s">
        <v>38</v>
      </c>
      <c r="N35" s="592">
        <v>46162</v>
      </c>
      <c r="O35" s="592">
        <v>46162</v>
      </c>
      <c r="P35" s="530" t="s">
        <v>1092</v>
      </c>
    </row>
    <row r="36" spans="1:16" s="540" customFormat="1" ht="25.15" customHeight="1">
      <c r="A36" s="523">
        <v>33</v>
      </c>
      <c r="B36" s="528" t="s">
        <v>386</v>
      </c>
      <c r="C36" s="528" t="s">
        <v>350</v>
      </c>
      <c r="D36" s="524">
        <v>46150</v>
      </c>
      <c r="E36" s="525">
        <v>37.795999999999999</v>
      </c>
      <c r="F36" s="526" t="s">
        <v>38</v>
      </c>
      <c r="G36" s="524">
        <v>46154</v>
      </c>
      <c r="H36" s="533" t="s">
        <v>479</v>
      </c>
      <c r="I36" s="533"/>
      <c r="J36" s="528" t="s">
        <v>67</v>
      </c>
      <c r="K36" s="530"/>
      <c r="L36" s="530"/>
      <c r="M36" s="530"/>
      <c r="N36" s="530"/>
      <c r="O36" s="530"/>
      <c r="P36" s="530"/>
    </row>
    <row r="37" spans="1:16" s="540" customFormat="1" ht="25.15" customHeight="1">
      <c r="A37" s="523">
        <v>34</v>
      </c>
      <c r="B37" s="528" t="s">
        <v>387</v>
      </c>
      <c r="C37" s="528" t="s">
        <v>350</v>
      </c>
      <c r="D37" s="524">
        <v>46155</v>
      </c>
      <c r="E37" s="525">
        <v>37.795999999999999</v>
      </c>
      <c r="F37" s="526" t="s">
        <v>38</v>
      </c>
      <c r="G37" s="524">
        <v>46159</v>
      </c>
      <c r="H37" s="533" t="s">
        <v>479</v>
      </c>
      <c r="I37" s="533"/>
      <c r="J37" s="528"/>
      <c r="K37" s="530"/>
      <c r="L37" s="530"/>
      <c r="M37" s="530"/>
      <c r="N37" s="530"/>
      <c r="O37" s="530"/>
      <c r="P37" s="530"/>
    </row>
    <row r="38" spans="1:16" s="540" customFormat="1" ht="25.15" customHeight="1">
      <c r="A38" s="523">
        <v>35</v>
      </c>
      <c r="B38" s="528" t="s">
        <v>417</v>
      </c>
      <c r="C38" s="528" t="s">
        <v>396</v>
      </c>
      <c r="D38" s="524">
        <v>46156</v>
      </c>
      <c r="E38" s="525">
        <v>36.043999999999997</v>
      </c>
      <c r="F38" s="526" t="s">
        <v>38</v>
      </c>
      <c r="G38" s="524">
        <v>46160</v>
      </c>
      <c r="H38" s="533" t="s">
        <v>476</v>
      </c>
      <c r="I38" s="527" t="s">
        <v>1094</v>
      </c>
      <c r="J38" s="528"/>
      <c r="K38" s="530"/>
      <c r="L38" s="530"/>
      <c r="M38" s="530"/>
      <c r="N38" s="530"/>
      <c r="O38" s="530"/>
      <c r="P38" s="530"/>
    </row>
    <row r="39" spans="1:16" s="540" customFormat="1" ht="25.15" customHeight="1">
      <c r="A39" s="523">
        <v>36</v>
      </c>
      <c r="B39" s="528" t="s">
        <v>139</v>
      </c>
      <c r="C39" s="528" t="s">
        <v>357</v>
      </c>
      <c r="D39" s="524">
        <v>46151</v>
      </c>
      <c r="E39" s="525">
        <v>39.457999999999998</v>
      </c>
      <c r="F39" s="526" t="s">
        <v>38</v>
      </c>
      <c r="G39" s="524">
        <v>46163</v>
      </c>
      <c r="H39" s="533" t="s">
        <v>478</v>
      </c>
      <c r="I39" s="533"/>
      <c r="J39" s="528" t="s">
        <v>67</v>
      </c>
      <c r="K39" s="530"/>
      <c r="L39" s="530"/>
      <c r="M39" s="530"/>
      <c r="N39" s="530"/>
      <c r="O39" s="530"/>
      <c r="P39" s="530"/>
    </row>
    <row r="40" spans="1:16" s="540" customFormat="1" ht="30.75" customHeight="1">
      <c r="A40" s="523">
        <v>37</v>
      </c>
      <c r="B40" s="528" t="s">
        <v>410</v>
      </c>
      <c r="C40" s="528" t="s">
        <v>396</v>
      </c>
      <c r="D40" s="524">
        <v>46160</v>
      </c>
      <c r="E40" s="525">
        <v>36.043999999999997</v>
      </c>
      <c r="F40" s="526" t="s">
        <v>38</v>
      </c>
      <c r="G40" s="524">
        <v>46164</v>
      </c>
      <c r="H40" s="533" t="s">
        <v>476</v>
      </c>
      <c r="I40" s="527" t="s">
        <v>1094</v>
      </c>
      <c r="J40" s="528" t="s">
        <v>67</v>
      </c>
      <c r="K40" s="530"/>
      <c r="L40" s="530"/>
      <c r="M40" s="530"/>
      <c r="N40" s="530"/>
      <c r="O40" s="530"/>
      <c r="P40" s="530"/>
    </row>
    <row r="41" spans="1:16" ht="30.75" customHeight="1">
      <c r="A41" s="523">
        <v>38</v>
      </c>
      <c r="B41" s="528" t="s">
        <v>425</v>
      </c>
      <c r="C41" s="528" t="s">
        <v>330</v>
      </c>
      <c r="D41" s="524">
        <v>46161</v>
      </c>
      <c r="E41" s="525">
        <v>64.254000000000005</v>
      </c>
      <c r="F41" s="526" t="s">
        <v>38</v>
      </c>
      <c r="G41" s="524">
        <v>46167</v>
      </c>
      <c r="H41" s="533" t="s">
        <v>479</v>
      </c>
      <c r="I41" s="533"/>
      <c r="J41" s="528" t="s">
        <v>67</v>
      </c>
      <c r="K41" s="530"/>
      <c r="L41" s="530"/>
      <c r="M41" s="530"/>
      <c r="N41" s="530"/>
      <c r="O41" s="530"/>
      <c r="P41" s="530"/>
    </row>
    <row r="42" spans="1:16" ht="30.75" customHeight="1">
      <c r="A42" s="523">
        <v>39</v>
      </c>
      <c r="B42" s="528" t="s">
        <v>418</v>
      </c>
      <c r="C42" s="528" t="s">
        <v>300</v>
      </c>
      <c r="D42" s="524">
        <v>46165</v>
      </c>
      <c r="E42" s="525">
        <v>54.417999999999999</v>
      </c>
      <c r="F42" s="526" t="s">
        <v>38</v>
      </c>
      <c r="G42" s="524">
        <v>46170</v>
      </c>
      <c r="H42" s="533" t="s">
        <v>476</v>
      </c>
      <c r="I42" s="533"/>
      <c r="J42" s="528" t="s">
        <v>67</v>
      </c>
      <c r="K42" s="530"/>
      <c r="L42" s="530"/>
      <c r="M42" s="530"/>
      <c r="N42" s="530"/>
      <c r="O42" s="530"/>
      <c r="P42" s="530"/>
    </row>
    <row r="43" spans="1:16" ht="30.75" customHeight="1">
      <c r="A43" s="523">
        <v>40</v>
      </c>
      <c r="B43" s="528" t="s">
        <v>364</v>
      </c>
      <c r="C43" s="528" t="s">
        <v>350</v>
      </c>
      <c r="D43" s="524">
        <v>46164</v>
      </c>
      <c r="E43" s="525">
        <v>37.795999999999999</v>
      </c>
      <c r="F43" s="526" t="s">
        <v>38</v>
      </c>
      <c r="G43" s="524">
        <v>46172</v>
      </c>
      <c r="H43" s="533" t="s">
        <v>478</v>
      </c>
      <c r="I43" s="533"/>
      <c r="J43" s="528" t="s">
        <v>67</v>
      </c>
      <c r="K43" s="530"/>
      <c r="L43" s="530"/>
      <c r="M43" s="530"/>
      <c r="N43" s="530"/>
      <c r="O43" s="530"/>
      <c r="P43" s="530"/>
    </row>
    <row r="44" spans="1:16" ht="30.75" customHeight="1">
      <c r="A44" s="523">
        <v>41</v>
      </c>
      <c r="B44" s="528" t="s">
        <v>370</v>
      </c>
      <c r="C44" s="528" t="s">
        <v>298</v>
      </c>
      <c r="D44" s="524">
        <v>46170</v>
      </c>
      <c r="E44" s="525">
        <v>80.254999999999995</v>
      </c>
      <c r="F44" s="526" t="s">
        <v>38</v>
      </c>
      <c r="G44" s="524">
        <v>46177</v>
      </c>
      <c r="H44" s="533" t="s">
        <v>479</v>
      </c>
      <c r="I44" s="533"/>
      <c r="J44" s="528" t="s">
        <v>67</v>
      </c>
      <c r="K44" s="530"/>
      <c r="L44" s="530"/>
      <c r="M44" s="530"/>
      <c r="N44" s="530"/>
      <c r="O44" s="530"/>
      <c r="P44" s="530"/>
    </row>
    <row r="45" spans="1:16" ht="30.75" customHeight="1">
      <c r="A45" s="523">
        <v>42</v>
      </c>
      <c r="B45" s="528" t="s">
        <v>374</v>
      </c>
      <c r="C45" s="528" t="s">
        <v>335</v>
      </c>
      <c r="D45" s="524">
        <v>46171</v>
      </c>
      <c r="E45" s="525">
        <v>54.417999999999999</v>
      </c>
      <c r="F45" s="526" t="s">
        <v>38</v>
      </c>
      <c r="G45" s="524">
        <v>46177</v>
      </c>
      <c r="H45" s="533" t="s">
        <v>476</v>
      </c>
      <c r="I45" s="533"/>
      <c r="J45" s="528" t="s">
        <v>67</v>
      </c>
      <c r="K45" s="530"/>
      <c r="L45" s="530"/>
      <c r="M45" s="530"/>
      <c r="N45" s="530"/>
      <c r="O45" s="530"/>
      <c r="P45" s="530"/>
    </row>
    <row r="46" spans="1:16" ht="30.75" customHeight="1">
      <c r="A46" s="523">
        <v>43</v>
      </c>
      <c r="B46" s="528" t="s">
        <v>137</v>
      </c>
      <c r="C46" s="528" t="s">
        <v>350</v>
      </c>
      <c r="D46" s="524">
        <v>46173</v>
      </c>
      <c r="E46" s="525">
        <v>37.795999999999999</v>
      </c>
      <c r="F46" s="526" t="s">
        <v>38</v>
      </c>
      <c r="G46" s="524">
        <v>46181</v>
      </c>
      <c r="H46" s="533" t="s">
        <v>478</v>
      </c>
      <c r="I46" s="533"/>
      <c r="J46" s="528" t="s">
        <v>67</v>
      </c>
      <c r="K46" s="530"/>
      <c r="L46" s="530"/>
      <c r="M46" s="530"/>
      <c r="N46" s="530"/>
      <c r="O46" s="530"/>
      <c r="P46" s="530"/>
    </row>
    <row r="47" spans="1:16" ht="30.75" customHeight="1">
      <c r="A47" s="523">
        <v>44</v>
      </c>
      <c r="B47" s="528" t="s">
        <v>377</v>
      </c>
      <c r="C47" s="528" t="s">
        <v>350</v>
      </c>
      <c r="D47" s="524">
        <v>46178</v>
      </c>
      <c r="E47" s="525">
        <v>37.795999999999999</v>
      </c>
      <c r="F47" s="526" t="s">
        <v>38</v>
      </c>
      <c r="G47" s="524">
        <v>46182</v>
      </c>
      <c r="H47" s="533" t="s">
        <v>476</v>
      </c>
      <c r="I47" s="533"/>
      <c r="J47" s="528">
        <v>33</v>
      </c>
      <c r="K47" s="530"/>
      <c r="L47" s="530"/>
      <c r="M47" s="530"/>
      <c r="N47" s="530"/>
      <c r="O47" s="530"/>
      <c r="P47" s="530"/>
    </row>
    <row r="48" spans="1:16" ht="30.75" customHeight="1">
      <c r="A48" s="523">
        <v>45</v>
      </c>
      <c r="B48" s="528" t="s">
        <v>369</v>
      </c>
      <c r="C48" s="528" t="s">
        <v>298</v>
      </c>
      <c r="D48" s="524">
        <v>46178</v>
      </c>
      <c r="E48" s="525">
        <v>80.254999999999995</v>
      </c>
      <c r="F48" s="526" t="s">
        <v>38</v>
      </c>
      <c r="G48" s="524">
        <v>46186</v>
      </c>
      <c r="H48" s="533" t="s">
        <v>479</v>
      </c>
      <c r="I48" s="533"/>
      <c r="J48" s="528">
        <v>30</v>
      </c>
      <c r="K48" s="530"/>
      <c r="L48" s="530"/>
      <c r="M48" s="530"/>
      <c r="N48" s="530"/>
      <c r="O48" s="530"/>
      <c r="P48" s="530"/>
    </row>
    <row r="49" spans="1:16" s="540" customFormat="1" ht="25.15" customHeight="1">
      <c r="A49" s="543">
        <v>46</v>
      </c>
      <c r="B49" s="536" t="s">
        <v>367</v>
      </c>
      <c r="C49" s="536" t="s">
        <v>350</v>
      </c>
      <c r="D49" s="544">
        <v>46199</v>
      </c>
      <c r="E49" s="539">
        <v>37.795999999999999</v>
      </c>
      <c r="F49" s="545" t="s">
        <v>550</v>
      </c>
      <c r="G49" s="256"/>
      <c r="H49" s="538" t="s">
        <v>1137</v>
      </c>
      <c r="I49" s="538"/>
      <c r="J49" s="537">
        <v>28</v>
      </c>
      <c r="K49" s="538"/>
      <c r="L49" s="538"/>
      <c r="M49" s="538"/>
      <c r="N49" s="538"/>
      <c r="O49" s="538"/>
      <c r="P49" s="538"/>
    </row>
    <row r="50" spans="1:16" s="540" customFormat="1" ht="93.75" customHeight="1">
      <c r="A50" s="543"/>
      <c r="B50" s="536"/>
      <c r="C50" s="536"/>
      <c r="D50" s="544"/>
      <c r="E50" s="539"/>
      <c r="F50" s="545"/>
      <c r="G50" s="256"/>
      <c r="H50" s="538"/>
      <c r="I50" s="538"/>
      <c r="J50" s="537"/>
      <c r="K50" s="538"/>
      <c r="L50" s="538"/>
      <c r="M50" s="538"/>
      <c r="N50" s="538"/>
      <c r="O50" s="538"/>
      <c r="P50" s="538"/>
    </row>
    <row r="51" spans="1:16" s="540" customFormat="1" ht="25.15" customHeight="1">
      <c r="A51" s="543"/>
      <c r="B51" s="536"/>
      <c r="C51" s="536"/>
      <c r="D51" s="544"/>
      <c r="E51" s="539"/>
      <c r="F51" s="545"/>
      <c r="G51" s="256"/>
      <c r="H51" s="538"/>
      <c r="I51" s="538"/>
      <c r="J51" s="537"/>
      <c r="K51" s="538"/>
      <c r="L51" s="538"/>
      <c r="M51" s="538"/>
      <c r="N51" s="538"/>
      <c r="O51" s="538"/>
      <c r="P51" s="538"/>
    </row>
    <row r="52" spans="1:16" s="540" customFormat="1" ht="25.15" customHeight="1">
      <c r="A52" s="543"/>
      <c r="B52" s="536"/>
      <c r="C52" s="536"/>
      <c r="D52" s="544"/>
      <c r="E52" s="542"/>
      <c r="F52" s="545"/>
      <c r="G52" s="256"/>
      <c r="H52" s="538"/>
      <c r="I52" s="538"/>
      <c r="J52" s="537"/>
      <c r="K52" s="538"/>
      <c r="L52" s="538"/>
      <c r="M52" s="538"/>
      <c r="N52" s="538"/>
      <c r="O52" s="538"/>
      <c r="P52" s="538"/>
    </row>
    <row r="53" spans="1:16" s="540" customFormat="1" ht="25.15" customHeight="1">
      <c r="A53" s="543"/>
      <c r="B53" s="536"/>
      <c r="C53" s="536"/>
      <c r="D53" s="544"/>
      <c r="E53" s="542"/>
      <c r="F53" s="545"/>
      <c r="G53" s="256"/>
      <c r="H53" s="538"/>
      <c r="I53" s="538"/>
      <c r="J53" s="537"/>
      <c r="K53" s="538"/>
      <c r="L53" s="548"/>
      <c r="M53" s="538"/>
      <c r="N53" s="538"/>
      <c r="O53" s="538"/>
      <c r="P53" s="538"/>
    </row>
    <row r="54" spans="1:16" s="540" customFormat="1" ht="25.15" customHeight="1">
      <c r="A54" s="543"/>
      <c r="B54" s="536"/>
      <c r="C54" s="536"/>
      <c r="D54" s="544"/>
      <c r="E54" s="536"/>
      <c r="F54" s="545"/>
      <c r="G54" s="256"/>
      <c r="H54" s="541"/>
      <c r="I54" s="541"/>
      <c r="J54" s="537"/>
      <c r="K54" s="538"/>
      <c r="L54" s="538"/>
      <c r="M54" s="538"/>
      <c r="N54" s="538"/>
      <c r="O54" s="538"/>
      <c r="P54" s="538"/>
    </row>
    <row r="55" spans="1:16" s="540" customFormat="1" ht="25.15" customHeight="1">
      <c r="A55" s="543"/>
      <c r="B55" s="536"/>
      <c r="C55" s="536"/>
      <c r="D55" s="544"/>
      <c r="E55" s="536"/>
      <c r="F55" s="545"/>
      <c r="G55" s="256"/>
      <c r="H55" s="541"/>
      <c r="I55" s="541"/>
      <c r="J55" s="537"/>
      <c r="K55" s="538"/>
      <c r="L55" s="538"/>
      <c r="M55" s="538"/>
      <c r="N55" s="538"/>
      <c r="O55" s="538"/>
      <c r="P55" s="538"/>
    </row>
    <row r="56" spans="1:16" s="540" customFormat="1" ht="25.15" customHeight="1">
      <c r="A56" s="543"/>
      <c r="B56" s="536"/>
      <c r="C56" s="536"/>
      <c r="D56" s="544"/>
      <c r="E56" s="536"/>
      <c r="F56" s="545"/>
      <c r="G56" s="256"/>
      <c r="H56" s="541"/>
      <c r="I56" s="541"/>
      <c r="J56" s="537"/>
      <c r="K56" s="538"/>
      <c r="L56" s="538"/>
      <c r="M56" s="538"/>
      <c r="N56" s="538"/>
      <c r="O56" s="538"/>
      <c r="P56" s="538"/>
    </row>
    <row r="57" spans="1:16" s="540" customFormat="1" ht="25.15" customHeight="1">
      <c r="A57" s="543"/>
      <c r="B57" s="536"/>
      <c r="C57" s="536"/>
      <c r="D57" s="544"/>
      <c r="E57" s="539"/>
      <c r="F57" s="545"/>
      <c r="G57" s="256"/>
      <c r="H57" s="541"/>
      <c r="I57" s="541"/>
      <c r="J57" s="537"/>
      <c r="K57" s="538"/>
      <c r="L57" s="538"/>
      <c r="M57" s="538"/>
      <c r="N57" s="538"/>
      <c r="O57" s="538"/>
      <c r="P57" s="538"/>
    </row>
    <row r="58" spans="1:16" s="540" customFormat="1" ht="25.15" customHeight="1">
      <c r="A58" s="543"/>
      <c r="B58" s="536"/>
      <c r="C58" s="536"/>
      <c r="D58" s="544"/>
      <c r="E58" s="542"/>
      <c r="F58" s="545"/>
      <c r="G58" s="256"/>
      <c r="H58" s="541"/>
      <c r="I58" s="541"/>
      <c r="J58" s="537"/>
      <c r="K58" s="538"/>
      <c r="L58" s="538"/>
      <c r="M58" s="538"/>
      <c r="N58" s="538"/>
      <c r="O58" s="538"/>
      <c r="P58" s="538"/>
    </row>
    <row r="59" spans="1:16" s="540" customFormat="1" ht="25.15" customHeight="1">
      <c r="A59" s="543"/>
      <c r="B59" s="536"/>
      <c r="C59" s="536"/>
      <c r="D59" s="544"/>
      <c r="E59" s="547"/>
      <c r="F59" s="545"/>
      <c r="G59" s="256"/>
      <c r="H59" s="541"/>
      <c r="I59" s="541"/>
      <c r="J59" s="537"/>
      <c r="K59" s="538"/>
      <c r="L59" s="538"/>
      <c r="M59" s="538"/>
      <c r="N59" s="538"/>
      <c r="O59" s="538"/>
      <c r="P59" s="538"/>
    </row>
    <row r="60" spans="1:16" s="540" customFormat="1" ht="25.15" customHeight="1">
      <c r="A60" s="543"/>
      <c r="B60" s="536"/>
      <c r="C60" s="536"/>
      <c r="D60" s="544"/>
      <c r="E60" s="547"/>
      <c r="F60" s="545"/>
      <c r="G60" s="256"/>
      <c r="H60" s="541"/>
      <c r="I60" s="541"/>
      <c r="J60" s="537"/>
      <c r="K60" s="538"/>
      <c r="L60" s="538"/>
      <c r="M60" s="538"/>
      <c r="N60" s="538"/>
      <c r="O60" s="538"/>
      <c r="P60" s="538"/>
    </row>
    <row r="61" spans="1:16" s="540" customFormat="1" ht="25.15" customHeight="1">
      <c r="A61" s="543"/>
      <c r="B61" s="536"/>
      <c r="C61" s="536"/>
      <c r="D61" s="544"/>
      <c r="E61" s="539"/>
      <c r="F61" s="545"/>
      <c r="G61" s="256"/>
      <c r="H61" s="541"/>
      <c r="I61" s="541"/>
      <c r="J61" s="537"/>
      <c r="K61" s="538"/>
      <c r="L61" s="538"/>
      <c r="M61" s="538"/>
      <c r="N61" s="538"/>
      <c r="O61" s="538"/>
      <c r="P61" s="538"/>
    </row>
    <row r="62" spans="1:16" s="540" customFormat="1" ht="25.15" customHeight="1">
      <c r="A62" s="543"/>
      <c r="B62" s="536"/>
      <c r="C62" s="536"/>
      <c r="D62" s="544"/>
      <c r="E62" s="539"/>
      <c r="F62" s="545"/>
      <c r="G62" s="256"/>
      <c r="H62" s="541"/>
      <c r="I62" s="541"/>
      <c r="J62" s="537"/>
      <c r="K62" s="538"/>
      <c r="L62" s="538"/>
      <c r="M62" s="538"/>
      <c r="N62" s="538"/>
      <c r="O62" s="538"/>
      <c r="P62" s="538"/>
    </row>
    <row r="63" spans="1:16" s="540" customFormat="1" ht="25.15" customHeight="1">
      <c r="A63" s="543"/>
      <c r="B63" s="536"/>
      <c r="C63" s="536"/>
      <c r="D63" s="544"/>
      <c r="E63" s="536"/>
      <c r="F63" s="545"/>
      <c r="G63" s="256"/>
      <c r="H63" s="541"/>
      <c r="I63" s="541"/>
      <c r="J63" s="537"/>
      <c r="K63" s="538"/>
      <c r="L63" s="538"/>
      <c r="M63" s="538"/>
      <c r="N63" s="538"/>
      <c r="O63" s="538"/>
      <c r="P63" s="538"/>
    </row>
    <row r="64" spans="1:16" s="540" customFormat="1" ht="25.15" customHeight="1">
      <c r="A64" s="543"/>
      <c r="B64" s="536"/>
      <c r="C64" s="536"/>
      <c r="D64" s="544"/>
      <c r="E64" s="539"/>
      <c r="F64" s="545"/>
      <c r="G64" s="256"/>
      <c r="H64" s="541"/>
      <c r="I64" s="541"/>
      <c r="J64" s="537"/>
      <c r="K64" s="538"/>
      <c r="L64" s="538"/>
      <c r="M64" s="538"/>
      <c r="N64" s="538"/>
      <c r="O64" s="538"/>
      <c r="P64" s="538"/>
    </row>
    <row r="65" spans="1:16" s="540" customFormat="1" ht="25.15" customHeight="1">
      <c r="A65" s="543"/>
      <c r="B65" s="536"/>
      <c r="C65" s="536"/>
      <c r="D65" s="544"/>
      <c r="E65" s="539"/>
      <c r="F65" s="545"/>
      <c r="G65" s="256"/>
      <c r="H65" s="541"/>
      <c r="I65" s="541"/>
      <c r="J65" s="546"/>
      <c r="K65" s="538"/>
      <c r="L65" s="538"/>
      <c r="M65" s="538"/>
      <c r="N65" s="538"/>
      <c r="O65" s="538"/>
      <c r="P65" s="538"/>
    </row>
    <row r="66" spans="1:16" s="540" customFormat="1" ht="25.15" customHeight="1">
      <c r="A66" s="543"/>
      <c r="B66" s="536"/>
      <c r="C66" s="536"/>
      <c r="D66" s="544"/>
      <c r="E66" s="539"/>
      <c r="F66" s="545"/>
      <c r="G66" s="256"/>
      <c r="H66" s="541"/>
      <c r="I66" s="541"/>
      <c r="J66" s="537"/>
      <c r="K66" s="538"/>
      <c r="L66" s="538"/>
      <c r="M66" s="538"/>
      <c r="N66" s="538"/>
      <c r="O66" s="538"/>
      <c r="P66" s="538"/>
    </row>
    <row r="67" spans="1:16" s="540" customFormat="1" ht="25.15" customHeight="1">
      <c r="A67" s="543"/>
      <c r="B67" s="536"/>
      <c r="C67" s="536"/>
      <c r="D67" s="544"/>
      <c r="E67" s="539"/>
      <c r="F67" s="545"/>
      <c r="G67" s="256"/>
      <c r="H67" s="549"/>
      <c r="I67" s="549"/>
      <c r="J67" s="537"/>
      <c r="K67" s="538"/>
      <c r="L67" s="538"/>
      <c r="M67" s="538"/>
      <c r="N67" s="538"/>
      <c r="O67" s="538"/>
      <c r="P67" s="538"/>
    </row>
    <row r="68" spans="1:16" s="540" customFormat="1" ht="25.15" customHeight="1">
      <c r="A68" s="543"/>
      <c r="B68" s="536"/>
      <c r="C68" s="536"/>
      <c r="D68" s="544"/>
      <c r="E68" s="539"/>
      <c r="F68" s="545"/>
      <c r="G68" s="256"/>
      <c r="H68" s="541"/>
      <c r="I68" s="541"/>
      <c r="J68" s="546"/>
      <c r="K68" s="538"/>
      <c r="L68" s="538"/>
      <c r="M68" s="538"/>
      <c r="N68" s="538"/>
      <c r="O68" s="538"/>
      <c r="P68" s="538"/>
    </row>
    <row r="69" spans="1:16" s="540" customFormat="1" ht="25.15" customHeight="1">
      <c r="A69" s="543"/>
      <c r="B69" s="536"/>
      <c r="C69" s="536"/>
      <c r="D69" s="544"/>
      <c r="E69" s="539"/>
      <c r="F69" s="545"/>
      <c r="G69" s="256"/>
      <c r="H69" s="541"/>
      <c r="I69" s="541"/>
      <c r="J69" s="537"/>
      <c r="K69" s="538"/>
      <c r="L69" s="538"/>
      <c r="M69" s="538"/>
      <c r="N69" s="538"/>
      <c r="O69" s="538"/>
      <c r="P69" s="538"/>
    </row>
    <row r="70" spans="1:16" s="540" customFormat="1" ht="25.15" customHeight="1">
      <c r="A70" s="543"/>
      <c r="B70" s="536"/>
      <c r="C70" s="536"/>
      <c r="D70" s="544"/>
      <c r="E70" s="539"/>
      <c r="F70" s="545"/>
      <c r="G70" s="256"/>
      <c r="H70" s="541"/>
      <c r="I70" s="541"/>
      <c r="J70" s="537"/>
      <c r="K70" s="538"/>
      <c r="L70" s="538"/>
      <c r="M70" s="538"/>
      <c r="N70" s="538"/>
      <c r="O70" s="538"/>
      <c r="P70" s="538"/>
    </row>
    <row r="71" spans="1:16" s="540" customFormat="1" ht="30" customHeight="1">
      <c r="A71" s="543"/>
      <c r="B71" s="536"/>
      <c r="C71" s="536"/>
      <c r="D71" s="544"/>
      <c r="E71" s="539"/>
      <c r="F71" s="545"/>
      <c r="G71" s="256"/>
      <c r="H71" s="541"/>
      <c r="I71" s="541"/>
      <c r="J71" s="537"/>
      <c r="K71" s="538"/>
      <c r="L71" s="538"/>
      <c r="M71" s="538"/>
      <c r="N71" s="538"/>
      <c r="O71" s="538"/>
      <c r="P71" s="538"/>
    </row>
    <row r="72" spans="1:16" s="540" customFormat="1" ht="30" customHeight="1">
      <c r="A72" s="543"/>
      <c r="B72" s="536"/>
      <c r="C72" s="536"/>
      <c r="D72" s="544"/>
      <c r="E72" s="539"/>
      <c r="F72" s="545"/>
      <c r="G72" s="256"/>
      <c r="H72" s="541"/>
      <c r="I72" s="541"/>
      <c r="J72" s="537"/>
      <c r="K72" s="538"/>
      <c r="L72" s="538"/>
      <c r="M72" s="538"/>
      <c r="N72" s="538"/>
      <c r="O72" s="538"/>
      <c r="P72" s="538"/>
    </row>
    <row r="73" spans="1:16" s="540" customFormat="1" ht="30" customHeight="1">
      <c r="A73" s="543"/>
      <c r="B73" s="536"/>
      <c r="C73" s="536"/>
      <c r="D73" s="544"/>
      <c r="E73" s="539"/>
      <c r="F73" s="545"/>
      <c r="G73" s="256"/>
      <c r="H73" s="541"/>
      <c r="I73" s="541"/>
      <c r="J73" s="537"/>
      <c r="K73" s="538"/>
      <c r="L73" s="538"/>
      <c r="M73" s="538"/>
      <c r="N73" s="538"/>
      <c r="O73" s="538"/>
      <c r="P73" s="538"/>
    </row>
    <row r="74" spans="1:16" s="540" customFormat="1" ht="30" customHeight="1">
      <c r="A74" s="543"/>
      <c r="B74" s="536"/>
      <c r="C74" s="536"/>
      <c r="D74" s="544"/>
      <c r="E74" s="539"/>
      <c r="F74" s="545"/>
      <c r="G74" s="256"/>
      <c r="H74" s="541"/>
      <c r="I74" s="541"/>
      <c r="J74" s="546"/>
      <c r="K74" s="538"/>
      <c r="L74" s="538"/>
      <c r="M74" s="538"/>
      <c r="N74" s="538"/>
      <c r="O74" s="538"/>
      <c r="P74" s="538"/>
    </row>
    <row r="75" spans="1:16" s="540" customFormat="1" ht="30" customHeight="1">
      <c r="A75" s="543"/>
      <c r="B75" s="536"/>
      <c r="C75" s="536"/>
      <c r="D75" s="544"/>
      <c r="E75" s="539"/>
      <c r="F75" s="545"/>
      <c r="G75" s="256"/>
      <c r="H75" s="541"/>
      <c r="I75" s="541"/>
      <c r="J75" s="537"/>
      <c r="K75" s="538"/>
      <c r="L75" s="538"/>
      <c r="M75" s="538"/>
      <c r="N75" s="538"/>
      <c r="O75" s="538"/>
      <c r="P75" s="538"/>
    </row>
    <row r="76" spans="1:16" s="540" customFormat="1" ht="30" customHeight="1">
      <c r="A76" s="543"/>
      <c r="B76" s="536"/>
      <c r="C76" s="536"/>
      <c r="D76" s="544"/>
      <c r="E76" s="539"/>
      <c r="F76" s="545"/>
      <c r="G76" s="256"/>
      <c r="H76" s="541"/>
      <c r="I76" s="541"/>
      <c r="J76" s="537"/>
      <c r="K76" s="538"/>
      <c r="L76" s="538"/>
      <c r="M76" s="538"/>
      <c r="N76" s="538"/>
      <c r="O76" s="538"/>
      <c r="P76" s="538"/>
    </row>
    <row r="77" spans="1:16" s="540" customFormat="1" ht="30" customHeight="1">
      <c r="A77" s="543"/>
      <c r="B77" s="536"/>
      <c r="C77" s="536"/>
      <c r="D77" s="544"/>
      <c r="E77" s="539"/>
      <c r="F77" s="545"/>
      <c r="G77" s="256"/>
      <c r="H77" s="541"/>
      <c r="I77" s="541"/>
      <c r="J77" s="537"/>
      <c r="K77" s="538"/>
      <c r="L77" s="538"/>
      <c r="M77" s="538"/>
      <c r="N77" s="538"/>
      <c r="O77" s="538"/>
      <c r="P77" s="538"/>
    </row>
    <row r="78" spans="1:16" s="540" customFormat="1" ht="30" customHeight="1">
      <c r="A78" s="543"/>
      <c r="B78" s="536"/>
      <c r="C78" s="536"/>
      <c r="D78" s="544"/>
      <c r="E78" s="539"/>
      <c r="F78" s="545"/>
      <c r="G78" s="256"/>
      <c r="H78" s="541"/>
      <c r="I78" s="541"/>
      <c r="J78" s="537"/>
      <c r="K78" s="538"/>
      <c r="L78" s="538"/>
      <c r="M78" s="538"/>
      <c r="N78" s="538"/>
      <c r="O78" s="538"/>
      <c r="P78" s="538"/>
    </row>
    <row r="79" spans="1:16" s="540" customFormat="1" ht="30" customHeight="1">
      <c r="A79" s="543"/>
      <c r="B79" s="536"/>
      <c r="C79" s="536"/>
      <c r="D79" s="544"/>
      <c r="E79" s="539"/>
      <c r="F79" s="545"/>
      <c r="G79" s="256"/>
      <c r="H79" s="538"/>
      <c r="I79" s="538"/>
      <c r="J79" s="537"/>
      <c r="K79" s="538"/>
      <c r="L79" s="538"/>
      <c r="M79" s="538"/>
      <c r="N79" s="538"/>
      <c r="O79" s="538"/>
      <c r="P79" s="538"/>
    </row>
    <row r="80" spans="1:16" s="540" customFormat="1" ht="30" customHeight="1">
      <c r="A80" s="543"/>
      <c r="B80" s="536"/>
      <c r="C80" s="536"/>
      <c r="D80" s="544"/>
      <c r="E80" s="539"/>
      <c r="F80" s="545"/>
      <c r="G80" s="256"/>
      <c r="H80" s="538"/>
      <c r="I80" s="538"/>
      <c r="J80" s="537"/>
      <c r="K80" s="538"/>
      <c r="L80" s="538"/>
      <c r="M80" s="538"/>
      <c r="N80" s="538"/>
      <c r="O80" s="538"/>
      <c r="P80" s="538"/>
    </row>
    <row r="81" spans="1:16" s="540" customFormat="1" ht="30" customHeight="1">
      <c r="A81" s="543"/>
      <c r="B81" s="536"/>
      <c r="C81" s="536"/>
      <c r="D81" s="544"/>
      <c r="E81" s="539"/>
      <c r="F81" s="545"/>
      <c r="G81" s="256"/>
      <c r="H81" s="538"/>
      <c r="I81" s="538"/>
      <c r="J81" s="537"/>
      <c r="K81" s="538"/>
      <c r="L81" s="538"/>
      <c r="M81" s="538"/>
      <c r="N81" s="538"/>
      <c r="O81" s="538"/>
      <c r="P81" s="538"/>
    </row>
    <row r="82" spans="1:16" s="540" customFormat="1" ht="30" customHeight="1">
      <c r="A82" s="543"/>
      <c r="B82" s="536"/>
      <c r="C82" s="536"/>
      <c r="D82" s="544"/>
      <c r="E82" s="539"/>
      <c r="F82" s="545"/>
      <c r="G82" s="256"/>
      <c r="H82" s="550"/>
      <c r="I82" s="550"/>
      <c r="J82" s="537"/>
      <c r="K82" s="538"/>
      <c r="L82" s="538"/>
      <c r="M82" s="538"/>
      <c r="N82" s="538"/>
      <c r="O82" s="538"/>
      <c r="P82" s="538"/>
    </row>
    <row r="83" spans="1:16" s="540" customFormat="1" ht="30" customHeight="1">
      <c r="A83" s="543"/>
      <c r="B83" s="536"/>
      <c r="C83" s="536"/>
      <c r="D83" s="544"/>
      <c r="E83" s="539"/>
      <c r="F83" s="545"/>
      <c r="G83" s="256"/>
      <c r="H83" s="550"/>
      <c r="I83" s="550"/>
      <c r="J83" s="537"/>
      <c r="K83" s="538"/>
      <c r="L83" s="538"/>
      <c r="M83" s="538"/>
      <c r="N83" s="538"/>
      <c r="O83" s="538"/>
      <c r="P83" s="538"/>
    </row>
    <row r="84" spans="1:16" s="540" customFormat="1" ht="30" customHeight="1">
      <c r="A84" s="543"/>
      <c r="B84" s="536"/>
      <c r="C84" s="536"/>
      <c r="D84" s="544"/>
      <c r="E84" s="539"/>
      <c r="F84" s="545"/>
      <c r="G84" s="256"/>
      <c r="H84" s="550"/>
      <c r="I84" s="550"/>
      <c r="J84" s="537"/>
      <c r="K84" s="538"/>
      <c r="L84" s="538"/>
      <c r="M84" s="538"/>
      <c r="N84" s="538"/>
      <c r="O84" s="538"/>
      <c r="P84" s="538"/>
    </row>
    <row r="85" spans="1:16" s="540" customFormat="1" ht="30" customHeight="1">
      <c r="A85" s="543"/>
      <c r="B85" s="536"/>
      <c r="C85" s="536"/>
      <c r="D85" s="544"/>
      <c r="E85" s="539"/>
      <c r="F85" s="545"/>
      <c r="G85" s="256"/>
      <c r="H85" s="550"/>
      <c r="I85" s="550"/>
      <c r="J85" s="537"/>
      <c r="K85" s="538"/>
      <c r="L85" s="538"/>
      <c r="M85" s="538"/>
      <c r="N85" s="538"/>
      <c r="O85" s="538"/>
      <c r="P85" s="538"/>
    </row>
    <row r="86" spans="1:16" s="540" customFormat="1" ht="30" customHeight="1">
      <c r="A86" s="543"/>
      <c r="B86" s="536"/>
      <c r="C86" s="536"/>
      <c r="D86" s="544"/>
      <c r="E86" s="539"/>
      <c r="F86" s="545"/>
      <c r="G86" s="256"/>
      <c r="H86" s="550"/>
      <c r="I86" s="550"/>
      <c r="J86" s="537"/>
      <c r="K86" s="538"/>
      <c r="L86" s="538"/>
      <c r="M86" s="538"/>
      <c r="N86" s="538"/>
      <c r="O86" s="538"/>
      <c r="P86" s="538"/>
    </row>
    <row r="87" spans="1:16" s="540" customFormat="1" ht="30" customHeight="1">
      <c r="A87" s="543"/>
      <c r="B87" s="536"/>
      <c r="C87" s="536"/>
      <c r="D87" s="544"/>
      <c r="E87" s="539"/>
      <c r="F87" s="545"/>
      <c r="G87" s="256"/>
      <c r="H87" s="550"/>
      <c r="I87" s="597"/>
      <c r="J87" s="546"/>
      <c r="K87" s="538"/>
      <c r="L87" s="538"/>
      <c r="M87" s="538"/>
      <c r="N87" s="538"/>
      <c r="O87" s="538"/>
      <c r="P87" s="538"/>
    </row>
    <row r="88" spans="1:16" s="540" customFormat="1" ht="30" customHeight="1">
      <c r="A88" s="543"/>
      <c r="B88" s="536"/>
      <c r="C88" s="536"/>
      <c r="D88" s="544"/>
      <c r="E88" s="539"/>
      <c r="F88" s="545"/>
      <c r="G88" s="256"/>
      <c r="H88" s="538"/>
      <c r="I88" s="538"/>
      <c r="J88" s="537"/>
      <c r="K88" s="538"/>
      <c r="L88" s="538"/>
      <c r="M88" s="538"/>
      <c r="N88" s="538"/>
      <c r="O88" s="538"/>
      <c r="P88" s="538"/>
    </row>
    <row r="89" spans="1:16" s="540" customFormat="1" ht="30" customHeight="1">
      <c r="A89" s="543"/>
      <c r="B89" s="536"/>
      <c r="C89" s="536"/>
      <c r="D89" s="544"/>
      <c r="E89" s="539"/>
      <c r="F89" s="545"/>
      <c r="G89" s="256"/>
      <c r="H89" s="550"/>
      <c r="I89" s="550"/>
      <c r="J89" s="537"/>
      <c r="K89" s="538"/>
      <c r="L89" s="538"/>
      <c r="M89" s="538"/>
      <c r="N89" s="538"/>
      <c r="O89" s="538"/>
      <c r="P89" s="538"/>
    </row>
    <row r="90" spans="1:16" s="540" customFormat="1" ht="30" customHeight="1">
      <c r="A90" s="543"/>
      <c r="B90" s="536"/>
      <c r="C90" s="536"/>
      <c r="D90" s="544"/>
      <c r="E90" s="539"/>
      <c r="F90" s="545"/>
      <c r="G90" s="256"/>
      <c r="H90" s="550"/>
      <c r="I90" s="597"/>
      <c r="J90" s="546"/>
      <c r="K90" s="538"/>
      <c r="L90" s="538"/>
      <c r="M90" s="538"/>
      <c r="N90" s="538"/>
      <c r="O90" s="538"/>
      <c r="P90" s="538"/>
    </row>
    <row r="91" spans="1:16" s="540" customFormat="1" ht="30" customHeight="1">
      <c r="A91" s="543"/>
      <c r="B91" s="536"/>
      <c r="C91" s="536"/>
      <c r="D91" s="544"/>
      <c r="E91" s="539"/>
      <c r="F91" s="545"/>
      <c r="G91" s="256"/>
      <c r="H91" s="550"/>
      <c r="I91" s="550"/>
      <c r="J91" s="537"/>
      <c r="K91" s="538"/>
      <c r="L91" s="538"/>
      <c r="M91" s="538"/>
      <c r="N91" s="538"/>
      <c r="O91" s="538"/>
      <c r="P91" s="538"/>
    </row>
    <row r="92" spans="1:16" s="540" customFormat="1" ht="30" customHeight="1">
      <c r="A92" s="543"/>
      <c r="B92" s="536"/>
      <c r="C92" s="536"/>
      <c r="D92" s="544"/>
      <c r="E92" s="539"/>
      <c r="F92" s="545"/>
      <c r="G92" s="256"/>
      <c r="H92" s="550"/>
      <c r="I92" s="550"/>
      <c r="J92" s="537"/>
      <c r="K92" s="538"/>
      <c r="L92" s="538"/>
      <c r="M92" s="538"/>
      <c r="N92" s="538"/>
      <c r="O92" s="538"/>
      <c r="P92" s="538"/>
    </row>
    <row r="93" spans="1:16" s="540" customFormat="1" ht="30" customHeight="1">
      <c r="A93" s="543"/>
      <c r="B93" s="536"/>
      <c r="C93" s="536"/>
      <c r="D93" s="544"/>
      <c r="E93" s="539"/>
      <c r="F93" s="545"/>
      <c r="G93" s="256"/>
      <c r="H93" s="538"/>
      <c r="I93" s="538"/>
      <c r="J93" s="537"/>
      <c r="K93" s="538"/>
      <c r="L93" s="538"/>
      <c r="M93" s="538"/>
      <c r="N93" s="538"/>
      <c r="O93" s="538"/>
      <c r="P93" s="538"/>
    </row>
    <row r="94" spans="1:16" s="540" customFormat="1" ht="30" customHeight="1">
      <c r="A94" s="543"/>
      <c r="B94" s="536"/>
      <c r="C94" s="536"/>
      <c r="D94" s="544"/>
      <c r="E94" s="539"/>
      <c r="F94" s="545"/>
      <c r="G94" s="256"/>
      <c r="H94" s="538"/>
      <c r="I94" s="538"/>
      <c r="J94" s="537"/>
      <c r="K94" s="538"/>
      <c r="L94" s="538"/>
      <c r="M94" s="538"/>
      <c r="N94" s="538"/>
      <c r="O94" s="538"/>
      <c r="P94" s="538"/>
    </row>
    <row r="95" spans="1:16" s="540" customFormat="1" ht="30" customHeight="1">
      <c r="A95" s="543"/>
      <c r="B95" s="536"/>
      <c r="C95" s="536"/>
      <c r="D95" s="544"/>
      <c r="E95" s="539"/>
      <c r="F95" s="545"/>
      <c r="G95" s="256"/>
      <c r="H95" s="538"/>
      <c r="I95" s="538"/>
      <c r="J95" s="537"/>
      <c r="K95" s="538"/>
      <c r="L95" s="537"/>
      <c r="M95" s="538"/>
      <c r="N95" s="538"/>
      <c r="O95" s="538"/>
      <c r="P95" s="538"/>
    </row>
    <row r="96" spans="1:16" s="540" customFormat="1" ht="30" customHeight="1">
      <c r="A96" s="543"/>
      <c r="B96" s="536"/>
      <c r="C96" s="536"/>
      <c r="D96" s="544"/>
      <c r="E96" s="539"/>
      <c r="F96" s="537"/>
      <c r="G96" s="256"/>
      <c r="H96" s="253"/>
      <c r="I96" s="253"/>
      <c r="J96" s="537"/>
      <c r="K96" s="538"/>
      <c r="L96" s="537"/>
      <c r="M96" s="538"/>
      <c r="N96" s="538"/>
      <c r="O96" s="538"/>
      <c r="P96" s="538"/>
    </row>
    <row r="97" spans="1:25" s="540" customFormat="1" ht="30" customHeight="1">
      <c r="A97" s="543"/>
      <c r="B97" s="536"/>
      <c r="C97" s="536"/>
      <c r="D97" s="544"/>
      <c r="E97" s="539"/>
      <c r="F97" s="545"/>
      <c r="G97" s="256"/>
      <c r="H97" s="253"/>
      <c r="I97" s="556"/>
      <c r="J97" s="546"/>
      <c r="K97" s="538"/>
      <c r="L97" s="538"/>
      <c r="M97" s="538"/>
      <c r="N97" s="538"/>
      <c r="O97" s="538"/>
      <c r="P97" s="538"/>
    </row>
    <row r="98" spans="1:25" s="540" customFormat="1" ht="30" customHeight="1">
      <c r="A98" s="543"/>
      <c r="B98" s="536"/>
      <c r="C98" s="536"/>
      <c r="D98" s="544"/>
      <c r="E98" s="539"/>
      <c r="F98" s="545"/>
      <c r="G98" s="256"/>
      <c r="H98" s="253"/>
      <c r="I98" s="253"/>
      <c r="J98" s="537"/>
      <c r="K98" s="538"/>
      <c r="L98" s="538"/>
      <c r="M98" s="538"/>
      <c r="N98" s="538"/>
      <c r="O98" s="538"/>
      <c r="P98" s="538"/>
    </row>
    <row r="99" spans="1:25" s="540" customFormat="1" ht="30" customHeight="1">
      <c r="A99" s="543"/>
      <c r="B99" s="536"/>
      <c r="C99" s="536"/>
      <c r="D99" s="544"/>
      <c r="E99" s="539"/>
      <c r="F99" s="545"/>
      <c r="G99" s="256"/>
      <c r="H99" s="253"/>
      <c r="I99" s="253"/>
      <c r="J99" s="537"/>
      <c r="K99" s="538"/>
      <c r="L99" s="538"/>
      <c r="M99" s="538"/>
      <c r="N99" s="538"/>
      <c r="O99" s="538"/>
      <c r="P99" s="538"/>
    </row>
    <row r="100" spans="1:25" s="540" customFormat="1" ht="30" customHeight="1">
      <c r="A100" s="543"/>
      <c r="B100" s="536"/>
      <c r="C100" s="536"/>
      <c r="D100" s="544"/>
      <c r="E100" s="539"/>
      <c r="F100" s="545"/>
      <c r="G100" s="256"/>
      <c r="H100" s="253"/>
      <c r="I100" s="253"/>
      <c r="J100" s="537"/>
      <c r="K100" s="538"/>
      <c r="L100" s="538"/>
      <c r="M100" s="538"/>
      <c r="N100" s="538"/>
      <c r="O100" s="538"/>
      <c r="P100" s="538"/>
    </row>
    <row r="101" spans="1:25" s="540" customFormat="1" ht="30" customHeight="1">
      <c r="A101" s="543"/>
      <c r="B101" s="536"/>
      <c r="C101" s="536"/>
      <c r="D101" s="544"/>
      <c r="E101" s="536"/>
      <c r="F101" s="545"/>
      <c r="G101" s="256"/>
      <c r="H101" s="253"/>
      <c r="I101" s="253"/>
      <c r="J101" s="537"/>
      <c r="K101" s="538"/>
      <c r="L101" s="537"/>
      <c r="M101" s="538"/>
      <c r="N101" s="538"/>
      <c r="O101" s="538"/>
      <c r="P101" s="538"/>
    </row>
    <row r="102" spans="1:25" s="540" customFormat="1" ht="30" customHeight="1">
      <c r="A102" s="543"/>
      <c r="B102" s="536"/>
      <c r="C102" s="536"/>
      <c r="D102" s="544"/>
      <c r="E102" s="539"/>
      <c r="F102" s="545"/>
      <c r="G102" s="256"/>
      <c r="H102" s="253"/>
      <c r="I102" s="556"/>
      <c r="J102" s="546"/>
      <c r="K102" s="538"/>
      <c r="L102" s="537"/>
      <c r="M102" s="538"/>
      <c r="N102" s="538"/>
      <c r="O102" s="538"/>
      <c r="P102" s="538"/>
    </row>
    <row r="103" spans="1:25" s="540" customFormat="1" ht="30" customHeight="1">
      <c r="A103" s="543"/>
      <c r="B103" s="536"/>
      <c r="C103" s="536"/>
      <c r="D103" s="544"/>
      <c r="E103" s="539"/>
      <c r="F103" s="545"/>
      <c r="G103" s="256"/>
      <c r="H103" s="253"/>
      <c r="I103" s="556"/>
      <c r="J103" s="546"/>
      <c r="K103" s="538"/>
      <c r="L103" s="537"/>
      <c r="M103" s="538"/>
      <c r="N103" s="538"/>
      <c r="O103" s="538"/>
      <c r="P103" s="538"/>
    </row>
    <row r="104" spans="1:25" s="540" customFormat="1" ht="30" customHeight="1">
      <c r="A104" s="543"/>
      <c r="B104" s="536"/>
      <c r="C104" s="536"/>
      <c r="D104" s="544"/>
      <c r="E104" s="539"/>
      <c r="F104" s="545"/>
      <c r="G104" s="256"/>
      <c r="H104" s="253"/>
      <c r="I104" s="253"/>
      <c r="J104" s="537"/>
      <c r="K104" s="538"/>
      <c r="L104" s="537"/>
      <c r="M104" s="538"/>
      <c r="N104" s="538"/>
      <c r="O104" s="538"/>
      <c r="P104" s="538"/>
    </row>
    <row r="105" spans="1:25" s="540" customFormat="1" ht="30" customHeight="1">
      <c r="A105" s="543"/>
      <c r="B105" s="536"/>
      <c r="C105" s="536"/>
      <c r="D105" s="544"/>
      <c r="E105" s="539"/>
      <c r="F105" s="545"/>
      <c r="G105" s="256"/>
      <c r="H105" s="253"/>
      <c r="I105" s="253"/>
      <c r="J105" s="537"/>
      <c r="K105" s="538"/>
      <c r="L105" s="537"/>
      <c r="M105" s="538"/>
      <c r="N105" s="538"/>
      <c r="O105" s="538"/>
      <c r="P105" s="538"/>
    </row>
    <row r="106" spans="1:25" s="540" customFormat="1" ht="30" customHeight="1">
      <c r="A106" s="543"/>
      <c r="B106" s="536"/>
      <c r="C106" s="536"/>
      <c r="D106" s="544"/>
      <c r="E106" s="539"/>
      <c r="F106" s="545"/>
      <c r="G106" s="256"/>
      <c r="H106" s="253"/>
      <c r="I106" s="253"/>
      <c r="J106" s="537"/>
      <c r="K106" s="538"/>
      <c r="L106" s="537"/>
      <c r="M106" s="538"/>
      <c r="N106" s="538"/>
      <c r="O106" s="538"/>
      <c r="P106" s="538"/>
    </row>
    <row r="107" spans="1:25" s="540" customFormat="1" ht="30" customHeight="1">
      <c r="A107" s="543"/>
      <c r="B107" s="536"/>
      <c r="C107" s="536"/>
      <c r="D107" s="544"/>
      <c r="E107" s="539"/>
      <c r="F107" s="545"/>
      <c r="G107" s="256"/>
      <c r="H107" s="253"/>
      <c r="I107" s="253"/>
      <c r="J107" s="537"/>
      <c r="K107" s="538"/>
      <c r="L107" s="537"/>
      <c r="M107" s="538"/>
      <c r="N107" s="538"/>
      <c r="O107" s="538"/>
      <c r="P107" s="538"/>
    </row>
    <row r="108" spans="1:25" s="540" customFormat="1" ht="30" customHeight="1">
      <c r="A108" s="543"/>
      <c r="B108" s="536"/>
      <c r="C108" s="536"/>
      <c r="D108" s="544"/>
      <c r="E108" s="539"/>
      <c r="F108" s="545"/>
      <c r="G108" s="256"/>
      <c r="H108" s="253"/>
      <c r="I108" s="253"/>
      <c r="J108" s="537"/>
      <c r="K108" s="538"/>
      <c r="L108" s="537"/>
      <c r="M108" s="538"/>
      <c r="N108" s="538"/>
      <c r="O108" s="538"/>
      <c r="P108" s="538"/>
    </row>
    <row r="109" spans="1:25" s="540" customFormat="1" ht="30" customHeight="1">
      <c r="A109" s="543"/>
      <c r="B109" s="536"/>
      <c r="C109" s="536"/>
      <c r="D109" s="544"/>
      <c r="E109" s="539"/>
      <c r="F109" s="545"/>
      <c r="G109" s="256"/>
      <c r="H109" s="253"/>
      <c r="I109" s="556"/>
      <c r="J109" s="546"/>
      <c r="K109" s="538"/>
      <c r="L109" s="537"/>
      <c r="M109" s="538"/>
      <c r="N109" s="538"/>
      <c r="O109" s="538"/>
      <c r="P109" s="538"/>
    </row>
    <row r="110" spans="1:25" s="540" customFormat="1" ht="30" customHeight="1">
      <c r="A110" s="543"/>
      <c r="B110" s="536"/>
      <c r="C110" s="536"/>
      <c r="D110" s="544"/>
      <c r="E110" s="539"/>
      <c r="F110" s="545"/>
      <c r="G110" s="256"/>
      <c r="H110" s="253"/>
      <c r="I110" s="556"/>
      <c r="J110" s="546"/>
      <c r="K110" s="538"/>
      <c r="L110" s="537"/>
      <c r="M110" s="538"/>
      <c r="N110" s="538"/>
      <c r="O110" s="538"/>
      <c r="P110" s="538"/>
    </row>
    <row r="111" spans="1:25" s="540" customFormat="1" ht="30" customHeight="1">
      <c r="A111" s="543"/>
      <c r="B111" s="536"/>
      <c r="C111" s="536"/>
      <c r="D111" s="544"/>
      <c r="E111" s="539"/>
      <c r="F111" s="545"/>
      <c r="G111" s="256"/>
      <c r="H111" s="253"/>
      <c r="I111" s="556"/>
      <c r="J111" s="546"/>
      <c r="K111" s="538"/>
      <c r="L111" s="537"/>
      <c r="M111" s="538"/>
      <c r="N111" s="538"/>
      <c r="O111" s="538"/>
      <c r="P111" s="538"/>
    </row>
    <row r="112" spans="1:25" s="540" customFormat="1" ht="30" customHeight="1">
      <c r="A112" s="543"/>
      <c r="B112" s="551"/>
      <c r="C112" s="536"/>
      <c r="D112" s="544"/>
      <c r="E112" s="552"/>
      <c r="F112" s="545"/>
      <c r="G112" s="256"/>
      <c r="H112" s="253"/>
      <c r="I112" s="253"/>
      <c r="J112" s="537"/>
      <c r="K112" s="538"/>
      <c r="L112" s="537"/>
      <c r="M112" s="538"/>
      <c r="N112" s="538"/>
      <c r="Y112" s="545"/>
    </row>
    <row r="113" spans="1:16" s="540" customFormat="1" ht="30" customHeight="1">
      <c r="A113" s="543"/>
      <c r="B113" s="536"/>
      <c r="C113" s="536"/>
      <c r="D113" s="544"/>
      <c r="E113" s="539"/>
      <c r="F113" s="545"/>
      <c r="G113" s="256"/>
      <c r="H113" s="253"/>
      <c r="I113" s="253"/>
      <c r="J113" s="537"/>
      <c r="K113" s="538"/>
      <c r="L113" s="537"/>
      <c r="M113" s="538"/>
      <c r="N113" s="538"/>
      <c r="O113" s="538"/>
      <c r="P113" s="538"/>
    </row>
    <row r="114" spans="1:16" s="540" customFormat="1" ht="30" customHeight="1">
      <c r="A114" s="543"/>
      <c r="B114" s="545"/>
      <c r="C114" s="536"/>
      <c r="D114" s="544"/>
      <c r="E114" s="539"/>
      <c r="F114" s="545"/>
      <c r="G114" s="256"/>
      <c r="H114" s="253"/>
      <c r="I114" s="253"/>
      <c r="J114" s="537"/>
      <c r="K114" s="553"/>
      <c r="L114" s="554"/>
      <c r="M114" s="538"/>
      <c r="N114" s="538"/>
      <c r="O114" s="538"/>
      <c r="P114" s="538"/>
    </row>
    <row r="115" spans="1:16" s="540" customFormat="1" ht="30" customHeight="1">
      <c r="A115" s="543"/>
      <c r="B115" s="536"/>
      <c r="C115" s="536"/>
      <c r="D115" s="544"/>
      <c r="E115" s="539"/>
      <c r="F115" s="545"/>
      <c r="G115" s="256"/>
      <c r="H115" s="253"/>
      <c r="I115" s="253"/>
      <c r="J115" s="537"/>
      <c r="K115" s="538"/>
      <c r="L115" s="537"/>
      <c r="M115" s="538"/>
      <c r="N115" s="538"/>
      <c r="O115" s="538"/>
      <c r="P115" s="538"/>
    </row>
    <row r="116" spans="1:16" s="540" customFormat="1" ht="30" customHeight="1">
      <c r="A116" s="543"/>
      <c r="B116" s="536"/>
      <c r="C116" s="536"/>
      <c r="D116" s="544"/>
      <c r="E116" s="539"/>
      <c r="F116" s="545"/>
      <c r="G116" s="256"/>
      <c r="H116" s="253"/>
      <c r="I116" s="253"/>
      <c r="J116" s="537"/>
      <c r="K116" s="538"/>
      <c r="L116" s="537"/>
      <c r="M116" s="538"/>
      <c r="N116" s="538"/>
      <c r="O116" s="538"/>
      <c r="P116" s="538"/>
    </row>
    <row r="117" spans="1:16" s="540" customFormat="1" ht="30" customHeight="1">
      <c r="A117" s="543"/>
      <c r="B117" s="536"/>
      <c r="C117" s="536"/>
      <c r="D117" s="544"/>
      <c r="E117" s="539"/>
      <c r="F117" s="545"/>
      <c r="G117" s="256"/>
      <c r="H117" s="253"/>
      <c r="I117" s="556"/>
      <c r="J117" s="546"/>
      <c r="K117" s="538"/>
      <c r="L117" s="537"/>
      <c r="M117" s="538"/>
      <c r="N117" s="538"/>
      <c r="O117" s="538"/>
      <c r="P117" s="538"/>
    </row>
    <row r="118" spans="1:16" s="540" customFormat="1" ht="30" customHeight="1">
      <c r="A118" s="543"/>
      <c r="B118" s="536"/>
      <c r="C118" s="536"/>
      <c r="D118" s="544"/>
      <c r="E118" s="539"/>
      <c r="F118" s="545"/>
      <c r="G118" s="256"/>
      <c r="H118" s="253"/>
      <c r="I118" s="253"/>
      <c r="J118" s="537"/>
      <c r="K118" s="538"/>
      <c r="L118" s="537"/>
      <c r="M118" s="538"/>
      <c r="N118" s="538"/>
      <c r="O118" s="538"/>
      <c r="P118" s="538"/>
    </row>
    <row r="119" spans="1:16" s="540" customFormat="1" ht="30" customHeight="1">
      <c r="A119" s="543"/>
      <c r="B119" s="536"/>
      <c r="C119" s="536"/>
      <c r="D119" s="544"/>
      <c r="E119" s="539"/>
      <c r="F119" s="537"/>
      <c r="G119" s="256"/>
      <c r="H119" s="253"/>
      <c r="I119" s="253"/>
      <c r="J119" s="537"/>
      <c r="K119" s="538"/>
      <c r="L119" s="537"/>
      <c r="M119" s="538"/>
      <c r="N119" s="538"/>
      <c r="O119" s="538"/>
      <c r="P119" s="538"/>
    </row>
    <row r="120" spans="1:16" s="540" customFormat="1" ht="30" customHeight="1">
      <c r="A120" s="543"/>
      <c r="B120" s="536"/>
      <c r="C120" s="536"/>
      <c r="D120" s="544"/>
      <c r="E120" s="539"/>
      <c r="F120" s="545"/>
      <c r="G120" s="256"/>
      <c r="H120" s="253"/>
      <c r="I120" s="556"/>
      <c r="J120" s="546"/>
      <c r="K120" s="538"/>
      <c r="L120" s="537"/>
      <c r="M120" s="538"/>
      <c r="N120" s="538"/>
      <c r="O120" s="538"/>
      <c r="P120" s="538"/>
    </row>
    <row r="121" spans="1:16" s="540" customFormat="1" ht="30" customHeight="1">
      <c r="A121" s="543"/>
      <c r="B121" s="536"/>
      <c r="C121" s="536"/>
      <c r="D121" s="544"/>
      <c r="E121" s="539"/>
      <c r="F121" s="545"/>
      <c r="G121" s="256"/>
      <c r="H121" s="253"/>
      <c r="I121" s="253"/>
      <c r="J121" s="537"/>
      <c r="K121" s="538"/>
      <c r="L121" s="537"/>
      <c r="M121" s="538"/>
      <c r="N121" s="538"/>
      <c r="O121" s="538"/>
      <c r="P121" s="538"/>
    </row>
    <row r="122" spans="1:16" s="540" customFormat="1" ht="30" customHeight="1">
      <c r="A122" s="543"/>
      <c r="B122" s="536"/>
      <c r="C122" s="536"/>
      <c r="D122" s="544"/>
      <c r="E122" s="539"/>
      <c r="F122" s="545"/>
      <c r="G122" s="256"/>
      <c r="H122" s="253"/>
      <c r="I122" s="253"/>
      <c r="J122" s="537"/>
      <c r="K122" s="538"/>
      <c r="L122" s="537"/>
      <c r="M122" s="538"/>
      <c r="N122" s="538"/>
      <c r="O122" s="538"/>
      <c r="P122" s="538"/>
    </row>
    <row r="123" spans="1:16" s="540" customFormat="1" ht="30" customHeight="1">
      <c r="A123" s="543"/>
      <c r="B123" s="536"/>
      <c r="C123" s="536"/>
      <c r="D123" s="544"/>
      <c r="E123" s="539"/>
      <c r="F123" s="545"/>
      <c r="G123" s="256"/>
      <c r="H123" s="253"/>
      <c r="I123" s="556"/>
      <c r="J123" s="546"/>
      <c r="K123" s="538"/>
      <c r="L123" s="537"/>
      <c r="M123" s="538"/>
      <c r="N123" s="538"/>
      <c r="O123" s="538"/>
      <c r="P123" s="538"/>
    </row>
    <row r="124" spans="1:16" s="540" customFormat="1" ht="30" customHeight="1">
      <c r="A124" s="543"/>
      <c r="B124" s="536"/>
      <c r="C124" s="536"/>
      <c r="D124" s="544"/>
      <c r="E124" s="552"/>
      <c r="F124" s="545"/>
      <c r="G124" s="256"/>
      <c r="H124" s="253"/>
      <c r="I124" s="556"/>
      <c r="J124" s="546"/>
      <c r="K124" s="538"/>
      <c r="L124" s="537"/>
      <c r="M124" s="538"/>
      <c r="N124" s="538"/>
      <c r="O124" s="538"/>
      <c r="P124" s="538"/>
    </row>
    <row r="125" spans="1:16" s="540" customFormat="1" ht="30" customHeight="1">
      <c r="A125" s="543"/>
      <c r="B125" s="536"/>
      <c r="C125" s="536"/>
      <c r="D125" s="544"/>
      <c r="E125" s="539"/>
      <c r="F125" s="545"/>
      <c r="G125" s="256"/>
      <c r="H125" s="253"/>
      <c r="I125" s="253"/>
      <c r="J125" s="537"/>
      <c r="K125" s="538"/>
      <c r="L125" s="537"/>
      <c r="M125" s="538"/>
      <c r="N125" s="538"/>
      <c r="O125" s="538"/>
      <c r="P125" s="538"/>
    </row>
    <row r="126" spans="1:16" s="540" customFormat="1" ht="30" customHeight="1">
      <c r="A126" s="543"/>
      <c r="B126" s="536"/>
      <c r="C126" s="536"/>
      <c r="D126" s="544"/>
      <c r="E126" s="539"/>
      <c r="F126" s="545"/>
      <c r="G126" s="256"/>
      <c r="H126" s="253"/>
      <c r="I126" s="253"/>
      <c r="J126" s="537"/>
      <c r="K126" s="538"/>
      <c r="L126" s="537"/>
      <c r="M126" s="538"/>
      <c r="N126" s="538"/>
      <c r="O126" s="538"/>
      <c r="P126" s="538"/>
    </row>
    <row r="127" spans="1:16" s="540" customFormat="1" ht="30" customHeight="1">
      <c r="A127" s="543"/>
      <c r="B127" s="536"/>
      <c r="C127" s="536"/>
      <c r="D127" s="544"/>
      <c r="E127" s="539"/>
      <c r="F127" s="545"/>
      <c r="G127" s="256"/>
      <c r="H127" s="253"/>
      <c r="I127" s="556"/>
      <c r="J127" s="546"/>
      <c r="K127" s="538"/>
      <c r="L127" s="537"/>
      <c r="M127" s="538"/>
      <c r="N127" s="538"/>
      <c r="O127" s="538"/>
      <c r="P127" s="538"/>
    </row>
    <row r="128" spans="1:16" s="540" customFormat="1" ht="30" customHeight="1">
      <c r="A128" s="543"/>
      <c r="B128" s="536"/>
      <c r="C128" s="536"/>
      <c r="D128" s="544"/>
      <c r="E128" s="539"/>
      <c r="F128" s="545"/>
      <c r="G128" s="256"/>
      <c r="H128" s="253"/>
      <c r="I128" s="556"/>
      <c r="J128" s="546"/>
      <c r="K128" s="538"/>
      <c r="L128" s="537"/>
      <c r="M128" s="538"/>
      <c r="N128" s="538"/>
      <c r="O128" s="538"/>
      <c r="P128" s="538"/>
    </row>
    <row r="129" spans="1:16" s="540" customFormat="1" ht="30" customHeight="1">
      <c r="A129" s="543"/>
      <c r="B129" s="536"/>
      <c r="C129" s="536"/>
      <c r="D129" s="544"/>
      <c r="E129" s="539"/>
      <c r="F129" s="545"/>
      <c r="G129" s="256"/>
      <c r="H129" s="253"/>
      <c r="I129" s="253"/>
      <c r="J129" s="537"/>
      <c r="K129" s="538"/>
      <c r="L129" s="537"/>
      <c r="M129" s="538"/>
      <c r="N129" s="538"/>
      <c r="O129" s="538"/>
      <c r="P129" s="538"/>
    </row>
    <row r="130" spans="1:16" s="540" customFormat="1" ht="30" customHeight="1">
      <c r="A130" s="543"/>
      <c r="B130" s="536"/>
      <c r="C130" s="536"/>
      <c r="D130" s="544"/>
      <c r="E130" s="539"/>
      <c r="F130" s="545"/>
      <c r="G130" s="256"/>
      <c r="H130" s="253"/>
      <c r="I130" s="253"/>
      <c r="J130" s="537"/>
      <c r="K130" s="538"/>
      <c r="L130" s="537"/>
      <c r="M130" s="538"/>
      <c r="N130" s="538"/>
      <c r="O130" s="538"/>
      <c r="P130" s="538"/>
    </row>
    <row r="131" spans="1:16" s="540" customFormat="1" ht="30" customHeight="1">
      <c r="A131" s="543"/>
      <c r="B131" s="536"/>
      <c r="C131" s="536"/>
      <c r="D131" s="544"/>
      <c r="E131" s="539"/>
      <c r="F131" s="545"/>
      <c r="G131" s="256"/>
      <c r="H131" s="253"/>
      <c r="I131" s="556"/>
      <c r="J131" s="546"/>
      <c r="K131" s="538"/>
      <c r="L131" s="537"/>
      <c r="M131" s="538"/>
      <c r="N131" s="538"/>
      <c r="O131" s="538"/>
      <c r="P131" s="538"/>
    </row>
    <row r="132" spans="1:16" s="540" customFormat="1" ht="30" customHeight="1">
      <c r="A132" s="543"/>
      <c r="B132" s="536"/>
      <c r="C132" s="536"/>
      <c r="D132" s="544"/>
      <c r="E132" s="539"/>
      <c r="F132" s="545"/>
      <c r="G132" s="256"/>
      <c r="H132" s="253"/>
      <c r="I132" s="253"/>
      <c r="J132" s="537"/>
      <c r="K132" s="538"/>
      <c r="L132" s="537"/>
      <c r="M132" s="538"/>
      <c r="N132" s="538"/>
      <c r="O132" s="538"/>
      <c r="P132" s="538"/>
    </row>
    <row r="133" spans="1:16" s="540" customFormat="1" ht="30" customHeight="1">
      <c r="A133" s="543"/>
      <c r="B133" s="536"/>
      <c r="C133" s="536"/>
      <c r="D133" s="544"/>
      <c r="E133" s="539"/>
      <c r="F133" s="545"/>
      <c r="G133" s="256"/>
      <c r="H133" s="253"/>
      <c r="I133" s="253"/>
      <c r="J133" s="537"/>
      <c r="K133" s="538"/>
      <c r="L133" s="537"/>
      <c r="M133" s="538"/>
      <c r="N133" s="538"/>
      <c r="O133" s="538"/>
      <c r="P133" s="538"/>
    </row>
    <row r="134" spans="1:16" s="540" customFormat="1" ht="30" customHeight="1">
      <c r="A134" s="543"/>
      <c r="B134" s="536"/>
      <c r="C134" s="536"/>
      <c r="D134" s="544"/>
      <c r="E134" s="536"/>
      <c r="F134" s="545"/>
      <c r="G134" s="256"/>
      <c r="H134" s="253"/>
      <c r="I134" s="556"/>
      <c r="J134" s="546"/>
      <c r="K134" s="538"/>
      <c r="L134" s="537"/>
      <c r="M134" s="538"/>
      <c r="N134" s="538"/>
      <c r="O134" s="538"/>
      <c r="P134" s="538"/>
    </row>
    <row r="135" spans="1:16" s="540" customFormat="1" ht="30" customHeight="1">
      <c r="A135" s="543"/>
      <c r="B135" s="536"/>
      <c r="C135" s="536"/>
      <c r="D135" s="544"/>
      <c r="E135" s="539"/>
      <c r="F135" s="545"/>
      <c r="G135" s="256"/>
      <c r="H135" s="253"/>
      <c r="I135" s="556"/>
      <c r="J135" s="546"/>
      <c r="K135" s="538"/>
      <c r="L135" s="537"/>
      <c r="M135" s="538"/>
      <c r="N135" s="538"/>
      <c r="O135" s="538"/>
      <c r="P135" s="538"/>
    </row>
    <row r="136" spans="1:16" s="540" customFormat="1" ht="30" customHeight="1">
      <c r="A136" s="543"/>
      <c r="B136" s="536"/>
      <c r="C136" s="536"/>
      <c r="D136" s="544"/>
      <c r="E136" s="536"/>
      <c r="F136" s="545"/>
      <c r="G136" s="256"/>
      <c r="H136" s="253"/>
      <c r="I136" s="556"/>
      <c r="J136" s="546"/>
      <c r="K136" s="538"/>
      <c r="L136" s="537"/>
      <c r="M136" s="538"/>
      <c r="N136" s="538"/>
      <c r="O136" s="538"/>
      <c r="P136" s="538"/>
    </row>
    <row r="137" spans="1:16" s="540" customFormat="1" ht="30" customHeight="1">
      <c r="A137" s="543"/>
      <c r="B137" s="536"/>
      <c r="C137" s="536"/>
      <c r="D137" s="544"/>
      <c r="E137" s="536"/>
      <c r="F137" s="545"/>
      <c r="G137" s="256"/>
      <c r="H137" s="253"/>
      <c r="I137" s="556"/>
      <c r="J137" s="546"/>
      <c r="K137" s="538"/>
      <c r="L137" s="537"/>
      <c r="M137" s="538"/>
      <c r="N137" s="538"/>
      <c r="O137" s="538"/>
      <c r="P137" s="538"/>
    </row>
    <row r="138" spans="1:16" s="540" customFormat="1" ht="30" customHeight="1">
      <c r="A138" s="543"/>
      <c r="B138" s="536"/>
      <c r="C138" s="536"/>
      <c r="D138" s="544"/>
      <c r="E138" s="539"/>
      <c r="F138" s="545"/>
      <c r="G138" s="544"/>
      <c r="H138" s="253"/>
      <c r="I138" s="556"/>
      <c r="J138" s="546"/>
      <c r="K138" s="538"/>
      <c r="L138" s="537"/>
      <c r="M138" s="538"/>
      <c r="N138" s="538"/>
      <c r="O138" s="538"/>
      <c r="P138" s="538"/>
    </row>
    <row r="139" spans="1:16" s="540" customFormat="1" ht="30" customHeight="1">
      <c r="A139" s="543"/>
      <c r="B139" s="536"/>
      <c r="C139" s="536"/>
      <c r="D139" s="544"/>
      <c r="E139" s="539"/>
      <c r="F139" s="537"/>
      <c r="G139" s="544"/>
      <c r="H139" s="253"/>
      <c r="I139" s="556"/>
      <c r="J139" s="546"/>
      <c r="K139" s="538"/>
      <c r="L139" s="537"/>
      <c r="M139" s="538"/>
      <c r="N139" s="538"/>
      <c r="O139" s="538"/>
      <c r="P139" s="538"/>
    </row>
    <row r="140" spans="1:16" s="540" customFormat="1" ht="30" customHeight="1">
      <c r="A140" s="543"/>
      <c r="B140" s="536"/>
      <c r="C140" s="536"/>
      <c r="D140" s="544"/>
      <c r="E140" s="539"/>
      <c r="F140" s="545"/>
      <c r="G140" s="544"/>
      <c r="H140" s="253"/>
      <c r="I140" s="556"/>
      <c r="J140" s="546"/>
      <c r="K140" s="538"/>
      <c r="L140" s="537"/>
      <c r="M140" s="538"/>
      <c r="N140" s="538"/>
      <c r="O140" s="538"/>
      <c r="P140" s="538"/>
    </row>
    <row r="141" spans="1:16" s="540" customFormat="1" ht="30" customHeight="1">
      <c r="A141" s="543"/>
      <c r="B141" s="536"/>
      <c r="C141" s="536"/>
      <c r="D141" s="544"/>
      <c r="E141" s="539"/>
      <c r="F141" s="545"/>
      <c r="G141" s="544"/>
      <c r="H141" s="253"/>
      <c r="I141" s="556"/>
      <c r="J141" s="546"/>
      <c r="K141" s="538"/>
      <c r="L141" s="537"/>
      <c r="M141" s="538"/>
      <c r="N141" s="538"/>
      <c r="O141" s="538"/>
      <c r="P141" s="538"/>
    </row>
    <row r="142" spans="1:16" s="540" customFormat="1" ht="30" customHeight="1">
      <c r="A142" s="543"/>
      <c r="B142" s="536"/>
      <c r="C142" s="536"/>
      <c r="D142" s="544"/>
      <c r="E142" s="536"/>
      <c r="F142" s="545"/>
      <c r="G142" s="544"/>
      <c r="H142" s="253"/>
      <c r="I142" s="556"/>
      <c r="J142" s="546"/>
      <c r="K142" s="538"/>
      <c r="L142" s="537"/>
      <c r="M142" s="538"/>
      <c r="N142" s="538"/>
      <c r="O142" s="538"/>
      <c r="P142" s="538"/>
    </row>
    <row r="143" spans="1:16" s="540" customFormat="1" ht="30" customHeight="1">
      <c r="A143" s="543"/>
      <c r="B143" s="536"/>
      <c r="C143" s="536"/>
      <c r="D143" s="544"/>
      <c r="E143" s="539"/>
      <c r="F143" s="545"/>
      <c r="G143" s="544"/>
      <c r="H143" s="253"/>
      <c r="I143" s="556"/>
      <c r="J143" s="546"/>
      <c r="K143" s="538"/>
      <c r="L143" s="537"/>
      <c r="M143" s="538"/>
      <c r="N143" s="538"/>
      <c r="O143" s="538"/>
      <c r="P143" s="538"/>
    </row>
    <row r="144" spans="1:16" s="540" customFormat="1" ht="30" customHeight="1">
      <c r="A144" s="543"/>
      <c r="B144" s="536"/>
      <c r="C144" s="536"/>
      <c r="D144" s="544"/>
      <c r="E144" s="539"/>
      <c r="F144" s="537"/>
      <c r="G144" s="544"/>
      <c r="H144" s="253"/>
      <c r="I144" s="556"/>
      <c r="J144" s="546"/>
      <c r="K144" s="538"/>
      <c r="L144" s="537"/>
      <c r="M144" s="538"/>
      <c r="N144" s="538"/>
      <c r="O144" s="538"/>
      <c r="P144" s="538"/>
    </row>
    <row r="145" spans="1:16" s="540" customFormat="1" ht="30" customHeight="1">
      <c r="A145" s="543"/>
      <c r="B145" s="536"/>
      <c r="C145" s="536"/>
      <c r="D145" s="544"/>
      <c r="E145" s="539"/>
      <c r="F145" s="545"/>
      <c r="G145" s="544"/>
      <c r="H145" s="253"/>
      <c r="I145" s="556"/>
      <c r="J145" s="546"/>
      <c r="K145" s="538"/>
      <c r="L145" s="537"/>
      <c r="M145" s="538"/>
      <c r="N145" s="538"/>
      <c r="O145" s="538"/>
      <c r="P145" s="538"/>
    </row>
    <row r="146" spans="1:16" s="540" customFormat="1" ht="30" customHeight="1">
      <c r="A146" s="543"/>
      <c r="B146" s="536"/>
      <c r="C146" s="536"/>
      <c r="D146" s="544"/>
      <c r="E146" s="539"/>
      <c r="F146" s="545"/>
      <c r="G146" s="544"/>
      <c r="H146" s="253"/>
      <c r="I146" s="556"/>
      <c r="J146" s="546"/>
      <c r="K146" s="538"/>
      <c r="L146" s="537"/>
      <c r="M146" s="538"/>
      <c r="N146" s="538"/>
      <c r="O146" s="538"/>
      <c r="P146" s="538"/>
    </row>
    <row r="147" spans="1:16" s="540" customFormat="1" ht="30" customHeight="1">
      <c r="A147" s="543"/>
      <c r="B147" s="536"/>
      <c r="C147" s="536"/>
      <c r="D147" s="544"/>
      <c r="E147" s="539"/>
      <c r="F147" s="545"/>
      <c r="G147" s="544"/>
      <c r="H147" s="253"/>
      <c r="I147" s="556"/>
      <c r="J147" s="546"/>
      <c r="K147" s="538"/>
      <c r="L147" s="537"/>
      <c r="M147" s="538"/>
      <c r="N147" s="538"/>
      <c r="O147" s="538"/>
      <c r="P147" s="538"/>
    </row>
    <row r="148" spans="1:16" s="540" customFormat="1" ht="30" customHeight="1">
      <c r="A148" s="543"/>
      <c r="B148" s="536"/>
      <c r="C148" s="536"/>
      <c r="D148" s="544"/>
      <c r="E148" s="539"/>
      <c r="F148" s="545"/>
      <c r="G148" s="544"/>
      <c r="H148" s="253"/>
      <c r="I148" s="556"/>
      <c r="J148" s="546"/>
      <c r="K148" s="538"/>
      <c r="L148" s="537"/>
      <c r="M148" s="538"/>
      <c r="N148" s="538"/>
      <c r="O148" s="538"/>
      <c r="P148" s="538"/>
    </row>
    <row r="149" spans="1:16" s="540" customFormat="1" ht="30" customHeight="1">
      <c r="A149" s="543"/>
      <c r="B149" s="536"/>
      <c r="C149" s="536"/>
      <c r="D149" s="544"/>
      <c r="E149" s="539"/>
      <c r="F149" s="545"/>
      <c r="G149" s="544"/>
      <c r="H149" s="253"/>
      <c r="I149" s="556"/>
      <c r="J149" s="546"/>
      <c r="K149" s="538"/>
      <c r="L149" s="537"/>
      <c r="M149" s="538"/>
      <c r="N149" s="538"/>
      <c r="O149" s="538"/>
      <c r="P149" s="538"/>
    </row>
    <row r="150" spans="1:16" s="540" customFormat="1" ht="30" customHeight="1">
      <c r="A150" s="543"/>
      <c r="B150" s="536"/>
      <c r="C150" s="536"/>
      <c r="D150" s="544"/>
      <c r="E150" s="539"/>
      <c r="F150" s="545"/>
      <c r="G150" s="544"/>
      <c r="H150" s="253"/>
      <c r="I150" s="556"/>
      <c r="J150" s="546"/>
      <c r="K150" s="538"/>
      <c r="L150" s="537"/>
      <c r="M150" s="538"/>
      <c r="N150" s="538"/>
      <c r="O150" s="538"/>
      <c r="P150" s="538"/>
    </row>
    <row r="151" spans="1:16" s="540" customFormat="1" ht="30" customHeight="1">
      <c r="A151" s="543"/>
      <c r="B151" s="536"/>
      <c r="C151" s="536"/>
      <c r="D151" s="544"/>
      <c r="E151" s="539"/>
      <c r="F151" s="545"/>
      <c r="G151" s="544"/>
      <c r="H151" s="253"/>
      <c r="I151" s="556"/>
      <c r="J151" s="546"/>
      <c r="K151" s="538"/>
      <c r="L151" s="537"/>
      <c r="M151" s="538"/>
      <c r="N151" s="538"/>
      <c r="O151" s="538"/>
      <c r="P151" s="538"/>
    </row>
    <row r="152" spans="1:16" s="540" customFormat="1" ht="30" customHeight="1">
      <c r="A152" s="543"/>
      <c r="B152" s="536"/>
      <c r="C152" s="536"/>
      <c r="D152" s="544"/>
      <c r="E152" s="536"/>
      <c r="F152" s="545"/>
      <c r="G152" s="544"/>
      <c r="H152" s="253"/>
      <c r="I152" s="556"/>
      <c r="J152" s="546"/>
      <c r="K152" s="538"/>
      <c r="L152" s="537"/>
      <c r="M152" s="538"/>
      <c r="N152" s="538"/>
      <c r="O152" s="538"/>
      <c r="P152" s="538"/>
    </row>
    <row r="153" spans="1:16" s="540" customFormat="1" ht="30" customHeight="1">
      <c r="A153" s="543"/>
      <c r="B153" s="536"/>
      <c r="C153" s="536"/>
      <c r="D153" s="544"/>
      <c r="E153" s="542"/>
      <c r="F153" s="545"/>
      <c r="G153" s="544"/>
      <c r="H153" s="253"/>
      <c r="I153" s="253"/>
      <c r="J153" s="537"/>
      <c r="K153" s="538"/>
      <c r="L153" s="537"/>
      <c r="M153" s="538"/>
      <c r="N153" s="538"/>
      <c r="O153" s="538"/>
      <c r="P153" s="538"/>
    </row>
    <row r="154" spans="1:16" s="540" customFormat="1" ht="30" customHeight="1">
      <c r="A154" s="543"/>
      <c r="B154" s="536"/>
      <c r="C154" s="536"/>
      <c r="D154" s="544"/>
      <c r="E154" s="536"/>
      <c r="F154" s="545"/>
      <c r="G154" s="544"/>
      <c r="H154" s="253"/>
      <c r="I154" s="556"/>
      <c r="J154" s="546"/>
      <c r="K154" s="538"/>
      <c r="L154" s="537"/>
      <c r="M154" s="538"/>
      <c r="N154" s="538"/>
      <c r="O154" s="538"/>
      <c r="P154" s="538"/>
    </row>
    <row r="155" spans="1:16" s="540" customFormat="1" ht="30" customHeight="1">
      <c r="A155" s="543"/>
      <c r="B155" s="536"/>
      <c r="C155" s="536"/>
      <c r="D155" s="544"/>
      <c r="E155" s="539"/>
      <c r="F155" s="545"/>
      <c r="G155" s="544"/>
      <c r="H155" s="253"/>
      <c r="I155" s="556"/>
      <c r="J155" s="546"/>
      <c r="K155" s="538"/>
      <c r="L155" s="537"/>
      <c r="M155" s="538"/>
      <c r="N155" s="538"/>
      <c r="O155" s="538"/>
      <c r="P155" s="538"/>
    </row>
    <row r="156" spans="1:16" s="540" customFormat="1" ht="30" customHeight="1">
      <c r="A156" s="543"/>
      <c r="B156" s="536"/>
      <c r="C156" s="536"/>
      <c r="D156" s="544"/>
      <c r="E156" s="539"/>
      <c r="F156" s="545"/>
      <c r="G156" s="544"/>
      <c r="H156" s="253"/>
      <c r="I156" s="556"/>
      <c r="J156" s="546"/>
      <c r="K156" s="538"/>
      <c r="L156" s="537"/>
      <c r="M156" s="538"/>
      <c r="N156" s="538"/>
      <c r="O156" s="538"/>
      <c r="P156" s="538"/>
    </row>
    <row r="157" spans="1:16" s="540" customFormat="1" ht="30" customHeight="1">
      <c r="A157" s="543"/>
      <c r="B157" s="536"/>
      <c r="C157" s="536"/>
      <c r="D157" s="544"/>
      <c r="E157" s="539"/>
      <c r="F157" s="537"/>
      <c r="G157" s="544"/>
      <c r="H157" s="253"/>
      <c r="I157" s="556"/>
      <c r="J157" s="546"/>
      <c r="K157" s="538"/>
      <c r="L157" s="537"/>
      <c r="M157" s="538"/>
      <c r="N157" s="538"/>
      <c r="O157" s="538"/>
      <c r="P157" s="538"/>
    </row>
    <row r="158" spans="1:16" s="540" customFormat="1" ht="30" customHeight="1">
      <c r="A158" s="543"/>
      <c r="B158" s="536"/>
      <c r="C158" s="536"/>
      <c r="D158" s="544"/>
      <c r="E158" s="552"/>
      <c r="F158" s="545"/>
      <c r="G158" s="544"/>
      <c r="H158" s="253"/>
      <c r="I158" s="556"/>
      <c r="J158" s="546"/>
      <c r="K158" s="538"/>
      <c r="L158" s="538"/>
      <c r="M158" s="538"/>
      <c r="N158" s="538"/>
      <c r="O158" s="538"/>
      <c r="P158" s="538"/>
    </row>
    <row r="159" spans="1:16" s="540" customFormat="1" ht="30" customHeight="1">
      <c r="A159" s="543"/>
      <c r="B159" s="536"/>
      <c r="C159" s="536"/>
      <c r="D159" s="544"/>
      <c r="E159" s="539"/>
      <c r="F159" s="545"/>
      <c r="G159" s="544"/>
      <c r="H159" s="253"/>
      <c r="I159" s="253"/>
      <c r="J159" s="537"/>
      <c r="K159" s="538"/>
      <c r="L159" s="537"/>
      <c r="M159" s="538"/>
      <c r="N159" s="538"/>
      <c r="O159" s="538"/>
      <c r="P159" s="538"/>
    </row>
    <row r="160" spans="1:16" s="540" customFormat="1" ht="30" customHeight="1">
      <c r="A160" s="543"/>
      <c r="B160" s="537"/>
      <c r="C160" s="536"/>
      <c r="D160" s="544"/>
      <c r="E160" s="539"/>
      <c r="F160" s="545"/>
      <c r="G160" s="544"/>
      <c r="H160" s="253"/>
      <c r="I160" s="556"/>
      <c r="J160" s="546"/>
      <c r="K160" s="538"/>
      <c r="L160" s="537"/>
      <c r="M160" s="538"/>
      <c r="N160" s="538"/>
      <c r="O160" s="538"/>
      <c r="P160" s="538"/>
    </row>
    <row r="161" spans="1:16" s="540" customFormat="1" ht="30" customHeight="1">
      <c r="A161" s="543"/>
      <c r="B161" s="536"/>
      <c r="C161" s="536"/>
      <c r="D161" s="544"/>
      <c r="E161" s="539"/>
      <c r="F161" s="545"/>
      <c r="G161" s="544"/>
      <c r="H161" s="253"/>
      <c r="I161" s="556"/>
      <c r="J161" s="546"/>
      <c r="K161" s="538"/>
      <c r="L161" s="537"/>
      <c r="M161" s="538"/>
      <c r="N161" s="538"/>
      <c r="O161" s="538"/>
      <c r="P161" s="538"/>
    </row>
    <row r="162" spans="1:16" s="540" customFormat="1" ht="30" customHeight="1">
      <c r="A162" s="543"/>
      <c r="B162" s="536"/>
      <c r="C162" s="536"/>
      <c r="D162" s="544"/>
      <c r="E162" s="539"/>
      <c r="F162" s="545"/>
      <c r="G162" s="544"/>
      <c r="H162" s="253"/>
      <c r="I162" s="556"/>
      <c r="J162" s="546"/>
      <c r="K162" s="538"/>
      <c r="L162" s="537"/>
      <c r="M162" s="538"/>
      <c r="N162" s="538"/>
      <c r="O162" s="538"/>
      <c r="P162" s="538"/>
    </row>
    <row r="163" spans="1:16" s="540" customFormat="1" ht="30" customHeight="1">
      <c r="A163" s="543"/>
      <c r="B163" s="536"/>
      <c r="C163" s="536"/>
      <c r="D163" s="544"/>
      <c r="E163" s="539"/>
      <c r="F163" s="545"/>
      <c r="G163" s="544"/>
      <c r="H163" s="253"/>
      <c r="I163" s="556"/>
      <c r="J163" s="546"/>
      <c r="K163" s="538"/>
      <c r="L163" s="537"/>
      <c r="M163" s="538"/>
      <c r="N163" s="538"/>
      <c r="O163" s="538"/>
      <c r="P163" s="538"/>
    </row>
    <row r="164" spans="1:16" s="540" customFormat="1" ht="30" customHeight="1">
      <c r="A164" s="543"/>
      <c r="B164" s="536"/>
      <c r="C164" s="536"/>
      <c r="D164" s="544"/>
      <c r="E164" s="539"/>
      <c r="F164" s="545"/>
      <c r="G164" s="544"/>
      <c r="H164" s="253"/>
      <c r="I164" s="556"/>
      <c r="J164" s="546"/>
      <c r="K164" s="538"/>
      <c r="L164" s="537"/>
      <c r="M164" s="538"/>
      <c r="N164" s="538"/>
      <c r="O164" s="538"/>
      <c r="P164" s="538"/>
    </row>
    <row r="165" spans="1:16" s="540" customFormat="1" ht="30" customHeight="1">
      <c r="A165" s="543"/>
      <c r="B165" s="536"/>
      <c r="C165" s="536"/>
      <c r="D165" s="544"/>
      <c r="E165" s="536"/>
      <c r="F165" s="545"/>
      <c r="G165" s="544"/>
      <c r="H165" s="253"/>
      <c r="I165" s="253"/>
      <c r="J165" s="537"/>
      <c r="K165" s="538"/>
      <c r="L165" s="537"/>
      <c r="M165" s="538"/>
      <c r="N165" s="538"/>
      <c r="O165" s="538"/>
      <c r="P165" s="538"/>
    </row>
    <row r="166" spans="1:16" s="540" customFormat="1" ht="30" customHeight="1">
      <c r="A166" s="543"/>
      <c r="B166" s="536"/>
      <c r="C166" s="536"/>
      <c r="D166" s="544"/>
      <c r="E166" s="542"/>
      <c r="F166" s="537"/>
      <c r="G166" s="544"/>
      <c r="H166" s="253"/>
      <c r="I166" s="556"/>
      <c r="J166" s="546"/>
      <c r="K166" s="538"/>
      <c r="L166" s="537"/>
      <c r="M166" s="538"/>
      <c r="N166" s="538"/>
      <c r="O166" s="538"/>
      <c r="P166" s="538"/>
    </row>
    <row r="167" spans="1:16" s="540" customFormat="1" ht="30" customHeight="1">
      <c r="A167" s="543"/>
      <c r="B167" s="536"/>
      <c r="C167" s="536"/>
      <c r="D167" s="544"/>
      <c r="E167" s="552"/>
      <c r="F167" s="545"/>
      <c r="G167" s="544"/>
      <c r="H167" s="253"/>
      <c r="I167" s="556"/>
      <c r="J167" s="546"/>
      <c r="K167" s="538"/>
      <c r="L167" s="537"/>
      <c r="M167" s="538"/>
      <c r="N167" s="538"/>
      <c r="O167" s="538"/>
      <c r="P167" s="538"/>
    </row>
    <row r="168" spans="1:16" s="540" customFormat="1" ht="30" customHeight="1">
      <c r="A168" s="543"/>
      <c r="B168" s="536"/>
      <c r="C168" s="536"/>
      <c r="D168" s="544"/>
      <c r="E168" s="539"/>
      <c r="F168" s="545"/>
      <c r="G168" s="544"/>
      <c r="H168" s="253"/>
      <c r="I168" s="556"/>
      <c r="J168" s="546"/>
      <c r="K168" s="538"/>
      <c r="L168" s="537"/>
      <c r="M168" s="538"/>
      <c r="N168" s="538"/>
      <c r="O168" s="538"/>
      <c r="P168" s="538"/>
    </row>
    <row r="169" spans="1:16" s="540" customFormat="1" ht="30" customHeight="1">
      <c r="A169" s="543"/>
      <c r="B169" s="536"/>
      <c r="C169" s="536"/>
      <c r="D169" s="544"/>
      <c r="E169" s="539"/>
      <c r="F169" s="537"/>
      <c r="G169" s="544"/>
      <c r="H169" s="555"/>
      <c r="I169" s="555"/>
      <c r="J169" s="537"/>
      <c r="K169" s="538"/>
      <c r="L169" s="537"/>
      <c r="M169" s="538"/>
      <c r="N169" s="538"/>
      <c r="O169" s="538"/>
      <c r="P169" s="538"/>
    </row>
    <row r="170" spans="1:16" s="540" customFormat="1" ht="30" customHeight="1">
      <c r="A170" s="543"/>
      <c r="B170" s="537"/>
      <c r="C170" s="536"/>
      <c r="D170" s="544"/>
      <c r="E170" s="539"/>
      <c r="F170" s="545"/>
      <c r="G170" s="544"/>
      <c r="H170" s="253"/>
      <c r="I170" s="556"/>
      <c r="J170" s="546"/>
      <c r="K170" s="538"/>
      <c r="L170" s="537"/>
      <c r="M170" s="538"/>
      <c r="N170" s="538"/>
      <c r="O170" s="538"/>
      <c r="P170" s="538"/>
    </row>
    <row r="171" spans="1:16" s="540" customFormat="1" ht="30" customHeight="1">
      <c r="A171" s="543"/>
      <c r="B171" s="536"/>
      <c r="C171" s="536"/>
      <c r="D171" s="544"/>
      <c r="E171" s="539"/>
      <c r="F171" s="545"/>
      <c r="G171" s="544"/>
      <c r="H171" s="253"/>
      <c r="I171" s="253"/>
      <c r="J171" s="537"/>
      <c r="K171" s="538"/>
      <c r="L171" s="537"/>
      <c r="M171" s="538"/>
      <c r="N171" s="538"/>
      <c r="O171" s="538"/>
      <c r="P171" s="538"/>
    </row>
    <row r="172" spans="1:16" s="540" customFormat="1" ht="30" customHeight="1">
      <c r="A172" s="543"/>
      <c r="B172" s="536"/>
      <c r="C172" s="536"/>
      <c r="D172" s="544"/>
      <c r="E172" s="552"/>
      <c r="F172" s="545"/>
      <c r="G172" s="544"/>
      <c r="H172" s="253"/>
      <c r="I172" s="556"/>
      <c r="J172" s="546"/>
      <c r="K172" s="538"/>
      <c r="L172" s="537"/>
      <c r="M172" s="538"/>
      <c r="N172" s="538"/>
      <c r="O172" s="538"/>
      <c r="P172" s="538"/>
    </row>
    <row r="173" spans="1:16" s="540" customFormat="1" ht="30" customHeight="1">
      <c r="A173" s="543"/>
      <c r="B173" s="536"/>
      <c r="C173" s="536"/>
      <c r="D173" s="544"/>
      <c r="E173" s="539"/>
      <c r="F173" s="537"/>
      <c r="G173" s="544"/>
      <c r="H173" s="253"/>
      <c r="I173" s="556"/>
      <c r="J173" s="546"/>
      <c r="K173" s="538"/>
      <c r="L173" s="537"/>
      <c r="M173" s="538"/>
      <c r="N173" s="538"/>
      <c r="O173" s="538"/>
      <c r="P173" s="538"/>
    </row>
    <row r="174" spans="1:16" s="540" customFormat="1" ht="30" customHeight="1">
      <c r="A174" s="543"/>
      <c r="B174" s="536"/>
      <c r="C174" s="536"/>
      <c r="D174" s="544"/>
      <c r="E174" s="539"/>
      <c r="F174" s="537"/>
      <c r="G174" s="544"/>
      <c r="H174" s="253"/>
      <c r="I174" s="556"/>
      <c r="J174" s="546"/>
      <c r="K174" s="538"/>
      <c r="L174" s="537"/>
      <c r="M174" s="538"/>
      <c r="N174" s="538"/>
      <c r="O174" s="538"/>
      <c r="P174" s="538"/>
    </row>
    <row r="175" spans="1:16" s="540" customFormat="1" ht="30" customHeight="1">
      <c r="A175" s="543"/>
      <c r="B175" s="536"/>
      <c r="C175" s="536"/>
      <c r="D175" s="544"/>
      <c r="E175" s="536"/>
      <c r="F175" s="537"/>
      <c r="G175" s="544"/>
      <c r="H175" s="253"/>
      <c r="I175" s="253"/>
      <c r="J175" s="537"/>
      <c r="K175" s="538"/>
      <c r="L175" s="537"/>
      <c r="M175" s="538"/>
      <c r="N175" s="538"/>
      <c r="O175" s="538"/>
      <c r="P175" s="538"/>
    </row>
    <row r="176" spans="1:16" s="540" customFormat="1" ht="30" customHeight="1">
      <c r="A176" s="543"/>
      <c r="B176" s="536"/>
      <c r="C176" s="536"/>
      <c r="D176" s="544"/>
      <c r="E176" s="539"/>
      <c r="F176" s="537"/>
      <c r="G176" s="544"/>
      <c r="H176" s="253"/>
      <c r="I176" s="253"/>
      <c r="J176" s="537"/>
      <c r="K176" s="538"/>
      <c r="L176" s="537"/>
      <c r="M176" s="538"/>
      <c r="N176" s="538"/>
      <c r="O176" s="538"/>
      <c r="P176" s="538"/>
    </row>
    <row r="177" spans="1:16" s="540" customFormat="1" ht="30" customHeight="1">
      <c r="A177" s="543"/>
      <c r="B177" s="536"/>
      <c r="C177" s="536"/>
      <c r="D177" s="544"/>
      <c r="E177" s="536"/>
      <c r="F177" s="537"/>
      <c r="G177" s="544"/>
      <c r="H177" s="253"/>
      <c r="I177" s="253"/>
      <c r="J177" s="537"/>
      <c r="K177" s="538"/>
      <c r="L177" s="537"/>
      <c r="M177" s="538"/>
      <c r="N177" s="538"/>
      <c r="O177" s="538"/>
      <c r="P177" s="538"/>
    </row>
    <row r="178" spans="1:16" s="540" customFormat="1" ht="30" customHeight="1">
      <c r="A178" s="543"/>
      <c r="B178" s="536"/>
      <c r="C178" s="536"/>
      <c r="D178" s="544"/>
      <c r="E178" s="539"/>
      <c r="F178" s="545"/>
      <c r="G178" s="544"/>
      <c r="H178" s="555"/>
      <c r="I178" s="555"/>
      <c r="J178" s="537"/>
      <c r="K178" s="538"/>
      <c r="L178" s="537"/>
      <c r="M178" s="538"/>
      <c r="N178" s="538"/>
      <c r="O178" s="538"/>
      <c r="P178" s="538"/>
    </row>
    <row r="179" spans="1:16" s="540" customFormat="1" ht="30" customHeight="1">
      <c r="A179" s="543"/>
      <c r="B179" s="536"/>
      <c r="C179" s="536"/>
      <c r="D179" s="544"/>
      <c r="E179" s="539"/>
      <c r="F179" s="537"/>
      <c r="G179" s="544"/>
      <c r="H179" s="253"/>
      <c r="I179" s="556"/>
      <c r="J179" s="546"/>
      <c r="K179" s="538"/>
      <c r="L179" s="537"/>
      <c r="M179" s="538"/>
      <c r="N179" s="538"/>
      <c r="O179" s="538"/>
      <c r="P179" s="538"/>
    </row>
    <row r="180" spans="1:16" s="540" customFormat="1" ht="30" customHeight="1">
      <c r="A180" s="543"/>
      <c r="B180" s="536"/>
      <c r="C180" s="536"/>
      <c r="D180" s="544"/>
      <c r="E180" s="539"/>
      <c r="F180" s="537"/>
      <c r="G180" s="544"/>
      <c r="H180" s="253"/>
      <c r="I180" s="556"/>
      <c r="J180" s="546"/>
      <c r="K180" s="538"/>
      <c r="L180" s="537"/>
      <c r="M180" s="538"/>
      <c r="N180" s="538"/>
      <c r="O180" s="538"/>
      <c r="P180" s="538"/>
    </row>
    <row r="181" spans="1:16" s="540" customFormat="1" ht="30" customHeight="1">
      <c r="A181" s="543"/>
      <c r="B181" s="536"/>
      <c r="C181" s="536"/>
      <c r="D181" s="544"/>
      <c r="E181" s="539"/>
      <c r="F181" s="537"/>
      <c r="G181" s="544"/>
      <c r="H181" s="253"/>
      <c r="I181" s="556"/>
      <c r="J181" s="546"/>
      <c r="K181" s="538"/>
      <c r="L181" s="537"/>
      <c r="M181" s="538"/>
      <c r="N181" s="538"/>
      <c r="O181" s="538"/>
      <c r="P181" s="538"/>
    </row>
    <row r="182" spans="1:16" s="540" customFormat="1" ht="30" customHeight="1">
      <c r="A182" s="543"/>
      <c r="B182" s="536"/>
      <c r="C182" s="536"/>
      <c r="D182" s="544"/>
      <c r="E182" s="539"/>
      <c r="F182" s="537"/>
      <c r="G182" s="544"/>
      <c r="H182" s="555"/>
      <c r="I182" s="598"/>
      <c r="J182" s="546"/>
      <c r="K182" s="538"/>
      <c r="L182" s="537"/>
      <c r="M182" s="538"/>
      <c r="N182" s="538"/>
      <c r="O182" s="538"/>
      <c r="P182" s="538"/>
    </row>
    <row r="183" spans="1:16" s="540" customFormat="1" ht="30" customHeight="1">
      <c r="A183" s="543"/>
      <c r="B183" s="536"/>
      <c r="C183" s="536"/>
      <c r="D183" s="544"/>
      <c r="E183" s="539"/>
      <c r="F183" s="537"/>
      <c r="G183" s="544"/>
      <c r="H183" s="253"/>
      <c r="I183" s="253"/>
      <c r="J183" s="537"/>
      <c r="K183" s="538"/>
      <c r="L183" s="537"/>
      <c r="M183" s="538"/>
      <c r="N183" s="538"/>
      <c r="O183" s="538"/>
      <c r="P183" s="538"/>
    </row>
    <row r="184" spans="1:16" s="540" customFormat="1" ht="30" customHeight="1">
      <c r="A184" s="543"/>
      <c r="B184" s="536"/>
      <c r="C184" s="536"/>
      <c r="D184" s="544"/>
      <c r="E184" s="539"/>
      <c r="F184" s="545"/>
      <c r="G184" s="544"/>
      <c r="H184" s="253"/>
      <c r="I184" s="253"/>
      <c r="J184" s="537"/>
      <c r="K184" s="538"/>
      <c r="L184" s="537"/>
      <c r="M184" s="538"/>
      <c r="N184" s="538"/>
      <c r="O184" s="538"/>
      <c r="P184" s="538"/>
    </row>
    <row r="185" spans="1:16" s="540" customFormat="1" ht="30" customHeight="1">
      <c r="A185" s="543"/>
      <c r="B185" s="536"/>
      <c r="C185" s="536"/>
      <c r="D185" s="544"/>
      <c r="E185" s="539"/>
      <c r="F185" s="545"/>
      <c r="G185" s="544"/>
      <c r="H185" s="253"/>
      <c r="I185" s="556"/>
      <c r="J185" s="546"/>
      <c r="K185" s="538"/>
      <c r="L185" s="537"/>
      <c r="M185" s="538"/>
      <c r="N185" s="538"/>
      <c r="O185" s="538"/>
      <c r="P185" s="538"/>
    </row>
    <row r="186" spans="1:16" ht="27" customHeight="1">
      <c r="A186" s="543"/>
      <c r="B186" s="536"/>
      <c r="C186" s="536"/>
      <c r="D186" s="544"/>
      <c r="E186" s="539"/>
      <c r="F186" s="537"/>
      <c r="G186" s="544"/>
      <c r="H186" s="556"/>
      <c r="I186" s="556"/>
      <c r="J186" s="537"/>
      <c r="K186" s="540"/>
      <c r="L186" s="557"/>
      <c r="M186" s="540"/>
      <c r="N186" s="540"/>
      <c r="O186" s="540"/>
      <c r="P186" s="540"/>
    </row>
    <row r="187" spans="1:16" ht="29.25" customHeight="1">
      <c r="A187" s="543"/>
      <c r="B187" s="536"/>
      <c r="C187" s="536"/>
      <c r="D187" s="544"/>
      <c r="E187" s="539"/>
      <c r="F187" s="537"/>
      <c r="G187" s="544"/>
      <c r="H187" s="253"/>
      <c r="I187" s="253"/>
      <c r="J187" s="537"/>
      <c r="K187" s="540"/>
      <c r="L187" s="557"/>
      <c r="M187" s="540"/>
      <c r="N187" s="540"/>
      <c r="O187" s="540"/>
      <c r="P187" s="540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showGridLines="0" zoomScale="58" zoomScaleNormal="80" workbookViewId="0">
      <selection activeCell="AE6" sqref="AE6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779" t="s">
        <v>480</v>
      </c>
      <c r="B1" s="780"/>
      <c r="C1" s="780"/>
      <c r="D1" s="780"/>
      <c r="E1" s="780"/>
      <c r="F1" s="780"/>
      <c r="G1" s="780"/>
      <c r="H1" s="780"/>
      <c r="I1" s="780"/>
      <c r="J1" s="780"/>
      <c r="K1" s="780"/>
      <c r="L1" s="780"/>
      <c r="M1" s="780"/>
      <c r="N1" s="780"/>
      <c r="O1" s="780"/>
      <c r="P1" s="780"/>
      <c r="Q1" s="780"/>
      <c r="R1" s="780"/>
      <c r="S1" s="780"/>
      <c r="T1" s="780"/>
      <c r="U1" s="780"/>
      <c r="V1" s="780"/>
      <c r="W1" s="780"/>
      <c r="X1" s="780"/>
      <c r="Y1" s="780"/>
      <c r="Z1" s="780"/>
      <c r="AA1" s="780"/>
      <c r="AB1" s="780"/>
      <c r="AC1" s="780"/>
      <c r="AD1" s="780"/>
      <c r="AE1" s="780"/>
      <c r="AF1" s="781"/>
      <c r="AG1" s="170"/>
      <c r="AH1" s="170"/>
      <c r="AI1" s="170"/>
      <c r="AJ1" s="170"/>
      <c r="AK1" s="170"/>
      <c r="AL1" s="170"/>
      <c r="AM1" s="748"/>
      <c r="AN1" s="748"/>
      <c r="AO1" s="749"/>
    </row>
    <row r="2" spans="1:41" s="159" customFormat="1" ht="17.25">
      <c r="A2" s="335" t="s">
        <v>481</v>
      </c>
      <c r="B2" s="336"/>
      <c r="C2" s="336"/>
      <c r="D2" s="337"/>
      <c r="E2" s="338" t="s">
        <v>482</v>
      </c>
      <c r="F2" s="339"/>
      <c r="G2" s="340"/>
      <c r="H2" s="340"/>
      <c r="I2" s="340"/>
      <c r="J2" s="340"/>
      <c r="K2" s="337"/>
      <c r="L2" s="337"/>
      <c r="M2" s="337"/>
      <c r="N2" s="337"/>
      <c r="O2" s="337"/>
      <c r="P2" s="337"/>
      <c r="Q2" s="337"/>
      <c r="R2" s="337"/>
      <c r="S2" s="337"/>
      <c r="T2" s="337" t="s">
        <v>20</v>
      </c>
      <c r="U2" s="337"/>
      <c r="V2" s="340"/>
      <c r="W2" s="340"/>
      <c r="X2" s="340"/>
      <c r="Y2" s="340"/>
      <c r="Z2" s="340"/>
      <c r="AA2" s="340"/>
      <c r="AB2" s="340"/>
      <c r="AC2" s="340"/>
      <c r="AD2" s="340"/>
      <c r="AE2" s="340"/>
      <c r="AF2" s="341"/>
      <c r="AG2" s="750"/>
      <c r="AH2" s="750"/>
      <c r="AI2" s="750"/>
      <c r="AJ2" s="750"/>
      <c r="AK2" s="750"/>
      <c r="AL2" s="750"/>
      <c r="AM2" s="750"/>
      <c r="AN2" s="750"/>
      <c r="AO2" s="751"/>
    </row>
    <row r="3" spans="1:41" s="159" customFormat="1" ht="17.100000000000001" customHeight="1">
      <c r="A3" s="335" t="s">
        <v>483</v>
      </c>
      <c r="B3" s="336"/>
      <c r="C3" s="336"/>
      <c r="D3" s="342"/>
      <c r="E3" s="338" t="s">
        <v>484</v>
      </c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0"/>
      <c r="W3" s="340"/>
      <c r="X3" s="340"/>
      <c r="Y3" s="340"/>
      <c r="Z3" s="340"/>
      <c r="AA3" s="340"/>
      <c r="AB3" s="340"/>
      <c r="AC3" s="340"/>
      <c r="AD3" s="340"/>
      <c r="AE3" s="340"/>
      <c r="AF3" s="341"/>
      <c r="AG3" s="752" t="s">
        <v>485</v>
      </c>
      <c r="AH3" s="753"/>
      <c r="AI3" s="753"/>
      <c r="AJ3" s="171" t="s">
        <v>486</v>
      </c>
      <c r="AK3" s="171"/>
      <c r="AL3" s="171"/>
      <c r="AM3" s="754" t="s">
        <v>487</v>
      </c>
      <c r="AN3" s="754" t="s">
        <v>488</v>
      </c>
      <c r="AO3" s="757" t="s">
        <v>489</v>
      </c>
    </row>
    <row r="4" spans="1:41" s="159" customFormat="1" ht="17.100000000000001" customHeight="1">
      <c r="A4" s="343" t="s">
        <v>265</v>
      </c>
      <c r="B4" s="344"/>
      <c r="C4" s="344"/>
      <c r="D4" s="345"/>
      <c r="E4" s="338" t="s">
        <v>490</v>
      </c>
      <c r="F4" s="345"/>
      <c r="G4" s="345"/>
      <c r="H4" s="345"/>
      <c r="I4" s="345"/>
      <c r="J4" s="345"/>
      <c r="K4" s="345"/>
      <c r="L4" s="345"/>
      <c r="M4" s="345"/>
      <c r="N4" s="345"/>
      <c r="O4" s="345"/>
      <c r="P4" s="345"/>
      <c r="Q4" s="345"/>
      <c r="R4" s="345"/>
      <c r="S4" s="345"/>
      <c r="T4" s="345"/>
      <c r="U4" s="345"/>
      <c r="V4" s="340"/>
      <c r="W4" s="340"/>
      <c r="X4" s="340"/>
      <c r="Y4" s="340"/>
      <c r="Z4" s="340"/>
      <c r="AA4" s="340"/>
      <c r="AB4" s="340"/>
      <c r="AC4" s="340"/>
      <c r="AD4" s="340"/>
      <c r="AE4" s="340"/>
      <c r="AF4" s="341"/>
      <c r="AG4" s="752" t="s">
        <v>491</v>
      </c>
      <c r="AH4" s="753" t="s">
        <v>492</v>
      </c>
      <c r="AI4" s="753" t="s">
        <v>493</v>
      </c>
      <c r="AJ4" s="753" t="s">
        <v>491</v>
      </c>
      <c r="AK4" s="753" t="s">
        <v>492</v>
      </c>
      <c r="AL4" s="753" t="s">
        <v>493</v>
      </c>
      <c r="AM4" s="755"/>
      <c r="AN4" s="755"/>
      <c r="AO4" s="758"/>
    </row>
    <row r="5" spans="1:41" s="159" customFormat="1" ht="17.45" customHeight="1" thickBot="1">
      <c r="A5" s="346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98">
        <v>46202</v>
      </c>
      <c r="AF5" s="799"/>
      <c r="AG5" s="752"/>
      <c r="AH5" s="753"/>
      <c r="AI5" s="753"/>
      <c r="AJ5" s="753"/>
      <c r="AK5" s="753"/>
      <c r="AL5" s="753"/>
      <c r="AM5" s="756"/>
      <c r="AN5" s="756"/>
      <c r="AO5" s="759"/>
    </row>
    <row r="6" spans="1:41" s="159" customFormat="1" ht="13.35" customHeight="1">
      <c r="A6" s="786" t="s">
        <v>494</v>
      </c>
      <c r="B6" s="787"/>
      <c r="C6" s="787"/>
      <c r="D6" s="787"/>
      <c r="E6" s="787"/>
      <c r="F6" s="787"/>
      <c r="G6" s="787"/>
      <c r="H6" s="787"/>
      <c r="I6" s="787"/>
      <c r="J6" s="787"/>
      <c r="K6" s="787"/>
      <c r="L6" s="800" t="s">
        <v>495</v>
      </c>
      <c r="M6" s="801"/>
      <c r="N6" s="801"/>
      <c r="O6" s="801"/>
      <c r="P6" s="801"/>
      <c r="Q6" s="801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47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788"/>
      <c r="B7" s="789"/>
      <c r="C7" s="789"/>
      <c r="D7" s="789"/>
      <c r="E7" s="789"/>
      <c r="F7" s="789"/>
      <c r="G7" s="789"/>
      <c r="H7" s="789"/>
      <c r="I7" s="789"/>
      <c r="J7" s="789"/>
      <c r="K7" s="789"/>
      <c r="L7" s="802"/>
      <c r="M7" s="803"/>
      <c r="N7" s="803"/>
      <c r="O7" s="803"/>
      <c r="P7" s="803"/>
      <c r="Q7" s="803"/>
      <c r="R7" s="175"/>
      <c r="S7" s="175"/>
      <c r="T7" s="175"/>
      <c r="U7" s="175"/>
      <c r="V7" s="175"/>
      <c r="W7" s="176"/>
      <c r="X7" s="348"/>
      <c r="Y7" s="348"/>
      <c r="Z7" s="348"/>
      <c r="AA7" s="348"/>
      <c r="AB7" s="348"/>
      <c r="AC7" s="348"/>
      <c r="AD7" s="348"/>
      <c r="AE7" s="348"/>
      <c r="AF7" s="349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790" t="s">
        <v>244</v>
      </c>
      <c r="B8" s="792" t="s">
        <v>22</v>
      </c>
      <c r="C8" s="793"/>
      <c r="D8" s="794"/>
      <c r="E8" s="790" t="s">
        <v>246</v>
      </c>
      <c r="F8" s="792" t="s">
        <v>496</v>
      </c>
      <c r="G8" s="794"/>
      <c r="H8" s="792" t="s">
        <v>497</v>
      </c>
      <c r="I8" s="794"/>
      <c r="J8" s="792" t="s">
        <v>498</v>
      </c>
      <c r="K8" s="794"/>
      <c r="L8" s="811" t="s">
        <v>244</v>
      </c>
      <c r="M8" s="813" t="s">
        <v>499</v>
      </c>
      <c r="N8" s="814"/>
      <c r="O8" s="817" t="s">
        <v>500</v>
      </c>
      <c r="P8" s="811" t="s">
        <v>501</v>
      </c>
      <c r="Q8" s="782" t="s">
        <v>502</v>
      </c>
      <c r="T8" s="350"/>
      <c r="U8" s="350"/>
      <c r="V8" s="350"/>
      <c r="W8" s="350"/>
      <c r="X8" s="350"/>
      <c r="Y8" s="350"/>
      <c r="Z8" s="350"/>
      <c r="AA8" s="350"/>
      <c r="AB8" s="350"/>
      <c r="AC8" s="350"/>
      <c r="AD8" s="350"/>
      <c r="AE8" s="350"/>
      <c r="AF8" s="351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91"/>
      <c r="B9" s="795"/>
      <c r="C9" s="796"/>
      <c r="D9" s="797"/>
      <c r="E9" s="791"/>
      <c r="F9" s="795"/>
      <c r="G9" s="797"/>
      <c r="H9" s="795"/>
      <c r="I9" s="797"/>
      <c r="J9" s="795"/>
      <c r="K9" s="797"/>
      <c r="L9" s="812"/>
      <c r="M9" s="815"/>
      <c r="N9" s="816"/>
      <c r="O9" s="818"/>
      <c r="P9" s="812"/>
      <c r="Q9" s="783"/>
      <c r="T9" s="350"/>
      <c r="U9" s="350"/>
      <c r="V9" s="350"/>
      <c r="W9" s="350"/>
      <c r="X9" s="350"/>
      <c r="Y9" s="350"/>
      <c r="Z9" s="350"/>
      <c r="AA9" s="350"/>
      <c r="AB9" s="350"/>
      <c r="AC9" s="350"/>
      <c r="AD9" s="350"/>
      <c r="AE9" s="350"/>
      <c r="AF9" s="351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352">
        <v>1</v>
      </c>
      <c r="B10" s="804" t="s">
        <v>37</v>
      </c>
      <c r="C10" s="805"/>
      <c r="D10" s="806"/>
      <c r="E10" s="177" t="s">
        <v>503</v>
      </c>
      <c r="F10" s="807">
        <v>114.51600000000001</v>
      </c>
      <c r="G10" s="808"/>
      <c r="H10" s="809">
        <f>'Survey Anx'!F39</f>
        <v>107.97099999999999</v>
      </c>
      <c r="I10" s="810"/>
      <c r="J10" s="807">
        <f t="shared" ref="J10:J19" si="0">F10-H10</f>
        <v>6.5450000000000159</v>
      </c>
      <c r="K10" s="808"/>
      <c r="L10" s="177">
        <v>1</v>
      </c>
      <c r="M10" s="784" t="s">
        <v>504</v>
      </c>
      <c r="N10" s="785"/>
      <c r="O10" s="178"/>
      <c r="P10" s="178"/>
      <c r="Q10" s="178"/>
      <c r="T10" s="353"/>
      <c r="U10" s="353"/>
      <c r="V10" s="353"/>
      <c r="W10" s="353"/>
      <c r="X10" s="353"/>
      <c r="Y10" s="353"/>
      <c r="Z10" s="353"/>
      <c r="AA10" s="353"/>
      <c r="AB10" s="353"/>
      <c r="AC10" s="353"/>
      <c r="AD10" s="353"/>
      <c r="AE10" s="353"/>
      <c r="AF10" s="354"/>
      <c r="AG10" s="739"/>
      <c r="AH10" s="739"/>
      <c r="AI10" s="739"/>
      <c r="AJ10" s="739"/>
      <c r="AK10" s="739"/>
      <c r="AL10" s="739"/>
      <c r="AM10" s="740"/>
      <c r="AN10" s="740"/>
      <c r="AO10" s="742"/>
    </row>
    <row r="11" spans="1:41" s="159" customFormat="1" ht="17.25">
      <c r="A11" s="355">
        <v>2</v>
      </c>
      <c r="B11" s="768" t="s">
        <v>21</v>
      </c>
      <c r="C11" s="769"/>
      <c r="D11" s="770"/>
      <c r="E11" s="179" t="s">
        <v>503</v>
      </c>
      <c r="F11" s="771">
        <v>114.51600000000001</v>
      </c>
      <c r="G11" s="772"/>
      <c r="H11" s="773">
        <f>'Survey Anx'!I39</f>
        <v>94.51900000000002</v>
      </c>
      <c r="I11" s="774"/>
      <c r="J11" s="771">
        <f t="shared" si="0"/>
        <v>19.996999999999986</v>
      </c>
      <c r="K11" s="772"/>
      <c r="L11" s="209">
        <f t="shared" ref="L11:L18" si="1">L10+1</f>
        <v>2</v>
      </c>
      <c r="M11" s="744" t="s">
        <v>505</v>
      </c>
      <c r="N11" s="745"/>
      <c r="O11" s="168"/>
      <c r="P11" s="168"/>
      <c r="Q11" s="168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4"/>
      <c r="AG11" s="739"/>
      <c r="AH11" s="739"/>
      <c r="AI11" s="739"/>
      <c r="AJ11" s="739"/>
      <c r="AK11" s="739"/>
      <c r="AL11" s="739"/>
      <c r="AM11" s="740"/>
      <c r="AN11" s="740"/>
      <c r="AO11" s="742"/>
    </row>
    <row r="12" spans="1:41" s="159" customFormat="1" ht="17.45" customHeight="1">
      <c r="A12" s="355">
        <v>3</v>
      </c>
      <c r="B12" s="768" t="s">
        <v>52</v>
      </c>
      <c r="C12" s="769"/>
      <c r="D12" s="770"/>
      <c r="E12" s="179" t="s">
        <v>506</v>
      </c>
      <c r="F12" s="775">
        <v>30</v>
      </c>
      <c r="G12" s="776"/>
      <c r="H12" s="777">
        <v>30</v>
      </c>
      <c r="I12" s="778"/>
      <c r="J12" s="775">
        <f t="shared" si="0"/>
        <v>0</v>
      </c>
      <c r="K12" s="776"/>
      <c r="L12" s="209">
        <f t="shared" si="1"/>
        <v>3</v>
      </c>
      <c r="M12" s="744" t="s">
        <v>507</v>
      </c>
      <c r="N12" s="745"/>
      <c r="O12" s="168"/>
      <c r="P12" s="168"/>
      <c r="Q12" s="168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E12" s="353"/>
      <c r="AF12" s="354"/>
      <c r="AG12" s="740"/>
      <c r="AH12" s="740"/>
      <c r="AI12" s="740"/>
      <c r="AJ12" s="740"/>
      <c r="AK12" s="740"/>
      <c r="AL12" s="740"/>
      <c r="AM12" s="740"/>
      <c r="AN12" s="740"/>
      <c r="AO12" s="742"/>
    </row>
    <row r="13" spans="1:41" s="159" customFormat="1" ht="17.45" customHeight="1">
      <c r="A13" s="355">
        <v>4</v>
      </c>
      <c r="B13" s="768" t="s">
        <v>54</v>
      </c>
      <c r="C13" s="769"/>
      <c r="D13" s="770"/>
      <c r="E13" s="179" t="s">
        <v>506</v>
      </c>
      <c r="F13" s="775">
        <v>293</v>
      </c>
      <c r="G13" s="776"/>
      <c r="H13" s="777">
        <f>BV20</f>
        <v>95</v>
      </c>
      <c r="I13" s="778"/>
      <c r="J13" s="775">
        <f t="shared" si="0"/>
        <v>198</v>
      </c>
      <c r="K13" s="776"/>
      <c r="L13" s="209">
        <f t="shared" si="1"/>
        <v>4</v>
      </c>
      <c r="M13" s="744" t="s">
        <v>508</v>
      </c>
      <c r="N13" s="745"/>
      <c r="O13" s="168"/>
      <c r="P13" s="168"/>
      <c r="Q13" s="168"/>
      <c r="T13" s="353"/>
      <c r="U13" s="353"/>
      <c r="V13" s="353"/>
      <c r="W13" s="353"/>
      <c r="X13" s="353"/>
      <c r="Y13" s="353"/>
      <c r="Z13" s="353"/>
      <c r="AA13" s="353"/>
      <c r="AB13" s="353"/>
      <c r="AC13" s="353"/>
      <c r="AD13" s="353"/>
      <c r="AE13" s="353"/>
      <c r="AF13" s="354"/>
      <c r="AG13" s="740"/>
      <c r="AH13" s="740"/>
      <c r="AI13" s="740"/>
      <c r="AJ13" s="740"/>
      <c r="AK13" s="740"/>
      <c r="AL13" s="740"/>
      <c r="AM13" s="740"/>
      <c r="AN13" s="740"/>
      <c r="AO13" s="742"/>
    </row>
    <row r="14" spans="1:41" s="159" customFormat="1" ht="17.45" customHeight="1">
      <c r="A14" s="355">
        <v>5</v>
      </c>
      <c r="B14" s="768" t="s">
        <v>55</v>
      </c>
      <c r="C14" s="769"/>
      <c r="D14" s="770"/>
      <c r="E14" s="179" t="s">
        <v>506</v>
      </c>
      <c r="F14" s="775">
        <v>293</v>
      </c>
      <c r="G14" s="776"/>
      <c r="H14" s="777">
        <v>89</v>
      </c>
      <c r="I14" s="778"/>
      <c r="J14" s="775">
        <f t="shared" si="0"/>
        <v>204</v>
      </c>
      <c r="K14" s="776"/>
      <c r="L14" s="209">
        <f t="shared" si="1"/>
        <v>5</v>
      </c>
      <c r="M14" s="744" t="s">
        <v>509</v>
      </c>
      <c r="N14" s="745"/>
      <c r="O14" s="168"/>
      <c r="P14" s="168"/>
      <c r="Q14" s="168"/>
      <c r="T14" s="353"/>
      <c r="U14" s="353"/>
      <c r="V14" s="353"/>
      <c r="W14" s="353"/>
      <c r="X14" s="353"/>
      <c r="Y14" s="353"/>
      <c r="Z14" s="353"/>
      <c r="AA14" s="353"/>
      <c r="AB14" s="353"/>
      <c r="AC14" s="353"/>
      <c r="AD14" s="353"/>
      <c r="AE14" s="353"/>
      <c r="AF14" s="354"/>
      <c r="AG14" s="740"/>
      <c r="AH14" s="740"/>
      <c r="AI14" s="740"/>
      <c r="AJ14" s="740"/>
      <c r="AK14" s="740"/>
      <c r="AL14" s="740"/>
      <c r="AM14" s="740"/>
      <c r="AN14" s="740"/>
      <c r="AO14" s="742"/>
    </row>
    <row r="15" spans="1:41" s="159" customFormat="1" ht="17.100000000000001" customHeight="1">
      <c r="A15" s="355">
        <v>6</v>
      </c>
      <c r="B15" s="768" t="s">
        <v>510</v>
      </c>
      <c r="C15" s="769"/>
      <c r="D15" s="770"/>
      <c r="E15" s="179" t="s">
        <v>506</v>
      </c>
      <c r="F15" s="775">
        <v>293</v>
      </c>
      <c r="G15" s="776"/>
      <c r="H15" s="777">
        <f>BW20</f>
        <v>45</v>
      </c>
      <c r="I15" s="778"/>
      <c r="J15" s="775">
        <f t="shared" si="0"/>
        <v>248</v>
      </c>
      <c r="K15" s="776"/>
      <c r="L15" s="209">
        <f t="shared" si="1"/>
        <v>6</v>
      </c>
      <c r="M15" s="744" t="s">
        <v>511</v>
      </c>
      <c r="N15" s="745"/>
      <c r="O15" s="168"/>
      <c r="P15" s="168"/>
      <c r="Q15" s="168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3"/>
      <c r="AF15" s="354"/>
      <c r="AG15" s="740"/>
      <c r="AH15" s="740"/>
      <c r="AI15" s="740"/>
      <c r="AJ15" s="740"/>
      <c r="AK15" s="740"/>
      <c r="AL15" s="740"/>
      <c r="AM15" s="740"/>
      <c r="AN15" s="740"/>
      <c r="AO15" s="742"/>
    </row>
    <row r="16" spans="1:41" s="159" customFormat="1" ht="17.45" customHeight="1">
      <c r="A16" s="355">
        <v>7</v>
      </c>
      <c r="B16" s="768" t="s">
        <v>512</v>
      </c>
      <c r="C16" s="769"/>
      <c r="D16" s="770"/>
      <c r="E16" s="179" t="s">
        <v>506</v>
      </c>
      <c r="F16" s="775">
        <v>293</v>
      </c>
      <c r="G16" s="776"/>
      <c r="H16" s="777">
        <v>13</v>
      </c>
      <c r="I16" s="778"/>
      <c r="J16" s="775">
        <f t="shared" si="0"/>
        <v>280</v>
      </c>
      <c r="K16" s="776"/>
      <c r="L16" s="209">
        <f t="shared" si="1"/>
        <v>7</v>
      </c>
      <c r="M16" s="744" t="s">
        <v>67</v>
      </c>
      <c r="N16" s="745"/>
      <c r="O16" s="168"/>
      <c r="P16" s="168"/>
      <c r="Q16" s="168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3"/>
      <c r="AF16" s="354"/>
      <c r="AG16" s="740"/>
      <c r="AH16" s="740"/>
      <c r="AI16" s="740"/>
      <c r="AJ16" s="740"/>
      <c r="AK16" s="740"/>
      <c r="AL16" s="740"/>
      <c r="AM16" s="740"/>
      <c r="AN16" s="740"/>
      <c r="AO16" s="742"/>
    </row>
    <row r="17" spans="1:75" s="159" customFormat="1" ht="17.45" customHeight="1">
      <c r="A17" s="355">
        <v>8</v>
      </c>
      <c r="B17" s="768" t="s">
        <v>513</v>
      </c>
      <c r="C17" s="769"/>
      <c r="D17" s="770"/>
      <c r="E17" s="179" t="s">
        <v>503</v>
      </c>
      <c r="F17" s="771">
        <v>114.51600000000001</v>
      </c>
      <c r="G17" s="772"/>
      <c r="H17" s="773">
        <v>0</v>
      </c>
      <c r="I17" s="774"/>
      <c r="J17" s="771">
        <f t="shared" si="0"/>
        <v>114.51600000000001</v>
      </c>
      <c r="K17" s="772"/>
      <c r="L17" s="209">
        <f t="shared" si="1"/>
        <v>8</v>
      </c>
      <c r="M17" s="744" t="s">
        <v>67</v>
      </c>
      <c r="N17" s="745"/>
      <c r="O17" s="168"/>
      <c r="P17" s="168"/>
      <c r="Q17" s="168"/>
      <c r="T17" s="353"/>
      <c r="U17" s="353"/>
      <c r="V17" s="353"/>
      <c r="W17" s="353"/>
      <c r="X17" s="353"/>
      <c r="Y17" s="353"/>
      <c r="Z17" s="353"/>
      <c r="AA17" s="353"/>
      <c r="AB17" s="353"/>
      <c r="AC17" s="353"/>
      <c r="AD17" s="353"/>
      <c r="AE17" s="353"/>
      <c r="AF17" s="354"/>
      <c r="AG17" s="740"/>
      <c r="AH17" s="740"/>
      <c r="AI17" s="740"/>
      <c r="AJ17" s="740"/>
      <c r="AK17" s="740"/>
      <c r="AL17" s="740"/>
      <c r="AM17" s="740"/>
      <c r="AN17" s="740"/>
      <c r="AO17" s="742"/>
    </row>
    <row r="18" spans="1:75" s="159" customFormat="1" ht="17.45" customHeight="1">
      <c r="A18" s="355">
        <v>9</v>
      </c>
      <c r="B18" s="768" t="s">
        <v>514</v>
      </c>
      <c r="C18" s="769"/>
      <c r="D18" s="770"/>
      <c r="E18" s="179" t="s">
        <v>503</v>
      </c>
      <c r="F18" s="771">
        <v>114.51600000000001</v>
      </c>
      <c r="G18" s="772"/>
      <c r="H18" s="773">
        <v>0</v>
      </c>
      <c r="I18" s="774"/>
      <c r="J18" s="771">
        <f t="shared" si="0"/>
        <v>114.51600000000001</v>
      </c>
      <c r="K18" s="772"/>
      <c r="L18" s="209">
        <f t="shared" si="1"/>
        <v>9</v>
      </c>
      <c r="M18" s="744" t="s">
        <v>67</v>
      </c>
      <c r="N18" s="745"/>
      <c r="O18" s="168"/>
      <c r="P18" s="168"/>
      <c r="Q18" s="168"/>
      <c r="T18" s="353"/>
      <c r="U18" s="353"/>
      <c r="V18" s="353"/>
      <c r="W18" s="353"/>
      <c r="X18" s="353"/>
      <c r="Y18" s="353"/>
      <c r="Z18" s="353"/>
      <c r="AA18" s="353"/>
      <c r="AB18" s="353"/>
      <c r="AC18" s="353"/>
      <c r="AD18" s="353"/>
      <c r="AE18" s="353"/>
      <c r="AF18" s="354"/>
      <c r="AG18" s="740"/>
      <c r="AH18" s="740"/>
      <c r="AI18" s="740"/>
      <c r="AJ18" s="740"/>
      <c r="AK18" s="740"/>
      <c r="AL18" s="740"/>
      <c r="AM18" s="740"/>
      <c r="AN18" s="740"/>
      <c r="AO18" s="742"/>
    </row>
    <row r="19" spans="1:75" s="159" customFormat="1" ht="18" customHeight="1" thickBot="1">
      <c r="A19" s="356">
        <v>10</v>
      </c>
      <c r="B19" s="761" t="s">
        <v>515</v>
      </c>
      <c r="C19" s="762"/>
      <c r="D19" s="763"/>
      <c r="E19" s="180" t="s">
        <v>503</v>
      </c>
      <c r="F19" s="764">
        <v>114.51600000000001</v>
      </c>
      <c r="G19" s="765"/>
      <c r="H19" s="766">
        <v>0</v>
      </c>
      <c r="I19" s="767"/>
      <c r="J19" s="764">
        <f t="shared" si="0"/>
        <v>114.51600000000001</v>
      </c>
      <c r="K19" s="765"/>
      <c r="L19" s="209">
        <f>L18+1</f>
        <v>10</v>
      </c>
      <c r="M19" s="746" t="s">
        <v>67</v>
      </c>
      <c r="N19" s="747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57"/>
      <c r="AG19" s="741"/>
      <c r="AH19" s="741"/>
      <c r="AI19" s="741"/>
      <c r="AJ19" s="741"/>
      <c r="AK19" s="741"/>
      <c r="AL19" s="741"/>
      <c r="AM19" s="741"/>
      <c r="AN19" s="741"/>
      <c r="AO19" s="743"/>
      <c r="BV19" s="334" t="s">
        <v>516</v>
      </c>
      <c r="BW19" s="334" t="s">
        <v>517</v>
      </c>
    </row>
    <row r="20" spans="1:75" s="159" customFormat="1" ht="18" customHeight="1">
      <c r="A20" s="358"/>
      <c r="B20" s="359"/>
      <c r="C20" s="359"/>
      <c r="D20" s="359"/>
      <c r="E20" s="360"/>
      <c r="F20" s="361"/>
      <c r="G20" s="361"/>
      <c r="H20" s="362"/>
      <c r="I20" s="362"/>
      <c r="J20" s="361"/>
      <c r="K20" s="361"/>
      <c r="L20" s="363"/>
      <c r="M20" s="360"/>
      <c r="N20" s="360"/>
      <c r="O20" s="364"/>
      <c r="P20" s="364"/>
      <c r="Q20" s="364"/>
      <c r="T20" s="353"/>
      <c r="U20" s="353"/>
      <c r="V20" s="353"/>
      <c r="W20" s="353"/>
      <c r="X20" s="353"/>
      <c r="Y20" s="353"/>
      <c r="Z20" s="353"/>
      <c r="AA20" s="353"/>
      <c r="AB20" s="353"/>
      <c r="AC20" s="353"/>
      <c r="AD20" s="353"/>
      <c r="AE20" s="353"/>
      <c r="AF20" s="354"/>
      <c r="AG20" s="313"/>
      <c r="AH20" s="313"/>
      <c r="AI20" s="313"/>
      <c r="AJ20" s="313"/>
      <c r="AK20" s="313"/>
      <c r="AL20" s="313"/>
      <c r="AM20" s="313"/>
      <c r="AN20" s="313"/>
      <c r="AO20" s="313"/>
      <c r="BV20" s="334">
        <f>SUM(BV21:BV214)</f>
        <v>95</v>
      </c>
      <c r="BW20" s="334">
        <f>SUM(BW21:BW214)</f>
        <v>45</v>
      </c>
    </row>
    <row r="21" spans="1:75" s="166" customFormat="1" ht="12.95" customHeight="1">
      <c r="A21" s="365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66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65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66"/>
      <c r="AG22" s="313"/>
      <c r="AH22" s="313"/>
      <c r="AI22" s="313"/>
      <c r="AJ22" s="312"/>
    </row>
    <row r="23" spans="1:75" s="638" customFormat="1" ht="12.95" customHeight="1">
      <c r="A23" s="634"/>
      <c r="B23" s="633" t="s">
        <v>518</v>
      </c>
      <c r="C23" s="635"/>
      <c r="D23" s="633" t="s">
        <v>519</v>
      </c>
      <c r="E23" s="636"/>
      <c r="F23" s="633" t="s">
        <v>520</v>
      </c>
      <c r="G23" s="636"/>
      <c r="H23" s="633" t="s">
        <v>521</v>
      </c>
      <c r="I23" s="636"/>
      <c r="J23" s="633" t="s">
        <v>522</v>
      </c>
      <c r="K23" s="636"/>
      <c r="L23" s="633" t="s">
        <v>523</v>
      </c>
      <c r="M23" s="636"/>
      <c r="N23" s="633" t="s">
        <v>524</v>
      </c>
      <c r="O23" s="636"/>
      <c r="P23" s="633" t="s">
        <v>525</v>
      </c>
      <c r="Q23" s="636"/>
      <c r="R23" s="633" t="s">
        <v>272</v>
      </c>
      <c r="S23" s="636"/>
      <c r="T23" s="633" t="s">
        <v>526</v>
      </c>
      <c r="U23" s="636"/>
      <c r="V23" s="633" t="s">
        <v>527</v>
      </c>
      <c r="W23" s="636"/>
      <c r="X23" s="633" t="s">
        <v>277</v>
      </c>
      <c r="Y23" s="636"/>
      <c r="Z23" s="633" t="s">
        <v>528</v>
      </c>
      <c r="AA23" s="636"/>
      <c r="AB23" s="633" t="s">
        <v>529</v>
      </c>
      <c r="AC23" s="636"/>
      <c r="AD23" s="633" t="s">
        <v>530</v>
      </c>
      <c r="AE23" s="636"/>
      <c r="AF23" s="637"/>
      <c r="AG23" s="313"/>
      <c r="AH23" s="313"/>
      <c r="AI23" s="313"/>
      <c r="AJ23" s="312"/>
    </row>
    <row r="24" spans="1:75" s="159" customFormat="1" ht="12.95" customHeight="1">
      <c r="A24" s="365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66"/>
      <c r="AG24" s="313"/>
      <c r="AH24" s="313"/>
      <c r="AI24" s="313"/>
      <c r="AJ24" s="312"/>
    </row>
    <row r="25" spans="1:75" s="159" customFormat="1" ht="12.95" customHeight="1">
      <c r="A25" s="365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66"/>
      <c r="AG25" s="313"/>
      <c r="AH25" s="313"/>
      <c r="AI25" s="313"/>
      <c r="AJ25" s="312"/>
    </row>
    <row r="26" spans="1:75" s="159" customFormat="1" ht="12.95" customHeight="1" thickBot="1">
      <c r="A26" s="365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66"/>
      <c r="AG26" s="313"/>
      <c r="AH26" s="313"/>
      <c r="AI26" s="313"/>
      <c r="AJ26" s="312"/>
    </row>
    <row r="27" spans="1:75" s="159" customFormat="1" ht="12.95" customHeight="1">
      <c r="A27" s="365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716" t="s">
        <v>531</v>
      </c>
      <c r="O27" s="270"/>
      <c r="P27" s="716" t="s">
        <v>531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67"/>
      <c r="AG27" s="313"/>
      <c r="AH27" s="313"/>
      <c r="AI27" s="313"/>
      <c r="AJ27" s="312"/>
    </row>
    <row r="28" spans="1:75" s="159" customFormat="1" ht="12.95" customHeight="1">
      <c r="A28" s="365"/>
      <c r="B28" s="273" t="s">
        <v>531</v>
      </c>
      <c r="C28" s="272">
        <v>393.72</v>
      </c>
      <c r="D28" s="273" t="s">
        <v>531</v>
      </c>
      <c r="E28" s="272">
        <v>225.97</v>
      </c>
      <c r="F28" s="273" t="s">
        <v>531</v>
      </c>
      <c r="G28" s="272">
        <v>193.84</v>
      </c>
      <c r="H28" s="273" t="s">
        <v>531</v>
      </c>
      <c r="I28" s="272">
        <v>401.38</v>
      </c>
      <c r="J28" s="273" t="s">
        <v>531</v>
      </c>
      <c r="K28" s="272">
        <v>284.73</v>
      </c>
      <c r="L28" s="273" t="s">
        <v>531</v>
      </c>
      <c r="M28" s="272">
        <v>238.17</v>
      </c>
      <c r="N28" s="717"/>
      <c r="O28" s="272">
        <v>164.96</v>
      </c>
      <c r="P28" s="717"/>
      <c r="Q28" s="272">
        <v>343</v>
      </c>
      <c r="R28" s="273" t="s">
        <v>531</v>
      </c>
      <c r="S28" s="272">
        <v>453</v>
      </c>
      <c r="T28" s="273" t="s">
        <v>531</v>
      </c>
      <c r="U28" s="272">
        <v>369</v>
      </c>
      <c r="V28" s="273" t="s">
        <v>531</v>
      </c>
      <c r="W28" s="272">
        <v>405</v>
      </c>
      <c r="X28" s="273" t="s">
        <v>531</v>
      </c>
      <c r="Y28" s="272">
        <v>416</v>
      </c>
      <c r="Z28" s="273" t="s">
        <v>531</v>
      </c>
      <c r="AA28" s="272">
        <v>420</v>
      </c>
      <c r="AB28" s="273" t="s">
        <v>531</v>
      </c>
      <c r="AC28" s="272">
        <v>364</v>
      </c>
      <c r="AD28" s="273" t="s">
        <v>531</v>
      </c>
      <c r="AE28" s="272">
        <v>401</v>
      </c>
      <c r="AF28" s="366"/>
      <c r="AG28" s="313"/>
      <c r="AH28" s="313"/>
      <c r="AI28" s="313"/>
      <c r="AJ28" s="312"/>
    </row>
    <row r="29" spans="1:75" s="159" customFormat="1" ht="12.95" customHeight="1" thickBot="1">
      <c r="A29" s="365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718"/>
      <c r="O29" s="205"/>
      <c r="P29" s="718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66"/>
      <c r="AG29" s="313"/>
      <c r="AH29" s="313"/>
      <c r="AI29" s="313"/>
      <c r="AJ29" s="312"/>
    </row>
    <row r="30" spans="1:75" s="265" customFormat="1" ht="25.5" customHeight="1">
      <c r="A30" s="368"/>
      <c r="B30" s="265" t="s">
        <v>532</v>
      </c>
      <c r="D30" s="265" t="s">
        <v>268</v>
      </c>
      <c r="F30" s="265" t="s">
        <v>268</v>
      </c>
      <c r="H30" s="265" t="s">
        <v>533</v>
      </c>
      <c r="J30" s="265" t="s">
        <v>534</v>
      </c>
      <c r="L30" s="265" t="s">
        <v>534</v>
      </c>
      <c r="N30" s="265" t="s">
        <v>534</v>
      </c>
      <c r="P30" s="265" t="s">
        <v>534</v>
      </c>
      <c r="R30" s="265" t="s">
        <v>535</v>
      </c>
      <c r="S30" s="265" t="s">
        <v>67</v>
      </c>
      <c r="T30" s="265" t="s">
        <v>285</v>
      </c>
      <c r="V30" s="265" t="s">
        <v>536</v>
      </c>
      <c r="X30" s="265" t="s">
        <v>278</v>
      </c>
      <c r="Z30" s="265" t="s">
        <v>285</v>
      </c>
      <c r="AB30" s="265" t="s">
        <v>285</v>
      </c>
      <c r="AD30" s="265" t="s">
        <v>285</v>
      </c>
      <c r="AF30" s="369"/>
    </row>
    <row r="31" spans="1:75" s="159" customFormat="1" ht="12.95" customHeight="1">
      <c r="A31" s="365"/>
      <c r="B31" s="205"/>
      <c r="C31" s="260"/>
      <c r="D31" s="205"/>
      <c r="E31" s="260"/>
      <c r="F31" s="205"/>
      <c r="G31" s="205"/>
      <c r="H31" s="205"/>
      <c r="I31" s="205"/>
      <c r="J31" s="205"/>
      <c r="K31" s="590" t="s">
        <v>1090</v>
      </c>
      <c r="L31" s="205"/>
      <c r="M31" s="260"/>
      <c r="N31" s="205"/>
      <c r="O31" s="590" t="s">
        <v>1121</v>
      </c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66"/>
      <c r="AG31" s="313"/>
      <c r="AH31" s="313"/>
      <c r="AI31" s="313"/>
      <c r="AJ31" s="312"/>
    </row>
    <row r="32" spans="1:75" s="159" customFormat="1" ht="12.95" customHeight="1">
      <c r="A32" s="205"/>
      <c r="O32" s="625" t="s">
        <v>1122</v>
      </c>
      <c r="AE32" s="205"/>
      <c r="AF32" s="205"/>
      <c r="AG32" s="313"/>
      <c r="AH32" s="313"/>
      <c r="AI32" s="313"/>
      <c r="AJ32" s="313"/>
    </row>
    <row r="33" spans="1:75" s="159" customFormat="1" ht="12.95" customHeight="1">
      <c r="A33" s="365"/>
      <c r="B33" s="205">
        <v>16</v>
      </c>
      <c r="C33" s="205"/>
      <c r="D33" s="205">
        <v>17</v>
      </c>
      <c r="E33" s="205"/>
      <c r="F33" s="205">
        <v>18</v>
      </c>
      <c r="G33" s="205"/>
      <c r="H33" s="205">
        <v>19</v>
      </c>
      <c r="I33" s="205"/>
      <c r="J33" s="205">
        <v>20</v>
      </c>
      <c r="K33" s="205"/>
      <c r="L33" s="205">
        <v>21</v>
      </c>
      <c r="M33" s="205"/>
      <c r="N33" s="205">
        <v>22</v>
      </c>
      <c r="P33" s="205">
        <v>23</v>
      </c>
      <c r="Q33" s="205"/>
      <c r="R33" s="205">
        <v>24</v>
      </c>
      <c r="S33" s="205"/>
      <c r="T33" s="205">
        <v>25</v>
      </c>
      <c r="U33" s="205"/>
      <c r="V33" s="205">
        <v>26</v>
      </c>
      <c r="W33" s="205"/>
      <c r="X33" s="205">
        <v>27</v>
      </c>
      <c r="Y33" s="205"/>
      <c r="Z33" s="205">
        <v>28</v>
      </c>
      <c r="AA33" s="205"/>
      <c r="AB33" s="205">
        <v>29</v>
      </c>
      <c r="AC33" s="205"/>
      <c r="AD33" s="205">
        <v>30</v>
      </c>
      <c r="AE33" s="205"/>
      <c r="AF33" s="366"/>
      <c r="AG33" s="313"/>
      <c r="AH33" s="313"/>
      <c r="AI33" s="313"/>
      <c r="AJ33" s="312"/>
    </row>
    <row r="34" spans="1:75" s="629" customFormat="1" ht="12.95" customHeight="1">
      <c r="A34" s="626"/>
      <c r="B34" s="630" t="s">
        <v>281</v>
      </c>
      <c r="C34" s="380"/>
      <c r="D34" s="630" t="s">
        <v>537</v>
      </c>
      <c r="E34" s="265"/>
      <c r="F34" s="630" t="s">
        <v>538</v>
      </c>
      <c r="G34" s="265"/>
      <c r="H34" s="630" t="s">
        <v>284</v>
      </c>
      <c r="I34" s="265"/>
      <c r="J34" s="630" t="s">
        <v>539</v>
      </c>
      <c r="K34" s="265"/>
      <c r="L34" s="630" t="s">
        <v>540</v>
      </c>
      <c r="M34" s="265"/>
      <c r="N34" s="630" t="s">
        <v>541</v>
      </c>
      <c r="O34" s="265"/>
      <c r="P34" s="630" t="s">
        <v>542</v>
      </c>
      <c r="Q34" s="265"/>
      <c r="R34" s="630" t="s">
        <v>543</v>
      </c>
      <c r="S34" s="265"/>
      <c r="T34" s="630" t="s">
        <v>544</v>
      </c>
      <c r="U34" s="265"/>
      <c r="V34" s="630" t="s">
        <v>545</v>
      </c>
      <c r="W34" s="265"/>
      <c r="X34" s="630" t="s">
        <v>442</v>
      </c>
      <c r="Y34" s="265"/>
      <c r="Z34" s="630" t="s">
        <v>448</v>
      </c>
      <c r="AA34" s="265"/>
      <c r="AB34" s="630" t="s">
        <v>378</v>
      </c>
      <c r="AC34" s="265"/>
      <c r="AD34" s="630" t="s">
        <v>372</v>
      </c>
      <c r="AE34" s="265"/>
      <c r="AF34" s="628"/>
      <c r="AG34" s="631"/>
      <c r="AH34" s="631"/>
      <c r="AI34" s="631"/>
      <c r="AJ34" s="632"/>
    </row>
    <row r="35" spans="1:75" s="159" customFormat="1" ht="12.95" customHeight="1">
      <c r="A35" s="365"/>
      <c r="B35" s="205"/>
      <c r="C35" s="205"/>
      <c r="D35" s="205"/>
      <c r="E35" s="205"/>
      <c r="F35" s="370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66"/>
      <c r="AG35" s="313"/>
      <c r="AH35" s="313"/>
      <c r="AI35" s="313"/>
      <c r="AJ35" s="312"/>
    </row>
    <row r="36" spans="1:75" s="159" customFormat="1" ht="12.95" customHeight="1">
      <c r="A36" s="365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66"/>
      <c r="AG36" s="313"/>
      <c r="AH36" s="313"/>
      <c r="AI36" s="313"/>
      <c r="AJ36" s="312"/>
    </row>
    <row r="37" spans="1:75" s="159" customFormat="1" ht="12.95" customHeight="1" thickBot="1">
      <c r="A37" s="365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66"/>
      <c r="AG37" s="313"/>
      <c r="AH37" s="313"/>
      <c r="AI37" s="313"/>
      <c r="AJ37" s="312"/>
    </row>
    <row r="38" spans="1:75" s="159" customFormat="1" ht="12.95" customHeight="1">
      <c r="A38" s="365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66"/>
      <c r="AG38" s="313"/>
      <c r="AH38" s="313"/>
      <c r="AI38" s="313"/>
      <c r="AJ38" s="312"/>
      <c r="BV38" s="586">
        <v>4</v>
      </c>
      <c r="BW38" s="586">
        <f>1</f>
        <v>1</v>
      </c>
    </row>
    <row r="39" spans="1:75" s="159" customFormat="1" ht="12.95" customHeight="1">
      <c r="A39" s="365"/>
      <c r="B39" s="273" t="s">
        <v>531</v>
      </c>
      <c r="C39" s="272">
        <v>412</v>
      </c>
      <c r="D39" s="273" t="s">
        <v>531</v>
      </c>
      <c r="E39" s="272">
        <v>405</v>
      </c>
      <c r="F39" s="273" t="s">
        <v>531</v>
      </c>
      <c r="G39" s="272">
        <v>391</v>
      </c>
      <c r="H39" s="273" t="s">
        <v>531</v>
      </c>
      <c r="I39" s="272">
        <v>397</v>
      </c>
      <c r="J39" s="273" t="s">
        <v>531</v>
      </c>
      <c r="K39" s="272">
        <v>390</v>
      </c>
      <c r="L39" s="273" t="s">
        <v>531</v>
      </c>
      <c r="M39" s="272">
        <v>397.5</v>
      </c>
      <c r="N39" s="273" t="s">
        <v>531</v>
      </c>
      <c r="O39" s="272">
        <v>591</v>
      </c>
      <c r="P39" s="273" t="s">
        <v>531</v>
      </c>
      <c r="Q39" s="272">
        <v>534</v>
      </c>
      <c r="R39" s="273" t="s">
        <v>531</v>
      </c>
      <c r="S39" s="272">
        <v>799</v>
      </c>
      <c r="T39" s="273" t="s">
        <v>531</v>
      </c>
      <c r="U39" s="272">
        <v>321</v>
      </c>
      <c r="V39" s="273" t="s">
        <v>531</v>
      </c>
      <c r="W39" s="272">
        <v>449</v>
      </c>
      <c r="X39" s="195"/>
      <c r="Y39" s="371">
        <v>412.99900000000002</v>
      </c>
      <c r="Z39" s="195"/>
      <c r="AA39" s="371">
        <v>390</v>
      </c>
      <c r="AB39" s="189"/>
      <c r="AC39" s="371">
        <v>377.19900000000001</v>
      </c>
      <c r="AD39" s="189"/>
      <c r="AE39" s="371">
        <v>374.428</v>
      </c>
      <c r="AF39" s="366"/>
      <c r="AG39" s="313"/>
      <c r="AH39" s="313"/>
      <c r="AI39" s="313"/>
      <c r="AJ39" s="312"/>
    </row>
    <row r="40" spans="1:75" s="159" customFormat="1" ht="12.95" customHeight="1" thickBot="1">
      <c r="A40" s="365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66"/>
      <c r="AG40" s="313"/>
      <c r="AH40" s="313"/>
      <c r="AI40" s="313"/>
      <c r="AJ40" s="312"/>
    </row>
    <row r="41" spans="1:75" s="265" customFormat="1" ht="25.5" customHeight="1">
      <c r="A41" s="368"/>
      <c r="B41" s="265" t="s">
        <v>278</v>
      </c>
      <c r="D41" s="265" t="s">
        <v>285</v>
      </c>
      <c r="F41" s="265" t="s">
        <v>285</v>
      </c>
      <c r="H41" s="265" t="s">
        <v>285</v>
      </c>
      <c r="J41" s="265" t="s">
        <v>285</v>
      </c>
      <c r="L41" s="265" t="s">
        <v>546</v>
      </c>
      <c r="N41" s="265" t="s">
        <v>290</v>
      </c>
      <c r="P41" s="265" t="s">
        <v>292</v>
      </c>
      <c r="R41" s="265" t="s">
        <v>295</v>
      </c>
      <c r="T41" s="265" t="s">
        <v>295</v>
      </c>
      <c r="V41" s="265" t="s">
        <v>547</v>
      </c>
      <c r="X41" s="265" t="s">
        <v>373</v>
      </c>
      <c r="Z41" s="265" t="s">
        <v>357</v>
      </c>
      <c r="AB41" s="265" t="s">
        <v>350</v>
      </c>
      <c r="AD41" s="265" t="s">
        <v>373</v>
      </c>
      <c r="AF41" s="369"/>
    </row>
    <row r="42" spans="1:75" s="159" customFormat="1" ht="12.95" customHeight="1">
      <c r="A42" s="365"/>
      <c r="B42" s="205"/>
      <c r="C42" s="260"/>
      <c r="D42" s="205"/>
      <c r="E42" s="260"/>
      <c r="F42" s="205"/>
      <c r="G42" s="260"/>
      <c r="H42" s="712" t="s">
        <v>548</v>
      </c>
      <c r="I42" s="712"/>
      <c r="J42" s="712"/>
      <c r="K42" s="712"/>
      <c r="L42" s="712"/>
      <c r="R42" s="591" t="s">
        <v>1091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66"/>
      <c r="AG42" s="313"/>
      <c r="AH42" s="313"/>
      <c r="AI42" s="313"/>
      <c r="AJ42" s="312"/>
    </row>
    <row r="43" spans="1:75" s="159" customFormat="1" ht="12.95" customHeight="1" thickBot="1">
      <c r="A43" s="365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66"/>
      <c r="AG43" s="313"/>
      <c r="AH43" s="313"/>
      <c r="AI43" s="313"/>
      <c r="AJ43" s="312"/>
    </row>
    <row r="44" spans="1:75" s="166" customFormat="1" ht="12.95" customHeight="1">
      <c r="A44" s="365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66"/>
      <c r="AG44" s="760">
        <v>10</v>
      </c>
      <c r="AH44" s="737">
        <v>2</v>
      </c>
      <c r="AI44" s="737">
        <f>AG44-AH44</f>
        <v>8</v>
      </c>
      <c r="AJ44" s="737">
        <f>AG44</f>
        <v>10</v>
      </c>
      <c r="AK44" s="737">
        <v>1</v>
      </c>
      <c r="AL44" s="737">
        <f>AJ44-AK44</f>
        <v>9</v>
      </c>
      <c r="AM44" s="737"/>
      <c r="AN44" s="737"/>
      <c r="AO44" s="738"/>
    </row>
    <row r="45" spans="1:75" s="166" customFormat="1" ht="12.95" customHeight="1">
      <c r="A45" s="365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66"/>
      <c r="AG45" s="729"/>
      <c r="AH45" s="725"/>
      <c r="AI45" s="725"/>
      <c r="AJ45" s="725"/>
      <c r="AK45" s="725"/>
      <c r="AL45" s="725"/>
      <c r="AM45" s="725"/>
      <c r="AN45" s="725"/>
      <c r="AO45" s="727"/>
    </row>
    <row r="46" spans="1:75" s="197" customFormat="1" ht="12.95" customHeight="1">
      <c r="A46" s="626"/>
      <c r="B46" s="627" t="s">
        <v>136</v>
      </c>
      <c r="C46" s="265"/>
      <c r="D46" s="627" t="s">
        <v>370</v>
      </c>
      <c r="E46" s="265"/>
      <c r="F46" s="627" t="s">
        <v>368</v>
      </c>
      <c r="G46" s="265"/>
      <c r="H46" s="627" t="s">
        <v>369</v>
      </c>
      <c r="I46" s="265"/>
      <c r="J46" s="627" t="s">
        <v>367</v>
      </c>
      <c r="K46" s="265"/>
      <c r="L46" s="627" t="s">
        <v>380</v>
      </c>
      <c r="M46" s="380"/>
      <c r="N46" s="627" t="s">
        <v>395</v>
      </c>
      <c r="O46" s="265"/>
      <c r="P46" s="627" t="s">
        <v>174</v>
      </c>
      <c r="Q46" s="265"/>
      <c r="R46" s="627" t="s">
        <v>137</v>
      </c>
      <c r="S46" s="265"/>
      <c r="T46" s="627" t="s">
        <v>138</v>
      </c>
      <c r="U46" s="265"/>
      <c r="V46" s="627" t="s">
        <v>139</v>
      </c>
      <c r="W46" s="265"/>
      <c r="X46" s="627" t="s">
        <v>365</v>
      </c>
      <c r="Y46" s="265"/>
      <c r="Z46" s="627" t="s">
        <v>364</v>
      </c>
      <c r="AA46" s="265"/>
      <c r="AB46" s="627" t="s">
        <v>140</v>
      </c>
      <c r="AC46" s="265"/>
      <c r="AD46" s="627" t="s">
        <v>382</v>
      </c>
      <c r="AE46" s="265"/>
      <c r="AF46" s="628"/>
      <c r="AG46" s="729"/>
      <c r="AH46" s="725"/>
      <c r="AI46" s="725"/>
      <c r="AJ46" s="725"/>
      <c r="AK46" s="725"/>
      <c r="AL46" s="725"/>
      <c r="AM46" s="725"/>
      <c r="AN46" s="725"/>
      <c r="AO46" s="727"/>
    </row>
    <row r="47" spans="1:75" s="166" customFormat="1" ht="12.95" customHeight="1">
      <c r="A47" s="365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66"/>
      <c r="AG47" s="729"/>
      <c r="AH47" s="725"/>
      <c r="AI47" s="725"/>
      <c r="AJ47" s="725"/>
      <c r="AK47" s="725"/>
      <c r="AL47" s="725"/>
      <c r="AM47" s="725"/>
      <c r="AN47" s="725"/>
      <c r="AO47" s="727"/>
    </row>
    <row r="48" spans="1:75" s="166" customFormat="1" ht="12.95" customHeight="1">
      <c r="A48" s="365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66"/>
      <c r="AG48" s="729"/>
      <c r="AH48" s="725"/>
      <c r="AI48" s="725"/>
      <c r="AJ48" s="725"/>
      <c r="AK48" s="725"/>
      <c r="AL48" s="725"/>
      <c r="AM48" s="725"/>
      <c r="AN48" s="725"/>
      <c r="AO48" s="727"/>
    </row>
    <row r="49" spans="1:75" s="166" customFormat="1" ht="12.95" customHeight="1" thickBot="1">
      <c r="A49" s="365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66"/>
      <c r="AG49" s="729"/>
      <c r="AH49" s="725"/>
      <c r="AI49" s="725"/>
      <c r="AJ49" s="725"/>
      <c r="AK49" s="725"/>
      <c r="AL49" s="725"/>
      <c r="AM49" s="725"/>
      <c r="AN49" s="725"/>
      <c r="AO49" s="727"/>
    </row>
    <row r="50" spans="1:75" s="166" customFormat="1" ht="12.6" customHeight="1">
      <c r="A50" s="372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719"/>
      <c r="AC50" s="185"/>
      <c r="AD50" s="186"/>
      <c r="AE50" s="185"/>
      <c r="AF50" s="366"/>
      <c r="AG50" s="729"/>
      <c r="AH50" s="725"/>
      <c r="AI50" s="725"/>
      <c r="AJ50" s="725"/>
      <c r="AK50" s="725"/>
      <c r="AL50" s="725"/>
      <c r="AM50" s="725"/>
      <c r="AN50" s="725"/>
      <c r="AO50" s="727"/>
      <c r="BV50" s="587">
        <f>15</f>
        <v>15</v>
      </c>
      <c r="BW50" s="587">
        <v>9</v>
      </c>
    </row>
    <row r="51" spans="1:75" s="166" customFormat="1" ht="13.5" customHeight="1">
      <c r="A51" s="372"/>
      <c r="B51" s="189"/>
      <c r="C51" s="371">
        <v>421.99400000000003</v>
      </c>
      <c r="D51" s="189"/>
      <c r="E51" s="371">
        <v>232.608</v>
      </c>
      <c r="F51" s="189"/>
      <c r="G51" s="371">
        <v>216.64099999999999</v>
      </c>
      <c r="H51" s="189"/>
      <c r="I51" s="371">
        <v>355.99799999999999</v>
      </c>
      <c r="J51" s="189"/>
      <c r="K51" s="371">
        <v>384</v>
      </c>
      <c r="L51" s="189"/>
      <c r="M51" s="371">
        <v>362</v>
      </c>
      <c r="N51" s="195"/>
      <c r="O51" s="371">
        <v>307.02800000000002</v>
      </c>
      <c r="P51" s="195"/>
      <c r="Q51" s="371">
        <v>379.00200000000001</v>
      </c>
      <c r="R51" s="189"/>
      <c r="S51" s="371">
        <v>412</v>
      </c>
      <c r="T51" s="189"/>
      <c r="U51" s="371">
        <v>429</v>
      </c>
      <c r="V51" s="189"/>
      <c r="W51" s="371">
        <v>408</v>
      </c>
      <c r="X51" s="195"/>
      <c r="Y51" s="371">
        <v>395</v>
      </c>
      <c r="Z51" s="189"/>
      <c r="AA51" s="371">
        <v>380.68599999999998</v>
      </c>
      <c r="AB51" s="720"/>
      <c r="AC51" s="371">
        <v>410.99700000000001</v>
      </c>
      <c r="AD51" s="189"/>
      <c r="AE51" s="371">
        <v>413</v>
      </c>
      <c r="AF51" s="366"/>
      <c r="AG51" s="729"/>
      <c r="AH51" s="725"/>
      <c r="AI51" s="725"/>
      <c r="AJ51" s="725"/>
      <c r="AK51" s="725"/>
      <c r="AL51" s="725"/>
      <c r="AM51" s="725"/>
      <c r="AN51" s="725"/>
      <c r="AO51" s="727"/>
    </row>
    <row r="52" spans="1:75" s="166" customFormat="1" ht="13.5" customHeight="1" thickBot="1">
      <c r="A52" s="372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721"/>
      <c r="AD52" s="191"/>
      <c r="AF52" s="366"/>
      <c r="AG52" s="729"/>
      <c r="AH52" s="725"/>
      <c r="AI52" s="725"/>
      <c r="AJ52" s="725"/>
      <c r="AK52" s="725"/>
      <c r="AL52" s="725"/>
      <c r="AM52" s="725"/>
      <c r="AN52" s="725"/>
      <c r="AO52" s="727"/>
    </row>
    <row r="53" spans="1:75" s="166" customFormat="1" ht="14.1" customHeight="1">
      <c r="A53" s="365"/>
      <c r="B53" s="265" t="s">
        <v>391</v>
      </c>
      <c r="C53" s="260"/>
      <c r="D53" s="265" t="s">
        <v>298</v>
      </c>
      <c r="E53" s="260"/>
      <c r="F53" s="265" t="s">
        <v>302</v>
      </c>
      <c r="G53" s="260"/>
      <c r="H53" s="192" t="s">
        <v>298</v>
      </c>
      <c r="I53" s="260"/>
      <c r="J53" s="260" t="s">
        <v>350</v>
      </c>
      <c r="K53" s="260"/>
      <c r="L53" s="260" t="s">
        <v>350</v>
      </c>
      <c r="M53" s="260"/>
      <c r="N53" s="260" t="s">
        <v>396</v>
      </c>
      <c r="O53" s="260"/>
      <c r="P53" s="265" t="s">
        <v>298</v>
      </c>
      <c r="Q53" s="260"/>
      <c r="R53" s="260" t="s">
        <v>350</v>
      </c>
      <c r="S53" s="260"/>
      <c r="T53" s="260" t="s">
        <v>357</v>
      </c>
      <c r="U53" s="260"/>
      <c r="V53" s="265" t="s">
        <v>357</v>
      </c>
      <c r="W53" s="260"/>
      <c r="X53" s="260" t="s">
        <v>350</v>
      </c>
      <c r="Y53" s="260"/>
      <c r="Z53" s="265" t="s">
        <v>350</v>
      </c>
      <c r="AA53" s="260"/>
      <c r="AB53" s="265" t="s">
        <v>302</v>
      </c>
      <c r="AC53" s="260"/>
      <c r="AD53" s="265" t="s">
        <v>357</v>
      </c>
      <c r="AE53" s="260"/>
      <c r="AF53" s="366"/>
      <c r="AG53" s="729"/>
      <c r="AH53" s="725"/>
      <c r="AI53" s="725"/>
      <c r="AJ53" s="725"/>
      <c r="AK53" s="725"/>
      <c r="AL53" s="725"/>
      <c r="AM53" s="725"/>
      <c r="AN53" s="725"/>
      <c r="AO53" s="727"/>
    </row>
    <row r="54" spans="1:75" s="166" customFormat="1" ht="14.1" customHeight="1">
      <c r="A54" s="365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3"/>
      <c r="P54" s="205"/>
      <c r="Q54" s="373"/>
      <c r="R54" s="205"/>
      <c r="S54" s="373"/>
      <c r="T54" s="205"/>
      <c r="U54" s="373"/>
      <c r="V54" s="205"/>
      <c r="W54" s="373"/>
      <c r="X54" s="205"/>
      <c r="Y54" s="373"/>
      <c r="Z54" s="205"/>
      <c r="AA54" s="374"/>
      <c r="AB54" s="205"/>
      <c r="AC54" s="373"/>
      <c r="AD54" s="205"/>
      <c r="AE54" s="373"/>
      <c r="AF54" s="366"/>
      <c r="AG54" s="730"/>
      <c r="AH54" s="726"/>
      <c r="AI54" s="726"/>
      <c r="AJ54" s="726"/>
      <c r="AK54" s="726"/>
      <c r="AL54" s="726"/>
      <c r="AM54" s="726"/>
      <c r="AN54" s="726"/>
      <c r="AO54" s="728"/>
    </row>
    <row r="55" spans="1:75" s="166" customFormat="1" ht="14.1" customHeight="1">
      <c r="A55" s="365"/>
      <c r="B55" s="205"/>
      <c r="C55" s="205"/>
      <c r="D55" s="205"/>
      <c r="E55" s="205"/>
      <c r="F55" s="205"/>
      <c r="G55" s="205"/>
      <c r="H55" s="205"/>
      <c r="I55" s="205"/>
      <c r="J55" s="375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66"/>
      <c r="AG55" s="734">
        <v>10</v>
      </c>
      <c r="AH55" s="735">
        <v>10</v>
      </c>
      <c r="AI55" s="735">
        <f>AG55-AH55</f>
        <v>0</v>
      </c>
      <c r="AJ55" s="735">
        <f>AG55</f>
        <v>10</v>
      </c>
      <c r="AK55" s="735">
        <v>10</v>
      </c>
      <c r="AL55" s="735">
        <f>AJ55-AK55</f>
        <v>0</v>
      </c>
      <c r="AM55" s="735">
        <v>1.2729999999999999</v>
      </c>
      <c r="AN55" s="735">
        <v>1.2729999999999999</v>
      </c>
      <c r="AO55" s="736"/>
    </row>
    <row r="56" spans="1:75" s="166" customFormat="1" ht="14.1" customHeight="1">
      <c r="A56" s="365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66"/>
      <c r="AG56" s="729"/>
      <c r="AH56" s="725"/>
      <c r="AI56" s="725"/>
      <c r="AJ56" s="725"/>
      <c r="AK56" s="725"/>
      <c r="AL56" s="725"/>
      <c r="AM56" s="725"/>
      <c r="AN56" s="725"/>
      <c r="AO56" s="727"/>
    </row>
    <row r="57" spans="1:75" s="166" customFormat="1" ht="14.1" customHeight="1">
      <c r="A57" s="365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66"/>
      <c r="AG57" s="729"/>
      <c r="AH57" s="725"/>
      <c r="AI57" s="725"/>
      <c r="AJ57" s="725"/>
      <c r="AK57" s="725"/>
      <c r="AL57" s="725"/>
      <c r="AM57" s="725"/>
      <c r="AN57" s="725"/>
      <c r="AO57" s="727"/>
    </row>
    <row r="58" spans="1:75" s="197" customFormat="1" ht="14.1" customHeight="1">
      <c r="A58" s="626"/>
      <c r="B58" s="627" t="s">
        <v>390</v>
      </c>
      <c r="C58" s="380"/>
      <c r="D58" s="627" t="s">
        <v>168</v>
      </c>
      <c r="E58" s="265"/>
      <c r="F58" s="627" t="s">
        <v>176</v>
      </c>
      <c r="G58" s="265"/>
      <c r="H58" s="627" t="s">
        <v>177</v>
      </c>
      <c r="I58" s="265"/>
      <c r="J58" s="627" t="s">
        <v>418</v>
      </c>
      <c r="K58" s="265"/>
      <c r="L58" s="627" t="s">
        <v>400</v>
      </c>
      <c r="M58" s="265"/>
      <c r="N58" s="627" t="s">
        <v>376</v>
      </c>
      <c r="O58" s="265"/>
      <c r="P58" s="627" t="s">
        <v>377</v>
      </c>
      <c r="Q58" s="265"/>
      <c r="R58" s="627" t="s">
        <v>374</v>
      </c>
      <c r="S58" s="265"/>
      <c r="T58" s="627" t="s">
        <v>388</v>
      </c>
      <c r="U58" s="265"/>
      <c r="V58" s="627" t="s">
        <v>392</v>
      </c>
      <c r="W58" s="265"/>
      <c r="X58" s="627" t="s">
        <v>549</v>
      </c>
      <c r="Y58" s="265"/>
      <c r="Z58" s="627" t="s">
        <v>404</v>
      </c>
      <c r="AA58" s="265"/>
      <c r="AB58" s="627" t="s">
        <v>407</v>
      </c>
      <c r="AC58" s="265"/>
      <c r="AD58" s="627" t="s">
        <v>178</v>
      </c>
      <c r="AE58" s="265"/>
      <c r="AF58" s="628"/>
      <c r="AG58" s="729"/>
      <c r="AH58" s="725"/>
      <c r="AI58" s="725"/>
      <c r="AJ58" s="725"/>
      <c r="AK58" s="725"/>
      <c r="AL58" s="725"/>
      <c r="AM58" s="725"/>
      <c r="AN58" s="725"/>
      <c r="AO58" s="727"/>
    </row>
    <row r="59" spans="1:75" s="166" customFormat="1" ht="13.5" customHeight="1">
      <c r="A59" s="365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66"/>
      <c r="AG59" s="729"/>
      <c r="AH59" s="725"/>
      <c r="AI59" s="725"/>
      <c r="AJ59" s="725"/>
      <c r="AK59" s="725"/>
      <c r="AL59" s="725"/>
      <c r="AM59" s="725"/>
      <c r="AN59" s="725"/>
      <c r="AO59" s="727"/>
    </row>
    <row r="60" spans="1:75" s="166" customFormat="1" ht="13.5" customHeight="1">
      <c r="A60" s="365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66"/>
      <c r="AG60" s="729"/>
      <c r="AH60" s="725"/>
      <c r="AI60" s="725"/>
      <c r="AJ60" s="725"/>
      <c r="AK60" s="725"/>
      <c r="AL60" s="725"/>
      <c r="AM60" s="725"/>
      <c r="AN60" s="725"/>
      <c r="AO60" s="727"/>
    </row>
    <row r="61" spans="1:75" s="166" customFormat="1" ht="13.5" customHeight="1" thickBot="1">
      <c r="A61" s="365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66"/>
      <c r="AG61" s="729"/>
      <c r="AH61" s="725"/>
      <c r="AI61" s="725"/>
      <c r="AJ61" s="725"/>
      <c r="AK61" s="725"/>
      <c r="AL61" s="725"/>
      <c r="AM61" s="725"/>
      <c r="AN61" s="725"/>
      <c r="AO61" s="727"/>
    </row>
    <row r="62" spans="1:75" s="166" customFormat="1" ht="13.5" customHeight="1">
      <c r="A62" s="365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719"/>
      <c r="W62" s="185"/>
      <c r="X62" s="722" t="s">
        <v>550</v>
      </c>
      <c r="Y62" s="185"/>
      <c r="Z62" s="719"/>
      <c r="AA62" s="185"/>
      <c r="AB62" s="719"/>
      <c r="AC62" s="185"/>
      <c r="AD62" s="719"/>
      <c r="AE62" s="185"/>
      <c r="AF62" s="366"/>
      <c r="AG62" s="729"/>
      <c r="AH62" s="725"/>
      <c r="AI62" s="725"/>
      <c r="AJ62" s="725"/>
      <c r="AK62" s="725"/>
      <c r="AL62" s="725"/>
      <c r="AM62" s="725"/>
      <c r="AN62" s="725"/>
      <c r="AO62" s="727"/>
      <c r="BV62" s="587">
        <f>14</f>
        <v>14</v>
      </c>
      <c r="BW62" s="587">
        <v>14</v>
      </c>
    </row>
    <row r="63" spans="1:75" s="166" customFormat="1" ht="13.5" customHeight="1">
      <c r="A63" s="365"/>
      <c r="B63" s="195"/>
      <c r="C63" s="371">
        <v>386.81599999999997</v>
      </c>
      <c r="D63" s="189"/>
      <c r="E63" s="371">
        <v>324.00400000000002</v>
      </c>
      <c r="F63" s="189"/>
      <c r="G63" s="371">
        <v>416</v>
      </c>
      <c r="H63" s="195"/>
      <c r="I63" s="371">
        <v>404.53</v>
      </c>
      <c r="J63" s="195"/>
      <c r="K63" s="371">
        <v>374.07600000000002</v>
      </c>
      <c r="L63" s="195"/>
      <c r="M63" s="371">
        <v>423.00299999999999</v>
      </c>
      <c r="N63" s="189"/>
      <c r="O63" s="371">
        <v>420</v>
      </c>
      <c r="P63" s="189"/>
      <c r="Q63" s="371">
        <v>375.06400000000002</v>
      </c>
      <c r="R63" s="189"/>
      <c r="S63" s="371">
        <v>417.21499999999997</v>
      </c>
      <c r="T63" s="189"/>
      <c r="U63" s="371">
        <v>498.00099999999998</v>
      </c>
      <c r="V63" s="720"/>
      <c r="W63" s="371">
        <v>448</v>
      </c>
      <c r="X63" s="723"/>
      <c r="Y63" s="371">
        <v>394</v>
      </c>
      <c r="Z63" s="720"/>
      <c r="AA63" s="371">
        <v>383</v>
      </c>
      <c r="AB63" s="720"/>
      <c r="AC63" s="371">
        <v>379</v>
      </c>
      <c r="AD63" s="720"/>
      <c r="AE63" s="371">
        <v>380.83699999999999</v>
      </c>
      <c r="AF63" s="366"/>
      <c r="AG63" s="729"/>
      <c r="AH63" s="725"/>
      <c r="AI63" s="725"/>
      <c r="AJ63" s="725"/>
      <c r="AK63" s="725"/>
      <c r="AL63" s="725"/>
      <c r="AM63" s="725"/>
      <c r="AN63" s="725"/>
      <c r="AO63" s="727"/>
    </row>
    <row r="64" spans="1:75" s="166" customFormat="1" ht="13.5" customHeight="1" thickBot="1">
      <c r="A64" s="365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721"/>
      <c r="X64" s="724"/>
      <c r="Z64" s="721"/>
      <c r="AB64" s="721"/>
      <c r="AD64" s="721"/>
      <c r="AF64" s="366"/>
      <c r="AG64" s="729"/>
      <c r="AH64" s="725"/>
      <c r="AI64" s="725"/>
      <c r="AJ64" s="725"/>
      <c r="AK64" s="725"/>
      <c r="AL64" s="725"/>
      <c r="AM64" s="725"/>
      <c r="AN64" s="725"/>
      <c r="AO64" s="727"/>
    </row>
    <row r="65" spans="1:75" s="166" customFormat="1" ht="14.1" customHeight="1">
      <c r="A65" s="365"/>
      <c r="B65" s="265" t="s">
        <v>350</v>
      </c>
      <c r="C65" s="260"/>
      <c r="D65" s="265" t="s">
        <v>300</v>
      </c>
      <c r="E65" s="260"/>
      <c r="F65" s="265" t="s">
        <v>350</v>
      </c>
      <c r="G65" s="260"/>
      <c r="H65" s="265" t="s">
        <v>399</v>
      </c>
      <c r="I65" s="260"/>
      <c r="J65" s="265" t="s">
        <v>300</v>
      </c>
      <c r="K65" s="260"/>
      <c r="L65" s="265" t="s">
        <v>373</v>
      </c>
      <c r="M65" s="260"/>
      <c r="N65" s="265" t="s">
        <v>357</v>
      </c>
      <c r="O65" s="260"/>
      <c r="P65" s="260" t="s">
        <v>350</v>
      </c>
      <c r="Q65" s="260"/>
      <c r="R65" s="265" t="s">
        <v>335</v>
      </c>
      <c r="S65" s="260"/>
      <c r="T65" s="265" t="s">
        <v>389</v>
      </c>
      <c r="U65" s="260"/>
      <c r="V65" s="265" t="s">
        <v>393</v>
      </c>
      <c r="W65" s="260"/>
      <c r="X65" s="265" t="s">
        <v>357</v>
      </c>
      <c r="Y65" s="260"/>
      <c r="Z65" s="260" t="s">
        <v>350</v>
      </c>
      <c r="AA65" s="260"/>
      <c r="AB65" s="260" t="s">
        <v>350</v>
      </c>
      <c r="AC65" s="260"/>
      <c r="AD65" s="260" t="s">
        <v>350</v>
      </c>
      <c r="AE65" s="260"/>
      <c r="AF65" s="366"/>
      <c r="AG65" s="729"/>
      <c r="AH65" s="725"/>
      <c r="AI65" s="725"/>
      <c r="AJ65" s="725"/>
      <c r="AK65" s="725"/>
      <c r="AL65" s="725"/>
      <c r="AM65" s="725"/>
      <c r="AN65" s="725"/>
      <c r="AO65" s="727"/>
    </row>
    <row r="66" spans="1:75" s="166" customFormat="1" ht="14.1" customHeight="1">
      <c r="A66" s="365"/>
      <c r="B66" s="205"/>
      <c r="C66" s="205"/>
      <c r="D66" s="205"/>
      <c r="E66" s="373"/>
      <c r="F66" s="205"/>
      <c r="G66" s="373"/>
      <c r="H66" s="205"/>
      <c r="I66" s="205"/>
      <c r="J66" s="205"/>
      <c r="K66" s="373"/>
      <c r="L66" s="205"/>
      <c r="M66" s="373"/>
      <c r="N66" s="205"/>
      <c r="O66" s="373"/>
      <c r="P66" s="205"/>
      <c r="Q66" s="205"/>
      <c r="R66" s="205"/>
      <c r="S66" s="205"/>
      <c r="T66" s="205"/>
      <c r="U66" s="373"/>
      <c r="V66" s="205"/>
      <c r="W66" s="261"/>
      <c r="X66" s="205"/>
      <c r="Y66" s="205"/>
      <c r="Z66" s="205"/>
      <c r="AA66" s="205"/>
      <c r="AB66" s="205"/>
      <c r="AC66" s="376"/>
      <c r="AD66" s="205"/>
      <c r="AE66" s="376"/>
      <c r="AF66" s="366"/>
      <c r="AG66" s="730"/>
      <c r="AH66" s="726"/>
      <c r="AI66" s="726"/>
      <c r="AJ66" s="726"/>
      <c r="AK66" s="726"/>
      <c r="AL66" s="726"/>
      <c r="AM66" s="726"/>
      <c r="AN66" s="726"/>
      <c r="AO66" s="728"/>
    </row>
    <row r="67" spans="1:75" s="166" customFormat="1" ht="13.5" customHeight="1">
      <c r="A67" s="365"/>
      <c r="B67" s="205"/>
      <c r="C67" s="205"/>
      <c r="D67" s="205"/>
      <c r="E67" s="205"/>
      <c r="F67" s="205"/>
      <c r="G67" s="205"/>
      <c r="H67" s="205"/>
      <c r="I67" s="374"/>
      <c r="J67" s="205"/>
      <c r="K67" s="205"/>
      <c r="L67" s="205"/>
      <c r="M67" s="205"/>
      <c r="N67" s="205"/>
      <c r="O67" s="205"/>
      <c r="P67" s="205"/>
      <c r="Q67" s="205"/>
      <c r="R67" s="205"/>
      <c r="S67" s="590" t="s">
        <v>1124</v>
      </c>
      <c r="T67" s="205"/>
      <c r="U67" s="205"/>
      <c r="V67" s="205"/>
      <c r="W67" s="590" t="s">
        <v>1125</v>
      </c>
      <c r="X67" s="205"/>
      <c r="Y67" s="205"/>
      <c r="Z67" s="205"/>
      <c r="AA67" s="590" t="s">
        <v>1124</v>
      </c>
      <c r="AB67" s="205"/>
      <c r="AC67" s="205"/>
      <c r="AD67" s="205"/>
      <c r="AE67" s="205"/>
      <c r="AF67" s="366"/>
      <c r="AG67" s="734">
        <v>10</v>
      </c>
      <c r="AH67" s="735">
        <v>9</v>
      </c>
      <c r="AI67" s="735">
        <f>AG67-AH67</f>
        <v>1</v>
      </c>
      <c r="AJ67" s="735">
        <f>COUNTA($D$58:$V$58)</f>
        <v>10</v>
      </c>
      <c r="AK67" s="735">
        <v>7</v>
      </c>
      <c r="AL67" s="735">
        <f>AJ67-AK67</f>
        <v>3</v>
      </c>
      <c r="AM67" s="735">
        <v>0.91500000000000004</v>
      </c>
      <c r="AN67" s="735">
        <f>0.672+0.243</f>
        <v>0.91500000000000004</v>
      </c>
      <c r="AO67" s="736"/>
    </row>
    <row r="68" spans="1:75" s="166" customFormat="1" ht="14.1" customHeight="1">
      <c r="A68" s="205"/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B68" s="205"/>
      <c r="AC68" s="205"/>
      <c r="AD68" s="205"/>
      <c r="AE68" s="205"/>
      <c r="AF68" s="366"/>
      <c r="AG68" s="730"/>
      <c r="AH68" s="726"/>
      <c r="AI68" s="726"/>
      <c r="AJ68" s="726"/>
      <c r="AK68" s="726"/>
      <c r="AL68" s="726"/>
      <c r="AM68" s="726"/>
      <c r="AN68" s="726"/>
      <c r="AO68" s="728"/>
    </row>
    <row r="69" spans="1:75" s="166" customFormat="1" ht="13.5" customHeight="1">
      <c r="A69" s="365"/>
      <c r="B69" s="205"/>
      <c r="C69" s="205"/>
      <c r="D69" s="205"/>
      <c r="E69" s="205"/>
      <c r="F69" s="205"/>
      <c r="G69" s="205"/>
      <c r="H69" s="205"/>
      <c r="I69" s="205"/>
      <c r="J69" s="205"/>
      <c r="K69" s="374"/>
      <c r="L69" s="205"/>
      <c r="M69" s="205"/>
      <c r="N69" s="205"/>
      <c r="O69" s="205"/>
      <c r="P69" s="205"/>
      <c r="Q69" s="205"/>
      <c r="R69" s="205"/>
      <c r="S69" s="205"/>
      <c r="T69" s="205"/>
      <c r="U69" s="205"/>
      <c r="V69" s="205"/>
      <c r="W69" s="205"/>
      <c r="X69" s="205"/>
      <c r="Y69" s="205"/>
      <c r="Z69" s="205"/>
      <c r="AA69" s="205"/>
      <c r="AB69" s="205"/>
      <c r="AC69" s="205"/>
      <c r="AD69" s="205"/>
      <c r="AE69" s="205"/>
      <c r="AF69" s="366"/>
      <c r="AG69" s="734">
        <v>10</v>
      </c>
      <c r="AH69" s="735">
        <v>10</v>
      </c>
      <c r="AI69" s="735">
        <f>AG69-AH69</f>
        <v>0</v>
      </c>
      <c r="AJ69" s="735">
        <f>COUNTA($B$71:$L$71)</f>
        <v>6</v>
      </c>
      <c r="AK69" s="735">
        <v>9</v>
      </c>
      <c r="AL69" s="735">
        <f>AJ69-AK69</f>
        <v>-3</v>
      </c>
      <c r="AM69" s="735"/>
      <c r="AN69" s="735"/>
      <c r="AO69" s="736"/>
    </row>
    <row r="70" spans="1:75" s="166" customFormat="1" ht="13.5" customHeight="1">
      <c r="A70" s="365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66"/>
      <c r="AG70" s="729"/>
      <c r="AH70" s="725"/>
      <c r="AI70" s="725"/>
      <c r="AJ70" s="725"/>
      <c r="AK70" s="725"/>
      <c r="AL70" s="725"/>
      <c r="AM70" s="725"/>
      <c r="AN70" s="725"/>
      <c r="AO70" s="727"/>
    </row>
    <row r="71" spans="1:75" s="197" customFormat="1" ht="13.5" customHeight="1">
      <c r="A71" s="626"/>
      <c r="B71" s="627" t="s">
        <v>419</v>
      </c>
      <c r="C71" s="265"/>
      <c r="D71" s="627" t="s">
        <v>405</v>
      </c>
      <c r="E71" s="265"/>
      <c r="F71" s="627" t="s">
        <v>430</v>
      </c>
      <c r="G71" s="265"/>
      <c r="H71" s="627" t="s">
        <v>406</v>
      </c>
      <c r="I71" s="265"/>
      <c r="J71" s="627" t="s">
        <v>411</v>
      </c>
      <c r="K71" s="265"/>
      <c r="L71" s="627" t="s">
        <v>422</v>
      </c>
      <c r="M71" s="265"/>
      <c r="N71" s="627" t="s">
        <v>551</v>
      </c>
      <c r="O71" s="265"/>
      <c r="P71" s="627" t="s">
        <v>417</v>
      </c>
      <c r="Q71" s="265"/>
      <c r="R71" s="627" t="s">
        <v>410</v>
      </c>
      <c r="S71" s="265"/>
      <c r="T71" s="627" t="s">
        <v>425</v>
      </c>
      <c r="U71" s="265"/>
      <c r="V71" s="627" t="s">
        <v>423</v>
      </c>
      <c r="W71" s="265"/>
      <c r="X71" s="627" t="s">
        <v>385</v>
      </c>
      <c r="Y71" s="265"/>
      <c r="Z71" s="627" t="s">
        <v>180</v>
      </c>
      <c r="AA71" s="265"/>
      <c r="AB71" s="627" t="s">
        <v>371</v>
      </c>
      <c r="AC71" s="265"/>
      <c r="AD71" s="627" t="s">
        <v>383</v>
      </c>
      <c r="AE71" s="265"/>
      <c r="AF71" s="628"/>
      <c r="AG71" s="729"/>
      <c r="AH71" s="725"/>
      <c r="AI71" s="725"/>
      <c r="AJ71" s="725"/>
      <c r="AK71" s="725"/>
      <c r="AL71" s="725"/>
      <c r="AM71" s="725"/>
      <c r="AN71" s="725"/>
      <c r="AO71" s="727"/>
    </row>
    <row r="72" spans="1:75" s="166" customFormat="1" ht="13.5" customHeight="1">
      <c r="A72" s="365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66"/>
      <c r="AG72" s="729"/>
      <c r="AH72" s="725"/>
      <c r="AI72" s="725"/>
      <c r="AJ72" s="725"/>
      <c r="AK72" s="725"/>
      <c r="AL72" s="725"/>
      <c r="AM72" s="725"/>
      <c r="AN72" s="725"/>
      <c r="AO72" s="727"/>
    </row>
    <row r="73" spans="1:75" s="166" customFormat="1" ht="13.5" customHeight="1">
      <c r="A73" s="365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66"/>
      <c r="AG73" s="729"/>
      <c r="AH73" s="725"/>
      <c r="AI73" s="725"/>
      <c r="AJ73" s="725"/>
      <c r="AK73" s="725"/>
      <c r="AL73" s="725"/>
      <c r="AM73" s="725"/>
      <c r="AN73" s="725"/>
      <c r="AO73" s="727"/>
    </row>
    <row r="74" spans="1:75" s="166" customFormat="1" ht="13.5" customHeight="1" thickBot="1">
      <c r="A74" s="365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66"/>
      <c r="AG74" s="729"/>
      <c r="AH74" s="725"/>
      <c r="AI74" s="725"/>
      <c r="AJ74" s="725"/>
      <c r="AK74" s="725"/>
      <c r="AL74" s="725"/>
      <c r="AM74" s="725"/>
      <c r="AN74" s="725"/>
      <c r="AO74" s="727"/>
      <c r="BV74" s="587">
        <v>14</v>
      </c>
      <c r="BW74" s="587">
        <v>14</v>
      </c>
    </row>
    <row r="75" spans="1:75" s="166" customFormat="1" ht="13.5" customHeight="1">
      <c r="A75" s="372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719"/>
      <c r="S75" s="185"/>
      <c r="T75" s="719"/>
      <c r="U75" s="185"/>
      <c r="V75" s="719"/>
      <c r="W75" s="185"/>
      <c r="X75" s="186"/>
      <c r="Y75" s="185"/>
      <c r="Z75" s="186"/>
      <c r="AA75" s="185"/>
      <c r="AB75" s="186"/>
      <c r="AC75" s="185"/>
      <c r="AD75" s="186"/>
      <c r="AE75" s="185"/>
      <c r="AF75" s="366"/>
      <c r="AG75" s="729"/>
      <c r="AH75" s="725"/>
      <c r="AI75" s="725"/>
      <c r="AJ75" s="725"/>
      <c r="AK75" s="725"/>
      <c r="AL75" s="725"/>
      <c r="AM75" s="725"/>
      <c r="AN75" s="725"/>
      <c r="AO75" s="727"/>
    </row>
    <row r="76" spans="1:75" s="166" customFormat="1" ht="13.5" customHeight="1">
      <c r="A76" s="372"/>
      <c r="B76" s="189"/>
      <c r="C76" s="371">
        <v>366.00299999999999</v>
      </c>
      <c r="D76" s="189"/>
      <c r="E76" s="371">
        <v>376</v>
      </c>
      <c r="F76" s="189"/>
      <c r="G76" s="371">
        <v>368</v>
      </c>
      <c r="H76" s="195"/>
      <c r="I76" s="371">
        <v>373.96499999999997</v>
      </c>
      <c r="J76" s="195"/>
      <c r="K76" s="371">
        <v>373.005</v>
      </c>
      <c r="L76" s="195"/>
      <c r="M76" s="371">
        <v>362.45</v>
      </c>
      <c r="N76" s="200"/>
      <c r="O76" s="371">
        <v>323</v>
      </c>
      <c r="P76" s="195"/>
      <c r="Q76" s="371">
        <v>299</v>
      </c>
      <c r="R76" s="720"/>
      <c r="S76" s="371">
        <v>350.38099999999997</v>
      </c>
      <c r="T76" s="720"/>
      <c r="U76" s="371">
        <v>333.99700000000001</v>
      </c>
      <c r="V76" s="720"/>
      <c r="W76" s="371">
        <v>394</v>
      </c>
      <c r="X76" s="195"/>
      <c r="Y76" s="371">
        <v>363</v>
      </c>
      <c r="Z76" s="189"/>
      <c r="AA76" s="371">
        <v>413</v>
      </c>
      <c r="AB76" s="189"/>
      <c r="AC76" s="371">
        <v>376</v>
      </c>
      <c r="AD76" s="189"/>
      <c r="AE76" s="371">
        <v>388</v>
      </c>
      <c r="AF76" s="366"/>
      <c r="AG76" s="729"/>
      <c r="AH76" s="725"/>
      <c r="AI76" s="725"/>
      <c r="AJ76" s="725"/>
      <c r="AK76" s="725"/>
      <c r="AL76" s="725"/>
      <c r="AM76" s="725"/>
      <c r="AN76" s="725"/>
      <c r="AO76" s="727"/>
    </row>
    <row r="77" spans="1:75" s="166" customFormat="1" ht="13.5" customHeight="1" thickBot="1">
      <c r="A77" s="372"/>
      <c r="B77" s="191"/>
      <c r="D77" s="191"/>
      <c r="F77" s="191"/>
      <c r="H77" s="191"/>
      <c r="J77" s="191"/>
      <c r="L77" s="191"/>
      <c r="N77" s="201"/>
      <c r="P77" s="191"/>
      <c r="R77" s="721"/>
      <c r="T77" s="721"/>
      <c r="V77" s="721"/>
      <c r="X77" s="191"/>
      <c r="Z77" s="191"/>
      <c r="AB77" s="191"/>
      <c r="AD77" s="191"/>
      <c r="AF77" s="366"/>
      <c r="AG77" s="729"/>
      <c r="AH77" s="725"/>
      <c r="AI77" s="725"/>
      <c r="AJ77" s="725"/>
      <c r="AK77" s="725"/>
      <c r="AL77" s="725"/>
      <c r="AM77" s="725"/>
      <c r="AN77" s="725"/>
      <c r="AO77" s="727"/>
    </row>
    <row r="78" spans="1:75" s="166" customFormat="1" ht="14.1" customHeight="1">
      <c r="A78" s="365"/>
      <c r="B78" s="265" t="s">
        <v>302</v>
      </c>
      <c r="C78" s="260"/>
      <c r="D78" s="265" t="s">
        <v>350</v>
      </c>
      <c r="E78" s="260"/>
      <c r="F78" s="265" t="s">
        <v>350</v>
      </c>
      <c r="G78" s="260"/>
      <c r="H78" s="265" t="s">
        <v>350</v>
      </c>
      <c r="I78" s="260"/>
      <c r="J78" s="260" t="s">
        <v>300</v>
      </c>
      <c r="K78" s="260"/>
      <c r="L78" s="265" t="s">
        <v>396</v>
      </c>
      <c r="M78" s="260"/>
      <c r="N78" s="265" t="s">
        <v>298</v>
      </c>
      <c r="O78" s="260"/>
      <c r="P78" s="260" t="s">
        <v>396</v>
      </c>
      <c r="Q78" s="260"/>
      <c r="R78" s="265" t="s">
        <v>396</v>
      </c>
      <c r="S78" s="260"/>
      <c r="T78" s="265" t="s">
        <v>330</v>
      </c>
      <c r="U78" s="260"/>
      <c r="V78" s="265" t="s">
        <v>350</v>
      </c>
      <c r="W78" s="260"/>
      <c r="X78" s="260" t="s">
        <v>350</v>
      </c>
      <c r="Y78" s="260"/>
      <c r="Z78" s="265" t="s">
        <v>350</v>
      </c>
      <c r="AA78" s="260"/>
      <c r="AB78" s="260" t="s">
        <v>357</v>
      </c>
      <c r="AC78" s="260"/>
      <c r="AD78" s="260" t="s">
        <v>350</v>
      </c>
      <c r="AE78" s="260"/>
      <c r="AF78" s="366"/>
      <c r="AG78" s="729"/>
      <c r="AH78" s="725"/>
      <c r="AI78" s="725"/>
      <c r="AJ78" s="725"/>
      <c r="AK78" s="725"/>
      <c r="AL78" s="725"/>
      <c r="AM78" s="725"/>
      <c r="AN78" s="725"/>
      <c r="AO78" s="727"/>
    </row>
    <row r="79" spans="1:75" s="205" customFormat="1" ht="14.1" customHeight="1" thickBot="1">
      <c r="A79" s="365"/>
      <c r="C79" s="373"/>
      <c r="G79" s="261"/>
      <c r="I79" s="379"/>
      <c r="O79" s="639" t="s">
        <v>1126</v>
      </c>
      <c r="Q79" s="374"/>
      <c r="W79" s="260"/>
      <c r="AA79" s="260"/>
      <c r="AC79" s="260"/>
      <c r="AE79" s="260"/>
      <c r="AF79" s="366"/>
      <c r="AG79" s="731"/>
      <c r="AH79" s="732"/>
      <c r="AI79" s="732"/>
      <c r="AJ79" s="732"/>
      <c r="AK79" s="732"/>
      <c r="AL79" s="732"/>
      <c r="AM79" s="732"/>
      <c r="AN79" s="732"/>
      <c r="AO79" s="733"/>
    </row>
    <row r="80" spans="1:75" s="166" customFormat="1" ht="13.5" customHeight="1">
      <c r="A80" s="365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66"/>
      <c r="AG80" s="729"/>
      <c r="AH80" s="725"/>
      <c r="AI80" s="725"/>
      <c r="AJ80" s="725"/>
      <c r="AK80" s="725"/>
      <c r="AL80" s="725"/>
      <c r="AM80" s="725"/>
      <c r="AN80" s="725"/>
      <c r="AO80" s="727"/>
    </row>
    <row r="81" spans="1:75" s="166" customFormat="1" ht="13.5" customHeight="1">
      <c r="A81" s="365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66"/>
      <c r="AG81" s="729"/>
      <c r="AH81" s="725"/>
      <c r="AI81" s="725"/>
      <c r="AJ81" s="725"/>
      <c r="AK81" s="725"/>
      <c r="AL81" s="725"/>
      <c r="AM81" s="725"/>
      <c r="AN81" s="725"/>
      <c r="AO81" s="727"/>
    </row>
    <row r="82" spans="1:75" s="197" customFormat="1" ht="13.5" customHeight="1">
      <c r="A82" s="626"/>
      <c r="B82" s="265" t="s">
        <v>386</v>
      </c>
      <c r="C82" s="265"/>
      <c r="D82" s="265" t="s">
        <v>387</v>
      </c>
      <c r="E82" s="265"/>
      <c r="F82" s="265" t="s">
        <v>552</v>
      </c>
      <c r="G82" s="265"/>
      <c r="H82" s="265" t="s">
        <v>553</v>
      </c>
      <c r="I82" s="265"/>
      <c r="J82" s="265" t="s">
        <v>169</v>
      </c>
      <c r="K82" s="265"/>
      <c r="L82" s="265" t="s">
        <v>554</v>
      </c>
      <c r="M82" s="265"/>
      <c r="N82" s="265" t="s">
        <v>555</v>
      </c>
      <c r="O82" s="265"/>
      <c r="P82" s="265" t="s">
        <v>452</v>
      </c>
      <c r="Q82" s="265"/>
      <c r="R82" s="265" t="s">
        <v>458</v>
      </c>
      <c r="S82" s="265"/>
      <c r="T82" s="265" t="s">
        <v>454</v>
      </c>
      <c r="U82" s="265"/>
      <c r="V82" s="265" t="s">
        <v>556</v>
      </c>
      <c r="W82" s="265"/>
      <c r="X82" s="265" t="s">
        <v>557</v>
      </c>
      <c r="Y82" s="265"/>
      <c r="Z82" s="265" t="s">
        <v>558</v>
      </c>
      <c r="AA82" s="265"/>
      <c r="AB82" s="380" t="s">
        <v>559</v>
      </c>
      <c r="AC82" s="380"/>
      <c r="AD82" s="265" t="s">
        <v>445</v>
      </c>
      <c r="AE82" s="265"/>
      <c r="AF82" s="628"/>
      <c r="AG82" s="729"/>
      <c r="AH82" s="725"/>
      <c r="AI82" s="725"/>
      <c r="AJ82" s="725"/>
      <c r="AK82" s="725"/>
      <c r="AL82" s="725"/>
      <c r="AM82" s="725"/>
      <c r="AN82" s="725"/>
      <c r="AO82" s="727"/>
    </row>
    <row r="83" spans="1:75" s="166" customFormat="1" ht="13.5" customHeight="1">
      <c r="A83" s="365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66"/>
      <c r="AG83" s="729"/>
      <c r="AH83" s="725"/>
      <c r="AI83" s="725"/>
      <c r="AJ83" s="725"/>
      <c r="AK83" s="725"/>
      <c r="AL83" s="725"/>
      <c r="AM83" s="725"/>
      <c r="AN83" s="725"/>
      <c r="AO83" s="727"/>
    </row>
    <row r="84" spans="1:75" s="166" customFormat="1" ht="13.5" customHeight="1">
      <c r="A84" s="365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66"/>
      <c r="AG84" s="729"/>
      <c r="AH84" s="725"/>
      <c r="AI84" s="725"/>
      <c r="AJ84" s="725"/>
      <c r="AK84" s="725"/>
      <c r="AL84" s="725"/>
      <c r="AM84" s="725"/>
      <c r="AN84" s="725"/>
      <c r="AO84" s="727"/>
    </row>
    <row r="85" spans="1:75" s="166" customFormat="1" ht="13.5" customHeight="1" thickBot="1">
      <c r="A85" s="365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66"/>
      <c r="AG85" s="729"/>
      <c r="AH85" s="725"/>
      <c r="AI85" s="725"/>
      <c r="AJ85" s="725"/>
      <c r="AK85" s="725"/>
      <c r="AL85" s="725"/>
      <c r="AM85" s="725"/>
      <c r="AN85" s="725"/>
      <c r="AO85" s="727"/>
    </row>
    <row r="86" spans="1:75" s="166" customFormat="1" ht="14.1" customHeight="1">
      <c r="A86" s="372"/>
      <c r="B86" s="186"/>
      <c r="C86" s="185"/>
      <c r="D86" s="186"/>
      <c r="E86" s="185"/>
      <c r="F86" s="186"/>
      <c r="G86" s="185"/>
      <c r="H86" s="184"/>
      <c r="I86" s="185"/>
      <c r="J86" s="184"/>
      <c r="K86" s="185"/>
      <c r="L86" s="184"/>
      <c r="M86" s="185"/>
      <c r="N86" s="713" t="s">
        <v>67</v>
      </c>
      <c r="O86" s="185"/>
      <c r="P86" s="186"/>
      <c r="Q86" s="185"/>
      <c r="R86" s="186"/>
      <c r="S86" s="185"/>
      <c r="T86" s="186"/>
      <c r="U86" s="185"/>
      <c r="V86" s="184"/>
      <c r="W86" s="185"/>
      <c r="X86" s="262"/>
      <c r="Y86" s="185"/>
      <c r="Z86" s="184"/>
      <c r="AA86" s="185"/>
      <c r="AB86" s="186"/>
      <c r="AC86" s="185"/>
      <c r="AD86" s="186"/>
      <c r="AE86" s="185"/>
      <c r="AF86" s="366"/>
      <c r="AG86" s="729"/>
      <c r="AH86" s="725"/>
      <c r="AI86" s="725"/>
      <c r="AJ86" s="725"/>
      <c r="AK86" s="725"/>
      <c r="AL86" s="725"/>
      <c r="AM86" s="725"/>
      <c r="AN86" s="725"/>
      <c r="AO86" s="727"/>
      <c r="BV86" s="587">
        <v>9</v>
      </c>
      <c r="BW86" s="587">
        <v>2</v>
      </c>
    </row>
    <row r="87" spans="1:75" s="166" customFormat="1" ht="14.1" customHeight="1">
      <c r="A87" s="372"/>
      <c r="B87" s="189"/>
      <c r="C87" s="371">
        <v>378</v>
      </c>
      <c r="D87" s="189"/>
      <c r="E87" s="371">
        <v>342.70600000000002</v>
      </c>
      <c r="F87" s="189" t="s">
        <v>67</v>
      </c>
      <c r="G87" s="371">
        <v>259.34199999999998</v>
      </c>
      <c r="H87" s="188"/>
      <c r="I87" s="371">
        <v>268</v>
      </c>
      <c r="J87" s="188"/>
      <c r="K87" s="371">
        <v>276.41000000000003</v>
      </c>
      <c r="L87" s="188"/>
      <c r="M87" s="371">
        <v>438.12599999999998</v>
      </c>
      <c r="N87" s="714"/>
      <c r="O87" s="371">
        <v>399.67099999999999</v>
      </c>
      <c r="P87" s="189"/>
      <c r="Q87" s="371">
        <v>438.27600000000001</v>
      </c>
      <c r="R87" s="189" t="s">
        <v>67</v>
      </c>
      <c r="S87" s="371">
        <v>400</v>
      </c>
      <c r="T87" s="189"/>
      <c r="U87" s="371">
        <v>440</v>
      </c>
      <c r="V87" s="188"/>
      <c r="W87" s="371">
        <v>375</v>
      </c>
      <c r="X87" s="263"/>
      <c r="Y87" s="371">
        <v>298.19299999999998</v>
      </c>
      <c r="Z87" s="188"/>
      <c r="AA87" s="371">
        <v>348</v>
      </c>
      <c r="AB87" s="189" t="s">
        <v>67</v>
      </c>
      <c r="AC87" s="371">
        <v>422</v>
      </c>
      <c r="AD87" s="189"/>
      <c r="AE87" s="371">
        <v>242.87700000000001</v>
      </c>
      <c r="AF87" s="366"/>
      <c r="AG87" s="730"/>
      <c r="AH87" s="726"/>
      <c r="AI87" s="726"/>
      <c r="AJ87" s="726"/>
      <c r="AK87" s="726"/>
      <c r="AL87" s="726"/>
      <c r="AM87" s="726"/>
      <c r="AN87" s="726"/>
      <c r="AO87" s="728"/>
    </row>
    <row r="88" spans="1:75" s="166" customFormat="1" ht="13.5" customHeight="1" thickBot="1">
      <c r="A88" s="372"/>
      <c r="B88" s="191"/>
      <c r="D88" s="191"/>
      <c r="F88" s="191"/>
      <c r="H88" s="190"/>
      <c r="J88" s="190"/>
      <c r="L88" s="190"/>
      <c r="N88" s="715"/>
      <c r="P88" s="191"/>
      <c r="R88" s="191"/>
      <c r="T88" s="191"/>
      <c r="V88" s="190"/>
      <c r="X88" s="264"/>
      <c r="Z88" s="190"/>
      <c r="AB88" s="191"/>
      <c r="AD88" s="191"/>
      <c r="AF88" s="366"/>
      <c r="AG88" s="734">
        <v>10</v>
      </c>
      <c r="AH88" s="735">
        <v>7</v>
      </c>
      <c r="AI88" s="735">
        <f>AG88-AH88</f>
        <v>3</v>
      </c>
      <c r="AJ88" s="735">
        <f>COUNTA($DF$98:$DX$98)</f>
        <v>10</v>
      </c>
      <c r="AK88" s="735">
        <v>5</v>
      </c>
      <c r="AL88" s="735">
        <v>5</v>
      </c>
      <c r="AM88" s="735"/>
      <c r="AN88" s="735"/>
      <c r="AO88" s="736"/>
    </row>
    <row r="89" spans="1:75" s="166" customFormat="1" ht="16.5" customHeight="1">
      <c r="A89" s="365"/>
      <c r="B89" s="260" t="s">
        <v>350</v>
      </c>
      <c r="C89" s="260"/>
      <c r="D89" s="260" t="s">
        <v>350</v>
      </c>
      <c r="E89" s="260"/>
      <c r="F89" s="260" t="s">
        <v>373</v>
      </c>
      <c r="G89" s="260"/>
      <c r="H89" s="265" t="s">
        <v>330</v>
      </c>
      <c r="I89" s="260"/>
      <c r="J89" s="265" t="s">
        <v>560</v>
      </c>
      <c r="K89" s="260"/>
      <c r="L89" s="265" t="s">
        <v>560</v>
      </c>
      <c r="M89" s="260"/>
      <c r="N89" s="260" t="s">
        <v>357</v>
      </c>
      <c r="O89" s="260"/>
      <c r="P89" s="260" t="s">
        <v>357</v>
      </c>
      <c r="Q89" s="260"/>
      <c r="R89" s="265" t="s">
        <v>357</v>
      </c>
      <c r="S89" s="260"/>
      <c r="T89" s="260" t="s">
        <v>350</v>
      </c>
      <c r="U89" s="260"/>
      <c r="V89" s="260" t="s">
        <v>357</v>
      </c>
      <c r="W89" s="260"/>
      <c r="X89" s="260" t="s">
        <v>560</v>
      </c>
      <c r="Y89" s="260"/>
      <c r="Z89" s="260" t="s">
        <v>305</v>
      </c>
      <c r="AA89" s="260"/>
      <c r="AB89" s="265" t="s">
        <v>561</v>
      </c>
      <c r="AC89" s="260"/>
      <c r="AD89" s="265" t="s">
        <v>298</v>
      </c>
      <c r="AE89" s="260"/>
      <c r="AF89" s="366"/>
      <c r="AG89" s="729"/>
      <c r="AH89" s="725"/>
      <c r="AI89" s="725"/>
      <c r="AJ89" s="725"/>
      <c r="AK89" s="725"/>
      <c r="AL89" s="725"/>
      <c r="AM89" s="725"/>
      <c r="AN89" s="725"/>
      <c r="AO89" s="727"/>
    </row>
    <row r="90" spans="1:75" s="166" customFormat="1" ht="13.5" customHeight="1">
      <c r="A90" s="365"/>
      <c r="B90" s="205"/>
      <c r="C90" s="261"/>
      <c r="D90" s="205"/>
      <c r="E90" s="260"/>
      <c r="F90" s="205"/>
      <c r="G90" s="590" t="s">
        <v>1127</v>
      </c>
      <c r="H90" s="205"/>
      <c r="I90" s="260"/>
      <c r="J90" s="205"/>
      <c r="K90" s="640" t="s">
        <v>1129</v>
      </c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590" t="s">
        <v>1130</v>
      </c>
      <c r="Z90" s="205"/>
      <c r="AA90" s="205"/>
      <c r="AB90" s="205"/>
      <c r="AC90" s="261"/>
      <c r="AD90" s="205"/>
      <c r="AE90" s="205"/>
      <c r="AF90" s="366"/>
      <c r="AG90" s="729"/>
      <c r="AH90" s="725"/>
      <c r="AI90" s="725"/>
      <c r="AJ90" s="725"/>
      <c r="AK90" s="725"/>
      <c r="AL90" s="725"/>
      <c r="AM90" s="725"/>
      <c r="AN90" s="725"/>
      <c r="AO90" s="727"/>
    </row>
    <row r="91" spans="1:75" s="166" customFormat="1" ht="13.5" customHeight="1">
      <c r="A91" s="365"/>
      <c r="B91" s="205"/>
      <c r="C91" s="205"/>
      <c r="D91" s="205"/>
      <c r="E91" s="205"/>
      <c r="F91" s="205"/>
      <c r="G91" s="590" t="s">
        <v>1128</v>
      </c>
      <c r="H91" s="205"/>
      <c r="I91" s="205"/>
      <c r="J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C91" s="205"/>
      <c r="AD91" s="205"/>
      <c r="AE91" s="205"/>
      <c r="AF91" s="366"/>
      <c r="AG91" s="729"/>
      <c r="AH91" s="725"/>
      <c r="AI91" s="725"/>
      <c r="AJ91" s="725"/>
      <c r="AK91" s="725"/>
      <c r="AL91" s="725"/>
      <c r="AM91" s="725"/>
      <c r="AN91" s="725"/>
      <c r="AO91" s="727"/>
    </row>
    <row r="92" spans="1:75" s="166" customFormat="1" ht="13.5" customHeight="1">
      <c r="A92" s="365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66"/>
      <c r="AG92" s="729"/>
      <c r="AH92" s="725"/>
      <c r="AI92" s="725"/>
      <c r="AJ92" s="725"/>
      <c r="AK92" s="725"/>
      <c r="AL92" s="725"/>
      <c r="AM92" s="725"/>
      <c r="AN92" s="725"/>
      <c r="AO92" s="727"/>
    </row>
    <row r="93" spans="1:75" s="166" customFormat="1" ht="13.5" customHeight="1">
      <c r="A93" s="365"/>
      <c r="B93" s="260" t="s">
        <v>453</v>
      </c>
      <c r="C93" s="260"/>
      <c r="D93" s="260" t="s">
        <v>455</v>
      </c>
      <c r="E93" s="260"/>
      <c r="F93" s="260" t="s">
        <v>459</v>
      </c>
      <c r="G93" s="260"/>
      <c r="H93" s="260" t="s">
        <v>562</v>
      </c>
      <c r="I93" s="260"/>
      <c r="J93" s="260" t="s">
        <v>450</v>
      </c>
      <c r="K93" s="260"/>
      <c r="L93" s="260" t="s">
        <v>358</v>
      </c>
      <c r="M93" s="260"/>
      <c r="N93" s="260" t="s">
        <v>456</v>
      </c>
      <c r="O93" s="260"/>
      <c r="P93" s="260" t="s">
        <v>349</v>
      </c>
      <c r="Q93" s="260"/>
      <c r="R93" s="260" t="s">
        <v>354</v>
      </c>
      <c r="S93" s="260"/>
      <c r="T93" s="260" t="s">
        <v>356</v>
      </c>
      <c r="U93" s="260"/>
      <c r="V93" s="260" t="s">
        <v>361</v>
      </c>
      <c r="W93" s="260"/>
      <c r="X93" s="260" t="s">
        <v>360</v>
      </c>
      <c r="Y93" s="205"/>
      <c r="Z93" s="260" t="s">
        <v>359</v>
      </c>
      <c r="AA93" s="260"/>
      <c r="AB93" s="260" t="s">
        <v>362</v>
      </c>
      <c r="AC93" s="260"/>
      <c r="AD93" s="260" t="s">
        <v>363</v>
      </c>
      <c r="AE93" s="260"/>
      <c r="AF93" s="366"/>
      <c r="AG93" s="729"/>
      <c r="AH93" s="725"/>
      <c r="AI93" s="725"/>
      <c r="AJ93" s="725"/>
      <c r="AK93" s="725"/>
      <c r="AL93" s="725"/>
      <c r="AM93" s="725"/>
      <c r="AN93" s="725"/>
      <c r="AO93" s="727"/>
    </row>
    <row r="94" spans="1:75" s="166" customFormat="1" ht="13.5" customHeight="1">
      <c r="A94" s="365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66"/>
      <c r="AG94" s="729"/>
      <c r="AH94" s="725"/>
      <c r="AI94" s="725"/>
      <c r="AJ94" s="725"/>
      <c r="AK94" s="725"/>
      <c r="AL94" s="725"/>
      <c r="AM94" s="725"/>
      <c r="AN94" s="725"/>
      <c r="AO94" s="727"/>
    </row>
    <row r="95" spans="1:75" s="166" customFormat="1" ht="13.5" customHeight="1">
      <c r="A95" s="365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66"/>
      <c r="AG95" s="729"/>
      <c r="AH95" s="725"/>
      <c r="AI95" s="725"/>
      <c r="AJ95" s="725"/>
      <c r="AK95" s="725"/>
      <c r="AL95" s="725"/>
      <c r="AM95" s="725"/>
      <c r="AN95" s="725"/>
      <c r="AO95" s="727"/>
    </row>
    <row r="96" spans="1:75" s="166" customFormat="1" ht="13.5" customHeight="1" thickBot="1">
      <c r="A96" s="365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66"/>
      <c r="AG96" s="729"/>
      <c r="AH96" s="725"/>
      <c r="AI96" s="725"/>
      <c r="AJ96" s="725"/>
      <c r="AK96" s="725"/>
      <c r="AL96" s="725"/>
      <c r="AM96" s="725"/>
      <c r="AN96" s="725"/>
      <c r="AO96" s="727"/>
    </row>
    <row r="97" spans="1:129" s="166" customFormat="1" ht="13.5" customHeight="1">
      <c r="A97" s="372"/>
      <c r="B97" s="186"/>
      <c r="C97" s="185"/>
      <c r="D97" s="186"/>
      <c r="E97" s="185"/>
      <c r="F97" s="186"/>
      <c r="G97" s="185"/>
      <c r="H97" s="207"/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66"/>
      <c r="AG97" s="729"/>
      <c r="AH97" s="725"/>
      <c r="AI97" s="725"/>
      <c r="AJ97" s="725"/>
      <c r="AK97" s="725"/>
      <c r="AL97" s="725"/>
      <c r="AM97" s="725"/>
      <c r="AN97" s="725"/>
      <c r="AO97" s="727"/>
      <c r="BV97" s="587">
        <v>15</v>
      </c>
      <c r="BW97" s="587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2"/>
      <c r="B98" s="189"/>
      <c r="C98" s="371">
        <v>234.98</v>
      </c>
      <c r="D98" s="189" t="s">
        <v>67</v>
      </c>
      <c r="E98" s="371">
        <v>375.72</v>
      </c>
      <c r="F98" s="189" t="s">
        <v>67</v>
      </c>
      <c r="G98" s="371">
        <v>348</v>
      </c>
      <c r="H98" s="189"/>
      <c r="I98" s="371">
        <v>355.50400000000002</v>
      </c>
      <c r="J98" s="189"/>
      <c r="K98" s="371">
        <v>380.67899999999997</v>
      </c>
      <c r="L98" s="189"/>
      <c r="M98" s="371">
        <v>408</v>
      </c>
      <c r="N98" s="189"/>
      <c r="O98" s="371">
        <v>413</v>
      </c>
      <c r="P98" s="189"/>
      <c r="Q98" s="371">
        <v>381</v>
      </c>
      <c r="R98" s="189"/>
      <c r="S98" s="371">
        <v>364</v>
      </c>
      <c r="T98" s="189"/>
      <c r="U98" s="371">
        <v>404.71</v>
      </c>
      <c r="V98" s="189"/>
      <c r="W98" s="371">
        <v>406.00099999999998</v>
      </c>
      <c r="X98" s="195"/>
      <c r="Y98" s="371">
        <v>402</v>
      </c>
      <c r="Z98" s="189"/>
      <c r="AA98" s="371">
        <v>365</v>
      </c>
      <c r="AB98" s="189"/>
      <c r="AC98" s="371">
        <v>420</v>
      </c>
      <c r="AD98" s="189"/>
      <c r="AE98" s="371">
        <v>408.99900000000002</v>
      </c>
      <c r="AF98" s="366"/>
      <c r="AG98" s="729"/>
      <c r="AH98" s="725"/>
      <c r="AI98" s="725"/>
      <c r="AJ98" s="725"/>
      <c r="AK98" s="725"/>
      <c r="AL98" s="725"/>
      <c r="AM98" s="725"/>
      <c r="AN98" s="725"/>
      <c r="AO98" s="727"/>
      <c r="DF98" s="183" t="s">
        <v>563</v>
      </c>
      <c r="DG98" s="183"/>
      <c r="DH98" s="183" t="s">
        <v>564</v>
      </c>
      <c r="DI98" s="183"/>
      <c r="DJ98" s="183" t="s">
        <v>167</v>
      </c>
      <c r="DK98" s="183"/>
      <c r="DL98" s="183" t="s">
        <v>565</v>
      </c>
      <c r="DM98" s="183"/>
      <c r="DN98" s="183" t="s">
        <v>566</v>
      </c>
      <c r="DO98" s="183"/>
      <c r="DP98" s="183" t="s">
        <v>567</v>
      </c>
      <c r="DQ98" s="183"/>
      <c r="DR98" s="183" t="s">
        <v>568</v>
      </c>
      <c r="DS98" s="183"/>
      <c r="DT98" s="183" t="s">
        <v>569</v>
      </c>
      <c r="DU98" s="183"/>
      <c r="DV98" s="183" t="s">
        <v>570</v>
      </c>
      <c r="DW98" s="183"/>
      <c r="DX98" s="183" t="s">
        <v>571</v>
      </c>
      <c r="DY98" s="183"/>
    </row>
    <row r="99" spans="1:129" s="166" customFormat="1" ht="13.5" customHeight="1" thickBot="1">
      <c r="A99" s="372"/>
      <c r="B99" s="191"/>
      <c r="D99" s="191"/>
      <c r="F99" s="191"/>
      <c r="H99" s="208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66"/>
      <c r="AG99" s="729"/>
      <c r="AH99" s="725"/>
      <c r="AI99" s="725"/>
      <c r="AJ99" s="725"/>
      <c r="AK99" s="725"/>
      <c r="AL99" s="725"/>
      <c r="AM99" s="725"/>
      <c r="AN99" s="725"/>
      <c r="AO99" s="727"/>
    </row>
    <row r="100" spans="1:129" s="166" customFormat="1" ht="14.1" customHeight="1">
      <c r="A100" s="365"/>
      <c r="B100" s="260" t="s">
        <v>350</v>
      </c>
      <c r="C100" s="260"/>
      <c r="D100" s="260" t="s">
        <v>373</v>
      </c>
      <c r="E100" s="260"/>
      <c r="F100" s="260" t="s">
        <v>330</v>
      </c>
      <c r="G100" s="260"/>
      <c r="H100" s="265" t="s">
        <v>396</v>
      </c>
      <c r="I100" s="260"/>
      <c r="J100" s="260" t="s">
        <v>300</v>
      </c>
      <c r="K100" s="260"/>
      <c r="L100" s="260" t="s">
        <v>350</v>
      </c>
      <c r="M100" s="260"/>
      <c r="N100" s="260" t="s">
        <v>357</v>
      </c>
      <c r="O100" s="260"/>
      <c r="P100" s="260" t="s">
        <v>350</v>
      </c>
      <c r="Q100" s="260"/>
      <c r="R100" s="260" t="s">
        <v>350</v>
      </c>
      <c r="S100" s="260"/>
      <c r="T100" s="265" t="s">
        <v>357</v>
      </c>
      <c r="U100" s="260"/>
      <c r="V100" s="260" t="s">
        <v>300</v>
      </c>
      <c r="W100" s="260"/>
      <c r="X100" s="260" t="s">
        <v>357</v>
      </c>
      <c r="Y100" s="260"/>
      <c r="Z100" s="260" t="s">
        <v>350</v>
      </c>
      <c r="AA100" s="260"/>
      <c r="AB100" s="260" t="s">
        <v>350</v>
      </c>
      <c r="AC100" s="260"/>
      <c r="AD100" s="260" t="s">
        <v>357</v>
      </c>
      <c r="AE100" s="260"/>
      <c r="AF100" s="366"/>
      <c r="AG100" s="729"/>
      <c r="AH100" s="725"/>
      <c r="AI100" s="725"/>
      <c r="AJ100" s="725"/>
      <c r="AK100" s="725"/>
      <c r="AL100" s="725"/>
      <c r="AM100" s="725"/>
      <c r="AN100" s="725"/>
      <c r="AO100" s="727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" customHeight="1">
      <c r="A101" s="365"/>
      <c r="B101" s="205"/>
      <c r="C101" s="641" t="s">
        <v>1020</v>
      </c>
      <c r="D101" s="205"/>
      <c r="E101" s="641" t="s">
        <v>1131</v>
      </c>
      <c r="F101" s="205" t="s">
        <v>572</v>
      </c>
      <c r="G101" s="260"/>
      <c r="H101" s="205"/>
      <c r="I101" s="591" t="s">
        <v>1133</v>
      </c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66"/>
      <c r="AG101" s="730"/>
      <c r="AH101" s="726"/>
      <c r="AI101" s="726"/>
      <c r="AJ101" s="726"/>
      <c r="AK101" s="726"/>
      <c r="AL101" s="726"/>
      <c r="AM101" s="726"/>
      <c r="AN101" s="726"/>
      <c r="AO101" s="728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65"/>
      <c r="B102" s="205"/>
      <c r="C102" s="641" t="s">
        <v>1132</v>
      </c>
      <c r="D102" s="205"/>
      <c r="E102" s="641" t="s">
        <v>1132</v>
      </c>
      <c r="F102" s="205"/>
      <c r="G102" s="38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66"/>
      <c r="AG102" s="729"/>
      <c r="AH102" s="725"/>
      <c r="AI102" s="725"/>
      <c r="AJ102" s="725"/>
      <c r="AK102" s="725"/>
      <c r="AL102" s="725"/>
      <c r="AM102" s="725"/>
      <c r="AN102" s="725"/>
      <c r="AO102" s="727"/>
      <c r="DF102" s="195" t="s">
        <v>351</v>
      </c>
      <c r="DG102" s="185"/>
      <c r="DH102" s="195" t="s">
        <v>351</v>
      </c>
      <c r="DI102" s="185"/>
      <c r="DJ102" s="195" t="s">
        <v>351</v>
      </c>
      <c r="DK102" s="185"/>
      <c r="DL102" s="198" t="s">
        <v>351</v>
      </c>
      <c r="DM102" s="185"/>
      <c r="DN102" s="195" t="s">
        <v>351</v>
      </c>
      <c r="DO102" s="185"/>
      <c r="DP102" s="195" t="s">
        <v>351</v>
      </c>
      <c r="DQ102" s="185"/>
      <c r="DR102" s="195" t="s">
        <v>351</v>
      </c>
      <c r="DS102" s="185"/>
      <c r="DT102" s="195" t="s">
        <v>351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65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66"/>
      <c r="AG103" s="729"/>
      <c r="AH103" s="725"/>
      <c r="AI103" s="725"/>
      <c r="AJ103" s="725"/>
      <c r="AK103" s="725"/>
      <c r="AL103" s="725"/>
      <c r="AM103" s="725"/>
      <c r="AN103" s="725"/>
      <c r="AO103" s="727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65"/>
      <c r="B104" s="260" t="s">
        <v>461</v>
      </c>
      <c r="C104" s="260"/>
      <c r="D104" s="260" t="s">
        <v>573</v>
      </c>
      <c r="E104" s="260"/>
      <c r="F104" s="260" t="s">
        <v>574</v>
      </c>
      <c r="G104" s="260"/>
      <c r="H104" s="260" t="s">
        <v>575</v>
      </c>
      <c r="I104" s="260"/>
      <c r="J104" s="260" t="s">
        <v>429</v>
      </c>
      <c r="K104" s="260"/>
      <c r="L104" s="260" t="s">
        <v>576</v>
      </c>
      <c r="M104" s="260"/>
      <c r="N104" s="260" t="s">
        <v>428</v>
      </c>
      <c r="O104" s="260"/>
      <c r="P104" s="260" t="s">
        <v>427</v>
      </c>
      <c r="Q104" s="260"/>
      <c r="R104" s="260" t="s">
        <v>439</v>
      </c>
      <c r="S104" s="260"/>
      <c r="T104" s="260" t="s">
        <v>577</v>
      </c>
      <c r="U104" s="260"/>
      <c r="V104" s="260" t="s">
        <v>578</v>
      </c>
      <c r="W104" s="260"/>
      <c r="X104" s="260" t="s">
        <v>579</v>
      </c>
      <c r="Y104" s="205"/>
      <c r="Z104" s="260" t="s">
        <v>580</v>
      </c>
      <c r="AA104" s="260"/>
      <c r="AB104" s="260" t="s">
        <v>581</v>
      </c>
      <c r="AC104" s="260"/>
      <c r="AD104" s="260" t="s">
        <v>582</v>
      </c>
      <c r="AE104" s="260"/>
      <c r="AF104" s="366"/>
      <c r="AG104" s="729"/>
      <c r="AH104" s="725"/>
      <c r="AI104" s="725"/>
      <c r="AJ104" s="725"/>
      <c r="AK104" s="725"/>
      <c r="AL104" s="725"/>
      <c r="AM104" s="725"/>
      <c r="AN104" s="725"/>
      <c r="AO104" s="727"/>
      <c r="DF104" s="183" t="s">
        <v>357</v>
      </c>
      <c r="DG104" s="183"/>
      <c r="DH104" s="183" t="s">
        <v>357</v>
      </c>
      <c r="DI104" s="183"/>
      <c r="DJ104" s="192" t="s">
        <v>305</v>
      </c>
      <c r="DK104" s="183"/>
      <c r="DL104" s="192" t="s">
        <v>305</v>
      </c>
      <c r="DM104" s="183"/>
      <c r="DN104" s="192" t="s">
        <v>330</v>
      </c>
      <c r="DO104" s="183"/>
      <c r="DP104" s="183" t="s">
        <v>350</v>
      </c>
      <c r="DQ104" s="183"/>
      <c r="DR104" s="183" t="s">
        <v>357</v>
      </c>
      <c r="DS104" s="183"/>
      <c r="DT104" s="192" t="s">
        <v>335</v>
      </c>
      <c r="DU104" s="183"/>
      <c r="DV104" s="183" t="s">
        <v>350</v>
      </c>
      <c r="DW104" s="183"/>
      <c r="DX104" s="183" t="s">
        <v>357</v>
      </c>
      <c r="DY104" s="183"/>
    </row>
    <row r="105" spans="1:129" s="166" customFormat="1" ht="13.5" customHeight="1">
      <c r="A105" s="365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66"/>
      <c r="AG105" s="729"/>
      <c r="AH105" s="725"/>
      <c r="AI105" s="725"/>
      <c r="AJ105" s="725"/>
      <c r="AK105" s="725"/>
      <c r="AL105" s="725"/>
      <c r="AM105" s="725"/>
      <c r="AN105" s="725"/>
      <c r="AO105" s="727"/>
      <c r="DG105" s="183"/>
      <c r="DI105" s="183"/>
      <c r="DK105" s="183"/>
      <c r="DM105" s="194" t="s">
        <v>583</v>
      </c>
      <c r="DO105" s="183"/>
      <c r="DQ105" s="183"/>
      <c r="DS105" s="183"/>
      <c r="DU105" s="183"/>
    </row>
    <row r="106" spans="1:129" s="166" customFormat="1" ht="13.5" customHeight="1">
      <c r="A106" s="365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66"/>
      <c r="AG106" s="729"/>
      <c r="AH106" s="725"/>
      <c r="AI106" s="725"/>
      <c r="AJ106" s="725"/>
      <c r="AK106" s="725"/>
      <c r="AL106" s="725"/>
      <c r="AM106" s="725"/>
      <c r="AN106" s="725"/>
      <c r="AO106" s="727"/>
      <c r="DK106" s="197" t="s">
        <v>584</v>
      </c>
    </row>
    <row r="107" spans="1:129" s="166" customFormat="1" ht="13.5" customHeight="1" thickBot="1">
      <c r="A107" s="365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66"/>
      <c r="AG107" s="729"/>
      <c r="AH107" s="725"/>
      <c r="AI107" s="725"/>
      <c r="AJ107" s="725"/>
      <c r="AK107" s="725"/>
      <c r="AL107" s="725"/>
      <c r="AM107" s="725"/>
      <c r="AN107" s="725"/>
      <c r="AO107" s="727"/>
    </row>
    <row r="108" spans="1:129" s="166" customFormat="1" ht="13.5" customHeight="1">
      <c r="A108" s="372"/>
      <c r="B108" s="199"/>
      <c r="C108" s="185"/>
      <c r="D108" s="611"/>
      <c r="E108" s="185"/>
      <c r="F108" s="574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66"/>
      <c r="AG108" s="729"/>
      <c r="AH108" s="725"/>
      <c r="AI108" s="725"/>
      <c r="AJ108" s="725"/>
      <c r="AK108" s="725"/>
      <c r="AL108" s="725"/>
      <c r="AM108" s="725"/>
      <c r="AN108" s="725"/>
      <c r="AO108" s="727"/>
      <c r="BV108" s="587">
        <f>4</f>
        <v>4</v>
      </c>
      <c r="BW108" s="587">
        <v>0</v>
      </c>
    </row>
    <row r="109" spans="1:129" s="166" customFormat="1" ht="13.5" customHeight="1">
      <c r="A109" s="372"/>
      <c r="B109" s="200" t="s">
        <v>550</v>
      </c>
      <c r="C109" s="371">
        <v>388.00099999999998</v>
      </c>
      <c r="D109" s="613" t="s">
        <v>550</v>
      </c>
      <c r="E109" s="371">
        <v>348.62799999999999</v>
      </c>
      <c r="F109" s="206" t="s">
        <v>67</v>
      </c>
      <c r="G109" s="371">
        <v>424.14</v>
      </c>
      <c r="H109" s="188"/>
      <c r="I109" s="371">
        <v>412</v>
      </c>
      <c r="J109" s="195"/>
      <c r="K109" s="371">
        <v>406</v>
      </c>
      <c r="L109" s="188"/>
      <c r="M109" s="371">
        <v>370.19200000000001</v>
      </c>
      <c r="N109" s="195"/>
      <c r="O109" s="371">
        <v>378.53399999999999</v>
      </c>
      <c r="P109" s="195"/>
      <c r="Q109" s="371">
        <v>408.00400000000002</v>
      </c>
      <c r="R109" s="189"/>
      <c r="S109" s="371">
        <v>405.55099999999999</v>
      </c>
      <c r="T109" s="188"/>
      <c r="U109" s="371">
        <v>405.99900000000002</v>
      </c>
      <c r="V109" s="188"/>
      <c r="W109" s="371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66"/>
      <c r="AG109" s="729"/>
      <c r="AH109" s="725"/>
      <c r="AI109" s="725"/>
      <c r="AJ109" s="725"/>
      <c r="AK109" s="725"/>
      <c r="AL109" s="725"/>
      <c r="AM109" s="725"/>
      <c r="AN109" s="725"/>
      <c r="AO109" s="727"/>
    </row>
    <row r="110" spans="1:129" s="166" customFormat="1" ht="13.5" customHeight="1" thickBot="1">
      <c r="A110" s="372"/>
      <c r="B110" s="201"/>
      <c r="D110" s="612"/>
      <c r="F110" s="196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66"/>
      <c r="AG110" s="729"/>
      <c r="AH110" s="725"/>
      <c r="AI110" s="725"/>
      <c r="AJ110" s="725"/>
      <c r="AK110" s="725"/>
      <c r="AL110" s="725"/>
      <c r="AM110" s="725"/>
      <c r="AN110" s="725"/>
      <c r="AO110" s="727"/>
    </row>
    <row r="111" spans="1:129" s="166" customFormat="1" ht="14.1" customHeight="1">
      <c r="A111" s="365"/>
      <c r="B111" s="260" t="s">
        <v>350</v>
      </c>
      <c r="C111" s="260"/>
      <c r="D111" s="260" t="s">
        <v>350</v>
      </c>
      <c r="E111" s="260"/>
      <c r="F111" s="260" t="s">
        <v>300</v>
      </c>
      <c r="G111" s="260"/>
      <c r="H111" s="260" t="s">
        <v>399</v>
      </c>
      <c r="I111" s="260"/>
      <c r="J111" s="260" t="s">
        <v>357</v>
      </c>
      <c r="K111" s="260"/>
      <c r="L111" s="260" t="s">
        <v>350</v>
      </c>
      <c r="M111" s="260"/>
      <c r="N111" s="260" t="s">
        <v>373</v>
      </c>
      <c r="O111" s="260"/>
      <c r="P111" s="260" t="s">
        <v>292</v>
      </c>
      <c r="Q111" s="260"/>
      <c r="R111" s="260" t="s">
        <v>350</v>
      </c>
      <c r="S111" s="260"/>
      <c r="T111" s="260" t="s">
        <v>309</v>
      </c>
      <c r="U111" s="260"/>
      <c r="V111" s="260" t="s">
        <v>350</v>
      </c>
      <c r="W111" s="260"/>
      <c r="X111" s="260" t="s">
        <v>350</v>
      </c>
      <c r="Y111" s="260"/>
      <c r="Z111" s="260" t="s">
        <v>585</v>
      </c>
      <c r="AA111" s="260"/>
      <c r="AB111" s="260" t="s">
        <v>399</v>
      </c>
      <c r="AC111" s="260"/>
      <c r="AD111" s="260" t="s">
        <v>350</v>
      </c>
      <c r="AE111" s="260"/>
      <c r="AF111" s="366"/>
      <c r="AG111" s="729"/>
      <c r="AH111" s="725"/>
      <c r="AI111" s="725"/>
      <c r="AJ111" s="725"/>
      <c r="AK111" s="725"/>
      <c r="AL111" s="725"/>
      <c r="AM111" s="725"/>
      <c r="AN111" s="725"/>
      <c r="AO111" s="727"/>
    </row>
    <row r="112" spans="1:129" s="166" customFormat="1" ht="14.1" customHeight="1">
      <c r="A112" s="365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4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66"/>
      <c r="AG112" s="730"/>
      <c r="AH112" s="726"/>
      <c r="AI112" s="726"/>
      <c r="AJ112" s="726"/>
      <c r="AK112" s="726"/>
      <c r="AL112" s="726"/>
      <c r="AM112" s="726"/>
      <c r="AN112" s="726"/>
      <c r="AO112" s="728"/>
    </row>
    <row r="113" spans="1:75" s="166" customFormat="1" ht="13.5" customHeight="1">
      <c r="A113" s="365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66"/>
      <c r="AG113" s="729"/>
      <c r="AH113" s="725"/>
      <c r="AI113" s="725"/>
      <c r="AJ113" s="725"/>
      <c r="AK113" s="725"/>
      <c r="AL113" s="725"/>
      <c r="AM113" s="725"/>
      <c r="AN113" s="725"/>
      <c r="AO113" s="727"/>
    </row>
    <row r="114" spans="1:75" s="166" customFormat="1" ht="13.5" customHeight="1">
      <c r="A114" s="365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66"/>
      <c r="AG114" s="729"/>
      <c r="AH114" s="725"/>
      <c r="AI114" s="725"/>
      <c r="AJ114" s="725"/>
      <c r="AK114" s="725"/>
      <c r="AL114" s="725"/>
      <c r="AM114" s="725"/>
      <c r="AN114" s="725"/>
      <c r="AO114" s="727"/>
    </row>
    <row r="115" spans="1:75" s="166" customFormat="1" ht="13.5" customHeight="1">
      <c r="A115" s="365"/>
      <c r="B115" s="260" t="s">
        <v>586</v>
      </c>
      <c r="C115" s="260"/>
      <c r="D115" s="260" t="s">
        <v>587</v>
      </c>
      <c r="E115" s="260"/>
      <c r="F115" s="260" t="s">
        <v>588</v>
      </c>
      <c r="G115" s="260"/>
      <c r="H115" s="260" t="s">
        <v>589</v>
      </c>
      <c r="I115" s="260"/>
      <c r="J115" s="260" t="s">
        <v>181</v>
      </c>
      <c r="K115" s="260"/>
      <c r="L115" s="260" t="s">
        <v>590</v>
      </c>
      <c r="M115" s="260"/>
      <c r="N115" s="260" t="s">
        <v>591</v>
      </c>
      <c r="O115" s="260"/>
      <c r="P115" s="260" t="s">
        <v>592</v>
      </c>
      <c r="Q115" s="260"/>
      <c r="R115" s="260" t="s">
        <v>593</v>
      </c>
      <c r="S115" s="260"/>
      <c r="T115" s="260" t="s">
        <v>594</v>
      </c>
      <c r="U115" s="260"/>
      <c r="V115" s="260" t="s">
        <v>595</v>
      </c>
      <c r="W115" s="260"/>
      <c r="X115" s="260" t="s">
        <v>596</v>
      </c>
      <c r="Y115" s="205"/>
      <c r="Z115" s="260" t="s">
        <v>597</v>
      </c>
      <c r="AA115" s="260"/>
      <c r="AB115" s="260" t="s">
        <v>598</v>
      </c>
      <c r="AC115" s="260"/>
      <c r="AD115" s="260" t="s">
        <v>599</v>
      </c>
      <c r="AE115" s="260"/>
      <c r="AF115" s="366"/>
      <c r="AG115" s="729"/>
      <c r="AH115" s="725"/>
      <c r="AI115" s="725"/>
      <c r="AJ115" s="725"/>
      <c r="AK115" s="725"/>
      <c r="AL115" s="725"/>
      <c r="AM115" s="725"/>
      <c r="AN115" s="725"/>
      <c r="AO115" s="727"/>
    </row>
    <row r="116" spans="1:75" s="166" customFormat="1" ht="13.5" customHeight="1">
      <c r="A116" s="365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66"/>
      <c r="AG116" s="729"/>
      <c r="AH116" s="725"/>
      <c r="AI116" s="725"/>
      <c r="AJ116" s="725"/>
      <c r="AK116" s="725"/>
      <c r="AL116" s="725"/>
      <c r="AM116" s="725"/>
      <c r="AN116" s="725"/>
      <c r="AO116" s="727"/>
    </row>
    <row r="117" spans="1:75" s="166" customFormat="1" ht="13.5" customHeight="1">
      <c r="A117" s="365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66"/>
      <c r="AG117" s="729"/>
      <c r="AH117" s="725"/>
      <c r="AI117" s="725"/>
      <c r="AJ117" s="725"/>
      <c r="AK117" s="725"/>
      <c r="AL117" s="725"/>
      <c r="AM117" s="725"/>
      <c r="AN117" s="725"/>
      <c r="AO117" s="727"/>
    </row>
    <row r="118" spans="1:75" s="166" customFormat="1" ht="13.5" customHeight="1" thickBot="1">
      <c r="A118" s="365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66"/>
      <c r="AG118" s="729"/>
      <c r="AH118" s="725"/>
      <c r="AI118" s="725"/>
      <c r="AJ118" s="725"/>
      <c r="AK118" s="725"/>
      <c r="AL118" s="725"/>
      <c r="AM118" s="725"/>
      <c r="AN118" s="725"/>
      <c r="AO118" s="727"/>
    </row>
    <row r="119" spans="1:75" s="166" customFormat="1" ht="13.5" customHeight="1">
      <c r="A119" s="365"/>
      <c r="B119" s="269"/>
      <c r="C119" s="270"/>
      <c r="D119" s="269"/>
      <c r="E119" s="270"/>
      <c r="F119" s="642"/>
      <c r="G119" s="270"/>
      <c r="H119" s="207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66"/>
      <c r="AG119" s="729"/>
      <c r="AH119" s="725"/>
      <c r="AI119" s="725"/>
      <c r="AJ119" s="725"/>
      <c r="AK119" s="725"/>
      <c r="AL119" s="725"/>
      <c r="AM119" s="725"/>
      <c r="AN119" s="725"/>
      <c r="AO119" s="727"/>
      <c r="BV119" s="166">
        <v>1</v>
      </c>
      <c r="BW119" s="166">
        <v>0</v>
      </c>
    </row>
    <row r="120" spans="1:75" s="166" customFormat="1" ht="13.5" customHeight="1">
      <c r="A120" s="365"/>
      <c r="B120" s="273"/>
      <c r="C120" s="272">
        <v>411.00400000000002</v>
      </c>
      <c r="D120" s="273" t="s">
        <v>550</v>
      </c>
      <c r="E120" s="272">
        <v>423</v>
      </c>
      <c r="F120" s="200" t="s">
        <v>550</v>
      </c>
      <c r="G120" s="272">
        <v>395</v>
      </c>
      <c r="H120" s="189" t="s">
        <v>67</v>
      </c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66"/>
      <c r="AG120" s="729"/>
      <c r="AH120" s="725"/>
      <c r="AI120" s="725"/>
      <c r="AJ120" s="725"/>
      <c r="AK120" s="725"/>
      <c r="AL120" s="725"/>
      <c r="AM120" s="725"/>
      <c r="AN120" s="725"/>
      <c r="AO120" s="727"/>
    </row>
    <row r="121" spans="1:75" s="166" customFormat="1" ht="13.5" customHeight="1" thickBot="1">
      <c r="A121" s="365"/>
      <c r="B121" s="274"/>
      <c r="C121" s="205"/>
      <c r="D121" s="274"/>
      <c r="E121" s="205"/>
      <c r="F121" s="643"/>
      <c r="G121" s="205"/>
      <c r="H121" s="208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66"/>
      <c r="AG121" s="729"/>
      <c r="AH121" s="725"/>
      <c r="AI121" s="725"/>
      <c r="AJ121" s="725"/>
      <c r="AK121" s="725"/>
      <c r="AL121" s="725"/>
      <c r="AM121" s="725"/>
      <c r="AN121" s="725"/>
      <c r="AO121" s="727"/>
    </row>
    <row r="122" spans="1:75" s="166" customFormat="1" ht="14.1" customHeight="1">
      <c r="A122" s="365"/>
      <c r="B122" s="260" t="s">
        <v>373</v>
      </c>
      <c r="C122" s="260"/>
      <c r="D122" s="260" t="s">
        <v>357</v>
      </c>
      <c r="E122" s="260"/>
      <c r="F122" s="260" t="s">
        <v>350</v>
      </c>
      <c r="G122" s="260"/>
      <c r="H122" s="260" t="s">
        <v>350</v>
      </c>
      <c r="I122" s="260"/>
      <c r="J122" s="260" t="s">
        <v>302</v>
      </c>
      <c r="K122" s="260"/>
      <c r="L122" s="260" t="s">
        <v>357</v>
      </c>
      <c r="M122" s="260"/>
      <c r="N122" s="260" t="s">
        <v>302</v>
      </c>
      <c r="O122" s="260"/>
      <c r="P122" s="260" t="s">
        <v>357</v>
      </c>
      <c r="Q122" s="260"/>
      <c r="R122" s="260" t="s">
        <v>350</v>
      </c>
      <c r="S122" s="260"/>
      <c r="T122" s="260" t="s">
        <v>357</v>
      </c>
      <c r="U122" s="260"/>
      <c r="V122" s="260" t="s">
        <v>350</v>
      </c>
      <c r="W122" s="260"/>
      <c r="X122" s="260" t="s">
        <v>350</v>
      </c>
      <c r="Y122" s="260"/>
      <c r="Z122" s="260" t="s">
        <v>357</v>
      </c>
      <c r="AA122" s="260"/>
      <c r="AB122" s="260" t="s">
        <v>330</v>
      </c>
      <c r="AC122" s="260"/>
      <c r="AD122" s="260" t="s">
        <v>600</v>
      </c>
      <c r="AE122" s="260"/>
      <c r="AF122" s="366"/>
      <c r="AG122" s="729"/>
      <c r="AH122" s="725"/>
      <c r="AI122" s="725"/>
      <c r="AJ122" s="725"/>
      <c r="AK122" s="725"/>
      <c r="AL122" s="725"/>
      <c r="AM122" s="725"/>
      <c r="AN122" s="725"/>
      <c r="AO122" s="727"/>
    </row>
    <row r="123" spans="1:75" s="166" customFormat="1" ht="14.1" customHeight="1" thickBot="1">
      <c r="A123" s="365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66"/>
      <c r="AG123" s="731"/>
      <c r="AH123" s="732"/>
      <c r="AI123" s="732"/>
      <c r="AJ123" s="732"/>
      <c r="AK123" s="732"/>
      <c r="AL123" s="732"/>
      <c r="AM123" s="732"/>
      <c r="AN123" s="732"/>
      <c r="AO123" s="733"/>
    </row>
    <row r="124" spans="1:75" s="166" customFormat="1" ht="13.5" customHeight="1">
      <c r="A124" s="365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66"/>
      <c r="AG124" s="729"/>
      <c r="AH124" s="725"/>
      <c r="AI124" s="725"/>
      <c r="AJ124" s="725"/>
      <c r="AK124" s="725"/>
      <c r="AL124" s="725"/>
      <c r="AM124" s="725"/>
      <c r="AN124" s="725"/>
      <c r="AO124" s="727"/>
    </row>
    <row r="125" spans="1:75" s="166" customFormat="1" ht="13.5" customHeight="1">
      <c r="A125" s="365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66"/>
      <c r="AG125" s="729"/>
      <c r="AH125" s="725"/>
      <c r="AI125" s="725"/>
      <c r="AJ125" s="725"/>
      <c r="AK125" s="725"/>
      <c r="AL125" s="725"/>
      <c r="AM125" s="725"/>
      <c r="AN125" s="725"/>
      <c r="AO125" s="727"/>
    </row>
    <row r="126" spans="1:75" s="166" customFormat="1" ht="13.5" customHeight="1">
      <c r="A126" s="365"/>
      <c r="B126" s="260" t="s">
        <v>601</v>
      </c>
      <c r="C126" s="260"/>
      <c r="D126" s="260" t="s">
        <v>165</v>
      </c>
      <c r="E126" s="260"/>
      <c r="F126" s="260" t="s">
        <v>602</v>
      </c>
      <c r="G126" s="260"/>
      <c r="H126" s="260" t="s">
        <v>603</v>
      </c>
      <c r="I126" s="260"/>
      <c r="J126" s="260" t="s">
        <v>604</v>
      </c>
      <c r="K126" s="260"/>
      <c r="L126" s="260" t="s">
        <v>605</v>
      </c>
      <c r="M126" s="260"/>
      <c r="N126" s="260" t="s">
        <v>606</v>
      </c>
      <c r="O126" s="260"/>
      <c r="P126" s="260" t="s">
        <v>607</v>
      </c>
      <c r="Q126" s="260"/>
      <c r="R126" s="260" t="s">
        <v>608</v>
      </c>
      <c r="S126" s="260"/>
      <c r="T126" s="260" t="s">
        <v>609</v>
      </c>
      <c r="U126" s="260"/>
      <c r="V126" s="260" t="s">
        <v>610</v>
      </c>
      <c r="W126" s="260"/>
      <c r="X126" s="260" t="s">
        <v>611</v>
      </c>
      <c r="Y126" s="205"/>
      <c r="Z126" s="260" t="s">
        <v>182</v>
      </c>
      <c r="AA126" s="260"/>
      <c r="AB126" s="260" t="s">
        <v>141</v>
      </c>
      <c r="AC126" s="260"/>
      <c r="AD126" s="260" t="s">
        <v>449</v>
      </c>
      <c r="AE126" s="260"/>
      <c r="AF126" s="366"/>
      <c r="AG126" s="729"/>
      <c r="AH126" s="725"/>
      <c r="AI126" s="725"/>
      <c r="AJ126" s="725"/>
      <c r="AK126" s="725"/>
      <c r="AL126" s="725"/>
      <c r="AM126" s="725"/>
      <c r="AN126" s="725"/>
      <c r="AO126" s="727"/>
    </row>
    <row r="127" spans="1:75" s="166" customFormat="1" ht="13.5" customHeight="1">
      <c r="A127" s="365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66"/>
      <c r="AG127" s="729"/>
      <c r="AH127" s="725"/>
      <c r="AI127" s="725"/>
      <c r="AJ127" s="725"/>
      <c r="AK127" s="725"/>
      <c r="AL127" s="725"/>
      <c r="AM127" s="725"/>
      <c r="AN127" s="725"/>
      <c r="AO127" s="727"/>
    </row>
    <row r="128" spans="1:75" s="166" customFormat="1" ht="13.5" customHeight="1">
      <c r="A128" s="365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66"/>
      <c r="AG128" s="729"/>
      <c r="AH128" s="725"/>
      <c r="AI128" s="725"/>
      <c r="AJ128" s="725"/>
      <c r="AK128" s="725"/>
      <c r="AL128" s="725"/>
      <c r="AM128" s="725"/>
      <c r="AN128" s="725"/>
      <c r="AO128" s="727"/>
    </row>
    <row r="129" spans="1:75" s="166" customFormat="1" ht="13.5" customHeight="1" thickBot="1">
      <c r="A129" s="365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66"/>
      <c r="AG129" s="729"/>
      <c r="AH129" s="725"/>
      <c r="AI129" s="725"/>
      <c r="AJ129" s="725"/>
      <c r="AK129" s="725"/>
      <c r="AL129" s="725"/>
      <c r="AM129" s="725"/>
      <c r="AN129" s="725"/>
      <c r="AO129" s="727"/>
    </row>
    <row r="130" spans="1:75" s="166" customFormat="1" ht="13.5" customHeight="1">
      <c r="A130" s="365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66"/>
      <c r="AG130" s="729"/>
      <c r="AH130" s="725"/>
      <c r="AI130" s="725"/>
      <c r="AJ130" s="725"/>
      <c r="AK130" s="725"/>
      <c r="AL130" s="725"/>
      <c r="AM130" s="725"/>
      <c r="AN130" s="725"/>
      <c r="AO130" s="727"/>
    </row>
    <row r="131" spans="1:75" s="166" customFormat="1" ht="13.5" customHeight="1">
      <c r="A131" s="365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550</v>
      </c>
      <c r="AA131" s="272">
        <v>276</v>
      </c>
      <c r="AB131" s="273" t="s">
        <v>550</v>
      </c>
      <c r="AC131" s="272">
        <v>410</v>
      </c>
      <c r="AD131" s="189"/>
      <c r="AE131" s="272">
        <v>418</v>
      </c>
      <c r="AF131" s="366"/>
      <c r="AG131" s="729"/>
      <c r="AH131" s="725"/>
      <c r="AI131" s="725"/>
      <c r="AJ131" s="725"/>
      <c r="AK131" s="725"/>
      <c r="AL131" s="725"/>
      <c r="AM131" s="725"/>
      <c r="AN131" s="725"/>
      <c r="AO131" s="727"/>
      <c r="BV131" s="587">
        <v>1</v>
      </c>
      <c r="BW131" s="587">
        <v>0</v>
      </c>
    </row>
    <row r="132" spans="1:75" s="166" customFormat="1" ht="13.5" customHeight="1" thickBot="1">
      <c r="A132" s="365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66"/>
      <c r="AG132" s="729"/>
      <c r="AH132" s="725"/>
      <c r="AI132" s="725"/>
      <c r="AJ132" s="725"/>
      <c r="AK132" s="725"/>
      <c r="AL132" s="725"/>
      <c r="AM132" s="725"/>
      <c r="AN132" s="725"/>
      <c r="AO132" s="727"/>
    </row>
    <row r="133" spans="1:75" s="166" customFormat="1" ht="14.1" customHeight="1">
      <c r="A133" s="365"/>
      <c r="B133" s="260" t="s">
        <v>350</v>
      </c>
      <c r="C133" s="260"/>
      <c r="D133" s="260" t="s">
        <v>305</v>
      </c>
      <c r="E133" s="260"/>
      <c r="F133" s="260" t="s">
        <v>326</v>
      </c>
      <c r="G133" s="260"/>
      <c r="H133" s="260" t="s">
        <v>396</v>
      </c>
      <c r="I133" s="260"/>
      <c r="J133" s="260" t="s">
        <v>330</v>
      </c>
      <c r="K133" s="260"/>
      <c r="L133" s="260" t="s">
        <v>350</v>
      </c>
      <c r="M133" s="260"/>
      <c r="N133" s="260" t="s">
        <v>350</v>
      </c>
      <c r="O133" s="260"/>
      <c r="P133" s="260" t="s">
        <v>391</v>
      </c>
      <c r="Q133" s="260"/>
      <c r="R133" s="260" t="s">
        <v>561</v>
      </c>
      <c r="S133" s="260"/>
      <c r="T133" s="260" t="s">
        <v>302</v>
      </c>
      <c r="U133" s="260"/>
      <c r="V133" s="260" t="s">
        <v>350</v>
      </c>
      <c r="W133" s="260"/>
      <c r="X133" s="260" t="s">
        <v>396</v>
      </c>
      <c r="Y133" s="260"/>
      <c r="Z133" s="260" t="s">
        <v>305</v>
      </c>
      <c r="AA133" s="260"/>
      <c r="AB133" s="260" t="s">
        <v>560</v>
      </c>
      <c r="AC133" s="260"/>
      <c r="AD133" s="260" t="s">
        <v>357</v>
      </c>
      <c r="AE133" s="260"/>
      <c r="AF133" s="366"/>
      <c r="AG133" s="729"/>
      <c r="AH133" s="725"/>
      <c r="AI133" s="725"/>
      <c r="AJ133" s="725"/>
      <c r="AK133" s="725"/>
      <c r="AL133" s="725"/>
      <c r="AM133" s="725"/>
      <c r="AN133" s="725"/>
      <c r="AO133" s="727"/>
    </row>
    <row r="134" spans="1:75" s="166" customFormat="1" ht="14.1" customHeight="1">
      <c r="A134" s="365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66"/>
      <c r="AG134" s="730"/>
      <c r="AH134" s="726"/>
      <c r="AI134" s="726"/>
      <c r="AJ134" s="726"/>
      <c r="AK134" s="726"/>
      <c r="AL134" s="726"/>
      <c r="AM134" s="726"/>
      <c r="AN134" s="726"/>
      <c r="AO134" s="728"/>
    </row>
    <row r="135" spans="1:75" s="166" customFormat="1" ht="13.5" customHeight="1">
      <c r="A135" s="205"/>
      <c r="B135" s="205"/>
      <c r="C135" s="205"/>
      <c r="D135" s="205"/>
      <c r="E135" s="205"/>
      <c r="F135" s="205"/>
      <c r="G135" s="205"/>
      <c r="H135" s="205"/>
      <c r="I135" s="205"/>
      <c r="J135" s="205"/>
      <c r="K135" s="205"/>
      <c r="L135" s="205"/>
      <c r="M135" s="205"/>
      <c r="N135" s="205"/>
      <c r="O135" s="205"/>
      <c r="P135" s="205"/>
      <c r="Q135" s="205"/>
      <c r="R135" s="205"/>
      <c r="S135" s="205"/>
      <c r="T135" s="205"/>
      <c r="U135" s="205"/>
      <c r="V135" s="205"/>
      <c r="W135" s="205"/>
      <c r="X135" s="205"/>
      <c r="Y135" s="205"/>
      <c r="Z135" s="205"/>
      <c r="AA135" s="205"/>
      <c r="AB135" s="205"/>
      <c r="AC135" s="205"/>
      <c r="AD135" s="205"/>
      <c r="AE135" s="205"/>
      <c r="AF135" s="366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205"/>
      <c r="B136" s="205"/>
      <c r="C136" s="205"/>
      <c r="D136" s="205"/>
      <c r="E136" s="205"/>
      <c r="F136" s="205"/>
      <c r="G136" s="205"/>
      <c r="H136" s="205"/>
      <c r="I136" s="205"/>
      <c r="J136" s="205"/>
      <c r="K136" s="205"/>
      <c r="L136" s="205"/>
      <c r="M136" s="205"/>
      <c r="N136" s="205"/>
      <c r="O136" s="205"/>
      <c r="P136" s="205"/>
      <c r="Q136" s="205"/>
      <c r="R136" s="205"/>
      <c r="S136" s="205"/>
      <c r="T136" s="205"/>
      <c r="U136" s="205"/>
      <c r="V136" s="205"/>
      <c r="W136" s="205"/>
      <c r="X136" s="205"/>
      <c r="Y136" s="205"/>
      <c r="Z136" s="205"/>
      <c r="AA136" s="205"/>
      <c r="AB136" s="205"/>
      <c r="AC136" s="205"/>
      <c r="AD136" s="205"/>
      <c r="AE136" s="205"/>
      <c r="AF136" s="381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65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81"/>
      <c r="AG137" s="330"/>
      <c r="AH137" s="331"/>
      <c r="AI137" s="331"/>
      <c r="AJ137" s="331"/>
      <c r="AK137" s="331"/>
      <c r="AL137" s="331"/>
      <c r="AM137" s="331"/>
      <c r="AN137" s="331"/>
      <c r="AO137" s="332"/>
    </row>
    <row r="138" spans="1:75" s="166" customFormat="1" ht="13.5" customHeight="1">
      <c r="A138" s="365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81"/>
      <c r="AG138" s="330"/>
      <c r="AH138" s="331"/>
      <c r="AI138" s="331"/>
      <c r="AJ138" s="331"/>
      <c r="AK138" s="331"/>
      <c r="AL138" s="331"/>
      <c r="AM138" s="331"/>
      <c r="AN138" s="332"/>
    </row>
    <row r="139" spans="1:75" s="166" customFormat="1" ht="13.5" customHeight="1">
      <c r="A139" s="365"/>
      <c r="B139" s="260" t="s">
        <v>438</v>
      </c>
      <c r="C139" s="260"/>
      <c r="D139" s="260" t="s">
        <v>441</v>
      </c>
      <c r="E139" s="260"/>
      <c r="F139" s="260" t="s">
        <v>443</v>
      </c>
      <c r="G139" s="260"/>
      <c r="H139" s="260" t="s">
        <v>612</v>
      </c>
      <c r="I139" s="260"/>
      <c r="J139" s="260" t="s">
        <v>613</v>
      </c>
      <c r="K139" s="260"/>
      <c r="L139" s="260" t="s">
        <v>614</v>
      </c>
      <c r="M139" s="260"/>
      <c r="N139" s="260" t="s">
        <v>615</v>
      </c>
      <c r="O139" s="260"/>
      <c r="P139" s="260" t="s">
        <v>616</v>
      </c>
      <c r="Q139" s="260"/>
      <c r="R139" s="260" t="s">
        <v>617</v>
      </c>
      <c r="S139" s="260"/>
      <c r="T139" s="260" t="s">
        <v>618</v>
      </c>
      <c r="U139" s="260"/>
      <c r="V139" s="260" t="s">
        <v>619</v>
      </c>
      <c r="W139" s="260"/>
      <c r="X139" s="260" t="s">
        <v>620</v>
      </c>
      <c r="Y139" s="260"/>
      <c r="Z139" s="260" t="s">
        <v>621</v>
      </c>
      <c r="AA139" s="260"/>
      <c r="AB139" s="260"/>
      <c r="AC139" s="375"/>
      <c r="AD139" s="205"/>
      <c r="AE139" s="205"/>
      <c r="AF139" s="381"/>
      <c r="AG139" s="330"/>
      <c r="AH139" s="331"/>
      <c r="AI139" s="331"/>
      <c r="AJ139" s="331"/>
      <c r="AK139" s="331"/>
      <c r="AL139" s="331"/>
      <c r="AM139" s="331"/>
      <c r="AN139" s="332"/>
    </row>
    <row r="140" spans="1:75" s="166" customFormat="1" ht="13.5" customHeight="1">
      <c r="A140" s="365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75"/>
      <c r="AD140" s="205"/>
      <c r="AE140" s="205"/>
      <c r="AF140" s="381"/>
      <c r="AG140" s="330"/>
      <c r="AH140" s="331"/>
      <c r="AI140" s="331"/>
      <c r="AJ140" s="331"/>
      <c r="AK140" s="331"/>
      <c r="AL140" s="331"/>
      <c r="AM140" s="331"/>
      <c r="AN140" s="332"/>
    </row>
    <row r="141" spans="1:75" s="166" customFormat="1" ht="13.5" customHeight="1">
      <c r="A141" s="365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75"/>
      <c r="AD141" s="205"/>
      <c r="AE141" s="205"/>
      <c r="AF141" s="381"/>
      <c r="AG141" s="330"/>
      <c r="AH141" s="331"/>
      <c r="AI141" s="331"/>
      <c r="AJ141" s="331"/>
      <c r="AK141" s="331"/>
      <c r="AL141" s="331"/>
      <c r="AM141" s="331"/>
      <c r="AN141" s="332"/>
    </row>
    <row r="142" spans="1:75" s="166" customFormat="1" ht="13.5" customHeight="1" thickBot="1">
      <c r="A142" s="365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75"/>
      <c r="AD142" s="205"/>
      <c r="AE142" s="205"/>
      <c r="AF142" s="381"/>
      <c r="AG142" s="330"/>
      <c r="AH142" s="331"/>
      <c r="AI142" s="331"/>
      <c r="AJ142" s="331"/>
      <c r="AK142" s="331"/>
      <c r="AL142" s="331"/>
      <c r="AM142" s="331"/>
      <c r="AN142" s="332"/>
    </row>
    <row r="143" spans="1:75" s="166" customFormat="1" ht="13.5" customHeight="1">
      <c r="A143" s="365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75"/>
      <c r="AD143" s="205"/>
      <c r="AE143" s="205"/>
      <c r="AF143" s="381"/>
      <c r="AG143" s="330"/>
      <c r="AH143" s="331"/>
      <c r="AI143" s="331"/>
      <c r="AJ143" s="331"/>
      <c r="AK143" s="331"/>
      <c r="AL143" s="331"/>
      <c r="AM143" s="331"/>
      <c r="AN143" s="332"/>
      <c r="BV143" s="587">
        <v>3</v>
      </c>
      <c r="BW143" s="587">
        <v>0</v>
      </c>
    </row>
    <row r="144" spans="1:75" s="166" customFormat="1" ht="13.5" customHeight="1">
      <c r="A144" s="365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82">
        <v>357.99599999999998</v>
      </c>
      <c r="R144" s="273"/>
      <c r="S144" s="272">
        <v>365</v>
      </c>
      <c r="T144" s="273"/>
      <c r="U144" s="272">
        <v>378</v>
      </c>
      <c r="V144" s="273"/>
      <c r="W144" s="382">
        <v>370</v>
      </c>
      <c r="X144" s="271"/>
      <c r="Y144" s="272">
        <v>437.53399999999999</v>
      </c>
      <c r="Z144" s="273"/>
      <c r="AA144" s="272"/>
      <c r="AB144" s="270"/>
      <c r="AC144" s="375"/>
      <c r="AD144" s="205"/>
      <c r="AE144" s="205"/>
      <c r="AF144" s="381"/>
      <c r="AG144" s="330"/>
      <c r="AH144" s="331"/>
      <c r="AI144" s="331"/>
      <c r="AJ144" s="331"/>
      <c r="AK144" s="331"/>
      <c r="AL144" s="331"/>
      <c r="AM144" s="331"/>
      <c r="AN144" s="332"/>
    </row>
    <row r="145" spans="1:40" s="166" customFormat="1" ht="13.5" customHeight="1" thickBot="1">
      <c r="A145" s="365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75"/>
      <c r="AD145" s="205"/>
      <c r="AF145" s="381"/>
      <c r="AG145" s="330"/>
      <c r="AH145" s="331"/>
      <c r="AI145" s="331"/>
      <c r="AJ145" s="331"/>
      <c r="AK145" s="331"/>
      <c r="AL145" s="331"/>
      <c r="AM145" s="331"/>
      <c r="AN145" s="332"/>
    </row>
    <row r="146" spans="1:40" s="166" customFormat="1" ht="14.1" customHeight="1">
      <c r="A146" s="365"/>
      <c r="B146" s="260" t="s">
        <v>350</v>
      </c>
      <c r="C146" s="260"/>
      <c r="D146" s="260" t="s">
        <v>350</v>
      </c>
      <c r="E146" s="260"/>
      <c r="F146" s="260" t="s">
        <v>357</v>
      </c>
      <c r="G146" s="260"/>
      <c r="H146" s="260" t="s">
        <v>350</v>
      </c>
      <c r="I146" s="260"/>
      <c r="J146" s="260" t="s">
        <v>357</v>
      </c>
      <c r="K146" s="260"/>
      <c r="L146" s="260" t="s">
        <v>302</v>
      </c>
      <c r="M146" s="260"/>
      <c r="N146" s="260" t="s">
        <v>600</v>
      </c>
      <c r="O146" s="260"/>
      <c r="P146" s="260" t="s">
        <v>298</v>
      </c>
      <c r="Q146" s="260"/>
      <c r="R146" s="260" t="s">
        <v>396</v>
      </c>
      <c r="S146" s="260"/>
      <c r="T146" s="260" t="s">
        <v>350</v>
      </c>
      <c r="U146" s="260"/>
      <c r="V146" s="260" t="s">
        <v>350</v>
      </c>
      <c r="W146" s="260"/>
      <c r="X146" s="260" t="s">
        <v>350</v>
      </c>
      <c r="Y146" s="205"/>
      <c r="Z146" s="260" t="s">
        <v>389</v>
      </c>
      <c r="AA146" s="260"/>
      <c r="AB146" s="260"/>
      <c r="AC146" s="375"/>
      <c r="AD146" s="205"/>
      <c r="AE146" s="375"/>
      <c r="AF146" s="330"/>
      <c r="AG146" s="330"/>
      <c r="AH146" s="331"/>
      <c r="AI146" s="331"/>
      <c r="AJ146" s="331"/>
      <c r="AK146" s="331"/>
      <c r="AL146" s="331"/>
      <c r="AM146" s="331"/>
      <c r="AN146" s="332"/>
    </row>
    <row r="147" spans="1:40" s="167" customFormat="1" ht="13.35" customHeight="1">
      <c r="A147" s="365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66"/>
    </row>
    <row r="148" spans="1:40" s="167" customFormat="1" ht="13.35" customHeight="1">
      <c r="A148" s="365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66"/>
    </row>
    <row r="149" spans="1:40" s="167" customFormat="1" ht="13.35" customHeight="1">
      <c r="A149" s="365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66"/>
    </row>
    <row r="150" spans="1:40" s="167" customFormat="1" ht="13.35" customHeight="1">
      <c r="A150" s="365"/>
      <c r="B150" s="314" t="s">
        <v>622</v>
      </c>
      <c r="C150" s="205"/>
      <c r="D150" s="314" t="s">
        <v>623</v>
      </c>
      <c r="E150" s="260"/>
      <c r="F150" s="314" t="s">
        <v>624</v>
      </c>
      <c r="G150" s="260"/>
      <c r="H150" s="314" t="s">
        <v>145</v>
      </c>
      <c r="I150" s="260"/>
      <c r="J150" s="314" t="s">
        <v>625</v>
      </c>
      <c r="K150" s="260"/>
      <c r="L150" s="314" t="s">
        <v>626</v>
      </c>
      <c r="M150" s="260"/>
      <c r="N150" s="314" t="s">
        <v>627</v>
      </c>
      <c r="O150" s="260"/>
      <c r="P150" s="314" t="s">
        <v>628</v>
      </c>
      <c r="Q150" s="260"/>
      <c r="R150" s="314" t="s">
        <v>146</v>
      </c>
      <c r="S150" s="260"/>
      <c r="T150" s="314" t="s">
        <v>629</v>
      </c>
      <c r="U150" s="260"/>
      <c r="V150" s="314" t="s">
        <v>630</v>
      </c>
      <c r="W150" s="260"/>
      <c r="X150" s="314" t="s">
        <v>631</v>
      </c>
      <c r="Y150" s="260"/>
      <c r="Z150" s="314" t="s">
        <v>184</v>
      </c>
      <c r="AA150" s="260"/>
      <c r="AB150" s="314" t="s">
        <v>184</v>
      </c>
      <c r="AC150" s="260"/>
      <c r="AD150" s="314" t="s">
        <v>185</v>
      </c>
      <c r="AE150" s="260"/>
      <c r="AF150" s="366"/>
    </row>
    <row r="151" spans="1:40" s="167" customFormat="1" ht="13.35" customHeight="1">
      <c r="A151" s="365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66"/>
    </row>
    <row r="152" spans="1:40" s="167" customFormat="1" ht="13.35" customHeight="1">
      <c r="A152" s="365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66"/>
    </row>
    <row r="153" spans="1:40" s="167" customFormat="1" ht="13.35" customHeight="1" thickBot="1">
      <c r="A153" s="365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66"/>
    </row>
    <row r="154" spans="1:40" s="167" customFormat="1" ht="13.35" customHeight="1">
      <c r="A154" s="365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67"/>
    </row>
    <row r="155" spans="1:40" s="167" customFormat="1" ht="13.35" customHeight="1">
      <c r="A155" s="365"/>
      <c r="B155" s="271"/>
      <c r="C155" s="272">
        <v>225.81</v>
      </c>
      <c r="D155" s="273" t="s">
        <v>550</v>
      </c>
      <c r="E155" s="272">
        <v>451</v>
      </c>
      <c r="F155" s="273" t="s">
        <v>550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550</v>
      </c>
      <c r="M155" s="272">
        <v>407</v>
      </c>
      <c r="N155" s="273" t="s">
        <v>550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82">
        <v>414</v>
      </c>
      <c r="Z155" s="273"/>
      <c r="AA155" s="272">
        <v>446</v>
      </c>
      <c r="AB155" s="273"/>
      <c r="AC155" s="272">
        <v>411</v>
      </c>
      <c r="AD155" s="273"/>
      <c r="AE155" s="382">
        <v>345</v>
      </c>
      <c r="AF155" s="366"/>
    </row>
    <row r="156" spans="1:40" s="167" customFormat="1" ht="13.35" customHeight="1" thickBot="1">
      <c r="A156" s="365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66"/>
    </row>
    <row r="157" spans="1:40" s="167" customFormat="1" ht="13.5" customHeight="1">
      <c r="A157" s="365"/>
      <c r="B157" s="260" t="s">
        <v>396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66"/>
    </row>
    <row r="158" spans="1:40" s="167" customFormat="1" ht="13.5" customHeight="1">
      <c r="A158" s="365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66"/>
    </row>
    <row r="159" spans="1:40" s="167" customFormat="1" ht="13.5" customHeight="1">
      <c r="A159" s="365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66"/>
    </row>
    <row r="160" spans="1:40" s="167" customFormat="1" ht="13.5" customHeight="1">
      <c r="A160" s="365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66"/>
    </row>
    <row r="161" spans="1:74" s="167" customFormat="1" ht="13.5" customHeight="1">
      <c r="A161" s="365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66"/>
    </row>
    <row r="162" spans="1:74" s="167" customFormat="1" ht="13.5" customHeight="1">
      <c r="A162" s="365"/>
      <c r="B162" s="314" t="s">
        <v>186</v>
      </c>
      <c r="C162" s="205"/>
      <c r="D162" s="314" t="s">
        <v>632</v>
      </c>
      <c r="E162" s="205"/>
      <c r="F162" s="314" t="s">
        <v>633</v>
      </c>
      <c r="G162" s="205"/>
      <c r="H162" s="370"/>
      <c r="I162" s="205"/>
      <c r="J162" s="205"/>
      <c r="K162" s="205"/>
      <c r="L162" s="205"/>
      <c r="M162" s="383"/>
      <c r="N162" s="205"/>
      <c r="O162" s="205"/>
      <c r="P162" s="205"/>
      <c r="Q162" s="205"/>
      <c r="R162" s="205"/>
      <c r="S162" s="205"/>
      <c r="T162" s="205"/>
      <c r="U162" s="205"/>
      <c r="V162" s="205"/>
      <c r="W162" s="374"/>
      <c r="X162" s="205"/>
      <c r="Y162" s="205"/>
      <c r="Z162" s="205"/>
      <c r="AA162" s="205"/>
      <c r="AB162" s="205"/>
      <c r="AC162" s="205"/>
      <c r="AD162" s="205"/>
      <c r="AE162" s="374"/>
      <c r="AF162" s="366"/>
    </row>
    <row r="163" spans="1:74" s="167" customFormat="1" ht="13.5" customHeight="1">
      <c r="A163" s="365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66"/>
    </row>
    <row r="164" spans="1:74" s="167" customFormat="1" ht="13.5" customHeight="1">
      <c r="A164" s="365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66"/>
    </row>
    <row r="165" spans="1:74" s="167" customFormat="1" ht="13.5" customHeight="1" thickBot="1">
      <c r="A165" s="365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66"/>
    </row>
    <row r="166" spans="1:74" s="167" customFormat="1" ht="13.5" customHeight="1">
      <c r="A166" s="365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67"/>
    </row>
    <row r="167" spans="1:74" s="167" customFormat="1" ht="13.5" customHeight="1">
      <c r="A167" s="365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66"/>
      <c r="BV167" s="203"/>
    </row>
    <row r="168" spans="1:74" s="167" customFormat="1" ht="13.5" customHeight="1" thickBot="1">
      <c r="A168" s="365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66"/>
    </row>
    <row r="169" spans="1:74" s="167" customFormat="1" ht="13.5" customHeight="1">
      <c r="A169" s="365"/>
      <c r="B169" s="265" t="s">
        <v>634</v>
      </c>
      <c r="C169" s="260"/>
      <c r="D169" s="260" t="s">
        <v>561</v>
      </c>
      <c r="E169" s="260"/>
      <c r="F169" s="260" t="s">
        <v>350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66"/>
    </row>
    <row r="170" spans="1:74" s="167" customFormat="1" ht="13.5" customHeight="1">
      <c r="A170" s="365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66"/>
    </row>
    <row r="171" spans="1:74" ht="13.5" customHeight="1">
      <c r="A171" s="384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85"/>
    </row>
    <row r="172" spans="1:74" ht="13.5" customHeight="1">
      <c r="A172" s="384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85"/>
    </row>
    <row r="173" spans="1:74" ht="13.5" customHeight="1">
      <c r="A173" s="365"/>
      <c r="B173" s="260" t="s">
        <v>635</v>
      </c>
      <c r="C173" s="205"/>
      <c r="D173" s="260" t="s">
        <v>464</v>
      </c>
      <c r="E173" s="205"/>
      <c r="F173" s="260" t="s">
        <v>412</v>
      </c>
      <c r="G173" s="205"/>
      <c r="H173" s="260" t="s">
        <v>636</v>
      </c>
      <c r="I173" s="205"/>
      <c r="J173" s="260" t="s">
        <v>637</v>
      </c>
      <c r="K173" s="205"/>
      <c r="L173" s="260" t="s">
        <v>638</v>
      </c>
      <c r="M173" s="205"/>
      <c r="N173" s="260" t="s">
        <v>639</v>
      </c>
      <c r="O173" s="205"/>
      <c r="P173" s="260" t="s">
        <v>640</v>
      </c>
      <c r="Q173" s="260"/>
      <c r="R173" s="260" t="s">
        <v>641</v>
      </c>
      <c r="S173" s="260"/>
      <c r="T173" s="260" t="s">
        <v>642</v>
      </c>
      <c r="U173" s="260"/>
      <c r="V173" s="260" t="s">
        <v>643</v>
      </c>
      <c r="W173" s="260"/>
      <c r="X173" s="260" t="s">
        <v>644</v>
      </c>
      <c r="Y173" s="260"/>
      <c r="Z173" s="260" t="s">
        <v>645</v>
      </c>
      <c r="AA173" s="260"/>
      <c r="AB173" s="260" t="s">
        <v>646</v>
      </c>
      <c r="AC173" s="260"/>
      <c r="AD173" s="260" t="s">
        <v>647</v>
      </c>
      <c r="AE173" s="260"/>
      <c r="AF173" s="366"/>
    </row>
    <row r="174" spans="1:74" ht="13.5" customHeight="1">
      <c r="A174" s="365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66"/>
    </row>
    <row r="175" spans="1:74" ht="13.5" customHeight="1">
      <c r="A175" s="365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66"/>
    </row>
    <row r="176" spans="1:74" ht="13.5" customHeight="1" thickBot="1">
      <c r="A176" s="365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66"/>
    </row>
    <row r="177" spans="1:75" ht="13.5" customHeight="1">
      <c r="A177" s="372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66"/>
    </row>
    <row r="178" spans="1:75" ht="13.5" customHeight="1">
      <c r="A178" s="372"/>
      <c r="B178" s="206" t="s">
        <v>550</v>
      </c>
      <c r="C178" s="371">
        <v>244</v>
      </c>
      <c r="D178" s="206" t="s">
        <v>550</v>
      </c>
      <c r="E178" s="371">
        <v>390</v>
      </c>
      <c r="F178" s="195"/>
      <c r="G178" s="371">
        <v>377</v>
      </c>
      <c r="H178" s="188"/>
      <c r="I178" s="371">
        <v>382</v>
      </c>
      <c r="J178" s="188"/>
      <c r="K178" s="371">
        <v>390</v>
      </c>
      <c r="L178" s="188"/>
      <c r="M178" s="371">
        <v>364</v>
      </c>
      <c r="N178" s="188"/>
      <c r="O178" s="371">
        <v>390</v>
      </c>
      <c r="P178" s="188"/>
      <c r="Q178" s="371">
        <v>395</v>
      </c>
      <c r="R178" s="188" t="s">
        <v>550</v>
      </c>
      <c r="S178" s="371">
        <v>413</v>
      </c>
      <c r="T178" s="188"/>
      <c r="U178" s="371">
        <v>422</v>
      </c>
      <c r="V178" s="188"/>
      <c r="W178" s="371">
        <v>306</v>
      </c>
      <c r="X178" s="188"/>
      <c r="Y178" s="371">
        <v>357</v>
      </c>
      <c r="Z178" s="188"/>
      <c r="AA178" s="371">
        <v>390</v>
      </c>
      <c r="AB178" s="188"/>
      <c r="AC178" s="371">
        <v>430</v>
      </c>
      <c r="AD178" s="188"/>
      <c r="AE178" s="272">
        <v>399</v>
      </c>
      <c r="AF178" s="366"/>
      <c r="BV178" s="588">
        <f>1</f>
        <v>1</v>
      </c>
      <c r="BW178" s="589">
        <v>1</v>
      </c>
    </row>
    <row r="179" spans="1:75" ht="13.5" customHeight="1" thickBot="1">
      <c r="A179" s="372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66"/>
    </row>
    <row r="180" spans="1:75" ht="13.5" customHeight="1">
      <c r="A180" s="365"/>
      <c r="B180" s="265" t="s">
        <v>300</v>
      </c>
      <c r="C180" s="260"/>
      <c r="D180" s="265" t="s">
        <v>330</v>
      </c>
      <c r="E180" s="260"/>
      <c r="F180" s="260" t="s">
        <v>350</v>
      </c>
      <c r="G180" s="260"/>
      <c r="H180" s="260" t="s">
        <v>350</v>
      </c>
      <c r="I180" s="260"/>
      <c r="J180" s="260" t="s">
        <v>350</v>
      </c>
      <c r="K180" s="260"/>
      <c r="L180" s="260" t="s">
        <v>350</v>
      </c>
      <c r="M180" s="260"/>
      <c r="N180" s="265" t="s">
        <v>335</v>
      </c>
      <c r="O180" s="260"/>
      <c r="P180" s="260" t="s">
        <v>350</v>
      </c>
      <c r="Q180" s="260"/>
      <c r="R180" s="265" t="s">
        <v>300</v>
      </c>
      <c r="S180" s="260"/>
      <c r="T180" s="260" t="s">
        <v>357</v>
      </c>
      <c r="U180" s="260"/>
      <c r="V180" s="260" t="s">
        <v>350</v>
      </c>
      <c r="W180" s="260"/>
      <c r="X180" s="260" t="s">
        <v>350</v>
      </c>
      <c r="Y180" s="260"/>
      <c r="Z180" s="260" t="s">
        <v>350</v>
      </c>
      <c r="AA180" s="260"/>
      <c r="AB180" s="260" t="s">
        <v>357</v>
      </c>
      <c r="AC180" s="260"/>
      <c r="AD180" s="260" t="s">
        <v>357</v>
      </c>
      <c r="AE180" s="260"/>
      <c r="AF180" s="366"/>
    </row>
    <row r="181" spans="1:75" ht="13.5" customHeight="1">
      <c r="A181" s="365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66"/>
    </row>
    <row r="182" spans="1:75" ht="13.5" customHeight="1">
      <c r="A182" s="365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66"/>
    </row>
    <row r="183" spans="1:75" ht="13.5" customHeight="1">
      <c r="A183" s="365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85"/>
    </row>
    <row r="184" spans="1:75" ht="13.5" customHeight="1">
      <c r="A184" s="365"/>
      <c r="B184" s="260" t="s">
        <v>648</v>
      </c>
      <c r="C184" s="205"/>
      <c r="D184" s="260" t="s">
        <v>649</v>
      </c>
      <c r="E184" s="205"/>
      <c r="F184" s="260" t="s">
        <v>650</v>
      </c>
      <c r="G184" s="260"/>
      <c r="H184" s="260" t="s">
        <v>651</v>
      </c>
      <c r="I184" s="260"/>
      <c r="J184" s="260" t="s">
        <v>652</v>
      </c>
      <c r="K184" s="260"/>
      <c r="L184" s="260" t="s">
        <v>653</v>
      </c>
      <c r="M184" s="260"/>
      <c r="N184" s="260" t="s">
        <v>654</v>
      </c>
      <c r="O184" s="260"/>
      <c r="P184" s="260" t="s">
        <v>655</v>
      </c>
      <c r="Q184" s="260"/>
      <c r="R184" s="260" t="s">
        <v>656</v>
      </c>
      <c r="S184" s="260"/>
      <c r="T184" s="260" t="s">
        <v>148</v>
      </c>
      <c r="U184" s="260"/>
      <c r="V184" s="260" t="s">
        <v>657</v>
      </c>
      <c r="W184" s="260"/>
      <c r="X184" s="260" t="s">
        <v>658</v>
      </c>
      <c r="Y184" s="260"/>
      <c r="Z184" s="260" t="s">
        <v>659</v>
      </c>
      <c r="AA184" s="260"/>
      <c r="AB184" s="260" t="s">
        <v>660</v>
      </c>
      <c r="AC184" s="260"/>
      <c r="AD184" s="260" t="s">
        <v>661</v>
      </c>
      <c r="AE184" s="260"/>
      <c r="AF184" s="366"/>
    </row>
    <row r="185" spans="1:75" ht="13.5" customHeight="1">
      <c r="A185" s="365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66"/>
    </row>
    <row r="186" spans="1:75" ht="13.5" customHeight="1">
      <c r="A186" s="365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66"/>
    </row>
    <row r="187" spans="1:75" ht="13.5" customHeight="1" thickBot="1">
      <c r="A187" s="365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66"/>
    </row>
    <row r="188" spans="1:75" ht="13.5" customHeight="1">
      <c r="A188" s="365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67"/>
      <c r="BV188" s="589">
        <v>0</v>
      </c>
      <c r="BW188" s="589">
        <v>0</v>
      </c>
    </row>
    <row r="189" spans="1:75" ht="13.5" customHeight="1">
      <c r="A189" s="365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550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66"/>
      <c r="BV189" s="203"/>
    </row>
    <row r="190" spans="1:75" ht="13.5" customHeight="1" thickBot="1">
      <c r="A190" s="365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66"/>
    </row>
    <row r="191" spans="1:75" ht="13.5" customHeight="1">
      <c r="A191" s="365"/>
      <c r="B191" s="265" t="s">
        <v>373</v>
      </c>
      <c r="C191" s="260"/>
      <c r="D191" s="260" t="s">
        <v>357</v>
      </c>
      <c r="E191" s="260"/>
      <c r="F191" s="260" t="s">
        <v>350</v>
      </c>
      <c r="G191" s="260"/>
      <c r="H191" s="265" t="s">
        <v>330</v>
      </c>
      <c r="I191" s="260"/>
      <c r="J191" s="265" t="s">
        <v>302</v>
      </c>
      <c r="K191" s="260"/>
      <c r="L191" s="260" t="s">
        <v>350</v>
      </c>
      <c r="M191" s="260"/>
      <c r="N191" s="260" t="s">
        <v>357</v>
      </c>
      <c r="O191" s="260"/>
      <c r="P191" s="260" t="s">
        <v>350</v>
      </c>
      <c r="Q191" s="260"/>
      <c r="R191" s="260" t="s">
        <v>357</v>
      </c>
      <c r="S191" s="260"/>
      <c r="T191" s="265" t="s">
        <v>330</v>
      </c>
      <c r="U191" s="260"/>
      <c r="V191" s="260" t="s">
        <v>357</v>
      </c>
      <c r="W191" s="260"/>
      <c r="X191" s="260" t="s">
        <v>350</v>
      </c>
      <c r="Y191" s="260"/>
      <c r="Z191" s="260" t="s">
        <v>350</v>
      </c>
      <c r="AA191" s="260"/>
      <c r="AB191" s="260" t="s">
        <v>350</v>
      </c>
      <c r="AC191" s="260"/>
      <c r="AD191" s="260" t="s">
        <v>350</v>
      </c>
      <c r="AE191" s="260"/>
      <c r="AF191" s="366"/>
    </row>
    <row r="192" spans="1:75" ht="13.5" customHeight="1">
      <c r="A192" s="365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66"/>
    </row>
    <row r="193" spans="1:75" ht="13.5" customHeight="1">
      <c r="A193" s="365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66"/>
    </row>
    <row r="194" spans="1:75" ht="13.5" customHeight="1">
      <c r="A194" s="365"/>
      <c r="B194" s="260">
        <v>187</v>
      </c>
      <c r="C194" s="386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66"/>
    </row>
    <row r="195" spans="1:75" ht="13.5" customHeight="1">
      <c r="A195" s="365"/>
      <c r="B195" s="260" t="s">
        <v>662</v>
      </c>
      <c r="C195" s="205"/>
      <c r="D195" s="260" t="s">
        <v>149</v>
      </c>
      <c r="E195" s="205"/>
      <c r="F195" s="260" t="s">
        <v>663</v>
      </c>
      <c r="G195" s="205"/>
      <c r="H195" s="260" t="s">
        <v>664</v>
      </c>
      <c r="I195" s="205"/>
      <c r="J195" s="260" t="s">
        <v>665</v>
      </c>
      <c r="K195" s="205"/>
      <c r="L195" s="260" t="s">
        <v>666</v>
      </c>
      <c r="M195" s="205"/>
      <c r="N195" s="260" t="s">
        <v>667</v>
      </c>
      <c r="O195" s="205"/>
      <c r="P195" s="260" t="s">
        <v>668</v>
      </c>
      <c r="Q195" s="205"/>
      <c r="R195" s="260" t="s">
        <v>414</v>
      </c>
      <c r="S195" s="205"/>
      <c r="T195" s="260" t="s">
        <v>432</v>
      </c>
      <c r="U195" s="205"/>
      <c r="V195" s="260" t="s">
        <v>434</v>
      </c>
      <c r="W195" s="205"/>
      <c r="X195" s="260" t="s">
        <v>408</v>
      </c>
      <c r="Y195" s="205"/>
      <c r="Z195" s="260" t="s">
        <v>397</v>
      </c>
      <c r="AA195" s="205"/>
      <c r="AB195" s="260" t="s">
        <v>415</v>
      </c>
      <c r="AC195" s="205"/>
      <c r="AD195" s="260" t="s">
        <v>403</v>
      </c>
      <c r="AE195" s="260"/>
      <c r="AF195" s="366"/>
    </row>
    <row r="196" spans="1:75" ht="13.5" customHeight="1">
      <c r="A196" s="365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66"/>
    </row>
    <row r="197" spans="1:75" ht="13.5" customHeight="1">
      <c r="A197" s="365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66"/>
    </row>
    <row r="198" spans="1:75" ht="13.5" customHeight="1" thickBot="1">
      <c r="A198" s="365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66"/>
    </row>
    <row r="199" spans="1:75" ht="13.5" customHeight="1">
      <c r="A199" s="372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719"/>
      <c r="S199" s="185"/>
      <c r="T199" s="186"/>
      <c r="U199" s="185"/>
      <c r="V199" s="186"/>
      <c r="W199" s="185"/>
      <c r="X199" s="719"/>
      <c r="Y199" s="185"/>
      <c r="Z199" s="719"/>
      <c r="AA199" s="185"/>
      <c r="AB199" s="719"/>
      <c r="AC199" s="185"/>
      <c r="AD199" s="186"/>
      <c r="AE199" s="270"/>
      <c r="AF199" s="366"/>
    </row>
    <row r="200" spans="1:75" ht="13.5" customHeight="1">
      <c r="A200" s="372"/>
      <c r="B200" s="187"/>
      <c r="C200" s="371">
        <v>363</v>
      </c>
      <c r="D200" s="188" t="s">
        <v>550</v>
      </c>
      <c r="E200" s="371">
        <v>380</v>
      </c>
      <c r="F200" s="188"/>
      <c r="G200" s="371">
        <v>346</v>
      </c>
      <c r="H200" s="188"/>
      <c r="I200" s="371">
        <v>390</v>
      </c>
      <c r="J200" s="188" t="s">
        <v>550</v>
      </c>
      <c r="K200" s="371">
        <v>405</v>
      </c>
      <c r="L200" s="188"/>
      <c r="M200" s="371">
        <v>421</v>
      </c>
      <c r="N200" s="188"/>
      <c r="O200" s="371">
        <v>391</v>
      </c>
      <c r="P200" s="188" t="s">
        <v>550</v>
      </c>
      <c r="Q200" s="371">
        <v>394</v>
      </c>
      <c r="R200" s="720"/>
      <c r="S200" s="371">
        <v>382</v>
      </c>
      <c r="T200" s="189"/>
      <c r="U200" s="371">
        <v>384</v>
      </c>
      <c r="V200" s="189"/>
      <c r="W200" s="371">
        <v>406</v>
      </c>
      <c r="X200" s="720"/>
      <c r="Y200" s="371">
        <v>352</v>
      </c>
      <c r="Z200" s="720"/>
      <c r="AA200" s="371">
        <v>453</v>
      </c>
      <c r="AB200" s="720"/>
      <c r="AC200" s="371">
        <v>388</v>
      </c>
      <c r="AD200" s="189"/>
      <c r="AE200" s="272">
        <v>395</v>
      </c>
      <c r="AF200" s="366"/>
      <c r="BV200" s="588">
        <f>7</f>
        <v>7</v>
      </c>
      <c r="BW200" s="589">
        <v>3</v>
      </c>
    </row>
    <row r="201" spans="1:75" ht="13.5" customHeight="1" thickBot="1">
      <c r="A201" s="372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721"/>
      <c r="S201" s="166"/>
      <c r="T201" s="191"/>
      <c r="U201" s="166"/>
      <c r="V201" s="191"/>
      <c r="W201" s="166"/>
      <c r="X201" s="721"/>
      <c r="Y201" s="166"/>
      <c r="Z201" s="721"/>
      <c r="AA201" s="166"/>
      <c r="AB201" s="721"/>
      <c r="AC201" s="166"/>
      <c r="AD201" s="191"/>
      <c r="AE201" s="205"/>
      <c r="AF201" s="366"/>
    </row>
    <row r="202" spans="1:75" ht="13.5" customHeight="1">
      <c r="A202" s="365"/>
      <c r="B202" s="260" t="s">
        <v>399</v>
      </c>
      <c r="C202" s="260"/>
      <c r="D202" s="265" t="s">
        <v>335</v>
      </c>
      <c r="E202" s="260"/>
      <c r="F202" s="260" t="s">
        <v>350</v>
      </c>
      <c r="G202" s="260"/>
      <c r="H202" s="260" t="s">
        <v>350</v>
      </c>
      <c r="I202" s="260"/>
      <c r="J202" s="260" t="s">
        <v>350</v>
      </c>
      <c r="K202" s="260"/>
      <c r="L202" s="260" t="s">
        <v>357</v>
      </c>
      <c r="M202" s="260"/>
      <c r="N202" s="260" t="s">
        <v>357</v>
      </c>
      <c r="O202" s="260"/>
      <c r="P202" s="260" t="s">
        <v>350</v>
      </c>
      <c r="Q202" s="260"/>
      <c r="R202" s="265" t="s">
        <v>335</v>
      </c>
      <c r="S202" s="260"/>
      <c r="T202" s="260" t="s">
        <v>350</v>
      </c>
      <c r="U202" s="260"/>
      <c r="V202" s="260" t="s">
        <v>357</v>
      </c>
      <c r="W202" s="260"/>
      <c r="X202" s="260" t="s">
        <v>350</v>
      </c>
      <c r="Y202" s="260"/>
      <c r="Z202" s="260" t="s">
        <v>357</v>
      </c>
      <c r="AA202" s="260"/>
      <c r="AB202" s="260" t="s">
        <v>399</v>
      </c>
      <c r="AC202" s="260"/>
      <c r="AD202" s="260" t="s">
        <v>350</v>
      </c>
      <c r="AE202" s="260"/>
      <c r="AF202" s="366"/>
    </row>
    <row r="203" spans="1:75" ht="13.5" customHeight="1">
      <c r="A203" s="365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66"/>
    </row>
    <row r="204" spans="1:75" ht="13.5" customHeight="1">
      <c r="A204" s="365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87"/>
      <c r="Y204" s="260"/>
      <c r="Z204" s="387"/>
      <c r="AA204" s="205"/>
      <c r="AB204" s="205"/>
      <c r="AC204" s="205"/>
      <c r="AD204" s="205"/>
      <c r="AE204" s="205"/>
      <c r="AF204" s="366"/>
    </row>
    <row r="205" spans="1:75" ht="13.5" customHeight="1">
      <c r="A205" s="365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66"/>
    </row>
    <row r="206" spans="1:75" ht="13.5" customHeight="1">
      <c r="A206" s="365"/>
      <c r="B206" s="386"/>
      <c r="C206" s="386"/>
      <c r="D206" s="386"/>
      <c r="E206" s="386"/>
      <c r="F206" s="386"/>
      <c r="G206" s="386"/>
      <c r="H206" s="386"/>
      <c r="I206" s="386"/>
      <c r="J206" s="386"/>
      <c r="K206" s="386"/>
      <c r="L206" s="386"/>
      <c r="M206" s="386"/>
      <c r="N206" s="386"/>
      <c r="O206" s="386"/>
      <c r="P206" s="386"/>
      <c r="Q206" s="386"/>
      <c r="R206" s="386"/>
      <c r="S206" s="386"/>
      <c r="T206" s="386"/>
      <c r="U206" s="386"/>
      <c r="V206" s="386"/>
      <c r="W206" s="386"/>
      <c r="X206" s="386"/>
      <c r="Y206" s="386"/>
      <c r="Z206" s="386"/>
      <c r="AA206" s="386"/>
      <c r="AB206" s="386"/>
      <c r="AC206" s="386"/>
      <c r="AD206" s="386"/>
      <c r="AE206" s="205"/>
      <c r="AF206" s="366"/>
    </row>
    <row r="207" spans="1:75" ht="13.5" customHeight="1">
      <c r="A207" s="365"/>
      <c r="B207" s="260" t="s">
        <v>150</v>
      </c>
      <c r="C207" s="205"/>
      <c r="D207" s="260" t="s">
        <v>436</v>
      </c>
      <c r="E207" s="205"/>
      <c r="F207" s="260" t="s">
        <v>435</v>
      </c>
      <c r="G207" s="205"/>
      <c r="H207" s="260" t="s">
        <v>669</v>
      </c>
      <c r="I207" s="205"/>
      <c r="J207" s="260" t="s">
        <v>437</v>
      </c>
      <c r="K207" s="205"/>
      <c r="L207" s="260" t="s">
        <v>431</v>
      </c>
      <c r="M207" s="260"/>
      <c r="N207" s="260" t="s">
        <v>151</v>
      </c>
      <c r="O207" s="260"/>
      <c r="P207" s="260" t="s">
        <v>421</v>
      </c>
      <c r="Q207" s="260"/>
      <c r="R207" s="260" t="s">
        <v>670</v>
      </c>
      <c r="S207" s="260"/>
      <c r="T207" s="260" t="s">
        <v>671</v>
      </c>
      <c r="U207" s="260"/>
      <c r="V207" s="260" t="s">
        <v>672</v>
      </c>
      <c r="W207" s="260"/>
      <c r="X207" s="260" t="s">
        <v>673</v>
      </c>
      <c r="Y207" s="260"/>
      <c r="Z207" s="260" t="s">
        <v>674</v>
      </c>
      <c r="AA207" s="260"/>
      <c r="AB207" s="260" t="s">
        <v>675</v>
      </c>
      <c r="AC207" s="260"/>
      <c r="AD207" s="260" t="s">
        <v>463</v>
      </c>
      <c r="AE207" s="260"/>
      <c r="AF207" s="366"/>
    </row>
    <row r="208" spans="1:75" ht="13.5" customHeight="1">
      <c r="A208" s="365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66"/>
    </row>
    <row r="209" spans="1:75" ht="13.5" customHeight="1">
      <c r="A209" s="365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66"/>
    </row>
    <row r="210" spans="1:75" ht="13.5" customHeight="1" thickBot="1">
      <c r="A210" s="365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66"/>
    </row>
    <row r="211" spans="1:75" ht="13.5" customHeight="1">
      <c r="A211" s="372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67"/>
    </row>
    <row r="212" spans="1:75" ht="13.5" customHeight="1">
      <c r="A212" s="372"/>
      <c r="B212" s="189"/>
      <c r="C212" s="371">
        <v>430</v>
      </c>
      <c r="D212" s="189"/>
      <c r="E212" s="371">
        <v>388</v>
      </c>
      <c r="F212" s="189"/>
      <c r="G212" s="371">
        <v>402</v>
      </c>
      <c r="H212" s="188"/>
      <c r="I212" s="371">
        <v>437</v>
      </c>
      <c r="J212" s="189"/>
      <c r="K212" s="371">
        <v>405</v>
      </c>
      <c r="L212" s="189"/>
      <c r="M212" s="371">
        <v>337</v>
      </c>
      <c r="N212" s="189"/>
      <c r="O212" s="371">
        <v>282</v>
      </c>
      <c r="P212" s="189"/>
      <c r="Q212" s="371">
        <v>435</v>
      </c>
      <c r="R212" s="188"/>
      <c r="S212" s="371">
        <v>407</v>
      </c>
      <c r="T212" s="188"/>
      <c r="U212" s="371">
        <v>426</v>
      </c>
      <c r="V212" s="188"/>
      <c r="W212" s="371">
        <v>374</v>
      </c>
      <c r="X212" s="188"/>
      <c r="Y212" s="371">
        <v>440</v>
      </c>
      <c r="Z212" s="188"/>
      <c r="AA212" s="371">
        <v>386</v>
      </c>
      <c r="AB212" s="188"/>
      <c r="AC212" s="371">
        <v>210</v>
      </c>
      <c r="AD212" s="188"/>
      <c r="AE212" s="272"/>
      <c r="AF212" s="366"/>
      <c r="BV212" s="588">
        <v>7</v>
      </c>
      <c r="BW212" s="589">
        <v>1</v>
      </c>
    </row>
    <row r="213" spans="1:75" ht="13.5" customHeight="1" thickBot="1">
      <c r="A213" s="372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66"/>
    </row>
    <row r="214" spans="1:75" ht="13.5" customHeight="1">
      <c r="A214" s="377"/>
      <c r="B214" s="388" t="s">
        <v>309</v>
      </c>
      <c r="C214" s="389"/>
      <c r="D214" s="389" t="s">
        <v>357</v>
      </c>
      <c r="E214" s="389"/>
      <c r="F214" s="389" t="s">
        <v>350</v>
      </c>
      <c r="G214" s="389"/>
      <c r="H214" s="388" t="s">
        <v>676</v>
      </c>
      <c r="I214" s="389"/>
      <c r="J214" s="389" t="s">
        <v>357</v>
      </c>
      <c r="K214" s="389"/>
      <c r="L214" s="389" t="s">
        <v>350</v>
      </c>
      <c r="M214" s="389"/>
      <c r="N214" s="388" t="s">
        <v>335</v>
      </c>
      <c r="O214" s="389"/>
      <c r="P214" s="389" t="s">
        <v>399</v>
      </c>
      <c r="Q214" s="389"/>
      <c r="R214" s="389" t="s">
        <v>350</v>
      </c>
      <c r="S214" s="389"/>
      <c r="T214" s="389" t="s">
        <v>399</v>
      </c>
      <c r="U214" s="389"/>
      <c r="V214" s="389" t="s">
        <v>350</v>
      </c>
      <c r="W214" s="389"/>
      <c r="X214" s="389" t="s">
        <v>357</v>
      </c>
      <c r="Y214" s="389"/>
      <c r="Z214" s="389" t="s">
        <v>350</v>
      </c>
      <c r="AA214" s="389"/>
      <c r="AB214" s="388" t="s">
        <v>300</v>
      </c>
      <c r="AC214" s="389"/>
      <c r="AD214" s="388" t="s">
        <v>300</v>
      </c>
      <c r="AE214" s="389"/>
      <c r="AF214" s="378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" customHeight="1">
      <c r="G245" s="167"/>
      <c r="I245" s="167"/>
    </row>
    <row r="246" spans="7:9" ht="12.6" customHeight="1">
      <c r="G246" s="167"/>
      <c r="I246" s="167"/>
    </row>
    <row r="247" spans="7:9" ht="12.6" customHeight="1">
      <c r="G247" s="167"/>
      <c r="I247" s="167"/>
    </row>
    <row r="248" spans="7:9" ht="12.6" customHeight="1">
      <c r="G248" s="167"/>
      <c r="I248" s="167"/>
    </row>
    <row r="249" spans="7:9" ht="12.6" customHeight="1">
      <c r="G249" s="167"/>
      <c r="I249" s="167"/>
    </row>
    <row r="250" spans="7:9" ht="12.6" customHeight="1">
      <c r="G250" s="167"/>
      <c r="I250" s="167"/>
    </row>
    <row r="251" spans="7:9" ht="12.6" customHeight="1">
      <c r="G251" s="167"/>
      <c r="I251" s="167"/>
    </row>
    <row r="252" spans="7:9" ht="12.6" customHeight="1">
      <c r="G252" s="167"/>
      <c r="I252" s="167"/>
    </row>
    <row r="253" spans="7:9" ht="12.6" customHeight="1">
      <c r="G253" s="167"/>
      <c r="I253" s="167"/>
    </row>
    <row r="254" spans="7:9" ht="12.6" customHeight="1">
      <c r="G254" s="167"/>
      <c r="I254" s="167"/>
    </row>
    <row r="255" spans="7:9" ht="12.6" customHeight="1">
      <c r="G255" s="167"/>
      <c r="I255" s="167"/>
    </row>
    <row r="256" spans="7:9" ht="12.6" customHeight="1">
      <c r="G256" s="167"/>
      <c r="I256" s="167"/>
    </row>
    <row r="257" spans="7:9" ht="12.6" customHeight="1">
      <c r="G257" s="167"/>
      <c r="I257" s="167"/>
    </row>
    <row r="258" spans="7:9" ht="12.6" customHeight="1">
      <c r="G258" s="167"/>
      <c r="I258" s="167"/>
    </row>
    <row r="259" spans="7:9" ht="12.6" customHeight="1">
      <c r="G259" s="167"/>
      <c r="I259" s="167"/>
    </row>
    <row r="260" spans="7:9" ht="12.6" customHeight="1">
      <c r="G260" s="167"/>
      <c r="I260" s="167"/>
    </row>
    <row r="261" spans="7:9" ht="12.6" customHeight="1">
      <c r="G261" s="167"/>
      <c r="I261" s="167"/>
    </row>
    <row r="262" spans="7:9" ht="12.6" customHeight="1">
      <c r="G262" s="167"/>
      <c r="I262" s="167"/>
    </row>
    <row r="263" spans="7:9" ht="12.6" customHeight="1">
      <c r="G263" s="167"/>
      <c r="I263" s="167"/>
    </row>
    <row r="264" spans="7:9" ht="12.6" customHeight="1">
      <c r="G264" s="167"/>
      <c r="I264" s="167"/>
    </row>
    <row r="265" spans="7:9" ht="12.6" customHeight="1">
      <c r="G265" s="167"/>
      <c r="I265" s="167"/>
    </row>
    <row r="266" spans="7:9" ht="12.6" customHeight="1">
      <c r="G266" s="167"/>
      <c r="I266" s="167"/>
    </row>
    <row r="267" spans="7:9" ht="12.6" customHeight="1">
      <c r="G267" s="167"/>
      <c r="I267" s="167"/>
    </row>
    <row r="268" spans="7:9" ht="12.6" customHeight="1">
      <c r="G268" s="167"/>
      <c r="I268" s="167"/>
    </row>
    <row r="269" spans="7:9" ht="12.6" customHeight="1">
      <c r="G269" s="167"/>
      <c r="I269" s="167"/>
    </row>
    <row r="270" spans="7:9" ht="12.6" customHeight="1">
      <c r="G270" s="167"/>
      <c r="I270" s="167"/>
    </row>
    <row r="271" spans="7:9" ht="12.6" customHeight="1">
      <c r="G271" s="167"/>
      <c r="I271" s="167"/>
    </row>
    <row r="272" spans="7:9" ht="12.6" customHeight="1">
      <c r="G272" s="167"/>
      <c r="I272" s="167"/>
    </row>
    <row r="273" spans="7:7" ht="12.6" customHeight="1">
      <c r="G273" s="167"/>
    </row>
    <row r="274" spans="7:7" ht="12.6" customHeight="1">
      <c r="G274" s="167"/>
    </row>
    <row r="275" spans="7:7" ht="12.6" customHeight="1"/>
    <row r="276" spans="7:7" ht="12.6" customHeight="1"/>
    <row r="277" spans="7:7" ht="12.6" customHeight="1"/>
    <row r="278" spans="7:7" ht="12.6" customHeight="1"/>
    <row r="279" spans="7:7" ht="12.6" customHeight="1"/>
    <row r="280" spans="7:7" ht="12.6" customHeight="1"/>
    <row r="281" spans="7:7" ht="12.6" customHeight="1"/>
    <row r="282" spans="7:7" ht="12.6" customHeight="1"/>
    <row r="283" spans="7:7" ht="12.6" customHeight="1"/>
    <row r="284" spans="7:7" ht="12.6" customHeight="1"/>
    <row r="285" spans="7:7" ht="12.6" customHeight="1"/>
    <row r="286" spans="7:7" ht="12.6" customHeight="1"/>
    <row r="287" spans="7:7" ht="12.6" customHeight="1"/>
    <row r="288" spans="7:7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</sheetData>
  <mergeCells count="186"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D6" sqref="D6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819" t="s">
        <v>677</v>
      </c>
      <c r="B1" s="820"/>
      <c r="C1" s="820"/>
      <c r="D1" s="820"/>
      <c r="E1" s="820"/>
      <c r="F1" s="820"/>
      <c r="G1" s="820"/>
      <c r="H1" s="820"/>
      <c r="I1" s="820"/>
      <c r="J1" s="820"/>
      <c r="K1" s="820"/>
      <c r="L1" s="821"/>
      <c r="M1" s="259"/>
      <c r="N1" s="255"/>
    </row>
    <row r="2" spans="1:14" ht="62.25">
      <c r="A2" s="309" t="s">
        <v>244</v>
      </c>
      <c r="B2" s="309" t="s">
        <v>338</v>
      </c>
      <c r="C2" s="309" t="s">
        <v>339</v>
      </c>
      <c r="D2" s="309" t="s">
        <v>263</v>
      </c>
      <c r="E2" s="310" t="s">
        <v>678</v>
      </c>
      <c r="F2" s="309" t="s">
        <v>341</v>
      </c>
      <c r="G2" s="309" t="s">
        <v>342</v>
      </c>
      <c r="H2" s="311" t="s">
        <v>343</v>
      </c>
      <c r="I2" s="309" t="s">
        <v>344</v>
      </c>
      <c r="J2" s="309" t="s">
        <v>33</v>
      </c>
      <c r="K2" s="309" t="s">
        <v>345</v>
      </c>
      <c r="L2" s="309" t="s">
        <v>346</v>
      </c>
      <c r="M2" s="309" t="s">
        <v>347</v>
      </c>
      <c r="N2" s="309" t="s">
        <v>470</v>
      </c>
    </row>
    <row r="3" spans="1:14" ht="60">
      <c r="A3" s="11">
        <v>1</v>
      </c>
      <c r="B3" s="11" t="s">
        <v>542</v>
      </c>
      <c r="C3" s="11" t="s">
        <v>292</v>
      </c>
      <c r="D3" s="11" t="s">
        <v>679</v>
      </c>
      <c r="E3" s="11"/>
      <c r="F3" s="308">
        <v>46125</v>
      </c>
      <c r="G3" s="10" t="s">
        <v>680</v>
      </c>
      <c r="H3" s="11"/>
      <c r="I3" s="11"/>
      <c r="J3" s="11"/>
      <c r="K3" s="11" t="s">
        <v>681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682</v>
      </c>
      <c r="C2" s="144" t="s">
        <v>259</v>
      </c>
      <c r="D2" s="144" t="s">
        <v>683</v>
      </c>
      <c r="E2" s="144" t="s">
        <v>684</v>
      </c>
    </row>
    <row r="3" spans="1:5">
      <c r="A3" s="30">
        <v>1</v>
      </c>
      <c r="B3" s="25" t="s">
        <v>685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521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522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686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687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688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689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690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368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691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692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369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177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693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694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418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400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404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407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178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179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695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423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180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371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383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696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183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697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698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699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184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185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652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700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166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701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702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703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704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705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706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707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708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709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685</v>
      </c>
      <c r="D3" t="s">
        <v>710</v>
      </c>
      <c r="E3" t="s">
        <v>519</v>
      </c>
      <c r="F3" t="s">
        <v>520</v>
      </c>
      <c r="G3" t="s">
        <v>521</v>
      </c>
      <c r="H3" t="s">
        <v>711</v>
      </c>
      <c r="I3" t="s">
        <v>712</v>
      </c>
      <c r="J3" t="s">
        <v>522</v>
      </c>
      <c r="K3" t="s">
        <v>713</v>
      </c>
      <c r="L3" t="s">
        <v>714</v>
      </c>
      <c r="M3" t="s">
        <v>715</v>
      </c>
      <c r="N3" t="s">
        <v>686</v>
      </c>
      <c r="O3" t="s">
        <v>716</v>
      </c>
      <c r="P3" t="s">
        <v>717</v>
      </c>
      <c r="Q3" t="s">
        <v>687</v>
      </c>
      <c r="R3" t="s">
        <v>523</v>
      </c>
      <c r="S3" t="s">
        <v>718</v>
      </c>
      <c r="T3" t="s">
        <v>688</v>
      </c>
      <c r="U3" t="s">
        <v>689</v>
      </c>
      <c r="V3" t="s">
        <v>719</v>
      </c>
      <c r="W3" t="s">
        <v>720</v>
      </c>
      <c r="X3" t="s">
        <v>721</v>
      </c>
      <c r="Y3" t="s">
        <v>722</v>
      </c>
      <c r="Z3" t="s">
        <v>723</v>
      </c>
      <c r="AA3" t="s">
        <v>724</v>
      </c>
      <c r="AB3" t="s">
        <v>725</v>
      </c>
      <c r="AC3" t="s">
        <v>726</v>
      </c>
      <c r="AD3" t="s">
        <v>272</v>
      </c>
      <c r="AE3" t="s">
        <v>526</v>
      </c>
      <c r="AF3" t="s">
        <v>527</v>
      </c>
      <c r="AG3" t="s">
        <v>277</v>
      </c>
      <c r="AH3" t="s">
        <v>727</v>
      </c>
      <c r="AI3" t="s">
        <v>728</v>
      </c>
      <c r="AJ3" t="s">
        <v>729</v>
      </c>
      <c r="AK3" t="s">
        <v>730</v>
      </c>
      <c r="AL3" t="s">
        <v>690</v>
      </c>
      <c r="AM3" t="s">
        <v>731</v>
      </c>
      <c r="AN3" t="s">
        <v>732</v>
      </c>
      <c r="AO3" t="s">
        <v>733</v>
      </c>
      <c r="AP3" t="s">
        <v>135</v>
      </c>
      <c r="AQ3" t="s">
        <v>173</v>
      </c>
      <c r="AR3" t="s">
        <v>167</v>
      </c>
      <c r="AS3" t="s">
        <v>565</v>
      </c>
      <c r="AT3" t="s">
        <v>569</v>
      </c>
      <c r="AU3" t="s">
        <v>541</v>
      </c>
      <c r="AV3" t="s">
        <v>542</v>
      </c>
      <c r="AW3" t="s">
        <v>543</v>
      </c>
      <c r="AX3" t="s">
        <v>734</v>
      </c>
      <c r="AY3" t="s">
        <v>735</v>
      </c>
      <c r="AZ3" t="s">
        <v>736</v>
      </c>
      <c r="BA3" t="s">
        <v>737</v>
      </c>
      <c r="BB3" t="s">
        <v>545</v>
      </c>
      <c r="BC3" t="s">
        <v>738</v>
      </c>
      <c r="BD3" t="s">
        <v>739</v>
      </c>
      <c r="BE3" t="s">
        <v>442</v>
      </c>
      <c r="BF3" t="s">
        <v>448</v>
      </c>
      <c r="BG3" t="s">
        <v>378</v>
      </c>
      <c r="BH3" t="s">
        <v>740</v>
      </c>
      <c r="BI3" t="s">
        <v>741</v>
      </c>
      <c r="BJ3" t="s">
        <v>372</v>
      </c>
      <c r="BK3" t="s">
        <v>136</v>
      </c>
      <c r="BL3" t="s">
        <v>370</v>
      </c>
      <c r="BM3" t="s">
        <v>742</v>
      </c>
      <c r="BN3" t="s">
        <v>368</v>
      </c>
      <c r="BO3" t="s">
        <v>691</v>
      </c>
      <c r="BP3" t="s">
        <v>692</v>
      </c>
      <c r="BQ3" t="s">
        <v>369</v>
      </c>
      <c r="BR3" t="s">
        <v>174</v>
      </c>
      <c r="BS3" t="s">
        <v>137</v>
      </c>
      <c r="BT3" t="s">
        <v>138</v>
      </c>
      <c r="BU3" t="s">
        <v>139</v>
      </c>
      <c r="BV3" t="s">
        <v>140</v>
      </c>
      <c r="BW3" t="s">
        <v>168</v>
      </c>
      <c r="BX3" t="s">
        <v>176</v>
      </c>
      <c r="BY3" t="s">
        <v>177</v>
      </c>
      <c r="BZ3" t="s">
        <v>693</v>
      </c>
      <c r="CA3" t="s">
        <v>743</v>
      </c>
      <c r="CB3" t="s">
        <v>694</v>
      </c>
      <c r="CC3" t="s">
        <v>462</v>
      </c>
      <c r="CD3" t="s">
        <v>418</v>
      </c>
      <c r="CE3" t="s">
        <v>400</v>
      </c>
      <c r="CF3" t="s">
        <v>374</v>
      </c>
      <c r="CG3" t="s">
        <v>388</v>
      </c>
      <c r="CH3" t="s">
        <v>392</v>
      </c>
      <c r="CI3" t="s">
        <v>549</v>
      </c>
      <c r="CJ3" t="s">
        <v>404</v>
      </c>
      <c r="CK3" t="s">
        <v>407</v>
      </c>
      <c r="CL3" t="s">
        <v>178</v>
      </c>
      <c r="CM3" t="s">
        <v>179</v>
      </c>
      <c r="CN3" t="s">
        <v>695</v>
      </c>
      <c r="CO3" t="s">
        <v>551</v>
      </c>
      <c r="CP3" t="s">
        <v>425</v>
      </c>
      <c r="CQ3" t="s">
        <v>423</v>
      </c>
      <c r="CR3" t="s">
        <v>385</v>
      </c>
      <c r="CS3" t="s">
        <v>180</v>
      </c>
      <c r="CT3" t="s">
        <v>371</v>
      </c>
      <c r="CU3" t="s">
        <v>383</v>
      </c>
      <c r="CV3" t="s">
        <v>169</v>
      </c>
      <c r="CW3" t="s">
        <v>554</v>
      </c>
      <c r="CX3" t="s">
        <v>555</v>
      </c>
      <c r="CY3" t="s">
        <v>557</v>
      </c>
      <c r="CZ3" t="s">
        <v>744</v>
      </c>
      <c r="DA3" t="s">
        <v>558</v>
      </c>
      <c r="DB3" t="s">
        <v>445</v>
      </c>
      <c r="DC3" t="s">
        <v>453</v>
      </c>
      <c r="DD3" t="s">
        <v>745</v>
      </c>
      <c r="DE3" t="s">
        <v>746</v>
      </c>
      <c r="DF3" t="s">
        <v>455</v>
      </c>
      <c r="DG3" t="s">
        <v>450</v>
      </c>
      <c r="DH3" t="s">
        <v>361</v>
      </c>
      <c r="DI3" t="s">
        <v>360</v>
      </c>
      <c r="DJ3" t="s">
        <v>747</v>
      </c>
      <c r="DK3" t="s">
        <v>748</v>
      </c>
      <c r="DL3" t="s">
        <v>749</v>
      </c>
      <c r="DM3" t="s">
        <v>586</v>
      </c>
      <c r="DN3" t="s">
        <v>181</v>
      </c>
      <c r="DO3" t="s">
        <v>165</v>
      </c>
      <c r="DP3" t="s">
        <v>602</v>
      </c>
      <c r="DQ3" t="s">
        <v>603</v>
      </c>
      <c r="DR3" t="s">
        <v>607</v>
      </c>
      <c r="DS3" t="s">
        <v>609</v>
      </c>
      <c r="DT3" t="s">
        <v>610</v>
      </c>
      <c r="DU3" t="s">
        <v>611</v>
      </c>
      <c r="DV3" t="s">
        <v>750</v>
      </c>
      <c r="DW3" t="s">
        <v>751</v>
      </c>
      <c r="DX3" t="s">
        <v>752</v>
      </c>
      <c r="DY3" t="s">
        <v>753</v>
      </c>
      <c r="DZ3" t="s">
        <v>754</v>
      </c>
      <c r="EA3" t="s">
        <v>182</v>
      </c>
      <c r="EB3" t="s">
        <v>141</v>
      </c>
      <c r="EC3" t="s">
        <v>614</v>
      </c>
      <c r="ED3" t="s">
        <v>615</v>
      </c>
      <c r="EE3" t="s">
        <v>616</v>
      </c>
      <c r="EF3" t="s">
        <v>621</v>
      </c>
      <c r="EG3" t="s">
        <v>755</v>
      </c>
      <c r="EH3" t="s">
        <v>756</v>
      </c>
      <c r="EI3" t="s">
        <v>142</v>
      </c>
      <c r="EJ3" t="s">
        <v>757</v>
      </c>
      <c r="EK3" t="s">
        <v>758</v>
      </c>
      <c r="EL3" t="s">
        <v>144</v>
      </c>
      <c r="EM3" t="s">
        <v>759</v>
      </c>
      <c r="EN3" t="s">
        <v>760</v>
      </c>
      <c r="EO3" t="s">
        <v>761</v>
      </c>
      <c r="EP3" t="s">
        <v>762</v>
      </c>
      <c r="EQ3" t="s">
        <v>696</v>
      </c>
      <c r="ER3" t="s">
        <v>183</v>
      </c>
      <c r="ES3" t="s">
        <v>763</v>
      </c>
      <c r="ET3" t="s">
        <v>764</v>
      </c>
      <c r="EU3" t="s">
        <v>765</v>
      </c>
      <c r="EV3" t="s">
        <v>622</v>
      </c>
      <c r="EW3" t="s">
        <v>623</v>
      </c>
      <c r="EX3" t="s">
        <v>624</v>
      </c>
      <c r="EY3" t="s">
        <v>145</v>
      </c>
      <c r="EZ3" t="s">
        <v>625</v>
      </c>
      <c r="FA3" t="s">
        <v>146</v>
      </c>
      <c r="FB3" t="s">
        <v>766</v>
      </c>
      <c r="FC3" t="s">
        <v>767</v>
      </c>
      <c r="FD3" t="s">
        <v>768</v>
      </c>
      <c r="FE3" t="s">
        <v>629</v>
      </c>
      <c r="FF3" t="s">
        <v>630</v>
      </c>
      <c r="FG3" t="s">
        <v>769</v>
      </c>
      <c r="FH3" t="s">
        <v>697</v>
      </c>
      <c r="FI3" t="s">
        <v>698</v>
      </c>
      <c r="FJ3" t="s">
        <v>770</v>
      </c>
      <c r="FK3" t="s">
        <v>699</v>
      </c>
      <c r="FL3" t="s">
        <v>771</v>
      </c>
      <c r="FM3" t="s">
        <v>184</v>
      </c>
      <c r="FN3" t="s">
        <v>185</v>
      </c>
      <c r="FO3" t="s">
        <v>186</v>
      </c>
      <c r="FP3" t="s">
        <v>632</v>
      </c>
      <c r="FQ3" t="s">
        <v>147</v>
      </c>
      <c r="FR3" t="s">
        <v>633</v>
      </c>
      <c r="FS3" t="s">
        <v>635</v>
      </c>
      <c r="FT3" t="s">
        <v>464</v>
      </c>
      <c r="FU3" t="s">
        <v>641</v>
      </c>
      <c r="FV3" t="s">
        <v>772</v>
      </c>
      <c r="FW3" t="s">
        <v>773</v>
      </c>
      <c r="FX3" t="s">
        <v>774</v>
      </c>
      <c r="FY3" t="s">
        <v>652</v>
      </c>
      <c r="FZ3" t="s">
        <v>148</v>
      </c>
      <c r="GA3" t="s">
        <v>657</v>
      </c>
      <c r="GB3" t="s">
        <v>149</v>
      </c>
      <c r="GC3" t="s">
        <v>150</v>
      </c>
      <c r="GD3" t="s">
        <v>151</v>
      </c>
      <c r="GE3" t="s">
        <v>421</v>
      </c>
      <c r="GF3" t="s">
        <v>675</v>
      </c>
      <c r="GG3" t="s">
        <v>463</v>
      </c>
      <c r="GH3" t="s">
        <v>775</v>
      </c>
      <c r="GI3" t="s">
        <v>776</v>
      </c>
      <c r="GJ3" t="s">
        <v>777</v>
      </c>
      <c r="GK3" t="s">
        <v>778</v>
      </c>
      <c r="GL3" t="s">
        <v>700</v>
      </c>
      <c r="GM3" t="s">
        <v>152</v>
      </c>
      <c r="GN3" t="s">
        <v>166</v>
      </c>
      <c r="GO3" t="s">
        <v>779</v>
      </c>
      <c r="GP3" t="s">
        <v>153</v>
      </c>
      <c r="GQ3" t="s">
        <v>780</v>
      </c>
      <c r="GR3" t="s">
        <v>781</v>
      </c>
      <c r="GS3" t="s">
        <v>782</v>
      </c>
      <c r="GT3" t="s">
        <v>783</v>
      </c>
      <c r="GU3" t="s">
        <v>784</v>
      </c>
      <c r="GV3" t="s">
        <v>785</v>
      </c>
      <c r="GW3" t="s">
        <v>786</v>
      </c>
      <c r="GX3" t="s">
        <v>787</v>
      </c>
      <c r="GY3" t="s">
        <v>788</v>
      </c>
      <c r="GZ3" t="s">
        <v>789</v>
      </c>
      <c r="HA3" t="s">
        <v>790</v>
      </c>
      <c r="HB3" t="s">
        <v>791</v>
      </c>
      <c r="HC3" t="s">
        <v>792</v>
      </c>
      <c r="HD3" t="s">
        <v>793</v>
      </c>
      <c r="HE3" t="s">
        <v>794</v>
      </c>
      <c r="HF3" t="s">
        <v>795</v>
      </c>
      <c r="HG3" t="s">
        <v>796</v>
      </c>
      <c r="HH3" t="s">
        <v>154</v>
      </c>
      <c r="HI3" t="s">
        <v>164</v>
      </c>
      <c r="HJ3" t="s">
        <v>797</v>
      </c>
      <c r="HK3" t="s">
        <v>798</v>
      </c>
      <c r="HL3" t="s">
        <v>799</v>
      </c>
      <c r="HM3" t="s">
        <v>800</v>
      </c>
      <c r="HN3" t="s">
        <v>801</v>
      </c>
      <c r="HO3" t="s">
        <v>802</v>
      </c>
      <c r="HP3" t="s">
        <v>803</v>
      </c>
      <c r="HQ3" t="s">
        <v>804</v>
      </c>
      <c r="HR3" t="s">
        <v>805</v>
      </c>
      <c r="HS3" t="s">
        <v>806</v>
      </c>
      <c r="HT3" t="s">
        <v>187</v>
      </c>
      <c r="HU3" t="s">
        <v>807</v>
      </c>
      <c r="HV3" t="s">
        <v>808</v>
      </c>
      <c r="HW3" t="s">
        <v>188</v>
      </c>
      <c r="HX3" t="s">
        <v>809</v>
      </c>
      <c r="HY3" t="s">
        <v>810</v>
      </c>
      <c r="HZ3" t="s">
        <v>155</v>
      </c>
      <c r="IA3" t="s">
        <v>811</v>
      </c>
      <c r="IB3" t="s">
        <v>156</v>
      </c>
      <c r="IC3" t="s">
        <v>157</v>
      </c>
      <c r="ID3" t="s">
        <v>812</v>
      </c>
      <c r="IE3" t="s">
        <v>813</v>
      </c>
      <c r="IF3" t="s">
        <v>814</v>
      </c>
      <c r="IG3" t="s">
        <v>815</v>
      </c>
      <c r="IH3" t="s">
        <v>189</v>
      </c>
      <c r="II3" t="s">
        <v>816</v>
      </c>
      <c r="IJ3" t="s">
        <v>817</v>
      </c>
      <c r="IK3" t="s">
        <v>818</v>
      </c>
      <c r="IL3" t="s">
        <v>819</v>
      </c>
      <c r="IM3" t="s">
        <v>820</v>
      </c>
      <c r="IN3" t="s">
        <v>821</v>
      </c>
      <c r="IO3" t="s">
        <v>822</v>
      </c>
      <c r="IP3" t="s">
        <v>823</v>
      </c>
      <c r="IQ3" t="s">
        <v>824</v>
      </c>
      <c r="IR3" t="s">
        <v>825</v>
      </c>
      <c r="IS3" t="s">
        <v>826</v>
      </c>
      <c r="IT3" t="s">
        <v>827</v>
      </c>
      <c r="IU3" t="s">
        <v>828</v>
      </c>
      <c r="IV3" t="s">
        <v>829</v>
      </c>
      <c r="IW3" t="s">
        <v>830</v>
      </c>
      <c r="IX3" t="s">
        <v>831</v>
      </c>
      <c r="IY3" t="s">
        <v>832</v>
      </c>
      <c r="IZ3" t="s">
        <v>833</v>
      </c>
      <c r="JA3" t="s">
        <v>190</v>
      </c>
      <c r="JB3" t="s">
        <v>834</v>
      </c>
      <c r="JC3" t="s">
        <v>835</v>
      </c>
      <c r="JD3" t="s">
        <v>836</v>
      </c>
      <c r="JE3" t="s">
        <v>837</v>
      </c>
      <c r="JF3" t="s">
        <v>838</v>
      </c>
      <c r="JG3" t="s">
        <v>839</v>
      </c>
      <c r="JH3" t="s">
        <v>840</v>
      </c>
      <c r="JI3" t="s">
        <v>841</v>
      </c>
      <c r="JJ3" t="s">
        <v>842</v>
      </c>
      <c r="JK3" t="s">
        <v>843</v>
      </c>
      <c r="JL3" t="s">
        <v>844</v>
      </c>
      <c r="JM3" t="s">
        <v>845</v>
      </c>
      <c r="JN3" t="s">
        <v>846</v>
      </c>
      <c r="JO3" t="s">
        <v>847</v>
      </c>
      <c r="JP3" t="s">
        <v>848</v>
      </c>
      <c r="JQ3" t="s">
        <v>849</v>
      </c>
      <c r="JR3" t="s">
        <v>850</v>
      </c>
      <c r="JS3" t="s">
        <v>851</v>
      </c>
      <c r="JT3" t="s">
        <v>852</v>
      </c>
      <c r="JU3" t="s">
        <v>853</v>
      </c>
      <c r="JV3" t="s">
        <v>854</v>
      </c>
      <c r="JW3" t="s">
        <v>855</v>
      </c>
      <c r="JX3" t="s">
        <v>856</v>
      </c>
      <c r="JY3" t="s">
        <v>857</v>
      </c>
      <c r="JZ3" t="s">
        <v>858</v>
      </c>
      <c r="KA3" t="s">
        <v>859</v>
      </c>
      <c r="KB3" t="s">
        <v>860</v>
      </c>
      <c r="KC3" t="s">
        <v>861</v>
      </c>
      <c r="KD3" t="s">
        <v>862</v>
      </c>
      <c r="KE3" t="s">
        <v>863</v>
      </c>
      <c r="KF3" t="s">
        <v>864</v>
      </c>
      <c r="KG3" t="s">
        <v>865</v>
      </c>
      <c r="KH3" t="s">
        <v>866</v>
      </c>
      <c r="KI3" t="s">
        <v>867</v>
      </c>
      <c r="KJ3" t="s">
        <v>868</v>
      </c>
      <c r="KK3" t="s">
        <v>869</v>
      </c>
      <c r="KL3" t="s">
        <v>870</v>
      </c>
      <c r="KM3" t="s">
        <v>871</v>
      </c>
      <c r="KN3" t="s">
        <v>872</v>
      </c>
      <c r="KO3" t="s">
        <v>873</v>
      </c>
      <c r="KP3" t="s">
        <v>874</v>
      </c>
      <c r="KQ3" t="s">
        <v>170</v>
      </c>
      <c r="KR3" t="s">
        <v>701</v>
      </c>
      <c r="KS3" t="s">
        <v>875</v>
      </c>
      <c r="KT3" t="s">
        <v>876</v>
      </c>
      <c r="KU3" t="s">
        <v>877</v>
      </c>
      <c r="KV3" t="s">
        <v>878</v>
      </c>
      <c r="KW3" t="s">
        <v>702</v>
      </c>
      <c r="KX3" t="s">
        <v>879</v>
      </c>
      <c r="KY3" t="s">
        <v>880</v>
      </c>
      <c r="KZ3" t="s">
        <v>171</v>
      </c>
      <c r="LA3" t="s">
        <v>881</v>
      </c>
      <c r="LB3" t="s">
        <v>191</v>
      </c>
      <c r="LC3" t="s">
        <v>158</v>
      </c>
      <c r="LD3" t="s">
        <v>159</v>
      </c>
      <c r="LE3" t="s">
        <v>882</v>
      </c>
      <c r="LF3" t="s">
        <v>883</v>
      </c>
      <c r="LG3" t="s">
        <v>884</v>
      </c>
      <c r="LH3" t="s">
        <v>885</v>
      </c>
      <c r="LI3" t="s">
        <v>703</v>
      </c>
      <c r="LJ3" t="s">
        <v>886</v>
      </c>
      <c r="LK3" t="s">
        <v>887</v>
      </c>
      <c r="LL3" t="s">
        <v>704</v>
      </c>
      <c r="LM3" t="s">
        <v>888</v>
      </c>
      <c r="LN3" t="s">
        <v>889</v>
      </c>
      <c r="LO3" t="s">
        <v>890</v>
      </c>
      <c r="LP3" t="s">
        <v>891</v>
      </c>
      <c r="LQ3" t="s">
        <v>705</v>
      </c>
      <c r="LR3" t="s">
        <v>892</v>
      </c>
      <c r="LS3" t="s">
        <v>160</v>
      </c>
      <c r="LT3" t="s">
        <v>192</v>
      </c>
      <c r="LU3" t="s">
        <v>706</v>
      </c>
      <c r="LV3" t="s">
        <v>161</v>
      </c>
      <c r="LW3" t="s">
        <v>707</v>
      </c>
      <c r="LX3" t="s">
        <v>708</v>
      </c>
      <c r="LY3" t="s">
        <v>893</v>
      </c>
      <c r="LZ3" t="s">
        <v>894</v>
      </c>
      <c r="MA3" t="s">
        <v>895</v>
      </c>
      <c r="MB3" t="s">
        <v>896</v>
      </c>
      <c r="MC3" t="s">
        <v>897</v>
      </c>
      <c r="MD3" t="s">
        <v>898</v>
      </c>
      <c r="ME3" t="s">
        <v>899</v>
      </c>
      <c r="MF3" t="s">
        <v>709</v>
      </c>
      <c r="MG3" t="s">
        <v>900</v>
      </c>
      <c r="MH3" t="s">
        <v>901</v>
      </c>
      <c r="MI3" t="s">
        <v>902</v>
      </c>
      <c r="MJ3" t="s">
        <v>162</v>
      </c>
      <c r="MK3" t="s">
        <v>903</v>
      </c>
      <c r="ML3" t="s">
        <v>904</v>
      </c>
      <c r="MM3" t="s">
        <v>163</v>
      </c>
      <c r="MN3" t="s">
        <v>905</v>
      </c>
      <c r="MO3" t="s">
        <v>906</v>
      </c>
    </row>
    <row r="4" spans="1:353">
      <c r="C4" t="s">
        <v>396</v>
      </c>
      <c r="D4" t="s">
        <v>399</v>
      </c>
      <c r="E4" t="s">
        <v>300</v>
      </c>
      <c r="F4" t="s">
        <v>298</v>
      </c>
      <c r="G4" t="s">
        <v>396</v>
      </c>
      <c r="H4" t="s">
        <v>396</v>
      </c>
      <c r="I4" t="s">
        <v>561</v>
      </c>
      <c r="J4" t="s">
        <v>560</v>
      </c>
      <c r="K4" t="s">
        <v>396</v>
      </c>
      <c r="L4" t="s">
        <v>350</v>
      </c>
      <c r="M4" t="s">
        <v>399</v>
      </c>
      <c r="N4" t="s">
        <v>350</v>
      </c>
      <c r="O4" t="s">
        <v>396</v>
      </c>
      <c r="P4" t="s">
        <v>350</v>
      </c>
      <c r="Q4" t="s">
        <v>357</v>
      </c>
      <c r="R4" t="s">
        <v>389</v>
      </c>
      <c r="S4" t="s">
        <v>907</v>
      </c>
      <c r="T4" t="s">
        <v>561</v>
      </c>
      <c r="U4" t="s">
        <v>350</v>
      </c>
      <c r="V4" t="s">
        <v>350</v>
      </c>
      <c r="W4" t="s">
        <v>396</v>
      </c>
      <c r="X4" t="s">
        <v>350</v>
      </c>
      <c r="Y4" t="s">
        <v>335</v>
      </c>
      <c r="Z4" t="s">
        <v>350</v>
      </c>
      <c r="AA4" t="s">
        <v>350</v>
      </c>
      <c r="AB4" t="s">
        <v>350</v>
      </c>
      <c r="AC4" t="s">
        <v>561</v>
      </c>
      <c r="AD4" t="s">
        <v>585</v>
      </c>
      <c r="AE4" t="s">
        <v>396</v>
      </c>
      <c r="AF4" t="s">
        <v>350</v>
      </c>
      <c r="AG4" t="s">
        <v>350</v>
      </c>
      <c r="AH4" t="s">
        <v>600</v>
      </c>
      <c r="AI4" t="s">
        <v>561</v>
      </c>
      <c r="AJ4" t="s">
        <v>561</v>
      </c>
      <c r="AK4" t="s">
        <v>585</v>
      </c>
      <c r="AL4" t="s">
        <v>357</v>
      </c>
      <c r="AM4" t="s">
        <v>350</v>
      </c>
      <c r="AN4" t="s">
        <v>350</v>
      </c>
      <c r="AO4" t="s">
        <v>300</v>
      </c>
      <c r="AP4" t="s">
        <v>396</v>
      </c>
      <c r="AQ4" t="s">
        <v>393</v>
      </c>
      <c r="AR4" t="s">
        <v>908</v>
      </c>
      <c r="AS4" t="s">
        <v>909</v>
      </c>
      <c r="AT4" t="s">
        <v>910</v>
      </c>
      <c r="AU4" t="s">
        <v>911</v>
      </c>
      <c r="AV4" t="s">
        <v>357</v>
      </c>
      <c r="AW4" t="s">
        <v>350</v>
      </c>
      <c r="AX4" t="s">
        <v>357</v>
      </c>
      <c r="AY4" t="s">
        <v>396</v>
      </c>
      <c r="AZ4" t="s">
        <v>396</v>
      </c>
      <c r="BA4" t="s">
        <v>300</v>
      </c>
      <c r="BB4" t="s">
        <v>396</v>
      </c>
      <c r="BC4" t="s">
        <v>396</v>
      </c>
      <c r="BD4" t="s">
        <v>396</v>
      </c>
      <c r="BE4" t="s">
        <v>330</v>
      </c>
      <c r="BF4" t="s">
        <v>350</v>
      </c>
      <c r="BG4" t="s">
        <v>335</v>
      </c>
      <c r="BH4" t="s">
        <v>335</v>
      </c>
      <c r="BI4" t="s">
        <v>357</v>
      </c>
      <c r="BJ4" t="s">
        <v>302</v>
      </c>
      <c r="BK4" t="s">
        <v>560</v>
      </c>
      <c r="BL4" t="s">
        <v>305</v>
      </c>
      <c r="BM4" t="s">
        <v>393</v>
      </c>
      <c r="BN4" t="s">
        <v>912</v>
      </c>
      <c r="BO4" t="s">
        <v>399</v>
      </c>
      <c r="BP4" t="s">
        <v>396</v>
      </c>
      <c r="BQ4" t="s">
        <v>913</v>
      </c>
      <c r="BR4" t="s">
        <v>326</v>
      </c>
      <c r="BS4" t="s">
        <v>399</v>
      </c>
      <c r="BT4" t="s">
        <v>300</v>
      </c>
      <c r="BU4" t="s">
        <v>335</v>
      </c>
      <c r="BV4" t="s">
        <v>914</v>
      </c>
      <c r="BW4" t="s">
        <v>914</v>
      </c>
      <c r="BX4" t="s">
        <v>350</v>
      </c>
      <c r="BY4" t="s">
        <v>350</v>
      </c>
      <c r="BZ4" t="s">
        <v>350</v>
      </c>
      <c r="CA4" t="s">
        <v>396</v>
      </c>
      <c r="CB4" t="s">
        <v>396</v>
      </c>
      <c r="CC4" t="s">
        <v>357</v>
      </c>
      <c r="CD4" t="s">
        <v>324</v>
      </c>
      <c r="CE4" t="s">
        <v>915</v>
      </c>
      <c r="CF4" t="s">
        <v>915</v>
      </c>
      <c r="CG4" t="s">
        <v>292</v>
      </c>
      <c r="CH4" t="s">
        <v>350</v>
      </c>
      <c r="CI4" t="s">
        <v>350</v>
      </c>
      <c r="CJ4" t="s">
        <v>396</v>
      </c>
      <c r="CK4" t="s">
        <v>350</v>
      </c>
      <c r="CL4" t="s">
        <v>357</v>
      </c>
      <c r="CM4" t="s">
        <v>357</v>
      </c>
      <c r="CN4" t="s">
        <v>335</v>
      </c>
      <c r="CO4" t="s">
        <v>914</v>
      </c>
      <c r="CP4" t="s">
        <v>914</v>
      </c>
      <c r="CQ4" t="s">
        <v>357</v>
      </c>
      <c r="CR4" t="s">
        <v>350</v>
      </c>
      <c r="CS4" t="s">
        <v>399</v>
      </c>
      <c r="CT4" t="s">
        <v>357</v>
      </c>
      <c r="CU4" t="s">
        <v>676</v>
      </c>
      <c r="CV4" t="s">
        <v>914</v>
      </c>
      <c r="CW4" t="s">
        <v>914</v>
      </c>
      <c r="CX4" t="s">
        <v>335</v>
      </c>
      <c r="CY4" t="s">
        <v>305</v>
      </c>
      <c r="CZ4" t="s">
        <v>915</v>
      </c>
      <c r="DA4" t="s">
        <v>560</v>
      </c>
      <c r="DB4" t="s">
        <v>560</v>
      </c>
      <c r="DC4" t="s">
        <v>357</v>
      </c>
      <c r="DD4" t="s">
        <v>350</v>
      </c>
      <c r="DE4" t="s">
        <v>292</v>
      </c>
      <c r="DF4" t="s">
        <v>916</v>
      </c>
      <c r="DG4" t="s">
        <v>915</v>
      </c>
      <c r="DH4" t="s">
        <v>917</v>
      </c>
      <c r="DI4" t="s">
        <v>389</v>
      </c>
      <c r="DJ4" t="s">
        <v>918</v>
      </c>
      <c r="DK4" t="s">
        <v>918</v>
      </c>
      <c r="DL4" t="s">
        <v>919</v>
      </c>
      <c r="DM4" t="s">
        <v>373</v>
      </c>
      <c r="DN4" t="s">
        <v>676</v>
      </c>
      <c r="DO4" t="s">
        <v>914</v>
      </c>
      <c r="DP4" t="s">
        <v>920</v>
      </c>
      <c r="DQ4" t="s">
        <v>391</v>
      </c>
      <c r="DR4" t="s">
        <v>913</v>
      </c>
      <c r="DS4" t="s">
        <v>907</v>
      </c>
      <c r="DT4" t="s">
        <v>561</v>
      </c>
      <c r="DU4" t="s">
        <v>399</v>
      </c>
      <c r="DV4" t="s">
        <v>399</v>
      </c>
      <c r="DW4" t="s">
        <v>396</v>
      </c>
      <c r="DX4" t="s">
        <v>396</v>
      </c>
      <c r="DY4" t="s">
        <v>921</v>
      </c>
      <c r="DZ4" t="s">
        <v>350</v>
      </c>
      <c r="EA4" t="s">
        <v>298</v>
      </c>
      <c r="EB4" t="s">
        <v>916</v>
      </c>
      <c r="EC4" t="s">
        <v>920</v>
      </c>
      <c r="ED4" t="s">
        <v>914</v>
      </c>
      <c r="EE4" t="s">
        <v>305</v>
      </c>
      <c r="EF4" t="s">
        <v>547</v>
      </c>
      <c r="EG4" t="s">
        <v>292</v>
      </c>
      <c r="EH4" t="s">
        <v>561</v>
      </c>
      <c r="EI4" t="s">
        <v>922</v>
      </c>
      <c r="EJ4" t="s">
        <v>919</v>
      </c>
      <c r="EK4" t="s">
        <v>357</v>
      </c>
      <c r="EL4" t="s">
        <v>350</v>
      </c>
      <c r="EM4" t="s">
        <v>350</v>
      </c>
      <c r="EN4" t="s">
        <v>350</v>
      </c>
      <c r="EO4" t="s">
        <v>350</v>
      </c>
      <c r="EP4" t="s">
        <v>357</v>
      </c>
      <c r="EQ4" t="s">
        <v>913</v>
      </c>
      <c r="ER4" t="s">
        <v>393</v>
      </c>
      <c r="ES4" t="s">
        <v>302</v>
      </c>
      <c r="ET4" t="s">
        <v>350</v>
      </c>
      <c r="EU4" t="s">
        <v>396</v>
      </c>
      <c r="EV4" t="s">
        <v>305</v>
      </c>
      <c r="EW4" t="s">
        <v>305</v>
      </c>
      <c r="EX4" t="s">
        <v>350</v>
      </c>
      <c r="EY4" t="s">
        <v>350</v>
      </c>
      <c r="EZ4" t="s">
        <v>396</v>
      </c>
      <c r="FA4" t="s">
        <v>335</v>
      </c>
      <c r="FB4" t="s">
        <v>357</v>
      </c>
      <c r="FC4" t="s">
        <v>923</v>
      </c>
      <c r="FD4" t="s">
        <v>350</v>
      </c>
      <c r="FE4" t="s">
        <v>924</v>
      </c>
      <c r="FF4" t="s">
        <v>357</v>
      </c>
      <c r="FG4" t="s">
        <v>676</v>
      </c>
      <c r="FH4" t="s">
        <v>561</v>
      </c>
      <c r="FI4" t="s">
        <v>396</v>
      </c>
      <c r="FJ4" t="s">
        <v>357</v>
      </c>
      <c r="FK4" t="s">
        <v>350</v>
      </c>
      <c r="FL4" t="s">
        <v>350</v>
      </c>
      <c r="FM4" t="s">
        <v>302</v>
      </c>
      <c r="FN4" t="s">
        <v>298</v>
      </c>
      <c r="FO4" t="s">
        <v>350</v>
      </c>
      <c r="FP4" t="s">
        <v>350</v>
      </c>
      <c r="FQ4" t="s">
        <v>357</v>
      </c>
      <c r="FR4" t="s">
        <v>547</v>
      </c>
      <c r="FS4" t="s">
        <v>925</v>
      </c>
      <c r="FT4" t="s">
        <v>926</v>
      </c>
      <c r="FU4" t="s">
        <v>330</v>
      </c>
      <c r="FV4" t="s">
        <v>927</v>
      </c>
      <c r="FW4" t="s">
        <v>927</v>
      </c>
      <c r="FX4" t="s">
        <v>561</v>
      </c>
      <c r="FY4" t="s">
        <v>916</v>
      </c>
      <c r="FZ4" t="s">
        <v>916</v>
      </c>
      <c r="GA4" t="s">
        <v>676</v>
      </c>
      <c r="GB4" t="s">
        <v>928</v>
      </c>
      <c r="GC4" t="s">
        <v>920</v>
      </c>
      <c r="GD4" t="s">
        <v>920</v>
      </c>
      <c r="GE4" t="s">
        <v>393</v>
      </c>
      <c r="GF4" t="s">
        <v>926</v>
      </c>
      <c r="GG4" t="s">
        <v>929</v>
      </c>
      <c r="GH4" t="s">
        <v>561</v>
      </c>
      <c r="GI4" t="s">
        <v>357</v>
      </c>
      <c r="GJ4" t="s">
        <v>335</v>
      </c>
      <c r="GK4" t="s">
        <v>396</v>
      </c>
      <c r="GL4" t="s">
        <v>396</v>
      </c>
      <c r="GM4" t="s">
        <v>305</v>
      </c>
      <c r="GN4" t="s">
        <v>305</v>
      </c>
      <c r="GO4" t="s">
        <v>357</v>
      </c>
      <c r="GP4" t="s">
        <v>399</v>
      </c>
      <c r="GQ4" t="s">
        <v>373</v>
      </c>
      <c r="GR4" t="s">
        <v>399</v>
      </c>
      <c r="GS4" t="s">
        <v>324</v>
      </c>
      <c r="GT4" t="s">
        <v>926</v>
      </c>
      <c r="GU4" t="s">
        <v>926</v>
      </c>
      <c r="GV4" t="s">
        <v>335</v>
      </c>
      <c r="GW4" t="s">
        <v>908</v>
      </c>
      <c r="GX4" t="s">
        <v>930</v>
      </c>
      <c r="GY4" t="s">
        <v>389</v>
      </c>
      <c r="GZ4" t="s">
        <v>561</v>
      </c>
      <c r="HA4" t="s">
        <v>373</v>
      </c>
      <c r="HB4" t="s">
        <v>391</v>
      </c>
      <c r="HC4" t="s">
        <v>914</v>
      </c>
      <c r="HD4" t="s">
        <v>931</v>
      </c>
      <c r="HE4" t="s">
        <v>916</v>
      </c>
      <c r="HF4" t="s">
        <v>350</v>
      </c>
      <c r="HG4" t="s">
        <v>396</v>
      </c>
      <c r="HH4" t="s">
        <v>932</v>
      </c>
      <c r="HI4" t="s">
        <v>389</v>
      </c>
      <c r="HJ4" t="s">
        <v>396</v>
      </c>
      <c r="HK4" t="s">
        <v>350</v>
      </c>
      <c r="HL4" t="s">
        <v>561</v>
      </c>
      <c r="HM4" t="s">
        <v>396</v>
      </c>
      <c r="HN4" t="s">
        <v>393</v>
      </c>
      <c r="HO4" t="s">
        <v>933</v>
      </c>
      <c r="HP4" t="s">
        <v>927</v>
      </c>
      <c r="HQ4" t="s">
        <v>914</v>
      </c>
      <c r="HR4" t="s">
        <v>399</v>
      </c>
      <c r="HS4" t="s">
        <v>396</v>
      </c>
      <c r="HT4" t="s">
        <v>396</v>
      </c>
      <c r="HU4" t="s">
        <v>396</v>
      </c>
      <c r="HV4" t="s">
        <v>350</v>
      </c>
      <c r="HW4" t="s">
        <v>357</v>
      </c>
      <c r="HX4" t="s">
        <v>357</v>
      </c>
      <c r="HY4" t="s">
        <v>560</v>
      </c>
      <c r="HZ4" t="s">
        <v>560</v>
      </c>
      <c r="IA4" t="s">
        <v>934</v>
      </c>
      <c r="IB4" t="s">
        <v>935</v>
      </c>
      <c r="IC4" t="s">
        <v>561</v>
      </c>
      <c r="ID4" t="s">
        <v>928</v>
      </c>
      <c r="IE4" t="s">
        <v>357</v>
      </c>
      <c r="IF4" t="s">
        <v>350</v>
      </c>
      <c r="IG4" t="s">
        <v>561</v>
      </c>
      <c r="IH4" t="s">
        <v>561</v>
      </c>
      <c r="II4" t="s">
        <v>350</v>
      </c>
      <c r="IJ4" t="s">
        <v>560</v>
      </c>
      <c r="IK4" t="s">
        <v>585</v>
      </c>
      <c r="IL4" t="s">
        <v>561</v>
      </c>
      <c r="IM4" t="s">
        <v>302</v>
      </c>
      <c r="IN4" t="s">
        <v>399</v>
      </c>
      <c r="IO4" t="s">
        <v>915</v>
      </c>
      <c r="IP4" t="s">
        <v>914</v>
      </c>
      <c r="IQ4" t="s">
        <v>936</v>
      </c>
      <c r="IR4" t="s">
        <v>350</v>
      </c>
      <c r="IS4" t="s">
        <v>350</v>
      </c>
      <c r="IT4" t="s">
        <v>396</v>
      </c>
      <c r="IU4" t="s">
        <v>330</v>
      </c>
      <c r="IV4" t="s">
        <v>357</v>
      </c>
      <c r="IW4" t="s">
        <v>391</v>
      </c>
      <c r="IX4" t="s">
        <v>300</v>
      </c>
      <c r="IY4" t="s">
        <v>561</v>
      </c>
      <c r="IZ4" t="s">
        <v>396</v>
      </c>
      <c r="JA4" t="s">
        <v>396</v>
      </c>
      <c r="JB4" t="s">
        <v>357</v>
      </c>
      <c r="JC4" t="s">
        <v>350</v>
      </c>
      <c r="JD4" t="s">
        <v>350</v>
      </c>
      <c r="JE4" t="s">
        <v>399</v>
      </c>
      <c r="JF4" t="s">
        <v>912</v>
      </c>
      <c r="JG4" t="s">
        <v>399</v>
      </c>
      <c r="JH4" t="s">
        <v>350</v>
      </c>
      <c r="JI4" t="s">
        <v>350</v>
      </c>
      <c r="JJ4" t="s">
        <v>302</v>
      </c>
      <c r="JK4" t="s">
        <v>399</v>
      </c>
      <c r="JL4" t="s">
        <v>357</v>
      </c>
      <c r="JM4" t="s">
        <v>302</v>
      </c>
      <c r="JN4" t="s">
        <v>350</v>
      </c>
      <c r="JO4" t="s">
        <v>302</v>
      </c>
      <c r="JP4" t="s">
        <v>561</v>
      </c>
      <c r="JQ4" t="s">
        <v>907</v>
      </c>
      <c r="JR4" t="s">
        <v>937</v>
      </c>
      <c r="JS4" t="s">
        <v>936</v>
      </c>
      <c r="JT4" t="s">
        <v>561</v>
      </c>
      <c r="JU4" t="s">
        <v>302</v>
      </c>
      <c r="JV4" t="s">
        <v>335</v>
      </c>
      <c r="JW4" t="s">
        <v>335</v>
      </c>
      <c r="JX4" t="s">
        <v>350</v>
      </c>
      <c r="JY4" t="s">
        <v>350</v>
      </c>
      <c r="JZ4" t="s">
        <v>350</v>
      </c>
      <c r="KA4" t="s">
        <v>357</v>
      </c>
      <c r="KB4" t="s">
        <v>330</v>
      </c>
      <c r="KC4" t="s">
        <v>915</v>
      </c>
      <c r="KD4" t="s">
        <v>919</v>
      </c>
      <c r="KE4" t="s">
        <v>561</v>
      </c>
      <c r="KF4" t="s">
        <v>350</v>
      </c>
      <c r="KG4" t="s">
        <v>350</v>
      </c>
      <c r="KH4" t="s">
        <v>357</v>
      </c>
      <c r="KI4" t="s">
        <v>929</v>
      </c>
      <c r="KJ4" t="s">
        <v>938</v>
      </c>
      <c r="KK4" t="s">
        <v>939</v>
      </c>
      <c r="KL4" t="s">
        <v>302</v>
      </c>
      <c r="KM4" t="s">
        <v>350</v>
      </c>
      <c r="KN4" t="s">
        <v>300</v>
      </c>
      <c r="KO4" t="s">
        <v>357</v>
      </c>
      <c r="KP4" t="s">
        <v>298</v>
      </c>
      <c r="KQ4" t="s">
        <v>350</v>
      </c>
      <c r="KR4" t="s">
        <v>350</v>
      </c>
      <c r="KS4" t="s">
        <v>350</v>
      </c>
      <c r="KT4" t="s">
        <v>357</v>
      </c>
      <c r="KU4" t="s">
        <v>560</v>
      </c>
      <c r="KV4" t="s">
        <v>560</v>
      </c>
      <c r="KW4" t="s">
        <v>350</v>
      </c>
      <c r="KX4" t="s">
        <v>350</v>
      </c>
      <c r="KY4" t="s">
        <v>350</v>
      </c>
      <c r="KZ4" t="s">
        <v>302</v>
      </c>
      <c r="LA4" t="s">
        <v>350</v>
      </c>
      <c r="LB4" t="s">
        <v>350</v>
      </c>
      <c r="LC4" t="s">
        <v>357</v>
      </c>
      <c r="LD4" t="s">
        <v>357</v>
      </c>
      <c r="LE4" t="s">
        <v>350</v>
      </c>
      <c r="LF4" t="s">
        <v>357</v>
      </c>
      <c r="LG4" t="s">
        <v>302</v>
      </c>
      <c r="LH4" t="s">
        <v>350</v>
      </c>
      <c r="LI4" t="s">
        <v>292</v>
      </c>
      <c r="LJ4" t="s">
        <v>940</v>
      </c>
      <c r="LK4" t="s">
        <v>940</v>
      </c>
      <c r="LL4" t="s">
        <v>393</v>
      </c>
      <c r="LM4" t="s">
        <v>399</v>
      </c>
      <c r="LN4" t="s">
        <v>560</v>
      </c>
      <c r="LO4" t="s">
        <v>561</v>
      </c>
      <c r="LP4" t="s">
        <v>357</v>
      </c>
      <c r="LQ4" t="s">
        <v>357</v>
      </c>
      <c r="LR4" t="s">
        <v>585</v>
      </c>
      <c r="LS4" t="s">
        <v>941</v>
      </c>
      <c r="LT4" t="s">
        <v>350</v>
      </c>
      <c r="LU4" t="s">
        <v>561</v>
      </c>
      <c r="LV4" t="s">
        <v>942</v>
      </c>
      <c r="LW4" t="s">
        <v>399</v>
      </c>
      <c r="LX4" t="s">
        <v>350</v>
      </c>
      <c r="LY4" t="s">
        <v>302</v>
      </c>
      <c r="LZ4" t="s">
        <v>943</v>
      </c>
      <c r="MA4" t="s">
        <v>300</v>
      </c>
      <c r="MB4" t="s">
        <v>350</v>
      </c>
      <c r="MC4" t="s">
        <v>357</v>
      </c>
      <c r="MD4" t="s">
        <v>399</v>
      </c>
      <c r="ME4" t="s">
        <v>350</v>
      </c>
      <c r="MF4" t="s">
        <v>393</v>
      </c>
      <c r="MG4" t="s">
        <v>944</v>
      </c>
      <c r="MH4" t="s">
        <v>944</v>
      </c>
      <c r="MI4" t="s">
        <v>393</v>
      </c>
      <c r="MJ4" t="s">
        <v>298</v>
      </c>
      <c r="MK4" t="s">
        <v>350</v>
      </c>
      <c r="ML4" t="s">
        <v>298</v>
      </c>
      <c r="MM4" t="s">
        <v>561</v>
      </c>
      <c r="MN4" t="s">
        <v>324</v>
      </c>
      <c r="MO4" t="s">
        <v>945</v>
      </c>
    </row>
    <row r="8" spans="1:353">
      <c r="I8" s="29"/>
    </row>
    <row r="9" spans="1:353">
      <c r="A9" s="822" t="s">
        <v>946</v>
      </c>
      <c r="B9" s="822" t="s">
        <v>339</v>
      </c>
      <c r="I9" s="29"/>
    </row>
    <row r="10" spans="1:353">
      <c r="A10" s="822"/>
      <c r="B10" s="822"/>
      <c r="I10" s="59" t="s">
        <v>519</v>
      </c>
    </row>
    <row r="11" spans="1:353" hidden="1">
      <c r="A11" s="29" t="s">
        <v>685</v>
      </c>
      <c r="B11" s="145" t="s">
        <v>396</v>
      </c>
      <c r="H11" t="str">
        <f t="shared" ref="H11:H21" si="0">A11</f>
        <v>117/1</v>
      </c>
      <c r="I11" s="29"/>
    </row>
    <row r="12" spans="1:353" hidden="1">
      <c r="A12" s="29" t="s">
        <v>710</v>
      </c>
      <c r="B12" s="145" t="s">
        <v>399</v>
      </c>
      <c r="H12" t="str">
        <f t="shared" si="0"/>
        <v>117/2</v>
      </c>
      <c r="I12" s="29"/>
    </row>
    <row r="13" spans="1:353" hidden="1">
      <c r="A13" s="29" t="s">
        <v>519</v>
      </c>
      <c r="B13" s="145" t="s">
        <v>300</v>
      </c>
      <c r="H13" t="str">
        <f t="shared" si="0"/>
        <v>118/0</v>
      </c>
      <c r="I13" s="29"/>
    </row>
    <row r="14" spans="1:353" hidden="1">
      <c r="A14" s="29" t="s">
        <v>520</v>
      </c>
      <c r="B14" s="145" t="s">
        <v>298</v>
      </c>
      <c r="H14" t="str">
        <f t="shared" si="0"/>
        <v>119/0</v>
      </c>
      <c r="I14" s="29"/>
    </row>
    <row r="15" spans="1:353" hidden="1">
      <c r="A15" s="29" t="s">
        <v>521</v>
      </c>
      <c r="B15" s="145" t="s">
        <v>396</v>
      </c>
      <c r="H15" t="str">
        <f t="shared" si="0"/>
        <v>119/1</v>
      </c>
      <c r="I15" s="29"/>
    </row>
    <row r="16" spans="1:353" hidden="1">
      <c r="A16" s="29" t="s">
        <v>711</v>
      </c>
      <c r="B16" s="145" t="s">
        <v>396</v>
      </c>
      <c r="H16" t="str">
        <f t="shared" si="0"/>
        <v>119/2</v>
      </c>
      <c r="I16" s="29"/>
    </row>
    <row r="17" spans="1:9" hidden="1">
      <c r="A17" s="29" t="s">
        <v>712</v>
      </c>
      <c r="B17" s="145" t="s">
        <v>561</v>
      </c>
      <c r="H17" t="str">
        <f t="shared" si="0"/>
        <v>119/3</v>
      </c>
      <c r="I17" s="29"/>
    </row>
    <row r="18" spans="1:9" hidden="1">
      <c r="A18" s="29" t="s">
        <v>522</v>
      </c>
      <c r="B18" s="145" t="s">
        <v>560</v>
      </c>
      <c r="H18" t="str">
        <f t="shared" si="0"/>
        <v>120/0</v>
      </c>
      <c r="I18" s="29"/>
    </row>
    <row r="19" spans="1:9" hidden="1">
      <c r="A19" s="29" t="s">
        <v>713</v>
      </c>
      <c r="B19" s="145" t="s">
        <v>396</v>
      </c>
      <c r="H19" t="str">
        <f t="shared" si="0"/>
        <v>120/1</v>
      </c>
      <c r="I19" s="29"/>
    </row>
    <row r="20" spans="1:9" hidden="1">
      <c r="A20" s="29" t="s">
        <v>714</v>
      </c>
      <c r="B20" s="145" t="s">
        <v>350</v>
      </c>
      <c r="H20" t="str">
        <f t="shared" si="0"/>
        <v>120/2</v>
      </c>
      <c r="I20" s="29"/>
    </row>
    <row r="21" spans="1:9" hidden="1">
      <c r="A21" s="29" t="s">
        <v>715</v>
      </c>
      <c r="B21" s="145" t="s">
        <v>399</v>
      </c>
      <c r="H21" t="str">
        <f t="shared" si="0"/>
        <v>120/3</v>
      </c>
      <c r="I21" s="29"/>
    </row>
    <row r="22" spans="1:9" hidden="1">
      <c r="A22" s="29" t="s">
        <v>686</v>
      </c>
      <c r="B22" s="145" t="s">
        <v>350</v>
      </c>
      <c r="I22" s="59" t="s">
        <v>758</v>
      </c>
    </row>
    <row r="23" spans="1:9" hidden="1">
      <c r="A23" s="29" t="s">
        <v>716</v>
      </c>
      <c r="B23" s="145" t="s">
        <v>396</v>
      </c>
      <c r="I23" s="29" t="s">
        <v>144</v>
      </c>
    </row>
    <row r="24" spans="1:9" hidden="1">
      <c r="A24" s="29" t="s">
        <v>717</v>
      </c>
      <c r="B24" s="145" t="s">
        <v>350</v>
      </c>
      <c r="I24" s="59" t="s">
        <v>759</v>
      </c>
    </row>
    <row r="25" spans="1:9" hidden="1">
      <c r="A25" s="29" t="s">
        <v>687</v>
      </c>
      <c r="B25" s="145" t="s">
        <v>357</v>
      </c>
      <c r="I25" s="59" t="s">
        <v>760</v>
      </c>
    </row>
    <row r="26" spans="1:9" hidden="1">
      <c r="A26" s="29" t="s">
        <v>523</v>
      </c>
      <c r="B26" s="145" t="s">
        <v>389</v>
      </c>
      <c r="I26" s="59" t="s">
        <v>761</v>
      </c>
    </row>
    <row r="27" spans="1:9" hidden="1">
      <c r="A27" s="29" t="s">
        <v>718</v>
      </c>
      <c r="B27" s="145" t="s">
        <v>907</v>
      </c>
      <c r="I27" s="59" t="s">
        <v>762</v>
      </c>
    </row>
    <row r="28" spans="1:9" hidden="1">
      <c r="A28" s="29" t="s">
        <v>725</v>
      </c>
      <c r="B28" s="145" t="s">
        <v>350</v>
      </c>
      <c r="I28" s="59" t="s">
        <v>145</v>
      </c>
    </row>
    <row r="29" spans="1:9">
      <c r="A29" s="29" t="s">
        <v>726</v>
      </c>
      <c r="B29" s="143" t="s">
        <v>561</v>
      </c>
      <c r="H29" t="str">
        <f>A29</f>
        <v>121/11</v>
      </c>
      <c r="I29" s="29"/>
    </row>
    <row r="30" spans="1:9" hidden="1">
      <c r="A30" s="29" t="s">
        <v>688</v>
      </c>
      <c r="B30" s="145" t="s">
        <v>561</v>
      </c>
      <c r="I30" s="59" t="s">
        <v>696</v>
      </c>
    </row>
    <row r="31" spans="1:9" hidden="1">
      <c r="A31" s="29" t="s">
        <v>689</v>
      </c>
      <c r="B31" s="145" t="s">
        <v>350</v>
      </c>
      <c r="I31" s="59" t="s">
        <v>183</v>
      </c>
    </row>
    <row r="32" spans="1:9" hidden="1">
      <c r="A32" s="29" t="s">
        <v>719</v>
      </c>
      <c r="B32" s="145" t="s">
        <v>350</v>
      </c>
      <c r="I32" s="59" t="s">
        <v>763</v>
      </c>
    </row>
    <row r="33" spans="1:9" hidden="1">
      <c r="A33" s="29" t="s">
        <v>720</v>
      </c>
      <c r="B33" s="145" t="s">
        <v>396</v>
      </c>
      <c r="I33" s="59" t="s">
        <v>764</v>
      </c>
    </row>
    <row r="34" spans="1:9" hidden="1">
      <c r="A34" s="29" t="s">
        <v>721</v>
      </c>
      <c r="B34" s="145" t="s">
        <v>350</v>
      </c>
      <c r="I34" s="59" t="s">
        <v>765</v>
      </c>
    </row>
    <row r="35" spans="1:9" hidden="1">
      <c r="A35" s="29" t="s">
        <v>722</v>
      </c>
      <c r="B35" s="145" t="s">
        <v>335</v>
      </c>
      <c r="I35" s="59" t="s">
        <v>622</v>
      </c>
    </row>
    <row r="36" spans="1:9" hidden="1">
      <c r="A36" s="29" t="s">
        <v>723</v>
      </c>
      <c r="B36" s="145" t="s">
        <v>350</v>
      </c>
      <c r="I36" s="59" t="s">
        <v>623</v>
      </c>
    </row>
    <row r="37" spans="1:9" hidden="1">
      <c r="A37" s="29" t="s">
        <v>724</v>
      </c>
      <c r="B37" s="145" t="s">
        <v>350</v>
      </c>
      <c r="I37" s="59" t="s">
        <v>624</v>
      </c>
    </row>
    <row r="38" spans="1:9" hidden="1">
      <c r="A38" s="29" t="s">
        <v>272</v>
      </c>
      <c r="B38" s="145" t="s">
        <v>585</v>
      </c>
      <c r="I38" s="59" t="s">
        <v>625</v>
      </c>
    </row>
    <row r="39" spans="1:9" hidden="1">
      <c r="A39" s="29" t="s">
        <v>526</v>
      </c>
      <c r="B39" s="145" t="s">
        <v>396</v>
      </c>
      <c r="H39" t="str">
        <f>A39</f>
        <v>124/1</v>
      </c>
      <c r="I39" s="29"/>
    </row>
    <row r="40" spans="1:9" hidden="1">
      <c r="A40" s="29" t="s">
        <v>527</v>
      </c>
      <c r="B40" s="145" t="s">
        <v>350</v>
      </c>
      <c r="H40" t="str">
        <f>A40</f>
        <v>124/2</v>
      </c>
      <c r="I40" s="29"/>
    </row>
    <row r="41" spans="1:9" hidden="1">
      <c r="A41" s="29" t="s">
        <v>277</v>
      </c>
      <c r="B41" s="145" t="s">
        <v>350</v>
      </c>
      <c r="H41" t="str">
        <f>A41</f>
        <v>124/3</v>
      </c>
      <c r="I41" s="29"/>
    </row>
    <row r="42" spans="1:9" hidden="1">
      <c r="A42" s="29" t="s">
        <v>727</v>
      </c>
      <c r="B42" s="145" t="s">
        <v>600</v>
      </c>
      <c r="I42" s="59" t="s">
        <v>630</v>
      </c>
    </row>
    <row r="43" spans="1:9" hidden="1">
      <c r="A43" s="29" t="s">
        <v>728</v>
      </c>
      <c r="B43" s="145" t="s">
        <v>561</v>
      </c>
      <c r="I43" s="59" t="s">
        <v>769</v>
      </c>
    </row>
    <row r="44" spans="1:9" hidden="1">
      <c r="A44" s="29" t="s">
        <v>729</v>
      </c>
      <c r="B44" s="145" t="s">
        <v>561</v>
      </c>
      <c r="I44" s="59" t="s">
        <v>697</v>
      </c>
    </row>
    <row r="45" spans="1:9" hidden="1">
      <c r="A45" s="29" t="s">
        <v>730</v>
      </c>
      <c r="B45" s="145" t="s">
        <v>585</v>
      </c>
      <c r="I45" s="59" t="s">
        <v>698</v>
      </c>
    </row>
    <row r="46" spans="1:9" hidden="1">
      <c r="A46" s="29" t="s">
        <v>690</v>
      </c>
      <c r="B46" s="145" t="s">
        <v>357</v>
      </c>
      <c r="I46" s="59" t="s">
        <v>770</v>
      </c>
    </row>
    <row r="47" spans="1:9" hidden="1">
      <c r="A47" s="29" t="s">
        <v>731</v>
      </c>
      <c r="B47" s="145" t="s">
        <v>350</v>
      </c>
      <c r="H47" t="str">
        <f>A47</f>
        <v>126/2</v>
      </c>
      <c r="I47" s="29"/>
    </row>
    <row r="48" spans="1:9" hidden="1">
      <c r="A48" s="29" t="s">
        <v>732</v>
      </c>
      <c r="B48" s="145" t="s">
        <v>350</v>
      </c>
      <c r="I48" s="59" t="s">
        <v>771</v>
      </c>
    </row>
    <row r="49" spans="1:9" hidden="1">
      <c r="A49" s="29" t="s">
        <v>733</v>
      </c>
      <c r="B49" s="145" t="s">
        <v>300</v>
      </c>
      <c r="H49" t="str">
        <f t="shared" ref="H49:H63" si="1">A49</f>
        <v>127/0</v>
      </c>
      <c r="I49" s="29"/>
    </row>
    <row r="50" spans="1:9" hidden="1">
      <c r="A50" s="29" t="s">
        <v>135</v>
      </c>
      <c r="B50" s="145" t="s">
        <v>396</v>
      </c>
      <c r="H50" t="str">
        <f t="shared" si="1"/>
        <v>127/1</v>
      </c>
      <c r="I50" s="29"/>
    </row>
    <row r="51" spans="1:9" hidden="1">
      <c r="A51" s="29" t="s">
        <v>173</v>
      </c>
      <c r="B51" s="145" t="s">
        <v>393</v>
      </c>
      <c r="H51" t="str">
        <f t="shared" si="1"/>
        <v>127/2</v>
      </c>
      <c r="I51" s="29"/>
    </row>
    <row r="52" spans="1:9" hidden="1">
      <c r="A52" s="29" t="s">
        <v>167</v>
      </c>
      <c r="B52" s="145" t="s">
        <v>908</v>
      </c>
      <c r="H52" t="str">
        <f t="shared" si="1"/>
        <v>128/0</v>
      </c>
      <c r="I52" s="29"/>
    </row>
    <row r="53" spans="1:9">
      <c r="A53" s="29" t="s">
        <v>565</v>
      </c>
      <c r="B53" s="143" t="s">
        <v>909</v>
      </c>
      <c r="H53" t="str">
        <f t="shared" si="1"/>
        <v>129/0</v>
      </c>
      <c r="I53" s="29"/>
    </row>
    <row r="54" spans="1:9">
      <c r="A54" s="29" t="s">
        <v>569</v>
      </c>
      <c r="B54" s="143" t="s">
        <v>910</v>
      </c>
      <c r="H54" t="str">
        <f t="shared" si="1"/>
        <v>130/0</v>
      </c>
      <c r="I54" s="29"/>
    </row>
    <row r="55" spans="1:9">
      <c r="A55" s="29" t="s">
        <v>541</v>
      </c>
      <c r="B55" s="143" t="s">
        <v>911</v>
      </c>
      <c r="H55" t="str">
        <f t="shared" si="1"/>
        <v>131/0</v>
      </c>
      <c r="I55" s="29"/>
    </row>
    <row r="56" spans="1:9">
      <c r="A56" s="29" t="s">
        <v>542</v>
      </c>
      <c r="B56" s="143" t="s">
        <v>357</v>
      </c>
      <c r="H56" t="str">
        <f t="shared" si="1"/>
        <v>131/1</v>
      </c>
      <c r="I56" s="29"/>
    </row>
    <row r="57" spans="1:9" hidden="1">
      <c r="A57" s="29" t="s">
        <v>543</v>
      </c>
      <c r="B57" s="145" t="s">
        <v>350</v>
      </c>
      <c r="H57" t="str">
        <f t="shared" si="1"/>
        <v>131/2</v>
      </c>
      <c r="I57" s="29"/>
    </row>
    <row r="58" spans="1:9">
      <c r="A58" s="29" t="s">
        <v>734</v>
      </c>
      <c r="B58" s="143" t="s">
        <v>357</v>
      </c>
      <c r="H58" t="str">
        <f t="shared" si="1"/>
        <v>131/3</v>
      </c>
      <c r="I58" s="29"/>
    </row>
    <row r="59" spans="1:9">
      <c r="A59" s="29" t="s">
        <v>735</v>
      </c>
      <c r="B59" s="143" t="s">
        <v>396</v>
      </c>
      <c r="H59" t="str">
        <f t="shared" si="1"/>
        <v>131/4</v>
      </c>
      <c r="I59" s="29"/>
    </row>
    <row r="60" spans="1:9">
      <c r="A60" s="29" t="s">
        <v>736</v>
      </c>
      <c r="B60" s="143" t="s">
        <v>396</v>
      </c>
      <c r="H60" t="str">
        <f t="shared" si="1"/>
        <v>131/5</v>
      </c>
      <c r="I60" s="29"/>
    </row>
    <row r="61" spans="1:9" hidden="1">
      <c r="A61" s="29" t="s">
        <v>737</v>
      </c>
      <c r="B61" s="145" t="s">
        <v>300</v>
      </c>
      <c r="H61" t="str">
        <f t="shared" si="1"/>
        <v>132/0</v>
      </c>
      <c r="I61" s="29"/>
    </row>
    <row r="62" spans="1:9" hidden="1">
      <c r="A62" s="29" t="s">
        <v>545</v>
      </c>
      <c r="B62" s="145" t="s">
        <v>396</v>
      </c>
      <c r="H62" t="str">
        <f t="shared" si="1"/>
        <v>132/1</v>
      </c>
      <c r="I62" s="29"/>
    </row>
    <row r="63" spans="1:9">
      <c r="A63" s="29" t="s">
        <v>738</v>
      </c>
      <c r="B63" s="143" t="s">
        <v>396</v>
      </c>
      <c r="H63" t="str">
        <f t="shared" si="1"/>
        <v>132/2</v>
      </c>
      <c r="I63" s="29"/>
    </row>
    <row r="64" spans="1:9" hidden="1">
      <c r="A64" s="29" t="s">
        <v>739</v>
      </c>
      <c r="B64" s="145" t="s">
        <v>396</v>
      </c>
      <c r="I64" s="59" t="s">
        <v>464</v>
      </c>
    </row>
    <row r="65" spans="1:9" hidden="1">
      <c r="A65" s="29" t="s">
        <v>442</v>
      </c>
      <c r="B65" s="145" t="s">
        <v>330</v>
      </c>
      <c r="H65" t="str">
        <f>A65</f>
        <v>133/0</v>
      </c>
      <c r="I65" s="29"/>
    </row>
    <row r="66" spans="1:9" hidden="1">
      <c r="A66" s="29" t="s">
        <v>448</v>
      </c>
      <c r="B66" s="145" t="s">
        <v>350</v>
      </c>
      <c r="H66" t="str">
        <f>A66</f>
        <v>133/1</v>
      </c>
      <c r="I66" s="29"/>
    </row>
    <row r="67" spans="1:9" hidden="1">
      <c r="A67" s="29" t="s">
        <v>378</v>
      </c>
      <c r="B67" s="145" t="s">
        <v>335</v>
      </c>
      <c r="H67" t="str">
        <f>A67</f>
        <v>133/2</v>
      </c>
      <c r="I67" s="29"/>
    </row>
    <row r="68" spans="1:9" hidden="1">
      <c r="A68" s="29" t="s">
        <v>740</v>
      </c>
      <c r="B68" s="143" t="s">
        <v>335</v>
      </c>
      <c r="H68" t="str">
        <f>A68</f>
        <v>133/3</v>
      </c>
      <c r="I68" s="29"/>
    </row>
    <row r="69" spans="1:9" hidden="1">
      <c r="A69" s="29" t="s">
        <v>741</v>
      </c>
      <c r="B69" s="145" t="s">
        <v>357</v>
      </c>
      <c r="H69" t="str">
        <f>A69</f>
        <v>133/4</v>
      </c>
      <c r="I69" s="29"/>
    </row>
    <row r="70" spans="1:9" hidden="1">
      <c r="A70" s="29" t="s">
        <v>372</v>
      </c>
      <c r="B70" s="145" t="s">
        <v>302</v>
      </c>
      <c r="I70" s="59" t="s">
        <v>148</v>
      </c>
    </row>
    <row r="71" spans="1:9">
      <c r="A71" s="29" t="s">
        <v>136</v>
      </c>
      <c r="B71" s="143" t="s">
        <v>560</v>
      </c>
      <c r="H71" t="str">
        <f t="shared" ref="H71:H90" si="2">A71</f>
        <v>135/0</v>
      </c>
      <c r="I71" s="29"/>
    </row>
    <row r="72" spans="1:9" hidden="1">
      <c r="A72" s="29" t="s">
        <v>370</v>
      </c>
      <c r="B72" s="145" t="s">
        <v>305</v>
      </c>
      <c r="H72" t="str">
        <f t="shared" si="2"/>
        <v>136/0</v>
      </c>
      <c r="I72" s="29"/>
    </row>
    <row r="73" spans="1:9" hidden="1">
      <c r="A73" s="29" t="s">
        <v>742</v>
      </c>
      <c r="B73" s="145" t="s">
        <v>393</v>
      </c>
      <c r="H73" t="str">
        <f t="shared" si="2"/>
        <v>136/1</v>
      </c>
      <c r="I73" s="29"/>
    </row>
    <row r="74" spans="1:9" hidden="1">
      <c r="A74" s="29" t="s">
        <v>368</v>
      </c>
      <c r="B74" s="145" t="s">
        <v>912</v>
      </c>
      <c r="H74" t="str">
        <f t="shared" si="2"/>
        <v>137/0</v>
      </c>
      <c r="I74" s="29"/>
    </row>
    <row r="75" spans="1:9" hidden="1">
      <c r="A75" s="29" t="s">
        <v>691</v>
      </c>
      <c r="B75" s="145" t="s">
        <v>399</v>
      </c>
      <c r="H75" t="str">
        <f t="shared" si="2"/>
        <v>137/1</v>
      </c>
      <c r="I75" s="29"/>
    </row>
    <row r="76" spans="1:9" hidden="1">
      <c r="A76" s="29" t="s">
        <v>692</v>
      </c>
      <c r="B76" s="145" t="s">
        <v>396</v>
      </c>
      <c r="H76" t="str">
        <f t="shared" si="2"/>
        <v>137/2</v>
      </c>
      <c r="I76" s="29"/>
    </row>
    <row r="77" spans="1:9" hidden="1">
      <c r="A77" s="29" t="s">
        <v>369</v>
      </c>
      <c r="B77" s="145" t="s">
        <v>913</v>
      </c>
      <c r="H77" t="str">
        <f t="shared" si="2"/>
        <v>138/0</v>
      </c>
      <c r="I77" s="29"/>
    </row>
    <row r="78" spans="1:9" hidden="1">
      <c r="A78" s="29" t="s">
        <v>174</v>
      </c>
      <c r="B78" s="145" t="s">
        <v>326</v>
      </c>
      <c r="H78" t="str">
        <f t="shared" si="2"/>
        <v>139/0</v>
      </c>
      <c r="I78" s="29"/>
    </row>
    <row r="79" spans="1:9" hidden="1">
      <c r="A79" s="29" t="s">
        <v>137</v>
      </c>
      <c r="B79" s="145" t="s">
        <v>399</v>
      </c>
      <c r="H79" t="str">
        <f t="shared" si="2"/>
        <v>139/1</v>
      </c>
      <c r="I79" s="29"/>
    </row>
    <row r="80" spans="1:9" hidden="1">
      <c r="A80" s="29" t="s">
        <v>138</v>
      </c>
      <c r="B80" s="145" t="s">
        <v>300</v>
      </c>
      <c r="H80" t="str">
        <f t="shared" si="2"/>
        <v>139/2</v>
      </c>
      <c r="I80" s="29"/>
    </row>
    <row r="81" spans="1:9" hidden="1">
      <c r="A81" s="29" t="s">
        <v>139</v>
      </c>
      <c r="B81" s="145" t="s">
        <v>335</v>
      </c>
      <c r="H81" t="str">
        <f t="shared" si="2"/>
        <v>139/3</v>
      </c>
      <c r="I81" s="29"/>
    </row>
    <row r="82" spans="1:9" hidden="1">
      <c r="A82" s="29" t="s">
        <v>140</v>
      </c>
      <c r="B82" s="145" t="s">
        <v>914</v>
      </c>
      <c r="H82" t="str">
        <f t="shared" si="2"/>
        <v>140/0</v>
      </c>
      <c r="I82" s="29"/>
    </row>
    <row r="83" spans="1:9" hidden="1">
      <c r="A83" s="29" t="s">
        <v>168</v>
      </c>
      <c r="B83" s="145" t="s">
        <v>914</v>
      </c>
      <c r="H83" t="str">
        <f t="shared" si="2"/>
        <v>141/0</v>
      </c>
      <c r="I83" s="29"/>
    </row>
    <row r="84" spans="1:9" hidden="1">
      <c r="A84" s="29" t="s">
        <v>176</v>
      </c>
      <c r="B84" s="145" t="s">
        <v>350</v>
      </c>
      <c r="H84" t="str">
        <f t="shared" si="2"/>
        <v>141/1</v>
      </c>
      <c r="I84" s="29"/>
    </row>
    <row r="85" spans="1:9" hidden="1">
      <c r="A85" s="29" t="s">
        <v>177</v>
      </c>
      <c r="B85" s="145" t="s">
        <v>350</v>
      </c>
      <c r="H85" t="str">
        <f t="shared" si="2"/>
        <v>141/2</v>
      </c>
      <c r="I85" s="29"/>
    </row>
    <row r="86" spans="1:9" hidden="1">
      <c r="A86" s="29" t="s">
        <v>693</v>
      </c>
      <c r="B86" s="145" t="s">
        <v>350</v>
      </c>
      <c r="H86" t="str">
        <f t="shared" si="2"/>
        <v>141/3</v>
      </c>
      <c r="I86" s="29"/>
    </row>
    <row r="87" spans="1:9" hidden="1">
      <c r="A87" s="29" t="s">
        <v>743</v>
      </c>
      <c r="B87" s="145" t="s">
        <v>396</v>
      </c>
      <c r="H87" t="str">
        <f t="shared" si="2"/>
        <v>141/4</v>
      </c>
      <c r="I87" s="29"/>
    </row>
    <row r="88" spans="1:9" hidden="1">
      <c r="A88" s="29" t="s">
        <v>694</v>
      </c>
      <c r="B88" s="145" t="s">
        <v>396</v>
      </c>
      <c r="H88" t="str">
        <f t="shared" si="2"/>
        <v>141/5</v>
      </c>
      <c r="I88" s="29"/>
    </row>
    <row r="89" spans="1:9" hidden="1">
      <c r="A89" s="29" t="s">
        <v>462</v>
      </c>
      <c r="B89" s="145" t="s">
        <v>357</v>
      </c>
      <c r="H89" t="str">
        <f t="shared" si="2"/>
        <v>141/6</v>
      </c>
      <c r="I89" s="29"/>
    </row>
    <row r="90" spans="1:9" hidden="1">
      <c r="A90" s="29" t="s">
        <v>418</v>
      </c>
      <c r="B90" s="145" t="s">
        <v>324</v>
      </c>
      <c r="H90" t="str">
        <f t="shared" si="2"/>
        <v>142/0</v>
      </c>
      <c r="I90" s="29"/>
    </row>
    <row r="91" spans="1:9" hidden="1">
      <c r="A91" s="29" t="s">
        <v>400</v>
      </c>
      <c r="B91" s="145" t="s">
        <v>915</v>
      </c>
      <c r="I91" s="59" t="s">
        <v>798</v>
      </c>
    </row>
    <row r="92" spans="1:9" hidden="1">
      <c r="A92" s="29" t="s">
        <v>374</v>
      </c>
      <c r="B92" s="145" t="s">
        <v>915</v>
      </c>
      <c r="H92" t="str">
        <f>A92</f>
        <v>144/0</v>
      </c>
      <c r="I92" s="29"/>
    </row>
    <row r="93" spans="1:9">
      <c r="A93" s="29" t="s">
        <v>388</v>
      </c>
      <c r="B93" s="143" t="s">
        <v>292</v>
      </c>
      <c r="H93" t="str">
        <f>A93</f>
        <v>145/0</v>
      </c>
      <c r="I93" s="29"/>
    </row>
    <row r="94" spans="1:9">
      <c r="A94" s="29" t="s">
        <v>392</v>
      </c>
      <c r="B94" s="143" t="s">
        <v>350</v>
      </c>
      <c r="H94" t="str">
        <f>A94</f>
        <v>145/1</v>
      </c>
      <c r="I94" s="29"/>
    </row>
    <row r="95" spans="1:9" hidden="1">
      <c r="A95" s="29" t="s">
        <v>549</v>
      </c>
      <c r="B95" s="145" t="s">
        <v>350</v>
      </c>
      <c r="I95" s="59" t="s">
        <v>800</v>
      </c>
    </row>
    <row r="96" spans="1:9" hidden="1">
      <c r="A96" s="29" t="s">
        <v>404</v>
      </c>
      <c r="B96" s="145" t="s">
        <v>396</v>
      </c>
      <c r="H96" t="str">
        <f t="shared" ref="H96:H121" si="3">A96</f>
        <v>145/3</v>
      </c>
      <c r="I96" s="29"/>
    </row>
    <row r="97" spans="1:9" hidden="1">
      <c r="A97" s="29" t="s">
        <v>407</v>
      </c>
      <c r="B97" s="145" t="s">
        <v>350</v>
      </c>
      <c r="H97" t="str">
        <f t="shared" si="3"/>
        <v>145/4</v>
      </c>
      <c r="I97" s="29"/>
    </row>
    <row r="98" spans="1:9" hidden="1">
      <c r="A98" s="29" t="s">
        <v>178</v>
      </c>
      <c r="B98" s="145" t="s">
        <v>357</v>
      </c>
      <c r="H98" t="str">
        <f t="shared" si="3"/>
        <v>145/5</v>
      </c>
      <c r="I98" s="29"/>
    </row>
    <row r="99" spans="1:9" hidden="1">
      <c r="A99" s="29" t="s">
        <v>179</v>
      </c>
      <c r="B99" s="145" t="s">
        <v>357</v>
      </c>
      <c r="H99" t="str">
        <f t="shared" si="3"/>
        <v>145/6</v>
      </c>
      <c r="I99" s="29"/>
    </row>
    <row r="100" spans="1:9" hidden="1">
      <c r="A100" s="29" t="s">
        <v>695</v>
      </c>
      <c r="B100" s="145" t="s">
        <v>335</v>
      </c>
      <c r="H100" t="str">
        <f t="shared" si="3"/>
        <v>145/7</v>
      </c>
      <c r="I100" s="29"/>
    </row>
    <row r="101" spans="1:9" hidden="1">
      <c r="A101" s="29" t="s">
        <v>551</v>
      </c>
      <c r="B101" s="145" t="s">
        <v>914</v>
      </c>
      <c r="H101" t="str">
        <f t="shared" si="3"/>
        <v>147/0</v>
      </c>
      <c r="I101" s="29"/>
    </row>
    <row r="102" spans="1:9" hidden="1">
      <c r="A102" s="29" t="s">
        <v>425</v>
      </c>
      <c r="B102" s="145" t="s">
        <v>914</v>
      </c>
      <c r="H102" t="str">
        <f t="shared" si="3"/>
        <v>148/0</v>
      </c>
      <c r="I102" s="29"/>
    </row>
    <row r="103" spans="1:9" hidden="1">
      <c r="A103" s="29" t="s">
        <v>423</v>
      </c>
      <c r="B103" s="145" t="s">
        <v>357</v>
      </c>
      <c r="H103" t="str">
        <f t="shared" si="3"/>
        <v>148/1</v>
      </c>
      <c r="I103" s="29"/>
    </row>
    <row r="104" spans="1:9" hidden="1">
      <c r="A104" s="29" t="s">
        <v>385</v>
      </c>
      <c r="B104" s="145" t="s">
        <v>350</v>
      </c>
      <c r="H104" t="str">
        <f t="shared" si="3"/>
        <v>148/2</v>
      </c>
      <c r="I104" s="29"/>
    </row>
    <row r="105" spans="1:9" hidden="1">
      <c r="A105" s="29" t="s">
        <v>180</v>
      </c>
      <c r="B105" s="145" t="s">
        <v>399</v>
      </c>
      <c r="H105" t="str">
        <f t="shared" si="3"/>
        <v>148/3</v>
      </c>
      <c r="I105" s="29"/>
    </row>
    <row r="106" spans="1:9" hidden="1">
      <c r="A106" s="29" t="s">
        <v>371</v>
      </c>
      <c r="B106" s="145" t="s">
        <v>357</v>
      </c>
      <c r="H106" t="str">
        <f t="shared" si="3"/>
        <v>148/4</v>
      </c>
      <c r="I106" s="29"/>
    </row>
    <row r="107" spans="1:9" hidden="1">
      <c r="A107" s="29" t="s">
        <v>383</v>
      </c>
      <c r="B107" s="145" t="s">
        <v>676</v>
      </c>
      <c r="H107" t="str">
        <f t="shared" si="3"/>
        <v>148/5</v>
      </c>
      <c r="I107" s="29"/>
    </row>
    <row r="108" spans="1:9" hidden="1">
      <c r="A108" s="29" t="s">
        <v>169</v>
      </c>
      <c r="B108" s="145" t="s">
        <v>914</v>
      </c>
      <c r="H108" t="str">
        <f t="shared" si="3"/>
        <v>149/0</v>
      </c>
      <c r="I108" s="29"/>
    </row>
    <row r="109" spans="1:9">
      <c r="A109" s="29" t="s">
        <v>554</v>
      </c>
      <c r="B109" s="143" t="s">
        <v>914</v>
      </c>
      <c r="H109" t="str">
        <f t="shared" si="3"/>
        <v>150/0</v>
      </c>
      <c r="I109" s="29"/>
    </row>
    <row r="110" spans="1:9">
      <c r="A110" s="29" t="s">
        <v>555</v>
      </c>
      <c r="B110" s="143" t="s">
        <v>335</v>
      </c>
      <c r="H110" t="str">
        <f t="shared" si="3"/>
        <v>150/1</v>
      </c>
      <c r="I110" s="29"/>
    </row>
    <row r="111" spans="1:9">
      <c r="A111" s="29" t="s">
        <v>557</v>
      </c>
      <c r="B111" s="143" t="s">
        <v>305</v>
      </c>
      <c r="H111" t="str">
        <f t="shared" si="3"/>
        <v>151/0</v>
      </c>
      <c r="I111" s="29"/>
    </row>
    <row r="112" spans="1:9">
      <c r="A112" s="29" t="s">
        <v>744</v>
      </c>
      <c r="B112" s="143" t="s">
        <v>915</v>
      </c>
      <c r="H112" t="str">
        <f t="shared" si="3"/>
        <v>151A/0</v>
      </c>
      <c r="I112" s="29"/>
    </row>
    <row r="113" spans="1:9">
      <c r="A113" s="29" t="s">
        <v>558</v>
      </c>
      <c r="B113" s="143" t="s">
        <v>560</v>
      </c>
      <c r="H113" t="str">
        <f t="shared" si="3"/>
        <v>152/0</v>
      </c>
      <c r="I113" s="29"/>
    </row>
    <row r="114" spans="1:9">
      <c r="A114" s="29" t="s">
        <v>445</v>
      </c>
      <c r="B114" s="143" t="s">
        <v>560</v>
      </c>
      <c r="H114" t="str">
        <f t="shared" si="3"/>
        <v>153/0</v>
      </c>
      <c r="I114" s="29"/>
    </row>
    <row r="115" spans="1:9">
      <c r="A115" s="29" t="s">
        <v>453</v>
      </c>
      <c r="B115" s="143" t="s">
        <v>357</v>
      </c>
      <c r="H115" t="str">
        <f t="shared" si="3"/>
        <v>153/1</v>
      </c>
      <c r="I115" s="29"/>
    </row>
    <row r="116" spans="1:9">
      <c r="A116" s="29" t="s">
        <v>745</v>
      </c>
      <c r="B116" s="143" t="s">
        <v>350</v>
      </c>
      <c r="H116" t="str">
        <f t="shared" si="3"/>
        <v>153/2</v>
      </c>
      <c r="I116" s="29"/>
    </row>
    <row r="117" spans="1:9">
      <c r="A117" s="29" t="s">
        <v>746</v>
      </c>
      <c r="B117" s="143" t="s">
        <v>292</v>
      </c>
      <c r="H117" t="str">
        <f t="shared" si="3"/>
        <v>153A/0</v>
      </c>
      <c r="I117" s="29"/>
    </row>
    <row r="118" spans="1:9">
      <c r="A118" s="29" t="s">
        <v>455</v>
      </c>
      <c r="B118" s="143" t="s">
        <v>916</v>
      </c>
      <c r="H118" t="str">
        <f t="shared" si="3"/>
        <v>154/0</v>
      </c>
      <c r="I118" s="29"/>
    </row>
    <row r="119" spans="1:9">
      <c r="A119" s="29" t="s">
        <v>450</v>
      </c>
      <c r="B119" s="143" t="s">
        <v>915</v>
      </c>
      <c r="H119" t="str">
        <f t="shared" si="3"/>
        <v>155/0</v>
      </c>
      <c r="I119" s="29"/>
    </row>
    <row r="120" spans="1:9">
      <c r="A120" s="29" t="s">
        <v>361</v>
      </c>
      <c r="B120" s="143" t="s">
        <v>917</v>
      </c>
      <c r="H120" t="str">
        <f t="shared" si="3"/>
        <v>156/0</v>
      </c>
      <c r="I120" s="29"/>
    </row>
    <row r="121" spans="1:9">
      <c r="A121" s="29" t="s">
        <v>360</v>
      </c>
      <c r="B121" s="143" t="s">
        <v>389</v>
      </c>
      <c r="H121" t="str">
        <f t="shared" si="3"/>
        <v>156/1</v>
      </c>
      <c r="I121" s="29"/>
    </row>
    <row r="122" spans="1:9">
      <c r="A122" s="29" t="s">
        <v>747</v>
      </c>
      <c r="B122" s="143" t="s">
        <v>918</v>
      </c>
      <c r="I122" s="29" t="s">
        <v>277</v>
      </c>
    </row>
    <row r="123" spans="1:9">
      <c r="A123" s="29" t="s">
        <v>748</v>
      </c>
      <c r="B123" s="143" t="s">
        <v>918</v>
      </c>
      <c r="H123" t="str">
        <f t="shared" ref="H123:H134" si="4">A123</f>
        <v xml:space="preserve">158/0 </v>
      </c>
      <c r="I123" s="29"/>
    </row>
    <row r="124" spans="1:9">
      <c r="A124" s="29" t="s">
        <v>749</v>
      </c>
      <c r="B124" s="143" t="s">
        <v>919</v>
      </c>
      <c r="H124" t="str">
        <f t="shared" si="4"/>
        <v xml:space="preserve">159/0 </v>
      </c>
      <c r="I124" s="29"/>
    </row>
    <row r="125" spans="1:9" hidden="1">
      <c r="A125" s="29" t="s">
        <v>586</v>
      </c>
      <c r="B125" s="145" t="s">
        <v>373</v>
      </c>
      <c r="H125" t="str">
        <f t="shared" si="4"/>
        <v>160/0</v>
      </c>
      <c r="I125" s="29"/>
    </row>
    <row r="126" spans="1:9" hidden="1">
      <c r="A126" s="29" t="s">
        <v>181</v>
      </c>
      <c r="B126" s="145" t="s">
        <v>676</v>
      </c>
      <c r="H126" t="str">
        <f t="shared" si="4"/>
        <v>161/0</v>
      </c>
      <c r="I126" s="29"/>
    </row>
    <row r="127" spans="1:9" hidden="1">
      <c r="A127" s="29" t="s">
        <v>165</v>
      </c>
      <c r="B127" s="145" t="s">
        <v>914</v>
      </c>
      <c r="H127" t="str">
        <f t="shared" si="4"/>
        <v>162/0</v>
      </c>
      <c r="I127" s="29"/>
    </row>
    <row r="128" spans="1:9" hidden="1">
      <c r="A128" s="29" t="s">
        <v>602</v>
      </c>
      <c r="B128" s="143" t="s">
        <v>920</v>
      </c>
      <c r="H128" t="str">
        <f t="shared" si="4"/>
        <v>163/0</v>
      </c>
      <c r="I128" s="29"/>
    </row>
    <row r="129" spans="1:9">
      <c r="A129" s="29" t="s">
        <v>603</v>
      </c>
      <c r="B129" s="143" t="s">
        <v>391</v>
      </c>
      <c r="H129" t="str">
        <f t="shared" si="4"/>
        <v>163/1</v>
      </c>
      <c r="I129" s="29"/>
    </row>
    <row r="130" spans="1:9">
      <c r="A130" s="29" t="s">
        <v>607</v>
      </c>
      <c r="B130" s="143" t="s">
        <v>913</v>
      </c>
      <c r="H130" t="str">
        <f t="shared" si="4"/>
        <v>164/0</v>
      </c>
      <c r="I130" s="29"/>
    </row>
    <row r="131" spans="1:9">
      <c r="A131" s="29" t="s">
        <v>609</v>
      </c>
      <c r="B131" s="143" t="s">
        <v>907</v>
      </c>
      <c r="H131" t="str">
        <f t="shared" si="4"/>
        <v>165/0</v>
      </c>
      <c r="I131" s="29"/>
    </row>
    <row r="132" spans="1:9">
      <c r="A132" s="29" t="s">
        <v>610</v>
      </c>
      <c r="B132" s="143" t="s">
        <v>561</v>
      </c>
      <c r="H132" t="str">
        <f t="shared" si="4"/>
        <v>165/1</v>
      </c>
      <c r="I132" s="29"/>
    </row>
    <row r="133" spans="1:9" hidden="1">
      <c r="A133" s="29" t="s">
        <v>611</v>
      </c>
      <c r="B133" s="145" t="s">
        <v>399</v>
      </c>
      <c r="H133" t="str">
        <f t="shared" si="4"/>
        <v>165/2</v>
      </c>
      <c r="I133" s="29"/>
    </row>
    <row r="134" spans="1:9">
      <c r="A134" s="29" t="s">
        <v>750</v>
      </c>
      <c r="B134" s="143" t="s">
        <v>399</v>
      </c>
      <c r="H134" t="str">
        <f t="shared" si="4"/>
        <v>165/3</v>
      </c>
      <c r="I134" s="29"/>
    </row>
    <row r="135" spans="1:9" hidden="1">
      <c r="A135" s="29" t="s">
        <v>751</v>
      </c>
      <c r="B135" s="145" t="s">
        <v>396</v>
      </c>
      <c r="I135" s="59" t="s">
        <v>814</v>
      </c>
    </row>
    <row r="136" spans="1:9" hidden="1">
      <c r="A136" s="29" t="s">
        <v>752</v>
      </c>
      <c r="B136" s="145" t="s">
        <v>396</v>
      </c>
      <c r="H136" t="str">
        <f t="shared" ref="H136:H144" si="5">A136</f>
        <v>165/5</v>
      </c>
      <c r="I136" s="29"/>
    </row>
    <row r="137" spans="1:9" hidden="1">
      <c r="A137" s="29" t="s">
        <v>753</v>
      </c>
      <c r="B137" s="145" t="s">
        <v>921</v>
      </c>
      <c r="H137" t="str">
        <f t="shared" si="5"/>
        <v>165/6</v>
      </c>
      <c r="I137" s="29"/>
    </row>
    <row r="138" spans="1:9" hidden="1">
      <c r="A138" s="29" t="s">
        <v>754</v>
      </c>
      <c r="B138" s="145" t="s">
        <v>350</v>
      </c>
      <c r="H138" t="str">
        <f t="shared" si="5"/>
        <v>165/7</v>
      </c>
      <c r="I138" s="29"/>
    </row>
    <row r="139" spans="1:9" hidden="1">
      <c r="A139" s="29" t="s">
        <v>182</v>
      </c>
      <c r="B139" s="145" t="s">
        <v>298</v>
      </c>
      <c r="H139" t="str">
        <f t="shared" si="5"/>
        <v>166/0</v>
      </c>
      <c r="I139" s="29"/>
    </row>
    <row r="140" spans="1:9" hidden="1">
      <c r="A140" s="29" t="s">
        <v>141</v>
      </c>
      <c r="B140" s="145" t="s">
        <v>916</v>
      </c>
      <c r="H140" t="str">
        <f t="shared" si="5"/>
        <v>167/0</v>
      </c>
      <c r="I140" s="29"/>
    </row>
    <row r="141" spans="1:9" hidden="1">
      <c r="A141" s="29" t="s">
        <v>614</v>
      </c>
      <c r="B141" s="145" t="s">
        <v>920</v>
      </c>
      <c r="H141" t="str">
        <f t="shared" si="5"/>
        <v>168/0</v>
      </c>
      <c r="I141" s="29"/>
    </row>
    <row r="142" spans="1:9">
      <c r="A142" s="29" t="s">
        <v>615</v>
      </c>
      <c r="B142" s="143" t="s">
        <v>914</v>
      </c>
      <c r="H142" t="str">
        <f t="shared" si="5"/>
        <v>169/0</v>
      </c>
      <c r="I142" s="29"/>
    </row>
    <row r="143" spans="1:9" hidden="1">
      <c r="A143" s="29" t="s">
        <v>616</v>
      </c>
      <c r="B143" s="145" t="s">
        <v>305</v>
      </c>
      <c r="H143" t="str">
        <f t="shared" si="5"/>
        <v>170/0</v>
      </c>
      <c r="I143" s="29"/>
    </row>
    <row r="144" spans="1:9" hidden="1">
      <c r="A144" s="29" t="s">
        <v>621</v>
      </c>
      <c r="B144" s="145" t="s">
        <v>547</v>
      </c>
      <c r="H144" t="str">
        <f t="shared" si="5"/>
        <v>171/0</v>
      </c>
      <c r="I144" s="29"/>
    </row>
    <row r="145" spans="1:9" hidden="1">
      <c r="A145" s="29" t="s">
        <v>755</v>
      </c>
      <c r="B145" s="145" t="s">
        <v>292</v>
      </c>
      <c r="I145" s="59" t="s">
        <v>823</v>
      </c>
    </row>
    <row r="146" spans="1:9" hidden="1">
      <c r="A146" s="29" t="s">
        <v>756</v>
      </c>
      <c r="B146" s="145" t="s">
        <v>561</v>
      </c>
      <c r="H146" t="str">
        <f t="shared" ref="H146:H156" si="6">A146</f>
        <v>172/1</v>
      </c>
      <c r="I146" s="29"/>
    </row>
    <row r="147" spans="1:9" hidden="1">
      <c r="A147" s="29" t="s">
        <v>142</v>
      </c>
      <c r="B147" s="143" t="s">
        <v>922</v>
      </c>
      <c r="H147" t="str">
        <f t="shared" si="6"/>
        <v>173/0</v>
      </c>
      <c r="I147" s="29"/>
    </row>
    <row r="148" spans="1:9">
      <c r="A148" s="29" t="s">
        <v>757</v>
      </c>
      <c r="B148" s="145" t="s">
        <v>919</v>
      </c>
      <c r="H148" t="str">
        <f t="shared" si="6"/>
        <v xml:space="preserve">174/0 </v>
      </c>
      <c r="I148" s="29"/>
    </row>
    <row r="149" spans="1:9" hidden="1">
      <c r="A149" s="29" t="s">
        <v>758</v>
      </c>
      <c r="B149" s="145" t="s">
        <v>357</v>
      </c>
      <c r="H149" t="str">
        <f t="shared" si="6"/>
        <v>174/1</v>
      </c>
      <c r="I149" s="29"/>
    </row>
    <row r="150" spans="1:9" hidden="1">
      <c r="A150" s="29" t="s">
        <v>144</v>
      </c>
      <c r="B150" s="145" t="s">
        <v>350</v>
      </c>
      <c r="H150" t="str">
        <f t="shared" si="6"/>
        <v>174/2</v>
      </c>
      <c r="I150" s="29"/>
    </row>
    <row r="151" spans="1:9" hidden="1">
      <c r="A151" s="29" t="s">
        <v>759</v>
      </c>
      <c r="B151" s="145" t="s">
        <v>350</v>
      </c>
      <c r="H151" t="str">
        <f t="shared" si="6"/>
        <v>174/3</v>
      </c>
      <c r="I151" s="29"/>
    </row>
    <row r="152" spans="1:9" hidden="1">
      <c r="A152" s="29" t="s">
        <v>760</v>
      </c>
      <c r="B152" s="145" t="s">
        <v>350</v>
      </c>
      <c r="H152" t="str">
        <f t="shared" si="6"/>
        <v>174/4</v>
      </c>
      <c r="I152" s="29"/>
    </row>
    <row r="153" spans="1:9" hidden="1">
      <c r="A153" s="29" t="s">
        <v>761</v>
      </c>
      <c r="B153" s="145" t="s">
        <v>350</v>
      </c>
      <c r="H153" t="str">
        <f t="shared" si="6"/>
        <v>174/5</v>
      </c>
      <c r="I153" s="29"/>
    </row>
    <row r="154" spans="1:9" hidden="1">
      <c r="A154" s="29" t="s">
        <v>762</v>
      </c>
      <c r="B154" s="145" t="s">
        <v>357</v>
      </c>
      <c r="H154" t="str">
        <f t="shared" si="6"/>
        <v>174/6</v>
      </c>
      <c r="I154" s="29"/>
    </row>
    <row r="155" spans="1:9" hidden="1">
      <c r="A155" s="29" t="s">
        <v>696</v>
      </c>
      <c r="B155" s="145" t="s">
        <v>913</v>
      </c>
      <c r="H155" t="str">
        <f t="shared" si="6"/>
        <v>175/0</v>
      </c>
      <c r="I155" s="29"/>
    </row>
    <row r="156" spans="1:9" hidden="1">
      <c r="A156" s="29" t="s">
        <v>183</v>
      </c>
      <c r="B156" s="145" t="s">
        <v>393</v>
      </c>
      <c r="H156" t="str">
        <f t="shared" si="6"/>
        <v>175/1</v>
      </c>
      <c r="I156" s="29"/>
    </row>
    <row r="157" spans="1:9" hidden="1">
      <c r="A157" s="29" t="s">
        <v>763</v>
      </c>
      <c r="B157" s="145" t="s">
        <v>302</v>
      </c>
      <c r="I157" s="59" t="s">
        <v>190</v>
      </c>
    </row>
    <row r="158" spans="1:9" hidden="1">
      <c r="A158" s="29" t="s">
        <v>764</v>
      </c>
      <c r="B158" s="145" t="s">
        <v>350</v>
      </c>
      <c r="I158" s="59" t="s">
        <v>834</v>
      </c>
    </row>
    <row r="159" spans="1:9" hidden="1">
      <c r="A159" s="29" t="s">
        <v>765</v>
      </c>
      <c r="B159" s="145" t="s">
        <v>396</v>
      </c>
      <c r="I159" s="59" t="s">
        <v>841</v>
      </c>
    </row>
    <row r="160" spans="1:9" hidden="1">
      <c r="A160" s="29" t="s">
        <v>622</v>
      </c>
      <c r="B160" s="145" t="s">
        <v>305</v>
      </c>
      <c r="I160" s="59" t="s">
        <v>842</v>
      </c>
    </row>
    <row r="161" spans="1:9" hidden="1">
      <c r="A161" s="29" t="s">
        <v>623</v>
      </c>
      <c r="B161" s="145" t="s">
        <v>305</v>
      </c>
      <c r="I161" s="59" t="s">
        <v>843</v>
      </c>
    </row>
    <row r="162" spans="1:9" hidden="1">
      <c r="A162" s="29" t="s">
        <v>624</v>
      </c>
      <c r="B162" s="145" t="s">
        <v>350</v>
      </c>
      <c r="I162" s="29" t="s">
        <v>845</v>
      </c>
    </row>
    <row r="163" spans="1:9" hidden="1">
      <c r="A163" s="29" t="s">
        <v>145</v>
      </c>
      <c r="B163" s="145" t="s">
        <v>350</v>
      </c>
      <c r="I163" s="29" t="s">
        <v>846</v>
      </c>
    </row>
    <row r="164" spans="1:9" hidden="1">
      <c r="A164" s="29" t="s">
        <v>625</v>
      </c>
      <c r="B164" s="145" t="s">
        <v>396</v>
      </c>
      <c r="I164" s="59" t="s">
        <v>851</v>
      </c>
    </row>
    <row r="165" spans="1:9" hidden="1">
      <c r="A165" s="29" t="s">
        <v>146</v>
      </c>
      <c r="B165" s="145" t="s">
        <v>335</v>
      </c>
      <c r="I165" s="29" t="s">
        <v>859</v>
      </c>
    </row>
    <row r="166" spans="1:9" hidden="1">
      <c r="A166" s="29" t="s">
        <v>766</v>
      </c>
      <c r="B166" s="145" t="s">
        <v>357</v>
      </c>
      <c r="I166" s="59" t="s">
        <v>860</v>
      </c>
    </row>
    <row r="167" spans="1:9">
      <c r="A167" s="29" t="s">
        <v>767</v>
      </c>
      <c r="B167" s="143" t="s">
        <v>923</v>
      </c>
      <c r="H167" t="str">
        <f>A167</f>
        <v>179/2</v>
      </c>
      <c r="I167" s="29"/>
    </row>
    <row r="168" spans="1:9" hidden="1">
      <c r="A168" s="29" t="s">
        <v>768</v>
      </c>
      <c r="B168" s="145" t="s">
        <v>350</v>
      </c>
      <c r="I168" s="29" t="s">
        <v>862</v>
      </c>
    </row>
    <row r="169" spans="1:9">
      <c r="A169" s="29" t="s">
        <v>629</v>
      </c>
      <c r="B169" s="143" t="s">
        <v>924</v>
      </c>
      <c r="H169" t="str">
        <f>A169</f>
        <v>180/0</v>
      </c>
      <c r="I169" s="29"/>
    </row>
    <row r="170" spans="1:9" hidden="1">
      <c r="A170" s="29" t="s">
        <v>630</v>
      </c>
      <c r="B170" s="145" t="s">
        <v>357</v>
      </c>
      <c r="I170" s="29" t="s">
        <v>863</v>
      </c>
    </row>
    <row r="171" spans="1:9" hidden="1">
      <c r="A171" s="29" t="s">
        <v>769</v>
      </c>
      <c r="B171" s="145" t="s">
        <v>676</v>
      </c>
      <c r="I171" s="59" t="s">
        <v>864</v>
      </c>
    </row>
    <row r="172" spans="1:9" hidden="1">
      <c r="A172" s="29" t="s">
        <v>697</v>
      </c>
      <c r="B172" s="145" t="s">
        <v>561</v>
      </c>
      <c r="I172" s="29" t="s">
        <v>865</v>
      </c>
    </row>
    <row r="173" spans="1:9" hidden="1">
      <c r="A173" s="29" t="s">
        <v>698</v>
      </c>
      <c r="B173" s="145" t="s">
        <v>396</v>
      </c>
      <c r="I173" s="59" t="s">
        <v>867</v>
      </c>
    </row>
    <row r="174" spans="1:9" hidden="1">
      <c r="A174" s="29" t="s">
        <v>770</v>
      </c>
      <c r="B174" s="145" t="s">
        <v>357</v>
      </c>
      <c r="I174" s="29" t="s">
        <v>868</v>
      </c>
    </row>
    <row r="175" spans="1:9" hidden="1">
      <c r="A175" s="29" t="s">
        <v>699</v>
      </c>
      <c r="B175" s="145" t="s">
        <v>350</v>
      </c>
      <c r="H175" t="str">
        <f t="shared" ref="H175:H182" si="7">A175</f>
        <v>180/6</v>
      </c>
      <c r="I175" s="29"/>
    </row>
    <row r="176" spans="1:9" hidden="1">
      <c r="A176" s="29" t="s">
        <v>771</v>
      </c>
      <c r="B176" s="145" t="s">
        <v>350</v>
      </c>
      <c r="H176" t="str">
        <f t="shared" si="7"/>
        <v>180/7</v>
      </c>
      <c r="I176" s="29"/>
    </row>
    <row r="177" spans="1:9" hidden="1">
      <c r="A177" s="29" t="s">
        <v>184</v>
      </c>
      <c r="B177" s="145" t="s">
        <v>302</v>
      </c>
      <c r="H177" t="str">
        <f t="shared" si="7"/>
        <v>182/0</v>
      </c>
      <c r="I177" s="29"/>
    </row>
    <row r="178" spans="1:9" hidden="1">
      <c r="A178" s="29" t="s">
        <v>185</v>
      </c>
      <c r="B178" s="145" t="s">
        <v>298</v>
      </c>
      <c r="H178" t="str">
        <f t="shared" si="7"/>
        <v>183/0</v>
      </c>
      <c r="I178" s="29"/>
    </row>
    <row r="179" spans="1:9" hidden="1">
      <c r="A179" s="29" t="s">
        <v>186</v>
      </c>
      <c r="B179" s="145" t="s">
        <v>350</v>
      </c>
      <c r="H179" t="str">
        <f t="shared" si="7"/>
        <v>183/1</v>
      </c>
      <c r="I179" s="29"/>
    </row>
    <row r="180" spans="1:9" hidden="1">
      <c r="A180" s="29" t="s">
        <v>632</v>
      </c>
      <c r="B180" s="145" t="s">
        <v>350</v>
      </c>
      <c r="H180" t="str">
        <f t="shared" si="7"/>
        <v>183/2</v>
      </c>
      <c r="I180" s="29"/>
    </row>
    <row r="181" spans="1:9" hidden="1">
      <c r="A181" s="29" t="s">
        <v>147</v>
      </c>
      <c r="B181" s="145" t="s">
        <v>357</v>
      </c>
      <c r="H181" t="str">
        <f t="shared" si="7"/>
        <v>183/3</v>
      </c>
      <c r="I181" s="29"/>
    </row>
    <row r="182" spans="1:9" hidden="1">
      <c r="A182" s="29" t="s">
        <v>633</v>
      </c>
      <c r="B182" s="145" t="s">
        <v>547</v>
      </c>
      <c r="H182" t="str">
        <f t="shared" si="7"/>
        <v>184/0</v>
      </c>
      <c r="I182" s="29"/>
    </row>
    <row r="183" spans="1:9" hidden="1">
      <c r="A183" s="29" t="s">
        <v>635</v>
      </c>
      <c r="B183" s="145" t="s">
        <v>925</v>
      </c>
      <c r="I183" s="59" t="s">
        <v>878</v>
      </c>
    </row>
    <row r="184" spans="1:9" hidden="1">
      <c r="A184" s="29" t="s">
        <v>464</v>
      </c>
      <c r="B184" s="145" t="s">
        <v>926</v>
      </c>
      <c r="H184" t="str">
        <f t="shared" ref="H184:H206" si="8">A184</f>
        <v>186/0</v>
      </c>
      <c r="I184" s="29"/>
    </row>
    <row r="185" spans="1:9" hidden="1">
      <c r="A185" s="29" t="s">
        <v>641</v>
      </c>
      <c r="B185" s="145" t="s">
        <v>330</v>
      </c>
      <c r="H185" t="str">
        <f t="shared" si="8"/>
        <v>187/0</v>
      </c>
      <c r="I185" s="29"/>
    </row>
    <row r="186" spans="1:9">
      <c r="A186" s="29" t="s">
        <v>772</v>
      </c>
      <c r="B186" s="145" t="s">
        <v>927</v>
      </c>
      <c r="H186" t="str">
        <f t="shared" si="8"/>
        <v xml:space="preserve">188/0 </v>
      </c>
      <c r="I186" s="29"/>
    </row>
    <row r="187" spans="1:9">
      <c r="A187" s="29" t="s">
        <v>773</v>
      </c>
      <c r="B187" s="143" t="s">
        <v>927</v>
      </c>
      <c r="H187" t="str">
        <f t="shared" si="8"/>
        <v xml:space="preserve">189/0 </v>
      </c>
      <c r="I187" s="29"/>
    </row>
    <row r="188" spans="1:9" hidden="1">
      <c r="A188" s="29" t="s">
        <v>774</v>
      </c>
      <c r="B188" s="145" t="s">
        <v>561</v>
      </c>
      <c r="H188" t="str">
        <f t="shared" si="8"/>
        <v>189/1</v>
      </c>
      <c r="I188" s="29"/>
    </row>
    <row r="189" spans="1:9" hidden="1">
      <c r="A189" s="29" t="s">
        <v>652</v>
      </c>
      <c r="B189" s="145" t="s">
        <v>916</v>
      </c>
      <c r="H189" t="str">
        <f t="shared" si="8"/>
        <v>190/0</v>
      </c>
      <c r="I189" s="29"/>
    </row>
    <row r="190" spans="1:9" hidden="1">
      <c r="A190" s="29" t="s">
        <v>148</v>
      </c>
      <c r="B190" s="145" t="s">
        <v>916</v>
      </c>
      <c r="H190" t="str">
        <f t="shared" si="8"/>
        <v>191/0</v>
      </c>
      <c r="I190" s="29"/>
    </row>
    <row r="191" spans="1:9" hidden="1">
      <c r="A191" s="29" t="s">
        <v>657</v>
      </c>
      <c r="B191" s="145" t="s">
        <v>676</v>
      </c>
      <c r="H191" t="str">
        <f t="shared" si="8"/>
        <v>191/1</v>
      </c>
      <c r="I191" s="29"/>
    </row>
    <row r="192" spans="1:9" hidden="1">
      <c r="A192" s="29" t="s">
        <v>149</v>
      </c>
      <c r="B192" s="145" t="s">
        <v>928</v>
      </c>
      <c r="H192" t="str">
        <f t="shared" si="8"/>
        <v>192/0</v>
      </c>
      <c r="I192" s="29"/>
    </row>
    <row r="193" spans="1:9" hidden="1">
      <c r="A193" s="29" t="s">
        <v>150</v>
      </c>
      <c r="B193" s="145" t="s">
        <v>920</v>
      </c>
      <c r="H193" t="str">
        <f t="shared" si="8"/>
        <v>193/0</v>
      </c>
      <c r="I193" s="29"/>
    </row>
    <row r="194" spans="1:9" hidden="1">
      <c r="A194" s="29" t="s">
        <v>151</v>
      </c>
      <c r="B194" s="145" t="s">
        <v>920</v>
      </c>
      <c r="H194" t="str">
        <f t="shared" si="8"/>
        <v>194/0</v>
      </c>
      <c r="I194" s="29"/>
    </row>
    <row r="195" spans="1:9" hidden="1">
      <c r="A195" s="29" t="s">
        <v>421</v>
      </c>
      <c r="B195" s="145" t="s">
        <v>393</v>
      </c>
      <c r="H195" t="str">
        <f t="shared" si="8"/>
        <v>194/1</v>
      </c>
      <c r="I195" s="29"/>
    </row>
    <row r="196" spans="1:9">
      <c r="A196" s="29" t="s">
        <v>675</v>
      </c>
      <c r="B196" s="143" t="s">
        <v>926</v>
      </c>
      <c r="H196" t="str">
        <f t="shared" si="8"/>
        <v>195/0</v>
      </c>
      <c r="I196" s="29"/>
    </row>
    <row r="197" spans="1:9" hidden="1">
      <c r="A197" s="29" t="s">
        <v>463</v>
      </c>
      <c r="B197" s="145" t="s">
        <v>929</v>
      </c>
      <c r="H197" t="str">
        <f t="shared" si="8"/>
        <v>196/0</v>
      </c>
      <c r="I197" s="29"/>
    </row>
    <row r="198" spans="1:9" hidden="1">
      <c r="A198" s="29" t="s">
        <v>775</v>
      </c>
      <c r="B198" s="145" t="s">
        <v>561</v>
      </c>
      <c r="H198" t="str">
        <f t="shared" si="8"/>
        <v>196/1</v>
      </c>
      <c r="I198" s="29"/>
    </row>
    <row r="199" spans="1:9" hidden="1">
      <c r="A199" s="29" t="s">
        <v>776</v>
      </c>
      <c r="B199" s="145" t="s">
        <v>357</v>
      </c>
      <c r="H199" t="str">
        <f t="shared" si="8"/>
        <v>196/2</v>
      </c>
      <c r="I199" s="29"/>
    </row>
    <row r="200" spans="1:9" hidden="1">
      <c r="A200" s="29" t="s">
        <v>777</v>
      </c>
      <c r="B200" s="145" t="s">
        <v>335</v>
      </c>
      <c r="H200" t="str">
        <f t="shared" si="8"/>
        <v>197/0</v>
      </c>
      <c r="I200" s="29"/>
    </row>
    <row r="201" spans="1:9" hidden="1">
      <c r="A201" s="29" t="s">
        <v>778</v>
      </c>
      <c r="B201" s="145" t="s">
        <v>396</v>
      </c>
      <c r="H201" t="str">
        <f t="shared" si="8"/>
        <v>197/1</v>
      </c>
      <c r="I201" s="29"/>
    </row>
    <row r="202" spans="1:9" hidden="1">
      <c r="A202" s="29" t="s">
        <v>700</v>
      </c>
      <c r="B202" s="145" t="s">
        <v>396</v>
      </c>
      <c r="H202" t="str">
        <f t="shared" si="8"/>
        <v>197/2</v>
      </c>
      <c r="I202" s="29"/>
    </row>
    <row r="203" spans="1:9" hidden="1">
      <c r="A203" s="29" t="s">
        <v>152</v>
      </c>
      <c r="B203" s="145" t="s">
        <v>305</v>
      </c>
      <c r="H203" t="str">
        <f t="shared" si="8"/>
        <v>198/0</v>
      </c>
      <c r="I203" s="29"/>
    </row>
    <row r="204" spans="1:9" hidden="1">
      <c r="A204" s="29" t="s">
        <v>166</v>
      </c>
      <c r="B204" s="145" t="s">
        <v>305</v>
      </c>
      <c r="H204" t="str">
        <f t="shared" si="8"/>
        <v>199/0</v>
      </c>
      <c r="I204" s="29"/>
    </row>
    <row r="205" spans="1:9" hidden="1">
      <c r="A205" s="29" t="s">
        <v>779</v>
      </c>
      <c r="B205" s="145" t="s">
        <v>357</v>
      </c>
      <c r="H205" t="str">
        <f t="shared" si="8"/>
        <v>199/1</v>
      </c>
      <c r="I205" s="29"/>
    </row>
    <row r="206" spans="1:9" hidden="1">
      <c r="A206" s="29" t="s">
        <v>153</v>
      </c>
      <c r="B206" s="145" t="s">
        <v>399</v>
      </c>
      <c r="H206" t="str">
        <f t="shared" si="8"/>
        <v>199/2</v>
      </c>
      <c r="I206" s="29"/>
    </row>
    <row r="207" spans="1:9">
      <c r="A207" s="29" t="s">
        <v>780</v>
      </c>
      <c r="B207" s="143" t="s">
        <v>373</v>
      </c>
      <c r="I207" s="59" t="s">
        <v>442</v>
      </c>
    </row>
    <row r="208" spans="1:9">
      <c r="A208" s="29" t="s">
        <v>781</v>
      </c>
      <c r="B208" s="143" t="s">
        <v>399</v>
      </c>
      <c r="I208" s="59" t="s">
        <v>448</v>
      </c>
    </row>
    <row r="209" spans="1:9">
      <c r="A209" s="29" t="s">
        <v>782</v>
      </c>
      <c r="B209" s="143" t="s">
        <v>324</v>
      </c>
      <c r="I209" s="59" t="s">
        <v>378</v>
      </c>
    </row>
    <row r="210" spans="1:9">
      <c r="A210" s="29" t="s">
        <v>783</v>
      </c>
      <c r="B210" s="143" t="s">
        <v>926</v>
      </c>
      <c r="I210" s="29" t="s">
        <v>741</v>
      </c>
    </row>
    <row r="211" spans="1:9">
      <c r="A211" s="29" t="s">
        <v>784</v>
      </c>
      <c r="B211" s="143" t="s">
        <v>926</v>
      </c>
      <c r="H211" t="str">
        <f>A211</f>
        <v>203/0</v>
      </c>
      <c r="I211" s="29"/>
    </row>
    <row r="212" spans="1:9">
      <c r="A212" s="29" t="s">
        <v>785</v>
      </c>
      <c r="B212" s="143" t="s">
        <v>335</v>
      </c>
      <c r="I212" s="59" t="s">
        <v>370</v>
      </c>
    </row>
    <row r="213" spans="1:9">
      <c r="A213" s="29" t="s">
        <v>786</v>
      </c>
      <c r="B213" s="143" t="s">
        <v>908</v>
      </c>
      <c r="I213" s="59" t="s">
        <v>742</v>
      </c>
    </row>
    <row r="214" spans="1:9">
      <c r="A214" s="29" t="s">
        <v>787</v>
      </c>
      <c r="B214" s="143" t="s">
        <v>930</v>
      </c>
      <c r="I214" s="59" t="s">
        <v>368</v>
      </c>
    </row>
    <row r="215" spans="1:9">
      <c r="A215" s="29" t="s">
        <v>788</v>
      </c>
      <c r="B215" s="143" t="s">
        <v>389</v>
      </c>
      <c r="H215" t="str">
        <f>A215</f>
        <v>205/1</v>
      </c>
      <c r="I215" s="29"/>
    </row>
    <row r="216" spans="1:9">
      <c r="A216" s="29" t="s">
        <v>789</v>
      </c>
      <c r="B216" s="143" t="s">
        <v>561</v>
      </c>
      <c r="H216" t="str">
        <f>A216</f>
        <v>205/2</v>
      </c>
      <c r="I216" s="29"/>
    </row>
    <row r="217" spans="1:9">
      <c r="A217" s="29" t="s">
        <v>790</v>
      </c>
      <c r="B217" s="143" t="s">
        <v>373</v>
      </c>
      <c r="I217" s="59" t="s">
        <v>369</v>
      </c>
    </row>
    <row r="218" spans="1:9">
      <c r="A218" s="29" t="s">
        <v>791</v>
      </c>
      <c r="B218" s="143" t="s">
        <v>391</v>
      </c>
      <c r="H218" t="str">
        <f>A218</f>
        <v>206/1</v>
      </c>
      <c r="I218" s="29"/>
    </row>
    <row r="219" spans="1:9" hidden="1">
      <c r="A219" s="29" t="s">
        <v>792</v>
      </c>
      <c r="B219" s="143" t="s">
        <v>914</v>
      </c>
      <c r="H219" t="str">
        <f>A219</f>
        <v>207/0</v>
      </c>
      <c r="I219" s="29"/>
    </row>
    <row r="220" spans="1:9">
      <c r="A220" s="29" t="s">
        <v>793</v>
      </c>
      <c r="B220" s="143" t="s">
        <v>931</v>
      </c>
      <c r="H220" t="str">
        <f>A220</f>
        <v>208/0</v>
      </c>
      <c r="I220" s="29"/>
    </row>
    <row r="221" spans="1:9" hidden="1">
      <c r="A221" s="29" t="s">
        <v>794</v>
      </c>
      <c r="B221" s="143" t="s">
        <v>916</v>
      </c>
      <c r="H221" t="str">
        <f>A221</f>
        <v>209/0</v>
      </c>
      <c r="I221" s="29"/>
    </row>
    <row r="222" spans="1:9" hidden="1">
      <c r="A222" s="29" t="s">
        <v>795</v>
      </c>
      <c r="B222" s="143" t="s">
        <v>350</v>
      </c>
      <c r="I222" s="59" t="s">
        <v>140</v>
      </c>
    </row>
    <row r="223" spans="1:9" hidden="1">
      <c r="A223" s="29" t="s">
        <v>796</v>
      </c>
      <c r="B223" s="145" t="s">
        <v>396</v>
      </c>
      <c r="H223" t="str">
        <f>A223</f>
        <v>209/2</v>
      </c>
      <c r="I223" s="29"/>
    </row>
    <row r="224" spans="1:9" hidden="1">
      <c r="A224" s="29" t="s">
        <v>154</v>
      </c>
      <c r="B224" s="145" t="s">
        <v>932</v>
      </c>
      <c r="I224" s="59" t="s">
        <v>192</v>
      </c>
    </row>
    <row r="225" spans="1:9" hidden="1">
      <c r="A225" s="29" t="s">
        <v>164</v>
      </c>
      <c r="B225" s="145" t="s">
        <v>389</v>
      </c>
      <c r="H225" t="str">
        <f t="shared" ref="H225:H242" si="9">A225</f>
        <v>211/0</v>
      </c>
      <c r="I225" s="29"/>
    </row>
    <row r="226" spans="1:9" hidden="1">
      <c r="A226" s="29" t="s">
        <v>797</v>
      </c>
      <c r="B226" s="145" t="s">
        <v>396</v>
      </c>
      <c r="H226" t="str">
        <f t="shared" si="9"/>
        <v>211/1</v>
      </c>
      <c r="I226" s="29"/>
    </row>
    <row r="227" spans="1:9" hidden="1">
      <c r="A227" s="29" t="s">
        <v>798</v>
      </c>
      <c r="B227" s="145" t="s">
        <v>350</v>
      </c>
      <c r="H227" t="str">
        <f t="shared" si="9"/>
        <v>211/2</v>
      </c>
      <c r="I227" s="29"/>
    </row>
    <row r="228" spans="1:9" hidden="1">
      <c r="A228" s="29" t="s">
        <v>799</v>
      </c>
      <c r="B228" s="145" t="s">
        <v>561</v>
      </c>
      <c r="H228" t="str">
        <f t="shared" si="9"/>
        <v>211/3</v>
      </c>
      <c r="I228" s="29"/>
    </row>
    <row r="229" spans="1:9" hidden="1">
      <c r="A229" s="29" t="s">
        <v>800</v>
      </c>
      <c r="B229" s="145" t="s">
        <v>396</v>
      </c>
      <c r="H229" t="str">
        <f t="shared" si="9"/>
        <v>211/4</v>
      </c>
      <c r="I229" s="29"/>
    </row>
    <row r="230" spans="1:9" hidden="1">
      <c r="A230" s="29" t="s">
        <v>801</v>
      </c>
      <c r="B230" s="145" t="s">
        <v>393</v>
      </c>
      <c r="H230" t="str">
        <f t="shared" si="9"/>
        <v>211/5</v>
      </c>
      <c r="I230" s="29"/>
    </row>
    <row r="231" spans="1:9">
      <c r="A231" s="29" t="s">
        <v>802</v>
      </c>
      <c r="B231" s="143" t="s">
        <v>933</v>
      </c>
      <c r="H231" t="str">
        <f t="shared" si="9"/>
        <v>212/0</v>
      </c>
      <c r="I231" s="29"/>
    </row>
    <row r="232" spans="1:9" hidden="1">
      <c r="A232" s="29" t="s">
        <v>803</v>
      </c>
      <c r="B232" s="145" t="s">
        <v>927</v>
      </c>
      <c r="H232" t="str">
        <f t="shared" si="9"/>
        <v>213/0</v>
      </c>
      <c r="I232" s="29"/>
    </row>
    <row r="233" spans="1:9" hidden="1">
      <c r="A233" s="29" t="s">
        <v>804</v>
      </c>
      <c r="B233" s="145" t="s">
        <v>914</v>
      </c>
      <c r="H233" t="str">
        <f t="shared" si="9"/>
        <v>214/0</v>
      </c>
      <c r="I233" s="29"/>
    </row>
    <row r="234" spans="1:9" hidden="1">
      <c r="A234" s="29" t="s">
        <v>805</v>
      </c>
      <c r="B234" s="145" t="s">
        <v>399</v>
      </c>
      <c r="H234" t="str">
        <f t="shared" si="9"/>
        <v>214/1</v>
      </c>
      <c r="I234" s="29"/>
    </row>
    <row r="235" spans="1:9" hidden="1">
      <c r="A235" s="29" t="s">
        <v>806</v>
      </c>
      <c r="B235" s="145" t="s">
        <v>396</v>
      </c>
      <c r="H235" t="str">
        <f t="shared" si="9"/>
        <v>214/2</v>
      </c>
      <c r="I235" s="29"/>
    </row>
    <row r="236" spans="1:9" hidden="1">
      <c r="A236" s="29" t="s">
        <v>187</v>
      </c>
      <c r="B236" s="145" t="s">
        <v>396</v>
      </c>
      <c r="H236" t="str">
        <f t="shared" si="9"/>
        <v>214/3</v>
      </c>
      <c r="I236" s="29"/>
    </row>
    <row r="237" spans="1:9" hidden="1">
      <c r="A237" s="29" t="s">
        <v>807</v>
      </c>
      <c r="B237" s="145" t="s">
        <v>396</v>
      </c>
      <c r="H237" t="str">
        <f t="shared" si="9"/>
        <v>214/4</v>
      </c>
      <c r="I237" s="29"/>
    </row>
    <row r="238" spans="1:9" hidden="1">
      <c r="A238" s="29" t="s">
        <v>808</v>
      </c>
      <c r="B238" s="145" t="s">
        <v>350</v>
      </c>
      <c r="H238" t="str">
        <f t="shared" si="9"/>
        <v>214/5</v>
      </c>
      <c r="I238" s="29"/>
    </row>
    <row r="239" spans="1:9" hidden="1">
      <c r="A239" s="29" t="s">
        <v>188</v>
      </c>
      <c r="B239" s="145" t="s">
        <v>357</v>
      </c>
      <c r="H239" t="str">
        <f t="shared" si="9"/>
        <v>214/6</v>
      </c>
      <c r="I239" s="29"/>
    </row>
    <row r="240" spans="1:9" hidden="1">
      <c r="A240" s="29" t="s">
        <v>809</v>
      </c>
      <c r="B240" s="145" t="s">
        <v>357</v>
      </c>
      <c r="H240" t="str">
        <f t="shared" si="9"/>
        <v>214/7</v>
      </c>
      <c r="I240" s="29"/>
    </row>
    <row r="241" spans="1:9" hidden="1">
      <c r="A241" s="29" t="s">
        <v>810</v>
      </c>
      <c r="B241" s="145" t="s">
        <v>560</v>
      </c>
      <c r="H241" t="str">
        <f t="shared" si="9"/>
        <v>215/0</v>
      </c>
      <c r="I241" s="29"/>
    </row>
    <row r="242" spans="1:9" hidden="1">
      <c r="A242" s="29" t="s">
        <v>155</v>
      </c>
      <c r="B242" s="145" t="s">
        <v>560</v>
      </c>
      <c r="H242" t="str">
        <f t="shared" si="9"/>
        <v>216/0</v>
      </c>
      <c r="I242" s="29"/>
    </row>
    <row r="243" spans="1:9" hidden="1">
      <c r="A243" s="29" t="s">
        <v>811</v>
      </c>
      <c r="B243" s="145" t="s">
        <v>934</v>
      </c>
      <c r="I243" s="29"/>
    </row>
    <row r="244" spans="1:9" hidden="1">
      <c r="A244" s="29" t="s">
        <v>156</v>
      </c>
      <c r="B244" s="145" t="s">
        <v>935</v>
      </c>
      <c r="I244" s="29"/>
    </row>
    <row r="245" spans="1:9" hidden="1">
      <c r="A245" s="29" t="s">
        <v>157</v>
      </c>
      <c r="B245" s="145" t="s">
        <v>561</v>
      </c>
      <c r="I245" s="29"/>
    </row>
    <row r="246" spans="1:9" hidden="1">
      <c r="A246" s="29" t="s">
        <v>812</v>
      </c>
      <c r="B246" s="145" t="s">
        <v>928</v>
      </c>
      <c r="I246" s="29"/>
    </row>
    <row r="247" spans="1:9" hidden="1">
      <c r="A247" s="29" t="s">
        <v>813</v>
      </c>
      <c r="B247" s="145" t="s">
        <v>357</v>
      </c>
      <c r="I247" s="29"/>
    </row>
    <row r="248" spans="1:9" hidden="1">
      <c r="A248" s="29" t="s">
        <v>814</v>
      </c>
      <c r="B248" s="145" t="s">
        <v>350</v>
      </c>
      <c r="I248" s="29"/>
    </row>
    <row r="249" spans="1:9" hidden="1">
      <c r="A249" s="29" t="s">
        <v>815</v>
      </c>
      <c r="B249" s="145" t="s">
        <v>561</v>
      </c>
      <c r="H249" t="str">
        <f>A249</f>
        <v>217/3</v>
      </c>
      <c r="I249" s="29"/>
    </row>
    <row r="250" spans="1:9" hidden="1">
      <c r="A250" s="29" t="s">
        <v>189</v>
      </c>
      <c r="B250" s="145" t="s">
        <v>561</v>
      </c>
      <c r="H250" t="str">
        <f>A250</f>
        <v>217/4</v>
      </c>
      <c r="I250" s="131"/>
    </row>
    <row r="251" spans="1:9" hidden="1">
      <c r="A251" s="29" t="s">
        <v>816</v>
      </c>
      <c r="B251" s="145" t="s">
        <v>350</v>
      </c>
      <c r="H251" t="str">
        <f>A251</f>
        <v>217/5</v>
      </c>
      <c r="I251" s="131"/>
    </row>
    <row r="252" spans="1:9" hidden="1">
      <c r="A252" s="29" t="s">
        <v>817</v>
      </c>
      <c r="B252" s="145" t="s">
        <v>560</v>
      </c>
      <c r="I252" s="131" t="s">
        <v>520</v>
      </c>
    </row>
    <row r="253" spans="1:9" hidden="1">
      <c r="A253" s="29" t="s">
        <v>818</v>
      </c>
      <c r="B253" s="143" t="s">
        <v>585</v>
      </c>
      <c r="H253" t="str">
        <f>A253</f>
        <v>219/0</v>
      </c>
      <c r="I253" s="131"/>
    </row>
    <row r="254" spans="1:9" hidden="1">
      <c r="A254" s="29" t="s">
        <v>819</v>
      </c>
      <c r="B254" s="145" t="s">
        <v>561</v>
      </c>
      <c r="H254" t="str">
        <f>A254</f>
        <v>219/1</v>
      </c>
      <c r="I254" s="131"/>
    </row>
    <row r="255" spans="1:9" hidden="1">
      <c r="A255" s="29" t="s">
        <v>820</v>
      </c>
      <c r="B255" s="145" t="s">
        <v>302</v>
      </c>
      <c r="I255" s="131" t="s">
        <v>687</v>
      </c>
    </row>
    <row r="256" spans="1:9" hidden="1">
      <c r="A256" s="29" t="s">
        <v>821</v>
      </c>
      <c r="B256" s="145" t="s">
        <v>399</v>
      </c>
      <c r="I256" s="131" t="s">
        <v>714</v>
      </c>
    </row>
    <row r="257" spans="1:9" hidden="1">
      <c r="A257" s="29" t="s">
        <v>822</v>
      </c>
      <c r="B257" s="145" t="s">
        <v>915</v>
      </c>
      <c r="I257" s="131" t="s">
        <v>715</v>
      </c>
    </row>
    <row r="258" spans="1:9" hidden="1">
      <c r="A258" s="29" t="s">
        <v>823</v>
      </c>
      <c r="B258" s="145" t="s">
        <v>914</v>
      </c>
      <c r="I258" s="131" t="s">
        <v>686</v>
      </c>
    </row>
    <row r="259" spans="1:9" hidden="1">
      <c r="A259" s="29" t="s">
        <v>824</v>
      </c>
      <c r="B259" s="145" t="s">
        <v>936</v>
      </c>
      <c r="H259" t="str">
        <f>A259</f>
        <v>223/0</v>
      </c>
      <c r="I259" s="131"/>
    </row>
    <row r="260" spans="1:9" hidden="1">
      <c r="A260" s="29" t="s">
        <v>825</v>
      </c>
      <c r="B260" s="145" t="s">
        <v>350</v>
      </c>
      <c r="I260" s="131" t="s">
        <v>717</v>
      </c>
    </row>
    <row r="261" spans="1:9" hidden="1">
      <c r="A261" s="29" t="s">
        <v>826</v>
      </c>
      <c r="B261" s="145" t="s">
        <v>350</v>
      </c>
      <c r="I261" s="131" t="s">
        <v>725</v>
      </c>
    </row>
    <row r="262" spans="1:9" hidden="1">
      <c r="A262" s="29" t="s">
        <v>827</v>
      </c>
      <c r="B262" s="145" t="s">
        <v>396</v>
      </c>
      <c r="I262" s="131" t="s">
        <v>521</v>
      </c>
    </row>
    <row r="263" spans="1:9" hidden="1">
      <c r="A263" s="29" t="s">
        <v>828</v>
      </c>
      <c r="B263" s="145" t="s">
        <v>330</v>
      </c>
      <c r="I263" s="131" t="s">
        <v>719</v>
      </c>
    </row>
    <row r="264" spans="1:9" hidden="1">
      <c r="A264" s="29" t="s">
        <v>829</v>
      </c>
      <c r="B264" s="145" t="s">
        <v>357</v>
      </c>
      <c r="I264" s="131" t="s">
        <v>722</v>
      </c>
    </row>
    <row r="265" spans="1:9" hidden="1">
      <c r="A265" s="29" t="s">
        <v>830</v>
      </c>
      <c r="B265" s="145" t="s">
        <v>391</v>
      </c>
      <c r="I265" s="131" t="s">
        <v>543</v>
      </c>
    </row>
    <row r="266" spans="1:9" hidden="1">
      <c r="A266" s="29" t="s">
        <v>831</v>
      </c>
      <c r="B266" s="145" t="s">
        <v>300</v>
      </c>
      <c r="I266" s="131" t="s">
        <v>737</v>
      </c>
    </row>
    <row r="267" spans="1:9" hidden="1">
      <c r="A267" s="29" t="s">
        <v>832</v>
      </c>
      <c r="B267" s="145" t="s">
        <v>561</v>
      </c>
      <c r="H267" t="str">
        <f>A267</f>
        <v>225/1</v>
      </c>
      <c r="I267" s="131"/>
    </row>
    <row r="268" spans="1:9" hidden="1">
      <c r="A268" s="29" t="s">
        <v>833</v>
      </c>
      <c r="B268" s="145" t="s">
        <v>396</v>
      </c>
      <c r="H268" t="str">
        <f>A268</f>
        <v>225/2</v>
      </c>
      <c r="I268" s="131"/>
    </row>
    <row r="269" spans="1:9" hidden="1">
      <c r="A269" s="29" t="s">
        <v>190</v>
      </c>
      <c r="B269" s="145" t="s">
        <v>396</v>
      </c>
      <c r="I269" s="131" t="s">
        <v>176</v>
      </c>
    </row>
    <row r="270" spans="1:9" hidden="1">
      <c r="A270" s="29" t="s">
        <v>834</v>
      </c>
      <c r="B270" s="145" t="s">
        <v>357</v>
      </c>
      <c r="H270" t="str">
        <f>A270</f>
        <v>225/4</v>
      </c>
      <c r="I270" s="154"/>
    </row>
    <row r="271" spans="1:9">
      <c r="A271" s="29" t="s">
        <v>835</v>
      </c>
      <c r="B271" s="143" t="s">
        <v>350</v>
      </c>
      <c r="H271" t="str">
        <f>A271</f>
        <v>225/5</v>
      </c>
    </row>
    <row r="272" spans="1:9">
      <c r="A272" s="29" t="s">
        <v>836</v>
      </c>
      <c r="B272" s="143" t="s">
        <v>350</v>
      </c>
      <c r="I272" s="17" t="s">
        <v>177</v>
      </c>
    </row>
    <row r="273" spans="1:9">
      <c r="A273" s="29" t="s">
        <v>837</v>
      </c>
      <c r="B273" s="143" t="s">
        <v>399</v>
      </c>
      <c r="H273" t="str">
        <f t="shared" ref="H273:H280" si="10">A273</f>
        <v>225/7</v>
      </c>
    </row>
    <row r="274" spans="1:9">
      <c r="A274" s="29" t="s">
        <v>838</v>
      </c>
      <c r="B274" s="143" t="s">
        <v>912</v>
      </c>
      <c r="H274" t="str">
        <f t="shared" si="10"/>
        <v>226/0</v>
      </c>
    </row>
    <row r="275" spans="1:9" hidden="1">
      <c r="A275" s="29" t="s">
        <v>839</v>
      </c>
      <c r="B275" s="143" t="s">
        <v>399</v>
      </c>
      <c r="H275" t="str">
        <f t="shared" si="10"/>
        <v>226/1</v>
      </c>
    </row>
    <row r="276" spans="1:9" hidden="1">
      <c r="A276" s="29" t="s">
        <v>840</v>
      </c>
      <c r="B276" s="143" t="s">
        <v>350</v>
      </c>
      <c r="H276" t="str">
        <f t="shared" si="10"/>
        <v>226/2</v>
      </c>
    </row>
    <row r="277" spans="1:9" hidden="1">
      <c r="A277" s="29" t="s">
        <v>841</v>
      </c>
      <c r="B277" s="145" t="s">
        <v>350</v>
      </c>
      <c r="H277" t="str">
        <f t="shared" si="10"/>
        <v>226/3</v>
      </c>
      <c r="I277" s="154"/>
    </row>
    <row r="278" spans="1:9" hidden="1">
      <c r="A278" s="29" t="s">
        <v>842</v>
      </c>
      <c r="B278" s="145" t="s">
        <v>302</v>
      </c>
      <c r="H278" t="str">
        <f t="shared" si="10"/>
        <v>227/0</v>
      </c>
      <c r="I278" s="131"/>
    </row>
    <row r="279" spans="1:9" hidden="1">
      <c r="A279" s="29" t="s">
        <v>843</v>
      </c>
      <c r="B279" s="145" t="s">
        <v>399</v>
      </c>
      <c r="H279" t="str">
        <f t="shared" si="10"/>
        <v>227/1</v>
      </c>
      <c r="I279" s="131"/>
    </row>
    <row r="280" spans="1:9" hidden="1">
      <c r="A280" s="29" t="s">
        <v>844</v>
      </c>
      <c r="B280" s="143" t="s">
        <v>357</v>
      </c>
      <c r="H280" t="str">
        <f t="shared" si="10"/>
        <v>227/2</v>
      </c>
      <c r="I280" s="29"/>
    </row>
    <row r="281" spans="1:9" hidden="1">
      <c r="A281" s="29" t="s">
        <v>845</v>
      </c>
      <c r="B281" s="145" t="s">
        <v>302</v>
      </c>
      <c r="I281" s="131" t="s">
        <v>371</v>
      </c>
    </row>
    <row r="282" spans="1:9" hidden="1">
      <c r="A282" s="29" t="s">
        <v>846</v>
      </c>
      <c r="B282" s="145" t="s">
        <v>350</v>
      </c>
      <c r="H282" t="str">
        <f t="shared" ref="H282:H295" si="11">A282</f>
        <v>228/1</v>
      </c>
      <c r="I282" s="131"/>
    </row>
    <row r="283" spans="1:9">
      <c r="A283" s="29" t="s">
        <v>847</v>
      </c>
      <c r="B283" s="143" t="s">
        <v>302</v>
      </c>
      <c r="H283" t="str">
        <f t="shared" si="11"/>
        <v>229/0</v>
      </c>
      <c r="I283" s="29"/>
    </row>
    <row r="284" spans="1:9">
      <c r="A284" s="29" t="s">
        <v>848</v>
      </c>
      <c r="B284" s="143" t="s">
        <v>561</v>
      </c>
      <c r="H284" t="str">
        <f t="shared" si="11"/>
        <v>229/1</v>
      </c>
      <c r="I284" s="29"/>
    </row>
    <row r="285" spans="1:9">
      <c r="A285" s="29" t="s">
        <v>849</v>
      </c>
      <c r="B285" s="143" t="s">
        <v>907</v>
      </c>
      <c r="H285" t="str">
        <f t="shared" si="11"/>
        <v>229A/0</v>
      </c>
      <c r="I285" s="29"/>
    </row>
    <row r="286" spans="1:9">
      <c r="A286" s="29" t="s">
        <v>850</v>
      </c>
      <c r="B286" s="143" t="s">
        <v>937</v>
      </c>
      <c r="H286" t="str">
        <f t="shared" si="11"/>
        <v>229B/0</v>
      </c>
      <c r="I286" s="29"/>
    </row>
    <row r="287" spans="1:9" hidden="1">
      <c r="A287" s="29" t="s">
        <v>851</v>
      </c>
      <c r="B287" s="145" t="s">
        <v>936</v>
      </c>
      <c r="H287" t="str">
        <f t="shared" si="11"/>
        <v>230/0</v>
      </c>
      <c r="I287" s="131"/>
    </row>
    <row r="288" spans="1:9">
      <c r="A288" s="29" t="s">
        <v>852</v>
      </c>
      <c r="B288" s="143" t="s">
        <v>561</v>
      </c>
      <c r="H288" t="str">
        <f t="shared" si="11"/>
        <v>230/1</v>
      </c>
      <c r="I288" s="29"/>
    </row>
    <row r="289" spans="1:9">
      <c r="A289" s="29" t="s">
        <v>853</v>
      </c>
      <c r="B289" s="143" t="s">
        <v>302</v>
      </c>
      <c r="H289" t="str">
        <f t="shared" si="11"/>
        <v>230A/0</v>
      </c>
      <c r="I289" s="29"/>
    </row>
    <row r="290" spans="1:9" hidden="1">
      <c r="A290" s="29" t="s">
        <v>854</v>
      </c>
      <c r="B290" s="143" t="s">
        <v>335</v>
      </c>
      <c r="H290" t="str">
        <f t="shared" si="11"/>
        <v>231/0</v>
      </c>
      <c r="I290" s="29"/>
    </row>
    <row r="291" spans="1:9" hidden="1">
      <c r="A291" s="29" t="s">
        <v>855</v>
      </c>
      <c r="B291" s="143" t="s">
        <v>335</v>
      </c>
      <c r="H291" t="str">
        <f t="shared" si="11"/>
        <v>232/0</v>
      </c>
      <c r="I291" s="29"/>
    </row>
    <row r="292" spans="1:9">
      <c r="A292" s="29" t="s">
        <v>856</v>
      </c>
      <c r="B292" s="143" t="s">
        <v>350</v>
      </c>
      <c r="H292" t="str">
        <f t="shared" si="11"/>
        <v>232/1</v>
      </c>
      <c r="I292" s="29"/>
    </row>
    <row r="293" spans="1:9">
      <c r="A293" s="29" t="s">
        <v>857</v>
      </c>
      <c r="B293" s="143" t="s">
        <v>350</v>
      </c>
      <c r="H293" t="str">
        <f t="shared" si="11"/>
        <v>232/2</v>
      </c>
      <c r="I293" s="29"/>
    </row>
    <row r="294" spans="1:9">
      <c r="A294" s="29" t="s">
        <v>858</v>
      </c>
      <c r="B294" s="143" t="s">
        <v>350</v>
      </c>
      <c r="H294" t="str">
        <f t="shared" si="11"/>
        <v>232/3</v>
      </c>
      <c r="I294" s="29"/>
    </row>
    <row r="295" spans="1:9" hidden="1">
      <c r="A295" s="29" t="s">
        <v>859</v>
      </c>
      <c r="B295" s="145" t="s">
        <v>357</v>
      </c>
      <c r="H295" t="str">
        <f t="shared" si="11"/>
        <v>232/4</v>
      </c>
      <c r="I295" s="131"/>
    </row>
    <row r="296" spans="1:9" hidden="1">
      <c r="A296" s="29" t="s">
        <v>860</v>
      </c>
      <c r="B296" s="145" t="s">
        <v>330</v>
      </c>
      <c r="I296" s="131" t="s">
        <v>693</v>
      </c>
    </row>
    <row r="297" spans="1:9">
      <c r="A297" s="29" t="s">
        <v>861</v>
      </c>
      <c r="B297" s="143" t="s">
        <v>915</v>
      </c>
      <c r="H297" t="str">
        <f>A297</f>
        <v>234/0</v>
      </c>
      <c r="I297" s="29"/>
    </row>
    <row r="298" spans="1:9" hidden="1">
      <c r="A298" s="29" t="s">
        <v>862</v>
      </c>
      <c r="B298" s="145" t="s">
        <v>919</v>
      </c>
      <c r="I298" s="131" t="s">
        <v>368</v>
      </c>
    </row>
    <row r="299" spans="1:9" hidden="1">
      <c r="A299" s="29" t="s">
        <v>863</v>
      </c>
      <c r="B299" s="145" t="s">
        <v>561</v>
      </c>
      <c r="H299" t="str">
        <f>A299</f>
        <v>235/1</v>
      </c>
      <c r="I299" s="131"/>
    </row>
    <row r="300" spans="1:9" hidden="1">
      <c r="A300" s="29" t="s">
        <v>864</v>
      </c>
      <c r="B300" s="145" t="s">
        <v>350</v>
      </c>
      <c r="I300" s="131" t="s">
        <v>179</v>
      </c>
    </row>
    <row r="301" spans="1:9" hidden="1">
      <c r="A301" s="29" t="s">
        <v>865</v>
      </c>
      <c r="B301" s="145" t="s">
        <v>350</v>
      </c>
      <c r="H301" t="str">
        <f t="shared" ref="H301:H323" si="12">A301</f>
        <v>235/3</v>
      </c>
      <c r="I301" s="131"/>
    </row>
    <row r="302" spans="1:9">
      <c r="A302" s="29" t="s">
        <v>866</v>
      </c>
      <c r="B302" s="143" t="s">
        <v>357</v>
      </c>
      <c r="H302" t="str">
        <f t="shared" si="12"/>
        <v>235/4</v>
      </c>
      <c r="I302" s="29"/>
    </row>
    <row r="303" spans="1:9" hidden="1">
      <c r="A303" s="29" t="s">
        <v>867</v>
      </c>
      <c r="B303" s="145" t="s">
        <v>929</v>
      </c>
      <c r="H303" t="str">
        <f t="shared" si="12"/>
        <v>236/0</v>
      </c>
      <c r="I303" s="131"/>
    </row>
    <row r="304" spans="1:9" hidden="1">
      <c r="A304" s="29" t="s">
        <v>868</v>
      </c>
      <c r="B304" s="145" t="s">
        <v>938</v>
      </c>
      <c r="H304" t="str">
        <f t="shared" si="12"/>
        <v>237/0</v>
      </c>
      <c r="I304" s="131"/>
    </row>
    <row r="305" spans="1:9" hidden="1">
      <c r="A305" s="29" t="s">
        <v>869</v>
      </c>
      <c r="B305" s="145" t="s">
        <v>939</v>
      </c>
      <c r="H305" t="str">
        <f t="shared" si="12"/>
        <v>238/0</v>
      </c>
      <c r="I305" s="131"/>
    </row>
    <row r="306" spans="1:9" hidden="1">
      <c r="A306" s="29" t="s">
        <v>870</v>
      </c>
      <c r="B306" s="143" t="s">
        <v>302</v>
      </c>
      <c r="H306" t="str">
        <f t="shared" si="12"/>
        <v>239/0</v>
      </c>
      <c r="I306" s="29"/>
    </row>
    <row r="307" spans="1:9" hidden="1">
      <c r="A307" s="29" t="s">
        <v>871</v>
      </c>
      <c r="B307" s="143" t="s">
        <v>350</v>
      </c>
      <c r="H307" t="str">
        <f t="shared" si="12"/>
        <v>239/1</v>
      </c>
      <c r="I307" s="29"/>
    </row>
    <row r="308" spans="1:9" hidden="1">
      <c r="A308" s="29" t="s">
        <v>872</v>
      </c>
      <c r="B308" s="145" t="s">
        <v>300</v>
      </c>
      <c r="H308" t="str">
        <f t="shared" si="12"/>
        <v>240/0</v>
      </c>
      <c r="I308" s="131"/>
    </row>
    <row r="309" spans="1:9" hidden="1">
      <c r="A309" s="29" t="s">
        <v>873</v>
      </c>
      <c r="B309" s="143" t="s">
        <v>357</v>
      </c>
      <c r="H309" t="str">
        <f t="shared" si="12"/>
        <v>240/1</v>
      </c>
      <c r="I309" s="131"/>
    </row>
    <row r="310" spans="1:9" hidden="1">
      <c r="A310" s="29" t="s">
        <v>874</v>
      </c>
      <c r="B310" s="145" t="s">
        <v>298</v>
      </c>
      <c r="H310" t="str">
        <f t="shared" si="12"/>
        <v>241/0</v>
      </c>
      <c r="I310" s="131"/>
    </row>
    <row r="311" spans="1:9" hidden="1">
      <c r="A311" s="29" t="s">
        <v>170</v>
      </c>
      <c r="B311" s="145" t="s">
        <v>350</v>
      </c>
      <c r="H311" t="str">
        <f t="shared" si="12"/>
        <v>241/1</v>
      </c>
      <c r="I311" s="131"/>
    </row>
    <row r="312" spans="1:9" hidden="1">
      <c r="A312" s="29" t="s">
        <v>701</v>
      </c>
      <c r="B312" s="145" t="s">
        <v>350</v>
      </c>
      <c r="H312" t="str">
        <f t="shared" si="12"/>
        <v>241/2</v>
      </c>
      <c r="I312" s="131"/>
    </row>
    <row r="313" spans="1:9" hidden="1">
      <c r="A313" s="29" t="s">
        <v>875</v>
      </c>
      <c r="B313" s="145" t="s">
        <v>350</v>
      </c>
      <c r="H313" t="str">
        <f t="shared" si="12"/>
        <v>241/3</v>
      </c>
      <c r="I313" s="131"/>
    </row>
    <row r="314" spans="1:9" hidden="1">
      <c r="A314" s="29" t="s">
        <v>876</v>
      </c>
      <c r="B314" s="145" t="s">
        <v>357</v>
      </c>
      <c r="H314" t="str">
        <f t="shared" si="12"/>
        <v>241/4</v>
      </c>
      <c r="I314" s="131"/>
    </row>
    <row r="315" spans="1:9" hidden="1">
      <c r="A315" s="29" t="s">
        <v>877</v>
      </c>
      <c r="B315" s="145" t="s">
        <v>560</v>
      </c>
      <c r="H315" t="str">
        <f t="shared" si="12"/>
        <v>242/0</v>
      </c>
      <c r="I315" s="131"/>
    </row>
    <row r="316" spans="1:9" hidden="1">
      <c r="A316" s="29" t="s">
        <v>878</v>
      </c>
      <c r="B316" s="145" t="s">
        <v>560</v>
      </c>
      <c r="H316" t="str">
        <f t="shared" si="12"/>
        <v>243/0</v>
      </c>
      <c r="I316" s="131"/>
    </row>
    <row r="317" spans="1:9" hidden="1">
      <c r="A317" s="29" t="s">
        <v>702</v>
      </c>
      <c r="B317" s="145" t="s">
        <v>350</v>
      </c>
      <c r="H317" t="str">
        <f t="shared" si="12"/>
        <v>243/1</v>
      </c>
      <c r="I317" s="131"/>
    </row>
    <row r="318" spans="1:9" hidden="1">
      <c r="A318" s="29" t="s">
        <v>879</v>
      </c>
      <c r="B318" s="145" t="s">
        <v>350</v>
      </c>
      <c r="H318" t="str">
        <f t="shared" si="12"/>
        <v>243/2</v>
      </c>
      <c r="I318" s="131"/>
    </row>
    <row r="319" spans="1:9" hidden="1">
      <c r="A319" s="29" t="s">
        <v>880</v>
      </c>
      <c r="B319" s="145" t="s">
        <v>350</v>
      </c>
      <c r="H319" t="str">
        <f t="shared" si="12"/>
        <v>243/3</v>
      </c>
      <c r="I319" s="131"/>
    </row>
    <row r="320" spans="1:9" hidden="1">
      <c r="A320" s="29" t="s">
        <v>171</v>
      </c>
      <c r="B320" s="145" t="s">
        <v>302</v>
      </c>
      <c r="H320" t="str">
        <f t="shared" si="12"/>
        <v>244/0</v>
      </c>
      <c r="I320" s="25"/>
    </row>
    <row r="321" spans="1:9" hidden="1">
      <c r="A321" s="29" t="s">
        <v>881</v>
      </c>
      <c r="B321" s="145" t="s">
        <v>350</v>
      </c>
      <c r="H321" t="str">
        <f t="shared" si="12"/>
        <v>244/1</v>
      </c>
      <c r="I321" s="131"/>
    </row>
    <row r="322" spans="1:9" hidden="1">
      <c r="A322" s="29" t="s">
        <v>191</v>
      </c>
      <c r="B322" s="145" t="s">
        <v>350</v>
      </c>
      <c r="H322" t="str">
        <f t="shared" si="12"/>
        <v>244/2</v>
      </c>
      <c r="I322" s="131"/>
    </row>
    <row r="323" spans="1:9" hidden="1">
      <c r="A323" s="29" t="s">
        <v>158</v>
      </c>
      <c r="B323" s="145" t="s">
        <v>357</v>
      </c>
      <c r="H323" t="str">
        <f t="shared" si="12"/>
        <v>244/3</v>
      </c>
      <c r="I323" s="131"/>
    </row>
    <row r="324" spans="1:9" hidden="1">
      <c r="A324" s="29" t="s">
        <v>159</v>
      </c>
      <c r="B324" s="145" t="s">
        <v>357</v>
      </c>
      <c r="I324" s="131" t="s">
        <v>702</v>
      </c>
    </row>
    <row r="325" spans="1:9" hidden="1">
      <c r="A325" s="29" t="s">
        <v>882</v>
      </c>
      <c r="B325" s="145" t="s">
        <v>350</v>
      </c>
      <c r="I325" s="132" t="s">
        <v>700</v>
      </c>
    </row>
    <row r="326" spans="1:9" hidden="1">
      <c r="A326" s="29" t="s">
        <v>883</v>
      </c>
      <c r="B326" s="145" t="s">
        <v>357</v>
      </c>
      <c r="H326" t="str">
        <f t="shared" ref="H326:H340" si="13">A326</f>
        <v>244/6</v>
      </c>
      <c r="I326" s="132"/>
    </row>
    <row r="327" spans="1:9" hidden="1">
      <c r="A327" s="29" t="s">
        <v>884</v>
      </c>
      <c r="B327" s="145" t="s">
        <v>302</v>
      </c>
      <c r="H327" t="str">
        <f t="shared" si="13"/>
        <v>245/0</v>
      </c>
      <c r="I327" s="132"/>
    </row>
    <row r="328" spans="1:9" hidden="1">
      <c r="A328" s="29" t="s">
        <v>885</v>
      </c>
      <c r="B328" s="145" t="s">
        <v>350</v>
      </c>
      <c r="H328" t="str">
        <f t="shared" si="13"/>
        <v>245/1</v>
      </c>
      <c r="I328" s="132"/>
    </row>
    <row r="329" spans="1:9" hidden="1">
      <c r="A329" s="29" t="s">
        <v>703</v>
      </c>
      <c r="B329" s="145" t="s">
        <v>292</v>
      </c>
      <c r="H329" t="str">
        <f t="shared" si="13"/>
        <v>246/0</v>
      </c>
      <c r="I329" s="132"/>
    </row>
    <row r="330" spans="1:9">
      <c r="A330" s="29" t="s">
        <v>886</v>
      </c>
      <c r="B330" s="143" t="s">
        <v>940</v>
      </c>
      <c r="H330" t="str">
        <f t="shared" si="13"/>
        <v>247/0</v>
      </c>
      <c r="I330" s="29"/>
    </row>
    <row r="331" spans="1:9" hidden="1">
      <c r="A331" s="29" t="s">
        <v>887</v>
      </c>
      <c r="B331" s="143" t="s">
        <v>940</v>
      </c>
      <c r="H331" t="str">
        <f t="shared" si="13"/>
        <v>248/0</v>
      </c>
      <c r="I331" s="132"/>
    </row>
    <row r="332" spans="1:9" hidden="1">
      <c r="A332" s="29" t="s">
        <v>704</v>
      </c>
      <c r="B332" s="145" t="s">
        <v>393</v>
      </c>
      <c r="H332" t="str">
        <f t="shared" si="13"/>
        <v>248/1</v>
      </c>
      <c r="I332" s="25"/>
    </row>
    <row r="333" spans="1:9" hidden="1">
      <c r="A333" s="29" t="s">
        <v>888</v>
      </c>
      <c r="B333" s="145" t="s">
        <v>399</v>
      </c>
      <c r="H333" t="str">
        <f t="shared" si="13"/>
        <v>248/2</v>
      </c>
      <c r="I333" s="25"/>
    </row>
    <row r="334" spans="1:9" hidden="1">
      <c r="A334" s="29" t="s">
        <v>889</v>
      </c>
      <c r="B334" s="145" t="s">
        <v>560</v>
      </c>
      <c r="H334" t="str">
        <f t="shared" si="13"/>
        <v>249/0</v>
      </c>
      <c r="I334" s="25"/>
    </row>
    <row r="335" spans="1:9" hidden="1">
      <c r="A335" s="29" t="s">
        <v>890</v>
      </c>
      <c r="B335" s="145" t="s">
        <v>561</v>
      </c>
      <c r="H335" t="str">
        <f t="shared" si="13"/>
        <v>249/1</v>
      </c>
      <c r="I335" s="25"/>
    </row>
    <row r="336" spans="1:9" hidden="1">
      <c r="A336" s="29" t="s">
        <v>891</v>
      </c>
      <c r="B336" s="145" t="s">
        <v>357</v>
      </c>
      <c r="H336" t="str">
        <f t="shared" si="13"/>
        <v>249/2</v>
      </c>
      <c r="I336" s="25"/>
    </row>
    <row r="337" spans="1:9" hidden="1">
      <c r="A337" s="29" t="s">
        <v>705</v>
      </c>
      <c r="B337" s="145" t="s">
        <v>357</v>
      </c>
      <c r="H337" t="str">
        <f t="shared" si="13"/>
        <v>249/3</v>
      </c>
      <c r="I337" s="25"/>
    </row>
    <row r="338" spans="1:9" hidden="1">
      <c r="A338" s="29" t="s">
        <v>892</v>
      </c>
      <c r="B338" s="145" t="s">
        <v>585</v>
      </c>
      <c r="H338" t="str">
        <f t="shared" si="13"/>
        <v>250/0</v>
      </c>
      <c r="I338" s="132"/>
    </row>
    <row r="339" spans="1:9" hidden="1">
      <c r="A339" s="29" t="s">
        <v>160</v>
      </c>
      <c r="B339" s="145" t="s">
        <v>941</v>
      </c>
      <c r="H339" t="str">
        <f t="shared" si="13"/>
        <v>250/1</v>
      </c>
      <c r="I339" s="132"/>
    </row>
    <row r="340" spans="1:9" hidden="1">
      <c r="A340" s="29" t="s">
        <v>192</v>
      </c>
      <c r="B340" s="145" t="s">
        <v>350</v>
      </c>
      <c r="H340" t="str">
        <f t="shared" si="13"/>
        <v>250/2</v>
      </c>
      <c r="I340" s="132"/>
    </row>
    <row r="341" spans="1:9" hidden="1">
      <c r="A341" s="29" t="s">
        <v>706</v>
      </c>
      <c r="B341" s="145" t="s">
        <v>561</v>
      </c>
      <c r="I341" s="132" t="s">
        <v>522</v>
      </c>
    </row>
    <row r="342" spans="1:9" hidden="1">
      <c r="A342" s="29" t="s">
        <v>161</v>
      </c>
      <c r="B342" s="145" t="s">
        <v>942</v>
      </c>
      <c r="H342" t="str">
        <f>A342</f>
        <v>250A/0</v>
      </c>
      <c r="I342" s="132"/>
    </row>
    <row r="343" spans="1:9" hidden="1">
      <c r="A343" s="29" t="s">
        <v>707</v>
      </c>
      <c r="B343" s="145" t="s">
        <v>399</v>
      </c>
      <c r="H343" t="str">
        <f>A343</f>
        <v>250A/1</v>
      </c>
      <c r="I343" s="132"/>
    </row>
    <row r="344" spans="1:9" hidden="1">
      <c r="A344" s="29" t="s">
        <v>708</v>
      </c>
      <c r="B344" s="145" t="s">
        <v>350</v>
      </c>
      <c r="H344" t="str">
        <f>A344</f>
        <v>250A/2</v>
      </c>
      <c r="I344" s="132"/>
    </row>
    <row r="345" spans="1:9" hidden="1">
      <c r="A345" s="29" t="s">
        <v>893</v>
      </c>
      <c r="B345" s="145" t="s">
        <v>302</v>
      </c>
      <c r="H345" t="str">
        <f>A345</f>
        <v>251/0</v>
      </c>
      <c r="I345" s="132"/>
    </row>
    <row r="346" spans="1:9">
      <c r="A346" s="29" t="s">
        <v>894</v>
      </c>
      <c r="B346" s="143" t="s">
        <v>943</v>
      </c>
      <c r="I346" s="59" t="s">
        <v>586</v>
      </c>
    </row>
    <row r="347" spans="1:9" hidden="1">
      <c r="A347" s="29" t="s">
        <v>895</v>
      </c>
      <c r="B347" s="145" t="s">
        <v>300</v>
      </c>
      <c r="H347" t="str">
        <f>A347</f>
        <v>252/0</v>
      </c>
      <c r="I347" s="132"/>
    </row>
    <row r="348" spans="1:9" hidden="1">
      <c r="A348" s="29" t="s">
        <v>896</v>
      </c>
      <c r="B348" s="145" t="s">
        <v>350</v>
      </c>
      <c r="H348" t="str">
        <f>A348</f>
        <v>252/1</v>
      </c>
      <c r="I348" s="132"/>
    </row>
    <row r="349" spans="1:9" hidden="1">
      <c r="A349" s="29" t="s">
        <v>897</v>
      </c>
      <c r="B349" s="145" t="s">
        <v>357</v>
      </c>
      <c r="I349" s="132" t="s">
        <v>191</v>
      </c>
    </row>
    <row r="350" spans="1:9" hidden="1">
      <c r="A350" s="29" t="s">
        <v>898</v>
      </c>
      <c r="B350" s="145" t="s">
        <v>399</v>
      </c>
      <c r="I350" s="132" t="s">
        <v>146</v>
      </c>
    </row>
    <row r="351" spans="1:9" hidden="1">
      <c r="A351" s="29" t="s">
        <v>899</v>
      </c>
      <c r="B351" s="145" t="s">
        <v>350</v>
      </c>
      <c r="H351" t="str">
        <f>A351</f>
        <v>252/4</v>
      </c>
      <c r="I351" s="25"/>
    </row>
    <row r="352" spans="1:9" hidden="1">
      <c r="A352" s="29" t="s">
        <v>709</v>
      </c>
      <c r="B352" s="145" t="s">
        <v>393</v>
      </c>
      <c r="H352" t="str">
        <f>A352</f>
        <v>252/5</v>
      </c>
      <c r="I352" s="25"/>
    </row>
    <row r="353" spans="1:9">
      <c r="A353" s="29" t="s">
        <v>900</v>
      </c>
      <c r="B353" s="143" t="s">
        <v>944</v>
      </c>
      <c r="I353" s="59" t="s">
        <v>181</v>
      </c>
    </row>
    <row r="354" spans="1:9">
      <c r="A354" s="29" t="s">
        <v>901</v>
      </c>
      <c r="B354" s="143" t="s">
        <v>944</v>
      </c>
      <c r="H354" t="str">
        <f>A354</f>
        <v>254/0</v>
      </c>
      <c r="I354" s="29"/>
    </row>
    <row r="355" spans="1:9" hidden="1">
      <c r="A355" s="29" t="s">
        <v>902</v>
      </c>
      <c r="B355" s="145" t="s">
        <v>393</v>
      </c>
      <c r="I355" s="25" t="s">
        <v>769</v>
      </c>
    </row>
    <row r="356" spans="1:9" hidden="1">
      <c r="A356" s="29" t="s">
        <v>162</v>
      </c>
      <c r="B356" s="145" t="s">
        <v>298</v>
      </c>
      <c r="H356" t="str">
        <f>A356</f>
        <v>255/0</v>
      </c>
      <c r="I356" s="25"/>
    </row>
    <row r="357" spans="1:9">
      <c r="A357" s="29" t="s">
        <v>903</v>
      </c>
      <c r="B357" s="143" t="s">
        <v>350</v>
      </c>
      <c r="H357" t="str">
        <f>A357</f>
        <v>255/1</v>
      </c>
      <c r="I357" s="29"/>
    </row>
    <row r="358" spans="1:9" hidden="1">
      <c r="A358" s="29" t="s">
        <v>904</v>
      </c>
      <c r="B358" s="145" t="s">
        <v>298</v>
      </c>
      <c r="H358" t="str">
        <f>A358</f>
        <v>256/0</v>
      </c>
      <c r="I358" s="25"/>
    </row>
    <row r="359" spans="1:9" hidden="1">
      <c r="A359" s="29" t="s">
        <v>163</v>
      </c>
      <c r="B359" s="145" t="s">
        <v>561</v>
      </c>
      <c r="H359" t="str">
        <f>A359</f>
        <v>256/1</v>
      </c>
      <c r="I359" s="25"/>
    </row>
    <row r="360" spans="1:9" hidden="1">
      <c r="A360" s="29" t="s">
        <v>905</v>
      </c>
      <c r="B360" s="145" t="s">
        <v>324</v>
      </c>
      <c r="I360" s="25" t="s">
        <v>806</v>
      </c>
    </row>
    <row r="361" spans="1:9">
      <c r="A361" s="29" t="s">
        <v>906</v>
      </c>
      <c r="B361" s="143" t="s">
        <v>945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701</v>
      </c>
      <c r="I364" s="25"/>
    </row>
    <row r="365" spans="1:9">
      <c r="A365" s="11" t="s">
        <v>874</v>
      </c>
      <c r="I365" s="25"/>
    </row>
    <row r="366" spans="1:9">
      <c r="A366" s="11" t="s">
        <v>519</v>
      </c>
      <c r="I366" s="25"/>
    </row>
    <row r="367" spans="1:9">
      <c r="A367" s="11" t="s">
        <v>715</v>
      </c>
      <c r="I367" s="25"/>
    </row>
    <row r="368" spans="1:9">
      <c r="A368" s="11" t="s">
        <v>720</v>
      </c>
      <c r="I368" s="25"/>
    </row>
    <row r="369" spans="1:9">
      <c r="A369" s="11" t="s">
        <v>714</v>
      </c>
      <c r="I369" s="25"/>
    </row>
    <row r="370" spans="1:9">
      <c r="A370" s="11" t="s">
        <v>719</v>
      </c>
      <c r="I370" s="25"/>
    </row>
    <row r="371" spans="1:9">
      <c r="A371" s="11" t="s">
        <v>688</v>
      </c>
      <c r="I371" s="25"/>
    </row>
    <row r="372" spans="1:9">
      <c r="A372" s="35" t="s">
        <v>186</v>
      </c>
      <c r="I372" s="25"/>
    </row>
    <row r="373" spans="1:9">
      <c r="A373" s="11" t="s">
        <v>520</v>
      </c>
      <c r="I373" s="25"/>
    </row>
    <row r="374" spans="1:9">
      <c r="A374" s="11" t="s">
        <v>689</v>
      </c>
      <c r="I374" s="25"/>
    </row>
    <row r="375" spans="1:9">
      <c r="A375" s="11" t="s">
        <v>716</v>
      </c>
      <c r="I375" s="25"/>
    </row>
    <row r="376" spans="1:9">
      <c r="A376" s="11" t="s">
        <v>522</v>
      </c>
      <c r="I376" s="25"/>
    </row>
    <row r="377" spans="1:9">
      <c r="A377" s="11" t="s">
        <v>883</v>
      </c>
      <c r="I377" s="25"/>
    </row>
    <row r="378" spans="1:9">
      <c r="A378" s="11" t="s">
        <v>407</v>
      </c>
      <c r="I378" s="25"/>
    </row>
    <row r="379" spans="1:9">
      <c r="A379" s="11" t="s">
        <v>890</v>
      </c>
      <c r="I379" s="25"/>
    </row>
    <row r="380" spans="1:9">
      <c r="A380" s="11" t="s">
        <v>711</v>
      </c>
      <c r="I380" s="25"/>
    </row>
    <row r="381" spans="1:9">
      <c r="A381" s="11" t="s">
        <v>712</v>
      </c>
      <c r="I381" s="25"/>
    </row>
    <row r="382" spans="1:9">
      <c r="A382" s="11" t="s">
        <v>721</v>
      </c>
      <c r="I382" s="25"/>
    </row>
    <row r="383" spans="1:9">
      <c r="A383" s="11" t="s">
        <v>889</v>
      </c>
      <c r="I383" s="25"/>
    </row>
    <row r="384" spans="1:9">
      <c r="A384" s="11" t="s">
        <v>891</v>
      </c>
      <c r="I384" s="25"/>
    </row>
    <row r="385" spans="1:9">
      <c r="A385" s="11" t="s">
        <v>717</v>
      </c>
      <c r="I385" s="25"/>
    </row>
    <row r="386" spans="1:9">
      <c r="A386" s="35" t="s">
        <v>732</v>
      </c>
      <c r="I386" s="25"/>
    </row>
    <row r="387" spans="1:9">
      <c r="A387" s="11" t="s">
        <v>692</v>
      </c>
      <c r="I387" s="25"/>
    </row>
    <row r="388" spans="1:9">
      <c r="A388" s="11" t="s">
        <v>718</v>
      </c>
      <c r="I388" s="132"/>
    </row>
    <row r="389" spans="1:9">
      <c r="A389" s="11" t="s">
        <v>722</v>
      </c>
      <c r="I389" s="132"/>
    </row>
    <row r="390" spans="1:9">
      <c r="A390" s="11" t="s">
        <v>404</v>
      </c>
      <c r="I390" s="132"/>
    </row>
    <row r="391" spans="1:9">
      <c r="A391" s="15" t="s">
        <v>687</v>
      </c>
    </row>
    <row r="392" spans="1:9">
      <c r="A392" s="15" t="s">
        <v>882</v>
      </c>
    </row>
    <row r="393" spans="1:9">
      <c r="A393" s="11" t="s">
        <v>892</v>
      </c>
    </row>
    <row r="394" spans="1:9">
      <c r="A394" s="15" t="s">
        <v>723</v>
      </c>
    </row>
    <row r="395" spans="1:9">
      <c r="A395" s="15" t="s">
        <v>898</v>
      </c>
    </row>
    <row r="396" spans="1:9">
      <c r="A396" s="15" t="s">
        <v>742</v>
      </c>
    </row>
    <row r="397" spans="1:9">
      <c r="A397" s="15" t="s">
        <v>549</v>
      </c>
    </row>
    <row r="398" spans="1:9">
      <c r="A398" s="15" t="s">
        <v>708</v>
      </c>
    </row>
    <row r="399" spans="1:9">
      <c r="A399" s="15" t="s">
        <v>895</v>
      </c>
    </row>
    <row r="400" spans="1:9">
      <c r="A400" s="15" t="s">
        <v>888</v>
      </c>
    </row>
    <row r="401" spans="1:1">
      <c r="A401" s="15" t="s">
        <v>743</v>
      </c>
    </row>
    <row r="402" spans="1:1">
      <c r="A402" s="15" t="s">
        <v>725</v>
      </c>
    </row>
    <row r="403" spans="1:1">
      <c r="A403" s="15" t="s">
        <v>876</v>
      </c>
    </row>
    <row r="404" spans="1:1">
      <c r="A404" s="15" t="s">
        <v>526</v>
      </c>
    </row>
    <row r="405" spans="1:1">
      <c r="A405" s="15" t="s">
        <v>691</v>
      </c>
    </row>
    <row r="406" spans="1:1">
      <c r="A406" s="15" t="s">
        <v>693</v>
      </c>
    </row>
    <row r="407" spans="1:1">
      <c r="A407" s="15" t="s">
        <v>695</v>
      </c>
    </row>
    <row r="408" spans="1:1">
      <c r="A408" s="15" t="s">
        <v>724</v>
      </c>
    </row>
    <row r="409" spans="1:1">
      <c r="A409" s="15" t="s">
        <v>704</v>
      </c>
    </row>
    <row r="410" spans="1:1">
      <c r="A410" s="15" t="s">
        <v>880</v>
      </c>
    </row>
    <row r="411" spans="1:1">
      <c r="A411" s="15" t="s">
        <v>690</v>
      </c>
    </row>
    <row r="412" spans="1:1">
      <c r="A412" s="15" t="s">
        <v>694</v>
      </c>
    </row>
    <row r="413" spans="1:1">
      <c r="A413" s="15" t="s">
        <v>368</v>
      </c>
    </row>
    <row r="414" spans="1:1">
      <c r="A414" s="15" t="s">
        <v>272</v>
      </c>
    </row>
    <row r="415" spans="1:1">
      <c r="A415" s="15" t="s">
        <v>879</v>
      </c>
    </row>
    <row r="416" spans="1:1">
      <c r="A416" s="15" t="s">
        <v>706</v>
      </c>
    </row>
    <row r="417" spans="1:1">
      <c r="A417" s="35" t="s">
        <v>731</v>
      </c>
    </row>
    <row r="418" spans="1:1">
      <c r="A418" s="15" t="s">
        <v>425</v>
      </c>
    </row>
    <row r="419" spans="1:1">
      <c r="A419" s="15" t="s">
        <v>730</v>
      </c>
    </row>
    <row r="420" spans="1:1">
      <c r="A420" s="15" t="s">
        <v>881</v>
      </c>
    </row>
    <row r="421" spans="1:1">
      <c r="A421" s="15" t="s">
        <v>737</v>
      </c>
    </row>
    <row r="422" spans="1:1">
      <c r="A422" s="35" t="s">
        <v>685</v>
      </c>
    </row>
    <row r="423" spans="1:1">
      <c r="A423" s="35" t="s">
        <v>710</v>
      </c>
    </row>
    <row r="424" spans="1:1">
      <c r="A424" s="35" t="s">
        <v>893</v>
      </c>
    </row>
    <row r="425" spans="1:1">
      <c r="A425" s="35" t="s">
        <v>621</v>
      </c>
    </row>
    <row r="426" spans="1:1">
      <c r="A426" s="35" t="s">
        <v>523</v>
      </c>
    </row>
    <row r="427" spans="1:1">
      <c r="A427" s="35" t="s">
        <v>697</v>
      </c>
    </row>
    <row r="428" spans="1:1">
      <c r="A428" s="35" t="s">
        <v>755</v>
      </c>
    </row>
    <row r="429" spans="1:1">
      <c r="A429" s="35" t="s">
        <v>698</v>
      </c>
    </row>
    <row r="430" spans="1:1">
      <c r="A430" s="35" t="s">
        <v>768</v>
      </c>
    </row>
    <row r="431" spans="1:1">
      <c r="A431" s="35" t="s">
        <v>756</v>
      </c>
    </row>
    <row r="432" spans="1:1">
      <c r="A432" s="35" t="s">
        <v>769</v>
      </c>
    </row>
    <row r="433" spans="1:1">
      <c r="A433" s="35" t="s">
        <v>754</v>
      </c>
    </row>
    <row r="434" spans="1:1">
      <c r="A434" s="35" t="s">
        <v>770</v>
      </c>
    </row>
    <row r="435" spans="1:1">
      <c r="A435" s="35" t="s">
        <v>771</v>
      </c>
    </row>
    <row r="436" spans="1:1">
      <c r="A436" s="35" t="s">
        <v>766</v>
      </c>
    </row>
    <row r="437" spans="1:1">
      <c r="A437" s="35" t="s">
        <v>545</v>
      </c>
    </row>
    <row r="438" spans="1:1">
      <c r="A438" s="35" t="s">
        <v>760</v>
      </c>
    </row>
    <row r="439" spans="1:1">
      <c r="A439" s="35" t="s">
        <v>762</v>
      </c>
    </row>
    <row r="440" spans="1:1">
      <c r="A440" s="35" t="s">
        <v>761</v>
      </c>
    </row>
    <row r="441" spans="1:1">
      <c r="A441" s="35" t="s">
        <v>758</v>
      </c>
    </row>
    <row r="442" spans="1:1">
      <c r="A442" s="35" t="s">
        <v>764</v>
      </c>
    </row>
    <row r="443" spans="1:1">
      <c r="A443" s="35" t="s">
        <v>622</v>
      </c>
    </row>
    <row r="444" spans="1:1">
      <c r="A444" s="35" t="s">
        <v>696</v>
      </c>
    </row>
    <row r="445" spans="1:1">
      <c r="A445" s="35" t="s">
        <v>765</v>
      </c>
    </row>
    <row r="446" spans="1:1">
      <c r="A446" s="35" t="s">
        <v>371</v>
      </c>
    </row>
    <row r="447" spans="1:1">
      <c r="A447" s="35" t="s">
        <v>625</v>
      </c>
    </row>
    <row r="448" spans="1:1">
      <c r="A448" s="35" t="s">
        <v>752</v>
      </c>
    </row>
    <row r="449" spans="1:1">
      <c r="A449" s="35" t="s">
        <v>385</v>
      </c>
    </row>
    <row r="450" spans="1:1">
      <c r="A450" s="35" t="s">
        <v>630</v>
      </c>
    </row>
    <row r="451" spans="1:1">
      <c r="A451" s="35" t="s">
        <v>611</v>
      </c>
    </row>
    <row r="452" spans="1:1">
      <c r="A452" s="35" t="s">
        <v>709</v>
      </c>
    </row>
    <row r="453" spans="1:1">
      <c r="A453" s="35" t="s">
        <v>878</v>
      </c>
    </row>
    <row r="454" spans="1:1">
      <c r="A454" s="35" t="s">
        <v>904</v>
      </c>
    </row>
    <row r="455" spans="1:1">
      <c r="A455" s="35" t="s">
        <v>703</v>
      </c>
    </row>
    <row r="456" spans="1:1">
      <c r="A456" s="35" t="s">
        <v>707</v>
      </c>
    </row>
    <row r="457" spans="1:1">
      <c r="A457" s="35" t="s">
        <v>543</v>
      </c>
    </row>
    <row r="458" spans="1:1">
      <c r="A458" s="35" t="s">
        <v>875</v>
      </c>
    </row>
    <row r="459" spans="1:1">
      <c r="A459" s="35" t="s">
        <v>623</v>
      </c>
    </row>
    <row r="460" spans="1:1">
      <c r="A460" s="35" t="s">
        <v>713</v>
      </c>
    </row>
    <row r="461" spans="1:1">
      <c r="A461" s="35" t="s">
        <v>829</v>
      </c>
    </row>
    <row r="462" spans="1:1">
      <c r="A462" s="35" t="s">
        <v>521</v>
      </c>
    </row>
    <row r="463" spans="1:1">
      <c r="A463" s="35" t="s">
        <v>830</v>
      </c>
    </row>
    <row r="464" spans="1:1">
      <c r="A464" s="35" t="s">
        <v>831</v>
      </c>
    </row>
    <row r="465" spans="1:1">
      <c r="A465" s="35" t="s">
        <v>686</v>
      </c>
    </row>
    <row r="466" spans="1:1">
      <c r="A466" s="35" t="s">
        <v>827</v>
      </c>
    </row>
    <row r="467" spans="1:1">
      <c r="A467" s="35" t="s">
        <v>822</v>
      </c>
    </row>
    <row r="468" spans="1:1">
      <c r="A468" s="35" t="s">
        <v>828</v>
      </c>
    </row>
    <row r="469" spans="1:1">
      <c r="A469" s="35" t="s">
        <v>369</v>
      </c>
    </row>
    <row r="470" spans="1:1">
      <c r="A470" s="35" t="s">
        <v>825</v>
      </c>
    </row>
    <row r="471" spans="1:1">
      <c r="A471" s="35" t="s">
        <v>821</v>
      </c>
    </row>
    <row r="472" spans="1:1">
      <c r="A472" s="35" t="s">
        <v>823</v>
      </c>
    </row>
    <row r="473" spans="1:1">
      <c r="A473" s="35" t="s">
        <v>635</v>
      </c>
    </row>
    <row r="474" spans="1:1">
      <c r="A474" s="35" t="s">
        <v>820</v>
      </c>
    </row>
    <row r="475" spans="1:1">
      <c r="A475" s="35" t="s">
        <v>462</v>
      </c>
    </row>
    <row r="476" spans="1:1">
      <c r="A476" s="35" t="s">
        <v>826</v>
      </c>
    </row>
    <row r="477" spans="1:1">
      <c r="A477" s="35" t="s">
        <v>819</v>
      </c>
    </row>
    <row r="478" spans="1:1">
      <c r="A478" s="35" t="s">
        <v>824</v>
      </c>
    </row>
    <row r="479" spans="1:1">
      <c r="A479" s="35" t="s">
        <v>817</v>
      </c>
    </row>
    <row r="480" spans="1:1">
      <c r="A480" s="35" t="s">
        <v>374</v>
      </c>
    </row>
    <row r="481" spans="1:1">
      <c r="A481" s="35" t="s">
        <v>463</v>
      </c>
    </row>
    <row r="482" spans="1:1">
      <c r="A482" s="35" t="s">
        <v>418</v>
      </c>
    </row>
    <row r="483" spans="1:1">
      <c r="A483" s="35" t="s">
        <v>832</v>
      </c>
    </row>
    <row r="484" spans="1:1">
      <c r="A484" s="35" t="s">
        <v>728</v>
      </c>
    </row>
    <row r="485" spans="1:1">
      <c r="A485" s="35" t="s">
        <v>641</v>
      </c>
    </row>
    <row r="486" spans="1:1">
      <c r="A486" s="35" t="s">
        <v>370</v>
      </c>
    </row>
    <row r="487" spans="1:1">
      <c r="A487" s="35" t="s">
        <v>806</v>
      </c>
    </row>
    <row r="488" spans="1:1">
      <c r="A488" s="35" t="s">
        <v>834</v>
      </c>
    </row>
    <row r="489" spans="1:1">
      <c r="A489" s="35" t="s">
        <v>383</v>
      </c>
    </row>
    <row r="490" spans="1:1">
      <c r="A490" s="35" t="s">
        <v>810</v>
      </c>
    </row>
    <row r="491" spans="1:1">
      <c r="A491" s="35" t="s">
        <v>464</v>
      </c>
    </row>
    <row r="492" spans="1:1">
      <c r="A492" s="35" t="s">
        <v>421</v>
      </c>
    </row>
    <row r="493" spans="1:1">
      <c r="A493" s="35" t="s">
        <v>763</v>
      </c>
    </row>
    <row r="494" spans="1:1">
      <c r="A494" s="35" t="s">
        <v>808</v>
      </c>
    </row>
    <row r="495" spans="1:1">
      <c r="A495" s="35" t="s">
        <v>809</v>
      </c>
    </row>
    <row r="496" spans="1:1">
      <c r="A496" s="35" t="s">
        <v>400</v>
      </c>
    </row>
    <row r="497" spans="1:1">
      <c r="A497" s="35" t="s">
        <v>807</v>
      </c>
    </row>
    <row r="498" spans="1:1">
      <c r="A498" s="35" t="s">
        <v>633</v>
      </c>
    </row>
    <row r="499" spans="1:1">
      <c r="A499" s="35" t="s">
        <v>191</v>
      </c>
    </row>
    <row r="500" spans="1:1">
      <c r="A500" s="35" t="s">
        <v>178</v>
      </c>
    </row>
    <row r="501" spans="1:1">
      <c r="A501" s="35" t="s">
        <v>190</v>
      </c>
    </row>
    <row r="502" spans="1:1">
      <c r="A502" s="35" t="s">
        <v>174</v>
      </c>
    </row>
    <row r="503" spans="1:1">
      <c r="A503" s="35" t="s">
        <v>185</v>
      </c>
    </row>
    <row r="504" spans="1:1">
      <c r="A504" s="35" t="s">
        <v>180</v>
      </c>
    </row>
    <row r="505" spans="1:1">
      <c r="A505" s="35" t="s">
        <v>189</v>
      </c>
    </row>
    <row r="506" spans="1:1">
      <c r="A506" s="35" t="s">
        <v>192</v>
      </c>
    </row>
    <row r="507" spans="1:1">
      <c r="A507" s="35" t="s">
        <v>187</v>
      </c>
    </row>
    <row r="508" spans="1:1">
      <c r="A508" s="35" t="s">
        <v>173</v>
      </c>
    </row>
    <row r="509" spans="1:1">
      <c r="A509" s="35" t="s">
        <v>188</v>
      </c>
    </row>
    <row r="510" spans="1:1">
      <c r="A510" s="35" t="s">
        <v>632</v>
      </c>
    </row>
    <row r="511" spans="1:1">
      <c r="A511" s="35" t="s">
        <v>705</v>
      </c>
    </row>
    <row r="512" spans="1:1">
      <c r="A512" s="35" t="s">
        <v>184</v>
      </c>
    </row>
    <row r="513" spans="1:1">
      <c r="A513" s="35" t="s">
        <v>833</v>
      </c>
    </row>
    <row r="514" spans="1:1">
      <c r="A514" s="35" t="s">
        <v>176</v>
      </c>
    </row>
    <row r="515" spans="1:1">
      <c r="A515" s="35" t="s">
        <v>181</v>
      </c>
    </row>
    <row r="516" spans="1:1">
      <c r="A516" s="35" t="s">
        <v>702</v>
      </c>
    </row>
    <row r="517" spans="1:1">
      <c r="A517" s="35" t="s">
        <v>774</v>
      </c>
    </row>
    <row r="518" spans="1:1">
      <c r="A518" s="35" t="s">
        <v>179</v>
      </c>
    </row>
    <row r="519" spans="1:1">
      <c r="A519" s="35" t="s">
        <v>183</v>
      </c>
    </row>
    <row r="520" spans="1:1">
      <c r="A520" s="35" t="s">
        <v>815</v>
      </c>
    </row>
    <row r="521" spans="1:1">
      <c r="A521" s="35" t="s">
        <v>177</v>
      </c>
    </row>
    <row r="522" spans="1:1">
      <c r="A522" s="35" t="s">
        <v>814</v>
      </c>
    </row>
    <row r="523" spans="1:1">
      <c r="A523" s="35" t="s">
        <v>182</v>
      </c>
    </row>
    <row r="524" spans="1:1">
      <c r="A524" s="35" t="s">
        <v>699</v>
      </c>
    </row>
    <row r="525" spans="1:1">
      <c r="A525" s="35" t="s">
        <v>657</v>
      </c>
    </row>
    <row r="526" spans="1:1">
      <c r="A526" s="35" t="s">
        <v>779</v>
      </c>
    </row>
    <row r="527" spans="1:1">
      <c r="A527" s="35" t="s">
        <v>905</v>
      </c>
    </row>
    <row r="528" spans="1:1">
      <c r="A528" s="35" t="s">
        <v>753</v>
      </c>
    </row>
    <row r="529" spans="1:1">
      <c r="A529" s="35" t="s">
        <v>902</v>
      </c>
    </row>
    <row r="530" spans="1:1">
      <c r="A530" s="35" t="s">
        <v>811</v>
      </c>
    </row>
    <row r="531" spans="1:1">
      <c r="A531" s="35" t="s">
        <v>733</v>
      </c>
    </row>
    <row r="532" spans="1:1">
      <c r="A532" s="35" t="s">
        <v>652</v>
      </c>
    </row>
    <row r="533" spans="1:1">
      <c r="A533" s="35" t="s">
        <v>423</v>
      </c>
    </row>
    <row r="534" spans="1:1">
      <c r="A534" s="35" t="s">
        <v>775</v>
      </c>
    </row>
    <row r="535" spans="1:1">
      <c r="A535" s="35" t="s">
        <v>777</v>
      </c>
    </row>
    <row r="536" spans="1:1">
      <c r="A536" s="35" t="s">
        <v>616</v>
      </c>
    </row>
    <row r="537" spans="1:1">
      <c r="A537" s="35" t="s">
        <v>142</v>
      </c>
    </row>
    <row r="538" spans="1:1">
      <c r="A538" s="35" t="s">
        <v>897</v>
      </c>
    </row>
    <row r="539" spans="1:1">
      <c r="A539" s="35" t="s">
        <v>143</v>
      </c>
    </row>
    <row r="540" spans="1:1">
      <c r="A540" s="35" t="s">
        <v>700</v>
      </c>
    </row>
    <row r="541" spans="1:1">
      <c r="A541" s="35" t="s">
        <v>776</v>
      </c>
    </row>
    <row r="542" spans="1:1">
      <c r="A542" s="35" t="s">
        <v>896</v>
      </c>
    </row>
    <row r="543" spans="1:1">
      <c r="A543" s="35" t="s">
        <v>170</v>
      </c>
    </row>
    <row r="544" spans="1:1">
      <c r="A544" s="35" t="s">
        <v>167</v>
      </c>
    </row>
    <row r="545" spans="1:1">
      <c r="A545" s="35" t="s">
        <v>147</v>
      </c>
    </row>
    <row r="546" spans="1:1">
      <c r="A546" s="35" t="s">
        <v>146</v>
      </c>
    </row>
    <row r="547" spans="1:1">
      <c r="A547" s="35" t="s">
        <v>156</v>
      </c>
    </row>
    <row r="548" spans="1:1">
      <c r="A548" s="35" t="s">
        <v>169</v>
      </c>
    </row>
    <row r="549" spans="1:1">
      <c r="A549" s="35" t="s">
        <v>168</v>
      </c>
    </row>
    <row r="550" spans="1:1">
      <c r="A550" s="35" t="s">
        <v>141</v>
      </c>
    </row>
    <row r="551" spans="1:1">
      <c r="A551" s="35" t="s">
        <v>154</v>
      </c>
    </row>
    <row r="552" spans="1:1">
      <c r="A552" s="35" t="s">
        <v>135</v>
      </c>
    </row>
    <row r="553" spans="1:1">
      <c r="A553" s="35" t="s">
        <v>137</v>
      </c>
    </row>
    <row r="554" spans="1:1">
      <c r="A554" s="35" t="s">
        <v>149</v>
      </c>
    </row>
    <row r="555" spans="1:1">
      <c r="A555" s="35" t="s">
        <v>145</v>
      </c>
    </row>
    <row r="556" spans="1:1">
      <c r="A556" s="35" t="s">
        <v>171</v>
      </c>
    </row>
    <row r="557" spans="1:1">
      <c r="A557" s="35" t="s">
        <v>162</v>
      </c>
    </row>
    <row r="558" spans="1:1">
      <c r="A558" s="35" t="s">
        <v>799</v>
      </c>
    </row>
    <row r="559" spans="1:1">
      <c r="A559" s="35" t="s">
        <v>157</v>
      </c>
    </row>
    <row r="560" spans="1:1">
      <c r="A560" s="35" t="s">
        <v>165</v>
      </c>
    </row>
    <row r="561" spans="1:1">
      <c r="A561" s="35" t="s">
        <v>153</v>
      </c>
    </row>
    <row r="562" spans="1:1">
      <c r="A562" s="35" t="s">
        <v>797</v>
      </c>
    </row>
    <row r="563" spans="1:1">
      <c r="A563" s="35" t="s">
        <v>851</v>
      </c>
    </row>
    <row r="564" spans="1:1">
      <c r="A564" s="35" t="s">
        <v>884</v>
      </c>
    </row>
    <row r="565" spans="1:1">
      <c r="A565" s="35" t="s">
        <v>739</v>
      </c>
    </row>
    <row r="566" spans="1:1">
      <c r="A566" s="35" t="s">
        <v>148</v>
      </c>
    </row>
    <row r="567" spans="1:1">
      <c r="A567" s="35" t="s">
        <v>586</v>
      </c>
    </row>
    <row r="568" spans="1:1">
      <c r="A568" s="35" t="s">
        <v>729</v>
      </c>
    </row>
    <row r="569" spans="1:1">
      <c r="A569" s="35" t="s">
        <v>166</v>
      </c>
    </row>
    <row r="570" spans="1:1">
      <c r="A570" s="35" t="s">
        <v>865</v>
      </c>
    </row>
    <row r="571" spans="1:1">
      <c r="A571" s="35" t="s">
        <v>885</v>
      </c>
    </row>
    <row r="572" spans="1:1">
      <c r="A572" s="35" t="s">
        <v>624</v>
      </c>
    </row>
    <row r="573" spans="1:1">
      <c r="A573" s="35" t="s">
        <v>151</v>
      </c>
    </row>
    <row r="574" spans="1:1">
      <c r="A574" s="35" t="s">
        <v>442</v>
      </c>
    </row>
    <row r="575" spans="1:1">
      <c r="A575" s="35" t="s">
        <v>759</v>
      </c>
    </row>
    <row r="576" spans="1:1">
      <c r="A576" s="35" t="s">
        <v>842</v>
      </c>
    </row>
    <row r="577" spans="1:1">
      <c r="A577" s="35" t="s">
        <v>161</v>
      </c>
    </row>
    <row r="578" spans="1:1">
      <c r="A578" s="35" t="s">
        <v>816</v>
      </c>
    </row>
    <row r="579" spans="1:1">
      <c r="A579" s="35" t="s">
        <v>800</v>
      </c>
    </row>
    <row r="580" spans="1:1">
      <c r="A580" s="35" t="s">
        <v>751</v>
      </c>
    </row>
    <row r="581" spans="1:1">
      <c r="A581" s="35" t="s">
        <v>140</v>
      </c>
    </row>
    <row r="582" spans="1:1">
      <c r="A582" s="35" t="s">
        <v>150</v>
      </c>
    </row>
    <row r="583" spans="1:1">
      <c r="A583" s="35" t="s">
        <v>152</v>
      </c>
    </row>
    <row r="584" spans="1:1">
      <c r="A584" s="35" t="s">
        <v>155</v>
      </c>
    </row>
    <row r="585" spans="1:1">
      <c r="A585" s="35" t="s">
        <v>158</v>
      </c>
    </row>
    <row r="586" spans="1:1">
      <c r="A586" s="35" t="s">
        <v>778</v>
      </c>
    </row>
    <row r="587" spans="1:1">
      <c r="A587" s="35" t="s">
        <v>159</v>
      </c>
    </row>
    <row r="588" spans="1:1">
      <c r="A588" s="35" t="s">
        <v>448</v>
      </c>
    </row>
    <row r="589" spans="1:1">
      <c r="A589" s="35" t="s">
        <v>727</v>
      </c>
    </row>
    <row r="590" spans="1:1">
      <c r="A590" s="35" t="s">
        <v>860</v>
      </c>
    </row>
    <row r="591" spans="1:1">
      <c r="A591" s="35" t="s">
        <v>841</v>
      </c>
    </row>
    <row r="592" spans="1:1">
      <c r="A592" s="35" t="s">
        <v>798</v>
      </c>
    </row>
    <row r="593" spans="1:1">
      <c r="A593" s="35" t="s">
        <v>867</v>
      </c>
    </row>
    <row r="594" spans="1:1">
      <c r="A594" s="35" t="s">
        <v>139</v>
      </c>
    </row>
    <row r="595" spans="1:1">
      <c r="A595" s="35" t="s">
        <v>843</v>
      </c>
    </row>
    <row r="596" spans="1:1">
      <c r="A596" s="35" t="s">
        <v>648</v>
      </c>
    </row>
    <row r="597" spans="1:1">
      <c r="A597" s="35" t="s">
        <v>614</v>
      </c>
    </row>
    <row r="598" spans="1:1">
      <c r="A598" s="35" t="s">
        <v>138</v>
      </c>
    </row>
    <row r="599" spans="1:1">
      <c r="A599" s="35" t="s">
        <v>796</v>
      </c>
    </row>
    <row r="600" spans="1:1">
      <c r="A600" s="35" t="s">
        <v>864</v>
      </c>
    </row>
    <row r="601" spans="1:1">
      <c r="A601" s="35" t="s">
        <v>859</v>
      </c>
    </row>
    <row r="602" spans="1:1">
      <c r="A602" s="35" t="s">
        <v>863</v>
      </c>
    </row>
    <row r="603" spans="1:1">
      <c r="A603" s="141" t="s">
        <v>378</v>
      </c>
    </row>
    <row r="604" spans="1:1">
      <c r="A604" s="141" t="s">
        <v>801</v>
      </c>
    </row>
    <row r="605" spans="1:1">
      <c r="A605" s="141" t="s">
        <v>164</v>
      </c>
    </row>
    <row r="606" spans="1:1">
      <c r="A606" s="141" t="s">
        <v>869</v>
      </c>
    </row>
    <row r="607" spans="1:1">
      <c r="A607" s="141" t="s">
        <v>144</v>
      </c>
    </row>
    <row r="608" spans="1:1">
      <c r="A608" s="141" t="s">
        <v>160</v>
      </c>
    </row>
    <row r="609" spans="1:1">
      <c r="A609" s="141" t="s">
        <v>899</v>
      </c>
    </row>
    <row r="610" spans="1:1">
      <c r="A610" s="141" t="s">
        <v>872</v>
      </c>
    </row>
    <row r="611" spans="1:1">
      <c r="A611" s="141" t="s">
        <v>803</v>
      </c>
    </row>
    <row r="612" spans="1:1">
      <c r="A612" s="141" t="s">
        <v>277</v>
      </c>
    </row>
    <row r="613" spans="1:1">
      <c r="A613" s="141" t="s">
        <v>163</v>
      </c>
    </row>
    <row r="614" spans="1:1">
      <c r="A614" s="141" t="s">
        <v>602</v>
      </c>
    </row>
    <row r="615" spans="1:1">
      <c r="A615" s="141" t="s">
        <v>551</v>
      </c>
    </row>
    <row r="616" spans="1:1">
      <c r="A616" s="141" t="s">
        <v>527</v>
      </c>
    </row>
    <row r="617" spans="1:1">
      <c r="A617" s="141" t="s">
        <v>862</v>
      </c>
    </row>
    <row r="618" spans="1:1">
      <c r="A618" s="141" t="s">
        <v>845</v>
      </c>
    </row>
    <row r="619" spans="1:1">
      <c r="A619" s="10" t="s">
        <v>372</v>
      </c>
    </row>
    <row r="620" spans="1:1">
      <c r="A620" s="141" t="s">
        <v>868</v>
      </c>
    </row>
    <row r="621" spans="1:1">
      <c r="A621" s="141" t="s">
        <v>877</v>
      </c>
    </row>
    <row r="622" spans="1:1">
      <c r="A622" s="141" t="s">
        <v>804</v>
      </c>
    </row>
    <row r="623" spans="1:1">
      <c r="A623" s="141" t="s">
        <v>855</v>
      </c>
    </row>
    <row r="624" spans="1:1">
      <c r="A624" s="141" t="s">
        <v>741</v>
      </c>
    </row>
    <row r="625" spans="1:1">
      <c r="A625" s="141" t="s">
        <v>887</v>
      </c>
    </row>
    <row r="626" spans="1:1">
      <c r="A626" s="141" t="s">
        <v>846</v>
      </c>
    </row>
    <row r="627" spans="1:1">
      <c r="A627" s="141" t="s">
        <v>813</v>
      </c>
    </row>
    <row r="628" spans="1:1">
      <c r="A628" s="141" t="s">
        <v>812</v>
      </c>
    </row>
    <row r="629" spans="1:1">
      <c r="A629" s="141" t="s">
        <v>805</v>
      </c>
    </row>
    <row r="630" spans="1:1">
      <c r="A630" s="141" t="s">
        <v>873</v>
      </c>
    </row>
    <row r="631" spans="1:1">
      <c r="A631" s="141" t="s">
        <v>794</v>
      </c>
    </row>
    <row r="632" spans="1:1">
      <c r="A632" s="141" t="s">
        <v>795</v>
      </c>
    </row>
    <row r="633" spans="1:1">
      <c r="A633" s="141" t="s">
        <v>818</v>
      </c>
    </row>
    <row r="634" spans="1:1">
      <c r="A634" s="141" t="s">
        <v>870</v>
      </c>
    </row>
    <row r="635" spans="1:1">
      <c r="A635" s="141" t="s">
        <v>792</v>
      </c>
    </row>
    <row r="636" spans="1:1">
      <c r="A636" s="141" t="s">
        <v>839</v>
      </c>
    </row>
    <row r="637" spans="1:1">
      <c r="A637" s="141" t="s">
        <v>740</v>
      </c>
    </row>
    <row r="638" spans="1:1">
      <c r="A638" s="141" t="s">
        <v>871</v>
      </c>
    </row>
    <row r="639" spans="1:1" ht="15.75" thickBot="1">
      <c r="A639" s="153" t="s">
        <v>840</v>
      </c>
    </row>
    <row r="640" spans="1:1" ht="15.75" thickBot="1">
      <c r="A640" s="153" t="s">
        <v>854</v>
      </c>
    </row>
    <row r="641" spans="1:1" ht="15.75" thickBot="1">
      <c r="A641" s="153" t="s">
        <v>844</v>
      </c>
    </row>
    <row r="668" spans="9:10">
      <c r="I668" t="s">
        <v>947</v>
      </c>
    </row>
    <row r="669" spans="9:10">
      <c r="J669" t="s">
        <v>948</v>
      </c>
    </row>
    <row r="670" spans="9:10">
      <c r="I670" s="143" t="s">
        <v>726</v>
      </c>
      <c r="J670" s="143" t="s">
        <v>561</v>
      </c>
    </row>
    <row r="671" spans="9:10">
      <c r="I671" s="143" t="s">
        <v>565</v>
      </c>
      <c r="J671" s="143" t="s">
        <v>909</v>
      </c>
    </row>
    <row r="672" spans="9:10">
      <c r="I672" s="143" t="s">
        <v>569</v>
      </c>
      <c r="J672" s="143" t="s">
        <v>910</v>
      </c>
    </row>
    <row r="673" spans="9:10">
      <c r="I673" s="143" t="s">
        <v>541</v>
      </c>
      <c r="J673" s="143" t="s">
        <v>911</v>
      </c>
    </row>
    <row r="674" spans="9:10">
      <c r="I674" s="143" t="s">
        <v>542</v>
      </c>
      <c r="J674" s="143" t="s">
        <v>357</v>
      </c>
    </row>
    <row r="675" spans="9:10">
      <c r="I675" s="143" t="s">
        <v>734</v>
      </c>
      <c r="J675" s="143" t="s">
        <v>357</v>
      </c>
    </row>
    <row r="676" spans="9:10">
      <c r="I676" s="143" t="s">
        <v>735</v>
      </c>
      <c r="J676" s="143" t="s">
        <v>396</v>
      </c>
    </row>
    <row r="677" spans="9:10">
      <c r="I677" s="143" t="s">
        <v>736</v>
      </c>
      <c r="J677" s="143" t="s">
        <v>396</v>
      </c>
    </row>
    <row r="678" spans="9:10">
      <c r="I678" s="143" t="s">
        <v>738</v>
      </c>
      <c r="J678" s="143" t="s">
        <v>396</v>
      </c>
    </row>
    <row r="679" spans="9:10">
      <c r="I679" s="143" t="s">
        <v>740</v>
      </c>
      <c r="J679" s="143" t="s">
        <v>335</v>
      </c>
    </row>
    <row r="680" spans="9:10">
      <c r="I680" s="143" t="s">
        <v>136</v>
      </c>
      <c r="J680" s="143" t="s">
        <v>560</v>
      </c>
    </row>
    <row r="681" spans="9:10">
      <c r="I681" s="143" t="s">
        <v>388</v>
      </c>
      <c r="J681" s="143" t="s">
        <v>292</v>
      </c>
    </row>
    <row r="682" spans="9:10">
      <c r="I682" s="143" t="s">
        <v>392</v>
      </c>
      <c r="J682" s="143" t="s">
        <v>350</v>
      </c>
    </row>
    <row r="683" spans="9:10">
      <c r="I683" s="143" t="s">
        <v>554</v>
      </c>
      <c r="J683" s="143" t="s">
        <v>914</v>
      </c>
    </row>
    <row r="684" spans="9:10">
      <c r="I684" s="143" t="s">
        <v>555</v>
      </c>
      <c r="J684" s="143" t="s">
        <v>335</v>
      </c>
    </row>
    <row r="685" spans="9:10">
      <c r="I685" s="143" t="s">
        <v>557</v>
      </c>
      <c r="J685" s="143" t="s">
        <v>305</v>
      </c>
    </row>
    <row r="686" spans="9:10">
      <c r="I686" s="143" t="s">
        <v>744</v>
      </c>
      <c r="J686" s="143" t="s">
        <v>915</v>
      </c>
    </row>
    <row r="687" spans="9:10">
      <c r="I687" s="143" t="s">
        <v>558</v>
      </c>
      <c r="J687" s="143" t="s">
        <v>560</v>
      </c>
    </row>
    <row r="688" spans="9:10">
      <c r="I688" s="143" t="s">
        <v>445</v>
      </c>
      <c r="J688" s="143" t="s">
        <v>560</v>
      </c>
    </row>
    <row r="689" spans="9:10">
      <c r="I689" s="143" t="s">
        <v>453</v>
      </c>
      <c r="J689" s="143" t="s">
        <v>357</v>
      </c>
    </row>
    <row r="690" spans="9:10">
      <c r="I690" s="143" t="s">
        <v>745</v>
      </c>
      <c r="J690" s="143" t="s">
        <v>350</v>
      </c>
    </row>
    <row r="691" spans="9:10">
      <c r="I691" s="143" t="s">
        <v>746</v>
      </c>
      <c r="J691" s="143" t="s">
        <v>292</v>
      </c>
    </row>
    <row r="692" spans="9:10">
      <c r="I692" s="143" t="s">
        <v>455</v>
      </c>
      <c r="J692" s="143" t="s">
        <v>916</v>
      </c>
    </row>
    <row r="693" spans="9:10">
      <c r="I693" s="143" t="s">
        <v>450</v>
      </c>
      <c r="J693" s="143" t="s">
        <v>915</v>
      </c>
    </row>
    <row r="694" spans="9:10">
      <c r="I694" s="143" t="s">
        <v>361</v>
      </c>
      <c r="J694" s="143" t="s">
        <v>917</v>
      </c>
    </row>
    <row r="695" spans="9:10">
      <c r="I695" s="143" t="s">
        <v>360</v>
      </c>
      <c r="J695" s="143" t="s">
        <v>389</v>
      </c>
    </row>
    <row r="696" spans="9:10">
      <c r="I696" s="143" t="s">
        <v>747</v>
      </c>
      <c r="J696" s="143" t="s">
        <v>918</v>
      </c>
    </row>
    <row r="697" spans="9:10">
      <c r="I697" s="143" t="s">
        <v>748</v>
      </c>
      <c r="J697" s="143" t="s">
        <v>918</v>
      </c>
    </row>
    <row r="698" spans="9:10">
      <c r="I698" s="143" t="s">
        <v>749</v>
      </c>
      <c r="J698" s="143" t="s">
        <v>919</v>
      </c>
    </row>
    <row r="699" spans="9:10">
      <c r="I699" s="143" t="s">
        <v>602</v>
      </c>
      <c r="J699" s="143" t="s">
        <v>920</v>
      </c>
    </row>
    <row r="700" spans="9:10">
      <c r="I700" s="143" t="s">
        <v>603</v>
      </c>
      <c r="J700" s="143" t="s">
        <v>391</v>
      </c>
    </row>
    <row r="701" spans="9:10">
      <c r="I701" s="143" t="s">
        <v>607</v>
      </c>
      <c r="J701" s="143" t="s">
        <v>913</v>
      </c>
    </row>
    <row r="702" spans="9:10">
      <c r="I702" s="143" t="s">
        <v>609</v>
      </c>
      <c r="J702" s="143" t="s">
        <v>907</v>
      </c>
    </row>
    <row r="703" spans="9:10">
      <c r="I703" s="143" t="s">
        <v>610</v>
      </c>
      <c r="J703" s="143" t="s">
        <v>561</v>
      </c>
    </row>
    <row r="704" spans="9:10">
      <c r="I704" s="143" t="s">
        <v>750</v>
      </c>
      <c r="J704" s="143" t="s">
        <v>399</v>
      </c>
    </row>
    <row r="705" spans="9:10">
      <c r="I705" s="143" t="s">
        <v>615</v>
      </c>
      <c r="J705" s="143" t="s">
        <v>914</v>
      </c>
    </row>
    <row r="706" spans="9:10">
      <c r="I706" s="143" t="s">
        <v>767</v>
      </c>
      <c r="J706" s="143" t="s">
        <v>923</v>
      </c>
    </row>
    <row r="707" spans="9:10">
      <c r="I707" s="143" t="s">
        <v>629</v>
      </c>
      <c r="J707" s="143" t="s">
        <v>924</v>
      </c>
    </row>
    <row r="708" spans="9:10">
      <c r="I708" s="143" t="s">
        <v>773</v>
      </c>
      <c r="J708" s="143" t="s">
        <v>927</v>
      </c>
    </row>
    <row r="709" spans="9:10">
      <c r="I709" s="143" t="s">
        <v>675</v>
      </c>
      <c r="J709" s="143" t="s">
        <v>926</v>
      </c>
    </row>
    <row r="710" spans="9:10">
      <c r="I710" s="143" t="s">
        <v>780</v>
      </c>
      <c r="J710" s="143" t="s">
        <v>373</v>
      </c>
    </row>
    <row r="711" spans="9:10">
      <c r="I711" s="143" t="s">
        <v>781</v>
      </c>
      <c r="J711" s="143" t="s">
        <v>399</v>
      </c>
    </row>
    <row r="712" spans="9:10">
      <c r="I712" s="143" t="s">
        <v>782</v>
      </c>
      <c r="J712" s="143" t="s">
        <v>324</v>
      </c>
    </row>
    <row r="713" spans="9:10">
      <c r="I713" s="143" t="s">
        <v>783</v>
      </c>
      <c r="J713" s="143" t="s">
        <v>926</v>
      </c>
    </row>
    <row r="714" spans="9:10">
      <c r="I714" s="143" t="s">
        <v>784</v>
      </c>
      <c r="J714" s="143" t="s">
        <v>926</v>
      </c>
    </row>
    <row r="715" spans="9:10">
      <c r="I715" s="143" t="s">
        <v>785</v>
      </c>
      <c r="J715" s="143" t="s">
        <v>335</v>
      </c>
    </row>
    <row r="716" spans="9:10">
      <c r="I716" s="143" t="s">
        <v>786</v>
      </c>
      <c r="J716" s="143" t="s">
        <v>908</v>
      </c>
    </row>
    <row r="717" spans="9:10">
      <c r="I717" s="143" t="s">
        <v>787</v>
      </c>
      <c r="J717" s="143" t="s">
        <v>930</v>
      </c>
    </row>
    <row r="718" spans="9:10">
      <c r="I718" s="143" t="s">
        <v>788</v>
      </c>
      <c r="J718" s="143" t="s">
        <v>389</v>
      </c>
    </row>
    <row r="719" spans="9:10">
      <c r="I719" s="143" t="s">
        <v>789</v>
      </c>
      <c r="J719" s="143" t="s">
        <v>561</v>
      </c>
    </row>
    <row r="720" spans="9:10">
      <c r="I720" s="143" t="s">
        <v>790</v>
      </c>
      <c r="J720" s="143" t="s">
        <v>373</v>
      </c>
    </row>
    <row r="721" spans="9:10">
      <c r="I721" s="143" t="s">
        <v>791</v>
      </c>
      <c r="J721" s="143" t="s">
        <v>391</v>
      </c>
    </row>
    <row r="722" spans="9:10">
      <c r="I722" s="143" t="s">
        <v>792</v>
      </c>
      <c r="J722" s="143" t="s">
        <v>914</v>
      </c>
    </row>
    <row r="723" spans="9:10">
      <c r="I723" s="143" t="s">
        <v>793</v>
      </c>
      <c r="J723" s="143" t="s">
        <v>931</v>
      </c>
    </row>
    <row r="724" spans="9:10">
      <c r="I724" s="143" t="s">
        <v>794</v>
      </c>
      <c r="J724" s="143" t="s">
        <v>916</v>
      </c>
    </row>
    <row r="725" spans="9:10">
      <c r="I725" s="143" t="s">
        <v>795</v>
      </c>
      <c r="J725" s="143" t="s">
        <v>350</v>
      </c>
    </row>
    <row r="726" spans="9:10">
      <c r="I726" s="143" t="s">
        <v>802</v>
      </c>
      <c r="J726" s="143" t="s">
        <v>933</v>
      </c>
    </row>
    <row r="727" spans="9:10">
      <c r="I727" s="143" t="s">
        <v>835</v>
      </c>
      <c r="J727" s="143" t="s">
        <v>350</v>
      </c>
    </row>
    <row r="728" spans="9:10">
      <c r="I728" s="143" t="s">
        <v>836</v>
      </c>
      <c r="J728" s="143" t="s">
        <v>350</v>
      </c>
    </row>
    <row r="729" spans="9:10">
      <c r="I729" s="143" t="s">
        <v>837</v>
      </c>
      <c r="J729" s="143" t="s">
        <v>399</v>
      </c>
    </row>
    <row r="730" spans="9:10">
      <c r="I730" s="143" t="s">
        <v>838</v>
      </c>
      <c r="J730" s="143" t="s">
        <v>912</v>
      </c>
    </row>
    <row r="731" spans="9:10">
      <c r="I731" s="143" t="s">
        <v>839</v>
      </c>
      <c r="J731" s="143" t="s">
        <v>399</v>
      </c>
    </row>
    <row r="732" spans="9:10">
      <c r="I732" s="143" t="s">
        <v>840</v>
      </c>
      <c r="J732" s="143" t="s">
        <v>350</v>
      </c>
    </row>
    <row r="733" spans="9:10">
      <c r="I733" s="143" t="s">
        <v>844</v>
      </c>
      <c r="J733" s="143" t="s">
        <v>357</v>
      </c>
    </row>
    <row r="734" spans="9:10">
      <c r="I734" s="143" t="s">
        <v>847</v>
      </c>
      <c r="J734" s="143" t="s">
        <v>302</v>
      </c>
    </row>
    <row r="735" spans="9:10">
      <c r="I735" s="143" t="s">
        <v>848</v>
      </c>
      <c r="J735" s="143" t="s">
        <v>561</v>
      </c>
    </row>
    <row r="736" spans="9:10">
      <c r="I736" s="143" t="s">
        <v>849</v>
      </c>
      <c r="J736" s="143" t="s">
        <v>907</v>
      </c>
    </row>
    <row r="737" spans="9:10">
      <c r="I737" s="143" t="s">
        <v>850</v>
      </c>
      <c r="J737" s="143" t="s">
        <v>937</v>
      </c>
    </row>
    <row r="738" spans="9:10">
      <c r="I738" s="143" t="s">
        <v>852</v>
      </c>
      <c r="J738" s="143" t="s">
        <v>561</v>
      </c>
    </row>
    <row r="739" spans="9:10">
      <c r="I739" s="143" t="s">
        <v>853</v>
      </c>
      <c r="J739" s="143" t="s">
        <v>302</v>
      </c>
    </row>
    <row r="740" spans="9:10">
      <c r="I740" s="143" t="s">
        <v>854</v>
      </c>
      <c r="J740" s="143" t="s">
        <v>335</v>
      </c>
    </row>
    <row r="741" spans="9:10">
      <c r="I741" s="143" t="s">
        <v>855</v>
      </c>
      <c r="J741" s="143" t="s">
        <v>335</v>
      </c>
    </row>
    <row r="742" spans="9:10">
      <c r="I742" s="143" t="s">
        <v>856</v>
      </c>
      <c r="J742" s="143" t="s">
        <v>350</v>
      </c>
    </row>
    <row r="743" spans="9:10">
      <c r="I743" s="143" t="s">
        <v>857</v>
      </c>
      <c r="J743" s="143" t="s">
        <v>350</v>
      </c>
    </row>
    <row r="744" spans="9:10">
      <c r="I744" s="143" t="s">
        <v>858</v>
      </c>
      <c r="J744" s="143" t="s">
        <v>350</v>
      </c>
    </row>
    <row r="745" spans="9:10">
      <c r="I745" s="143" t="s">
        <v>861</v>
      </c>
      <c r="J745" s="143" t="s">
        <v>915</v>
      </c>
    </row>
    <row r="746" spans="9:10">
      <c r="I746" s="143" t="s">
        <v>866</v>
      </c>
      <c r="J746" s="143" t="s">
        <v>357</v>
      </c>
    </row>
    <row r="747" spans="9:10">
      <c r="I747" s="143" t="s">
        <v>870</v>
      </c>
      <c r="J747" s="143" t="s">
        <v>302</v>
      </c>
    </row>
    <row r="748" spans="9:10">
      <c r="I748" s="143" t="s">
        <v>871</v>
      </c>
      <c r="J748" s="143" t="s">
        <v>350</v>
      </c>
    </row>
    <row r="749" spans="9:10">
      <c r="I749" s="143" t="s">
        <v>886</v>
      </c>
      <c r="J749" s="143" t="s">
        <v>940</v>
      </c>
    </row>
    <row r="750" spans="9:10">
      <c r="I750" s="143" t="s">
        <v>894</v>
      </c>
      <c r="J750" s="143" t="s">
        <v>943</v>
      </c>
    </row>
    <row r="751" spans="9:10">
      <c r="I751" s="143" t="s">
        <v>900</v>
      </c>
      <c r="J751" s="143" t="s">
        <v>944</v>
      </c>
    </row>
    <row r="752" spans="9:10">
      <c r="I752" s="143" t="s">
        <v>901</v>
      </c>
      <c r="J752" s="143" t="s">
        <v>944</v>
      </c>
    </row>
    <row r="753" spans="9:16">
      <c r="I753" s="143" t="s">
        <v>903</v>
      </c>
      <c r="J753" s="143" t="s">
        <v>350</v>
      </c>
    </row>
    <row r="754" spans="9:16">
      <c r="I754" s="143" t="s">
        <v>906</v>
      </c>
      <c r="J754" s="143" t="s">
        <v>945</v>
      </c>
    </row>
    <row r="755" spans="9:16">
      <c r="P755" s="149" t="s">
        <v>565</v>
      </c>
    </row>
    <row r="756" spans="9:16">
      <c r="I756" s="149" t="s">
        <v>565</v>
      </c>
      <c r="P756" s="150" t="s">
        <v>569</v>
      </c>
    </row>
    <row r="757" spans="9:16">
      <c r="I757" s="150" t="s">
        <v>569</v>
      </c>
      <c r="P757" s="149" t="s">
        <v>740</v>
      </c>
    </row>
    <row r="758" spans="9:16">
      <c r="I758" s="149" t="s">
        <v>740</v>
      </c>
      <c r="P758" s="149" t="s">
        <v>541</v>
      </c>
    </row>
    <row r="759" spans="9:16">
      <c r="I759" s="149" t="s">
        <v>541</v>
      </c>
      <c r="P759" s="149" t="s">
        <v>542</v>
      </c>
    </row>
    <row r="760" spans="9:16">
      <c r="I760" s="149" t="s">
        <v>542</v>
      </c>
      <c r="P760" s="149" t="s">
        <v>734</v>
      </c>
    </row>
    <row r="761" spans="9:16">
      <c r="I761" s="149" t="s">
        <v>734</v>
      </c>
      <c r="P761" s="149" t="s">
        <v>735</v>
      </c>
    </row>
    <row r="762" spans="9:16">
      <c r="I762" s="149" t="s">
        <v>735</v>
      </c>
      <c r="P762" s="149" t="s">
        <v>392</v>
      </c>
    </row>
    <row r="763" spans="9:16">
      <c r="I763" s="149" t="s">
        <v>392</v>
      </c>
      <c r="P763" s="149" t="s">
        <v>388</v>
      </c>
    </row>
    <row r="764" spans="9:16">
      <c r="I764" s="149" t="s">
        <v>388</v>
      </c>
      <c r="P764" s="151" t="s">
        <v>453</v>
      </c>
    </row>
    <row r="765" spans="9:16">
      <c r="I765" s="151" t="s">
        <v>453</v>
      </c>
      <c r="P765" s="149" t="s">
        <v>726</v>
      </c>
    </row>
    <row r="766" spans="9:16">
      <c r="I766" s="149" t="s">
        <v>726</v>
      </c>
      <c r="P766" s="152" t="s">
        <v>554</v>
      </c>
    </row>
    <row r="767" spans="9:16">
      <c r="I767" s="152" t="s">
        <v>554</v>
      </c>
      <c r="P767" s="152" t="s">
        <v>555</v>
      </c>
    </row>
    <row r="768" spans="9:16">
      <c r="I768" s="152" t="s">
        <v>555</v>
      </c>
      <c r="P768" s="149" t="s">
        <v>607</v>
      </c>
    </row>
    <row r="769" spans="9:16">
      <c r="I769" s="149" t="s">
        <v>607</v>
      </c>
      <c r="P769" s="149" t="s">
        <v>603</v>
      </c>
    </row>
    <row r="770" spans="9:16">
      <c r="I770" s="149" t="s">
        <v>603</v>
      </c>
      <c r="P770" s="149" t="s">
        <v>609</v>
      </c>
    </row>
    <row r="771" spans="9:16">
      <c r="I771" s="149" t="s">
        <v>609</v>
      </c>
      <c r="P771" s="149" t="s">
        <v>610</v>
      </c>
    </row>
    <row r="772" spans="9:16">
      <c r="I772" s="149" t="s">
        <v>610</v>
      </c>
      <c r="P772" s="149" t="s">
        <v>602</v>
      </c>
    </row>
    <row r="773" spans="9:16">
      <c r="I773" s="149" t="s">
        <v>602</v>
      </c>
      <c r="P773" s="149" t="s">
        <v>750</v>
      </c>
    </row>
    <row r="774" spans="9:16">
      <c r="I774" s="149" t="s">
        <v>750</v>
      </c>
      <c r="P774" s="149" t="s">
        <v>615</v>
      </c>
    </row>
    <row r="775" spans="9:16">
      <c r="I775" s="149" t="s">
        <v>615</v>
      </c>
      <c r="P775" s="149" t="s">
        <v>555</v>
      </c>
    </row>
    <row r="776" spans="9:16">
      <c r="I776" s="149" t="s">
        <v>555</v>
      </c>
      <c r="P776" s="149" t="s">
        <v>794</v>
      </c>
    </row>
    <row r="777" spans="9:16">
      <c r="I777" s="149" t="s">
        <v>794</v>
      </c>
      <c r="P777" s="149" t="s">
        <v>793</v>
      </c>
    </row>
    <row r="778" spans="9:16">
      <c r="I778" s="149" t="s">
        <v>793</v>
      </c>
      <c r="P778" s="152" t="s">
        <v>783</v>
      </c>
    </row>
    <row r="779" spans="9:16">
      <c r="I779" s="152" t="s">
        <v>783</v>
      </c>
      <c r="P779" s="149" t="s">
        <v>802</v>
      </c>
    </row>
    <row r="780" spans="9:16">
      <c r="I780" s="149" t="s">
        <v>802</v>
      </c>
      <c r="P780" s="149" t="s">
        <v>792</v>
      </c>
    </row>
    <row r="781" spans="9:16">
      <c r="I781" s="149" t="s">
        <v>792</v>
      </c>
      <c r="P781" s="149" t="s">
        <v>795</v>
      </c>
    </row>
    <row r="782" spans="9:16">
      <c r="I782" s="149" t="s">
        <v>795</v>
      </c>
      <c r="P782" s="152" t="s">
        <v>784</v>
      </c>
    </row>
    <row r="783" spans="9:16">
      <c r="I783" s="152" t="s">
        <v>784</v>
      </c>
      <c r="P783" s="152" t="s">
        <v>780</v>
      </c>
    </row>
    <row r="784" spans="9:16">
      <c r="I784" s="152" t="s">
        <v>780</v>
      </c>
      <c r="P784" s="149" t="s">
        <v>839</v>
      </c>
    </row>
    <row r="785" spans="9:16">
      <c r="I785" s="149" t="s">
        <v>839</v>
      </c>
      <c r="P785" s="149" t="s">
        <v>837</v>
      </c>
    </row>
    <row r="786" spans="9:16">
      <c r="I786" s="149" t="s">
        <v>837</v>
      </c>
      <c r="P786" s="149" t="s">
        <v>838</v>
      </c>
    </row>
    <row r="787" spans="9:16">
      <c r="I787" s="149" t="s">
        <v>838</v>
      </c>
      <c r="P787" s="149" t="s">
        <v>840</v>
      </c>
    </row>
    <row r="788" spans="9:16">
      <c r="I788" s="149" t="s">
        <v>840</v>
      </c>
      <c r="P788" s="149" t="s">
        <v>844</v>
      </c>
    </row>
    <row r="789" spans="9:16">
      <c r="I789" s="149" t="s">
        <v>844</v>
      </c>
      <c r="P789" s="149" t="s">
        <v>847</v>
      </c>
    </row>
    <row r="790" spans="9:16">
      <c r="I790" s="149" t="s">
        <v>847</v>
      </c>
      <c r="P790" s="149" t="s">
        <v>849</v>
      </c>
    </row>
    <row r="791" spans="9:16">
      <c r="I791" s="149" t="s">
        <v>849</v>
      </c>
      <c r="P791" s="149" t="s">
        <v>870</v>
      </c>
    </row>
    <row r="792" spans="9:16">
      <c r="I792" s="149" t="s">
        <v>870</v>
      </c>
      <c r="P792" s="149" t="s">
        <v>871</v>
      </c>
    </row>
    <row r="793" spans="9:16">
      <c r="I793" s="149" t="s">
        <v>871</v>
      </c>
      <c r="P793" s="149" t="s">
        <v>861</v>
      </c>
    </row>
    <row r="794" spans="9:16">
      <c r="I794" s="149" t="s">
        <v>861</v>
      </c>
      <c r="P794" s="149" t="s">
        <v>866</v>
      </c>
    </row>
    <row r="795" spans="9:16">
      <c r="I795" s="149" t="s">
        <v>866</v>
      </c>
      <c r="P795" s="149" t="s">
        <v>858</v>
      </c>
    </row>
    <row r="796" spans="9:16">
      <c r="I796" s="149" t="s">
        <v>858</v>
      </c>
      <c r="P796" s="149" t="s">
        <v>855</v>
      </c>
    </row>
    <row r="797" spans="9:16">
      <c r="I797" s="149" t="s">
        <v>855</v>
      </c>
      <c r="P797" s="149" t="s">
        <v>854</v>
      </c>
    </row>
    <row r="798" spans="9:16">
      <c r="I798" s="149" t="s">
        <v>854</v>
      </c>
      <c r="P798" s="149" t="s">
        <v>857</v>
      </c>
    </row>
    <row r="799" spans="9:16">
      <c r="I799" s="149" t="s">
        <v>857</v>
      </c>
      <c r="P799" s="149" t="s">
        <v>856</v>
      </c>
    </row>
    <row r="800" spans="9:16">
      <c r="I800" s="149" t="s">
        <v>856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949</v>
      </c>
    </row>
    <row r="806" spans="9:17">
      <c r="L806" s="143" t="s">
        <v>726</v>
      </c>
    </row>
    <row r="807" spans="9:17">
      <c r="L807" s="143" t="s">
        <v>565</v>
      </c>
    </row>
    <row r="808" spans="9:17">
      <c r="L808" s="143" t="s">
        <v>569</v>
      </c>
    </row>
    <row r="809" spans="9:17">
      <c r="L809" s="143" t="s">
        <v>541</v>
      </c>
    </row>
    <row r="810" spans="9:17">
      <c r="L810" s="143" t="s">
        <v>542</v>
      </c>
    </row>
    <row r="811" spans="9:17">
      <c r="L811" s="143" t="s">
        <v>734</v>
      </c>
    </row>
    <row r="812" spans="9:17">
      <c r="L812" s="143" t="s">
        <v>735</v>
      </c>
    </row>
    <row r="813" spans="9:17">
      <c r="L813" s="143" t="s">
        <v>736</v>
      </c>
      <c r="Q813" s="143" t="s">
        <v>736</v>
      </c>
    </row>
    <row r="814" spans="9:17">
      <c r="L814" s="143" t="s">
        <v>738</v>
      </c>
      <c r="Q814" s="143" t="s">
        <v>738</v>
      </c>
    </row>
    <row r="815" spans="9:17">
      <c r="L815" s="143" t="s">
        <v>740</v>
      </c>
      <c r="Q815" s="143" t="s">
        <v>136</v>
      </c>
    </row>
    <row r="816" spans="9:17">
      <c r="L816" s="143" t="s">
        <v>136</v>
      </c>
      <c r="Q816" s="143" t="s">
        <v>554</v>
      </c>
    </row>
    <row r="817" spans="12:17">
      <c r="L817" s="143" t="s">
        <v>388</v>
      </c>
      <c r="Q817" s="143" t="s">
        <v>557</v>
      </c>
    </row>
    <row r="818" spans="12:17">
      <c r="L818" s="143" t="s">
        <v>392</v>
      </c>
      <c r="Q818" s="143" t="s">
        <v>744</v>
      </c>
    </row>
    <row r="819" spans="12:17">
      <c r="L819" s="143" t="s">
        <v>554</v>
      </c>
      <c r="Q819" s="143" t="s">
        <v>558</v>
      </c>
    </row>
    <row r="820" spans="12:17">
      <c r="L820" s="143" t="s">
        <v>555</v>
      </c>
      <c r="Q820" s="143" t="s">
        <v>445</v>
      </c>
    </row>
    <row r="821" spans="12:17">
      <c r="L821" s="143" t="s">
        <v>557</v>
      </c>
      <c r="Q821" s="143" t="s">
        <v>453</v>
      </c>
    </row>
    <row r="822" spans="12:17">
      <c r="L822" s="143" t="s">
        <v>744</v>
      </c>
      <c r="Q822" s="143" t="s">
        <v>745</v>
      </c>
    </row>
    <row r="823" spans="12:17">
      <c r="L823" s="143" t="s">
        <v>558</v>
      </c>
      <c r="Q823" s="143" t="s">
        <v>746</v>
      </c>
    </row>
    <row r="824" spans="12:17">
      <c r="L824" s="143" t="s">
        <v>445</v>
      </c>
      <c r="Q824" s="143" t="s">
        <v>455</v>
      </c>
    </row>
    <row r="825" spans="12:17">
      <c r="L825" s="143" t="s">
        <v>453</v>
      </c>
      <c r="Q825" s="143" t="s">
        <v>450</v>
      </c>
    </row>
    <row r="826" spans="12:17">
      <c r="L826" s="143" t="s">
        <v>745</v>
      </c>
      <c r="Q826" s="143" t="s">
        <v>361</v>
      </c>
    </row>
    <row r="827" spans="12:17">
      <c r="L827" s="143" t="s">
        <v>746</v>
      </c>
      <c r="Q827" s="143" t="s">
        <v>360</v>
      </c>
    </row>
    <row r="828" spans="12:17">
      <c r="L828" s="143" t="s">
        <v>455</v>
      </c>
      <c r="Q828" s="143" t="s">
        <v>747</v>
      </c>
    </row>
    <row r="829" spans="12:17">
      <c r="L829" s="143" t="s">
        <v>450</v>
      </c>
      <c r="Q829" s="143" t="s">
        <v>748</v>
      </c>
    </row>
    <row r="830" spans="12:17">
      <c r="L830" s="143" t="s">
        <v>361</v>
      </c>
      <c r="Q830" s="143" t="s">
        <v>749</v>
      </c>
    </row>
    <row r="831" spans="12:17">
      <c r="L831" s="143" t="s">
        <v>360</v>
      </c>
      <c r="Q831" s="143" t="s">
        <v>767</v>
      </c>
    </row>
    <row r="832" spans="12:17">
      <c r="L832" s="143" t="s">
        <v>747</v>
      </c>
      <c r="Q832" s="143" t="s">
        <v>629</v>
      </c>
    </row>
    <row r="833" spans="12:17">
      <c r="L833" s="143" t="s">
        <v>748</v>
      </c>
      <c r="Q833" s="143" t="s">
        <v>773</v>
      </c>
    </row>
    <row r="834" spans="12:17">
      <c r="L834" s="143" t="s">
        <v>749</v>
      </c>
      <c r="Q834" s="143" t="s">
        <v>675</v>
      </c>
    </row>
    <row r="835" spans="12:17">
      <c r="L835" s="143" t="s">
        <v>602</v>
      </c>
      <c r="Q835" s="143" t="s">
        <v>785</v>
      </c>
    </row>
    <row r="836" spans="12:17">
      <c r="L836" s="143" t="s">
        <v>603</v>
      </c>
      <c r="Q836" s="143" t="s">
        <v>786</v>
      </c>
    </row>
    <row r="837" spans="12:17">
      <c r="L837" s="143" t="s">
        <v>607</v>
      </c>
      <c r="Q837" s="143" t="s">
        <v>787</v>
      </c>
    </row>
    <row r="838" spans="12:17">
      <c r="L838" s="143" t="s">
        <v>609</v>
      </c>
      <c r="Q838" s="143" t="s">
        <v>788</v>
      </c>
    </row>
    <row r="839" spans="12:17">
      <c r="L839" s="143" t="s">
        <v>610</v>
      </c>
      <c r="Q839" s="143" t="s">
        <v>789</v>
      </c>
    </row>
    <row r="840" spans="12:17">
      <c r="L840" s="143" t="s">
        <v>750</v>
      </c>
      <c r="Q840" s="143" t="s">
        <v>835</v>
      </c>
    </row>
    <row r="841" spans="12:17">
      <c r="L841" s="143" t="s">
        <v>615</v>
      </c>
      <c r="Q841" s="143" t="s">
        <v>836</v>
      </c>
    </row>
    <row r="842" spans="12:17">
      <c r="L842" s="143" t="s">
        <v>767</v>
      </c>
      <c r="Q842" s="143" t="s">
        <v>850</v>
      </c>
    </row>
    <row r="843" spans="12:17">
      <c r="L843" s="143" t="s">
        <v>629</v>
      </c>
      <c r="Q843" s="143" t="s">
        <v>852</v>
      </c>
    </row>
    <row r="844" spans="12:17">
      <c r="L844" s="143" t="s">
        <v>773</v>
      </c>
      <c r="Q844" s="143" t="s">
        <v>886</v>
      </c>
    </row>
    <row r="845" spans="12:17">
      <c r="L845" s="143" t="s">
        <v>675</v>
      </c>
      <c r="Q845" s="143" t="s">
        <v>894</v>
      </c>
    </row>
    <row r="846" spans="12:17">
      <c r="L846" s="143" t="s">
        <v>780</v>
      </c>
      <c r="Q846" s="143" t="s">
        <v>900</v>
      </c>
    </row>
    <row r="847" spans="12:17">
      <c r="L847" s="143" t="s">
        <v>781</v>
      </c>
      <c r="Q847" s="143" t="s">
        <v>901</v>
      </c>
    </row>
    <row r="848" spans="12:17">
      <c r="L848" s="143" t="s">
        <v>782</v>
      </c>
      <c r="Q848" s="143" t="s">
        <v>903</v>
      </c>
    </row>
    <row r="849" spans="12:17">
      <c r="L849" s="143" t="s">
        <v>783</v>
      </c>
      <c r="Q849" s="143" t="s">
        <v>906</v>
      </c>
    </row>
    <row r="850" spans="12:17">
      <c r="L850" s="143" t="s">
        <v>784</v>
      </c>
    </row>
    <row r="851" spans="12:17">
      <c r="L851" s="143" t="s">
        <v>785</v>
      </c>
    </row>
    <row r="852" spans="12:17">
      <c r="L852" s="143" t="s">
        <v>786</v>
      </c>
    </row>
    <row r="853" spans="12:17">
      <c r="L853" s="143" t="s">
        <v>787</v>
      </c>
    </row>
    <row r="854" spans="12:17">
      <c r="L854" s="143" t="s">
        <v>788</v>
      </c>
    </row>
    <row r="855" spans="12:17">
      <c r="L855" s="143" t="s">
        <v>789</v>
      </c>
    </row>
    <row r="856" spans="12:17">
      <c r="L856" s="143" t="s">
        <v>790</v>
      </c>
    </row>
    <row r="857" spans="12:17">
      <c r="L857" s="143" t="s">
        <v>791</v>
      </c>
    </row>
    <row r="858" spans="12:17">
      <c r="L858" s="143" t="s">
        <v>792</v>
      </c>
    </row>
    <row r="859" spans="12:17">
      <c r="L859" s="143" t="s">
        <v>793</v>
      </c>
    </row>
    <row r="860" spans="12:17">
      <c r="L860" s="143" t="s">
        <v>794</v>
      </c>
    </row>
    <row r="861" spans="12:17">
      <c r="L861" s="143" t="s">
        <v>795</v>
      </c>
    </row>
    <row r="862" spans="12:17">
      <c r="L862" s="143" t="s">
        <v>802</v>
      </c>
    </row>
    <row r="863" spans="12:17">
      <c r="L863" s="143" t="s">
        <v>835</v>
      </c>
    </row>
    <row r="864" spans="12:17">
      <c r="L864" s="143" t="s">
        <v>836</v>
      </c>
    </row>
    <row r="865" spans="12:12">
      <c r="L865" s="143" t="s">
        <v>837</v>
      </c>
    </row>
    <row r="866" spans="12:12">
      <c r="L866" s="143" t="s">
        <v>838</v>
      </c>
    </row>
    <row r="867" spans="12:12">
      <c r="L867" s="143" t="s">
        <v>839</v>
      </c>
    </row>
    <row r="868" spans="12:12">
      <c r="L868" s="143" t="s">
        <v>840</v>
      </c>
    </row>
    <row r="869" spans="12:12">
      <c r="L869" s="143" t="s">
        <v>844</v>
      </c>
    </row>
    <row r="870" spans="12:12">
      <c r="L870" s="143" t="s">
        <v>847</v>
      </c>
    </row>
    <row r="871" spans="12:12">
      <c r="L871" s="143" t="s">
        <v>848</v>
      </c>
    </row>
    <row r="872" spans="12:12">
      <c r="L872" s="143" t="s">
        <v>849</v>
      </c>
    </row>
    <row r="873" spans="12:12">
      <c r="L873" s="143" t="s">
        <v>850</v>
      </c>
    </row>
    <row r="874" spans="12:12">
      <c r="L874" s="143" t="s">
        <v>852</v>
      </c>
    </row>
    <row r="875" spans="12:12">
      <c r="L875" s="143" t="s">
        <v>853</v>
      </c>
    </row>
    <row r="876" spans="12:12">
      <c r="L876" s="143" t="s">
        <v>854</v>
      </c>
    </row>
    <row r="877" spans="12:12">
      <c r="L877" s="143" t="s">
        <v>855</v>
      </c>
    </row>
    <row r="878" spans="12:12">
      <c r="L878" s="143" t="s">
        <v>856</v>
      </c>
    </row>
    <row r="879" spans="12:12">
      <c r="L879" s="143" t="s">
        <v>857</v>
      </c>
    </row>
    <row r="880" spans="12:12">
      <c r="L880" s="143" t="s">
        <v>858</v>
      </c>
    </row>
    <row r="881" spans="12:12">
      <c r="L881" s="143" t="s">
        <v>861</v>
      </c>
    </row>
    <row r="882" spans="12:12">
      <c r="L882" s="143" t="s">
        <v>866</v>
      </c>
    </row>
    <row r="883" spans="12:12">
      <c r="L883" s="143" t="s">
        <v>870</v>
      </c>
    </row>
    <row r="884" spans="12:12">
      <c r="L884" s="143" t="s">
        <v>871</v>
      </c>
    </row>
    <row r="885" spans="12:12">
      <c r="L885" s="143" t="s">
        <v>886</v>
      </c>
    </row>
    <row r="886" spans="12:12">
      <c r="L886" s="143" t="s">
        <v>894</v>
      </c>
    </row>
    <row r="887" spans="12:12">
      <c r="L887" s="143" t="s">
        <v>900</v>
      </c>
    </row>
    <row r="888" spans="12:12">
      <c r="L888" s="143" t="s">
        <v>901</v>
      </c>
    </row>
    <row r="889" spans="12:12">
      <c r="L889" s="143" t="s">
        <v>903</v>
      </c>
    </row>
    <row r="890" spans="12:12">
      <c r="L890" s="143" t="s">
        <v>906</v>
      </c>
    </row>
    <row r="892" spans="12:12">
      <c r="L892" s="146" t="s">
        <v>565</v>
      </c>
    </row>
    <row r="893" spans="12:12">
      <c r="L893" s="147" t="s">
        <v>569</v>
      </c>
    </row>
    <row r="894" spans="12:12">
      <c r="L894" s="146" t="s">
        <v>740</v>
      </c>
    </row>
    <row r="895" spans="12:12">
      <c r="L895" s="146" t="s">
        <v>541</v>
      </c>
    </row>
    <row r="896" spans="12:12">
      <c r="L896" s="146" t="s">
        <v>542</v>
      </c>
    </row>
    <row r="897" spans="12:12">
      <c r="L897" s="146" t="s">
        <v>734</v>
      </c>
    </row>
    <row r="898" spans="12:12">
      <c r="L898" s="146" t="s">
        <v>735</v>
      </c>
    </row>
    <row r="899" spans="12:12">
      <c r="L899" s="146" t="s">
        <v>388</v>
      </c>
    </row>
    <row r="900" spans="12:12">
      <c r="L900" s="146" t="s">
        <v>392</v>
      </c>
    </row>
    <row r="901" spans="12:12">
      <c r="L901" s="146" t="s">
        <v>726</v>
      </c>
    </row>
    <row r="902" spans="12:12">
      <c r="L902" s="146" t="s">
        <v>607</v>
      </c>
    </row>
    <row r="903" spans="12:12">
      <c r="L903" s="146" t="s">
        <v>603</v>
      </c>
    </row>
    <row r="904" spans="12:12">
      <c r="L904" s="146" t="s">
        <v>609</v>
      </c>
    </row>
    <row r="905" spans="12:12">
      <c r="L905" s="146" t="s">
        <v>610</v>
      </c>
    </row>
    <row r="906" spans="12:12">
      <c r="L906" s="146" t="s">
        <v>602</v>
      </c>
    </row>
    <row r="907" spans="12:12">
      <c r="L907" s="146" t="s">
        <v>750</v>
      </c>
    </row>
    <row r="908" spans="12:12">
      <c r="L908" s="146" t="s">
        <v>615</v>
      </c>
    </row>
    <row r="909" spans="12:12">
      <c r="L909" s="146" t="s">
        <v>555</v>
      </c>
    </row>
    <row r="910" spans="12:12">
      <c r="L910" s="146" t="s">
        <v>802</v>
      </c>
    </row>
    <row r="911" spans="12:12">
      <c r="L911" s="148" t="s">
        <v>791</v>
      </c>
    </row>
    <row r="912" spans="12:12">
      <c r="L912" s="148" t="s">
        <v>790</v>
      </c>
    </row>
    <row r="913" spans="12:12">
      <c r="L913" s="146" t="s">
        <v>794</v>
      </c>
    </row>
    <row r="914" spans="12:12">
      <c r="L914" s="146" t="s">
        <v>793</v>
      </c>
    </row>
    <row r="915" spans="12:12">
      <c r="L915" s="29" t="s">
        <v>783</v>
      </c>
    </row>
    <row r="916" spans="12:12">
      <c r="L916" s="146" t="s">
        <v>792</v>
      </c>
    </row>
    <row r="917" spans="12:12">
      <c r="L917" s="148" t="s">
        <v>780</v>
      </c>
    </row>
    <row r="918" spans="12:12">
      <c r="L918" s="148" t="s">
        <v>781</v>
      </c>
    </row>
    <row r="919" spans="12:12">
      <c r="L919" s="148" t="s">
        <v>782</v>
      </c>
    </row>
    <row r="920" spans="12:12">
      <c r="L920" s="146" t="s">
        <v>795</v>
      </c>
    </row>
    <row r="921" spans="12:12">
      <c r="L921" s="29" t="s">
        <v>784</v>
      </c>
    </row>
    <row r="922" spans="12:12">
      <c r="L922" s="29" t="s">
        <v>780</v>
      </c>
    </row>
    <row r="923" spans="12:12">
      <c r="L923" s="146" t="s">
        <v>839</v>
      </c>
    </row>
    <row r="924" spans="12:12">
      <c r="L924" s="146" t="s">
        <v>837</v>
      </c>
    </row>
    <row r="925" spans="12:12">
      <c r="L925" s="146" t="s">
        <v>838</v>
      </c>
    </row>
    <row r="926" spans="12:12">
      <c r="L926" s="146" t="s">
        <v>840</v>
      </c>
    </row>
    <row r="927" spans="12:12">
      <c r="L927" s="146" t="s">
        <v>844</v>
      </c>
    </row>
    <row r="928" spans="12:12">
      <c r="L928" s="148" t="s">
        <v>847</v>
      </c>
    </row>
    <row r="929" spans="12:12">
      <c r="L929" s="148" t="s">
        <v>848</v>
      </c>
    </row>
    <row r="930" spans="12:12">
      <c r="L930" s="148" t="s">
        <v>849</v>
      </c>
    </row>
    <row r="931" spans="12:12">
      <c r="L931" s="146" t="s">
        <v>870</v>
      </c>
    </row>
    <row r="932" spans="12:12">
      <c r="L932" s="146" t="s">
        <v>858</v>
      </c>
    </row>
    <row r="933" spans="12:12">
      <c r="L933" s="146" t="s">
        <v>861</v>
      </c>
    </row>
    <row r="934" spans="12:12">
      <c r="L934" s="146" t="s">
        <v>866</v>
      </c>
    </row>
    <row r="935" spans="12:12">
      <c r="L935" s="146" t="s">
        <v>871</v>
      </c>
    </row>
    <row r="936" spans="12:12">
      <c r="L936" s="146" t="s">
        <v>855</v>
      </c>
    </row>
    <row r="937" spans="12:12">
      <c r="L937" s="146" t="s">
        <v>854</v>
      </c>
    </row>
    <row r="938" spans="12:12">
      <c r="L938" s="146" t="s">
        <v>856</v>
      </c>
    </row>
    <row r="939" spans="12:12">
      <c r="L939" s="146" t="s">
        <v>857</v>
      </c>
    </row>
    <row r="940" spans="12:12">
      <c r="L940" s="146" t="s">
        <v>853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950</v>
      </c>
    </row>
    <row r="4" spans="2:2" hidden="1">
      <c r="B4" t="s">
        <v>685</v>
      </c>
    </row>
    <row r="5" spans="2:2" hidden="1">
      <c r="B5" t="s">
        <v>710</v>
      </c>
    </row>
    <row r="6" spans="2:2" hidden="1">
      <c r="B6" t="s">
        <v>519</v>
      </c>
    </row>
    <row r="7" spans="2:2" hidden="1">
      <c r="B7" t="s">
        <v>520</v>
      </c>
    </row>
    <row r="8" spans="2:2" hidden="1">
      <c r="B8" t="s">
        <v>521</v>
      </c>
    </row>
    <row r="9" spans="2:2" hidden="1">
      <c r="B9" t="s">
        <v>711</v>
      </c>
    </row>
    <row r="10" spans="2:2" hidden="1">
      <c r="B10" t="s">
        <v>712</v>
      </c>
    </row>
    <row r="11" spans="2:2" hidden="1">
      <c r="B11" t="s">
        <v>522</v>
      </c>
    </row>
    <row r="12" spans="2:2">
      <c r="B12" t="s">
        <v>713</v>
      </c>
    </row>
    <row r="13" spans="2:2" hidden="1">
      <c r="B13" t="s">
        <v>714</v>
      </c>
    </row>
    <row r="14" spans="2:2" hidden="1">
      <c r="B14" t="s">
        <v>715</v>
      </c>
    </row>
    <row r="15" spans="2:2" hidden="1">
      <c r="B15" t="s">
        <v>686</v>
      </c>
    </row>
    <row r="16" spans="2:2" hidden="1">
      <c r="B16" t="s">
        <v>716</v>
      </c>
    </row>
    <row r="17" spans="2:2" hidden="1">
      <c r="B17" t="s">
        <v>717</v>
      </c>
    </row>
    <row r="18" spans="2:2" hidden="1">
      <c r="B18" t="s">
        <v>687</v>
      </c>
    </row>
    <row r="19" spans="2:2">
      <c r="B19" t="s">
        <v>523</v>
      </c>
    </row>
    <row r="20" spans="2:2">
      <c r="B20" t="s">
        <v>718</v>
      </c>
    </row>
    <row r="21" spans="2:2" hidden="1">
      <c r="B21" t="s">
        <v>688</v>
      </c>
    </row>
    <row r="22" spans="2:2" hidden="1">
      <c r="B22" t="s">
        <v>689</v>
      </c>
    </row>
    <row r="23" spans="2:2" hidden="1">
      <c r="B23" t="s">
        <v>719</v>
      </c>
    </row>
    <row r="24" spans="2:2" hidden="1">
      <c r="B24" t="s">
        <v>720</v>
      </c>
    </row>
    <row r="25" spans="2:2" hidden="1">
      <c r="B25" t="s">
        <v>721</v>
      </c>
    </row>
    <row r="26" spans="2:2" hidden="1">
      <c r="B26" t="s">
        <v>722</v>
      </c>
    </row>
    <row r="27" spans="2:2">
      <c r="B27" t="s">
        <v>723</v>
      </c>
    </row>
    <row r="28" spans="2:2">
      <c r="B28" t="s">
        <v>724</v>
      </c>
    </row>
    <row r="29" spans="2:2" hidden="1">
      <c r="B29" t="s">
        <v>725</v>
      </c>
    </row>
    <row r="30" spans="2:2">
      <c r="B30" t="s">
        <v>272</v>
      </c>
    </row>
    <row r="31" spans="2:2">
      <c r="B31" t="s">
        <v>526</v>
      </c>
    </row>
    <row r="32" spans="2:2">
      <c r="B32" t="s">
        <v>527</v>
      </c>
    </row>
    <row r="33" spans="2:2">
      <c r="B33" t="s">
        <v>277</v>
      </c>
    </row>
    <row r="34" spans="2:2">
      <c r="B34" t="s">
        <v>727</v>
      </c>
    </row>
    <row r="35" spans="2:2">
      <c r="B35" t="s">
        <v>728</v>
      </c>
    </row>
    <row r="36" spans="2:2">
      <c r="B36" t="s">
        <v>729</v>
      </c>
    </row>
    <row r="37" spans="2:2" hidden="1">
      <c r="B37" t="s">
        <v>730</v>
      </c>
    </row>
    <row r="38" spans="2:2" hidden="1">
      <c r="B38" t="s">
        <v>690</v>
      </c>
    </row>
    <row r="39" spans="2:2">
      <c r="B39" t="s">
        <v>731</v>
      </c>
    </row>
    <row r="40" spans="2:2">
      <c r="B40" t="s">
        <v>732</v>
      </c>
    </row>
    <row r="41" spans="2:2">
      <c r="B41" t="s">
        <v>733</v>
      </c>
    </row>
    <row r="42" spans="2:2">
      <c r="B42" t="s">
        <v>135</v>
      </c>
    </row>
    <row r="43" spans="2:2">
      <c r="B43" t="s">
        <v>173</v>
      </c>
    </row>
    <row r="44" spans="2:2">
      <c r="B44" t="s">
        <v>167</v>
      </c>
    </row>
    <row r="45" spans="2:2" hidden="1">
      <c r="B45" t="s">
        <v>543</v>
      </c>
    </row>
    <row r="46" spans="2:2" hidden="1">
      <c r="B46" t="s">
        <v>737</v>
      </c>
    </row>
    <row r="47" spans="2:2">
      <c r="B47" t="s">
        <v>545</v>
      </c>
    </row>
    <row r="48" spans="2:2">
      <c r="B48" t="s">
        <v>739</v>
      </c>
    </row>
    <row r="49" spans="2:2">
      <c r="B49" t="s">
        <v>442</v>
      </c>
    </row>
    <row r="50" spans="2:2">
      <c r="B50" t="s">
        <v>448</v>
      </c>
    </row>
    <row r="51" spans="2:2">
      <c r="B51" t="s">
        <v>378</v>
      </c>
    </row>
    <row r="52" spans="2:2">
      <c r="B52" t="s">
        <v>741</v>
      </c>
    </row>
    <row r="53" spans="2:2">
      <c r="B53" t="s">
        <v>372</v>
      </c>
    </row>
    <row r="54" spans="2:2" hidden="1">
      <c r="B54" t="s">
        <v>370</v>
      </c>
    </row>
    <row r="55" spans="2:2" hidden="1">
      <c r="B55" t="s">
        <v>742</v>
      </c>
    </row>
    <row r="56" spans="2:2" hidden="1">
      <c r="B56" t="s">
        <v>368</v>
      </c>
    </row>
    <row r="57" spans="2:2" hidden="1">
      <c r="B57" t="s">
        <v>691</v>
      </c>
    </row>
    <row r="58" spans="2:2" hidden="1">
      <c r="B58" t="s">
        <v>692</v>
      </c>
    </row>
    <row r="59" spans="2:2" hidden="1">
      <c r="B59" t="s">
        <v>369</v>
      </c>
    </row>
    <row r="60" spans="2:2" hidden="1">
      <c r="B60" t="s">
        <v>174</v>
      </c>
    </row>
    <row r="61" spans="2:2" hidden="1">
      <c r="B61" t="s">
        <v>137</v>
      </c>
    </row>
    <row r="62" spans="2:2">
      <c r="B62" t="s">
        <v>138</v>
      </c>
    </row>
    <row r="63" spans="2:2">
      <c r="B63" t="s">
        <v>139</v>
      </c>
    </row>
    <row r="64" spans="2:2">
      <c r="B64" t="s">
        <v>140</v>
      </c>
    </row>
    <row r="65" spans="2:2" hidden="1">
      <c r="B65" t="s">
        <v>168</v>
      </c>
    </row>
    <row r="66" spans="2:2" hidden="1">
      <c r="B66" t="s">
        <v>176</v>
      </c>
    </row>
    <row r="67" spans="2:2" hidden="1">
      <c r="B67" t="s">
        <v>177</v>
      </c>
    </row>
    <row r="68" spans="2:2" hidden="1">
      <c r="B68" t="s">
        <v>693</v>
      </c>
    </row>
    <row r="69" spans="2:2" hidden="1">
      <c r="B69" t="s">
        <v>743</v>
      </c>
    </row>
    <row r="70" spans="2:2" hidden="1">
      <c r="B70" t="s">
        <v>694</v>
      </c>
    </row>
    <row r="71" spans="2:2" hidden="1">
      <c r="B71" t="s">
        <v>462</v>
      </c>
    </row>
    <row r="72" spans="2:2" hidden="1">
      <c r="B72" t="s">
        <v>418</v>
      </c>
    </row>
    <row r="73" spans="2:2" hidden="1">
      <c r="B73" t="s">
        <v>400</v>
      </c>
    </row>
    <row r="74" spans="2:2">
      <c r="B74" t="s">
        <v>374</v>
      </c>
    </row>
    <row r="75" spans="2:2">
      <c r="B75" t="s">
        <v>549</v>
      </c>
    </row>
    <row r="76" spans="2:2" hidden="1">
      <c r="B76" t="s">
        <v>404</v>
      </c>
    </row>
    <row r="77" spans="2:2" hidden="1">
      <c r="B77" t="s">
        <v>407</v>
      </c>
    </row>
    <row r="78" spans="2:2" hidden="1">
      <c r="B78" t="s">
        <v>178</v>
      </c>
    </row>
    <row r="79" spans="2:2" hidden="1">
      <c r="B79" t="s">
        <v>179</v>
      </c>
    </row>
    <row r="80" spans="2:2" hidden="1">
      <c r="B80" t="s">
        <v>695</v>
      </c>
    </row>
    <row r="81" spans="2:2">
      <c r="B81" t="s">
        <v>551</v>
      </c>
    </row>
    <row r="82" spans="2:2" hidden="1">
      <c r="B82" t="s">
        <v>425</v>
      </c>
    </row>
    <row r="83" spans="2:2" hidden="1">
      <c r="B83" t="s">
        <v>423</v>
      </c>
    </row>
    <row r="84" spans="2:2" hidden="1">
      <c r="B84" t="s">
        <v>385</v>
      </c>
    </row>
    <row r="85" spans="2:2" hidden="1">
      <c r="B85" t="s">
        <v>180</v>
      </c>
    </row>
    <row r="86" spans="2:2" hidden="1">
      <c r="B86" t="s">
        <v>371</v>
      </c>
    </row>
    <row r="87" spans="2:2" hidden="1">
      <c r="B87" t="s">
        <v>383</v>
      </c>
    </row>
    <row r="88" spans="2:2">
      <c r="B88" t="s">
        <v>169</v>
      </c>
    </row>
    <row r="89" spans="2:2">
      <c r="B89" t="s">
        <v>586</v>
      </c>
    </row>
    <row r="90" spans="2:2">
      <c r="B90" t="s">
        <v>181</v>
      </c>
    </row>
    <row r="91" spans="2:2">
      <c r="B91" t="s">
        <v>165</v>
      </c>
    </row>
    <row r="92" spans="2:2">
      <c r="B92" t="s">
        <v>611</v>
      </c>
    </row>
    <row r="93" spans="2:2">
      <c r="B93" t="s">
        <v>751</v>
      </c>
    </row>
    <row r="94" spans="2:2">
      <c r="B94" t="s">
        <v>752</v>
      </c>
    </row>
    <row r="95" spans="2:2">
      <c r="B95" t="s">
        <v>753</v>
      </c>
    </row>
    <row r="96" spans="2:2">
      <c r="B96" t="s">
        <v>754</v>
      </c>
    </row>
    <row r="97" spans="2:2">
      <c r="B97" t="s">
        <v>182</v>
      </c>
    </row>
    <row r="98" spans="2:2">
      <c r="B98" t="s">
        <v>141</v>
      </c>
    </row>
    <row r="99" spans="2:2">
      <c r="B99" t="s">
        <v>614</v>
      </c>
    </row>
    <row r="100" spans="2:2">
      <c r="B100" t="s">
        <v>616</v>
      </c>
    </row>
    <row r="101" spans="2:2">
      <c r="B101" t="s">
        <v>621</v>
      </c>
    </row>
    <row r="102" spans="2:2">
      <c r="B102" t="s">
        <v>755</v>
      </c>
    </row>
    <row r="103" spans="2:2">
      <c r="B103" t="s">
        <v>756</v>
      </c>
    </row>
    <row r="104" spans="2:2">
      <c r="B104" t="s">
        <v>757</v>
      </c>
    </row>
    <row r="105" spans="2:2">
      <c r="B105" t="s">
        <v>758</v>
      </c>
    </row>
    <row r="106" spans="2:2">
      <c r="B106" t="s">
        <v>144</v>
      </c>
    </row>
    <row r="107" spans="2:2">
      <c r="B107" t="s">
        <v>759</v>
      </c>
    </row>
    <row r="108" spans="2:2">
      <c r="B108" t="s">
        <v>760</v>
      </c>
    </row>
    <row r="109" spans="2:2">
      <c r="B109" t="s">
        <v>761</v>
      </c>
    </row>
    <row r="110" spans="2:2" hidden="1">
      <c r="B110" t="s">
        <v>762</v>
      </c>
    </row>
    <row r="111" spans="2:2" hidden="1">
      <c r="B111" t="s">
        <v>696</v>
      </c>
    </row>
    <row r="112" spans="2:2" hidden="1">
      <c r="B112" t="s">
        <v>183</v>
      </c>
    </row>
    <row r="113" spans="2:2" hidden="1">
      <c r="B113" t="s">
        <v>763</v>
      </c>
    </row>
    <row r="114" spans="2:2" hidden="1">
      <c r="B114" t="s">
        <v>764</v>
      </c>
    </row>
    <row r="115" spans="2:2" hidden="1">
      <c r="B115" t="s">
        <v>765</v>
      </c>
    </row>
    <row r="116" spans="2:2" hidden="1">
      <c r="B116" t="s">
        <v>622</v>
      </c>
    </row>
    <row r="117" spans="2:2">
      <c r="B117" t="s">
        <v>623</v>
      </c>
    </row>
    <row r="118" spans="2:2" hidden="1">
      <c r="B118" t="s">
        <v>624</v>
      </c>
    </row>
    <row r="119" spans="2:2" hidden="1">
      <c r="B119" t="s">
        <v>145</v>
      </c>
    </row>
    <row r="120" spans="2:2">
      <c r="B120" t="s">
        <v>625</v>
      </c>
    </row>
    <row r="121" spans="2:2" hidden="1">
      <c r="B121" t="s">
        <v>146</v>
      </c>
    </row>
    <row r="122" spans="2:2" hidden="1">
      <c r="B122" t="s">
        <v>766</v>
      </c>
    </row>
    <row r="123" spans="2:2">
      <c r="B123" t="s">
        <v>768</v>
      </c>
    </row>
    <row r="124" spans="2:2">
      <c r="B124" t="s">
        <v>630</v>
      </c>
    </row>
    <row r="125" spans="2:2" hidden="1">
      <c r="B125" t="s">
        <v>769</v>
      </c>
    </row>
    <row r="126" spans="2:2" hidden="1">
      <c r="B126" t="s">
        <v>697</v>
      </c>
    </row>
    <row r="127" spans="2:2" hidden="1">
      <c r="B127" t="s">
        <v>698</v>
      </c>
    </row>
    <row r="128" spans="2:2" hidden="1">
      <c r="B128" t="s">
        <v>770</v>
      </c>
    </row>
    <row r="129" spans="2:2" hidden="1">
      <c r="B129" t="s">
        <v>699</v>
      </c>
    </row>
    <row r="130" spans="2:2" hidden="1">
      <c r="B130" t="s">
        <v>771</v>
      </c>
    </row>
    <row r="131" spans="2:2" hidden="1">
      <c r="B131" t="s">
        <v>184</v>
      </c>
    </row>
    <row r="132" spans="2:2" hidden="1">
      <c r="B132" t="s">
        <v>185</v>
      </c>
    </row>
    <row r="133" spans="2:2">
      <c r="B133" t="s">
        <v>186</v>
      </c>
    </row>
    <row r="134" spans="2:2" hidden="1">
      <c r="B134" t="s">
        <v>632</v>
      </c>
    </row>
    <row r="135" spans="2:2">
      <c r="B135" t="s">
        <v>147</v>
      </c>
    </row>
    <row r="136" spans="2:2">
      <c r="B136" t="s">
        <v>633</v>
      </c>
    </row>
    <row r="137" spans="2:2">
      <c r="B137" t="s">
        <v>635</v>
      </c>
    </row>
    <row r="138" spans="2:2">
      <c r="B138" t="s">
        <v>464</v>
      </c>
    </row>
    <row r="139" spans="2:2" hidden="1">
      <c r="B139" t="s">
        <v>641</v>
      </c>
    </row>
    <row r="140" spans="2:2">
      <c r="B140" t="s">
        <v>772</v>
      </c>
    </row>
    <row r="141" spans="2:2" hidden="1">
      <c r="B141" t="s">
        <v>774</v>
      </c>
    </row>
    <row r="142" spans="2:2" hidden="1">
      <c r="B142" t="s">
        <v>652</v>
      </c>
    </row>
    <row r="143" spans="2:2" hidden="1">
      <c r="B143" t="s">
        <v>148</v>
      </c>
    </row>
    <row r="144" spans="2:2">
      <c r="B144" t="s">
        <v>657</v>
      </c>
    </row>
    <row r="145" spans="2:2">
      <c r="B145" t="s">
        <v>149</v>
      </c>
    </row>
    <row r="146" spans="2:2">
      <c r="B146" t="s">
        <v>150</v>
      </c>
    </row>
    <row r="147" spans="2:2">
      <c r="B147" t="s">
        <v>151</v>
      </c>
    </row>
    <row r="148" spans="2:2" hidden="1">
      <c r="B148" t="s">
        <v>421</v>
      </c>
    </row>
    <row r="149" spans="2:2" hidden="1">
      <c r="B149" t="s">
        <v>463</v>
      </c>
    </row>
    <row r="150" spans="2:2">
      <c r="B150" t="s">
        <v>775</v>
      </c>
    </row>
    <row r="151" spans="2:2" hidden="1">
      <c r="B151" t="s">
        <v>776</v>
      </c>
    </row>
    <row r="152" spans="2:2" hidden="1">
      <c r="B152" t="s">
        <v>777</v>
      </c>
    </row>
    <row r="153" spans="2:2" hidden="1">
      <c r="B153" t="s">
        <v>778</v>
      </c>
    </row>
    <row r="154" spans="2:2" hidden="1">
      <c r="B154" t="s">
        <v>700</v>
      </c>
    </row>
    <row r="155" spans="2:2" hidden="1">
      <c r="B155" t="s">
        <v>152</v>
      </c>
    </row>
    <row r="156" spans="2:2" hidden="1">
      <c r="B156" t="s">
        <v>166</v>
      </c>
    </row>
    <row r="157" spans="2:2">
      <c r="B157" t="s">
        <v>779</v>
      </c>
    </row>
    <row r="158" spans="2:2">
      <c r="B158" t="s">
        <v>153</v>
      </c>
    </row>
    <row r="159" spans="2:2">
      <c r="B159" t="s">
        <v>796</v>
      </c>
    </row>
    <row r="160" spans="2:2">
      <c r="B160" t="s">
        <v>154</v>
      </c>
    </row>
    <row r="161" spans="2:2">
      <c r="B161" t="s">
        <v>164</v>
      </c>
    </row>
    <row r="162" spans="2:2">
      <c r="B162" t="s">
        <v>797</v>
      </c>
    </row>
    <row r="163" spans="2:2">
      <c r="B163" t="s">
        <v>798</v>
      </c>
    </row>
    <row r="164" spans="2:2">
      <c r="B164" t="s">
        <v>799</v>
      </c>
    </row>
    <row r="165" spans="2:2">
      <c r="B165" t="s">
        <v>800</v>
      </c>
    </row>
    <row r="166" spans="2:2">
      <c r="B166" t="s">
        <v>801</v>
      </c>
    </row>
    <row r="167" spans="2:2">
      <c r="B167" t="s">
        <v>803</v>
      </c>
    </row>
    <row r="168" spans="2:2">
      <c r="B168" t="s">
        <v>804</v>
      </c>
    </row>
    <row r="169" spans="2:2">
      <c r="B169" t="s">
        <v>805</v>
      </c>
    </row>
    <row r="170" spans="2:2" hidden="1">
      <c r="B170" t="s">
        <v>806</v>
      </c>
    </row>
    <row r="171" spans="2:2">
      <c r="B171" t="s">
        <v>187</v>
      </c>
    </row>
    <row r="172" spans="2:2" hidden="1">
      <c r="B172" t="s">
        <v>807</v>
      </c>
    </row>
    <row r="173" spans="2:2" hidden="1">
      <c r="B173" t="s">
        <v>808</v>
      </c>
    </row>
    <row r="174" spans="2:2">
      <c r="B174" t="s">
        <v>188</v>
      </c>
    </row>
    <row r="175" spans="2:2">
      <c r="B175" t="s">
        <v>809</v>
      </c>
    </row>
    <row r="176" spans="2:2">
      <c r="B176" t="s">
        <v>810</v>
      </c>
    </row>
    <row r="177" spans="2:2">
      <c r="B177" t="s">
        <v>155</v>
      </c>
    </row>
    <row r="178" spans="2:2">
      <c r="B178" t="s">
        <v>811</v>
      </c>
    </row>
    <row r="179" spans="2:2">
      <c r="B179" t="s">
        <v>156</v>
      </c>
    </row>
    <row r="180" spans="2:2">
      <c r="B180" t="s">
        <v>157</v>
      </c>
    </row>
    <row r="181" spans="2:2">
      <c r="B181" t="s">
        <v>812</v>
      </c>
    </row>
    <row r="182" spans="2:2">
      <c r="B182" t="s">
        <v>813</v>
      </c>
    </row>
    <row r="183" spans="2:2">
      <c r="B183" t="s">
        <v>814</v>
      </c>
    </row>
    <row r="184" spans="2:2">
      <c r="B184" t="s">
        <v>815</v>
      </c>
    </row>
    <row r="185" spans="2:2">
      <c r="B185" t="s">
        <v>189</v>
      </c>
    </row>
    <row r="186" spans="2:2">
      <c r="B186" t="s">
        <v>816</v>
      </c>
    </row>
    <row r="187" spans="2:2">
      <c r="B187" t="s">
        <v>817</v>
      </c>
    </row>
    <row r="188" spans="2:2">
      <c r="B188" t="s">
        <v>819</v>
      </c>
    </row>
    <row r="189" spans="2:2">
      <c r="B189" t="s">
        <v>820</v>
      </c>
    </row>
    <row r="190" spans="2:2" hidden="1">
      <c r="B190" t="s">
        <v>821</v>
      </c>
    </row>
    <row r="191" spans="2:2">
      <c r="B191" t="s">
        <v>822</v>
      </c>
    </row>
    <row r="192" spans="2:2">
      <c r="B192" t="s">
        <v>823</v>
      </c>
    </row>
    <row r="193" spans="2:2">
      <c r="B193" t="s">
        <v>824</v>
      </c>
    </row>
    <row r="194" spans="2:2">
      <c r="B194" t="s">
        <v>825</v>
      </c>
    </row>
    <row r="195" spans="2:2">
      <c r="B195" t="s">
        <v>826</v>
      </c>
    </row>
    <row r="196" spans="2:2">
      <c r="B196" t="s">
        <v>827</v>
      </c>
    </row>
    <row r="197" spans="2:2">
      <c r="B197" t="s">
        <v>828</v>
      </c>
    </row>
    <row r="198" spans="2:2">
      <c r="B198" t="s">
        <v>829</v>
      </c>
    </row>
    <row r="199" spans="2:2">
      <c r="B199" t="s">
        <v>830</v>
      </c>
    </row>
    <row r="200" spans="2:2">
      <c r="B200" t="s">
        <v>831</v>
      </c>
    </row>
    <row r="201" spans="2:2">
      <c r="B201" t="s">
        <v>832</v>
      </c>
    </row>
    <row r="202" spans="2:2">
      <c r="B202" t="s">
        <v>833</v>
      </c>
    </row>
    <row r="203" spans="2:2">
      <c r="B203" t="s">
        <v>190</v>
      </c>
    </row>
    <row r="204" spans="2:2">
      <c r="B204" t="s">
        <v>834</v>
      </c>
    </row>
    <row r="205" spans="2:2">
      <c r="B205" t="s">
        <v>841</v>
      </c>
    </row>
    <row r="206" spans="2:2">
      <c r="B206" t="s">
        <v>842</v>
      </c>
    </row>
    <row r="207" spans="2:2">
      <c r="B207" t="s">
        <v>843</v>
      </c>
    </row>
    <row r="208" spans="2:2">
      <c r="B208" t="s">
        <v>845</v>
      </c>
    </row>
    <row r="209" spans="2:2">
      <c r="B209" t="s">
        <v>846</v>
      </c>
    </row>
    <row r="210" spans="2:2">
      <c r="B210" t="s">
        <v>851</v>
      </c>
    </row>
    <row r="211" spans="2:2">
      <c r="B211" t="s">
        <v>859</v>
      </c>
    </row>
    <row r="212" spans="2:2">
      <c r="B212" t="s">
        <v>860</v>
      </c>
    </row>
    <row r="213" spans="2:2">
      <c r="B213" t="s">
        <v>862</v>
      </c>
    </row>
    <row r="214" spans="2:2">
      <c r="B214" t="s">
        <v>863</v>
      </c>
    </row>
    <row r="215" spans="2:2">
      <c r="B215" t="s">
        <v>864</v>
      </c>
    </row>
    <row r="216" spans="2:2">
      <c r="B216" t="s">
        <v>865</v>
      </c>
    </row>
    <row r="217" spans="2:2">
      <c r="B217" t="s">
        <v>867</v>
      </c>
    </row>
    <row r="218" spans="2:2">
      <c r="B218" t="s">
        <v>868</v>
      </c>
    </row>
    <row r="219" spans="2:2">
      <c r="B219" t="s">
        <v>869</v>
      </c>
    </row>
    <row r="220" spans="2:2">
      <c r="B220" t="s">
        <v>872</v>
      </c>
    </row>
    <row r="221" spans="2:2" hidden="1">
      <c r="B221" t="s">
        <v>874</v>
      </c>
    </row>
    <row r="222" spans="2:2">
      <c r="B222" t="s">
        <v>170</v>
      </c>
    </row>
    <row r="223" spans="2:2" hidden="1">
      <c r="B223" t="s">
        <v>701</v>
      </c>
    </row>
    <row r="224" spans="2:2" hidden="1">
      <c r="B224" t="s">
        <v>875</v>
      </c>
    </row>
    <row r="225" spans="2:2" hidden="1">
      <c r="B225" t="s">
        <v>876</v>
      </c>
    </row>
    <row r="226" spans="2:2">
      <c r="B226" t="s">
        <v>877</v>
      </c>
    </row>
    <row r="227" spans="2:2" hidden="1">
      <c r="B227" t="s">
        <v>878</v>
      </c>
    </row>
    <row r="228" spans="2:2" hidden="1">
      <c r="B228" t="s">
        <v>702</v>
      </c>
    </row>
    <row r="229" spans="2:2" hidden="1">
      <c r="B229" t="s">
        <v>879</v>
      </c>
    </row>
    <row r="230" spans="2:2">
      <c r="B230" t="s">
        <v>880</v>
      </c>
    </row>
    <row r="231" spans="2:2">
      <c r="B231" t="s">
        <v>171</v>
      </c>
    </row>
    <row r="232" spans="2:2" hidden="1">
      <c r="B232" t="s">
        <v>881</v>
      </c>
    </row>
    <row r="233" spans="2:2" hidden="1">
      <c r="B233" t="s">
        <v>191</v>
      </c>
    </row>
    <row r="234" spans="2:2">
      <c r="B234" t="s">
        <v>158</v>
      </c>
    </row>
    <row r="235" spans="2:2">
      <c r="B235" t="s">
        <v>159</v>
      </c>
    </row>
    <row r="236" spans="2:2" hidden="1">
      <c r="B236" t="s">
        <v>882</v>
      </c>
    </row>
    <row r="237" spans="2:2">
      <c r="B237" t="s">
        <v>883</v>
      </c>
    </row>
    <row r="238" spans="2:2">
      <c r="B238" t="s">
        <v>884</v>
      </c>
    </row>
    <row r="239" spans="2:2" hidden="1">
      <c r="B239" t="s">
        <v>885</v>
      </c>
    </row>
    <row r="240" spans="2:2" hidden="1">
      <c r="B240" t="s">
        <v>703</v>
      </c>
    </row>
    <row r="241" spans="2:2" hidden="1">
      <c r="B241" t="s">
        <v>704</v>
      </c>
    </row>
    <row r="242" spans="2:2" hidden="1">
      <c r="B242" t="s">
        <v>888</v>
      </c>
    </row>
    <row r="243" spans="2:2">
      <c r="B243" t="s">
        <v>889</v>
      </c>
    </row>
    <row r="244" spans="2:2">
      <c r="B244" t="s">
        <v>890</v>
      </c>
    </row>
    <row r="245" spans="2:2">
      <c r="B245" t="s">
        <v>891</v>
      </c>
    </row>
    <row r="246" spans="2:2" hidden="1">
      <c r="B246" t="s">
        <v>705</v>
      </c>
    </row>
    <row r="247" spans="2:2">
      <c r="B247" t="s">
        <v>892</v>
      </c>
    </row>
    <row r="248" spans="2:2">
      <c r="B248" t="s">
        <v>160</v>
      </c>
    </row>
    <row r="249" spans="2:2" hidden="1">
      <c r="B249" t="s">
        <v>192</v>
      </c>
    </row>
    <row r="250" spans="2:2" hidden="1">
      <c r="B250" t="s">
        <v>706</v>
      </c>
    </row>
    <row r="251" spans="2:2">
      <c r="B251" t="s">
        <v>161</v>
      </c>
    </row>
    <row r="252" spans="2:2" hidden="1">
      <c r="B252" t="s">
        <v>707</v>
      </c>
    </row>
    <row r="253" spans="2:2" hidden="1">
      <c r="B253" t="s">
        <v>708</v>
      </c>
    </row>
    <row r="254" spans="2:2" hidden="1">
      <c r="B254" t="s">
        <v>893</v>
      </c>
    </row>
    <row r="255" spans="2:2" hidden="1">
      <c r="B255" t="s">
        <v>895</v>
      </c>
    </row>
    <row r="256" spans="2:2" hidden="1">
      <c r="B256" t="s">
        <v>896</v>
      </c>
    </row>
    <row r="257" spans="2:2" hidden="1">
      <c r="B257" t="s">
        <v>897</v>
      </c>
    </row>
    <row r="258" spans="2:2">
      <c r="B258" t="s">
        <v>898</v>
      </c>
    </row>
    <row r="259" spans="2:2">
      <c r="B259" t="s">
        <v>899</v>
      </c>
    </row>
    <row r="260" spans="2:2" hidden="1">
      <c r="B260" t="s">
        <v>709</v>
      </c>
    </row>
    <row r="261" spans="2:2">
      <c r="B261" t="s">
        <v>902</v>
      </c>
    </row>
    <row r="262" spans="2:2">
      <c r="B262" t="s">
        <v>162</v>
      </c>
    </row>
    <row r="263" spans="2:2">
      <c r="B263" t="s">
        <v>904</v>
      </c>
    </row>
    <row r="264" spans="2:2">
      <c r="B264" t="s">
        <v>163</v>
      </c>
    </row>
    <row r="265" spans="2:2">
      <c r="B265" t="s">
        <v>905</v>
      </c>
    </row>
    <row r="268" spans="2:2">
      <c r="B268" s="131" t="s">
        <v>710</v>
      </c>
    </row>
    <row r="269" spans="2:2">
      <c r="B269" s="131" t="s">
        <v>519</v>
      </c>
    </row>
    <row r="270" spans="2:2">
      <c r="B270" s="131" t="s">
        <v>520</v>
      </c>
    </row>
    <row r="271" spans="2:2">
      <c r="B271" s="131" t="s">
        <v>711</v>
      </c>
    </row>
    <row r="272" spans="2:2">
      <c r="B272" s="131" t="s">
        <v>712</v>
      </c>
    </row>
    <row r="273" spans="2:2">
      <c r="B273" s="131" t="s">
        <v>687</v>
      </c>
    </row>
    <row r="274" spans="2:2">
      <c r="B274" s="131" t="s">
        <v>714</v>
      </c>
    </row>
    <row r="275" spans="2:2">
      <c r="B275" s="131" t="s">
        <v>715</v>
      </c>
    </row>
    <row r="276" spans="2:2">
      <c r="B276" s="131" t="s">
        <v>686</v>
      </c>
    </row>
    <row r="277" spans="2:2">
      <c r="B277" s="131" t="s">
        <v>716</v>
      </c>
    </row>
    <row r="278" spans="2:2">
      <c r="B278" s="131" t="s">
        <v>717</v>
      </c>
    </row>
    <row r="279" spans="2:2">
      <c r="B279" s="131" t="s">
        <v>725</v>
      </c>
    </row>
    <row r="280" spans="2:2">
      <c r="B280" s="131" t="s">
        <v>521</v>
      </c>
    </row>
    <row r="281" spans="2:2">
      <c r="B281" s="131" t="s">
        <v>719</v>
      </c>
    </row>
    <row r="282" spans="2:2">
      <c r="B282" s="131" t="s">
        <v>722</v>
      </c>
    </row>
    <row r="283" spans="2:2">
      <c r="B283" s="131" t="s">
        <v>543</v>
      </c>
    </row>
    <row r="284" spans="2:2">
      <c r="B284" s="131" t="s">
        <v>737</v>
      </c>
    </row>
    <row r="285" spans="2:2">
      <c r="B285" s="131" t="s">
        <v>742</v>
      </c>
    </row>
    <row r="286" spans="2:2">
      <c r="B286" s="131" t="s">
        <v>692</v>
      </c>
    </row>
    <row r="287" spans="2:2">
      <c r="B287" s="131" t="s">
        <v>176</v>
      </c>
    </row>
    <row r="288" spans="2:2">
      <c r="B288" s="131" t="s">
        <v>177</v>
      </c>
    </row>
    <row r="289" spans="2:2">
      <c r="B289" s="131" t="s">
        <v>462</v>
      </c>
    </row>
    <row r="290" spans="2:2">
      <c r="B290" s="131" t="s">
        <v>178</v>
      </c>
    </row>
    <row r="291" spans="2:2">
      <c r="B291" s="131" t="s">
        <v>385</v>
      </c>
    </row>
    <row r="292" spans="2:2">
      <c r="B292" s="131" t="s">
        <v>371</v>
      </c>
    </row>
    <row r="293" spans="2:2">
      <c r="B293" s="131" t="s">
        <v>183</v>
      </c>
    </row>
    <row r="294" spans="2:2">
      <c r="B294" s="131" t="s">
        <v>763</v>
      </c>
    </row>
    <row r="295" spans="2:2">
      <c r="B295" s="131" t="s">
        <v>766</v>
      </c>
    </row>
    <row r="296" spans="2:2">
      <c r="B296" s="131" t="s">
        <v>693</v>
      </c>
    </row>
    <row r="297" spans="2:2">
      <c r="B297" s="131" t="s">
        <v>368</v>
      </c>
    </row>
    <row r="298" spans="2:2">
      <c r="B298" s="131" t="s">
        <v>770</v>
      </c>
    </row>
    <row r="299" spans="2:2">
      <c r="B299" s="131" t="s">
        <v>179</v>
      </c>
    </row>
    <row r="300" spans="2:2">
      <c r="B300" s="131" t="s">
        <v>641</v>
      </c>
    </row>
    <row r="301" spans="2:2">
      <c r="B301" s="131" t="s">
        <v>874</v>
      </c>
    </row>
    <row r="302" spans="2:2">
      <c r="B302" s="131" t="s">
        <v>876</v>
      </c>
    </row>
    <row r="303" spans="2:2">
      <c r="B303" s="131" t="s">
        <v>878</v>
      </c>
    </row>
    <row r="304" spans="2:2">
      <c r="B304" s="131" t="s">
        <v>879</v>
      </c>
    </row>
    <row r="305" spans="2:2">
      <c r="B305" s="131" t="s">
        <v>881</v>
      </c>
    </row>
    <row r="306" spans="2:2">
      <c r="B306" s="131" t="s">
        <v>882</v>
      </c>
    </row>
    <row r="307" spans="2:2">
      <c r="B307" s="131" t="s">
        <v>694</v>
      </c>
    </row>
    <row r="308" spans="2:2">
      <c r="B308" s="131" t="s">
        <v>705</v>
      </c>
    </row>
    <row r="309" spans="2:2">
      <c r="B309" s="131" t="s">
        <v>706</v>
      </c>
    </row>
    <row r="310" spans="2:2">
      <c r="B310" s="131" t="s">
        <v>407</v>
      </c>
    </row>
    <row r="311" spans="2:2">
      <c r="B311" s="131" t="s">
        <v>696</v>
      </c>
    </row>
    <row r="312" spans="2:2">
      <c r="B312" s="131" t="s">
        <v>698</v>
      </c>
    </row>
    <row r="313" spans="2:2">
      <c r="B313" s="131" t="s">
        <v>708</v>
      </c>
    </row>
    <row r="314" spans="2:2">
      <c r="B314" s="131" t="s">
        <v>704</v>
      </c>
    </row>
    <row r="315" spans="2:2">
      <c r="B315" s="131" t="s">
        <v>690</v>
      </c>
    </row>
    <row r="316" spans="2:2">
      <c r="B316" s="25" t="s">
        <v>699</v>
      </c>
    </row>
    <row r="317" spans="2:2">
      <c r="B317" s="131" t="s">
        <v>709</v>
      </c>
    </row>
    <row r="318" spans="2:2">
      <c r="B318" s="131" t="s">
        <v>688</v>
      </c>
    </row>
    <row r="319" spans="2:2">
      <c r="B319" s="131" t="s">
        <v>404</v>
      </c>
    </row>
    <row r="320" spans="2:2">
      <c r="B320" s="131" t="s">
        <v>702</v>
      </c>
    </row>
    <row r="321" spans="2:2">
      <c r="B321" s="132" t="s">
        <v>700</v>
      </c>
    </row>
    <row r="322" spans="2:2">
      <c r="B322" s="132" t="s">
        <v>685</v>
      </c>
    </row>
    <row r="323" spans="2:2">
      <c r="B323" s="132" t="s">
        <v>180</v>
      </c>
    </row>
    <row r="324" spans="2:2">
      <c r="B324" s="132" t="s">
        <v>369</v>
      </c>
    </row>
    <row r="325" spans="2:2">
      <c r="B325" s="132" t="s">
        <v>697</v>
      </c>
    </row>
    <row r="326" spans="2:2">
      <c r="B326" s="132" t="s">
        <v>707</v>
      </c>
    </row>
    <row r="327" spans="2:2">
      <c r="B327" s="25" t="s">
        <v>185</v>
      </c>
    </row>
    <row r="328" spans="2:2">
      <c r="B328" s="25" t="s">
        <v>695</v>
      </c>
    </row>
    <row r="329" spans="2:2">
      <c r="B329" s="25" t="s">
        <v>400</v>
      </c>
    </row>
    <row r="330" spans="2:2">
      <c r="B330" s="25" t="s">
        <v>701</v>
      </c>
    </row>
    <row r="331" spans="2:2">
      <c r="B331" s="25" t="s">
        <v>418</v>
      </c>
    </row>
    <row r="332" spans="2:2">
      <c r="B332" s="25" t="s">
        <v>184</v>
      </c>
    </row>
    <row r="333" spans="2:2">
      <c r="B333" s="132" t="s">
        <v>652</v>
      </c>
    </row>
    <row r="334" spans="2:2">
      <c r="B334" s="132" t="s">
        <v>166</v>
      </c>
    </row>
    <row r="335" spans="2:2">
      <c r="B335" s="132" t="s">
        <v>689</v>
      </c>
    </row>
    <row r="336" spans="2:2">
      <c r="B336" s="132" t="s">
        <v>522</v>
      </c>
    </row>
    <row r="337" spans="2:2">
      <c r="B337" s="132" t="s">
        <v>383</v>
      </c>
    </row>
    <row r="338" spans="2:2">
      <c r="B338" s="132" t="s">
        <v>423</v>
      </c>
    </row>
    <row r="339" spans="2:2">
      <c r="B339" s="132" t="s">
        <v>691</v>
      </c>
    </row>
    <row r="340" spans="2:2">
      <c r="B340" s="132" t="s">
        <v>703</v>
      </c>
    </row>
    <row r="341" spans="2:2">
      <c r="B341" s="132" t="s">
        <v>897</v>
      </c>
    </row>
    <row r="342" spans="2:2">
      <c r="B342" s="132" t="s">
        <v>888</v>
      </c>
    </row>
    <row r="343" spans="2:2">
      <c r="B343" s="132" t="s">
        <v>191</v>
      </c>
    </row>
    <row r="344" spans="2:2">
      <c r="B344" s="132" t="s">
        <v>146</v>
      </c>
    </row>
    <row r="345" spans="2:2">
      <c r="B345" s="25" t="s">
        <v>778</v>
      </c>
    </row>
    <row r="346" spans="2:2">
      <c r="B346" s="25" t="s">
        <v>896</v>
      </c>
    </row>
    <row r="347" spans="2:2">
      <c r="B347" s="25" t="s">
        <v>769</v>
      </c>
    </row>
    <row r="348" spans="2:2">
      <c r="B348" s="25" t="s">
        <v>762</v>
      </c>
    </row>
    <row r="349" spans="2:2">
      <c r="B349" s="25" t="s">
        <v>137</v>
      </c>
    </row>
    <row r="350" spans="2:2">
      <c r="B350" s="25" t="s">
        <v>192</v>
      </c>
    </row>
    <row r="351" spans="2:2">
      <c r="B351" s="25" t="s">
        <v>806</v>
      </c>
    </row>
    <row r="352" spans="2:2">
      <c r="B352" s="25" t="s">
        <v>743</v>
      </c>
    </row>
    <row r="353" spans="2:2">
      <c r="B353" s="25" t="s">
        <v>774</v>
      </c>
    </row>
    <row r="354" spans="2:2">
      <c r="B354" s="25" t="s">
        <v>622</v>
      </c>
    </row>
    <row r="355" spans="2:2">
      <c r="B355" s="25" t="s">
        <v>875</v>
      </c>
    </row>
    <row r="356" spans="2:2">
      <c r="B356" s="25" t="s">
        <v>720</v>
      </c>
    </row>
    <row r="357" spans="2:2">
      <c r="B357" s="25" t="s">
        <v>152</v>
      </c>
    </row>
    <row r="358" spans="2:2">
      <c r="B358" s="25" t="s">
        <v>885</v>
      </c>
    </row>
    <row r="359" spans="2:2">
      <c r="B359" s="25" t="s">
        <v>807</v>
      </c>
    </row>
    <row r="360" spans="2:2">
      <c r="B360" s="25" t="s">
        <v>771</v>
      </c>
    </row>
    <row r="361" spans="2:2">
      <c r="B361" s="25" t="s">
        <v>624</v>
      </c>
    </row>
    <row r="362" spans="2:2">
      <c r="B362" s="25" t="s">
        <v>168</v>
      </c>
    </row>
    <row r="363" spans="2:2">
      <c r="B363" s="25" t="s">
        <v>632</v>
      </c>
    </row>
    <row r="364" spans="2:2">
      <c r="B364" s="25" t="s">
        <v>895</v>
      </c>
    </row>
    <row r="365" spans="2:2">
      <c r="B365" s="25" t="s">
        <v>174</v>
      </c>
    </row>
    <row r="366" spans="2:2">
      <c r="B366" s="25" t="s">
        <v>765</v>
      </c>
    </row>
    <row r="367" spans="2:2">
      <c r="B367" s="25" t="s">
        <v>463</v>
      </c>
    </row>
    <row r="368" spans="2:2">
      <c r="B368" s="25" t="s">
        <v>893</v>
      </c>
    </row>
    <row r="369" spans="2:2">
      <c r="B369" s="25" t="s">
        <v>777</v>
      </c>
    </row>
    <row r="370" spans="2:2">
      <c r="B370" s="25" t="s">
        <v>808</v>
      </c>
    </row>
    <row r="371" spans="2:2">
      <c r="B371" s="25" t="s">
        <v>730</v>
      </c>
    </row>
    <row r="372" spans="2:2">
      <c r="B372" s="25" t="s">
        <v>821</v>
      </c>
    </row>
    <row r="373" spans="2:2">
      <c r="B373" s="25" t="s">
        <v>764</v>
      </c>
    </row>
    <row r="374" spans="2:2">
      <c r="B374" s="25" t="s">
        <v>148</v>
      </c>
    </row>
    <row r="375" spans="2:2">
      <c r="B375" s="25" t="s">
        <v>425</v>
      </c>
    </row>
    <row r="376" spans="2:2">
      <c r="B376" s="25" t="s">
        <v>776</v>
      </c>
    </row>
    <row r="377" spans="2:2">
      <c r="B377" s="25" t="s">
        <v>721</v>
      </c>
    </row>
    <row r="378" spans="2:2">
      <c r="B378" s="132" t="s">
        <v>370</v>
      </c>
    </row>
    <row r="379" spans="2:2">
      <c r="B379" s="132" t="s">
        <v>421</v>
      </c>
    </row>
    <row r="380" spans="2:2">
      <c r="B380" s="132" t="s">
        <v>145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activeCell="D6" sqref="D6"/>
      <selection pane="topRight" activeCell="D6" sqref="D6"/>
      <selection pane="bottomLeft" activeCell="D6" sqref="D6"/>
      <selection pane="bottomRight" activeCell="D6" sqref="D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951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952</v>
      </c>
      <c r="B3" s="117" t="s">
        <v>953</v>
      </c>
      <c r="C3" s="117" t="s">
        <v>954</v>
      </c>
      <c r="D3" s="117" t="s">
        <v>955</v>
      </c>
      <c r="E3" s="117" t="s">
        <v>956</v>
      </c>
      <c r="F3" s="52" t="s">
        <v>957</v>
      </c>
      <c r="G3" s="118" t="s">
        <v>958</v>
      </c>
      <c r="H3" s="119" t="s">
        <v>959</v>
      </c>
      <c r="I3" s="120" t="s">
        <v>960</v>
      </c>
      <c r="J3" s="52" t="s">
        <v>961</v>
      </c>
      <c r="K3" s="117" t="s">
        <v>962</v>
      </c>
      <c r="L3" s="52" t="s">
        <v>963</v>
      </c>
      <c r="M3" s="53" t="s">
        <v>964</v>
      </c>
      <c r="N3" s="116" t="s">
        <v>965</v>
      </c>
      <c r="O3" s="121" t="s">
        <v>966</v>
      </c>
      <c r="P3" s="54" t="s">
        <v>967</v>
      </c>
      <c r="Q3" s="122" t="s">
        <v>968</v>
      </c>
      <c r="R3" s="117" t="s">
        <v>262</v>
      </c>
      <c r="S3" s="117" t="s">
        <v>469</v>
      </c>
      <c r="T3" s="117" t="s">
        <v>969</v>
      </c>
      <c r="U3" s="117" t="s">
        <v>970</v>
      </c>
      <c r="V3" s="117" t="s">
        <v>971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204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D6" sqref="D6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823" t="s">
        <v>972</v>
      </c>
      <c r="B1" s="824"/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4"/>
      <c r="N1" s="824"/>
      <c r="O1" s="824"/>
      <c r="P1" s="824"/>
      <c r="Q1" s="825"/>
    </row>
    <row r="2" spans="1:17" ht="21" customHeight="1">
      <c r="A2" s="826" t="s">
        <v>973</v>
      </c>
      <c r="B2" s="828" t="s">
        <v>203</v>
      </c>
      <c r="C2" s="828" t="s">
        <v>974</v>
      </c>
      <c r="D2" s="828" t="s">
        <v>975</v>
      </c>
      <c r="E2" s="828" t="s">
        <v>976</v>
      </c>
      <c r="F2" s="830" t="s">
        <v>112</v>
      </c>
      <c r="G2" s="830"/>
      <c r="H2" s="830" t="s">
        <v>114</v>
      </c>
      <c r="I2" s="830"/>
      <c r="J2" s="828" t="s">
        <v>977</v>
      </c>
      <c r="K2" s="828" t="s">
        <v>978</v>
      </c>
      <c r="L2" s="828" t="s">
        <v>979</v>
      </c>
      <c r="M2" s="828" t="s">
        <v>343</v>
      </c>
      <c r="N2" s="828" t="s">
        <v>475</v>
      </c>
      <c r="O2" s="828" t="s">
        <v>470</v>
      </c>
      <c r="P2" s="828" t="s">
        <v>471</v>
      </c>
      <c r="Q2" s="831" t="s">
        <v>33</v>
      </c>
    </row>
    <row r="3" spans="1:17" ht="25.35" customHeight="1">
      <c r="A3" s="827"/>
      <c r="B3" s="829"/>
      <c r="C3" s="829"/>
      <c r="D3" s="829"/>
      <c r="E3" s="829"/>
      <c r="F3" s="28" t="s">
        <v>980</v>
      </c>
      <c r="G3" s="28" t="s">
        <v>981</v>
      </c>
      <c r="H3" s="28" t="s">
        <v>980</v>
      </c>
      <c r="I3" s="28" t="s">
        <v>981</v>
      </c>
      <c r="J3" s="829"/>
      <c r="K3" s="829"/>
      <c r="L3" s="829"/>
      <c r="M3" s="829"/>
      <c r="N3" s="829"/>
      <c r="O3" s="829"/>
      <c r="P3" s="829"/>
      <c r="Q3" s="832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J43" activePane="bottomRight" state="frozen"/>
      <selection activeCell="D6" sqref="D6"/>
      <selection pane="topRight" activeCell="D6" sqref="D6"/>
      <selection pane="bottomLeft" activeCell="D6" sqref="D6"/>
      <selection pane="bottomRight" activeCell="P33" sqref="P33:P34"/>
    </sheetView>
  </sheetViews>
  <sheetFormatPr defaultColWidth="9.140625" defaultRowHeight="15.75"/>
  <cols>
    <col min="1" max="2" width="9.140625" style="275"/>
    <col min="3" max="3" width="10.42578125" style="275" customWidth="1"/>
    <col min="4" max="4" width="9.140625" style="275"/>
    <col min="5" max="5" width="8.42578125" style="275" customWidth="1"/>
    <col min="6" max="6" width="21.42578125" style="277" customWidth="1"/>
    <col min="7" max="7" width="9.140625" style="278"/>
    <col min="8" max="8" width="9.140625" style="275"/>
    <col min="9" max="9" width="39.28515625" style="275" customWidth="1"/>
    <col min="10" max="10" width="9" style="276" bestFit="1" customWidth="1"/>
    <col min="11" max="11" width="9.140625" style="275"/>
    <col min="12" max="12" width="13.42578125" style="275" bestFit="1" customWidth="1"/>
    <col min="13" max="13" width="10.140625" style="275" bestFit="1" customWidth="1"/>
    <col min="14" max="15" width="9.140625" style="275"/>
    <col min="16" max="16" width="28.28515625" style="400" customWidth="1"/>
    <col min="17" max="16384" width="9.140625" style="275"/>
  </cols>
  <sheetData>
    <row r="1" spans="1:16" ht="16.5" thickBot="1">
      <c r="A1" s="833" t="s">
        <v>89</v>
      </c>
      <c r="B1" s="834"/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  <c r="N1" s="834"/>
      <c r="O1" s="834"/>
      <c r="P1" s="835"/>
    </row>
    <row r="2" spans="1:16" ht="39" thickBot="1">
      <c r="A2" s="289" t="s">
        <v>982</v>
      </c>
      <c r="B2" s="290" t="s">
        <v>983</v>
      </c>
      <c r="C2" s="290" t="s">
        <v>984</v>
      </c>
      <c r="D2" s="290" t="s">
        <v>985</v>
      </c>
      <c r="E2" s="290" t="s">
        <v>339</v>
      </c>
      <c r="F2" s="290" t="s">
        <v>986</v>
      </c>
      <c r="G2" s="290" t="s">
        <v>987</v>
      </c>
      <c r="H2" s="290" t="s">
        <v>988</v>
      </c>
      <c r="I2" s="290" t="s">
        <v>989</v>
      </c>
      <c r="J2" s="290" t="s">
        <v>506</v>
      </c>
      <c r="K2" s="290" t="s">
        <v>990</v>
      </c>
      <c r="L2" s="290" t="s">
        <v>262</v>
      </c>
      <c r="M2" s="290" t="s">
        <v>991</v>
      </c>
      <c r="N2" s="290" t="s">
        <v>992</v>
      </c>
      <c r="O2" s="290" t="s">
        <v>993</v>
      </c>
      <c r="P2" s="291" t="s">
        <v>33</v>
      </c>
    </row>
    <row r="3" spans="1:16" ht="12" customHeight="1">
      <c r="A3" s="292">
        <v>1</v>
      </c>
      <c r="B3" s="293" t="s">
        <v>519</v>
      </c>
      <c r="C3" s="294" t="s">
        <v>268</v>
      </c>
      <c r="D3" s="293" t="s">
        <v>520</v>
      </c>
      <c r="E3" s="294" t="s">
        <v>914</v>
      </c>
      <c r="F3" s="294" t="s">
        <v>994</v>
      </c>
      <c r="G3" s="294">
        <v>225.97</v>
      </c>
      <c r="H3" s="294" t="s">
        <v>995</v>
      </c>
      <c r="I3" s="300" t="s">
        <v>996</v>
      </c>
      <c r="J3" s="293">
        <v>1</v>
      </c>
      <c r="K3" s="293" t="s">
        <v>208</v>
      </c>
      <c r="L3" s="298" t="s">
        <v>206</v>
      </c>
      <c r="M3" s="295">
        <v>46129</v>
      </c>
      <c r="N3" s="298" t="s">
        <v>997</v>
      </c>
      <c r="O3" s="296"/>
      <c r="P3" s="396" t="s">
        <v>998</v>
      </c>
    </row>
    <row r="4" spans="1:16" ht="26.25">
      <c r="A4" s="297">
        <v>2</v>
      </c>
      <c r="B4" s="298" t="s">
        <v>522</v>
      </c>
      <c r="C4" s="294" t="s">
        <v>534</v>
      </c>
      <c r="D4" s="298" t="s">
        <v>523</v>
      </c>
      <c r="E4" s="294" t="s">
        <v>999</v>
      </c>
      <c r="F4" s="294" t="s">
        <v>994</v>
      </c>
      <c r="G4" s="294">
        <v>284.73</v>
      </c>
      <c r="H4" s="294" t="s">
        <v>1000</v>
      </c>
      <c r="I4" s="301" t="s">
        <v>1001</v>
      </c>
      <c r="J4" s="298">
        <v>1</v>
      </c>
      <c r="K4" s="298" t="s">
        <v>208</v>
      </c>
      <c r="L4" s="298" t="s">
        <v>206</v>
      </c>
      <c r="M4" s="295">
        <v>46129</v>
      </c>
      <c r="N4" s="298" t="s">
        <v>997</v>
      </c>
      <c r="O4" s="298"/>
      <c r="P4" s="396" t="s">
        <v>998</v>
      </c>
    </row>
    <row r="5" spans="1:16" ht="16.899999999999999" customHeight="1">
      <c r="A5" s="297">
        <v>3</v>
      </c>
      <c r="B5" s="298" t="s">
        <v>524</v>
      </c>
      <c r="C5" s="294" t="s">
        <v>534</v>
      </c>
      <c r="D5" s="298" t="s">
        <v>525</v>
      </c>
      <c r="E5" s="294" t="s">
        <v>999</v>
      </c>
      <c r="F5" s="294" t="s">
        <v>994</v>
      </c>
      <c r="G5" s="294">
        <v>164.96</v>
      </c>
      <c r="H5" s="294" t="s">
        <v>1000</v>
      </c>
      <c r="I5" s="301" t="s">
        <v>1002</v>
      </c>
      <c r="J5" s="298">
        <v>1</v>
      </c>
      <c r="K5" s="298" t="s">
        <v>208</v>
      </c>
      <c r="L5" s="298" t="s">
        <v>206</v>
      </c>
      <c r="M5" s="295">
        <v>46129</v>
      </c>
      <c r="N5" s="298" t="s">
        <v>997</v>
      </c>
      <c r="O5" s="298"/>
      <c r="P5" s="396" t="s">
        <v>998</v>
      </c>
    </row>
    <row r="6" spans="1:16" ht="26.25">
      <c r="A6" s="297">
        <v>4</v>
      </c>
      <c r="B6" s="298" t="s">
        <v>392</v>
      </c>
      <c r="C6" s="294" t="s">
        <v>393</v>
      </c>
      <c r="D6" s="298" t="s">
        <v>549</v>
      </c>
      <c r="E6" s="294" t="s">
        <v>357</v>
      </c>
      <c r="F6" s="294" t="s">
        <v>994</v>
      </c>
      <c r="G6" s="287">
        <v>448</v>
      </c>
      <c r="H6" s="294" t="s">
        <v>995</v>
      </c>
      <c r="I6" s="301" t="s">
        <v>1003</v>
      </c>
      <c r="J6" s="298">
        <v>1</v>
      </c>
      <c r="K6" s="298" t="s">
        <v>200</v>
      </c>
      <c r="L6" s="298" t="s">
        <v>206</v>
      </c>
      <c r="M6" s="295">
        <v>45859</v>
      </c>
      <c r="N6" s="298" t="s">
        <v>997</v>
      </c>
      <c r="O6" s="298" t="s">
        <v>997</v>
      </c>
      <c r="P6" s="396" t="s">
        <v>998</v>
      </c>
    </row>
    <row r="7" spans="1:16" ht="26.25">
      <c r="A7" s="297">
        <v>5</v>
      </c>
      <c r="B7" s="298" t="s">
        <v>551</v>
      </c>
      <c r="C7" s="294" t="s">
        <v>298</v>
      </c>
      <c r="D7" s="298" t="s">
        <v>417</v>
      </c>
      <c r="E7" s="294" t="s">
        <v>396</v>
      </c>
      <c r="F7" s="294" t="s">
        <v>1004</v>
      </c>
      <c r="G7" s="294">
        <v>323</v>
      </c>
      <c r="H7" s="294" t="s">
        <v>1005</v>
      </c>
      <c r="I7" s="301" t="s">
        <v>1006</v>
      </c>
      <c r="J7" s="298">
        <v>1</v>
      </c>
      <c r="K7" s="298" t="s">
        <v>200</v>
      </c>
      <c r="L7" s="298" t="s">
        <v>206</v>
      </c>
      <c r="M7" s="295">
        <v>45887</v>
      </c>
      <c r="N7" s="298" t="s">
        <v>997</v>
      </c>
      <c r="O7" s="298" t="s">
        <v>997</v>
      </c>
      <c r="P7" s="396" t="s">
        <v>998</v>
      </c>
    </row>
    <row r="8" spans="1:16" ht="26.25">
      <c r="A8" s="297">
        <v>6</v>
      </c>
      <c r="B8" s="298" t="s">
        <v>552</v>
      </c>
      <c r="C8" s="294" t="s">
        <v>373</v>
      </c>
      <c r="D8" s="298" t="s">
        <v>553</v>
      </c>
      <c r="E8" s="294" t="s">
        <v>330</v>
      </c>
      <c r="F8" s="294" t="s">
        <v>1004</v>
      </c>
      <c r="G8" s="294">
        <v>259.33999999999997</v>
      </c>
      <c r="H8" s="294" t="s">
        <v>1007</v>
      </c>
      <c r="I8" s="301" t="s">
        <v>1008</v>
      </c>
      <c r="J8" s="298">
        <v>1</v>
      </c>
      <c r="K8" s="298" t="s">
        <v>200</v>
      </c>
      <c r="L8" s="298" t="s">
        <v>206</v>
      </c>
      <c r="M8" s="295">
        <v>45915</v>
      </c>
      <c r="N8" s="298" t="s">
        <v>997</v>
      </c>
      <c r="O8" s="298" t="s">
        <v>997</v>
      </c>
      <c r="P8" s="396" t="s">
        <v>998</v>
      </c>
    </row>
    <row r="9" spans="1:16" ht="26.25">
      <c r="A9" s="297">
        <v>7</v>
      </c>
      <c r="B9" s="298" t="s">
        <v>552</v>
      </c>
      <c r="C9" s="294" t="s">
        <v>373</v>
      </c>
      <c r="D9" s="298" t="s">
        <v>553</v>
      </c>
      <c r="E9" s="294" t="s">
        <v>330</v>
      </c>
      <c r="F9" s="294" t="s">
        <v>1004</v>
      </c>
      <c r="G9" s="294">
        <v>259.33999999999997</v>
      </c>
      <c r="H9" s="294" t="s">
        <v>1009</v>
      </c>
      <c r="I9" s="301" t="s">
        <v>1010</v>
      </c>
      <c r="J9" s="298">
        <v>1</v>
      </c>
      <c r="K9" s="298" t="s">
        <v>200</v>
      </c>
      <c r="L9" s="298" t="s">
        <v>206</v>
      </c>
      <c r="M9" s="295">
        <v>45915</v>
      </c>
      <c r="N9" s="298" t="s">
        <v>997</v>
      </c>
      <c r="O9" s="298" t="s">
        <v>997</v>
      </c>
      <c r="P9" s="396" t="s">
        <v>998</v>
      </c>
    </row>
    <row r="10" spans="1:16" ht="26.25">
      <c r="A10" s="297">
        <v>8</v>
      </c>
      <c r="B10" s="298" t="s">
        <v>169</v>
      </c>
      <c r="C10" s="294" t="s">
        <v>305</v>
      </c>
      <c r="D10" s="298" t="s">
        <v>554</v>
      </c>
      <c r="E10" s="294" t="s">
        <v>305</v>
      </c>
      <c r="F10" s="294" t="s">
        <v>1011</v>
      </c>
      <c r="G10" s="294">
        <v>275.39</v>
      </c>
      <c r="H10" s="294" t="s">
        <v>1012</v>
      </c>
      <c r="I10" s="301" t="s">
        <v>1013</v>
      </c>
      <c r="J10" s="298">
        <v>1</v>
      </c>
      <c r="K10" s="298" t="s">
        <v>200</v>
      </c>
      <c r="L10" s="298" t="s">
        <v>206</v>
      </c>
      <c r="M10" s="295">
        <v>45930</v>
      </c>
      <c r="N10" s="298" t="s">
        <v>997</v>
      </c>
      <c r="O10" s="298" t="s">
        <v>997</v>
      </c>
      <c r="P10" s="396" t="s">
        <v>998</v>
      </c>
    </row>
    <row r="11" spans="1:16">
      <c r="A11" s="315">
        <v>9</v>
      </c>
      <c r="B11" s="316" t="s">
        <v>556</v>
      </c>
      <c r="C11" s="317" t="s">
        <v>357</v>
      </c>
      <c r="D11" s="316" t="s">
        <v>557</v>
      </c>
      <c r="E11" s="317" t="s">
        <v>560</v>
      </c>
      <c r="F11" s="317" t="s">
        <v>994</v>
      </c>
      <c r="G11" s="317">
        <v>375.54</v>
      </c>
      <c r="H11" s="317" t="s">
        <v>995</v>
      </c>
      <c r="I11" s="318" t="s">
        <v>1014</v>
      </c>
      <c r="J11" s="316">
        <v>1</v>
      </c>
      <c r="K11" s="316" t="s">
        <v>200</v>
      </c>
      <c r="L11" s="316" t="s">
        <v>206</v>
      </c>
      <c r="M11" s="319">
        <v>45911</v>
      </c>
      <c r="N11" s="316" t="s">
        <v>997</v>
      </c>
      <c r="O11" s="316" t="s">
        <v>997</v>
      </c>
      <c r="P11" s="599" t="s">
        <v>1015</v>
      </c>
    </row>
    <row r="12" spans="1:16" ht="26.25">
      <c r="A12" s="297">
        <v>10</v>
      </c>
      <c r="B12" s="298" t="s">
        <v>557</v>
      </c>
      <c r="C12" s="294" t="s">
        <v>560</v>
      </c>
      <c r="D12" s="298" t="s">
        <v>558</v>
      </c>
      <c r="E12" s="294" t="s">
        <v>305</v>
      </c>
      <c r="F12" s="294" t="s">
        <v>1016</v>
      </c>
      <c r="G12" s="294">
        <v>297.52</v>
      </c>
      <c r="H12" s="294" t="s">
        <v>1017</v>
      </c>
      <c r="I12" s="301" t="s">
        <v>1018</v>
      </c>
      <c r="J12" s="298">
        <v>1</v>
      </c>
      <c r="K12" s="298" t="s">
        <v>200</v>
      </c>
      <c r="L12" s="298" t="s">
        <v>206</v>
      </c>
      <c r="M12" s="295">
        <v>45909</v>
      </c>
      <c r="N12" s="298" t="s">
        <v>997</v>
      </c>
      <c r="O12" s="298" t="s">
        <v>997</v>
      </c>
      <c r="P12" s="396" t="s">
        <v>998</v>
      </c>
    </row>
    <row r="13" spans="1:16" ht="26.25">
      <c r="A13" s="297">
        <v>11</v>
      </c>
      <c r="B13" s="298" t="s">
        <v>557</v>
      </c>
      <c r="C13" s="294" t="s">
        <v>560</v>
      </c>
      <c r="D13" s="298" t="s">
        <v>558</v>
      </c>
      <c r="E13" s="294" t="s">
        <v>305</v>
      </c>
      <c r="F13" s="294" t="s">
        <v>1011</v>
      </c>
      <c r="G13" s="294">
        <v>297.52</v>
      </c>
      <c r="H13" s="286" t="s">
        <v>1012</v>
      </c>
      <c r="I13" s="301" t="s">
        <v>1019</v>
      </c>
      <c r="J13" s="298">
        <v>1</v>
      </c>
      <c r="K13" s="298" t="s">
        <v>200</v>
      </c>
      <c r="L13" s="298" t="s">
        <v>206</v>
      </c>
      <c r="M13" s="295">
        <v>45930</v>
      </c>
      <c r="N13" s="295" t="s">
        <v>997</v>
      </c>
      <c r="O13" s="295" t="s">
        <v>997</v>
      </c>
      <c r="P13" s="396" t="s">
        <v>998</v>
      </c>
    </row>
    <row r="14" spans="1:16" ht="26.25">
      <c r="A14" s="297">
        <v>12</v>
      </c>
      <c r="B14" s="298" t="s">
        <v>453</v>
      </c>
      <c r="C14" s="294" t="s">
        <v>350</v>
      </c>
      <c r="D14" s="298" t="s">
        <v>455</v>
      </c>
      <c r="E14" s="294" t="s">
        <v>373</v>
      </c>
      <c r="F14" s="294" t="s">
        <v>1004</v>
      </c>
      <c r="G14" s="294">
        <v>234.98</v>
      </c>
      <c r="H14" s="294" t="s">
        <v>1020</v>
      </c>
      <c r="I14" s="301" t="s">
        <v>1021</v>
      </c>
      <c r="J14" s="298">
        <v>1</v>
      </c>
      <c r="K14" s="298" t="s">
        <v>200</v>
      </c>
      <c r="L14" s="298" t="s">
        <v>206</v>
      </c>
      <c r="M14" s="295">
        <v>45750</v>
      </c>
      <c r="N14" s="295" t="s">
        <v>997</v>
      </c>
      <c r="O14" s="298" t="s">
        <v>997</v>
      </c>
      <c r="P14" s="396" t="s">
        <v>998</v>
      </c>
    </row>
    <row r="15" spans="1:16" ht="26.25">
      <c r="A15" s="297">
        <v>13</v>
      </c>
      <c r="B15" s="298" t="s">
        <v>455</v>
      </c>
      <c r="C15" s="294" t="s">
        <v>373</v>
      </c>
      <c r="D15" s="298" t="s">
        <v>459</v>
      </c>
      <c r="E15" s="294" t="s">
        <v>350</v>
      </c>
      <c r="F15" s="294" t="s">
        <v>1004</v>
      </c>
      <c r="G15" s="294">
        <v>375.72</v>
      </c>
      <c r="H15" s="294" t="s">
        <v>1005</v>
      </c>
      <c r="I15" s="301" t="s">
        <v>1022</v>
      </c>
      <c r="J15" s="298">
        <v>1</v>
      </c>
      <c r="K15" s="298" t="s">
        <v>200</v>
      </c>
      <c r="L15" s="298" t="s">
        <v>206</v>
      </c>
      <c r="M15" s="295">
        <v>45751</v>
      </c>
      <c r="N15" s="295" t="s">
        <v>997</v>
      </c>
      <c r="O15" s="298" t="s">
        <v>997</v>
      </c>
      <c r="P15" s="396" t="s">
        <v>998</v>
      </c>
    </row>
    <row r="16" spans="1:16" ht="26.25">
      <c r="A16" s="297">
        <v>14</v>
      </c>
      <c r="B16" s="298" t="s">
        <v>428</v>
      </c>
      <c r="C16" s="294" t="s">
        <v>373</v>
      </c>
      <c r="D16" s="298" t="s">
        <v>427</v>
      </c>
      <c r="E16" s="294" t="s">
        <v>292</v>
      </c>
      <c r="F16" s="294" t="s">
        <v>1004</v>
      </c>
      <c r="G16" s="294">
        <v>378.53</v>
      </c>
      <c r="H16" s="294" t="s">
        <v>1005</v>
      </c>
      <c r="I16" s="301" t="s">
        <v>1023</v>
      </c>
      <c r="J16" s="298">
        <v>1</v>
      </c>
      <c r="K16" s="298" t="s">
        <v>200</v>
      </c>
      <c r="L16" s="298" t="s">
        <v>206</v>
      </c>
      <c r="M16" s="295">
        <v>45913</v>
      </c>
      <c r="N16" s="295" t="s">
        <v>997</v>
      </c>
      <c r="O16" s="298" t="s">
        <v>997</v>
      </c>
      <c r="P16" s="396" t="s">
        <v>998</v>
      </c>
    </row>
    <row r="17" spans="1:16" ht="25.5">
      <c r="A17" s="297">
        <v>15</v>
      </c>
      <c r="B17" s="298" t="s">
        <v>428</v>
      </c>
      <c r="C17" s="294" t="s">
        <v>373</v>
      </c>
      <c r="D17" s="298" t="s">
        <v>427</v>
      </c>
      <c r="E17" s="294" t="s">
        <v>292</v>
      </c>
      <c r="F17" s="294" t="s">
        <v>994</v>
      </c>
      <c r="G17" s="294">
        <v>378.53</v>
      </c>
      <c r="H17" s="294" t="s">
        <v>995</v>
      </c>
      <c r="I17" s="301" t="s">
        <v>1024</v>
      </c>
      <c r="J17" s="298">
        <v>1</v>
      </c>
      <c r="K17" s="298" t="s">
        <v>200</v>
      </c>
      <c r="L17" s="298" t="s">
        <v>206</v>
      </c>
      <c r="M17" s="295">
        <v>45902</v>
      </c>
      <c r="N17" s="295" t="s">
        <v>997</v>
      </c>
      <c r="O17" s="295" t="s">
        <v>997</v>
      </c>
      <c r="P17" s="398" t="s">
        <v>998</v>
      </c>
    </row>
    <row r="18" spans="1:16" ht="26.25">
      <c r="A18" s="297">
        <v>16</v>
      </c>
      <c r="B18" s="298" t="s">
        <v>577</v>
      </c>
      <c r="C18" s="294" t="s">
        <v>309</v>
      </c>
      <c r="D18" s="298" t="s">
        <v>578</v>
      </c>
      <c r="E18" s="294" t="s">
        <v>350</v>
      </c>
      <c r="F18" s="294" t="s">
        <v>1004</v>
      </c>
      <c r="G18" s="294">
        <v>406</v>
      </c>
      <c r="H18" s="294" t="s">
        <v>1007</v>
      </c>
      <c r="I18" s="301" t="s">
        <v>1025</v>
      </c>
      <c r="J18" s="298">
        <v>1</v>
      </c>
      <c r="K18" s="298" t="s">
        <v>200</v>
      </c>
      <c r="L18" s="298" t="s">
        <v>206</v>
      </c>
      <c r="M18" s="295">
        <v>45905</v>
      </c>
      <c r="N18" s="295" t="s">
        <v>997</v>
      </c>
      <c r="O18" s="295" t="s">
        <v>997</v>
      </c>
      <c r="P18" s="396" t="s">
        <v>998</v>
      </c>
    </row>
    <row r="19" spans="1:16" ht="26.25">
      <c r="A19" s="297">
        <v>17</v>
      </c>
      <c r="B19" s="298" t="s">
        <v>581</v>
      </c>
      <c r="C19" s="294" t="s">
        <v>399</v>
      </c>
      <c r="D19" s="298" t="s">
        <v>582</v>
      </c>
      <c r="E19" s="294" t="s">
        <v>350</v>
      </c>
      <c r="F19" s="294" t="s">
        <v>1004</v>
      </c>
      <c r="G19" s="294">
        <v>426</v>
      </c>
      <c r="H19" s="294" t="s">
        <v>1005</v>
      </c>
      <c r="I19" s="301" t="s">
        <v>1026</v>
      </c>
      <c r="J19" s="298">
        <v>19</v>
      </c>
      <c r="K19" s="298" t="s">
        <v>200</v>
      </c>
      <c r="L19" s="298" t="s">
        <v>206</v>
      </c>
      <c r="M19" s="295">
        <v>45877</v>
      </c>
      <c r="N19" s="295" t="s">
        <v>997</v>
      </c>
      <c r="O19" s="295" t="s">
        <v>997</v>
      </c>
      <c r="P19" s="396" t="s">
        <v>998</v>
      </c>
    </row>
    <row r="20" spans="1:16" ht="26.25">
      <c r="A20" s="297">
        <v>18</v>
      </c>
      <c r="B20" s="298" t="s">
        <v>581</v>
      </c>
      <c r="C20" s="294" t="s">
        <v>399</v>
      </c>
      <c r="D20" s="298" t="s">
        <v>582</v>
      </c>
      <c r="E20" s="294" t="s">
        <v>350</v>
      </c>
      <c r="F20" s="294" t="s">
        <v>1004</v>
      </c>
      <c r="G20" s="294">
        <v>426</v>
      </c>
      <c r="H20" s="294" t="s">
        <v>1027</v>
      </c>
      <c r="I20" s="301" t="s">
        <v>1028</v>
      </c>
      <c r="J20" s="298">
        <v>1</v>
      </c>
      <c r="K20" s="298" t="s">
        <v>200</v>
      </c>
      <c r="L20" s="298" t="s">
        <v>206</v>
      </c>
      <c r="M20" s="295">
        <v>45877</v>
      </c>
      <c r="N20" s="295" t="s">
        <v>997</v>
      </c>
      <c r="O20" s="295" t="s">
        <v>997</v>
      </c>
      <c r="P20" s="396" t="s">
        <v>998</v>
      </c>
    </row>
    <row r="21" spans="1:16" ht="26.25">
      <c r="A21" s="297">
        <v>19</v>
      </c>
      <c r="B21" s="298" t="s">
        <v>181</v>
      </c>
      <c r="C21" s="294" t="s">
        <v>302</v>
      </c>
      <c r="D21" s="298" t="s">
        <v>590</v>
      </c>
      <c r="E21" s="294" t="s">
        <v>357</v>
      </c>
      <c r="F21" s="294" t="s">
        <v>1004</v>
      </c>
      <c r="G21" s="294">
        <v>410</v>
      </c>
      <c r="H21" s="294" t="s">
        <v>1027</v>
      </c>
      <c r="I21" s="301" t="s">
        <v>1029</v>
      </c>
      <c r="J21" s="298">
        <v>1</v>
      </c>
      <c r="K21" s="298" t="s">
        <v>200</v>
      </c>
      <c r="L21" s="298" t="s">
        <v>206</v>
      </c>
      <c r="M21" s="295">
        <v>45878</v>
      </c>
      <c r="N21" s="298" t="s">
        <v>997</v>
      </c>
      <c r="O21" s="298" t="s">
        <v>997</v>
      </c>
      <c r="P21" s="396" t="s">
        <v>998</v>
      </c>
    </row>
    <row r="22" spans="1:16" ht="26.25">
      <c r="A22" s="297">
        <v>20</v>
      </c>
      <c r="B22" s="298" t="s">
        <v>598</v>
      </c>
      <c r="C22" s="294" t="s">
        <v>330</v>
      </c>
      <c r="D22" s="298" t="s">
        <v>599</v>
      </c>
      <c r="E22" s="294" t="s">
        <v>600</v>
      </c>
      <c r="F22" s="294" t="s">
        <v>1004</v>
      </c>
      <c r="G22" s="294">
        <v>404.98</v>
      </c>
      <c r="H22" s="294" t="s">
        <v>1030</v>
      </c>
      <c r="I22" s="301" t="s">
        <v>1031</v>
      </c>
      <c r="J22" s="298">
        <v>1</v>
      </c>
      <c r="K22" s="298" t="s">
        <v>200</v>
      </c>
      <c r="L22" s="298" t="s">
        <v>206</v>
      </c>
      <c r="M22" s="295">
        <v>45877</v>
      </c>
      <c r="N22" s="295" t="s">
        <v>997</v>
      </c>
      <c r="O22" s="298" t="s">
        <v>997</v>
      </c>
      <c r="P22" s="396" t="s">
        <v>998</v>
      </c>
    </row>
    <row r="23" spans="1:16">
      <c r="A23" s="315">
        <v>21</v>
      </c>
      <c r="B23" s="316" t="s">
        <v>599</v>
      </c>
      <c r="C23" s="317" t="s">
        <v>600</v>
      </c>
      <c r="D23" s="316" t="s">
        <v>601</v>
      </c>
      <c r="E23" s="317" t="s">
        <v>350</v>
      </c>
      <c r="F23" s="317" t="s">
        <v>1004</v>
      </c>
      <c r="G23" s="317">
        <v>382.01</v>
      </c>
      <c r="H23" s="317" t="s">
        <v>1007</v>
      </c>
      <c r="I23" s="318" t="s">
        <v>1032</v>
      </c>
      <c r="J23" s="316">
        <v>1</v>
      </c>
      <c r="K23" s="316" t="s">
        <v>200</v>
      </c>
      <c r="L23" s="316" t="s">
        <v>206</v>
      </c>
      <c r="M23" s="319">
        <v>45882</v>
      </c>
      <c r="N23" s="319" t="s">
        <v>997</v>
      </c>
      <c r="O23" s="316" t="s">
        <v>997</v>
      </c>
      <c r="P23" s="397" t="s">
        <v>1033</v>
      </c>
    </row>
    <row r="24" spans="1:16">
      <c r="A24" s="315">
        <v>22</v>
      </c>
      <c r="B24" s="316" t="s">
        <v>165</v>
      </c>
      <c r="C24" s="317" t="s">
        <v>305</v>
      </c>
      <c r="D24" s="316" t="s">
        <v>602</v>
      </c>
      <c r="E24" s="317" t="s">
        <v>305</v>
      </c>
      <c r="F24" s="317" t="s">
        <v>994</v>
      </c>
      <c r="G24" s="317">
        <v>155.72999999999999</v>
      </c>
      <c r="H24" s="317" t="s">
        <v>995</v>
      </c>
      <c r="I24" s="318" t="s">
        <v>1034</v>
      </c>
      <c r="J24" s="316">
        <v>1</v>
      </c>
      <c r="K24" s="316" t="s">
        <v>200</v>
      </c>
      <c r="L24" s="316" t="s">
        <v>206</v>
      </c>
      <c r="M24" s="319">
        <v>45880</v>
      </c>
      <c r="N24" s="319" t="s">
        <v>997</v>
      </c>
      <c r="O24" s="316" t="s">
        <v>997</v>
      </c>
      <c r="P24" s="397" t="s">
        <v>1015</v>
      </c>
    </row>
    <row r="25" spans="1:16">
      <c r="A25" s="315">
        <v>23</v>
      </c>
      <c r="B25" s="316" t="s">
        <v>607</v>
      </c>
      <c r="C25" s="317" t="s">
        <v>322</v>
      </c>
      <c r="D25" s="316" t="s">
        <v>608</v>
      </c>
      <c r="E25" s="317" t="s">
        <v>561</v>
      </c>
      <c r="F25" s="317" t="s">
        <v>1004</v>
      </c>
      <c r="G25" s="317">
        <v>329</v>
      </c>
      <c r="H25" s="317" t="s">
        <v>1007</v>
      </c>
      <c r="I25" s="318" t="s">
        <v>1035</v>
      </c>
      <c r="J25" s="316">
        <v>1</v>
      </c>
      <c r="K25" s="316" t="s">
        <v>200</v>
      </c>
      <c r="L25" s="316" t="s">
        <v>206</v>
      </c>
      <c r="M25" s="319">
        <v>45888</v>
      </c>
      <c r="N25" s="319" t="s">
        <v>997</v>
      </c>
      <c r="O25" s="316" t="s">
        <v>997</v>
      </c>
      <c r="P25" s="397" t="s">
        <v>1033</v>
      </c>
    </row>
    <row r="26" spans="1:16">
      <c r="A26" s="315">
        <v>24</v>
      </c>
      <c r="B26" s="316" t="s">
        <v>607</v>
      </c>
      <c r="C26" s="317" t="s">
        <v>322</v>
      </c>
      <c r="D26" s="316" t="s">
        <v>608</v>
      </c>
      <c r="E26" s="317" t="s">
        <v>561</v>
      </c>
      <c r="F26" s="317" t="s">
        <v>994</v>
      </c>
      <c r="G26" s="317">
        <v>329</v>
      </c>
      <c r="H26" s="317" t="s">
        <v>995</v>
      </c>
      <c r="I26" s="318" t="s">
        <v>1036</v>
      </c>
      <c r="J26" s="316">
        <v>1</v>
      </c>
      <c r="K26" s="316" t="s">
        <v>200</v>
      </c>
      <c r="L26" s="316" t="s">
        <v>206</v>
      </c>
      <c r="M26" s="319">
        <v>45889</v>
      </c>
      <c r="N26" s="319" t="s">
        <v>997</v>
      </c>
      <c r="O26" s="316" t="s">
        <v>997</v>
      </c>
      <c r="P26" s="397" t="s">
        <v>1015</v>
      </c>
    </row>
    <row r="27" spans="1:16">
      <c r="A27" s="315">
        <v>25</v>
      </c>
      <c r="B27" s="316" t="s">
        <v>608</v>
      </c>
      <c r="C27" s="317" t="s">
        <v>561</v>
      </c>
      <c r="D27" s="316" t="s">
        <v>609</v>
      </c>
      <c r="E27" s="317" t="s">
        <v>302</v>
      </c>
      <c r="F27" s="317" t="s">
        <v>994</v>
      </c>
      <c r="G27" s="317">
        <v>428.04</v>
      </c>
      <c r="H27" s="317" t="s">
        <v>995</v>
      </c>
      <c r="I27" s="318" t="s">
        <v>1037</v>
      </c>
      <c r="J27" s="316">
        <v>1</v>
      </c>
      <c r="K27" s="316" t="s">
        <v>200</v>
      </c>
      <c r="L27" s="316" t="s">
        <v>206</v>
      </c>
      <c r="M27" s="319">
        <v>45891</v>
      </c>
      <c r="N27" s="319" t="s">
        <v>997</v>
      </c>
      <c r="O27" s="316" t="s">
        <v>997</v>
      </c>
      <c r="P27" s="397" t="s">
        <v>1015</v>
      </c>
    </row>
    <row r="28" spans="1:16">
      <c r="A28" s="315">
        <v>26</v>
      </c>
      <c r="B28" s="316" t="s">
        <v>610</v>
      </c>
      <c r="C28" s="317" t="s">
        <v>350</v>
      </c>
      <c r="D28" s="316" t="s">
        <v>611</v>
      </c>
      <c r="E28" s="317" t="s">
        <v>396</v>
      </c>
      <c r="F28" s="317" t="s">
        <v>994</v>
      </c>
      <c r="G28" s="317">
        <v>365.78</v>
      </c>
      <c r="H28" s="317" t="s">
        <v>995</v>
      </c>
      <c r="I28" s="318" t="s">
        <v>1038</v>
      </c>
      <c r="J28" s="316">
        <v>1</v>
      </c>
      <c r="K28" s="316" t="s">
        <v>200</v>
      </c>
      <c r="L28" s="316" t="s">
        <v>206</v>
      </c>
      <c r="M28" s="319">
        <v>45894</v>
      </c>
      <c r="N28" s="319" t="s">
        <v>997</v>
      </c>
      <c r="O28" s="316" t="s">
        <v>997</v>
      </c>
      <c r="P28" s="397" t="s">
        <v>1015</v>
      </c>
    </row>
    <row r="29" spans="1:16" ht="26.25">
      <c r="A29" s="297">
        <v>27</v>
      </c>
      <c r="B29" s="298" t="s">
        <v>182</v>
      </c>
      <c r="C29" s="294" t="s">
        <v>305</v>
      </c>
      <c r="D29" s="298" t="s">
        <v>141</v>
      </c>
      <c r="E29" s="294" t="s">
        <v>560</v>
      </c>
      <c r="F29" s="294" t="s">
        <v>1011</v>
      </c>
      <c r="G29" s="294">
        <v>276.3</v>
      </c>
      <c r="H29" s="294" t="s">
        <v>1012</v>
      </c>
      <c r="I29" s="301" t="s">
        <v>1039</v>
      </c>
      <c r="J29" s="298">
        <v>1</v>
      </c>
      <c r="K29" s="298" t="s">
        <v>200</v>
      </c>
      <c r="L29" s="298" t="s">
        <v>206</v>
      </c>
      <c r="M29" s="295">
        <v>45930</v>
      </c>
      <c r="N29" s="295" t="s">
        <v>997</v>
      </c>
      <c r="O29" s="298" t="s">
        <v>997</v>
      </c>
      <c r="P29" s="396" t="s">
        <v>998</v>
      </c>
    </row>
    <row r="30" spans="1:16">
      <c r="A30" s="315">
        <v>28</v>
      </c>
      <c r="B30" s="316" t="s">
        <v>182</v>
      </c>
      <c r="C30" s="317" t="s">
        <v>305</v>
      </c>
      <c r="D30" s="316" t="s">
        <v>141</v>
      </c>
      <c r="E30" s="317" t="s">
        <v>560</v>
      </c>
      <c r="F30" s="317" t="s">
        <v>1040</v>
      </c>
      <c r="G30" s="317">
        <v>276.3</v>
      </c>
      <c r="H30" s="317" t="s">
        <v>995</v>
      </c>
      <c r="I30" s="318" t="s">
        <v>1041</v>
      </c>
      <c r="J30" s="316">
        <v>1</v>
      </c>
      <c r="K30" s="316" t="s">
        <v>200</v>
      </c>
      <c r="L30" s="316" t="s">
        <v>206</v>
      </c>
      <c r="M30" s="319">
        <v>45895</v>
      </c>
      <c r="N30" s="319" t="s">
        <v>997</v>
      </c>
      <c r="O30" s="316" t="s">
        <v>997</v>
      </c>
      <c r="P30" s="397" t="s">
        <v>1015</v>
      </c>
    </row>
    <row r="31" spans="1:16" ht="26.25">
      <c r="A31" s="297">
        <v>29</v>
      </c>
      <c r="B31" s="298" t="s">
        <v>615</v>
      </c>
      <c r="C31" s="294" t="s">
        <v>600</v>
      </c>
      <c r="D31" s="298" t="s">
        <v>616</v>
      </c>
      <c r="E31" s="294" t="s">
        <v>298</v>
      </c>
      <c r="F31" s="294" t="s">
        <v>1004</v>
      </c>
      <c r="G31" s="294">
        <v>381.59</v>
      </c>
      <c r="H31" s="294" t="s">
        <v>1027</v>
      </c>
      <c r="I31" s="301" t="s">
        <v>1029</v>
      </c>
      <c r="J31" s="298">
        <v>1</v>
      </c>
      <c r="K31" s="298" t="s">
        <v>200</v>
      </c>
      <c r="L31" s="298" t="s">
        <v>206</v>
      </c>
      <c r="M31" s="295">
        <v>45756</v>
      </c>
      <c r="N31" s="295" t="s">
        <v>997</v>
      </c>
      <c r="O31" s="298" t="s">
        <v>997</v>
      </c>
      <c r="P31" s="396" t="s">
        <v>998</v>
      </c>
    </row>
    <row r="32" spans="1:16">
      <c r="A32" s="315">
        <v>30</v>
      </c>
      <c r="B32" s="316" t="s">
        <v>618</v>
      </c>
      <c r="C32" s="317" t="s">
        <v>350</v>
      </c>
      <c r="D32" s="316" t="s">
        <v>619</v>
      </c>
      <c r="E32" s="317" t="s">
        <v>350</v>
      </c>
      <c r="F32" s="317" t="s">
        <v>1004</v>
      </c>
      <c r="G32" s="317">
        <v>378</v>
      </c>
      <c r="H32" s="317" t="s">
        <v>1007</v>
      </c>
      <c r="I32" s="318" t="s">
        <v>1042</v>
      </c>
      <c r="J32" s="316">
        <v>2</v>
      </c>
      <c r="K32" s="316" t="s">
        <v>200</v>
      </c>
      <c r="L32" s="316" t="s">
        <v>206</v>
      </c>
      <c r="M32" s="319">
        <v>45756</v>
      </c>
      <c r="N32" s="319" t="s">
        <v>997</v>
      </c>
      <c r="O32" s="316" t="s">
        <v>997</v>
      </c>
      <c r="P32" s="397" t="s">
        <v>1033</v>
      </c>
    </row>
    <row r="33" spans="1:16" ht="39">
      <c r="A33" s="302">
        <v>31</v>
      </c>
      <c r="B33" s="303" t="s">
        <v>621</v>
      </c>
      <c r="C33" s="304" t="s">
        <v>389</v>
      </c>
      <c r="D33" s="303" t="s">
        <v>755</v>
      </c>
      <c r="E33" s="304" t="s">
        <v>324</v>
      </c>
      <c r="F33" s="304" t="s">
        <v>994</v>
      </c>
      <c r="G33" s="304">
        <v>240.05</v>
      </c>
      <c r="H33" s="305" t="s">
        <v>995</v>
      </c>
      <c r="I33" s="306" t="s">
        <v>1043</v>
      </c>
      <c r="J33" s="303">
        <v>1</v>
      </c>
      <c r="K33" s="303" t="s">
        <v>200</v>
      </c>
      <c r="L33" s="303" t="s">
        <v>1044</v>
      </c>
      <c r="M33" s="307"/>
      <c r="N33" s="307"/>
      <c r="O33" s="303"/>
      <c r="P33" s="399" t="s">
        <v>1045</v>
      </c>
    </row>
    <row r="34" spans="1:16" ht="39">
      <c r="A34" s="302">
        <v>32</v>
      </c>
      <c r="B34" s="303" t="s">
        <v>142</v>
      </c>
      <c r="C34" s="304" t="s">
        <v>928</v>
      </c>
      <c r="D34" s="303" t="s">
        <v>143</v>
      </c>
      <c r="E34" s="304" t="s">
        <v>393</v>
      </c>
      <c r="F34" s="304" t="s">
        <v>994</v>
      </c>
      <c r="G34" s="304">
        <v>249</v>
      </c>
      <c r="H34" s="305" t="s">
        <v>995</v>
      </c>
      <c r="I34" s="306" t="s">
        <v>1046</v>
      </c>
      <c r="J34" s="303">
        <v>1</v>
      </c>
      <c r="K34" s="303" t="s">
        <v>200</v>
      </c>
      <c r="L34" s="303" t="s">
        <v>1044</v>
      </c>
      <c r="M34" s="307"/>
      <c r="N34" s="307"/>
      <c r="O34" s="303"/>
      <c r="P34" s="399" t="s">
        <v>1045</v>
      </c>
    </row>
    <row r="35" spans="1:16">
      <c r="A35" s="619">
        <v>33</v>
      </c>
      <c r="B35" s="620" t="s">
        <v>763</v>
      </c>
      <c r="C35" s="621" t="s">
        <v>298</v>
      </c>
      <c r="D35" s="620" t="s">
        <v>1047</v>
      </c>
      <c r="E35" s="621" t="s">
        <v>298</v>
      </c>
      <c r="F35" s="621" t="s">
        <v>1004</v>
      </c>
      <c r="G35" s="621">
        <v>172.61</v>
      </c>
      <c r="H35" s="621" t="s">
        <v>1005</v>
      </c>
      <c r="I35" s="622" t="s">
        <v>1048</v>
      </c>
      <c r="J35" s="620">
        <v>1</v>
      </c>
      <c r="K35" s="620" t="s">
        <v>200</v>
      </c>
      <c r="L35" s="620" t="s">
        <v>1044</v>
      </c>
      <c r="M35" s="623"/>
      <c r="N35" s="623"/>
      <c r="O35" s="620"/>
      <c r="P35" s="624" t="s">
        <v>1120</v>
      </c>
    </row>
    <row r="36" spans="1:16" ht="25.5">
      <c r="A36" s="390">
        <v>34</v>
      </c>
      <c r="B36" s="391" t="s">
        <v>622</v>
      </c>
      <c r="C36" s="392" t="s">
        <v>1049</v>
      </c>
      <c r="D36" s="391" t="s">
        <v>623</v>
      </c>
      <c r="E36" s="392" t="s">
        <v>1050</v>
      </c>
      <c r="F36" s="392" t="s">
        <v>994</v>
      </c>
      <c r="G36" s="392">
        <v>225.81</v>
      </c>
      <c r="H36" s="395" t="s">
        <v>1051</v>
      </c>
      <c r="I36" s="393" t="s">
        <v>1052</v>
      </c>
      <c r="J36" s="391">
        <v>1</v>
      </c>
      <c r="K36" s="391" t="s">
        <v>200</v>
      </c>
      <c r="L36" s="391" t="s">
        <v>206</v>
      </c>
      <c r="M36" s="394">
        <v>46150</v>
      </c>
      <c r="N36" s="394" t="s">
        <v>997</v>
      </c>
      <c r="O36" s="391"/>
      <c r="P36" s="398" t="s">
        <v>998</v>
      </c>
    </row>
    <row r="37" spans="1:16" ht="25.5">
      <c r="A37" s="390">
        <v>35</v>
      </c>
      <c r="B37" s="391" t="s">
        <v>622</v>
      </c>
      <c r="C37" s="392" t="s">
        <v>1049</v>
      </c>
      <c r="D37" s="391" t="s">
        <v>623</v>
      </c>
      <c r="E37" s="392" t="s">
        <v>1050</v>
      </c>
      <c r="F37" s="392" t="s">
        <v>1004</v>
      </c>
      <c r="G37" s="392">
        <v>225.81</v>
      </c>
      <c r="H37" s="395" t="s">
        <v>1027</v>
      </c>
      <c r="I37" s="393" t="s">
        <v>1029</v>
      </c>
      <c r="J37" s="391">
        <v>1</v>
      </c>
      <c r="K37" s="391" t="s">
        <v>200</v>
      </c>
      <c r="L37" s="391" t="s">
        <v>206</v>
      </c>
      <c r="M37" s="394">
        <v>46150</v>
      </c>
      <c r="N37" s="295" t="s">
        <v>997</v>
      </c>
      <c r="O37" s="391"/>
      <c r="P37" s="398" t="s">
        <v>998</v>
      </c>
    </row>
    <row r="38" spans="1:16" ht="25.5">
      <c r="A38" s="297">
        <v>36</v>
      </c>
      <c r="B38" s="298" t="s">
        <v>624</v>
      </c>
      <c r="C38" s="294" t="s">
        <v>350</v>
      </c>
      <c r="D38" s="298" t="s">
        <v>145</v>
      </c>
      <c r="E38" s="294" t="s">
        <v>357</v>
      </c>
      <c r="F38" s="294" t="s">
        <v>1004</v>
      </c>
      <c r="G38" s="294">
        <v>385</v>
      </c>
      <c r="H38" s="286" t="s">
        <v>1009</v>
      </c>
      <c r="I38" s="301" t="s">
        <v>1053</v>
      </c>
      <c r="J38" s="298">
        <v>1</v>
      </c>
      <c r="K38" s="298" t="s">
        <v>200</v>
      </c>
      <c r="L38" s="391" t="s">
        <v>206</v>
      </c>
      <c r="M38" s="295">
        <v>46153</v>
      </c>
      <c r="N38" s="295" t="s">
        <v>997</v>
      </c>
      <c r="O38" s="298"/>
      <c r="P38" s="398" t="s">
        <v>998</v>
      </c>
    </row>
    <row r="39" spans="1:16" s="600" customFormat="1" ht="25.5">
      <c r="A39" s="390">
        <v>37</v>
      </c>
      <c r="B39" s="391" t="s">
        <v>145</v>
      </c>
      <c r="C39" s="392" t="s">
        <v>357</v>
      </c>
      <c r="D39" s="391" t="s">
        <v>625</v>
      </c>
      <c r="E39" s="392" t="s">
        <v>357</v>
      </c>
      <c r="F39" s="392" t="s">
        <v>1004</v>
      </c>
      <c r="G39" s="392">
        <v>429</v>
      </c>
      <c r="H39" s="395" t="s">
        <v>1020</v>
      </c>
      <c r="I39" s="393" t="s">
        <v>1054</v>
      </c>
      <c r="J39" s="391">
        <v>1</v>
      </c>
      <c r="K39" s="391" t="s">
        <v>200</v>
      </c>
      <c r="L39" s="391" t="s">
        <v>206</v>
      </c>
      <c r="M39" s="394">
        <v>46167</v>
      </c>
      <c r="N39" s="295" t="s">
        <v>997</v>
      </c>
      <c r="O39" s="303"/>
      <c r="P39" s="398" t="s">
        <v>998</v>
      </c>
    </row>
    <row r="40" spans="1:16" s="600" customFormat="1" ht="25.5">
      <c r="A40" s="390">
        <v>38</v>
      </c>
      <c r="B40" s="391" t="s">
        <v>145</v>
      </c>
      <c r="C40" s="392" t="s">
        <v>357</v>
      </c>
      <c r="D40" s="391" t="s">
        <v>625</v>
      </c>
      <c r="E40" s="392" t="s">
        <v>357</v>
      </c>
      <c r="F40" s="392" t="s">
        <v>1004</v>
      </c>
      <c r="G40" s="392">
        <v>429</v>
      </c>
      <c r="H40" s="395" t="s">
        <v>1005</v>
      </c>
      <c r="I40" s="393" t="s">
        <v>1055</v>
      </c>
      <c r="J40" s="391">
        <v>1</v>
      </c>
      <c r="K40" s="391" t="s">
        <v>200</v>
      </c>
      <c r="L40" s="391" t="s">
        <v>206</v>
      </c>
      <c r="M40" s="394">
        <v>46167</v>
      </c>
      <c r="N40" s="295" t="s">
        <v>997</v>
      </c>
      <c r="O40" s="303"/>
      <c r="P40" s="398" t="s">
        <v>998</v>
      </c>
    </row>
    <row r="41" spans="1:16" s="600" customFormat="1" ht="25.5">
      <c r="A41" s="390">
        <v>39</v>
      </c>
      <c r="B41" s="391" t="s">
        <v>145</v>
      </c>
      <c r="C41" s="392" t="s">
        <v>357</v>
      </c>
      <c r="D41" s="391" t="s">
        <v>625</v>
      </c>
      <c r="E41" s="392" t="s">
        <v>357</v>
      </c>
      <c r="F41" s="392" t="s">
        <v>1004</v>
      </c>
      <c r="G41" s="392">
        <v>429</v>
      </c>
      <c r="H41" s="395" t="s">
        <v>1007</v>
      </c>
      <c r="I41" s="393" t="s">
        <v>1056</v>
      </c>
      <c r="J41" s="391">
        <v>1</v>
      </c>
      <c r="K41" s="391" t="s">
        <v>200</v>
      </c>
      <c r="L41" s="391" t="s">
        <v>206</v>
      </c>
      <c r="M41" s="394">
        <v>46167</v>
      </c>
      <c r="N41" s="295" t="s">
        <v>997</v>
      </c>
      <c r="O41" s="303"/>
      <c r="P41" s="398" t="s">
        <v>998</v>
      </c>
    </row>
    <row r="42" spans="1:16">
      <c r="A42" s="619">
        <v>40</v>
      </c>
      <c r="B42" s="620" t="s">
        <v>1057</v>
      </c>
      <c r="C42" s="621" t="s">
        <v>396</v>
      </c>
      <c r="D42" s="620" t="s">
        <v>1058</v>
      </c>
      <c r="E42" s="621" t="s">
        <v>396</v>
      </c>
      <c r="F42" s="621" t="s">
        <v>1004</v>
      </c>
      <c r="G42" s="621">
        <v>360</v>
      </c>
      <c r="H42" s="621" t="s">
        <v>1005</v>
      </c>
      <c r="I42" s="622" t="s">
        <v>1059</v>
      </c>
      <c r="J42" s="620">
        <v>1</v>
      </c>
      <c r="K42" s="620" t="s">
        <v>200</v>
      </c>
      <c r="L42" s="620" t="s">
        <v>1044</v>
      </c>
      <c r="M42" s="623"/>
      <c r="N42" s="623"/>
      <c r="O42" s="620"/>
      <c r="P42" s="624" t="s">
        <v>1120</v>
      </c>
    </row>
    <row r="43" spans="1:16" ht="26.25">
      <c r="A43" s="297">
        <v>41</v>
      </c>
      <c r="B43" s="298" t="s">
        <v>635</v>
      </c>
      <c r="C43" s="294" t="s">
        <v>300</v>
      </c>
      <c r="D43" s="298" t="s">
        <v>464</v>
      </c>
      <c r="E43" s="294" t="s">
        <v>330</v>
      </c>
      <c r="F43" s="294" t="s">
        <v>1016</v>
      </c>
      <c r="G43" s="294">
        <v>244.02</v>
      </c>
      <c r="H43" s="294" t="s">
        <v>1017</v>
      </c>
      <c r="I43" s="301" t="s">
        <v>1060</v>
      </c>
      <c r="J43" s="298">
        <v>1</v>
      </c>
      <c r="K43" s="298" t="s">
        <v>200</v>
      </c>
      <c r="L43" s="298" t="s">
        <v>206</v>
      </c>
      <c r="M43" s="295">
        <v>45859</v>
      </c>
      <c r="N43" s="295" t="s">
        <v>997</v>
      </c>
      <c r="O43" s="298" t="s">
        <v>997</v>
      </c>
      <c r="P43" s="396" t="s">
        <v>998</v>
      </c>
    </row>
    <row r="44" spans="1:16">
      <c r="A44" s="315">
        <v>42</v>
      </c>
      <c r="B44" s="316" t="s">
        <v>638</v>
      </c>
      <c r="C44" s="317" t="s">
        <v>350</v>
      </c>
      <c r="D44" s="316" t="s">
        <v>639</v>
      </c>
      <c r="E44" s="317" t="s">
        <v>335</v>
      </c>
      <c r="F44" s="317" t="s">
        <v>994</v>
      </c>
      <c r="G44" s="317">
        <v>364</v>
      </c>
      <c r="H44" s="317" t="s">
        <v>995</v>
      </c>
      <c r="I44" s="318" t="s">
        <v>1061</v>
      </c>
      <c r="J44" s="316">
        <v>1</v>
      </c>
      <c r="K44" s="316" t="s">
        <v>200</v>
      </c>
      <c r="L44" s="316" t="s">
        <v>206</v>
      </c>
      <c r="M44" s="319">
        <v>45854</v>
      </c>
      <c r="N44" s="319" t="s">
        <v>997</v>
      </c>
      <c r="O44" s="316" t="s">
        <v>997</v>
      </c>
      <c r="P44" s="397" t="s">
        <v>1015</v>
      </c>
    </row>
    <row r="45" spans="1:16">
      <c r="A45" s="315">
        <v>43</v>
      </c>
      <c r="B45" s="316" t="s">
        <v>639</v>
      </c>
      <c r="C45" s="317" t="s">
        <v>335</v>
      </c>
      <c r="D45" s="316" t="s">
        <v>640</v>
      </c>
      <c r="E45" s="317" t="s">
        <v>350</v>
      </c>
      <c r="F45" s="317" t="s">
        <v>994</v>
      </c>
      <c r="G45" s="317">
        <v>390</v>
      </c>
      <c r="H45" s="317" t="s">
        <v>995</v>
      </c>
      <c r="I45" s="318" t="s">
        <v>1062</v>
      </c>
      <c r="J45" s="316">
        <v>1</v>
      </c>
      <c r="K45" s="316" t="s">
        <v>200</v>
      </c>
      <c r="L45" s="316" t="s">
        <v>206</v>
      </c>
      <c r="M45" s="319">
        <v>45854</v>
      </c>
      <c r="N45" s="319" t="s">
        <v>997</v>
      </c>
      <c r="O45" s="316" t="s">
        <v>997</v>
      </c>
      <c r="P45" s="397" t="s">
        <v>1015</v>
      </c>
    </row>
    <row r="46" spans="1:16" ht="26.25">
      <c r="A46" s="297">
        <v>44</v>
      </c>
      <c r="B46" s="298" t="s">
        <v>651</v>
      </c>
      <c r="C46" s="294" t="s">
        <v>330</v>
      </c>
      <c r="D46" s="298" t="s">
        <v>652</v>
      </c>
      <c r="E46" s="294" t="s">
        <v>302</v>
      </c>
      <c r="F46" s="294" t="s">
        <v>1016</v>
      </c>
      <c r="G46" s="294">
        <v>242.91</v>
      </c>
      <c r="H46" s="294" t="s">
        <v>1017</v>
      </c>
      <c r="I46" s="301" t="s">
        <v>1063</v>
      </c>
      <c r="J46" s="298">
        <v>1</v>
      </c>
      <c r="K46" s="298" t="s">
        <v>200</v>
      </c>
      <c r="L46" s="298" t="s">
        <v>206</v>
      </c>
      <c r="M46" s="295">
        <v>45859</v>
      </c>
      <c r="N46" s="295" t="s">
        <v>997</v>
      </c>
      <c r="O46" s="295" t="s">
        <v>997</v>
      </c>
      <c r="P46" s="396" t="s">
        <v>998</v>
      </c>
    </row>
    <row r="47" spans="1:16">
      <c r="A47" s="315">
        <v>45</v>
      </c>
      <c r="B47" s="316" t="s">
        <v>669</v>
      </c>
      <c r="C47" s="317" t="s">
        <v>676</v>
      </c>
      <c r="D47" s="316" t="s">
        <v>437</v>
      </c>
      <c r="E47" s="317" t="s">
        <v>357</v>
      </c>
      <c r="F47" s="317" t="s">
        <v>994</v>
      </c>
      <c r="G47" s="317">
        <v>437</v>
      </c>
      <c r="H47" s="317" t="s">
        <v>995</v>
      </c>
      <c r="I47" s="318" t="s">
        <v>1064</v>
      </c>
      <c r="J47" s="316">
        <v>1</v>
      </c>
      <c r="K47" s="316" t="s">
        <v>200</v>
      </c>
      <c r="L47" s="316" t="s">
        <v>206</v>
      </c>
      <c r="M47" s="319">
        <v>45897</v>
      </c>
      <c r="N47" s="319" t="s">
        <v>997</v>
      </c>
      <c r="O47" s="316" t="s">
        <v>997</v>
      </c>
      <c r="P47" s="397" t="s">
        <v>1015</v>
      </c>
    </row>
    <row r="48" spans="1:16">
      <c r="A48" s="390">
        <v>46</v>
      </c>
      <c r="B48" s="391" t="s">
        <v>675</v>
      </c>
      <c r="C48" s="392" t="s">
        <v>300</v>
      </c>
      <c r="D48" s="391" t="s">
        <v>463</v>
      </c>
      <c r="E48" s="392" t="s">
        <v>335</v>
      </c>
      <c r="F48" s="392" t="s">
        <v>1016</v>
      </c>
      <c r="G48" s="392">
        <v>210.48</v>
      </c>
      <c r="H48" s="392" t="s">
        <v>1017</v>
      </c>
      <c r="I48" s="393" t="s">
        <v>1065</v>
      </c>
      <c r="J48" s="391">
        <v>1</v>
      </c>
      <c r="K48" s="391" t="s">
        <v>201</v>
      </c>
      <c r="L48" s="391" t="s">
        <v>206</v>
      </c>
      <c r="M48" s="394">
        <v>46182</v>
      </c>
      <c r="N48" s="394" t="s">
        <v>997</v>
      </c>
      <c r="O48" s="391"/>
      <c r="P48" s="398" t="s">
        <v>1095</v>
      </c>
    </row>
    <row r="49" spans="1:16" ht="25.5">
      <c r="A49" s="390">
        <v>47</v>
      </c>
      <c r="B49" s="391" t="s">
        <v>777</v>
      </c>
      <c r="C49" s="392" t="s">
        <v>1066</v>
      </c>
      <c r="D49" s="391" t="s">
        <v>152</v>
      </c>
      <c r="E49" s="392" t="s">
        <v>1067</v>
      </c>
      <c r="F49" s="392" t="s">
        <v>994</v>
      </c>
      <c r="G49" s="392">
        <v>233.53</v>
      </c>
      <c r="H49" s="392" t="s">
        <v>1068</v>
      </c>
      <c r="I49" s="393" t="s">
        <v>1069</v>
      </c>
      <c r="J49" s="391">
        <v>1</v>
      </c>
      <c r="K49" s="391" t="s">
        <v>201</v>
      </c>
      <c r="L49" s="391" t="s">
        <v>206</v>
      </c>
      <c r="M49" s="394">
        <v>46161</v>
      </c>
      <c r="N49" s="394" t="s">
        <v>997</v>
      </c>
      <c r="O49" s="391"/>
      <c r="P49" s="398" t="s">
        <v>998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7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L21"/>
  <sheetViews>
    <sheetView topLeftCell="B1" workbookViewId="0">
      <selection activeCell="F2" sqref="F2:L13"/>
    </sheetView>
  </sheetViews>
  <sheetFormatPr defaultRowHeight="15"/>
  <cols>
    <col min="2" max="3" width="35.5703125" customWidth="1"/>
    <col min="4" max="4" width="12.140625" customWidth="1"/>
    <col min="8" max="8" width="15.7109375" customWidth="1"/>
    <col min="9" max="9" width="16.7109375" customWidth="1"/>
    <col min="10" max="10" width="14" customWidth="1"/>
    <col min="11" max="11" width="15" customWidth="1"/>
    <col min="12" max="12" width="20.5703125" customWidth="1"/>
  </cols>
  <sheetData>
    <row r="1" spans="1:12" ht="21.75" thickBot="1">
      <c r="A1" s="329" t="s">
        <v>1070</v>
      </c>
      <c r="B1" s="328" t="s">
        <v>1071</v>
      </c>
      <c r="C1" s="328" t="s">
        <v>1084</v>
      </c>
      <c r="D1" s="328" t="s">
        <v>262</v>
      </c>
    </row>
    <row r="2" spans="1:12" ht="16.5" thickBot="1">
      <c r="A2" s="326">
        <v>1</v>
      </c>
      <c r="B2" s="327" t="s">
        <v>1088</v>
      </c>
      <c r="C2" s="327" t="s">
        <v>1085</v>
      </c>
      <c r="D2" s="333" t="s">
        <v>1072</v>
      </c>
      <c r="F2" s="585" t="s">
        <v>67</v>
      </c>
    </row>
    <row r="3" spans="1:12" ht="32.1" customHeight="1">
      <c r="A3" s="326">
        <v>2</v>
      </c>
      <c r="B3" s="327" t="s">
        <v>1089</v>
      </c>
      <c r="C3" s="327" t="s">
        <v>1086</v>
      </c>
      <c r="D3" s="333" t="s">
        <v>1072</v>
      </c>
      <c r="G3" s="607" t="s">
        <v>92</v>
      </c>
      <c r="H3" s="608" t="s">
        <v>1096</v>
      </c>
      <c r="I3" s="608" t="s">
        <v>1097</v>
      </c>
      <c r="J3" s="608" t="s">
        <v>470</v>
      </c>
      <c r="K3" s="608" t="s">
        <v>1098</v>
      </c>
      <c r="L3" s="609" t="s">
        <v>33</v>
      </c>
    </row>
    <row r="4" spans="1:12">
      <c r="A4" s="320">
        <v>3</v>
      </c>
      <c r="B4" s="321" t="s">
        <v>1089</v>
      </c>
      <c r="C4" s="327" t="s">
        <v>1087</v>
      </c>
      <c r="D4" s="333" t="s">
        <v>1072</v>
      </c>
      <c r="G4" s="601">
        <v>1</v>
      </c>
      <c r="H4" s="11" t="s">
        <v>1103</v>
      </c>
      <c r="I4" s="11" t="s">
        <v>1099</v>
      </c>
      <c r="J4" s="11">
        <v>12</v>
      </c>
      <c r="K4" s="11">
        <v>9923426296</v>
      </c>
      <c r="L4" s="602"/>
    </row>
    <row r="5" spans="1:12" ht="45">
      <c r="A5" s="322">
        <v>4</v>
      </c>
      <c r="B5" s="323" t="s">
        <v>67</v>
      </c>
      <c r="C5" s="323"/>
      <c r="D5" s="323"/>
      <c r="G5" s="601">
        <v>2</v>
      </c>
      <c r="H5" s="11" t="s">
        <v>1102</v>
      </c>
      <c r="I5" s="10" t="s">
        <v>1100</v>
      </c>
      <c r="J5" s="11">
        <v>10</v>
      </c>
      <c r="K5" s="11">
        <v>9923426296</v>
      </c>
      <c r="L5" s="602"/>
    </row>
    <row r="6" spans="1:12">
      <c r="A6" s="322">
        <v>5</v>
      </c>
      <c r="B6" s="323"/>
      <c r="C6" s="323"/>
      <c r="D6" s="323"/>
      <c r="G6" s="601">
        <v>3</v>
      </c>
      <c r="H6" s="11" t="s">
        <v>1101</v>
      </c>
      <c r="I6" s="11" t="s">
        <v>1104</v>
      </c>
      <c r="J6" s="11">
        <v>11</v>
      </c>
      <c r="K6" s="11">
        <v>7066720891</v>
      </c>
      <c r="L6" s="602"/>
    </row>
    <row r="7" spans="1:12" ht="45">
      <c r="A7" s="322">
        <v>6</v>
      </c>
      <c r="B7" s="323"/>
      <c r="C7" s="323"/>
      <c r="D7" s="323"/>
      <c r="G7" s="601">
        <v>4</v>
      </c>
      <c r="H7" s="11" t="s">
        <v>1105</v>
      </c>
      <c r="I7" s="10" t="s">
        <v>1100</v>
      </c>
      <c r="J7" s="11">
        <v>10</v>
      </c>
      <c r="K7" s="11">
        <v>7066720891</v>
      </c>
      <c r="L7" s="602"/>
    </row>
    <row r="8" spans="1:12">
      <c r="A8" s="322">
        <v>7</v>
      </c>
      <c r="B8" s="323"/>
      <c r="C8" s="323"/>
      <c r="D8" s="323"/>
      <c r="G8" s="601">
        <v>5</v>
      </c>
      <c r="H8" s="11" t="s">
        <v>402</v>
      </c>
      <c r="I8" s="11" t="s">
        <v>1106</v>
      </c>
      <c r="J8" s="11">
        <v>14</v>
      </c>
      <c r="K8" s="11">
        <v>7047832193</v>
      </c>
      <c r="L8" s="602"/>
    </row>
    <row r="9" spans="1:12">
      <c r="A9" s="322">
        <v>8</v>
      </c>
      <c r="B9" s="323"/>
      <c r="C9" s="323"/>
      <c r="D9" s="323"/>
      <c r="G9" s="601">
        <v>6</v>
      </c>
      <c r="H9" s="11" t="s">
        <v>1107</v>
      </c>
      <c r="I9" s="11" t="s">
        <v>1108</v>
      </c>
      <c r="J9" s="11">
        <v>12</v>
      </c>
      <c r="K9" s="11">
        <v>9512377438</v>
      </c>
      <c r="L9" s="602"/>
    </row>
    <row r="10" spans="1:12">
      <c r="A10" s="322">
        <v>9</v>
      </c>
      <c r="B10" s="323"/>
      <c r="C10" s="323"/>
      <c r="D10" s="323"/>
      <c r="G10" s="601">
        <v>7</v>
      </c>
      <c r="H10" s="11" t="s">
        <v>1109</v>
      </c>
      <c r="I10" s="308">
        <v>46193</v>
      </c>
      <c r="J10" s="11">
        <v>12</v>
      </c>
      <c r="K10" s="11">
        <v>9904772920</v>
      </c>
      <c r="L10" s="602"/>
    </row>
    <row r="11" spans="1:12">
      <c r="A11" s="322">
        <v>10</v>
      </c>
      <c r="B11" s="323"/>
      <c r="C11" s="323"/>
      <c r="D11" s="323"/>
      <c r="G11" s="601">
        <v>8</v>
      </c>
      <c r="H11" s="11" t="s">
        <v>1110</v>
      </c>
      <c r="I11" s="308">
        <v>46195</v>
      </c>
      <c r="J11" s="11">
        <v>15</v>
      </c>
      <c r="K11" s="11">
        <v>6299211179</v>
      </c>
      <c r="L11" s="602"/>
    </row>
    <row r="12" spans="1:12">
      <c r="A12" s="322">
        <v>11</v>
      </c>
      <c r="B12" s="323"/>
      <c r="C12" s="323"/>
      <c r="D12" s="323"/>
      <c r="G12" s="601">
        <v>9</v>
      </c>
      <c r="H12" s="11" t="s">
        <v>409</v>
      </c>
      <c r="I12" s="308">
        <v>46194</v>
      </c>
      <c r="J12" s="11">
        <v>15</v>
      </c>
      <c r="K12" s="11">
        <v>9822945752</v>
      </c>
      <c r="L12" s="602"/>
    </row>
    <row r="13" spans="1:12" ht="15.75" thickBot="1">
      <c r="A13" s="322">
        <v>12</v>
      </c>
      <c r="B13" s="323"/>
      <c r="C13" s="323"/>
      <c r="D13" s="323"/>
      <c r="G13" s="603">
        <v>10</v>
      </c>
      <c r="H13" s="604" t="s">
        <v>1111</v>
      </c>
      <c r="I13" s="605">
        <v>46194</v>
      </c>
      <c r="J13" s="604">
        <v>12</v>
      </c>
      <c r="K13" s="604">
        <v>8799693511</v>
      </c>
      <c r="L13" s="606"/>
    </row>
    <row r="14" spans="1:12">
      <c r="A14" s="322">
        <v>13</v>
      </c>
      <c r="B14" s="323"/>
      <c r="C14" s="323"/>
      <c r="D14" s="323"/>
    </row>
    <row r="15" spans="1:12">
      <c r="A15" s="322">
        <v>14</v>
      </c>
      <c r="B15" s="323"/>
      <c r="C15" s="323"/>
      <c r="D15" s="323"/>
    </row>
    <row r="16" spans="1:12">
      <c r="A16" s="322">
        <v>15</v>
      </c>
      <c r="B16" s="323"/>
      <c r="C16" s="323"/>
      <c r="D16" s="323"/>
    </row>
    <row r="17" spans="1:4">
      <c r="A17" s="322">
        <v>16</v>
      </c>
      <c r="B17" s="323"/>
      <c r="C17" s="323"/>
      <c r="D17" s="323"/>
    </row>
    <row r="18" spans="1:4">
      <c r="A18" s="322">
        <v>17</v>
      </c>
      <c r="B18" s="323"/>
      <c r="C18" s="323"/>
      <c r="D18" s="323"/>
    </row>
    <row r="19" spans="1:4">
      <c r="A19" s="322">
        <v>18</v>
      </c>
      <c r="B19" s="323"/>
      <c r="C19" s="323"/>
      <c r="D19" s="323"/>
    </row>
    <row r="20" spans="1:4">
      <c r="A20" s="322">
        <v>19</v>
      </c>
      <c r="B20" s="323"/>
      <c r="C20" s="323"/>
      <c r="D20" s="323"/>
    </row>
    <row r="21" spans="1:4" ht="15.75" thickBot="1">
      <c r="A21" s="324">
        <v>20</v>
      </c>
      <c r="B21" s="325"/>
      <c r="C21" s="325"/>
      <c r="D21" s="325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1073</v>
      </c>
    </row>
    <row r="5" spans="1:9">
      <c r="A5" s="29" t="s">
        <v>1074</v>
      </c>
      <c r="B5" s="29" t="s">
        <v>1075</v>
      </c>
      <c r="C5" s="29" t="s">
        <v>1076</v>
      </c>
      <c r="D5" s="29" t="s">
        <v>195</v>
      </c>
      <c r="E5" s="29" t="s">
        <v>196</v>
      </c>
      <c r="F5" s="29" t="s">
        <v>197</v>
      </c>
      <c r="G5" s="29" t="s">
        <v>198</v>
      </c>
      <c r="H5" s="29" t="s">
        <v>199</v>
      </c>
      <c r="I5" s="29" t="s">
        <v>1077</v>
      </c>
    </row>
    <row r="6" spans="1:9">
      <c r="A6" s="29">
        <v>1</v>
      </c>
      <c r="B6" s="29" t="s">
        <v>1078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Soil Inv.</vt:lpstr>
      <vt:lpstr>Survey Anx</vt:lpstr>
      <vt:lpstr>Survey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2026-06-26T09:54:42Z</cp:lastPrinted>
  <dcterms:created xsi:type="dcterms:W3CDTF">2023-12-20T18:09:34Z</dcterms:created>
  <dcterms:modified xsi:type="dcterms:W3CDTF">2026-06-29T16:05:41Z</dcterms:modified>
  <cp:category/>
  <cp:contentStatus/>
</cp:coreProperties>
</file>