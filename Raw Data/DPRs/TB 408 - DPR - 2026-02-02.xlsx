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317" documentId="13_ncr:1_{9398C5D3-5744-440A-973B-2601208E0DBB}" xr6:coauthVersionLast="47" xr6:coauthVersionMax="47" xr10:uidLastSave="{118CB1B3-CA38-4D9E-980A-4727BB963424}"/>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Compiled'!$A$4:$U$467</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Stringing!$A$5:$N$35</definedName>
    <definedName name="_xlnm._FilterDatabase" localSheetId="14" hidden="1">'Stringing associated works'!$A$4:$Z$983</definedName>
    <definedName name="_xlnm._FilterDatabase" localSheetId="6" hidden="1">Survey!$A$5:$O$95</definedName>
    <definedName name="_xlnm._FilterDatabase" localSheetId="12" hidden="1">Tackwelding!$F$1:$F$307</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Compiled'!$A$2:$I$637</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3" i="74" l="1"/>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D482" i="50"/>
  <c r="E365" i="63"/>
  <c r="A365" i="63"/>
  <c r="A484" i="61"/>
  <c r="A483" i="61"/>
  <c r="J408" i="63" l="1"/>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s="1"/>
  <c r="A292" i="64" l="1"/>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46" i="63" l="1"/>
  <c r="E99" i="88" s="1"/>
  <c r="C301" i="64"/>
  <c r="A237" i="63"/>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J317" i="63" s="1"/>
  <c r="E69" i="88" s="1"/>
  <c r="D68" i="88"/>
  <c r="D304" i="63"/>
  <c r="D57" i="88"/>
  <c r="D29" i="88"/>
  <c r="D279" i="63"/>
  <c r="A172" i="64"/>
  <c r="J304" i="63" l="1"/>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J286" i="63" s="1"/>
  <c r="E38" i="88" s="1"/>
  <c r="A420" i="61"/>
  <c r="A419" i="61"/>
  <c r="D419" i="61"/>
  <c r="D242" i="63" s="1"/>
  <c r="J290" i="63" l="1"/>
  <c r="E47" i="88" s="1"/>
  <c r="C255" i="64"/>
  <c r="J242" i="63"/>
  <c r="C252"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6" i="82" l="1"/>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D307" i="61"/>
  <c r="D84" i="88" s="1"/>
  <c r="D306" i="61"/>
  <c r="D305" i="61"/>
  <c r="D304" i="61"/>
  <c r="D452" i="63" s="1"/>
  <c r="J452" i="63" s="1"/>
  <c r="D303" i="61"/>
  <c r="D302" i="61"/>
  <c r="D364" i="63" s="1"/>
  <c r="C295" i="64"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66" i="63" l="1"/>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J359" i="63" s="1"/>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49" i="63" l="1"/>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7" i="48"/>
  <c r="G37" i="48" l="1"/>
  <c r="J37" i="48"/>
  <c r="J40" i="48" l="1"/>
  <c r="G40" i="48"/>
  <c r="I11" i="29" s="1"/>
  <c r="G39"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<sst xmlns="http://schemas.openxmlformats.org/spreadsheetml/2006/main" count="12200" uniqueCount="1757">
  <si>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</si>
  <si>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</si>
  <si>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</si>
  <si>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</si>
  <si>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</si>
  <si>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</si>
  <si>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</si>
  <si>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</si>
  <si>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</si>
  <si>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</si>
  <si>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</si>
  <si>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</si>
  <si>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</si>
  <si>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</si>
  <si>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</si>
  <si>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</si>
  <si>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</si>
  <si>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</si>
  <si>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</si>
  <si>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</si>
  <si>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</si>
  <si>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</si>
  <si>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</si>
  <si>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</si>
  <si>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</si>
  <si>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</si>
  <si>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</si>
  <si>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</si>
  <si>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</si>
  <si>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</si>
  <si>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</si>
  <si>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</si>
  <si>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</si>
  <si>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</si>
  <si>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</si>
  <si>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</si>
  <si>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</si>
  <si>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</si>
  <si>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</si>
  <si>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</si>
  <si>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</si>
  <si>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</si>
  <si>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</si>
  <si>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</si>
  <si>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</si>
  <si>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</si>
  <si>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</si>
  <si>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</si>
  <si>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</si>
  <si>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</si>
  <si>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</si>
  <si>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</si>
  <si>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</si>
  <si>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</si>
  <si>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</si>
  <si>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</si>
  <si>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</si>
  <si>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</si>
  <si>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</si>
  <si>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</si>
  <si>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</si>
  <si>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</si>
  <si>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</si>
  <si>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</si>
  <si>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</si>
  <si>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</si>
  <si>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</si>
  <si>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</si>
  <si>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</si>
  <si>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</si>
  <si>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</si>
  <si>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</si>
  <si>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</si>
  <si>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</si>
  <si>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</si>
  <si>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</si>
  <si>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</si>
  <si>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</si>
  <si>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</si>
  <si>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</si>
  <si>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</si>
  <si>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</si>
  <si>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</si>
  <si>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</si>
  <si>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</si>
  <si>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</si>
  <si>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</si>
  <si>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</si>
  <si>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</si>
  <si>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</si>
  <si>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</si>
  <si>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</si>
  <si>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</si>
  <si>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</si>
  <si>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</si>
  <si>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</si>
  <si>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</si>
  <si>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</si>
  <si>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</si>
  <si>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</si>
  <si>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</si>
  <si>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</si>
  <si>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</si>
  <si>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</si>
  <si>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</si>
  <si>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</si>
  <si>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</si>
  <si>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</si>
  <si>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</si>
  <si>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</si>
  <si>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</si>
  <si>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</si>
  <si>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</si>
  <si>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</si>
  <si>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</si>
  <si>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</si>
  <si>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</si>
  <si>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</si>
  <si>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</si>
  <si>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</si>
  <si>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</si>
  <si>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</si>
  <si>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</si>
  <si>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</si>
  <si>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</si>
  <si>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</si>
  <si>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</si>
  <si>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</si>
  <si>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</si>
  <si>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</si>
  <si>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</si>
  <si>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</si>
  <si>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</si>
  <si>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</si>
  <si>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</si>
  <si>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</si>
  <si>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</si>
  <si>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</si>
  <si>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</si>
  <si>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</si>
  <si>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</si>
  <si>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</si>
  <si>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</si>
  <si>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</si>
  <si>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</si>
  <si>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</si>
  <si>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</si>
  <si>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</si>
  <si>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</si>
  <si>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</si>
  <si>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</si>
  <si>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</si>
  <si>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</si>
  <si>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</si>
  <si>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</si>
  <si>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</si>
  <si>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</si>
  <si>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</si>
  <si>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</si>
  <si>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</si>
  <si>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</si>
  <si>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</si>
  <si>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</si>
  <si>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</si>
  <si>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</si>
  <si>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</si>
  <si>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</si>
  <si>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</si>
  <si>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</si>
  <si>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</si>
  <si>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</si>
  <si>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</si>
  <si>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</si>
  <si>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</si>
  <si>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</si>
  <si>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</si>
  <si>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</si>
  <si>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</si>
  <si>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</si>
  <si>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</si>
  <si>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</si>
  <si>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</si>
  <si>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</si>
  <si>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</si>
  <si>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</si>
  <si>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</si>
  <si>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</si>
  <si>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</si>
  <si>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</si>
  <si>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</si>
  <si>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</si>
  <si>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</si>
  <si>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</si>
  <si>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</si>
  <si>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</si>
  <si>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</si>
  <si>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</si>
  <si>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</si>
  <si>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</si>
  <si>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</si>
  <si>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</si>
  <si>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</si>
  <si>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</si>
  <si>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</si>
  <si>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</si>
  <si>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</si>
  <si>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</si>
  <si>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</si>
  <si>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</si>
  <si>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</si>
  <si>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</si>
  <si>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</si>
  <si>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</si>
  <si>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</si>
  <si>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</si>
  <si>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</si>
  <si>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</si>
  <si>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</si>
  <si>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</si>
  <si>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</si>
  <si>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</si>
  <si>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</si>
  <si>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</si>
  <si>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</si>
  <si>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</si>
  <si>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</si>
  <si>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</si>
  <si>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</si>
  <si>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</si>
  <si>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</si>
  <si>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</si>
  <si>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</si>
  <si>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</si>
  <si>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</si>
  <si>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</si>
  <si>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</si>
  <si>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</si>
  <si>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</si>
  <si>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</si>
  <si>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</si>
  <si>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</si>
  <si>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</si>
  <si>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</si>
  <si>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</si>
  <si>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</si>
  <si>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</si>
  <si>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</si>
  <si>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</si>
  <si>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</si>
  <si>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</si>
  <si>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</si>
  <si>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</si>
  <si>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</si>
  <si>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</si>
  <si>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</si>
  <si>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</si>
  <si>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</si>
  <si>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</si>
  <si>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</si>
  <si>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</si>
  <si>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</si>
  <si>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</si>
  <si>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</si>
  <si>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</si>
  <si>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</si>
  <si>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</si>
  <si>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</si>
  <si>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</si>
  <si>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</si>
  <si>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</si>
  <si>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</si>
  <si>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</si>
  <si>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</si>
  <si>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</si>
  <si>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</si>
  <si>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</si>
  <si>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</si>
  <si>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</si>
  <si>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</si>
  <si>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</si>
  <si>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</si>
  <si>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</si>
  <si>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</si>
  <si>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</si>
  <si>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</si>
  <si>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</si>
  <si>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</si>
  <si>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</si>
  <si>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</si>
  <si>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</si>
  <si>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</si>
  <si>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</si>
  <si>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</si>
  <si>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</si>
  <si>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</si>
  <si>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</si>
  <si>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</si>
  <si>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</si>
  <si>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</si>
  <si>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</si>
  <si>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</si>
  <si>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</si>
  <si>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</si>
  <si>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</si>
  <si>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</si>
  <si>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</si>
  <si>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</si>
  <si>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</si>
  <si>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</si>
  <si>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</si>
  <si>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</si>
  <si>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</si>
  <si>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</si>
  <si>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</si>
  <si>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</si>
  <si>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</si>
  <si>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</si>
  <si>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</si>
  <si>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</si>
  <si>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</si>
  <si>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</si>
  <si>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</si>
  <si>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</si>
  <si>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</si>
  <si>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</si>
  <si>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</si>
  <si>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</si>
  <si>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</si>
  <si>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</si>
  <si>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</si>
  <si>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</si>
  <si>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</si>
  <si>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</si>
  <si>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</si>
  <si>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</si>
  <si>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</si>
  <si>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</si>
  <si>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</si>
  <si>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</si>
  <si>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</si>
  <si>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</si>
  <si>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</si>
  <si>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</si>
  <si>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</si>
  <si>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</si>
  <si>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</si>
  <si>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</si>
  <si>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</si>
  <si>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</si>
  <si>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</si>
  <si>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</si>
  <si>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</si>
  <si>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</si>
  <si>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</si>
  <si>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</si>
  <si>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</si>
  <si>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</si>
  <si>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</si>
  <si>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</si>
  <si>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</si>
  <si>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</si>
  <si>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</si>
  <si>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</si>
  <si>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</si>
  <si>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</si>
  <si>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</si>
  <si>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</si>
  <si>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</si>
  <si>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</si>
  <si>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</si>
  <si>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</si>
  <si>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</si>
  <si>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</si>
  <si>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</si>
  <si>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</si>
  <si>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</si>
  <si>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</si>
  <si>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</si>
  <si>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</si>
  <si>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</si>
  <si>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</si>
  <si>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</si>
  <si>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</si>
  <si>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</si>
  <si>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</si>
  <si>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</si>
  <si>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</si>
  <si>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</si>
  <si>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</si>
  <si>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</si>
  <si>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</si>
  <si>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</si>
  <si>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</si>
  <si>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</si>
  <si>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</si>
  <si>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</si>
  <si>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</si>
  <si>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</si>
  <si>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</si>
  <si>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</si>
  <si>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</si>
  <si>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</si>
  <si>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</si>
  <si>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</si>
  <si>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</si>
  <si>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</si>
  <si>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</si>
  <si>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</si>
  <si>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</si>
  <si>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</si>
  <si>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</si>
  <si>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</si>
  <si>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</si>
  <si>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</si>
  <si>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</si>
  <si>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</si>
  <si>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</si>
  <si>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</si>
  <si>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</si>
  <si>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</si>
  <si>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</si>
  <si>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</si>
  <si>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</si>
  <si>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</si>
  <si>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</si>
  <si>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</si>
  <si>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</si>
  <si>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</si>
  <si>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</si>
  <si>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</si>
  <si>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</si>
  <si>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</si>
  <si>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</si>
  <si>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</si>
  <si>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</si>
  <si>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</si>
  <si>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</si>
  <si>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</si>
  <si>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</si>
  <si>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</si>
  <si>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</si>
  <si>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</si>
  <si>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</si>
  <si>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</si>
  <si>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</si>
  <si>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</si>
  <si>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</si>
  <si>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</si>
  <si>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</si>
  <si>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</si>
  <si>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</si>
  <si>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</si>
  <si>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</si>
  <si>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</si>
  <si>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</si>
  <si>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</si>
  <si>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</si>
  <si>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</si>
  <si>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</si>
  <si>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</si>
  <si>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</si>
  <si>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</si>
  <si>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</si>
  <si>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</si>
  <si>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</si>
  <si>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</si>
  <si>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</si>
  <si>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</si>
  <si>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</si>
  <si>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</si>
  <si>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</si>
  <si>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</si>
  <si>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</si>
  <si>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</si>
  <si>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</si>
  <si>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</si>
  <si>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</si>
  <si>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</si>
  <si>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</si>
  <si>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</si>
  <si>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</si>
  <si>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</si>
  <si>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</si>
  <si>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</si>
  <si>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</si>
  <si>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</si>
  <si>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</si>
  <si>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</si>
  <si>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</si>
  <si>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</si>
  <si>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</si>
  <si>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</si>
  <si>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</si>
  <si>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</si>
  <si>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</si>
  <si>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</si>
  <si>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</si>
  <si>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</si>
  <si>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</si>
  <si>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</si>
  <si>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</si>
  <si>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</si>
  <si>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</si>
  <si>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</si>
  <si>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</si>
  <si>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</si>
  <si>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</si>
  <si>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</si>
  <si>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</si>
  <si>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</si>
  <si>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</si>
  <si>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</si>
  <si>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</si>
  <si>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</si>
  <si>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</si>
  <si>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</si>
  <si>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</si>
  <si>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</si>
  <si>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</si>
  <si>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</si>
  <si>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</si>
  <si>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</si>
  <si>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</si>
  <si>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</si>
  <si>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</si>
  <si>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</si>
  <si>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</si>
  <si>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</si>
  <si>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</si>
  <si>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</si>
  <si>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</si>
  <si>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</si>
  <si>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</si>
  <si>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</si>
  <si>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</si>
  <si>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</si>
  <si>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</si>
  <si>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</si>
  <si>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</si>
  <si>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</si>
  <si>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</si>
  <si>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</si>
  <si>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</si>
  <si>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</si>
  <si>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</si>
  <si>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</si>
  <si>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</si>
  <si>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</si>
  <si>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</si>
  <si>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</si>
  <si>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</si>
  <si>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</si>
  <si>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</si>
  <si>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</si>
  <si>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</si>
  <si>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</si>
  <si>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</si>
  <si>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</si>
  <si>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</si>
  <si>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</si>
  <si>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</si>
  <si>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</si>
  <si>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</si>
  <si>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</si>
  <si>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</si>
  <si>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</si>
  <si>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</si>
  <si>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</si>
  <si>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</si>
  <si>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</si>
  <si>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</si>
  <si>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</si>
  <si>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</si>
  <si>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</si>
  <si>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</si>
  <si>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</si>
  <si>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</si>
  <si>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</si>
  <si>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</si>
  <si>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</si>
  <si>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</si>
  <si>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</si>
  <si>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</si>
  <si>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</si>
  <si>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</si>
  <si>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</si>
  <si>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</si>
  <si>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</si>
  <si>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</si>
  <si>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</si>
  <si>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</si>
  <si>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</si>
  <si>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</si>
  <si>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</si>
  <si>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</si>
  <si>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</si>
  <si>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</si>
  <si>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</si>
  <si>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</si>
  <si>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</si>
  <si>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</si>
  <si>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</si>
  <si>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</si>
  <si>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</si>
  <si>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</si>
  <si>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</si>
  <si>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</si>
  <si>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</si>
  <si>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</si>
  <si>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</si>
  <si>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</si>
  <si>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</si>
  <si>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</si>
  <si>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</si>
  <si>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</si>
  <si>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</si>
  <si>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</si>
  <si>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</si>
  <si>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</si>
  <si>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</si>
  <si>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</si>
  <si>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</si>
  <si>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</si>
  <si>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</si>
  <si>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</si>
  <si>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</si>
  <si>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</si>
  <si>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</si>
  <si>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</si>
  <si>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</si>
  <si>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</si>
  <si>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</si>
  <si>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</si>
  <si>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</si>
  <si>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</si>
  <si>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</si>
  <si>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</si>
  <si>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</si>
  <si>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</si>
  <si>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</si>
  <si>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</si>
  <si>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</si>
  <si>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</si>
  <si>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</si>
  <si>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</si>
  <si>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</si>
  <si>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</si>
  <si>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</si>
  <si>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</si>
  <si>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</si>
  <si>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</si>
  <si>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</si>
  <si>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</si>
  <si>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</si>
  <si>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</si>
  <si>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</si>
  <si>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</si>
  <si>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</si>
  <si>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</si>
  <si>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</si>
  <si>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</si>
  <si>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</si>
  <si>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</si>
  <si>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</si>
  <si>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</si>
  <si>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</si>
  <si>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</si>
  <si>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</si>
  <si>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</si>
  <si>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</si>
  <si>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</si>
  <si>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</si>
  <si>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</si>
  <si>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</si>
  <si>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</si>
  <si>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</si>
  <si>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</si>
  <si>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</si>
  <si>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</si>
  <si>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</si>
  <si>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</si>
  <si>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</si>
  <si>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</si>
  <si>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</si>
  <si>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</si>
  <si>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</si>
  <si>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</si>
  <si>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</si>
  <si>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</si>
  <si>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</si>
  <si>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</si>
  <si>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</si>
  <si>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</si>
  <si>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</si>
  <si>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</si>
  <si>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</si>
  <si>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</si>
  <si>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</si>
  <si>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</si>
  <si>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</si>
  <si>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</si>
  <si>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</si>
  <si>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</si>
  <si>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</si>
  <si>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</si>
  <si>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</si>
  <si>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</si>
  <si>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</si>
  <si>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</si>
  <si>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</si>
  <si>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</si>
  <si>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</si>
  <si>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</si>
  <si>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</si>
  <si>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</si>
  <si>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</si>
  <si>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</si>
  <si>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</si>
  <si>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</si>
  <si>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</si>
  <si>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</si>
  <si>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</si>
  <si>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</si>
  <si>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</si>
  <si>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</si>
  <si>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</si>
  <si>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</si>
  <si>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</si>
  <si>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</si>
  <si>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</si>
  <si>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</si>
  <si>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</si>
  <si>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</si>
  <si>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</si>
  <si>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</si>
  <si>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</si>
  <si>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</si>
  <si>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</si>
  <si>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</si>
  <si>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</si>
  <si>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</si>
  <si>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</si>
  <si>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</si>
  <si>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</si>
  <si>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</si>
  <si>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</si>
  <si>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</si>
  <si>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</si>
  <si>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</si>
  <si>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</si>
  <si>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</si>
  <si>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</si>
  <si>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</si>
  <si>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</si>
  <si>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</si>
  <si>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</si>
  <si>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</si>
  <si>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</si>
  <si>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</si>
  <si>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</si>
  <si>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</si>
  <si>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</si>
  <si>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</si>
  <si>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</si>
  <si>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</si>
  <si>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</si>
  <si>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</si>
  <si>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</si>
  <si>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</si>
  <si>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</si>
  <si>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</si>
  <si>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</si>
  <si>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</si>
  <si>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</si>
  <si>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</si>
  <si>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</si>
  <si>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</si>
  <si>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</si>
  <si>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</si>
  <si>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</si>
  <si>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</si>
  <si>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</si>
  <si>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</si>
  <si>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</si>
  <si>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</si>
  <si>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</si>
  <si>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</si>
  <si>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</si>
  <si>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</si>
  <si>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</si>
  <si>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</si>
  <si>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</si>
  <si>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</si>
  <si>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</si>
  <si>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</si>
  <si>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</si>
  <si>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</si>
  <si>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</si>
  <si>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</si>
  <si>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</si>
  <si>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</si>
  <si>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</si>
  <si>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</si>
  <si>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</si>
  <si>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</si>
  <si>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</si>
  <si>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</si>
  <si>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</si>
  <si>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</si>
  <si>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</si>
  <si>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</si>
  <si>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</si>
  <si>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</si>
  <si>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</si>
  <si>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</si>
  <si>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</si>
  <si>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</si>
  <si>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</si>
  <si>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</si>
  <si>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</si>
  <si>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</si>
  <si>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</si>
  <si>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</si>
  <si>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</si>
  <si>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</si>
  <si>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</si>
  <si>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</si>
  <si>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</si>
  <si>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</si>
  <si>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</si>
  <si>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</si>
  <si>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</si>
  <si>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</si>
  <si>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</si>
  <si>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</si>
  <si>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</si>
  <si>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</si>
  <si>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</si>
  <si>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</si>
  <si>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</si>
  <si>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</si>
  <si>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</si>
  <si>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</si>
  <si>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</si>
  <si>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</si>
  <si>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</si>
  <si>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</si>
  <si>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</si>
  <si>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</si>
  <si>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</si>
  <si>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</si>
  <si>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</si>
  <si>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</si>
  <si>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</si>
  <si>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</si>
  <si>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</si>
  <si>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</si>
  <si>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</si>
  <si>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</si>
  <si>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</si>
  <si>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</si>
  <si>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</si>
  <si>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</si>
  <si>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</si>
  <si>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</si>
  <si>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</si>
  <si>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</si>
  <si>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</si>
  <si>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</si>
  <si>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</si>
  <si>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</si>
  <si>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</si>
  <si>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</si>
  <si>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</si>
  <si>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</si>
  <si>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</si>
  <si>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</si>
  <si>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</si>
  <si>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</si>
  <si>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</si>
  <si>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</si>
  <si>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</si>
  <si>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</si>
  <si>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</si>
  <si>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</si>
  <si>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</si>
  <si>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</si>
  <si>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</si>
  <si>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</si>
  <si>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</si>
  <si>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</si>
  <si>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</si>
  <si>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</si>
  <si>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</si>
  <si>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</si>
  <si>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</si>
  <si>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</si>
  <si>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</si>
  <si>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</si>
  <si>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</si>
  <si>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</si>
  <si>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</si>
  <si>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</si>
  <si>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</si>
  <si>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</si>
  <si>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</si>
  <si>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</si>
  <si>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</si>
  <si>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</si>
  <si>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</si>
  <si>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</si>
  <si>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</si>
  <si>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</si>
  <si>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</si>
  <si>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</si>
  <si>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</si>
  <si>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</si>
  <si>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</si>
  <si>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</si>
  <si>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</si>
  <si>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</si>
  <si>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</si>
  <si>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</si>
  <si>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</si>
  <si>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</si>
  <si>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</si>
  <si>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</si>
  <si>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</si>
  <si>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</si>
  <si>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</si>
  <si>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</si>
  <si>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</si>
  <si>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</si>
  <si>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</si>
  <si>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</si>
  <si>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</si>
  <si>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</si>
  <si>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</si>
  <si>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</si>
  <si>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</si>
  <si>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</si>
  <si>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</si>
  <si>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</si>
  <si>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</si>
  <si>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</si>
  <si>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</si>
  <si>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</si>
  <si>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</si>
  <si>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</si>
  <si>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</si>
  <si>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</si>
  <si>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</si>
  <si>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</si>
  <si>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</si>
  <si>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</si>
  <si>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</si>
  <si>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</si>
  <si>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</si>
  <si>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</si>
  <si>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</si>
  <si>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</si>
  <si>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</si>
  <si>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</si>
  <si>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</si>
  <si>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</si>
  <si>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</si>
  <si>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</si>
  <si>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</si>
  <si>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</si>
  <si>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</si>
  <si>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</si>
  <si>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</si>
  <si>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</si>
  <si>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</si>
  <si>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</si>
  <si>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</si>
  <si>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</si>
  <si>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</si>
  <si>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</si>
  <si>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</si>
  <si>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</si>
  <si>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</si>
  <si>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</si>
  <si>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</si>
  <si>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</si>
  <si>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</si>
  <si>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</si>
  <si>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</si>
  <si>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</si>
  <si>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</si>
  <si>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</si>
  <si>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</si>
  <si>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</si>
  <si>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</si>
  <si>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</si>
  <si>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</si>
  <si>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</si>
  <si>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</si>
  <si>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</si>
  <si>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</si>
  <si>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</si>
  <si>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</si>
  <si>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</si>
  <si>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</si>
  <si>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</si>
  <si>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</si>
  <si>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</si>
  <si>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</si>
  <si>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</si>
  <si>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</si>
  <si>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</si>
  <si>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</si>
  <si>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</si>
  <si>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</si>
  <si>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</si>
  <si>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</si>
  <si>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</si>
  <si>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</si>
  <si>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</si>
  <si>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</si>
  <si>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</si>
  <si>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</si>
  <si>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</si>
  <si>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</si>
  <si>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</si>
  <si>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</si>
  <si>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</si>
  <si>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</si>
  <si>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</si>
  <si>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</si>
  <si>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</si>
  <si>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</si>
  <si>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</si>
  <si>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</si>
  <si>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</si>
  <si>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</si>
  <si>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</si>
  <si>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</si>
  <si>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</si>
  <si>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</si>
  <si>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</si>
  <si>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</si>
  <si>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</si>
  <si>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</si>
  <si>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</si>
  <si>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</si>
  <si>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</si>
  <si>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</si>
  <si>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</si>
  <si>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</si>
  <si>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</si>
  <si>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</si>
  <si>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</si>
  <si>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</si>
  <si>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</si>
  <si>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</si>
  <si>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</si>
  <si>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</si>
  <si>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</si>
  <si>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</si>
  <si>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</si>
  <si>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</si>
  <si>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</si>
  <si>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</si>
  <si>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</si>
  <si>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</si>
  <si>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</si>
  <si>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</si>
  <si>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</si>
  <si>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</si>
  <si>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</si>
  <si>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</si>
  <si>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</si>
  <si>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</si>
  <si>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</si>
  <si>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</si>
  <si>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</si>
  <si>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</si>
  <si>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</si>
  <si>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</si>
  <si>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</si>
  <si>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</si>
  <si>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</si>
  <si>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</si>
  <si>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</si>
  <si>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</si>
  <si>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</si>
  <si>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</si>
  <si>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</si>
  <si>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</si>
  <si>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</si>
  <si>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</si>
  <si>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</si>
  <si>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</si>
  <si>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</si>
  <si>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</si>
  <si>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</si>
  <si>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</si>
  <si>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</si>
  <si>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</si>
  <si>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</si>
  <si>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</si>
  <si>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</si>
  <si>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</si>
  <si>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</si>
  <si>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</si>
  <si>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</si>
  <si>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</si>
  <si>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</si>
  <si>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</si>
  <si>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</si>
  <si>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</si>
  <si>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</si>
  <si>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</si>
  <si>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</si>
  <si>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</si>
  <si>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</si>
  <si>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</si>
  <si>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</si>
  <si>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</si>
  <si>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</si>
  <si>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</si>
  <si>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</si>
  <si>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</si>
  <si>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</si>
  <si>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</si>
  <si>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</si>
  <si>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</si>
  <si>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</si>
  <si>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</si>
  <si>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</si>
  <si>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</si>
  <si>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</si>
  <si>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</si>
  <si>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</si>
  <si>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</si>
  <si>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</si>
  <si>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</si>
  <si>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</si>
  <si>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</si>
  <si>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</si>
  <si>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</si>
  <si>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</si>
  <si>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</si>
  <si>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</si>
  <si>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</si>
  <si>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</si>
  <si>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</si>
  <si>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</si>
  <si>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</si>
  <si>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</si>
  <si>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</si>
  <si>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</si>
  <si>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</si>
  <si>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</si>
  <si>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</si>
  <si>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</si>
  <si>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</si>
  <si>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</si>
  <si>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</si>
  <si>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</si>
  <si>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</si>
  <si>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</si>
  <si>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</si>
  <si>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</si>
  <si>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</si>
  <si>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</si>
  <si>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</si>
  <si>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</si>
  <si>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</si>
  <si>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</si>
  <si>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</si>
  <si>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</si>
  <si>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</si>
  <si>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</si>
  <si>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</si>
  <si>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</si>
  <si>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</si>
  <si>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</si>
  <si>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</si>
  <si>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</si>
  <si>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</si>
  <si>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</si>
  <si>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</si>
  <si>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</si>
  <si>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</si>
  <si>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</si>
  <si>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</si>
  <si>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</si>
  <si>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</si>
  <si>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</si>
  <si>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</si>
  <si>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</si>
  <si>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</si>
  <si>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</si>
  <si>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</si>
  <si>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</si>
  <si>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</si>
  <si>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</si>
  <si>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</si>
  <si>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</si>
  <si>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</si>
  <si>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</si>
  <si>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</si>
  <si>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</si>
  <si>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</si>
  <si>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</si>
  <si>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</si>
  <si>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</si>
  <si>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</si>
  <si>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</si>
  <si>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</si>
  <si>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</si>
  <si>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</si>
  <si>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</si>
  <si>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</si>
  <si>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</si>
  <si>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</si>
  <si>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</si>
  <si>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</si>
  <si>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</si>
  <si>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</si>
  <si>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</si>
  <si>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</si>
  <si>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</si>
  <si>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</si>
  <si>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</si>
  <si>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</si>
  <si>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</si>
  <si>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</si>
  <si>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</si>
  <si>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</si>
  <si>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</si>
  <si>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</si>
  <si>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</si>
  <si>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</si>
  <si>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</si>
  <si>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</si>
  <si>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</si>
  <si>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</si>
  <si>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</si>
  <si>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</si>
  <si>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</si>
  <si>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</si>
  <si>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</si>
  <si>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</si>
  <si>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</si>
  <si>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</si>
  <si>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</si>
  <si>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</si>
  <si>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</si>
  <si>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</si>
  <si>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</si>
  <si>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</si>
  <si>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</si>
  <si>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</si>
  <si>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</si>
  <si>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</si>
  <si>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</si>
  <si>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</si>
  <si>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</si>
  <si>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</si>
  <si>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</si>
  <si>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</si>
  <si>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</si>
  <si>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</si>
  <si>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</si>
  <si>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</si>
  <si>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</si>
  <si>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</si>
  <si>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</si>
  <si>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</si>
  <si>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</si>
  <si>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</si>
  <si>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</si>
  <si>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</si>
  <si>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</si>
  <si>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</si>
  <si>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</si>
  <si>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</si>
  <si>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</si>
  <si>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</si>
  <si>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</si>
  <si>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</si>
  <si>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</si>
  <si>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</si>
  <si>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</si>
  <si>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</si>
  <si>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</si>
  <si>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</si>
  <si>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</si>
  <si>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</si>
  <si>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</si>
  <si>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</si>
  <si>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</si>
  <si>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</si>
  <si>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</si>
  <si>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</si>
  <si>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</si>
  <si>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</si>
  <si>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</si>
  <si>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</si>
  <si>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</si>
  <si>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</si>
  <si>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</si>
  <si>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</si>
  <si>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</si>
  <si>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</si>
  <si>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</si>
  <si>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</si>
  <si>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</si>
  <si>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</si>
  <si>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</si>
  <si>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</si>
  <si>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</si>
  <si>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</si>
  <si>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</si>
  <si>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</si>
  <si>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</si>
  <si>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</si>
  <si>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</si>
  <si>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</si>
  <si>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</si>
  <si>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</si>
  <si>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</si>
  <si>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</si>
  <si>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</si>
  <si>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</si>
  <si>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</si>
  <si>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</si>
  <si>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</si>
  <si>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</si>
  <si>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</si>
  <si>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</si>
  <si>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</si>
  <si>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</si>
  <si>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</si>
  <si>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</si>
  <si>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</si>
  <si>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</si>
  <si>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</si>
  <si>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</si>
  <si>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</si>
  <si>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</si>
  <si>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</si>
  <si>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</si>
  <si>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</si>
  <si>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</si>
  <si>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</si>
  <si>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</si>
  <si>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</si>
  <si>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</si>
  <si>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</si>
  <si>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</si>
  <si>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</si>
  <si>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</si>
  <si>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</si>
  <si>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</si>
  <si>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</si>
  <si>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</si>
  <si>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</si>
  <si>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</si>
  <si>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</si>
  <si>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</si>
  <si>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</si>
  <si>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</si>
  <si>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</si>
  <si>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</si>
  <si>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</si>
  <si>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</si>
  <si>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</si>
  <si>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</si>
  <si>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</si>
  <si>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</si>
  <si>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</si>
  <si>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</si>
  <si>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</si>
  <si>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</si>
  <si>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</si>
  <si>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</si>
  <si>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</si>
  <si>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</si>
  <si>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</si>
  <si>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</si>
  <si>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</si>
  <si>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</si>
  <si>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</si>
  <si>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</si>
  <si>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</si>
  <si>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</si>
  <si>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</si>
  <si>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</si>
  <si>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</si>
  <si>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</si>
  <si>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</si>
  <si>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</si>
  <si>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</si>
  <si>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</si>
  <si>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</si>
  <si>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</si>
  <si>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</si>
  <si>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</si>
  <si>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</si>
  <si>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</si>
  <si>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</si>
  <si>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</si>
  <si>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</si>
  <si>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</si>
  <si>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</si>
  <si>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</si>
  <si>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</si>
  <si>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</si>
  <si>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</si>
  <si>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</si>
  <si>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</si>
  <si>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</si>
  <si>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</si>
  <si>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</si>
  <si>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</si>
  <si>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</si>
  <si>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</si>
  <si>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</si>
  <si>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</si>
  <si>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</si>
  <si>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</si>
  <si>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</si>
  <si>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</si>
  <si>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</si>
  <si>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</si>
  <si>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</si>
  <si>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</si>
  <si>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</si>
  <si>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</si>
  <si>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</si>
  <si>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</si>
  <si>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</si>
  <si>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</si>
  <si>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</si>
  <si>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</si>
  <si>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</si>
  <si>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</si>
  <si>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</si>
  <si>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</si>
  <si>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</si>
  <si>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</si>
  <si>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</si>
  <si>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</si>
  <si>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</si>
  <si>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</si>
  <si>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</si>
  <si>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</si>
  <si>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</si>
  <si>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</si>
  <si>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</si>
  <si>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</si>
  <si>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</si>
  <si>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</si>
  <si>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</si>
  <si>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</si>
  <si>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</si>
  <si>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</si>
  <si>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</si>
  <si>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</si>
  <si>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</si>
  <si>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</si>
  <si>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</si>
  <si>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</si>
  <si>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</si>
  <si>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</si>
  <si>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</si>
  <si>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</si>
  <si>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</si>
  <si>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</si>
  <si>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</si>
  <si>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</si>
  <si>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</si>
  <si>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</si>
  <si>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</si>
  <si>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</si>
  <si>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</si>
  <si>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</si>
  <si>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</si>
  <si>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</si>
  <si>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</si>
  <si>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</si>
  <si>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</si>
  <si>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</si>
  <si>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</si>
  <si>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</si>
  <si>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</si>
  <si>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</si>
  <si>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</si>
  <si>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</si>
  <si>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</si>
  <si>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</si>
  <si>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</si>
  <si>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</si>
  <si>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</si>
  <si>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</si>
  <si>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</si>
  <si>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</si>
  <si>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</si>
  <si>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</si>
  <si>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</si>
  <si>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</si>
  <si>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</si>
  <si>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</si>
  <si>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</si>
  <si>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</si>
  <si>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</si>
  <si>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</si>
  <si>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</si>
  <si>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</si>
  <si>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</si>
  <si>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</si>
  <si>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</si>
  <si>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</si>
  <si>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</si>
  <si>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</si>
  <si>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</si>
  <si>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</si>
  <si>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</si>
  <si>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</si>
  <si>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</si>
  <si>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</si>
  <si>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</si>
  <si>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</si>
  <si>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</si>
  <si>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</si>
  <si>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</si>
  <si>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</si>
  <si>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</si>
  <si>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</si>
  <si>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</si>
  <si>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</si>
  <si>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</si>
  <si>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</si>
  <si>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</si>
  <si>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</si>
  <si>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</si>
  <si>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</si>
  <si>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</si>
  <si>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</si>
  <si>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</si>
  <si>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</si>
  <si>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</si>
  <si>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</si>
  <si>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</si>
  <si>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</si>
  <si>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</si>
  <si>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</si>
  <si>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</si>
  <si>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</si>
  <si>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</si>
  <si>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</si>
  <si>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</si>
  <si>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</si>
  <si>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</si>
  <si>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</si>
  <si>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</si>
  <si>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</si>
  <si>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</si>
  <si>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</si>
  <si>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</si>
  <si>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</si>
  <si>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</si>
  <si>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</si>
  <si>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</si>
  <si>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</si>
  <si>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</si>
  <si>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</si>
  <si>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</si>
  <si>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</si>
  <si>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</si>
  <si>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</si>
  <si>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</si>
  <si>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</si>
  <si>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</si>
  <si>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</si>
  <si>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</si>
  <si>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</si>
  <si>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</si>
  <si>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</si>
  <si>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</si>
  <si>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</si>
  <si>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</si>
  <si>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</si>
  <si>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</si>
  <si>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</si>
  <si>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</si>
  <si>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</si>
  <si>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</si>
  <si>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</si>
  <si>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</si>
  <si>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</si>
  <si>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</si>
  <si>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</si>
  <si>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</si>
  <si>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</si>
  <si>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</si>
  <si>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</si>
  <si>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</si>
  <si>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</si>
  <si>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</si>
  <si>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</si>
  <si>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</si>
  <si>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</si>
  <si>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</si>
  <si>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</si>
  <si>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</si>
  <si>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</si>
  <si>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</si>
  <si>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</si>
  <si>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</si>
  <si>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</si>
  <si>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</si>
  <si>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</si>
  <si>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</si>
  <si>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</si>
  <si>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</si>
  <si>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</si>
  <si>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</si>
  <si>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</si>
  <si>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</si>
  <si>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</si>
  <si>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</si>
  <si>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</si>
  <si>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</si>
  <si>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</si>
  <si>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</si>
  <si>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</si>
  <si>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</si>
  <si>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</si>
  <si>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</si>
  <si>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</si>
  <si>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</si>
  <si>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</si>
  <si>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</si>
  <si>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</si>
  <si>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</si>
  <si>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</si>
  <si>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</si>
  <si>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</si>
  <si>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</si>
  <si>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</si>
  <si>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</si>
  <si>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</si>
  <si>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</si>
  <si>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</si>
  <si>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</si>
  <si>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</si>
  <si>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</si>
  <si>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</si>
  <si>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</si>
  <si>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</si>
  <si>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</si>
  <si>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</si>
  <si>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</si>
  <si>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</si>
  <si>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</si>
  <si>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</si>
  <si>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</si>
  <si>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</si>
  <si>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</si>
  <si>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</si>
  <si>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</si>
  <si>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</si>
  <si>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</si>
  <si>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</si>
  <si>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</si>
  <si>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</si>
  <si>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</si>
  <si>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</si>
  <si>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</si>
  <si>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</si>
  <si>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</si>
  <si>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</si>
  <si>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</si>
  <si>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</si>
  <si>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</si>
  <si>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</si>
  <si>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</si>
  <si>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</si>
  <si>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</si>
  <si>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</si>
  <si>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</si>
  <si>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</si>
  <si>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</si>
  <si>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</si>
  <si>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</si>
  <si>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</si>
  <si>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</si>
  <si>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</si>
  <si>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</si>
  <si>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</si>
  <si>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</si>
  <si>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</si>
  <si>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</si>
  <si>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</si>
  <si>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</si>
  <si>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</si>
  <si>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</si>
  <si>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</si>
  <si>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</si>
  <si>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</si>
  <si>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</si>
  <si>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</si>
  <si>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</si>
  <si>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</si>
  <si>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</si>
  <si>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</si>
  <si>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</si>
  <si>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</si>
  <si>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</si>
  <si>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</si>
  <si>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</si>
  <si>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</si>
  <si>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</si>
  <si>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</si>
  <si>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</si>
  <si>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</si>
  <si>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</si>
  <si>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</si>
  <si>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</si>
  <si>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</si>
  <si>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</si>
  <si>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</si>
  <si>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</si>
  <si>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</si>
  <si>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</si>
  <si>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</si>
  <si>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</si>
  <si>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</si>
  <si>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</si>
  <si>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</si>
  <si>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</si>
  <si>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</si>
  <si>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</si>
  <si>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</si>
  <si>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R/Sag Completed.</t>
  </si>
  <si>
    <t>s</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</si>
  <si>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</si>
  <si>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</si>
  <si>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</si>
  <si>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</si>
  <si>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r>
      <rPr>
        <b/>
        <i/>
        <sz val="11"/>
        <rFont val="Calibri"/>
        <family val="2"/>
        <scheme val="minor"/>
      </rPr>
      <t>WIP- 21/9, 26/4</t>
    </r>
    <r>
      <rPr>
        <i/>
        <sz val="11"/>
        <rFont val="Calibri"/>
        <family val="2"/>
        <scheme val="minor"/>
      </rPr>
      <t xml:space="preserve">
Today Completed - </t>
    </r>
  </si>
  <si>
    <t>Final Sag not done due to ROW in backstay at 10/12</t>
  </si>
  <si>
    <t>10/12-10/20</t>
  </si>
  <si>
    <t>ROW, Gang Idle</t>
  </si>
  <si>
    <t>Teams is idle due to ROW &amp; other reasons Etc:- 
1. Sheetal Singh:- Gang idle at 21/9 due to ROW Since initials.</t>
  </si>
  <si>
    <t>JSR onstruction</t>
  </si>
  <si>
    <t>Excavation WIP 1.5 Mtrs in All phase. Slow progress due to Hard Rock.</t>
  </si>
  <si>
    <t>Gang-1:- 10/2 WIP.</t>
  </si>
  <si>
    <t>AP55-56:- Not Started due to non availability of platina.</t>
  </si>
  <si>
    <t>Paying out not done due to unavailability of Platina in AP55-56</t>
  </si>
  <si>
    <t>55/0-56/0</t>
  </si>
  <si>
    <t>AP10/12-11:- Not started yet due to ROW in backstay 10/12F.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</si>
</sst>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05">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173" fontId="77"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1" fontId="67" fillId="0" borderId="1" xfId="73" quotePrefix="1" applyNumberFormat="1" applyFont="1" applyBorder="1" applyAlignment="1">
      <alignment vertical="center" wrapText="1"/>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1"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0" fontId="52" fillId="2" borderId="1" xfId="104" applyFont="1" applyFill="1" applyBorder="1" applyAlignment="1">
      <alignment horizontal="center" vertic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3" xfId="104" applyFont="1" applyFill="1" applyBorder="1" applyAlignment="1">
      <alignment horizontal="center" vertical="center"/>
    </xf>
    <xf numFmtId="0" fontId="54" fillId="2" borderId="4" xfId="104" applyFont="1" applyFill="1" applyBorder="1" applyAlignment="1">
      <alignment horizontal="center" vertic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49" fillId="2" borderId="13"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1" fontId="52" fillId="24" borderId="47" xfId="104" applyNumberFormat="1" applyFont="1" applyFill="1" applyBorder="1" applyAlignment="1">
      <alignment horizontal="center"/>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11340</xdr:colOff>
      <xdr:row>127</xdr:row>
      <xdr:rowOff>79374</xdr:rowOff>
    </xdr:from>
    <xdr:to>
      <xdr:col>45</xdr:col>
      <xdr:colOff>170089</xdr:colOff>
      <xdr:row>139</xdr:row>
      <xdr:rowOff>22678</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0" y="20954999"/>
          <a:ext cx="12427856"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filterColumn>
  </autoFilter>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7" activePane="bottomRight" state="frozen"/>
      <selection activeCell="E37" sqref="E37"/>
      <selection pane="topRight" activeCell="E37" sqref="E37"/>
      <selection pane="bottomLeft" activeCell="E37" sqref="E37"/>
      <selection pane="bottomRight" activeCell="B2"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16" t="e" vm="1">
        <v>#VALUE!</v>
      </c>
      <c r="B1" s="205" t="s">
        <v>146</v>
      </c>
      <c r="C1" s="204" t="s">
        <v>1229</v>
      </c>
      <c r="D1" s="97" t="s">
        <v>0</v>
      </c>
      <c r="E1" s="824">
        <f ca="1">+TODAY()</f>
        <v>46055</v>
      </c>
      <c r="F1" s="825"/>
      <c r="G1" s="98" t="s">
        <v>142</v>
      </c>
      <c r="H1" s="819" t="s">
        <v>352</v>
      </c>
      <c r="I1" s="819"/>
      <c r="J1" s="98" t="s">
        <v>1350</v>
      </c>
      <c r="K1" s="99" t="s">
        <v>1271</v>
      </c>
      <c r="L1" s="98" t="s">
        <v>21</v>
      </c>
      <c r="M1" s="813" t="s">
        <v>1194</v>
      </c>
      <c r="N1" s="815"/>
      <c r="Q1" s="457" t="s">
        <v>1245</v>
      </c>
    </row>
    <row r="2" spans="1:17" ht="30" customHeight="1" x14ac:dyDescent="0.25">
      <c r="A2" s="817"/>
      <c r="B2" s="96" t="s">
        <v>112</v>
      </c>
      <c r="C2" s="821" t="s">
        <v>1293</v>
      </c>
      <c r="D2" s="822"/>
      <c r="E2" s="822"/>
      <c r="F2" s="823"/>
      <c r="G2" s="98" t="s">
        <v>18</v>
      </c>
      <c r="H2" s="813" t="s">
        <v>1437</v>
      </c>
      <c r="I2" s="814"/>
      <c r="J2" s="814"/>
      <c r="K2" s="815"/>
      <c r="L2" s="98" t="s">
        <v>1</v>
      </c>
      <c r="M2" s="813" t="s">
        <v>147</v>
      </c>
      <c r="N2" s="815"/>
      <c r="Q2" s="458" t="s">
        <v>1231</v>
      </c>
    </row>
    <row r="3" spans="1:17" ht="30" x14ac:dyDescent="0.25">
      <c r="A3" s="818"/>
      <c r="B3" s="96" t="s">
        <v>1227</v>
      </c>
      <c r="C3" s="821" t="s">
        <v>1292</v>
      </c>
      <c r="D3" s="822"/>
      <c r="E3" s="822"/>
      <c r="F3" s="823"/>
      <c r="G3" s="98" t="s">
        <v>347</v>
      </c>
      <c r="H3" s="826">
        <v>45266</v>
      </c>
      <c r="I3" s="826"/>
      <c r="J3" s="98" t="s">
        <v>5</v>
      </c>
      <c r="K3" s="471">
        <v>46081</v>
      </c>
      <c r="L3" s="96" t="s">
        <v>17</v>
      </c>
      <c r="M3" s="827" t="s">
        <v>664</v>
      </c>
      <c r="N3" s="827"/>
      <c r="Q3" s="459" t="s">
        <v>1232</v>
      </c>
    </row>
    <row r="4" spans="1:17" s="6" customFormat="1" ht="60" x14ac:dyDescent="0.25">
      <c r="A4" s="100" t="s">
        <v>303</v>
      </c>
      <c r="B4" s="100" t="s">
        <v>8</v>
      </c>
      <c r="C4" s="100" t="s">
        <v>23</v>
      </c>
      <c r="D4" s="100" t="s">
        <v>109</v>
      </c>
      <c r="E4" s="100" t="s">
        <v>1659</v>
      </c>
      <c r="F4" s="100" t="s">
        <v>133</v>
      </c>
      <c r="G4" s="100" t="s">
        <v>130</v>
      </c>
      <c r="H4" s="100" t="s">
        <v>131</v>
      </c>
      <c r="I4" s="100" t="s">
        <v>124</v>
      </c>
      <c r="J4" s="100" t="s">
        <v>110</v>
      </c>
      <c r="K4" s="100" t="s">
        <v>16</v>
      </c>
      <c r="L4" s="100" t="s">
        <v>132</v>
      </c>
      <c r="M4" s="100" t="s">
        <v>9</v>
      </c>
      <c r="N4" s="100" t="s">
        <v>1228</v>
      </c>
      <c r="O4" s="652" t="s">
        <v>1510</v>
      </c>
      <c r="Q4" s="459" t="s">
        <v>1233</v>
      </c>
    </row>
    <row r="5" spans="1:17" s="7" customFormat="1" ht="45" x14ac:dyDescent="0.25">
      <c r="A5" s="116">
        <v>1</v>
      </c>
      <c r="B5" s="619" t="s">
        <v>1599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1234</v>
      </c>
    </row>
    <row r="6" spans="1:17" s="7" customFormat="1" ht="30" x14ac:dyDescent="0.25">
      <c r="A6" s="111">
        <v>2</v>
      </c>
      <c r="B6" s="480" t="s">
        <v>339</v>
      </c>
      <c r="C6" s="111">
        <v>485</v>
      </c>
      <c r="D6" s="111">
        <v>481</v>
      </c>
      <c r="E6" s="111">
        <f t="shared" si="0"/>
        <v>4</v>
      </c>
      <c r="F6" s="111">
        <v>4</v>
      </c>
      <c r="G6" s="111"/>
      <c r="H6" s="111"/>
      <c r="I6" s="111">
        <v>1</v>
      </c>
      <c r="J6" s="111">
        <f t="shared" si="1"/>
        <v>481</v>
      </c>
      <c r="K6" s="111">
        <f t="shared" si="2"/>
        <v>4</v>
      </c>
      <c r="L6" s="111">
        <v>1</v>
      </c>
      <c r="M6" s="709" t="s">
        <v>1752</v>
      </c>
      <c r="N6" s="567"/>
      <c r="O6" s="651">
        <f t="shared" ref="O6:O12" si="3">(J6/C6)*100</f>
        <v>99.175257731958766</v>
      </c>
      <c r="P6" s="605"/>
      <c r="Q6" s="459" t="s">
        <v>1235</v>
      </c>
    </row>
    <row r="7" spans="1:17" s="7" customFormat="1" ht="30" x14ac:dyDescent="0.25">
      <c r="A7" s="111">
        <v>3</v>
      </c>
      <c r="B7" s="480" t="s">
        <v>340</v>
      </c>
      <c r="C7" s="111">
        <v>485</v>
      </c>
      <c r="D7" s="111">
        <v>481</v>
      </c>
      <c r="E7" s="111">
        <f t="shared" si="0"/>
        <v>4</v>
      </c>
      <c r="F7" s="111">
        <v>4</v>
      </c>
      <c r="G7" s="111"/>
      <c r="H7" s="111"/>
      <c r="I7" s="111"/>
      <c r="J7" s="111">
        <f t="shared" si="1"/>
        <v>481</v>
      </c>
      <c r="K7" s="111">
        <f t="shared" si="2"/>
        <v>4</v>
      </c>
      <c r="L7" s="111">
        <f>L6</f>
        <v>1</v>
      </c>
      <c r="M7" s="709"/>
      <c r="N7" s="101"/>
      <c r="O7" s="651">
        <f t="shared" si="3"/>
        <v>99.175257731958766</v>
      </c>
      <c r="Q7" s="459" t="s">
        <v>1236</v>
      </c>
    </row>
    <row r="8" spans="1:17" s="7" customFormat="1" ht="45" x14ac:dyDescent="0.25">
      <c r="A8" s="111">
        <v>4</v>
      </c>
      <c r="B8" s="480" t="s">
        <v>111</v>
      </c>
      <c r="C8" s="111">
        <v>485</v>
      </c>
      <c r="D8" s="111">
        <v>459</v>
      </c>
      <c r="E8" s="111">
        <f t="shared" si="0"/>
        <v>26</v>
      </c>
      <c r="F8" s="111">
        <v>22</v>
      </c>
      <c r="G8" s="111"/>
      <c r="H8" s="111"/>
      <c r="I8" s="111">
        <v>2</v>
      </c>
      <c r="J8" s="111">
        <f t="shared" si="1"/>
        <v>459</v>
      </c>
      <c r="K8" s="111">
        <f t="shared" si="2"/>
        <v>26</v>
      </c>
      <c r="L8" s="111">
        <v>2</v>
      </c>
      <c r="M8" s="643" t="s">
        <v>1745</v>
      </c>
      <c r="N8" s="717" t="s">
        <v>1749</v>
      </c>
      <c r="O8" s="651">
        <f t="shared" si="3"/>
        <v>94.639175257731949</v>
      </c>
      <c r="Q8" s="459" t="s">
        <v>1237</v>
      </c>
    </row>
    <row r="9" spans="1:17" s="7" customFormat="1" ht="45" x14ac:dyDescent="0.25">
      <c r="A9" s="111">
        <v>5</v>
      </c>
      <c r="B9" s="480" t="s">
        <v>225</v>
      </c>
      <c r="C9" s="111">
        <v>485</v>
      </c>
      <c r="D9" s="111">
        <v>295</v>
      </c>
      <c r="E9" s="111">
        <f t="shared" si="0"/>
        <v>190</v>
      </c>
      <c r="F9" s="111">
        <v>36</v>
      </c>
      <c r="G9" s="111">
        <v>2</v>
      </c>
      <c r="H9" s="111">
        <v>4</v>
      </c>
      <c r="I9" s="111"/>
      <c r="J9" s="111">
        <f t="shared" si="1"/>
        <v>299</v>
      </c>
      <c r="K9" s="111">
        <f t="shared" si="2"/>
        <v>186</v>
      </c>
      <c r="L9" s="111">
        <v>2</v>
      </c>
      <c r="M9" s="103"/>
      <c r="N9" s="101"/>
      <c r="O9" s="651">
        <f t="shared" si="3"/>
        <v>61.649484536082475</v>
      </c>
      <c r="Q9" s="459" t="s">
        <v>1238</v>
      </c>
    </row>
    <row r="10" spans="1:17" s="7" customFormat="1" ht="30" x14ac:dyDescent="0.25">
      <c r="A10" s="111">
        <v>6</v>
      </c>
      <c r="B10" s="480" t="s">
        <v>341</v>
      </c>
      <c r="C10" s="111">
        <f>C5</f>
        <v>191.37299999999999</v>
      </c>
      <c r="D10" s="111">
        <v>81.249799999999993</v>
      </c>
      <c r="E10" s="537">
        <f>C10-D10-33.766</f>
        <v>76.357200000000006</v>
      </c>
      <c r="F10" s="760">
        <v>23</v>
      </c>
      <c r="G10" s="537"/>
      <c r="H10" s="537"/>
      <c r="I10" s="537">
        <f>Stringing!G39</f>
        <v>3.3400000000000034</v>
      </c>
      <c r="J10" s="537">
        <f t="shared" si="1"/>
        <v>81.249799999999993</v>
      </c>
      <c r="K10" s="111">
        <f>+E10-H10</f>
        <v>76.357200000000006</v>
      </c>
      <c r="L10" s="828">
        <v>3</v>
      </c>
      <c r="M10" s="480" t="s">
        <v>1753</v>
      </c>
      <c r="N10" s="535"/>
      <c r="O10" s="651">
        <f t="shared" si="3"/>
        <v>42.456250359246077</v>
      </c>
      <c r="Q10" s="459" t="s">
        <v>1239</v>
      </c>
    </row>
    <row r="11" spans="1:17" s="7" customFormat="1" ht="30" x14ac:dyDescent="0.25">
      <c r="A11" s="111">
        <v>7</v>
      </c>
      <c r="B11" s="480" t="s">
        <v>342</v>
      </c>
      <c r="C11" s="537">
        <f>C10</f>
        <v>191.37299999999999</v>
      </c>
      <c r="D11" s="111">
        <v>76.556700000000006</v>
      </c>
      <c r="E11" s="537">
        <f>C11-D11-33.766</f>
        <v>81.050299999999993</v>
      </c>
      <c r="F11" s="111">
        <v>28</v>
      </c>
      <c r="G11" s="537"/>
      <c r="H11" s="537"/>
      <c r="I11" s="537">
        <f>Stringing!G40</f>
        <v>4.9500000000000028</v>
      </c>
      <c r="J11" s="537">
        <f t="shared" si="1"/>
        <v>76.556700000000006</v>
      </c>
      <c r="K11" s="111">
        <f t="shared" ref="K11:K12" si="4">+E11-H11</f>
        <v>81.050299999999993</v>
      </c>
      <c r="L11" s="829"/>
      <c r="M11" s="480" t="s">
        <v>1756</v>
      </c>
      <c r="N11" s="101"/>
      <c r="O11" s="651">
        <f t="shared" si="3"/>
        <v>40.003919048141597</v>
      </c>
      <c r="Q11" s="459" t="s">
        <v>1240</v>
      </c>
    </row>
    <row r="12" spans="1:17" s="7" customFormat="1" ht="30" x14ac:dyDescent="0.25">
      <c r="A12" s="112">
        <v>8</v>
      </c>
      <c r="B12" s="620" t="s">
        <v>343</v>
      </c>
      <c r="C12" s="112">
        <f>C11</f>
        <v>191.37299999999999</v>
      </c>
      <c r="D12" s="112">
        <v>64.067000000000007</v>
      </c>
      <c r="E12" s="112">
        <f>C12-D12-33.766</f>
        <v>93.539999999999992</v>
      </c>
      <c r="F12" s="112">
        <v>30</v>
      </c>
      <c r="G12" s="621"/>
      <c r="H12" s="621"/>
      <c r="I12" s="621"/>
      <c r="J12" s="512">
        <f t="shared" si="1"/>
        <v>64.067000000000007</v>
      </c>
      <c r="K12" s="111">
        <f t="shared" si="4"/>
        <v>93.539999999999992</v>
      </c>
      <c r="L12" s="112"/>
      <c r="M12" s="620"/>
      <c r="N12" s="104"/>
      <c r="O12" s="651">
        <f t="shared" si="3"/>
        <v>33.477554304943752</v>
      </c>
      <c r="Q12" s="459" t="s">
        <v>1241</v>
      </c>
    </row>
    <row r="13" spans="1:17" x14ac:dyDescent="0.25">
      <c r="A13" s="820"/>
      <c r="B13" s="820"/>
      <c r="C13" s="820"/>
      <c r="D13" s="820"/>
      <c r="E13" s="820"/>
      <c r="F13" s="820"/>
      <c r="G13" s="820"/>
      <c r="H13" s="820"/>
      <c r="I13" s="820"/>
      <c r="J13" s="820"/>
      <c r="K13" s="820"/>
      <c r="L13" s="820"/>
      <c r="M13" s="820"/>
      <c r="N13" s="820"/>
      <c r="Q13" s="459" t="s">
        <v>1242</v>
      </c>
    </row>
    <row r="14" spans="1:17" x14ac:dyDescent="0.25">
      <c r="A14" s="832" t="s">
        <v>1222</v>
      </c>
      <c r="B14" s="832"/>
      <c r="C14" s="832"/>
      <c r="D14" s="832"/>
      <c r="E14" s="832"/>
      <c r="F14" s="832"/>
      <c r="G14" s="832"/>
      <c r="H14" s="5"/>
      <c r="I14" s="666"/>
      <c r="J14" s="5"/>
      <c r="K14" s="5"/>
      <c r="L14" s="5"/>
      <c r="M14" s="5"/>
      <c r="N14" s="5"/>
      <c r="Q14" s="459" t="s">
        <v>1243</v>
      </c>
    </row>
    <row r="15" spans="1:17" x14ac:dyDescent="0.25">
      <c r="A15" s="833"/>
      <c r="B15" s="834"/>
      <c r="C15" s="834"/>
      <c r="D15" s="834"/>
      <c r="E15" s="834"/>
      <c r="F15" s="834"/>
      <c r="G15" s="835"/>
      <c r="H15" s="5"/>
      <c r="I15" s="5"/>
      <c r="J15" s="5"/>
      <c r="K15" s="606"/>
      <c r="L15" s="5"/>
      <c r="M15" s="666"/>
      <c r="N15" s="5"/>
      <c r="Q15" s="459" t="s">
        <v>1244</v>
      </c>
    </row>
    <row r="16" spans="1:17" x14ac:dyDescent="0.25">
      <c r="A16" s="830" t="s">
        <v>1224</v>
      </c>
      <c r="B16" s="830"/>
      <c r="C16" s="830"/>
      <c r="D16" s="830"/>
      <c r="E16" s="830"/>
      <c r="F16" s="830"/>
      <c r="G16" s="830"/>
      <c r="H16" s="5"/>
      <c r="J16" s="5"/>
      <c r="K16" s="5"/>
      <c r="L16" s="5"/>
      <c r="M16" s="5"/>
      <c r="N16" s="5"/>
      <c r="Q16" s="464" t="s">
        <v>1282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0</v>
      </c>
      <c r="C18" s="193">
        <f>I6</f>
        <v>1</v>
      </c>
      <c r="D18" s="193">
        <f>'Page Chart'!Q4</f>
        <v>0</v>
      </c>
      <c r="E18" s="195">
        <f>A18-B18-C18-D18</f>
        <v>3</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30" t="s">
        <v>1225</v>
      </c>
      <c r="B20" s="830"/>
      <c r="C20" s="830"/>
      <c r="D20" s="830"/>
      <c r="E20" s="830"/>
      <c r="F20" s="830"/>
      <c r="G20" s="830"/>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0</v>
      </c>
      <c r="C22" s="195">
        <f>I8</f>
        <v>2</v>
      </c>
      <c r="D22" s="195">
        <f>'Page Chart'!V4+'Page Chart'!X4-F22</f>
        <v>0</v>
      </c>
      <c r="E22" s="195">
        <f>'Page Chart'!W4</f>
        <v>20</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31" t="s">
        <v>1226</v>
      </c>
      <c r="B24" s="831"/>
      <c r="C24" s="831"/>
      <c r="D24" s="831"/>
      <c r="E24" s="831"/>
      <c r="F24" s="831"/>
      <c r="G24" s="831"/>
      <c r="H24" s="5"/>
      <c r="I24" s="5"/>
      <c r="J24" s="5"/>
      <c r="K24" s="5"/>
      <c r="L24" s="5"/>
      <c r="M24" s="5"/>
      <c r="N24" s="5"/>
    </row>
    <row r="25" spans="1:17" ht="75" hidden="1" x14ac:dyDescent="0.25">
      <c r="A25" s="2" t="s">
        <v>227</v>
      </c>
      <c r="B25" s="2" t="s">
        <v>228</v>
      </c>
      <c r="C25" s="3" t="s">
        <v>124</v>
      </c>
      <c r="D25" s="108" t="s">
        <v>145</v>
      </c>
      <c r="E25" s="107" t="s">
        <v>129</v>
      </c>
      <c r="F25" s="192" t="s">
        <v>1223</v>
      </c>
      <c r="G25" s="109" t="s">
        <v>1601</v>
      </c>
      <c r="H25" s="5"/>
      <c r="I25" s="5"/>
      <c r="J25" s="5"/>
      <c r="K25" s="5"/>
      <c r="L25" s="5"/>
      <c r="M25" s="5"/>
      <c r="N25" s="5"/>
    </row>
    <row r="26" spans="1:17" hidden="1" x14ac:dyDescent="0.25">
      <c r="A26" s="4">
        <f>E10</f>
        <v>76.357200000000006</v>
      </c>
      <c r="B26" s="4">
        <f>H10</f>
        <v>0</v>
      </c>
      <c r="C26" s="199">
        <f>I10</f>
        <v>3.3400000000000034</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6" t="s">
        <v>1684</v>
      </c>
      <c r="B1" s="786" t="s">
        <v>1685</v>
      </c>
      <c r="C1" s="786" t="s">
        <v>1686</v>
      </c>
      <c r="D1" s="786" t="s">
        <v>1687</v>
      </c>
      <c r="E1" s="786" t="s">
        <v>1688</v>
      </c>
      <c r="F1" s="786" t="s">
        <v>1</v>
      </c>
      <c r="G1" s="786" t="s">
        <v>1689</v>
      </c>
      <c r="H1" s="786" t="s">
        <v>21</v>
      </c>
      <c r="I1" s="786" t="s">
        <v>1690</v>
      </c>
      <c r="J1" s="786" t="s">
        <v>1275</v>
      </c>
      <c r="K1" s="786" t="s">
        <v>1691</v>
      </c>
    </row>
    <row r="2" spans="1:14" x14ac:dyDescent="0.25">
      <c r="A2" s="787" t="s">
        <v>1692</v>
      </c>
      <c r="B2" s="787" t="s">
        <v>1693</v>
      </c>
      <c r="C2" s="787" t="s">
        <v>1694</v>
      </c>
      <c r="D2" s="788">
        <v>45266</v>
      </c>
      <c r="E2" s="788">
        <v>45960</v>
      </c>
      <c r="F2" s="787" t="s">
        <v>1695</v>
      </c>
      <c r="G2" s="787" t="s">
        <v>1696</v>
      </c>
      <c r="H2" s="787" t="s">
        <v>1697</v>
      </c>
      <c r="I2" s="787" t="s">
        <v>1698</v>
      </c>
      <c r="J2" s="787" t="s">
        <v>1699</v>
      </c>
      <c r="K2" s="787" t="s">
        <v>1700</v>
      </c>
    </row>
    <row r="3" spans="1:14" x14ac:dyDescent="0.25">
      <c r="A3" s="787"/>
      <c r="B3" s="787"/>
      <c r="C3" s="787"/>
      <c r="D3" s="787"/>
      <c r="E3" s="787"/>
      <c r="F3" s="787"/>
      <c r="G3" s="787"/>
      <c r="H3" s="787"/>
      <c r="I3" s="791" t="s">
        <v>1742</v>
      </c>
      <c r="J3" t="s">
        <v>1701</v>
      </c>
      <c r="K3" s="787" t="s">
        <v>1702</v>
      </c>
    </row>
    <row r="4" spans="1:14" x14ac:dyDescent="0.25">
      <c r="A4" s="787"/>
      <c r="B4" s="787"/>
      <c r="C4" s="787"/>
      <c r="D4" s="787"/>
      <c r="E4" s="788"/>
      <c r="F4" s="787"/>
      <c r="G4" s="787"/>
      <c r="H4" s="787"/>
      <c r="I4" s="787"/>
      <c r="J4" s="787" t="s">
        <v>1274</v>
      </c>
      <c r="K4" s="787" t="s">
        <v>1703</v>
      </c>
    </row>
    <row r="5" spans="1:14" x14ac:dyDescent="0.25">
      <c r="A5" s="787"/>
      <c r="B5" s="787"/>
      <c r="C5" s="787"/>
      <c r="D5" s="787"/>
      <c r="E5" s="787"/>
      <c r="F5" s="787"/>
      <c r="G5" s="787"/>
      <c r="H5" s="787"/>
      <c r="I5" s="787"/>
      <c r="J5" s="787" t="s">
        <v>1704</v>
      </c>
      <c r="K5" s="787" t="s">
        <v>1705</v>
      </c>
    </row>
    <row r="6" spans="1:14" x14ac:dyDescent="0.25">
      <c r="A6" s="787"/>
      <c r="B6" s="787"/>
      <c r="C6" s="787"/>
      <c r="D6" s="787"/>
      <c r="E6" s="787"/>
      <c r="F6" s="787"/>
      <c r="G6" s="787"/>
      <c r="H6" s="787"/>
      <c r="I6" s="787"/>
      <c r="J6" s="787" t="s">
        <v>1281</v>
      </c>
      <c r="K6" s="787" t="s">
        <v>1706</v>
      </c>
    </row>
    <row r="7" spans="1:14" x14ac:dyDescent="0.25">
      <c r="A7" s="787"/>
      <c r="B7" s="788"/>
      <c r="C7" s="787"/>
      <c r="D7" s="787"/>
      <c r="E7" s="787"/>
      <c r="F7" s="787"/>
      <c r="G7" s="787"/>
      <c r="H7" s="787"/>
      <c r="I7" s="787"/>
      <c r="J7" s="787" t="s">
        <v>1519</v>
      </c>
      <c r="K7" s="787" t="s">
        <v>1707</v>
      </c>
    </row>
    <row r="8" spans="1:14" x14ac:dyDescent="0.25">
      <c r="A8" s="787"/>
      <c r="B8" s="787"/>
      <c r="C8" s="787"/>
      <c r="D8" s="787"/>
      <c r="E8" s="787"/>
      <c r="F8" s="787"/>
      <c r="G8" s="787"/>
      <c r="H8" s="787"/>
      <c r="I8" s="787"/>
      <c r="J8" s="787"/>
      <c r="K8" s="787" t="s">
        <v>1708</v>
      </c>
      <c r="N8" s="641"/>
    </row>
    <row r="9" spans="1:14" x14ac:dyDescent="0.25">
      <c r="A9" s="787"/>
      <c r="B9" s="787"/>
      <c r="C9" s="787"/>
      <c r="D9" s="787"/>
      <c r="E9" s="787"/>
      <c r="F9" s="787"/>
      <c r="G9" s="787"/>
      <c r="H9" s="787"/>
      <c r="I9" s="787"/>
      <c r="J9" s="787"/>
      <c r="K9" s="787" t="s">
        <v>1709</v>
      </c>
    </row>
    <row r="10" spans="1:14" x14ac:dyDescent="0.25">
      <c r="A10" s="787"/>
      <c r="B10" s="787"/>
      <c r="C10" s="787"/>
      <c r="D10" s="787"/>
      <c r="E10" s="787"/>
      <c r="F10" s="787"/>
      <c r="G10" s="787"/>
      <c r="H10" s="787"/>
      <c r="I10" s="787"/>
      <c r="J10" s="787"/>
      <c r="K10" s="787" t="s">
        <v>1710</v>
      </c>
    </row>
    <row r="11" spans="1:14" x14ac:dyDescent="0.25">
      <c r="A11" s="787"/>
      <c r="B11" s="787"/>
      <c r="C11" s="787"/>
      <c r="D11" s="787"/>
      <c r="E11" s="787"/>
      <c r="F11" s="787"/>
      <c r="G11" s="787"/>
      <c r="H11" s="787"/>
      <c r="I11" s="787"/>
      <c r="J11" s="787"/>
      <c r="K11" s="787" t="s">
        <v>1711</v>
      </c>
    </row>
    <row r="12" spans="1:14" x14ac:dyDescent="0.25">
      <c r="A12" s="787"/>
      <c r="B12" s="787"/>
      <c r="C12" s="787"/>
      <c r="D12" s="787"/>
      <c r="E12" s="787"/>
      <c r="F12" s="787"/>
      <c r="G12" s="787"/>
      <c r="H12" s="787"/>
      <c r="I12" s="787"/>
      <c r="J12" s="787"/>
      <c r="K12" s="787" t="s">
        <v>1520</v>
      </c>
    </row>
    <row r="13" spans="1:14" x14ac:dyDescent="0.25">
      <c r="A13" s="608"/>
      <c r="B13" s="608"/>
      <c r="C13" s="608"/>
      <c r="D13" s="608"/>
      <c r="E13" s="608"/>
      <c r="F13" s="608"/>
      <c r="G13" s="608"/>
      <c r="H13" s="608"/>
      <c r="I13" s="608"/>
      <c r="J13" s="608"/>
      <c r="K13" s="608" t="s">
        <v>1712</v>
      </c>
    </row>
    <row r="14" spans="1:14" x14ac:dyDescent="0.25">
      <c r="A14" s="608"/>
      <c r="B14" s="608"/>
      <c r="C14" s="608"/>
      <c r="D14" s="608"/>
      <c r="E14" s="608"/>
      <c r="F14" s="608"/>
      <c r="G14" s="608"/>
      <c r="H14" s="608"/>
      <c r="I14" s="608"/>
      <c r="J14" s="608"/>
      <c r="K14" s="608" t="s">
        <v>1713</v>
      </c>
    </row>
    <row r="15" spans="1:14" x14ac:dyDescent="0.25">
      <c r="A15" s="608"/>
      <c r="B15" s="608"/>
      <c r="C15" s="608"/>
      <c r="D15" s="608"/>
      <c r="E15" s="608"/>
      <c r="F15" s="608"/>
      <c r="G15" s="608"/>
      <c r="H15" s="608"/>
      <c r="I15" s="608"/>
      <c r="J15" s="608"/>
      <c r="K15" s="608" t="s">
        <v>1714</v>
      </c>
    </row>
    <row r="16" spans="1:14" x14ac:dyDescent="0.25">
      <c r="A16" s="608"/>
      <c r="B16" s="608"/>
      <c r="C16" s="608"/>
      <c r="D16" s="608"/>
      <c r="E16" s="608"/>
      <c r="F16" s="608"/>
      <c r="G16" s="608"/>
      <c r="H16" s="608"/>
      <c r="I16" s="608"/>
      <c r="J16" s="608"/>
      <c r="K16" s="608" t="s">
        <v>1715</v>
      </c>
    </row>
    <row r="17" spans="1:11" x14ac:dyDescent="0.25">
      <c r="A17" s="608"/>
      <c r="B17" s="608"/>
      <c r="C17" s="608"/>
      <c r="D17" s="608"/>
      <c r="E17" s="608"/>
      <c r="F17" s="608"/>
      <c r="G17" s="608"/>
      <c r="H17" s="608"/>
      <c r="I17" s="608"/>
      <c r="J17" s="608"/>
      <c r="K17" s="608" t="s">
        <v>1716</v>
      </c>
    </row>
    <row r="18" spans="1:11" x14ac:dyDescent="0.25">
      <c r="A18" s="608"/>
      <c r="B18" s="608"/>
      <c r="C18" s="608"/>
      <c r="D18" s="608"/>
      <c r="E18" s="608"/>
      <c r="F18" s="608"/>
      <c r="G18" s="608"/>
      <c r="H18" s="608"/>
      <c r="I18" s="608"/>
      <c r="J18" s="608"/>
      <c r="K18" s="608" t="s">
        <v>1717</v>
      </c>
    </row>
    <row r="19" spans="1:11" x14ac:dyDescent="0.25">
      <c r="A19" s="608"/>
      <c r="B19" s="608"/>
      <c r="C19" s="608"/>
      <c r="D19" s="608"/>
      <c r="E19" s="608"/>
      <c r="F19" s="608"/>
      <c r="G19" s="608"/>
      <c r="H19" s="608"/>
      <c r="I19" s="608"/>
      <c r="J19" s="608"/>
      <c r="K19" s="608" t="s">
        <v>1718</v>
      </c>
    </row>
    <row r="20" spans="1:11" x14ac:dyDescent="0.25">
      <c r="A20" s="608"/>
      <c r="B20" s="608"/>
      <c r="C20" s="608"/>
      <c r="D20" s="608"/>
      <c r="E20" s="608"/>
      <c r="F20" s="608"/>
      <c r="G20" s="608"/>
      <c r="H20" s="608"/>
      <c r="I20" s="608"/>
      <c r="J20" s="608"/>
      <c r="K20" s="608" t="s">
        <v>1719</v>
      </c>
    </row>
    <row r="21" spans="1:11" x14ac:dyDescent="0.25">
      <c r="A21" s="608"/>
      <c r="B21" s="608"/>
      <c r="C21" s="608"/>
      <c r="D21" s="608"/>
      <c r="E21" s="608"/>
      <c r="F21" s="608"/>
      <c r="G21" s="608"/>
      <c r="H21" s="608"/>
      <c r="I21" s="608"/>
      <c r="J21" s="608"/>
      <c r="K21" s="608" t="s">
        <v>1720</v>
      </c>
    </row>
    <row r="22" spans="1:11" x14ac:dyDescent="0.25">
      <c r="A22" s="608"/>
      <c r="B22" s="608"/>
      <c r="C22" s="608"/>
      <c r="D22" s="608"/>
      <c r="E22" s="608"/>
      <c r="F22" s="608"/>
      <c r="G22" s="608"/>
      <c r="H22" s="608"/>
      <c r="I22" s="608"/>
      <c r="J22" s="608"/>
      <c r="K22" s="608" t="s">
        <v>1721</v>
      </c>
    </row>
    <row r="23" spans="1:11" x14ac:dyDescent="0.25">
      <c r="A23" s="608"/>
      <c r="B23" s="608"/>
      <c r="C23" s="608"/>
      <c r="D23" s="608"/>
      <c r="E23" s="608"/>
      <c r="F23" s="608"/>
      <c r="G23" s="608"/>
      <c r="H23" s="608"/>
      <c r="I23" s="608"/>
      <c r="J23" s="608"/>
      <c r="K23" s="608" t="s">
        <v>1722</v>
      </c>
    </row>
    <row r="24" spans="1:11" x14ac:dyDescent="0.25">
      <c r="A24" s="608"/>
      <c r="B24" s="608"/>
      <c r="C24" s="608"/>
      <c r="D24" s="608"/>
      <c r="E24" s="608"/>
      <c r="F24" s="608"/>
      <c r="G24" s="608"/>
      <c r="H24" s="608"/>
      <c r="I24" s="608"/>
      <c r="J24" s="608"/>
      <c r="K24" s="608" t="s">
        <v>1723</v>
      </c>
    </row>
    <row r="25" spans="1:11" x14ac:dyDescent="0.25">
      <c r="A25" s="608"/>
      <c r="B25" s="608"/>
      <c r="C25" s="608"/>
      <c r="D25" s="608"/>
      <c r="E25" s="608"/>
      <c r="F25" s="608"/>
      <c r="G25" s="608"/>
      <c r="H25" s="608"/>
      <c r="I25" s="608"/>
      <c r="J25" s="608"/>
      <c r="K25" s="608" t="s">
        <v>1724</v>
      </c>
    </row>
    <row r="26" spans="1:11" x14ac:dyDescent="0.25">
      <c r="A26" s="608"/>
      <c r="B26" s="608"/>
      <c r="C26" s="608"/>
      <c r="D26" s="608"/>
      <c r="E26" s="608"/>
      <c r="F26" s="608"/>
      <c r="G26" s="608"/>
      <c r="H26" s="608"/>
      <c r="I26" s="608"/>
      <c r="J26" s="608"/>
      <c r="K26" s="608" t="s">
        <v>1725</v>
      </c>
    </row>
    <row r="27" spans="1:11" x14ac:dyDescent="0.25">
      <c r="A27" s="608"/>
      <c r="B27" s="608"/>
      <c r="C27" s="608"/>
      <c r="D27" s="608"/>
      <c r="E27" s="608"/>
      <c r="F27" s="608"/>
      <c r="G27" s="608"/>
      <c r="H27" s="608"/>
      <c r="I27" s="608"/>
      <c r="J27" s="608"/>
      <c r="K27" s="608" t="s">
        <v>1726</v>
      </c>
    </row>
    <row r="28" spans="1:11" x14ac:dyDescent="0.25">
      <c r="A28" s="608"/>
      <c r="B28" s="608"/>
      <c r="C28" s="608"/>
      <c r="D28" s="608"/>
      <c r="E28" s="608"/>
      <c r="F28" s="608"/>
      <c r="G28" s="608"/>
      <c r="H28" s="608"/>
      <c r="I28" s="608"/>
      <c r="J28" s="608"/>
      <c r="K28" s="608" t="s">
        <v>1727</v>
      </c>
    </row>
    <row r="29" spans="1:11" x14ac:dyDescent="0.25">
      <c r="A29" s="608"/>
      <c r="B29" s="608"/>
      <c r="C29" s="608"/>
      <c r="D29" s="608"/>
      <c r="E29" s="608"/>
      <c r="F29" s="608"/>
      <c r="G29" s="608"/>
      <c r="H29" s="608"/>
      <c r="I29" s="608"/>
      <c r="J29" s="608"/>
      <c r="K29" s="608" t="s">
        <v>1728</v>
      </c>
    </row>
    <row r="30" spans="1:11" x14ac:dyDescent="0.25">
      <c r="A30" s="608"/>
      <c r="B30" s="608"/>
      <c r="C30" s="608"/>
      <c r="D30" s="608"/>
      <c r="E30" s="608"/>
      <c r="F30" s="608"/>
      <c r="G30" s="608"/>
      <c r="H30" s="608"/>
      <c r="I30" s="608"/>
      <c r="J30" s="608"/>
      <c r="K30" s="608" t="s">
        <v>1729</v>
      </c>
    </row>
    <row r="31" spans="1:11" x14ac:dyDescent="0.25">
      <c r="A31" s="608"/>
      <c r="B31" s="608"/>
      <c r="C31" s="608"/>
      <c r="D31" s="608"/>
      <c r="E31" s="608"/>
      <c r="F31" s="608"/>
      <c r="G31" s="608"/>
      <c r="H31" s="608"/>
      <c r="I31" s="608"/>
      <c r="J31" s="608"/>
      <c r="K31" s="608" t="s">
        <v>1730</v>
      </c>
    </row>
    <row r="32" spans="1:11" x14ac:dyDescent="0.25">
      <c r="A32" s="608"/>
      <c r="B32" s="608"/>
      <c r="C32" s="608"/>
      <c r="D32" s="608"/>
      <c r="E32" s="608"/>
      <c r="F32" s="608"/>
      <c r="G32" s="608"/>
      <c r="H32" s="608"/>
      <c r="I32" s="608"/>
      <c r="J32" s="608"/>
      <c r="K32" s="608" t="s">
        <v>1731</v>
      </c>
    </row>
    <row r="33" spans="1:11" x14ac:dyDescent="0.25">
      <c r="A33" s="608"/>
      <c r="B33" s="608"/>
      <c r="C33" s="608"/>
      <c r="D33" s="608"/>
      <c r="E33" s="608"/>
      <c r="F33" s="608"/>
      <c r="G33" s="608"/>
      <c r="H33" s="608"/>
      <c r="I33" s="608"/>
      <c r="J33" s="608"/>
      <c r="K33" s="608" t="s">
        <v>1732</v>
      </c>
    </row>
    <row r="34" spans="1:11" x14ac:dyDescent="0.25">
      <c r="A34" s="608"/>
      <c r="B34" s="608"/>
      <c r="C34" s="608"/>
      <c r="D34" s="608"/>
      <c r="E34" s="608"/>
      <c r="F34" s="608"/>
      <c r="G34" s="608"/>
      <c r="H34" s="608"/>
      <c r="I34" s="608"/>
      <c r="J34" s="608"/>
      <c r="K34" s="608" t="s">
        <v>1733</v>
      </c>
    </row>
    <row r="35" spans="1:11" x14ac:dyDescent="0.25">
      <c r="A35" s="608"/>
      <c r="B35" s="608"/>
      <c r="C35" s="608"/>
      <c r="D35" s="608"/>
      <c r="E35" s="608"/>
      <c r="F35" s="608"/>
      <c r="G35" s="608"/>
      <c r="H35" s="608"/>
      <c r="I35" s="608"/>
      <c r="J35" s="608"/>
      <c r="K35" s="608" t="s">
        <v>1734</v>
      </c>
    </row>
    <row r="36" spans="1:11" x14ac:dyDescent="0.25">
      <c r="A36" s="608"/>
      <c r="B36" s="608"/>
      <c r="C36" s="608"/>
      <c r="D36" s="608"/>
      <c r="E36" s="608"/>
      <c r="F36" s="608"/>
      <c r="G36" s="608"/>
      <c r="H36" s="608"/>
      <c r="I36" s="608"/>
      <c r="J36" s="608"/>
      <c r="K36" s="608" t="s">
        <v>1735</v>
      </c>
    </row>
    <row r="37" spans="1:11" x14ac:dyDescent="0.25">
      <c r="A37" s="608"/>
      <c r="B37" s="608"/>
      <c r="C37" s="608"/>
      <c r="D37" s="608"/>
      <c r="E37" s="608"/>
      <c r="F37" s="608"/>
      <c r="G37" s="608"/>
      <c r="H37" s="608"/>
      <c r="I37" s="608"/>
      <c r="J37" s="608"/>
      <c r="K37" s="608" t="s">
        <v>1736</v>
      </c>
    </row>
    <row r="38" spans="1:11" x14ac:dyDescent="0.25">
      <c r="A38" s="608"/>
      <c r="B38" s="608"/>
      <c r="C38" s="608"/>
      <c r="D38" s="608"/>
      <c r="E38" s="608"/>
      <c r="F38" s="608"/>
      <c r="G38" s="608"/>
      <c r="H38" s="608"/>
      <c r="I38" s="608"/>
      <c r="J38" s="608"/>
      <c r="K38" s="608" t="s">
        <v>1737</v>
      </c>
    </row>
    <row r="39" spans="1:11" x14ac:dyDescent="0.25">
      <c r="A39" s="608"/>
      <c r="B39" s="608"/>
      <c r="C39" s="608"/>
      <c r="D39" s="608"/>
      <c r="E39" s="608"/>
      <c r="F39" s="608"/>
      <c r="G39" s="608"/>
      <c r="H39" s="608"/>
      <c r="I39" s="608"/>
      <c r="J39" s="608"/>
      <c r="K39" s="789" t="s">
        <v>1738</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1264</v>
      </c>
      <c r="B1" s="723"/>
      <c r="C1" s="704"/>
      <c r="D1" s="704"/>
      <c r="E1" s="704"/>
      <c r="F1" s="723"/>
      <c r="G1" s="704"/>
      <c r="H1" s="704"/>
      <c r="I1" s="704"/>
      <c r="J1" s="704"/>
    </row>
    <row r="2" spans="1:14" x14ac:dyDescent="0.25">
      <c r="A2" s="836" t="s">
        <v>349</v>
      </c>
      <c r="B2" s="836"/>
      <c r="C2" s="836"/>
      <c r="D2" s="836"/>
      <c r="E2" s="836"/>
      <c r="F2" s="836"/>
      <c r="G2" s="836"/>
      <c r="H2" s="836"/>
      <c r="I2" s="836"/>
      <c r="J2" s="836"/>
      <c r="K2" s="836"/>
    </row>
    <row r="3" spans="1:14" s="608" customFormat="1" ht="27" customHeight="1" x14ac:dyDescent="0.25">
      <c r="A3" s="187" t="s">
        <v>303</v>
      </c>
      <c r="B3" s="191" t="s">
        <v>128</v>
      </c>
      <c r="C3" s="191" t="s">
        <v>118</v>
      </c>
      <c r="D3" s="191" t="s">
        <v>119</v>
      </c>
      <c r="E3" s="191" t="s">
        <v>1211</v>
      </c>
      <c r="F3" s="191" t="s">
        <v>293</v>
      </c>
      <c r="G3" s="191" t="s">
        <v>294</v>
      </c>
      <c r="H3" s="191" t="s">
        <v>1212</v>
      </c>
      <c r="I3" s="191" t="s">
        <v>1213</v>
      </c>
      <c r="J3" s="191" t="s">
        <v>1214</v>
      </c>
      <c r="K3" s="191" t="s">
        <v>1433</v>
      </c>
    </row>
    <row r="4" spans="1:14" ht="15" customHeight="1" x14ac:dyDescent="0.25">
      <c r="A4" s="837" t="s">
        <v>1215</v>
      </c>
      <c r="B4" s="837"/>
      <c r="C4" s="837"/>
      <c r="D4" s="837"/>
      <c r="E4" s="837"/>
      <c r="F4" s="837"/>
      <c r="G4" s="837"/>
      <c r="H4" s="837"/>
      <c r="I4" s="837"/>
      <c r="J4" s="837"/>
      <c r="K4" s="837"/>
    </row>
    <row r="5" spans="1:14" s="600" customFormat="1" ht="25.5" x14ac:dyDescent="0.25">
      <c r="A5" s="190">
        <v>1</v>
      </c>
      <c r="B5" s="728" t="s">
        <v>300</v>
      </c>
      <c r="C5" s="188" t="s">
        <v>38</v>
      </c>
      <c r="D5" s="188" t="s">
        <v>39</v>
      </c>
      <c r="E5" s="727">
        <v>226.52</v>
      </c>
      <c r="F5" s="189">
        <v>45337</v>
      </c>
      <c r="G5" s="189"/>
      <c r="H5" s="188" t="s">
        <v>1425</v>
      </c>
      <c r="I5" s="728" t="s">
        <v>1425</v>
      </c>
      <c r="J5" s="188" t="s">
        <v>404</v>
      </c>
      <c r="K5" s="617"/>
    </row>
    <row r="6" spans="1:14" s="600" customFormat="1" ht="25.5" x14ac:dyDescent="0.25">
      <c r="A6" s="190">
        <v>2</v>
      </c>
      <c r="B6" s="728" t="s">
        <v>301</v>
      </c>
      <c r="C6" s="188" t="s">
        <v>40</v>
      </c>
      <c r="D6" s="188" t="s">
        <v>41</v>
      </c>
      <c r="E6" s="727">
        <v>246.01900000000001</v>
      </c>
      <c r="F6" s="189">
        <v>45337</v>
      </c>
      <c r="G6" s="189"/>
      <c r="H6" s="188" t="s">
        <v>1588</v>
      </c>
      <c r="I6" s="728" t="s">
        <v>1588</v>
      </c>
      <c r="J6" s="726" t="s">
        <v>16</v>
      </c>
      <c r="K6" s="617"/>
    </row>
    <row r="7" spans="1:14" s="600" customFormat="1" ht="25.5" x14ac:dyDescent="0.25">
      <c r="A7" s="190">
        <v>3</v>
      </c>
      <c r="B7" s="728" t="s">
        <v>302</v>
      </c>
      <c r="C7" s="188" t="s">
        <v>43</v>
      </c>
      <c r="D7" s="188" t="s">
        <v>44</v>
      </c>
      <c r="E7" s="727">
        <v>210.755</v>
      </c>
      <c r="F7" s="189">
        <v>45337</v>
      </c>
      <c r="G7" s="189"/>
      <c r="H7" s="188" t="s">
        <v>1593</v>
      </c>
      <c r="I7" s="728" t="s">
        <v>1593</v>
      </c>
      <c r="J7" s="726" t="s">
        <v>16</v>
      </c>
      <c r="K7" s="188"/>
    </row>
    <row r="8" spans="1:14" s="600" customFormat="1" ht="25.5" x14ac:dyDescent="0.25">
      <c r="A8" s="190">
        <v>4</v>
      </c>
      <c r="B8" s="728" t="s">
        <v>297</v>
      </c>
      <c r="C8" s="188" t="s">
        <v>45</v>
      </c>
      <c r="D8" s="188" t="s">
        <v>46</v>
      </c>
      <c r="E8" s="727">
        <v>233.07599999999999</v>
      </c>
      <c r="F8" s="189">
        <v>45337</v>
      </c>
      <c r="G8" s="189"/>
      <c r="H8" s="188" t="s">
        <v>1441</v>
      </c>
      <c r="I8" s="729" t="s">
        <v>1649</v>
      </c>
      <c r="J8" s="726" t="s">
        <v>16</v>
      </c>
      <c r="K8" s="188"/>
      <c r="N8" s="774"/>
    </row>
    <row r="9" spans="1:14" s="600" customFormat="1" ht="25.5" x14ac:dyDescent="0.25">
      <c r="A9" s="190">
        <v>5</v>
      </c>
      <c r="B9" s="728" t="s">
        <v>298</v>
      </c>
      <c r="C9" s="188" t="s">
        <v>47</v>
      </c>
      <c r="D9" s="188" t="s">
        <v>48</v>
      </c>
      <c r="E9" s="727">
        <v>211.91399999999999</v>
      </c>
      <c r="F9" s="189">
        <v>45337</v>
      </c>
      <c r="G9" s="189"/>
      <c r="H9" s="188" t="s">
        <v>1217</v>
      </c>
      <c r="I9" s="729" t="s">
        <v>1514</v>
      </c>
      <c r="J9" s="726" t="s">
        <v>16</v>
      </c>
      <c r="K9" s="188"/>
    </row>
    <row r="10" spans="1:14" s="600" customFormat="1" ht="25.5" x14ac:dyDescent="0.25">
      <c r="A10" s="190">
        <v>6</v>
      </c>
      <c r="B10" s="728" t="s">
        <v>299</v>
      </c>
      <c r="C10" s="188" t="s">
        <v>57</v>
      </c>
      <c r="D10" s="188" t="s">
        <v>33</v>
      </c>
      <c r="E10" s="727">
        <v>222.155</v>
      </c>
      <c r="F10" s="189">
        <v>45307</v>
      </c>
      <c r="G10" s="189">
        <v>45470</v>
      </c>
      <c r="H10" s="188" t="s">
        <v>1491</v>
      </c>
      <c r="I10" s="729" t="s">
        <v>1576</v>
      </c>
      <c r="J10" s="726" t="s">
        <v>16</v>
      </c>
      <c r="K10" s="188"/>
    </row>
    <row r="11" spans="1:14" s="600" customFormat="1" ht="25.5" x14ac:dyDescent="0.25">
      <c r="A11" s="190">
        <v>7</v>
      </c>
      <c r="B11" s="728" t="s">
        <v>288</v>
      </c>
      <c r="C11" s="188" t="s">
        <v>89</v>
      </c>
      <c r="D11" s="188" t="s">
        <v>90</v>
      </c>
      <c r="E11" s="727">
        <v>197.7</v>
      </c>
      <c r="F11" s="189"/>
      <c r="G11" s="189"/>
      <c r="H11" s="188" t="s">
        <v>1291</v>
      </c>
      <c r="I11" s="728" t="s">
        <v>1291</v>
      </c>
      <c r="J11" s="188" t="s">
        <v>404</v>
      </c>
      <c r="K11" s="188"/>
    </row>
    <row r="12" spans="1:14" s="600" customFormat="1" ht="25.5" x14ac:dyDescent="0.25">
      <c r="A12" s="190">
        <v>8</v>
      </c>
      <c r="B12" s="728" t="s">
        <v>289</v>
      </c>
      <c r="C12" s="188" t="s">
        <v>93</v>
      </c>
      <c r="D12" s="188" t="s">
        <v>94</v>
      </c>
      <c r="E12" s="727">
        <v>179.9</v>
      </c>
      <c r="F12" s="189"/>
      <c r="G12" s="189"/>
      <c r="H12" s="188" t="s">
        <v>1283</v>
      </c>
      <c r="I12" s="728" t="s">
        <v>1592</v>
      </c>
      <c r="J12" s="188" t="s">
        <v>404</v>
      </c>
      <c r="K12" s="188"/>
    </row>
    <row r="13" spans="1:14" s="600" customFormat="1" ht="25.5" x14ac:dyDescent="0.25">
      <c r="A13" s="190">
        <v>9</v>
      </c>
      <c r="B13" s="728" t="s">
        <v>296</v>
      </c>
      <c r="C13" s="188" t="s">
        <v>101</v>
      </c>
      <c r="D13" s="188" t="s">
        <v>102</v>
      </c>
      <c r="E13" s="727">
        <v>207.8</v>
      </c>
      <c r="F13" s="189">
        <v>45359</v>
      </c>
      <c r="G13" s="189">
        <v>45491</v>
      </c>
      <c r="H13" s="188" t="s">
        <v>1218</v>
      </c>
      <c r="I13" s="728" t="s">
        <v>1218</v>
      </c>
      <c r="J13" s="188" t="s">
        <v>404</v>
      </c>
      <c r="K13" s="188"/>
    </row>
    <row r="14" spans="1:14" s="725" customFormat="1" x14ac:dyDescent="0.25">
      <c r="A14" s="838" t="s">
        <v>1284</v>
      </c>
      <c r="B14" s="838" t="s">
        <v>1216</v>
      </c>
      <c r="C14" s="838"/>
      <c r="D14" s="838"/>
      <c r="E14" s="838"/>
      <c r="F14" s="838"/>
      <c r="G14" s="838"/>
      <c r="H14" s="838"/>
      <c r="I14" s="838"/>
      <c r="J14" s="838"/>
      <c r="K14" s="838"/>
    </row>
    <row r="15" spans="1:14" s="600" customFormat="1" ht="25.5" x14ac:dyDescent="0.25">
      <c r="A15" s="190">
        <v>1</v>
      </c>
      <c r="B15" s="728" t="s">
        <v>229</v>
      </c>
      <c r="C15" s="188" t="s">
        <v>40</v>
      </c>
      <c r="D15" s="188" t="s">
        <v>41</v>
      </c>
      <c r="E15" s="188">
        <v>246.01900000000001</v>
      </c>
      <c r="F15" s="189">
        <v>45337</v>
      </c>
      <c r="G15" s="189"/>
      <c r="H15" s="188" t="s">
        <v>1588</v>
      </c>
      <c r="I15" s="728" t="s">
        <v>1588</v>
      </c>
      <c r="J15" s="726" t="s">
        <v>16</v>
      </c>
      <c r="K15" s="617"/>
    </row>
    <row r="16" spans="1:14" s="600" customFormat="1" ht="25.5" x14ac:dyDescent="0.25">
      <c r="A16" s="190">
        <v>2</v>
      </c>
      <c r="B16" s="728" t="s">
        <v>348</v>
      </c>
      <c r="C16" s="188" t="s">
        <v>95</v>
      </c>
      <c r="D16" s="188" t="s">
        <v>35</v>
      </c>
      <c r="E16" s="188">
        <v>238.9</v>
      </c>
      <c r="F16" s="189">
        <v>45359</v>
      </c>
      <c r="G16" s="189">
        <v>45444</v>
      </c>
      <c r="H16" s="188" t="s">
        <v>1219</v>
      </c>
      <c r="I16" s="728" t="s">
        <v>1219</v>
      </c>
      <c r="J16" s="188" t="s">
        <v>404</v>
      </c>
      <c r="K16" s="188"/>
    </row>
    <row r="17" spans="1:11" s="600" customFormat="1" ht="25.5" x14ac:dyDescent="0.25">
      <c r="A17" s="190">
        <v>3</v>
      </c>
      <c r="B17" s="728" t="s">
        <v>290</v>
      </c>
      <c r="C17" s="188" t="s">
        <v>103</v>
      </c>
      <c r="D17" s="188" t="s">
        <v>104</v>
      </c>
      <c r="E17" s="188">
        <v>200.9</v>
      </c>
      <c r="F17" s="189">
        <v>45359</v>
      </c>
      <c r="G17" s="189">
        <v>45469</v>
      </c>
      <c r="H17" s="188" t="s">
        <v>1220</v>
      </c>
      <c r="I17" s="728" t="s">
        <v>1220</v>
      </c>
      <c r="J17" s="188" t="s">
        <v>404</v>
      </c>
      <c r="K17" s="188"/>
    </row>
    <row r="18" spans="1:11" s="725" customFormat="1" x14ac:dyDescent="0.25">
      <c r="A18" s="838" t="s">
        <v>1285</v>
      </c>
      <c r="B18" s="838" t="s">
        <v>1216</v>
      </c>
      <c r="C18" s="838"/>
      <c r="D18" s="838"/>
      <c r="E18" s="838"/>
      <c r="F18" s="838"/>
      <c r="G18" s="838"/>
      <c r="H18" s="838"/>
      <c r="I18" s="838"/>
      <c r="J18" s="838"/>
      <c r="K18" s="838"/>
    </row>
    <row r="19" spans="1:11" s="600" customFormat="1" ht="25.5" x14ac:dyDescent="0.25">
      <c r="A19" s="190">
        <v>1</v>
      </c>
      <c r="B19" s="728" t="s">
        <v>291</v>
      </c>
      <c r="C19" s="188" t="s">
        <v>219</v>
      </c>
      <c r="D19" s="188" t="s">
        <v>220</v>
      </c>
      <c r="E19" s="188">
        <v>394.3</v>
      </c>
      <c r="F19" s="188"/>
      <c r="G19" s="188"/>
      <c r="H19" s="188" t="s">
        <v>1221</v>
      </c>
      <c r="I19" s="728" t="s">
        <v>1221</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8" width="6.42578125" style="211" bestFit="1" customWidth="1"/>
    <col min="9" max="9" width="7" style="211" bestFit="1" customWidth="1"/>
    <col min="10" max="10" width="6" style="211" bestFit="1" customWidth="1"/>
    <col min="11" max="12" width="5.42578125" style="211" bestFit="1" customWidth="1"/>
    <col min="13" max="13" width="6.42578125" style="211" bestFit="1" customWidth="1"/>
    <col min="14" max="14" width="5.42578125" style="211" bestFit="1" customWidth="1"/>
    <col min="15" max="15" width="4.42578125" style="211" bestFit="1" customWidth="1"/>
    <col min="16" max="17" width="5.42578125" style="211" bestFit="1" customWidth="1"/>
    <col min="18" max="19" width="6.42578125" style="211" bestFit="1" customWidth="1"/>
    <col min="20" max="20" width="5.42578125" style="211" bestFit="1" customWidth="1"/>
    <col min="21" max="27" width="5.42578125" style="209" bestFit="1" customWidth="1"/>
    <col min="28" max="32" width="6.42578125" style="209" bestFit="1" customWidth="1"/>
    <col min="33" max="33" width="5.42578125" style="209" bestFit="1" customWidth="1"/>
    <col min="34" max="34" width="4" style="209" bestFit="1" customWidth="1"/>
    <col min="35" max="35" width="12.5703125" style="209" bestFit="1" customWidth="1"/>
    <col min="36" max="16384" width="9.140625" style="209"/>
  </cols>
  <sheetData>
    <row r="1" spans="1:35" ht="15" customHeight="1" x14ac:dyDescent="0.25">
      <c r="A1" s="208" t="s">
        <v>1264</v>
      </c>
      <c r="B1" s="839" t="s">
        <v>929</v>
      </c>
      <c r="C1" s="839"/>
      <c r="D1" s="839"/>
      <c r="E1" s="839"/>
      <c r="F1" s="839"/>
      <c r="G1" s="839"/>
      <c r="H1" s="839"/>
      <c r="I1" s="839"/>
      <c r="J1" s="839"/>
      <c r="K1" s="839"/>
      <c r="L1" s="839"/>
      <c r="M1" s="839"/>
      <c r="N1" s="839"/>
      <c r="O1" s="839"/>
      <c r="P1" s="839"/>
      <c r="Q1" s="839"/>
      <c r="R1" s="839"/>
      <c r="S1" s="839"/>
      <c r="T1" s="839"/>
      <c r="U1" s="839"/>
      <c r="V1" s="839"/>
      <c r="W1" s="839"/>
      <c r="X1" s="839"/>
      <c r="Y1" s="839"/>
      <c r="Z1" s="839"/>
      <c r="AA1" s="839"/>
      <c r="AB1" s="839"/>
      <c r="AC1" s="839"/>
      <c r="AD1" s="839"/>
      <c r="AE1" s="839"/>
      <c r="AF1" s="839"/>
      <c r="AG1" s="839"/>
      <c r="AH1" s="839"/>
      <c r="AI1" s="839"/>
    </row>
    <row r="2" spans="1:35" x14ac:dyDescent="0.25">
      <c r="B2" s="210"/>
      <c r="C2" s="211"/>
      <c r="F2" s="211"/>
      <c r="G2" s="211"/>
    </row>
    <row r="3" spans="1:35" x14ac:dyDescent="0.25">
      <c r="B3" s="212" t="s">
        <v>1386</v>
      </c>
      <c r="C3" s="212"/>
      <c r="D3" s="212"/>
      <c r="E3" s="212"/>
      <c r="F3" s="212"/>
      <c r="G3" s="212"/>
      <c r="H3" s="212"/>
      <c r="I3" s="212"/>
      <c r="J3" s="212"/>
      <c r="K3" s="212"/>
      <c r="L3" s="212"/>
      <c r="M3" s="212"/>
      <c r="N3" s="212"/>
      <c r="O3" s="212"/>
      <c r="P3" s="212"/>
      <c r="Q3" s="212"/>
      <c r="R3" s="212"/>
      <c r="S3" s="212"/>
      <c r="T3" s="212"/>
    </row>
    <row r="4" spans="1:35" x14ac:dyDescent="0.25">
      <c r="B4" s="213" t="s">
        <v>930</v>
      </c>
      <c r="C4" s="211"/>
      <c r="F4" s="211"/>
      <c r="G4" s="211"/>
      <c r="T4" s="209"/>
      <c r="W4" s="211"/>
      <c r="X4" s="211"/>
      <c r="Y4" s="211"/>
      <c r="Z4" s="211"/>
      <c r="AA4" s="211"/>
      <c r="AB4" s="211"/>
      <c r="AC4" s="211"/>
      <c r="AD4" s="211"/>
      <c r="AE4" s="211"/>
      <c r="AF4" s="211"/>
      <c r="AG4" s="211"/>
      <c r="AH4" s="211"/>
    </row>
    <row r="5" spans="1:35" x14ac:dyDescent="0.25">
      <c r="B5" s="213" t="s">
        <v>931</v>
      </c>
      <c r="C5" s="211"/>
      <c r="F5" s="211"/>
      <c r="G5" s="211"/>
      <c r="T5" s="209"/>
      <c r="W5" s="211"/>
      <c r="X5" s="211"/>
      <c r="Y5" s="211"/>
      <c r="Z5" s="211"/>
      <c r="AA5" s="211"/>
      <c r="AB5" s="211"/>
      <c r="AC5" s="211"/>
      <c r="AD5" s="211"/>
      <c r="AE5" s="211"/>
      <c r="AF5" s="211"/>
      <c r="AG5" s="211"/>
      <c r="AH5" s="211"/>
    </row>
    <row r="6" spans="1:35" x14ac:dyDescent="0.25">
      <c r="B6" s="213" t="s">
        <v>1159</v>
      </c>
      <c r="C6" s="211"/>
      <c r="E6" s="759" t="s">
        <v>1657</v>
      </c>
      <c r="F6" s="211"/>
      <c r="G6" s="211"/>
      <c r="U6" s="211"/>
      <c r="V6" s="211"/>
      <c r="W6" s="211"/>
      <c r="X6" s="211"/>
      <c r="Y6" s="211"/>
      <c r="Z6" s="211"/>
      <c r="AA6" s="211"/>
      <c r="AB6" s="211"/>
      <c r="AC6" s="211"/>
      <c r="AD6" s="211"/>
      <c r="AE6" s="211"/>
      <c r="AF6" s="211"/>
      <c r="AG6" s="211"/>
      <c r="AH6" s="211"/>
    </row>
    <row r="7" spans="1:35" ht="25.5" x14ac:dyDescent="0.25">
      <c r="B7" s="850" t="s">
        <v>1162</v>
      </c>
      <c r="C7" s="850"/>
      <c r="D7" s="850"/>
      <c r="E7" s="850"/>
      <c r="F7" s="850"/>
      <c r="G7" s="466" t="s">
        <v>1289</v>
      </c>
      <c r="H7" s="850" t="s">
        <v>1423</v>
      </c>
      <c r="I7" s="850"/>
      <c r="J7" s="850"/>
      <c r="K7" s="850"/>
      <c r="L7" s="850"/>
      <c r="M7" s="850"/>
      <c r="N7" s="850"/>
      <c r="O7" s="850"/>
      <c r="P7" s="850"/>
      <c r="Q7" s="850"/>
      <c r="R7" s="850"/>
      <c r="S7" s="850"/>
      <c r="T7" s="850"/>
      <c r="U7" s="850"/>
      <c r="V7" s="850"/>
      <c r="W7" s="850"/>
      <c r="X7" s="859" t="s">
        <v>1422</v>
      </c>
      <c r="Y7" s="860"/>
      <c r="Z7" s="860"/>
      <c r="AA7" s="860"/>
      <c r="AB7" s="860"/>
      <c r="AC7" s="860"/>
      <c r="AD7" s="860"/>
      <c r="AE7" s="851" t="s">
        <v>1651</v>
      </c>
      <c r="AF7" s="852"/>
      <c r="AG7" s="852"/>
      <c r="AH7" s="852"/>
      <c r="AI7" s="850" t="s">
        <v>9</v>
      </c>
    </row>
    <row r="8" spans="1:35" s="213" customFormat="1" ht="42" customHeight="1" x14ac:dyDescent="0.25">
      <c r="B8" s="854" t="s">
        <v>303</v>
      </c>
      <c r="C8" s="854" t="s">
        <v>37</v>
      </c>
      <c r="D8" s="857" t="s">
        <v>932</v>
      </c>
      <c r="E8" s="854" t="s">
        <v>402</v>
      </c>
      <c r="F8" s="857" t="s">
        <v>933</v>
      </c>
      <c r="G8" s="215">
        <v>45200</v>
      </c>
      <c r="H8" s="215">
        <v>45261</v>
      </c>
      <c r="I8" s="215">
        <v>45292</v>
      </c>
      <c r="J8" s="215">
        <v>45323</v>
      </c>
      <c r="K8" s="215">
        <v>45352</v>
      </c>
      <c r="L8" s="215">
        <v>45383</v>
      </c>
      <c r="M8" s="215">
        <v>45413</v>
      </c>
      <c r="N8" s="773" t="s">
        <v>1681</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850"/>
    </row>
    <row r="9" spans="1:35" x14ac:dyDescent="0.25">
      <c r="B9" s="855"/>
      <c r="C9" s="856"/>
      <c r="D9" s="856"/>
      <c r="E9" s="856"/>
      <c r="F9" s="858"/>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850"/>
    </row>
    <row r="10" spans="1:35" s="218" customFormat="1" ht="25.5" hidden="1" x14ac:dyDescent="0.25">
      <c r="B10" s="219">
        <v>1</v>
      </c>
      <c r="C10" s="220" t="s">
        <v>934</v>
      </c>
      <c r="D10" s="221" t="s">
        <v>935</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row>
    <row r="11" spans="1:35" s="218" customFormat="1" ht="25.5" hidden="1" x14ac:dyDescent="0.25">
      <c r="B11" s="226">
        <v>2</v>
      </c>
      <c r="C11" s="227" t="s">
        <v>936</v>
      </c>
      <c r="D11" s="221" t="s">
        <v>935</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row>
    <row r="12" spans="1:35" s="218" customFormat="1" ht="25.5" hidden="1" x14ac:dyDescent="0.25">
      <c r="B12" s="226">
        <v>3</v>
      </c>
      <c r="C12" s="227" t="s">
        <v>937</v>
      </c>
      <c r="D12" s="221" t="s">
        <v>935</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row>
    <row r="13" spans="1:35" s="218" customFormat="1" hidden="1" x14ac:dyDescent="0.25">
      <c r="B13" s="226">
        <v>4</v>
      </c>
      <c r="C13" s="229" t="s">
        <v>938</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row>
    <row r="14" spans="1:35" s="218" customFormat="1" ht="25.5" hidden="1" x14ac:dyDescent="0.25">
      <c r="B14" s="226" t="s">
        <v>939</v>
      </c>
      <c r="C14" s="229" t="s">
        <v>940</v>
      </c>
      <c r="D14" s="228" t="s">
        <v>941</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row>
    <row r="15" spans="1:35" s="218" customFormat="1" hidden="1" x14ac:dyDescent="0.25">
      <c r="B15" s="231" t="s">
        <v>942</v>
      </c>
      <c r="C15" s="232" t="s">
        <v>943</v>
      </c>
      <c r="D15" s="221" t="s">
        <v>935</v>
      </c>
      <c r="E15" s="228" t="s">
        <v>944</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row>
    <row r="16" spans="1:35" s="218" customFormat="1" hidden="1" x14ac:dyDescent="0.25">
      <c r="B16" s="231" t="s">
        <v>945</v>
      </c>
      <c r="C16" s="232" t="s">
        <v>946</v>
      </c>
      <c r="D16" s="228" t="s">
        <v>941</v>
      </c>
      <c r="E16" s="228" t="s">
        <v>944</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row>
    <row r="17" spans="2:35" s="218" customFormat="1" hidden="1" x14ac:dyDescent="0.25">
      <c r="B17" s="841" t="s">
        <v>947</v>
      </c>
      <c r="C17" s="232" t="s">
        <v>948</v>
      </c>
      <c r="D17" s="228" t="s">
        <v>941</v>
      </c>
      <c r="E17" s="228" t="s">
        <v>944</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row>
    <row r="18" spans="2:35" s="218" customFormat="1" hidden="1" x14ac:dyDescent="0.25">
      <c r="B18" s="842"/>
      <c r="C18" s="233" t="s">
        <v>949</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row>
    <row r="19" spans="2:35" s="218" customFormat="1" hidden="1" x14ac:dyDescent="0.25">
      <c r="B19" s="842"/>
      <c r="C19" s="233" t="s">
        <v>950</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row>
    <row r="20" spans="2:35" s="218" customFormat="1" hidden="1" x14ac:dyDescent="0.25">
      <c r="B20" s="843"/>
      <c r="C20" s="233" t="s">
        <v>951</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row>
    <row r="21" spans="2:35" s="218" customFormat="1" hidden="1" x14ac:dyDescent="0.25">
      <c r="B21" s="226" t="s">
        <v>952</v>
      </c>
      <c r="C21" s="229" t="s">
        <v>953</v>
      </c>
      <c r="D21" s="228" t="s">
        <v>941</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row>
    <row r="22" spans="2:35" s="218" customFormat="1" hidden="1" x14ac:dyDescent="0.25">
      <c r="B22" s="231" t="s">
        <v>942</v>
      </c>
      <c r="C22" s="232" t="s">
        <v>954</v>
      </c>
      <c r="D22" s="221" t="s">
        <v>935</v>
      </c>
      <c r="E22" s="228" t="s">
        <v>944</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row>
    <row r="23" spans="2:35" s="218" customFormat="1" hidden="1" x14ac:dyDescent="0.25">
      <c r="B23" s="231" t="s">
        <v>945</v>
      </c>
      <c r="C23" s="232" t="s">
        <v>955</v>
      </c>
      <c r="D23" s="228" t="s">
        <v>941</v>
      </c>
      <c r="E23" s="228" t="s">
        <v>944</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row>
    <row r="24" spans="2:35" s="218" customFormat="1" hidden="1" x14ac:dyDescent="0.25">
      <c r="B24" s="841" t="s">
        <v>947</v>
      </c>
      <c r="C24" s="232" t="s">
        <v>956</v>
      </c>
      <c r="D24" s="228" t="s">
        <v>941</v>
      </c>
      <c r="E24" s="228" t="s">
        <v>944</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row>
    <row r="25" spans="2:35" s="218" customFormat="1" hidden="1" x14ac:dyDescent="0.25">
      <c r="B25" s="842"/>
      <c r="C25" s="233" t="s">
        <v>949</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row>
    <row r="26" spans="2:35" s="218" customFormat="1" hidden="1" x14ac:dyDescent="0.25">
      <c r="B26" s="842"/>
      <c r="C26" s="233" t="s">
        <v>950</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row>
    <row r="27" spans="2:35" s="218" customFormat="1" hidden="1" x14ac:dyDescent="0.25">
      <c r="B27" s="843"/>
      <c r="C27" s="233" t="s">
        <v>951</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row>
    <row r="28" spans="2:35" s="246" customFormat="1" hidden="1" x14ac:dyDescent="0.25">
      <c r="B28" s="238" t="s">
        <v>957</v>
      </c>
      <c r="C28" s="239" t="s">
        <v>958</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row>
    <row r="29" spans="2:35" s="246" customFormat="1" hidden="1" x14ac:dyDescent="0.25">
      <c r="B29" s="231" t="s">
        <v>942</v>
      </c>
      <c r="C29" s="247" t="s">
        <v>959</v>
      </c>
      <c r="D29" s="241" t="s">
        <v>941</v>
      </c>
      <c r="E29" s="241" t="s">
        <v>960</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row>
    <row r="30" spans="2:35" s="246" customFormat="1" hidden="1" x14ac:dyDescent="0.25">
      <c r="B30" s="231" t="s">
        <v>945</v>
      </c>
      <c r="C30" s="247" t="s">
        <v>961</v>
      </c>
      <c r="D30" s="241" t="s">
        <v>941</v>
      </c>
      <c r="E30" s="241" t="s">
        <v>960</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row>
    <row r="31" spans="2:35" s="246" customFormat="1" hidden="1" x14ac:dyDescent="0.25">
      <c r="B31" s="231" t="s">
        <v>947</v>
      </c>
      <c r="C31" s="247" t="s">
        <v>962</v>
      </c>
      <c r="D31" s="241" t="s">
        <v>941</v>
      </c>
      <c r="E31" s="241" t="s">
        <v>960</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row>
    <row r="32" spans="2:35" s="246" customFormat="1" hidden="1" x14ac:dyDescent="0.25">
      <c r="B32" s="241" t="s">
        <v>963</v>
      </c>
      <c r="C32" s="247" t="s">
        <v>964</v>
      </c>
      <c r="D32" s="241" t="s">
        <v>941</v>
      </c>
      <c r="E32" s="241" t="s">
        <v>965</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row>
    <row r="33" spans="1:35" s="246" customFormat="1" hidden="1" x14ac:dyDescent="0.25">
      <c r="B33" s="241" t="s">
        <v>966</v>
      </c>
      <c r="C33" s="247" t="s">
        <v>967</v>
      </c>
      <c r="D33" s="241" t="s">
        <v>941</v>
      </c>
      <c r="E33" s="241" t="s">
        <v>960</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row>
    <row r="34" spans="1:35" s="246" customFormat="1" hidden="1" x14ac:dyDescent="0.25">
      <c r="B34" s="241" t="s">
        <v>968</v>
      </c>
      <c r="C34" s="247" t="s">
        <v>969</v>
      </c>
      <c r="D34" s="241" t="s">
        <v>941</v>
      </c>
      <c r="E34" s="241" t="s">
        <v>960</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row>
    <row r="35" spans="1:35" s="246" customFormat="1" hidden="1" x14ac:dyDescent="0.25">
      <c r="B35" s="238" t="s">
        <v>970</v>
      </c>
      <c r="C35" s="239" t="s">
        <v>971</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row>
    <row r="36" spans="1:35" s="246" customFormat="1" hidden="1" x14ac:dyDescent="0.25">
      <c r="B36" s="248" t="s">
        <v>942</v>
      </c>
      <c r="C36" s="247" t="s">
        <v>972</v>
      </c>
      <c r="D36" s="241" t="s">
        <v>941</v>
      </c>
      <c r="E36" s="241" t="s">
        <v>960</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row>
    <row r="37" spans="1:35" s="246" customFormat="1" hidden="1" x14ac:dyDescent="0.25">
      <c r="B37" s="248" t="s">
        <v>945</v>
      </c>
      <c r="C37" s="247" t="s">
        <v>973</v>
      </c>
      <c r="D37" s="241" t="s">
        <v>941</v>
      </c>
      <c r="E37" s="241" t="s">
        <v>960</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row>
    <row r="38" spans="1:35" s="258" customFormat="1" hidden="1" x14ac:dyDescent="0.25">
      <c r="B38" s="230" t="s">
        <v>974</v>
      </c>
      <c r="C38" s="229" t="s">
        <v>975</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row>
    <row r="39" spans="1:35" s="246" customFormat="1" ht="25.5" hidden="1" x14ac:dyDescent="0.25">
      <c r="B39" s="248" t="s">
        <v>942</v>
      </c>
      <c r="C39" s="247" t="s">
        <v>976</v>
      </c>
      <c r="D39" s="228" t="s">
        <v>935</v>
      </c>
      <c r="E39" s="241" t="s">
        <v>960</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row>
    <row r="40" spans="1:35" s="246" customFormat="1" ht="25.5" hidden="1" x14ac:dyDescent="0.25">
      <c r="B40" s="259" t="s">
        <v>945</v>
      </c>
      <c r="C40" s="247" t="s">
        <v>977</v>
      </c>
      <c r="D40" s="228" t="s">
        <v>935</v>
      </c>
      <c r="E40" s="241" t="s">
        <v>960</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row>
    <row r="41" spans="1:35" s="246" customFormat="1" ht="25.5" hidden="1" x14ac:dyDescent="0.25">
      <c r="B41" s="259" t="s">
        <v>947</v>
      </c>
      <c r="C41" s="247" t="s">
        <v>978</v>
      </c>
      <c r="D41" s="228" t="s">
        <v>935</v>
      </c>
      <c r="E41" s="241" t="s">
        <v>960</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row>
    <row r="42" spans="1:35" s="246" customFormat="1" ht="25.5" hidden="1" x14ac:dyDescent="0.25">
      <c r="B42" s="259" t="s">
        <v>963</v>
      </c>
      <c r="C42" s="247" t="s">
        <v>979</v>
      </c>
      <c r="D42" s="228" t="s">
        <v>935</v>
      </c>
      <c r="E42" s="241" t="s">
        <v>960</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row>
    <row r="43" spans="1:35"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758">
        <f t="shared" ref="AI43:AI63" si="6">+SUM(G43:AH43)</f>
        <v>0</v>
      </c>
    </row>
    <row r="44" spans="1:35" s="246" customFormat="1" x14ac:dyDescent="0.25">
      <c r="B44" s="238" t="s">
        <v>942</v>
      </c>
      <c r="C44" s="247" t="s">
        <v>980</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758">
        <f t="shared" si="6"/>
        <v>0</v>
      </c>
    </row>
    <row r="45" spans="1:35" s="246" customFormat="1" x14ac:dyDescent="0.25">
      <c r="B45" s="261" t="s">
        <v>945</v>
      </c>
      <c r="C45" s="247" t="s">
        <v>981</v>
      </c>
      <c r="D45" s="241" t="s">
        <v>935</v>
      </c>
      <c r="E45" s="241" t="s">
        <v>982</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758">
        <f t="shared" si="6"/>
        <v>0</v>
      </c>
    </row>
    <row r="46" spans="1:35" s="520" customFormat="1" x14ac:dyDescent="0.25">
      <c r="A46" s="246"/>
      <c r="B46" s="846" t="s">
        <v>947</v>
      </c>
      <c r="C46" s="513" t="s">
        <v>983</v>
      </c>
      <c r="D46" s="514" t="s">
        <v>935</v>
      </c>
      <c r="E46" s="514" t="s">
        <v>982</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758">
        <f t="shared" si="6"/>
        <v>191</v>
      </c>
    </row>
    <row r="47" spans="1:35" s="520" customFormat="1" x14ac:dyDescent="0.25">
      <c r="A47" s="246"/>
      <c r="B47" s="847"/>
      <c r="C47" s="513" t="s">
        <v>951</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758">
        <f t="shared" si="6"/>
        <v>191</v>
      </c>
    </row>
    <row r="48" spans="1:35" s="520" customFormat="1" x14ac:dyDescent="0.25">
      <c r="A48" s="246"/>
      <c r="B48" s="846" t="s">
        <v>963</v>
      </c>
      <c r="C48" s="513" t="s">
        <v>984</v>
      </c>
      <c r="D48" s="514" t="s">
        <v>941</v>
      </c>
      <c r="E48" s="514" t="s">
        <v>982</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758">
        <f t="shared" si="6"/>
        <v>191</v>
      </c>
    </row>
    <row r="49" spans="1:35" s="520" customFormat="1" x14ac:dyDescent="0.25">
      <c r="A49" s="246"/>
      <c r="B49" s="848"/>
      <c r="C49" s="513" t="s">
        <v>985</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758">
        <f t="shared" si="6"/>
        <v>189.892</v>
      </c>
    </row>
    <row r="50" spans="1:35" s="520" customFormat="1" x14ac:dyDescent="0.25">
      <c r="A50" s="246"/>
      <c r="B50" s="847"/>
      <c r="C50" s="513" t="s">
        <v>986</v>
      </c>
      <c r="D50" s="514"/>
      <c r="E50" s="514"/>
      <c r="F50" s="515"/>
      <c r="G50" s="515"/>
      <c r="H50" s="515">
        <f>77.369+9.139</f>
        <v>86.507999999999996</v>
      </c>
      <c r="I50" s="516">
        <v>44.067</v>
      </c>
      <c r="J50" s="516">
        <v>14.03</v>
      </c>
      <c r="K50" s="516"/>
      <c r="L50" s="517"/>
      <c r="M50" s="515">
        <v>12.488</v>
      </c>
      <c r="N50" s="514"/>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758">
        <f t="shared" si="6"/>
        <v>189.81099999999998</v>
      </c>
    </row>
    <row r="51" spans="1:35" s="520" customFormat="1" x14ac:dyDescent="0.25">
      <c r="A51" s="246"/>
      <c r="B51" s="844" t="s">
        <v>966</v>
      </c>
      <c r="C51" s="522" t="s">
        <v>987</v>
      </c>
      <c r="D51" s="514" t="s">
        <v>935</v>
      </c>
      <c r="E51" s="514" t="s">
        <v>988</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758">
        <f t="shared" si="6"/>
        <v>193</v>
      </c>
    </row>
    <row r="52" spans="1:35" s="520" customFormat="1" x14ac:dyDescent="0.25">
      <c r="A52" s="246"/>
      <c r="B52" s="845"/>
      <c r="C52" s="513" t="s">
        <v>951</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758">
        <f t="shared" si="6"/>
        <v>24</v>
      </c>
    </row>
    <row r="53" spans="1:35" s="520" customFormat="1" x14ac:dyDescent="0.25">
      <c r="A53" s="246"/>
      <c r="B53" s="846" t="s">
        <v>968</v>
      </c>
      <c r="C53" s="522" t="s">
        <v>989</v>
      </c>
      <c r="D53" s="514" t="s">
        <v>941</v>
      </c>
      <c r="E53" s="514" t="s">
        <v>988</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758">
        <f t="shared" si="6"/>
        <v>193</v>
      </c>
    </row>
    <row r="54" spans="1:35" s="520" customFormat="1" x14ac:dyDescent="0.25">
      <c r="A54" s="246"/>
      <c r="B54" s="847"/>
      <c r="C54" s="513" t="s">
        <v>951</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758">
        <f t="shared" si="6"/>
        <v>24</v>
      </c>
    </row>
    <row r="55" spans="1:35" s="527" customFormat="1" x14ac:dyDescent="0.25">
      <c r="A55" s="262"/>
      <c r="B55" s="524" t="s">
        <v>990</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758">
        <f t="shared" si="6"/>
        <v>0</v>
      </c>
    </row>
    <row r="56" spans="1:35" s="520" customFormat="1" x14ac:dyDescent="0.25">
      <c r="A56" s="246"/>
      <c r="B56" s="846" t="s">
        <v>991</v>
      </c>
      <c r="C56" s="522" t="s">
        <v>992</v>
      </c>
      <c r="D56" s="514" t="s">
        <v>941</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758">
        <f t="shared" si="6"/>
        <v>482</v>
      </c>
    </row>
    <row r="57" spans="1:35" s="520" customFormat="1" x14ac:dyDescent="0.25">
      <c r="A57" s="246"/>
      <c r="B57" s="848"/>
      <c r="C57" s="513" t="s">
        <v>951</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0</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0</v>
      </c>
      <c r="AI57" s="758">
        <f t="shared" si="6"/>
        <v>472</v>
      </c>
    </row>
    <row r="58" spans="1:35" s="520" customFormat="1" x14ac:dyDescent="0.25">
      <c r="A58" s="246"/>
      <c r="B58" s="847"/>
      <c r="C58" s="513" t="s">
        <v>1160</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143</v>
      </c>
      <c r="O58" s="516">
        <f t="shared" si="7"/>
        <v>157</v>
      </c>
      <c r="P58" s="516">
        <f t="shared" si="7"/>
        <v>183</v>
      </c>
      <c r="Q58" s="516">
        <f t="shared" si="7"/>
        <v>221</v>
      </c>
      <c r="R58" s="516">
        <f t="shared" si="7"/>
        <v>247</v>
      </c>
      <c r="S58" s="516">
        <f t="shared" si="7"/>
        <v>256</v>
      </c>
      <c r="T58" s="516">
        <f t="shared" si="7"/>
        <v>287</v>
      </c>
      <c r="U58" s="516">
        <f t="shared" si="7"/>
        <v>334</v>
      </c>
      <c r="V58" s="516">
        <f t="shared" si="7"/>
        <v>361</v>
      </c>
      <c r="W58" s="516">
        <f t="shared" si="7"/>
        <v>378</v>
      </c>
      <c r="X58" s="516">
        <f t="shared" si="7"/>
        <v>391</v>
      </c>
      <c r="Y58" s="516">
        <f t="shared" si="7"/>
        <v>404</v>
      </c>
      <c r="Z58" s="516">
        <f t="shared" si="7"/>
        <v>423</v>
      </c>
      <c r="AA58" s="516">
        <f t="shared" si="7"/>
        <v>445</v>
      </c>
      <c r="AB58" s="516">
        <f t="shared" si="7"/>
        <v>453</v>
      </c>
      <c r="AC58" s="516">
        <f t="shared" si="7"/>
        <v>462</v>
      </c>
      <c r="AD58" s="516">
        <f t="shared" si="7"/>
        <v>469</v>
      </c>
      <c r="AE58" s="516">
        <f t="shared" ref="AE58" si="8">AD58+AE57</f>
        <v>472</v>
      </c>
      <c r="AF58" s="516">
        <f t="shared" ref="AF58" si="9">AE58+AF57</f>
        <v>472</v>
      </c>
      <c r="AG58" s="516">
        <f t="shared" ref="AG58" si="10">AF58+AG57</f>
        <v>472</v>
      </c>
      <c r="AH58" s="516">
        <f t="shared" ref="AH58" si="11">AG58+AH57</f>
        <v>472</v>
      </c>
      <c r="AI58" s="758">
        <f t="shared" si="6"/>
        <v>8092</v>
      </c>
    </row>
    <row r="59" spans="1:35" s="520" customFormat="1" x14ac:dyDescent="0.25">
      <c r="A59" s="246"/>
      <c r="B59" s="846" t="s">
        <v>1269</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0</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758">
        <f t="shared" si="6"/>
        <v>442</v>
      </c>
    </row>
    <row r="60" spans="1:35" s="520" customFormat="1" x14ac:dyDescent="0.25">
      <c r="A60" s="246"/>
      <c r="B60" s="847"/>
      <c r="C60" s="513" t="s">
        <v>1160</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139</v>
      </c>
      <c r="O60" s="516">
        <f t="shared" si="12"/>
        <v>149</v>
      </c>
      <c r="P60" s="516">
        <f t="shared" si="12"/>
        <v>168</v>
      </c>
      <c r="Q60" s="516">
        <f t="shared" si="12"/>
        <v>213</v>
      </c>
      <c r="R60" s="516">
        <f t="shared" si="12"/>
        <v>233</v>
      </c>
      <c r="S60" s="516">
        <f t="shared" si="12"/>
        <v>235</v>
      </c>
      <c r="T60" s="516">
        <f t="shared" si="12"/>
        <v>260</v>
      </c>
      <c r="U60" s="516">
        <f t="shared" si="12"/>
        <v>297</v>
      </c>
      <c r="V60" s="516">
        <f t="shared" si="12"/>
        <v>350</v>
      </c>
      <c r="W60" s="516">
        <f t="shared" si="12"/>
        <v>372</v>
      </c>
      <c r="X60" s="516">
        <f t="shared" si="12"/>
        <v>384</v>
      </c>
      <c r="Y60" s="516">
        <f t="shared" si="12"/>
        <v>399</v>
      </c>
      <c r="Z60" s="516">
        <f t="shared" si="12"/>
        <v>416</v>
      </c>
      <c r="AA60" s="516">
        <f t="shared" si="12"/>
        <v>435</v>
      </c>
      <c r="AB60" s="516">
        <f t="shared" si="12"/>
        <v>440</v>
      </c>
      <c r="AC60" s="516">
        <f t="shared" si="12"/>
        <v>442</v>
      </c>
      <c r="AD60" s="516">
        <f t="shared" si="12"/>
        <v>442</v>
      </c>
      <c r="AE60" s="516">
        <f t="shared" ref="AE60" si="13">AD60+AE59</f>
        <v>442</v>
      </c>
      <c r="AF60" s="516">
        <f t="shared" ref="AF60" si="14">AE60+AF59</f>
        <v>442</v>
      </c>
      <c r="AG60" s="516">
        <f t="shared" ref="AG60" si="15">AF60+AG59</f>
        <v>442</v>
      </c>
      <c r="AH60" s="516">
        <f t="shared" ref="AH60" si="16">AG60+AH59</f>
        <v>442</v>
      </c>
      <c r="AI60" s="758">
        <f t="shared" si="6"/>
        <v>7670</v>
      </c>
    </row>
    <row r="61" spans="1:35" s="527" customFormat="1" x14ac:dyDescent="0.25">
      <c r="A61" s="262"/>
      <c r="B61" s="524" t="s">
        <v>993</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758">
        <f t="shared" si="6"/>
        <v>0</v>
      </c>
    </row>
    <row r="62" spans="1:35" s="520" customFormat="1" ht="25.5" x14ac:dyDescent="0.25">
      <c r="A62" s="246"/>
      <c r="B62" s="844" t="s">
        <v>994</v>
      </c>
      <c r="C62" s="522" t="s">
        <v>995</v>
      </c>
      <c r="D62" s="514" t="s">
        <v>941</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758">
        <f t="shared" si="6"/>
        <v>482</v>
      </c>
    </row>
    <row r="63" spans="1:35" s="520" customFormat="1" x14ac:dyDescent="0.25">
      <c r="A63" s="246"/>
      <c r="B63" s="849"/>
      <c r="C63" s="513" t="s">
        <v>951</v>
      </c>
      <c r="D63" s="514"/>
      <c r="E63" s="514"/>
      <c r="F63" s="515"/>
      <c r="G63" s="515"/>
      <c r="H63" s="516"/>
      <c r="I63" s="515"/>
      <c r="J63" s="516">
        <f>+COUNTIF('Erection Compiled'!$B$7:$B$650,'L2 Schedule'!J8)</f>
        <v>22</v>
      </c>
      <c r="K63" s="516">
        <f>+COUNTIF('Erection Compiled'!$B$7:$B$650,'L2 Schedule'!K8)</f>
        <v>20</v>
      </c>
      <c r="L63" s="516">
        <f>+COUNTIF('Erection Compiled'!$B$7:$B$650,'L2 Schedule'!L8)</f>
        <v>19</v>
      </c>
      <c r="M63" s="516">
        <f>+COUNTIF('Erection Compiled'!$B$7:$B$650,'L2 Schedule'!M8)</f>
        <v>14</v>
      </c>
      <c r="N63" s="516">
        <f>+COUNTIF('Erection Compiled'!$B$7:$B$650,'L2 Schedule'!N8)</f>
        <v>0</v>
      </c>
      <c r="O63" s="516">
        <f>+COUNTIF('Erection Compiled'!$B$7:$B$650,'L2 Schedule'!O8)</f>
        <v>2</v>
      </c>
      <c r="P63" s="516">
        <f>+COUNTIF('Erection Compiled'!$B$7:$B$650,'L2 Schedule'!P8)</f>
        <v>3</v>
      </c>
      <c r="Q63" s="516">
        <f>+COUNTIF('Erection Compiled'!$B$7:$B$650,'L2 Schedule'!Q8)</f>
        <v>16</v>
      </c>
      <c r="R63" s="516">
        <f>+COUNTIF('Erection Compiled'!$B$7:$B$650,'L2 Schedule'!R8)</f>
        <v>30</v>
      </c>
      <c r="S63" s="516">
        <f>+COUNTIF('Erection Compiled'!$B$7:$B$650,'L2 Schedule'!S8)</f>
        <v>30</v>
      </c>
      <c r="T63" s="516">
        <f>+COUNTIF('Erection Compiled'!$B$7:$B$650,'L2 Schedule'!T8)</f>
        <v>11</v>
      </c>
      <c r="U63" s="516">
        <f>+COUNTIF('Erection Compiled'!$B$7:$B$650,'L2 Schedule'!U8)</f>
        <v>16</v>
      </c>
      <c r="V63" s="516">
        <f>+COUNTIF('Erection Compiled'!$B$7:$B$650,'L2 Schedule'!V8)</f>
        <v>14</v>
      </c>
      <c r="W63" s="516">
        <f>+COUNTIF('Erection Compiled'!$B$7:$B$650,'L2 Schedule'!W8)</f>
        <v>13</v>
      </c>
      <c r="X63" s="516">
        <f>+COUNTIF('Erection Compiled'!$B$7:$B$650,'L2 Schedule'!X8)</f>
        <v>7</v>
      </c>
      <c r="Y63" s="516">
        <f>+COUNTIF('Erection Compiled'!$B$7:$B$650,'L2 Schedule'!Y8)</f>
        <v>2</v>
      </c>
      <c r="Z63" s="516">
        <f>+COUNTIF('Erection Compiled'!$B$7:$B$650,'L2 Schedule'!Z8)</f>
        <v>6</v>
      </c>
      <c r="AA63" s="516">
        <f>+COUNTIF('Erection Compiled'!$B$7:$B$650,'L2 Schedule'!AA8)</f>
        <v>23</v>
      </c>
      <c r="AB63" s="516">
        <f>+COUNTIF('Erection Compiled'!$B$7:$B$650,'L2 Schedule'!AB8)</f>
        <v>52</v>
      </c>
      <c r="AC63" s="516">
        <f>+COUNTIF('Erection Compiled'!$B$7:$B$650,'L2 Schedule'!AC8)</f>
        <v>47</v>
      </c>
      <c r="AD63" s="516">
        <f>+COUNTIF('Erection Compiled'!$B$7:$B$650,'L2 Schedule'!AD8)</f>
        <v>25</v>
      </c>
      <c r="AE63" s="516">
        <f>+COUNTIF('Erection Compiled'!$B$7:$B$650,'L2 Schedule'!AE8)</f>
        <v>33</v>
      </c>
      <c r="AF63" s="516">
        <f>+COUNTIF('Erection Compiled'!$B$7:$B$650,'L2 Schedule'!AF8)</f>
        <v>40</v>
      </c>
      <c r="AG63" s="516">
        <f>+COUNTIF('Erection Compiled'!$B$7:$B$650,'L2 Schedule'!AG8)</f>
        <v>11</v>
      </c>
      <c r="AH63" s="516">
        <f>+COUNTIF('Erection Compiled'!$B$7:$B$650,'L2 Schedule'!AH8)</f>
        <v>0</v>
      </c>
      <c r="AI63" s="758">
        <f t="shared" si="6"/>
        <v>456</v>
      </c>
    </row>
    <row r="64" spans="1:35" s="520" customFormat="1" x14ac:dyDescent="0.25">
      <c r="A64" s="246"/>
      <c r="B64" s="849"/>
      <c r="C64" s="513" t="s">
        <v>1595</v>
      </c>
      <c r="D64" s="514" t="s">
        <v>1596</v>
      </c>
      <c r="E64" s="514"/>
      <c r="F64" s="515"/>
      <c r="G64" s="515"/>
      <c r="H64" s="516"/>
      <c r="I64" s="515"/>
      <c r="J64" s="682">
        <f>+SUMIF('Erection Compiled'!$B$7:$B$356,'L2 Schedule'!J8,'Erection Compiled'!$J$7:$J$356)</f>
        <v>879.62470900000005</v>
      </c>
      <c r="K64" s="682">
        <f>+SUMIF('Erection Compiled'!$B$7:$B$356,'L2 Schedule'!K8,'Erection Compiled'!$J$7:$J$356)</f>
        <v>782.87973599999998</v>
      </c>
      <c r="L64" s="682">
        <f>+SUMIF('Erection Compiled'!$B$7:$B$356,'L2 Schedule'!L8,'Erection Compiled'!$J$7:$J$356)</f>
        <v>787.24064600000008</v>
      </c>
      <c r="M64" s="682">
        <f>+SUMIF('Erection Compiled'!$B$7:$B$356,'L2 Schedule'!M8,'Erection Compiled'!$J$7:$J$356)</f>
        <v>641.68642900000009</v>
      </c>
      <c r="N64" s="682">
        <f>+SUMIF('Erection Compiled'!$B$7:$B$356,'L2 Schedule'!N8,'Erection Compiled'!$J$7:$J$356)</f>
        <v>0</v>
      </c>
      <c r="O64" s="682">
        <f>+SUMIF('Erection Compiled'!$B$7:$B$356,'L2 Schedule'!O8,'Erection Compiled'!$J$7:$J$356)</f>
        <v>77.695211999999984</v>
      </c>
      <c r="P64" s="682">
        <f>+SUMIF('Erection Compiled'!$B$7:$B$356,'L2 Schedule'!P8,'Erection Compiled'!$J$7:$J$356)</f>
        <v>116.54281799999998</v>
      </c>
      <c r="Q64" s="682">
        <f>+SUMIF('Erection Compiled'!$B$7:$B$356,'L2 Schedule'!Q8,'Erection Compiled'!$J$7:$J$356)</f>
        <v>652.80436899999995</v>
      </c>
      <c r="R64" s="682">
        <f>+SUMIF('Erection Compiled'!$B$7:$B$356,'L2 Schedule'!R8,'Erection Compiled'!$J$7:$J$356)</f>
        <v>1312.5265540000003</v>
      </c>
      <c r="S64" s="682">
        <f>+SUMIF('Erection Compiled'!$B$7:$B$356,'L2 Schedule'!S8,'Erection Compiled'!$J$7:$J$356)</f>
        <v>1233.2502780000004</v>
      </c>
      <c r="T64" s="682">
        <f>+SUMIF('Erection Compiled'!$B$7:$B$356,'L2 Schedule'!T8,'Erection Compiled'!$J$7:$J$356)</f>
        <v>484.47926599999994</v>
      </c>
      <c r="U64" s="682">
        <f>+SUMIF('Erection Compiled'!$B$7:$B$356,'L2 Schedule'!U8,'Erection Compiled'!$J$7:$J$356)</f>
        <v>739.536699</v>
      </c>
      <c r="V64" s="682">
        <f>+SUMIF('Erection Compiled'!$B$7:$B$356,'L2 Schedule'!V8,'Erection Compiled'!$J$7:$J$356)</f>
        <v>654.40115500000002</v>
      </c>
      <c r="W64" s="682">
        <f>+SUMIF('Erection Compiled'!$B$7:$B$356,'L2 Schedule'!W8,'Erection Compiled'!$J$7:$J$356)</f>
        <v>567.09350600000005</v>
      </c>
      <c r="X64" s="682">
        <f>+SUMIF('Erection Compiled'!$B$7:$B$356,'L2 Schedule'!X8,'Erection Compiled'!$J$7:$J$356)</f>
        <v>358.062522</v>
      </c>
      <c r="Y64" s="682">
        <f>+SUMIF('Erection Compiled'!$B$7:$B$356,'L2 Schedule'!Y8,'Erection Compiled'!$J$7:$J$356)</f>
        <v>120.34223299999999</v>
      </c>
      <c r="Z64" s="682">
        <f>+SUMIF('Erection Compiled'!$B$7:$B$356,'L2 Schedule'!Z8,'Erection Compiled'!$J$7:$J$356)</f>
        <v>231.74240199999994</v>
      </c>
      <c r="AA64" s="682">
        <f>+SUMIF('Erection Compiled'!$B$7:$B$356,'L2 Schedule'!AA8,'Erection Compiled'!$J$7:$J$356)</f>
        <v>981.96415100000002</v>
      </c>
      <c r="AB64" s="682">
        <f>+SUMIF('Erection Compiled'!$B$7:$B$356,'L2 Schedule'!AB8,'Erection Compiled'!$J$7:$J$356)</f>
        <v>2382.2999060000002</v>
      </c>
      <c r="AC64" s="682">
        <f>+SUMIF('Erection Compiled'!$B$7:$B$529,'L2 Schedule'!AC8,'Erection Compiled'!$J$7:$J$529)</f>
        <v>2430.3868390000002</v>
      </c>
      <c r="AD64" s="682">
        <f>+SUMIF('Erection Compiled'!$B$7:$B$529,'L2 Schedule'!AD8,'Erection Compiled'!$J$7:$J$529)</f>
        <v>1309.1608760000004</v>
      </c>
      <c r="AE64" s="682">
        <f>+SUMIF('Erection Compiled'!$B$7:$B$529,'L2 Schedule'!AE8,'Erection Compiled'!$J$7:$J$529)</f>
        <v>1672.8394840000001</v>
      </c>
      <c r="AF64" s="682">
        <f>+SUMIF('Erection Compiled'!$B$7:$B$529,'L2 Schedule'!AF8,'Erection Compiled'!$J$7:$J$529)</f>
        <v>1833.4810000000004</v>
      </c>
      <c r="AG64" s="682">
        <f>+SUMIF('Erection Compiled'!$B$7:$B$529,'L2 Schedule'!AG8,'Erection Compiled'!$J$7:$J$529)</f>
        <v>489.26818099999997</v>
      </c>
      <c r="AH64" s="682">
        <f>+SUMIF('Erection Compiled'!$B$7:$B$529,'L2 Schedule'!AH8,'Erection Compiled'!$J$7:$J$529)</f>
        <v>0</v>
      </c>
      <c r="AI64" s="758">
        <f>+SUM(G64:AH64)</f>
        <v>20739.308971000002</v>
      </c>
    </row>
    <row r="65" spans="1:35" s="520" customFormat="1" x14ac:dyDescent="0.25">
      <c r="A65" s="246"/>
      <c r="B65" s="845"/>
      <c r="C65" s="513" t="s">
        <v>1160</v>
      </c>
      <c r="D65" s="514"/>
      <c r="E65" s="514"/>
      <c r="F65" s="515"/>
      <c r="G65" s="515"/>
      <c r="H65" s="516"/>
      <c r="I65" s="515"/>
      <c r="J65" s="516">
        <f>J63</f>
        <v>22</v>
      </c>
      <c r="K65" s="516">
        <f t="shared" ref="K65:AH65" si="17">K63+J65</f>
        <v>42</v>
      </c>
      <c r="L65" s="516">
        <f t="shared" si="17"/>
        <v>61</v>
      </c>
      <c r="M65" s="516">
        <f t="shared" si="17"/>
        <v>75</v>
      </c>
      <c r="N65" s="516">
        <f t="shared" si="17"/>
        <v>75</v>
      </c>
      <c r="O65" s="516">
        <f t="shared" si="17"/>
        <v>77</v>
      </c>
      <c r="P65" s="516">
        <f t="shared" si="17"/>
        <v>80</v>
      </c>
      <c r="Q65" s="516">
        <f t="shared" si="17"/>
        <v>96</v>
      </c>
      <c r="R65" s="516">
        <f t="shared" si="17"/>
        <v>126</v>
      </c>
      <c r="S65" s="516">
        <f t="shared" si="17"/>
        <v>156</v>
      </c>
      <c r="T65" s="516">
        <f t="shared" si="17"/>
        <v>167</v>
      </c>
      <c r="U65" s="516">
        <f t="shared" si="17"/>
        <v>183</v>
      </c>
      <c r="V65" s="516">
        <f t="shared" si="17"/>
        <v>197</v>
      </c>
      <c r="W65" s="516">
        <f t="shared" si="17"/>
        <v>210</v>
      </c>
      <c r="X65" s="516">
        <f t="shared" si="17"/>
        <v>217</v>
      </c>
      <c r="Y65" s="516">
        <f t="shared" si="17"/>
        <v>219</v>
      </c>
      <c r="Z65" s="516">
        <f t="shared" si="17"/>
        <v>225</v>
      </c>
      <c r="AA65" s="516">
        <f t="shared" si="17"/>
        <v>248</v>
      </c>
      <c r="AB65" s="516">
        <f t="shared" si="17"/>
        <v>300</v>
      </c>
      <c r="AC65" s="516">
        <f t="shared" si="17"/>
        <v>347</v>
      </c>
      <c r="AD65" s="516">
        <f t="shared" si="17"/>
        <v>372</v>
      </c>
      <c r="AE65" s="516">
        <f t="shared" si="17"/>
        <v>405</v>
      </c>
      <c r="AF65" s="516">
        <f t="shared" si="17"/>
        <v>445</v>
      </c>
      <c r="AG65" s="516">
        <f t="shared" si="17"/>
        <v>456</v>
      </c>
      <c r="AH65" s="516">
        <f t="shared" si="17"/>
        <v>456</v>
      </c>
      <c r="AI65" s="758">
        <f t="shared" ref="AI65:AI74" si="18">+SUM(G65:AH65)</f>
        <v>5257</v>
      </c>
    </row>
    <row r="66" spans="1:35" s="527" customFormat="1" x14ac:dyDescent="0.25">
      <c r="A66" s="262"/>
      <c r="B66" s="524" t="s">
        <v>996</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758">
        <f t="shared" si="18"/>
        <v>0</v>
      </c>
    </row>
    <row r="67" spans="1:35" s="520" customFormat="1" x14ac:dyDescent="0.25">
      <c r="A67" s="246"/>
      <c r="B67" s="846" t="s">
        <v>1198</v>
      </c>
      <c r="C67" s="522" t="s">
        <v>998</v>
      </c>
      <c r="D67" s="514" t="s">
        <v>941</v>
      </c>
      <c r="E67" s="514" t="s">
        <v>982</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758">
        <f t="shared" si="18"/>
        <v>191</v>
      </c>
    </row>
    <row r="68" spans="1:35" s="520" customFormat="1" x14ac:dyDescent="0.25">
      <c r="A68" s="246"/>
      <c r="B68" s="848"/>
      <c r="C68" s="513" t="s">
        <v>951</v>
      </c>
      <c r="D68" s="514"/>
      <c r="E68" s="514"/>
      <c r="F68" s="515"/>
      <c r="G68" s="515"/>
      <c r="H68" s="516"/>
      <c r="I68" s="516"/>
      <c r="J68" s="516"/>
      <c r="K68" s="517"/>
      <c r="L68" s="517">
        <f>+SUMIF(Stringing!$N$6:$N$109,'L2 Schedule'!L8,Stringing!$J$6:$J$109)</f>
        <v>0</v>
      </c>
      <c r="M68" s="517">
        <f>+SUMIF(Stringing!$N$6:$N$109,'L2 Schedule'!M8,Stringing!$J$6:$J$109)</f>
        <v>0</v>
      </c>
      <c r="N68" s="517">
        <f>+SUMIF(Stringing!$N$6:$N$109,'L2 Schedule'!N8,Stringing!$J$6:$J$109)</f>
        <v>0</v>
      </c>
      <c r="O68" s="517">
        <f>+SUMIF(Stringing!$N$6:$N$109,'L2 Schedule'!O8,Stringing!$J$6:$J$109)</f>
        <v>0</v>
      </c>
      <c r="P68" s="517">
        <f>+SUMIF(Stringing!$N$6:$N$109,'L2 Schedule'!P8,Stringing!$J$6:$J$109)</f>
        <v>0</v>
      </c>
      <c r="Q68" s="517">
        <f>+SUMIF(Stringing!$N$6:$N$109,'L2 Schedule'!Q8,Stringing!$J$6:$J$109)</f>
        <v>4.8769999999999998</v>
      </c>
      <c r="R68" s="517">
        <f>+SUMIF(Stringing!$N$6:$N$109,'L2 Schedule'!R8,Stringing!$J$6:$J$109)</f>
        <v>9.4310000000000009</v>
      </c>
      <c r="S68" s="517">
        <f>+SUMIF(Stringing!$N$6:$N$109,'L2 Schedule'!S8,Stringing!$J$6:$J$109)</f>
        <v>8.6289999999999996</v>
      </c>
      <c r="T68" s="517">
        <f>+SUMIF(Stringing!$N$6:$N$109,'L2 Schedule'!T8,Stringing!$J$6:$J$109)</f>
        <v>0</v>
      </c>
      <c r="U68" s="517">
        <f>+SUMIF(Stringing!$N$6:$N$109,'L2 Schedule'!U8,Stringing!$J$6:$J$109)</f>
        <v>7.1150000000000002</v>
      </c>
      <c r="V68" s="517">
        <f>+SUMIF(Stringing!$N$6:$N$109,'L2 Schedule'!V8,Stringing!$J$6:$J$109)</f>
        <v>0</v>
      </c>
      <c r="W68" s="517">
        <f>+SUMIF(Stringing!$N$6:$N$109,'L2 Schedule'!W8,Stringing!$J$6:$J$109)</f>
        <v>9.18</v>
      </c>
      <c r="X68" s="517">
        <f>+SUMIF(Stringing!$N$6:$N$109,'L2 Schedule'!X8,Stringing!$J$6:$J$109)</f>
        <v>1.0489999999999999</v>
      </c>
      <c r="Y68" s="517">
        <f>+SUMIF(Stringing!$N$6:$N$109,'L2 Schedule'!Y8,Stringing!$J$6:$J$109)</f>
        <v>3.2269999999999999</v>
      </c>
      <c r="Z68" s="517">
        <f>+SUMIF(Stringing!$N$6:$N$109,'L2 Schedule'!Z8,Stringing!$J$6:$J$109)</f>
        <v>0</v>
      </c>
      <c r="AA68" s="517">
        <f>+SUMIF(Stringing!$N$6:$N$109,'L2 Schedule'!AA8,Stringing!$J$6:$J$109)</f>
        <v>0</v>
      </c>
      <c r="AB68" s="517">
        <f>+SUMIF(Stringing!$N$6:$N$109,'L2 Schedule'!AB8,Stringing!$J$6:$J$109)</f>
        <v>0</v>
      </c>
      <c r="AC68" s="517">
        <f>+SUMIF(Stringing!$N$6:$N$109,'L2 Schedule'!AC8,Stringing!$J$6:$J$109)</f>
        <v>3.7879999999999998</v>
      </c>
      <c r="AD68" s="517">
        <f>+SUMIF(Stringing!$N$6:$N$109,'L2 Schedule'!AD8,Stringing!$J$6:$J$109)</f>
        <v>0</v>
      </c>
      <c r="AE68" s="517">
        <f>+SUMIF(Stringing!$N$6:$N$109,'L2 Schedule'!AE8,Stringing!$J$6:$J$109)</f>
        <v>8.9489999999999998</v>
      </c>
      <c r="AF68" s="517">
        <f>+SUMIF(Stringing!$N$6:$N$109,'L2 Schedule'!AF8,Stringing!$J$6:$J$109)</f>
        <v>6.1340800000000009</v>
      </c>
      <c r="AG68" s="517">
        <f>+SUMIF(Stringing!$N$6:$N$109,'L2 Schedule'!AG8,Stringing!$J$6:$J$109)</f>
        <v>14.151199999999999</v>
      </c>
      <c r="AH68" s="517">
        <f>+SUMIF(Stringing!$N$6:$N$109,'L2 Schedule'!AH8,Stringing!$J$6:$J$109)</f>
        <v>0</v>
      </c>
      <c r="AI68" s="758">
        <f t="shared" si="18"/>
        <v>76.530279999999991</v>
      </c>
    </row>
    <row r="69" spans="1:35" s="520" customFormat="1" x14ac:dyDescent="0.25">
      <c r="A69" s="246"/>
      <c r="B69" s="847"/>
      <c r="C69" s="513" t="s">
        <v>1160</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76.530279999999991</v>
      </c>
      <c r="AI69" s="758">
        <f t="shared" si="18"/>
        <v>744.98463999999967</v>
      </c>
    </row>
    <row r="70" spans="1:35" s="520" customFormat="1" x14ac:dyDescent="0.25">
      <c r="A70" s="246"/>
      <c r="B70" s="846" t="s">
        <v>997</v>
      </c>
      <c r="C70" s="522" t="s">
        <v>999</v>
      </c>
      <c r="D70" s="514" t="s">
        <v>941</v>
      </c>
      <c r="E70" s="514" t="s">
        <v>982</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758">
        <f t="shared" si="18"/>
        <v>191</v>
      </c>
    </row>
    <row r="71" spans="1:35" s="520" customFormat="1" x14ac:dyDescent="0.25">
      <c r="A71" s="246"/>
      <c r="B71" s="848"/>
      <c r="C71" s="513" t="s">
        <v>951</v>
      </c>
      <c r="D71" s="514"/>
      <c r="E71" s="514"/>
      <c r="F71" s="515"/>
      <c r="G71" s="515"/>
      <c r="H71" s="516"/>
      <c r="I71" s="516"/>
      <c r="J71" s="516"/>
      <c r="K71" s="517"/>
      <c r="L71" s="517"/>
      <c r="M71" s="515"/>
      <c r="N71" s="518"/>
      <c r="O71" s="515">
        <f>+SUMIF(OPGW!$N$6:$N$100,'L2 Schedule'!O8,OPGW!$J$6:$J$100)</f>
        <v>0</v>
      </c>
      <c r="P71" s="515">
        <f>+SUMIF(OPGW!$N$6:$N$100,'L2 Schedule'!P8,OPGW!$J$6:$J$100)</f>
        <v>0</v>
      </c>
      <c r="Q71" s="517">
        <f>+SUMIF(OPGW!$N$6:$N$100,'L2 Schedule'!Q8,OPGW!$J$6:$J$100)</f>
        <v>0</v>
      </c>
      <c r="R71" s="517">
        <f>+SUMIF(OPGW!$N$6:$N$100,'L2 Schedule'!R8,OPGW!$J$6:$J$100)</f>
        <v>0</v>
      </c>
      <c r="S71" s="517">
        <f>+SUMIF(OPGW!$N$6:$N$100,'L2 Schedule'!S8,OPGW!$J$6:$J$100)</f>
        <v>0</v>
      </c>
      <c r="T71" s="517">
        <f>+SUMIF(OPGW!$N$6:$N$100,'L2 Schedule'!T8,OPGW!$J$6:$J$100)</f>
        <v>0</v>
      </c>
      <c r="U71" s="517">
        <f>+SUMIF(OPGW!$N$6:$N$100,'L2 Schedule'!U8,OPGW!$J$6:$J$100)</f>
        <v>0</v>
      </c>
      <c r="V71" s="517">
        <f>+SUMIF(OPGW!$N$6:$N$100,'L2 Schedule'!V8,OPGW!$J$6:$J$100)</f>
        <v>21.423000000000002</v>
      </c>
      <c r="W71" s="517">
        <f>+SUMIF(OPGW!$N$6:$N$100,'L2 Schedule'!W8,OPGW!$J$6:$J$100)</f>
        <v>8.6289999999999996</v>
      </c>
      <c r="X71" s="517">
        <f>+SUMIF(OPGW!$N$6:$N$100,'L2 Schedule'!X8,OPGW!$J$6:$J$100)</f>
        <v>0</v>
      </c>
      <c r="Y71" s="517">
        <f>+SUMIF(OPGW!$N$6:$N$100,'L2 Schedule'!Y8,OPGW!$J$6:$J$100)</f>
        <v>0</v>
      </c>
      <c r="Z71" s="517">
        <f>+SUMIF(OPGW!$N$6:$N$100,'L2 Schedule'!Z8,OPGW!$J$6:$J$100)</f>
        <v>0</v>
      </c>
      <c r="AA71" s="517">
        <f>+SUMIF(OPGW!$N$6:$N$100,'L2 Schedule'!AA8,OPGW!$J$6:$J$100)</f>
        <v>5.4930000000000003</v>
      </c>
      <c r="AB71" s="517">
        <f>+SUMIF(OPGW!$N$6:$N$100,'L2 Schedule'!AB8,OPGW!$J$6:$J$100)</f>
        <v>4.0579999999999998</v>
      </c>
      <c r="AC71" s="517">
        <f>+SUMIF(OPGW!$N$6:$N$100,'L2 Schedule'!AC8,OPGW!$J$6:$J$100)</f>
        <v>0</v>
      </c>
      <c r="AD71" s="517">
        <f>+SUMIF(OPGW!$N$6:$N$100,'L2 Schedule'!AD8,OPGW!$J$6:$J$100)</f>
        <v>0</v>
      </c>
      <c r="AE71" s="517">
        <f>+SUMIF(OPGW!$N$6:$N$100,'L2 Schedule'!AE8,OPGW!$J$6:$J$100)</f>
        <v>0</v>
      </c>
      <c r="AF71" s="517">
        <f>+SUMIF(OPGW!$N$6:$N$100,'L2 Schedule'!AF8,OPGW!$J$6:$J$100)</f>
        <v>14.057</v>
      </c>
      <c r="AG71" s="517">
        <f>+SUMIF(OPGW!$N$6:$N$100,'L2 Schedule'!AG8,OPGW!$J$6:$J$100)</f>
        <v>10.6128</v>
      </c>
      <c r="AH71" s="517">
        <f>+SUMIF(OPGW!$N$6:$N$100,'L2 Schedule'!AH8,OPGW!$J$6:$J$100)</f>
        <v>0</v>
      </c>
      <c r="AI71" s="758">
        <f t="shared" si="18"/>
        <v>64.272800000000004</v>
      </c>
    </row>
    <row r="72" spans="1:35" s="520" customFormat="1" x14ac:dyDescent="0.25">
      <c r="A72" s="246"/>
      <c r="B72" s="847"/>
      <c r="C72" s="513" t="s">
        <v>1160</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64.272800000000004</v>
      </c>
      <c r="AI72" s="758">
        <f t="shared" si="18"/>
        <v>517.79360000000008</v>
      </c>
    </row>
    <row r="73" spans="1:35" s="529" customFormat="1" ht="25.5" x14ac:dyDescent="0.25">
      <c r="A73" s="218"/>
      <c r="B73" s="530" t="s">
        <v>1000</v>
      </c>
      <c r="C73" s="513" t="s">
        <v>1001</v>
      </c>
      <c r="D73" s="514" t="s">
        <v>941</v>
      </c>
      <c r="E73" s="514" t="s">
        <v>960</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758">
        <f t="shared" si="18"/>
        <v>1</v>
      </c>
    </row>
    <row r="74" spans="1:35" s="218" customFormat="1" ht="25.5" x14ac:dyDescent="0.25">
      <c r="B74" s="238" t="s">
        <v>1002</v>
      </c>
      <c r="C74" s="239" t="s">
        <v>1387</v>
      </c>
      <c r="D74" s="241" t="s">
        <v>941</v>
      </c>
      <c r="E74" s="241" t="s">
        <v>1003</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758">
        <f t="shared" si="18"/>
        <v>1</v>
      </c>
    </row>
    <row r="75" spans="1:35" s="264" customFormat="1" x14ac:dyDescent="0.25">
      <c r="D75" s="265"/>
      <c r="H75" s="265"/>
      <c r="I75" s="265"/>
      <c r="J75" s="265"/>
      <c r="K75" s="265"/>
      <c r="L75" s="265"/>
      <c r="M75" s="265"/>
      <c r="N75" s="265"/>
      <c r="O75" s="265"/>
      <c r="P75" s="265"/>
      <c r="Q75" s="265"/>
      <c r="R75" s="265"/>
      <c r="S75" s="265"/>
      <c r="T75" s="265"/>
    </row>
    <row r="76" spans="1:35" s="264" customFormat="1" x14ac:dyDescent="0.25">
      <c r="D76" s="265"/>
      <c r="H76" s="265"/>
      <c r="I76" s="265"/>
      <c r="J76" s="265"/>
      <c r="K76" s="265"/>
      <c r="L76" s="265"/>
      <c r="M76" s="265"/>
      <c r="N76" s="265"/>
      <c r="O76" s="265"/>
      <c r="P76" s="265"/>
      <c r="Q76" s="265"/>
      <c r="R76" s="265"/>
      <c r="S76" s="265"/>
      <c r="T76" s="265"/>
    </row>
    <row r="77" spans="1:35" s="264" customFormat="1" x14ac:dyDescent="0.25">
      <c r="B77" s="212" t="s">
        <v>1004</v>
      </c>
      <c r="C77" s="209"/>
      <c r="D77" s="265"/>
      <c r="H77" s="265"/>
      <c r="I77" s="265"/>
      <c r="J77" s="265"/>
      <c r="K77" s="265"/>
      <c r="L77" s="265"/>
      <c r="M77" s="265"/>
      <c r="N77" s="265"/>
      <c r="O77" s="265"/>
      <c r="P77" s="265"/>
      <c r="Q77" s="265"/>
      <c r="R77" s="265"/>
      <c r="S77" s="265"/>
      <c r="T77" s="265"/>
    </row>
    <row r="78" spans="1:35" x14ac:dyDescent="0.25">
      <c r="A78" s="211"/>
      <c r="B78" s="840"/>
      <c r="C78" s="840"/>
      <c r="D78" s="840"/>
      <c r="E78" s="840"/>
      <c r="F78" s="840"/>
      <c r="G78" s="840"/>
      <c r="H78" s="840"/>
      <c r="I78" s="840"/>
      <c r="J78" s="840"/>
      <c r="K78" s="840"/>
      <c r="L78" s="840"/>
      <c r="M78" s="840"/>
      <c r="N78" s="840"/>
      <c r="O78" s="840"/>
      <c r="P78" s="840"/>
      <c r="Q78" s="840"/>
      <c r="R78" s="840"/>
      <c r="S78" s="840"/>
      <c r="T78" s="840"/>
    </row>
    <row r="79" spans="1:35" ht="12.75" customHeight="1" x14ac:dyDescent="0.25">
      <c r="A79" s="211">
        <v>1</v>
      </c>
      <c r="B79" s="853" t="s">
        <v>1005</v>
      </c>
      <c r="C79" s="853"/>
      <c r="D79" s="853"/>
      <c r="E79" s="853"/>
      <c r="F79" s="853"/>
      <c r="G79" s="853"/>
      <c r="H79" s="853"/>
      <c r="I79" s="853"/>
      <c r="J79" s="853"/>
      <c r="K79" s="853"/>
      <c r="L79" s="853"/>
      <c r="M79" s="853"/>
      <c r="N79" s="853"/>
      <c r="O79" s="853"/>
      <c r="P79" s="853"/>
      <c r="Q79" s="853"/>
      <c r="R79" s="853"/>
      <c r="S79" s="853"/>
      <c r="T79" s="853"/>
      <c r="U79" s="853"/>
      <c r="V79" s="853"/>
      <c r="W79" s="853"/>
      <c r="X79" s="853"/>
      <c r="Y79" s="853"/>
      <c r="Z79" s="853"/>
      <c r="AA79" s="853"/>
      <c r="AB79" s="853"/>
      <c r="AC79" s="853"/>
      <c r="AD79" s="853"/>
      <c r="AE79" s="853"/>
      <c r="AF79" s="853"/>
      <c r="AG79" s="853"/>
      <c r="AH79" s="853"/>
      <c r="AI79" s="853"/>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3"/>
  <sheetViews>
    <sheetView zoomScale="98" workbookViewId="0">
      <pane ySplit="12" topLeftCell="A361" activePane="bottomLeft" state="frozen"/>
      <selection activeCell="N8" sqref="N8"/>
      <selection pane="bottomLeft" activeCell="B363" sqref="B363"/>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1264</v>
      </c>
    </row>
    <row r="2" spans="1:14" ht="29.25" customHeight="1" x14ac:dyDescent="0.25">
      <c r="A2" s="863" t="s">
        <v>1611</v>
      </c>
      <c r="B2" s="863"/>
      <c r="C2" s="863"/>
      <c r="D2" s="863"/>
      <c r="E2" s="863"/>
      <c r="F2" s="863"/>
      <c r="G2" s="863"/>
      <c r="H2" s="863"/>
      <c r="I2" s="863"/>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1264</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5</v>
      </c>
      <c r="E10" s="280">
        <f t="shared" si="0"/>
        <v>5</v>
      </c>
    </row>
    <row r="11" spans="1:14" x14ac:dyDescent="0.25">
      <c r="A11" s="278">
        <v>5</v>
      </c>
      <c r="B11" s="279" t="s">
        <v>266</v>
      </c>
      <c r="C11" s="280">
        <f>+COUNTIF($D$16:$D$998,B11)</f>
        <v>3</v>
      </c>
      <c r="D11" s="278">
        <f>+COUNTIFS($D$16:$D$999,B11,$H$16:$H$999,"AWAITED")</f>
        <v>0</v>
      </c>
      <c r="E11" s="280">
        <f t="shared" si="0"/>
        <v>3</v>
      </c>
    </row>
    <row r="12" spans="1:14" x14ac:dyDescent="0.25">
      <c r="A12" s="862" t="s">
        <v>19</v>
      </c>
      <c r="B12" s="862"/>
      <c r="C12" s="282">
        <f>SUM(C7:C11)</f>
        <v>330</v>
      </c>
      <c r="D12" s="281">
        <f>+SUM(D7:D11)</f>
        <v>28</v>
      </c>
      <c r="E12" s="282">
        <f>+SUM(E7:E11)</f>
        <v>302</v>
      </c>
    </row>
    <row r="15" spans="1:14" x14ac:dyDescent="0.2">
      <c r="A15" s="864" t="s">
        <v>984</v>
      </c>
      <c r="B15" s="864"/>
      <c r="C15" s="864"/>
      <c r="D15" s="864"/>
      <c r="E15" s="864"/>
      <c r="F15" s="864"/>
      <c r="G15" s="864"/>
      <c r="H15" s="864"/>
      <c r="I15" s="864"/>
    </row>
    <row r="16" spans="1:14" ht="38.25" x14ac:dyDescent="0.25">
      <c r="A16" s="283" t="s">
        <v>125</v>
      </c>
      <c r="B16" s="284" t="s">
        <v>257</v>
      </c>
      <c r="C16" s="283" t="s">
        <v>282</v>
      </c>
      <c r="D16" s="284" t="s">
        <v>258</v>
      </c>
      <c r="E16" s="284" t="s">
        <v>259</v>
      </c>
      <c r="F16" s="284" t="s">
        <v>1376</v>
      </c>
      <c r="G16" s="284" t="s">
        <v>1377</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1199</v>
      </c>
      <c r="C24" s="286" t="s">
        <v>1200</v>
      </c>
      <c r="D24" s="280" t="s">
        <v>113</v>
      </c>
      <c r="E24" s="280"/>
      <c r="F24" s="287">
        <v>45272</v>
      </c>
      <c r="G24" s="287">
        <v>45274</v>
      </c>
      <c r="H24" s="288">
        <f t="shared" si="1"/>
        <v>3</v>
      </c>
      <c r="I24" s="289"/>
    </row>
    <row r="25" spans="1:9" x14ac:dyDescent="0.25">
      <c r="A25" s="278">
        <v>9</v>
      </c>
      <c r="B25" s="285" t="s">
        <v>1199</v>
      </c>
      <c r="C25" s="286" t="s">
        <v>1201</v>
      </c>
      <c r="D25" s="280" t="s">
        <v>113</v>
      </c>
      <c r="E25" s="280"/>
      <c r="F25" s="287">
        <v>45275</v>
      </c>
      <c r="G25" s="287">
        <v>45636</v>
      </c>
      <c r="H25" s="288">
        <f t="shared" si="1"/>
        <v>362</v>
      </c>
      <c r="I25" s="289"/>
    </row>
    <row r="26" spans="1:9" x14ac:dyDescent="0.25">
      <c r="A26" s="278">
        <v>10</v>
      </c>
      <c r="B26" s="285" t="s">
        <v>1199</v>
      </c>
      <c r="C26" s="286" t="s">
        <v>1202</v>
      </c>
      <c r="D26" s="280" t="s">
        <v>113</v>
      </c>
      <c r="E26" s="280"/>
      <c r="F26" s="287">
        <v>45275</v>
      </c>
      <c r="G26" s="287">
        <v>45331</v>
      </c>
      <c r="H26" s="288">
        <f t="shared" si="1"/>
        <v>57</v>
      </c>
      <c r="I26" s="289"/>
    </row>
    <row r="27" spans="1:9" x14ac:dyDescent="0.25">
      <c r="A27" s="278">
        <v>11</v>
      </c>
      <c r="B27" s="285" t="s">
        <v>1199</v>
      </c>
      <c r="C27" s="286" t="s">
        <v>1203</v>
      </c>
      <c r="D27" s="280" t="s">
        <v>113</v>
      </c>
      <c r="E27" s="280"/>
      <c r="F27" s="287">
        <v>45275</v>
      </c>
      <c r="G27" s="287">
        <v>45331</v>
      </c>
      <c r="H27" s="288">
        <f t="shared" si="1"/>
        <v>57</v>
      </c>
      <c r="I27" s="289"/>
    </row>
    <row r="28" spans="1:9" x14ac:dyDescent="0.25">
      <c r="A28" s="278">
        <v>12</v>
      </c>
      <c r="B28" s="285" t="s">
        <v>1199</v>
      </c>
      <c r="C28" s="286" t="s">
        <v>1204</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1199</v>
      </c>
      <c r="C34" s="286" t="s">
        <v>1205</v>
      </c>
      <c r="D34" s="280" t="s">
        <v>113</v>
      </c>
      <c r="E34" s="280"/>
      <c r="F34" s="287">
        <v>45318</v>
      </c>
      <c r="G34" s="287">
        <v>45390</v>
      </c>
      <c r="H34" s="288">
        <f t="shared" si="1"/>
        <v>73</v>
      </c>
      <c r="I34" s="289"/>
    </row>
    <row r="35" spans="1:9" x14ac:dyDescent="0.25">
      <c r="A35" s="278">
        <v>19</v>
      </c>
      <c r="B35" s="285" t="s">
        <v>1199</v>
      </c>
      <c r="C35" s="286" t="s">
        <v>1206</v>
      </c>
      <c r="D35" s="280" t="s">
        <v>113</v>
      </c>
      <c r="E35" s="280"/>
      <c r="F35" s="287">
        <v>45318</v>
      </c>
      <c r="G35" s="287">
        <v>45390</v>
      </c>
      <c r="H35" s="288">
        <f t="shared" si="1"/>
        <v>73</v>
      </c>
      <c r="I35" s="289"/>
    </row>
    <row r="36" spans="1:9" x14ac:dyDescent="0.25">
      <c r="A36" s="278">
        <v>20</v>
      </c>
      <c r="B36" s="285" t="s">
        <v>1199</v>
      </c>
      <c r="C36" s="286" t="s">
        <v>1207</v>
      </c>
      <c r="D36" s="280" t="s">
        <v>113</v>
      </c>
      <c r="E36" s="280"/>
      <c r="F36" s="287">
        <v>45318</v>
      </c>
      <c r="G36" s="287">
        <v>45390</v>
      </c>
      <c r="H36" s="288">
        <f t="shared" si="1"/>
        <v>73</v>
      </c>
      <c r="I36" s="289"/>
    </row>
    <row r="39" spans="1:9" x14ac:dyDescent="0.25">
      <c r="A39" s="861" t="s">
        <v>10</v>
      </c>
      <c r="B39" s="861"/>
      <c r="C39" s="861"/>
      <c r="D39" s="861"/>
      <c r="E39" s="861"/>
      <c r="F39" s="861"/>
      <c r="G39" s="861"/>
      <c r="H39" s="861"/>
      <c r="I39" s="861"/>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v>1</v>
      </c>
      <c r="B41" s="285" t="s">
        <v>267</v>
      </c>
      <c r="C41" s="286" t="s">
        <v>216</v>
      </c>
      <c r="D41" s="278" t="s">
        <v>10</v>
      </c>
      <c r="E41" s="280" t="s">
        <v>270</v>
      </c>
      <c r="F41" s="287">
        <v>45266</v>
      </c>
      <c r="G41" s="287">
        <v>45267</v>
      </c>
      <c r="H41" s="291">
        <f>+IF(G41="","Awaited",_xlfn.DAYS(G41,F41)+1)</f>
        <v>2</v>
      </c>
      <c r="I41" s="289"/>
    </row>
    <row r="42" spans="1:9" hidden="1" x14ac:dyDescent="0.25">
      <c r="A42" s="278">
        <v>2</v>
      </c>
      <c r="B42" s="285" t="s">
        <v>1208</v>
      </c>
      <c r="C42" s="286" t="s">
        <v>795</v>
      </c>
      <c r="D42" s="278" t="s">
        <v>10</v>
      </c>
      <c r="E42" s="280"/>
      <c r="F42" s="287">
        <v>45274</v>
      </c>
      <c r="G42" s="287">
        <v>45275</v>
      </c>
      <c r="H42" s="291">
        <f t="shared" ref="H42:H105" si="2">+IF(G42="","Awaited",_xlfn.DAYS(G42,F42)+1)</f>
        <v>2</v>
      </c>
      <c r="I42" s="289"/>
    </row>
    <row r="43" spans="1:9" ht="38.25" hidden="1" x14ac:dyDescent="0.25">
      <c r="A43" s="278">
        <v>3</v>
      </c>
      <c r="B43" s="285" t="s">
        <v>281</v>
      </c>
      <c r="C43" s="286" t="s">
        <v>59</v>
      </c>
      <c r="D43" s="278" t="s">
        <v>10</v>
      </c>
      <c r="E43" s="280" t="s">
        <v>253</v>
      </c>
      <c r="F43" s="287">
        <v>45276</v>
      </c>
      <c r="G43" s="287">
        <v>45277</v>
      </c>
      <c r="H43" s="291">
        <f t="shared" si="2"/>
        <v>2</v>
      </c>
      <c r="I43" s="289" t="s">
        <v>279</v>
      </c>
    </row>
    <row r="44" spans="1:9" ht="38.25" hidden="1" x14ac:dyDescent="0.25">
      <c r="A44" s="278">
        <v>4</v>
      </c>
      <c r="B44" s="285" t="s">
        <v>280</v>
      </c>
      <c r="C44" s="286" t="s">
        <v>59</v>
      </c>
      <c r="D44" s="278" t="s">
        <v>10</v>
      </c>
      <c r="E44" s="280" t="s">
        <v>253</v>
      </c>
      <c r="F44" s="287">
        <v>45276</v>
      </c>
      <c r="G44" s="287">
        <v>45277</v>
      </c>
      <c r="H44" s="291">
        <f t="shared" si="2"/>
        <v>2</v>
      </c>
      <c r="I44" s="289" t="s">
        <v>278</v>
      </c>
    </row>
    <row r="45" spans="1:9" ht="25.5" hidden="1" x14ac:dyDescent="0.25">
      <c r="A45" s="278">
        <v>5</v>
      </c>
      <c r="B45" s="285" t="s">
        <v>287</v>
      </c>
      <c r="C45" s="286" t="s">
        <v>190</v>
      </c>
      <c r="D45" s="278" t="s">
        <v>10</v>
      </c>
      <c r="E45" s="280" t="s">
        <v>270</v>
      </c>
      <c r="F45" s="287">
        <v>45266</v>
      </c>
      <c r="G45" s="287">
        <v>45334</v>
      </c>
      <c r="H45" s="291">
        <f t="shared" si="2"/>
        <v>69</v>
      </c>
      <c r="I45" s="289" t="s">
        <v>373</v>
      </c>
    </row>
    <row r="46" spans="1:9" ht="25.5" hidden="1" x14ac:dyDescent="0.25">
      <c r="A46" s="278">
        <v>6</v>
      </c>
      <c r="B46" s="285" t="s">
        <v>275</v>
      </c>
      <c r="C46" s="286" t="s">
        <v>71</v>
      </c>
      <c r="D46" s="278" t="s">
        <v>10</v>
      </c>
      <c r="E46" s="280" t="s">
        <v>251</v>
      </c>
      <c r="F46" s="287">
        <v>45286</v>
      </c>
      <c r="G46" s="287">
        <v>45819</v>
      </c>
      <c r="H46" s="291">
        <f t="shared" si="2"/>
        <v>534</v>
      </c>
      <c r="I46" s="289" t="s">
        <v>263</v>
      </c>
    </row>
    <row r="47" spans="1:9" ht="51" hidden="1" x14ac:dyDescent="0.25">
      <c r="A47" s="278">
        <v>7</v>
      </c>
      <c r="B47" s="285" t="s">
        <v>277</v>
      </c>
      <c r="C47" s="278"/>
      <c r="D47" s="278" t="s">
        <v>10</v>
      </c>
      <c r="E47" s="280" t="s">
        <v>251</v>
      </c>
      <c r="F47" s="287">
        <v>45286</v>
      </c>
      <c r="G47" s="287">
        <v>45289</v>
      </c>
      <c r="H47" s="291">
        <f t="shared" si="2"/>
        <v>4</v>
      </c>
      <c r="I47" s="289" t="s">
        <v>338</v>
      </c>
    </row>
    <row r="48" spans="1:9" ht="25.5" hidden="1" x14ac:dyDescent="0.25">
      <c r="A48" s="278">
        <v>8</v>
      </c>
      <c r="B48" s="285" t="s">
        <v>304</v>
      </c>
      <c r="C48" s="278" t="s">
        <v>72</v>
      </c>
      <c r="D48" s="278" t="s">
        <v>10</v>
      </c>
      <c r="E48" s="280"/>
      <c r="F48" s="287">
        <v>45286</v>
      </c>
      <c r="G48" s="287">
        <v>45318</v>
      </c>
      <c r="H48" s="291">
        <f t="shared" si="2"/>
        <v>33</v>
      </c>
      <c r="I48" s="289" t="s">
        <v>354</v>
      </c>
    </row>
    <row r="49" spans="1:9" ht="25.5" hidden="1" x14ac:dyDescent="0.25">
      <c r="A49" s="278">
        <v>9</v>
      </c>
      <c r="B49" s="285" t="s">
        <v>305</v>
      </c>
      <c r="C49" s="278" t="s">
        <v>73</v>
      </c>
      <c r="D49" s="278" t="s">
        <v>10</v>
      </c>
      <c r="E49" s="280"/>
      <c r="F49" s="287">
        <v>45286</v>
      </c>
      <c r="G49" s="287">
        <v>45691</v>
      </c>
      <c r="H49" s="291">
        <f t="shared" si="2"/>
        <v>406</v>
      </c>
      <c r="I49" s="289" t="s">
        <v>354</v>
      </c>
    </row>
    <row r="50" spans="1:9" ht="25.5" hidden="1" x14ac:dyDescent="0.25">
      <c r="A50" s="278">
        <v>10</v>
      </c>
      <c r="B50" s="285" t="s">
        <v>306</v>
      </c>
      <c r="C50" s="278" t="s">
        <v>74</v>
      </c>
      <c r="D50" s="278" t="s">
        <v>10</v>
      </c>
      <c r="E50" s="280"/>
      <c r="F50" s="287">
        <v>45286</v>
      </c>
      <c r="G50" s="287">
        <v>45691</v>
      </c>
      <c r="H50" s="291">
        <f t="shared" si="2"/>
        <v>406</v>
      </c>
      <c r="I50" s="289" t="s">
        <v>354</v>
      </c>
    </row>
    <row r="51" spans="1:9" ht="25.5" hidden="1" x14ac:dyDescent="0.25">
      <c r="A51" s="278">
        <v>11</v>
      </c>
      <c r="B51" s="285" t="s">
        <v>307</v>
      </c>
      <c r="C51" s="278" t="s">
        <v>75</v>
      </c>
      <c r="D51" s="278" t="s">
        <v>10</v>
      </c>
      <c r="E51" s="280"/>
      <c r="F51" s="287">
        <v>45286</v>
      </c>
      <c r="G51" s="287">
        <v>45679</v>
      </c>
      <c r="H51" s="291">
        <f t="shared" si="2"/>
        <v>394</v>
      </c>
      <c r="I51" s="289" t="s">
        <v>354</v>
      </c>
    </row>
    <row r="52" spans="1:9" ht="25.5" hidden="1" x14ac:dyDescent="0.25">
      <c r="A52" s="278">
        <v>12</v>
      </c>
      <c r="B52" s="285" t="s">
        <v>308</v>
      </c>
      <c r="C52" s="278" t="s">
        <v>192</v>
      </c>
      <c r="D52" s="278" t="s">
        <v>10</v>
      </c>
      <c r="E52" s="280"/>
      <c r="F52" s="287">
        <v>45286</v>
      </c>
      <c r="G52" s="287">
        <v>45307</v>
      </c>
      <c r="H52" s="291">
        <f t="shared" si="2"/>
        <v>22</v>
      </c>
      <c r="I52" s="289" t="s">
        <v>354</v>
      </c>
    </row>
    <row r="53" spans="1:9" ht="25.5" hidden="1" x14ac:dyDescent="0.25">
      <c r="A53" s="278">
        <v>13</v>
      </c>
      <c r="B53" s="285" t="s">
        <v>309</v>
      </c>
      <c r="C53" s="278" t="s">
        <v>193</v>
      </c>
      <c r="D53" s="278" t="s">
        <v>10</v>
      </c>
      <c r="E53" s="280"/>
      <c r="F53" s="287">
        <v>45286</v>
      </c>
      <c r="G53" s="287">
        <v>45687</v>
      </c>
      <c r="H53" s="291">
        <f t="shared" si="2"/>
        <v>402</v>
      </c>
      <c r="I53" s="289" t="s">
        <v>354</v>
      </c>
    </row>
    <row r="54" spans="1:9" ht="25.5" hidden="1" x14ac:dyDescent="0.25">
      <c r="A54" s="278">
        <v>14</v>
      </c>
      <c r="B54" s="285" t="s">
        <v>310</v>
      </c>
      <c r="C54" s="278" t="s">
        <v>194</v>
      </c>
      <c r="D54" s="278" t="s">
        <v>10</v>
      </c>
      <c r="E54" s="280"/>
      <c r="F54" s="287">
        <v>45286</v>
      </c>
      <c r="G54" s="287">
        <v>45682</v>
      </c>
      <c r="H54" s="291">
        <f t="shared" si="2"/>
        <v>397</v>
      </c>
      <c r="I54" s="289" t="s">
        <v>354</v>
      </c>
    </row>
    <row r="55" spans="1:9" ht="25.5" hidden="1" x14ac:dyDescent="0.25">
      <c r="A55" s="278">
        <v>15</v>
      </c>
      <c r="B55" s="285" t="s">
        <v>311</v>
      </c>
      <c r="C55" s="278" t="s">
        <v>76</v>
      </c>
      <c r="D55" s="278" t="s">
        <v>10</v>
      </c>
      <c r="E55" s="280"/>
      <c r="F55" s="287">
        <v>45286</v>
      </c>
      <c r="G55" s="287">
        <v>45668</v>
      </c>
      <c r="H55" s="291">
        <f t="shared" si="2"/>
        <v>383</v>
      </c>
      <c r="I55" s="289" t="s">
        <v>354</v>
      </c>
    </row>
    <row r="56" spans="1:9" ht="25.5" hidden="1" x14ac:dyDescent="0.25">
      <c r="A56" s="278">
        <v>16</v>
      </c>
      <c r="B56" s="285" t="s">
        <v>312</v>
      </c>
      <c r="C56" s="278" t="s">
        <v>195</v>
      </c>
      <c r="D56" s="278" t="s">
        <v>10</v>
      </c>
      <c r="E56" s="280"/>
      <c r="F56" s="287">
        <v>45286</v>
      </c>
      <c r="G56" s="287">
        <v>45710</v>
      </c>
      <c r="H56" s="291">
        <f t="shared" si="2"/>
        <v>425</v>
      </c>
      <c r="I56" s="289" t="s">
        <v>354</v>
      </c>
    </row>
    <row r="57" spans="1:9" ht="25.5" hidden="1" x14ac:dyDescent="0.25">
      <c r="A57" s="278">
        <v>17</v>
      </c>
      <c r="B57" s="285" t="s">
        <v>313</v>
      </c>
      <c r="C57" s="278" t="s">
        <v>196</v>
      </c>
      <c r="D57" s="278" t="s">
        <v>10</v>
      </c>
      <c r="E57" s="280"/>
      <c r="F57" s="287">
        <v>45286</v>
      </c>
      <c r="G57" s="287">
        <v>45717</v>
      </c>
      <c r="H57" s="291">
        <f t="shared" si="2"/>
        <v>432</v>
      </c>
      <c r="I57" s="289" t="s">
        <v>354</v>
      </c>
    </row>
    <row r="58" spans="1:9" ht="25.5" hidden="1" x14ac:dyDescent="0.25">
      <c r="A58" s="278">
        <v>18</v>
      </c>
      <c r="B58" s="285" t="s">
        <v>314</v>
      </c>
      <c r="C58" s="278" t="s">
        <v>197</v>
      </c>
      <c r="D58" s="278" t="s">
        <v>10</v>
      </c>
      <c r="E58" s="280"/>
      <c r="F58" s="287">
        <v>45286</v>
      </c>
      <c r="G58" s="287">
        <v>45718</v>
      </c>
      <c r="H58" s="291">
        <f t="shared" si="2"/>
        <v>433</v>
      </c>
      <c r="I58" s="289" t="s">
        <v>354</v>
      </c>
    </row>
    <row r="59" spans="1:9" ht="25.5" hidden="1" x14ac:dyDescent="0.25">
      <c r="A59" s="278">
        <v>19</v>
      </c>
      <c r="B59" s="285" t="s">
        <v>315</v>
      </c>
      <c r="C59" s="278" t="s">
        <v>198</v>
      </c>
      <c r="D59" s="278" t="s">
        <v>10</v>
      </c>
      <c r="E59" s="280"/>
      <c r="F59" s="287">
        <v>45286</v>
      </c>
      <c r="G59" s="287">
        <v>45708</v>
      </c>
      <c r="H59" s="291">
        <f t="shared" si="2"/>
        <v>423</v>
      </c>
      <c r="I59" s="289" t="s">
        <v>354</v>
      </c>
    </row>
    <row r="60" spans="1:9" ht="25.5" hidden="1" x14ac:dyDescent="0.25">
      <c r="A60" s="278">
        <v>20</v>
      </c>
      <c r="B60" s="285" t="s">
        <v>316</v>
      </c>
      <c r="C60" s="278" t="s">
        <v>26</v>
      </c>
      <c r="D60" s="278" t="s">
        <v>10</v>
      </c>
      <c r="E60" s="280"/>
      <c r="F60" s="287">
        <v>45286</v>
      </c>
      <c r="G60" s="287">
        <v>45701</v>
      </c>
      <c r="H60" s="291">
        <f t="shared" si="2"/>
        <v>416</v>
      </c>
      <c r="I60" s="289" t="s">
        <v>354</v>
      </c>
    </row>
    <row r="61" spans="1:9" ht="25.5" hidden="1" x14ac:dyDescent="0.25">
      <c r="A61" s="278">
        <v>21</v>
      </c>
      <c r="B61" s="285" t="s">
        <v>317</v>
      </c>
      <c r="C61" s="278" t="s">
        <v>77</v>
      </c>
      <c r="D61" s="278" t="s">
        <v>10</v>
      </c>
      <c r="E61" s="280"/>
      <c r="F61" s="287">
        <v>45286</v>
      </c>
      <c r="G61" s="287">
        <v>45703</v>
      </c>
      <c r="H61" s="291">
        <f t="shared" si="2"/>
        <v>418</v>
      </c>
      <c r="I61" s="289" t="s">
        <v>354</v>
      </c>
    </row>
    <row r="62" spans="1:9" ht="25.5" hidden="1" x14ac:dyDescent="0.25">
      <c r="A62" s="278">
        <v>22</v>
      </c>
      <c r="B62" s="285" t="s">
        <v>318</v>
      </c>
      <c r="C62" s="278" t="s">
        <v>199</v>
      </c>
      <c r="D62" s="278" t="s">
        <v>10</v>
      </c>
      <c r="E62" s="280"/>
      <c r="F62" s="287">
        <v>45286</v>
      </c>
      <c r="G62" s="287">
        <v>45716</v>
      </c>
      <c r="H62" s="291">
        <f t="shared" si="2"/>
        <v>431</v>
      </c>
      <c r="I62" s="289" t="s">
        <v>354</v>
      </c>
    </row>
    <row r="63" spans="1:9" ht="25.5" hidden="1" x14ac:dyDescent="0.25">
      <c r="A63" s="278">
        <v>23</v>
      </c>
      <c r="B63" s="285" t="s">
        <v>319</v>
      </c>
      <c r="C63" s="278" t="s">
        <v>200</v>
      </c>
      <c r="D63" s="278" t="s">
        <v>10</v>
      </c>
      <c r="E63" s="280"/>
      <c r="F63" s="287">
        <v>45286</v>
      </c>
      <c r="G63" s="287">
        <v>45713</v>
      </c>
      <c r="H63" s="291">
        <f t="shared" si="2"/>
        <v>428</v>
      </c>
      <c r="I63" s="289" t="s">
        <v>354</v>
      </c>
    </row>
    <row r="64" spans="1:9" ht="25.5" hidden="1" x14ac:dyDescent="0.25">
      <c r="A64" s="278">
        <v>24</v>
      </c>
      <c r="B64" s="285" t="s">
        <v>320</v>
      </c>
      <c r="C64" s="278" t="s">
        <v>201</v>
      </c>
      <c r="D64" s="278" t="s">
        <v>10</v>
      </c>
      <c r="E64" s="280"/>
      <c r="F64" s="287">
        <v>45286</v>
      </c>
      <c r="G64" s="287">
        <v>45798</v>
      </c>
      <c r="H64" s="291">
        <f t="shared" si="2"/>
        <v>513</v>
      </c>
      <c r="I64" s="289" t="s">
        <v>354</v>
      </c>
    </row>
    <row r="65" spans="1:9" ht="25.5" hidden="1" x14ac:dyDescent="0.25">
      <c r="A65" s="278">
        <v>25</v>
      </c>
      <c r="B65" s="285" t="s">
        <v>321</v>
      </c>
      <c r="C65" s="278" t="s">
        <v>202</v>
      </c>
      <c r="D65" s="278" t="s">
        <v>10</v>
      </c>
      <c r="E65" s="280"/>
      <c r="F65" s="287">
        <v>45286</v>
      </c>
      <c r="G65" s="287">
        <v>45807</v>
      </c>
      <c r="H65" s="291">
        <f t="shared" si="2"/>
        <v>522</v>
      </c>
      <c r="I65" s="289" t="s">
        <v>354</v>
      </c>
    </row>
    <row r="66" spans="1:9" ht="25.5" hidden="1" x14ac:dyDescent="0.25">
      <c r="A66" s="278">
        <v>26</v>
      </c>
      <c r="B66" s="285" t="s">
        <v>322</v>
      </c>
      <c r="C66" s="278" t="s">
        <v>203</v>
      </c>
      <c r="D66" s="278" t="s">
        <v>10</v>
      </c>
      <c r="E66" s="280"/>
      <c r="F66" s="287">
        <v>45286</v>
      </c>
      <c r="G66" s="287">
        <v>45818</v>
      </c>
      <c r="H66" s="291">
        <f t="shared" si="2"/>
        <v>533</v>
      </c>
      <c r="I66" s="289" t="s">
        <v>354</v>
      </c>
    </row>
    <row r="67" spans="1:9" ht="25.5" hidden="1" x14ac:dyDescent="0.25">
      <c r="A67" s="278">
        <v>27</v>
      </c>
      <c r="B67" s="285" t="s">
        <v>323</v>
      </c>
      <c r="C67" s="278" t="s">
        <v>78</v>
      </c>
      <c r="D67" s="278" t="s">
        <v>10</v>
      </c>
      <c r="E67" s="280"/>
      <c r="F67" s="287">
        <v>45286</v>
      </c>
      <c r="G67" s="287">
        <v>45831</v>
      </c>
      <c r="H67" s="291">
        <f t="shared" si="2"/>
        <v>546</v>
      </c>
      <c r="I67" s="289" t="s">
        <v>354</v>
      </c>
    </row>
    <row r="68" spans="1:9" ht="25.5" hidden="1" x14ac:dyDescent="0.25">
      <c r="A68" s="278">
        <v>28</v>
      </c>
      <c r="B68" s="285" t="s">
        <v>324</v>
      </c>
      <c r="C68" s="278" t="s">
        <v>27</v>
      </c>
      <c r="D68" s="278" t="s">
        <v>10</v>
      </c>
      <c r="E68" s="280"/>
      <c r="F68" s="287">
        <v>45286</v>
      </c>
      <c r="G68" s="287">
        <v>45721</v>
      </c>
      <c r="H68" s="291">
        <f t="shared" si="2"/>
        <v>436</v>
      </c>
      <c r="I68" s="289" t="s">
        <v>354</v>
      </c>
    </row>
    <row r="69" spans="1:9" ht="25.5" hidden="1" x14ac:dyDescent="0.25">
      <c r="A69" s="278">
        <v>29</v>
      </c>
      <c r="B69" s="285" t="s">
        <v>325</v>
      </c>
      <c r="C69" s="278" t="s">
        <v>79</v>
      </c>
      <c r="D69" s="278" t="s">
        <v>10</v>
      </c>
      <c r="E69" s="280"/>
      <c r="F69" s="287">
        <v>45286</v>
      </c>
      <c r="G69" s="287">
        <v>45718</v>
      </c>
      <c r="H69" s="291">
        <f t="shared" si="2"/>
        <v>433</v>
      </c>
      <c r="I69" s="289" t="s">
        <v>354</v>
      </c>
    </row>
    <row r="70" spans="1:9" ht="25.5" hidden="1" x14ac:dyDescent="0.25">
      <c r="A70" s="278">
        <v>30</v>
      </c>
      <c r="B70" s="285" t="s">
        <v>326</v>
      </c>
      <c r="C70" s="278" t="s">
        <v>80</v>
      </c>
      <c r="D70" s="278" t="s">
        <v>10</v>
      </c>
      <c r="E70" s="280"/>
      <c r="F70" s="287">
        <v>45286</v>
      </c>
      <c r="G70" s="287">
        <v>45714</v>
      </c>
      <c r="H70" s="291">
        <f t="shared" si="2"/>
        <v>429</v>
      </c>
      <c r="I70" s="289" t="s">
        <v>354</v>
      </c>
    </row>
    <row r="71" spans="1:9" hidden="1" x14ac:dyDescent="0.25">
      <c r="A71" s="278">
        <v>31</v>
      </c>
      <c r="B71" s="285" t="s">
        <v>1209</v>
      </c>
      <c r="C71" s="278" t="s">
        <v>767</v>
      </c>
      <c r="D71" s="278" t="s">
        <v>10</v>
      </c>
      <c r="E71" s="280"/>
      <c r="F71" s="287">
        <v>45302</v>
      </c>
      <c r="G71" s="287">
        <v>45306</v>
      </c>
      <c r="H71" s="291">
        <f t="shared" si="2"/>
        <v>5</v>
      </c>
      <c r="I71" s="289"/>
    </row>
    <row r="72" spans="1:9" hidden="1" x14ac:dyDescent="0.25">
      <c r="A72" s="278">
        <v>32</v>
      </c>
      <c r="B72" s="285" t="s">
        <v>1209</v>
      </c>
      <c r="C72" s="278" t="s">
        <v>768</v>
      </c>
      <c r="D72" s="278" t="s">
        <v>10</v>
      </c>
      <c r="E72" s="280"/>
      <c r="F72" s="287">
        <v>45302</v>
      </c>
      <c r="G72" s="287">
        <v>45306</v>
      </c>
      <c r="H72" s="291">
        <f t="shared" si="2"/>
        <v>5</v>
      </c>
      <c r="I72" s="289"/>
    </row>
    <row r="73" spans="1:9" hidden="1" x14ac:dyDescent="0.25">
      <c r="A73" s="278">
        <v>33</v>
      </c>
      <c r="B73" s="285" t="s">
        <v>1209</v>
      </c>
      <c r="C73" s="278" t="s">
        <v>771</v>
      </c>
      <c r="D73" s="278" t="s">
        <v>10</v>
      </c>
      <c r="E73" s="280"/>
      <c r="F73" s="287">
        <v>45302</v>
      </c>
      <c r="G73" s="287">
        <v>45304</v>
      </c>
      <c r="H73" s="291">
        <f t="shared" si="2"/>
        <v>3</v>
      </c>
      <c r="I73" s="289"/>
    </row>
    <row r="74" spans="1:9" hidden="1" x14ac:dyDescent="0.25">
      <c r="A74" s="278">
        <v>34</v>
      </c>
      <c r="B74" s="285" t="s">
        <v>1209</v>
      </c>
      <c r="C74" s="278" t="s">
        <v>772</v>
      </c>
      <c r="D74" s="278" t="s">
        <v>10</v>
      </c>
      <c r="E74" s="280"/>
      <c r="F74" s="287">
        <v>45302</v>
      </c>
      <c r="G74" s="287">
        <v>45304</v>
      </c>
      <c r="H74" s="291">
        <f t="shared" si="2"/>
        <v>3</v>
      </c>
      <c r="I74" s="289"/>
    </row>
    <row r="75" spans="1:9" hidden="1" x14ac:dyDescent="0.25">
      <c r="A75" s="278">
        <v>35</v>
      </c>
      <c r="B75" s="285" t="s">
        <v>1209</v>
      </c>
      <c r="C75" s="278" t="s">
        <v>779</v>
      </c>
      <c r="D75" s="278" t="s">
        <v>10</v>
      </c>
      <c r="E75" s="280"/>
      <c r="F75" s="287">
        <v>45304</v>
      </c>
      <c r="G75" s="287">
        <v>45310</v>
      </c>
      <c r="H75" s="291">
        <f t="shared" si="2"/>
        <v>7</v>
      </c>
      <c r="I75" s="289"/>
    </row>
    <row r="76" spans="1:9" ht="25.5" hidden="1" x14ac:dyDescent="0.25">
      <c r="A76" s="278">
        <v>36</v>
      </c>
      <c r="B76" s="285" t="s">
        <v>353</v>
      </c>
      <c r="C76" s="286" t="s">
        <v>61</v>
      </c>
      <c r="D76" s="278" t="s">
        <v>10</v>
      </c>
      <c r="E76" s="280"/>
      <c r="F76" s="287">
        <v>45311</v>
      </c>
      <c r="G76" s="287">
        <v>45314</v>
      </c>
      <c r="H76" s="291">
        <f t="shared" si="2"/>
        <v>4</v>
      </c>
      <c r="I76" s="289" t="s">
        <v>356</v>
      </c>
    </row>
    <row r="77" spans="1:9" ht="38.25" hidden="1" x14ac:dyDescent="0.25">
      <c r="A77" s="278">
        <v>37</v>
      </c>
      <c r="B77" s="285" t="s">
        <v>358</v>
      </c>
      <c r="C77" s="286" t="s">
        <v>72</v>
      </c>
      <c r="D77" s="278" t="s">
        <v>10</v>
      </c>
      <c r="E77" s="280" t="s">
        <v>253</v>
      </c>
      <c r="F77" s="287">
        <v>45319</v>
      </c>
      <c r="G77" s="287">
        <v>45334</v>
      </c>
      <c r="H77" s="291">
        <f t="shared" si="2"/>
        <v>16</v>
      </c>
      <c r="I77" s="289" t="s">
        <v>372</v>
      </c>
    </row>
    <row r="78" spans="1:9" hidden="1" x14ac:dyDescent="0.25">
      <c r="A78" s="278">
        <v>38</v>
      </c>
      <c r="B78" s="285" t="s">
        <v>1210</v>
      </c>
      <c r="C78" s="286" t="s">
        <v>819</v>
      </c>
      <c r="D78" s="278" t="s">
        <v>10</v>
      </c>
      <c r="E78" s="280"/>
      <c r="F78" s="287">
        <v>45323</v>
      </c>
      <c r="G78" s="287">
        <v>45329</v>
      </c>
      <c r="H78" s="291">
        <f t="shared" si="2"/>
        <v>7</v>
      </c>
      <c r="I78" s="289"/>
    </row>
    <row r="79" spans="1:9" ht="38.25" hidden="1" x14ac:dyDescent="0.25">
      <c r="A79" s="278">
        <v>39</v>
      </c>
      <c r="B79" s="285" t="s">
        <v>363</v>
      </c>
      <c r="C79" s="286" t="s">
        <v>68</v>
      </c>
      <c r="D79" s="278" t="s">
        <v>10</v>
      </c>
      <c r="E79" s="280" t="s">
        <v>360</v>
      </c>
      <c r="F79" s="287">
        <v>45324</v>
      </c>
      <c r="G79" s="287">
        <v>45356</v>
      </c>
      <c r="H79" s="291">
        <f t="shared" si="2"/>
        <v>33</v>
      </c>
      <c r="I79" s="289" t="s">
        <v>381</v>
      </c>
    </row>
    <row r="80" spans="1:9" ht="38.25" hidden="1" x14ac:dyDescent="0.25">
      <c r="A80" s="278">
        <v>40</v>
      </c>
      <c r="B80" s="285" t="s">
        <v>366</v>
      </c>
      <c r="C80" s="286" t="s">
        <v>69</v>
      </c>
      <c r="D80" s="278" t="s">
        <v>10</v>
      </c>
      <c r="E80" s="280" t="s">
        <v>360</v>
      </c>
      <c r="F80" s="287">
        <v>45330</v>
      </c>
      <c r="G80" s="287">
        <v>45419</v>
      </c>
      <c r="H80" s="291">
        <f t="shared" si="2"/>
        <v>90</v>
      </c>
      <c r="I80" s="289"/>
    </row>
    <row r="81" spans="1:9" ht="38.25" hidden="1" x14ac:dyDescent="0.25">
      <c r="A81" s="278">
        <v>41</v>
      </c>
      <c r="B81" s="285" t="s">
        <v>367</v>
      </c>
      <c r="C81" s="286" t="s">
        <v>186</v>
      </c>
      <c r="D81" s="278" t="s">
        <v>10</v>
      </c>
      <c r="E81" s="280" t="s">
        <v>360</v>
      </c>
      <c r="F81" s="287">
        <v>45330</v>
      </c>
      <c r="G81" s="287">
        <v>45795</v>
      </c>
      <c r="H81" s="291">
        <f t="shared" si="2"/>
        <v>466</v>
      </c>
      <c r="I81" s="289"/>
    </row>
    <row r="82" spans="1:9" hidden="1" x14ac:dyDescent="0.25">
      <c r="A82" s="278">
        <v>42</v>
      </c>
      <c r="B82" s="285" t="s">
        <v>368</v>
      </c>
      <c r="C82" s="286" t="s">
        <v>81</v>
      </c>
      <c r="D82" s="278" t="s">
        <v>10</v>
      </c>
      <c r="E82" s="280"/>
      <c r="F82" s="287">
        <v>45330</v>
      </c>
      <c r="G82" s="287">
        <v>45716</v>
      </c>
      <c r="H82" s="291">
        <f t="shared" si="2"/>
        <v>387</v>
      </c>
      <c r="I82" s="289"/>
    </row>
    <row r="83" spans="1:9" ht="25.5" hidden="1" x14ac:dyDescent="0.25">
      <c r="A83" s="278">
        <v>43</v>
      </c>
      <c r="B83" s="285" t="s">
        <v>365</v>
      </c>
      <c r="C83" s="278" t="s">
        <v>82</v>
      </c>
      <c r="D83" s="278" t="s">
        <v>10</v>
      </c>
      <c r="E83" s="280"/>
      <c r="F83" s="287">
        <v>45330</v>
      </c>
      <c r="G83" s="287">
        <v>45695</v>
      </c>
      <c r="H83" s="291">
        <f t="shared" si="2"/>
        <v>366</v>
      </c>
      <c r="I83" s="289"/>
    </row>
    <row r="84" spans="1:9" ht="25.5" hidden="1" x14ac:dyDescent="0.25">
      <c r="A84" s="278">
        <v>44</v>
      </c>
      <c r="B84" s="285" t="s">
        <v>365</v>
      </c>
      <c r="C84" s="278" t="s">
        <v>204</v>
      </c>
      <c r="D84" s="278" t="s">
        <v>10</v>
      </c>
      <c r="E84" s="280"/>
      <c r="F84" s="287">
        <v>45330</v>
      </c>
      <c r="G84" s="287">
        <v>45691</v>
      </c>
      <c r="H84" s="291">
        <f t="shared" si="2"/>
        <v>362</v>
      </c>
      <c r="I84" s="289"/>
    </row>
    <row r="85" spans="1:9" ht="25.5" hidden="1" x14ac:dyDescent="0.25">
      <c r="A85" s="278">
        <v>45</v>
      </c>
      <c r="B85" s="285" t="s">
        <v>365</v>
      </c>
      <c r="C85" s="278" t="s">
        <v>205</v>
      </c>
      <c r="D85" s="278" t="s">
        <v>10</v>
      </c>
      <c r="E85" s="280"/>
      <c r="F85" s="287">
        <v>45330</v>
      </c>
      <c r="G85" s="287">
        <v>45691</v>
      </c>
      <c r="H85" s="291">
        <f t="shared" si="2"/>
        <v>362</v>
      </c>
      <c r="I85" s="289"/>
    </row>
    <row r="86" spans="1:9" ht="25.5" hidden="1" x14ac:dyDescent="0.25">
      <c r="A86" s="278">
        <v>46</v>
      </c>
      <c r="B86" s="285" t="s">
        <v>365</v>
      </c>
      <c r="C86" s="278" t="s">
        <v>83</v>
      </c>
      <c r="D86" s="278" t="s">
        <v>10</v>
      </c>
      <c r="E86" s="280"/>
      <c r="F86" s="287">
        <v>45330</v>
      </c>
      <c r="G86" s="287">
        <v>45700</v>
      </c>
      <c r="H86" s="291">
        <f t="shared" si="2"/>
        <v>371</v>
      </c>
      <c r="I86" s="289"/>
    </row>
    <row r="87" spans="1:9" ht="25.5" hidden="1" x14ac:dyDescent="0.25">
      <c r="A87" s="278">
        <v>47</v>
      </c>
      <c r="B87" s="285" t="s">
        <v>365</v>
      </c>
      <c r="C87" s="278" t="s">
        <v>230</v>
      </c>
      <c r="D87" s="278" t="s">
        <v>10</v>
      </c>
      <c r="E87" s="280"/>
      <c r="F87" s="287">
        <v>45330</v>
      </c>
      <c r="G87" s="287">
        <v>45688</v>
      </c>
      <c r="H87" s="291">
        <f t="shared" si="2"/>
        <v>359</v>
      </c>
      <c r="I87" s="289"/>
    </row>
    <row r="88" spans="1:9" ht="25.5" hidden="1" x14ac:dyDescent="0.25">
      <c r="A88" s="278">
        <v>48</v>
      </c>
      <c r="B88" s="285" t="s">
        <v>365</v>
      </c>
      <c r="C88" s="278" t="s">
        <v>84</v>
      </c>
      <c r="D88" s="278" t="s">
        <v>10</v>
      </c>
      <c r="E88" s="280"/>
      <c r="F88" s="287">
        <v>45330</v>
      </c>
      <c r="G88" s="287">
        <v>45684</v>
      </c>
      <c r="H88" s="291">
        <f t="shared" si="2"/>
        <v>355</v>
      </c>
      <c r="I88" s="289"/>
    </row>
    <row r="89" spans="1:9" ht="25.5" hidden="1" x14ac:dyDescent="0.25">
      <c r="A89" s="278">
        <v>49</v>
      </c>
      <c r="B89" s="285" t="s">
        <v>365</v>
      </c>
      <c r="C89" s="278" t="s">
        <v>206</v>
      </c>
      <c r="D89" s="278" t="s">
        <v>10</v>
      </c>
      <c r="E89" s="280"/>
      <c r="F89" s="287">
        <v>45330</v>
      </c>
      <c r="G89" s="287">
        <v>45662</v>
      </c>
      <c r="H89" s="291">
        <f t="shared" si="2"/>
        <v>333</v>
      </c>
      <c r="I89" s="289"/>
    </row>
    <row r="90" spans="1:9" ht="25.5" hidden="1" x14ac:dyDescent="0.25">
      <c r="A90" s="278">
        <v>50</v>
      </c>
      <c r="B90" s="285" t="s">
        <v>365</v>
      </c>
      <c r="C90" s="278" t="s">
        <v>207</v>
      </c>
      <c r="D90" s="278" t="s">
        <v>10</v>
      </c>
      <c r="E90" s="280"/>
      <c r="F90" s="287">
        <v>45330</v>
      </c>
      <c r="G90" s="287">
        <v>45673</v>
      </c>
      <c r="H90" s="291">
        <f t="shared" si="2"/>
        <v>344</v>
      </c>
      <c r="I90" s="289"/>
    </row>
    <row r="91" spans="1:9" ht="25.5" hidden="1" x14ac:dyDescent="0.25">
      <c r="A91" s="278">
        <v>51</v>
      </c>
      <c r="B91" s="285" t="s">
        <v>365</v>
      </c>
      <c r="C91" s="278" t="s">
        <v>208</v>
      </c>
      <c r="D91" s="278" t="s">
        <v>10</v>
      </c>
      <c r="E91" s="280"/>
      <c r="F91" s="287">
        <v>45330</v>
      </c>
      <c r="G91" s="287">
        <v>45336</v>
      </c>
      <c r="H91" s="291">
        <f t="shared" si="2"/>
        <v>7</v>
      </c>
      <c r="I91" s="289" t="s">
        <v>376</v>
      </c>
    </row>
    <row r="92" spans="1:9" ht="25.5" hidden="1" x14ac:dyDescent="0.25">
      <c r="A92" s="278">
        <v>52</v>
      </c>
      <c r="B92" s="285" t="s">
        <v>365</v>
      </c>
      <c r="C92" s="278" t="s">
        <v>209</v>
      </c>
      <c r="D92" s="278" t="s">
        <v>10</v>
      </c>
      <c r="E92" s="280"/>
      <c r="F92" s="287">
        <v>45330</v>
      </c>
      <c r="G92" s="287">
        <v>45703</v>
      </c>
      <c r="H92" s="291">
        <f t="shared" si="2"/>
        <v>374</v>
      </c>
      <c r="I92" s="289"/>
    </row>
    <row r="93" spans="1:9" ht="25.5" hidden="1" x14ac:dyDescent="0.25">
      <c r="A93" s="278">
        <v>53</v>
      </c>
      <c r="B93" s="285" t="s">
        <v>365</v>
      </c>
      <c r="C93" s="278" t="s">
        <v>29</v>
      </c>
      <c r="D93" s="278" t="s">
        <v>10</v>
      </c>
      <c r="E93" s="280"/>
      <c r="F93" s="287">
        <v>45330</v>
      </c>
      <c r="G93" s="287">
        <v>45659</v>
      </c>
      <c r="H93" s="291">
        <f t="shared" si="2"/>
        <v>330</v>
      </c>
      <c r="I93" s="289"/>
    </row>
    <row r="94" spans="1:9" ht="25.5" hidden="1" x14ac:dyDescent="0.25">
      <c r="A94" s="278">
        <v>54</v>
      </c>
      <c r="B94" s="285" t="s">
        <v>365</v>
      </c>
      <c r="C94" s="278" t="s">
        <v>210</v>
      </c>
      <c r="D94" s="278" t="s">
        <v>10</v>
      </c>
      <c r="E94" s="280"/>
      <c r="F94" s="287">
        <v>45330</v>
      </c>
      <c r="G94" s="287">
        <v>45736</v>
      </c>
      <c r="H94" s="291">
        <f t="shared" si="2"/>
        <v>407</v>
      </c>
      <c r="I94" s="289"/>
    </row>
    <row r="95" spans="1:9" ht="25.5" hidden="1" x14ac:dyDescent="0.25">
      <c r="A95" s="278">
        <v>55</v>
      </c>
      <c r="B95" s="285" t="s">
        <v>365</v>
      </c>
      <c r="C95" s="278" t="s">
        <v>211</v>
      </c>
      <c r="D95" s="278" t="s">
        <v>10</v>
      </c>
      <c r="E95" s="280"/>
      <c r="F95" s="287">
        <v>45330</v>
      </c>
      <c r="G95" s="287">
        <v>45660</v>
      </c>
      <c r="H95" s="291">
        <f t="shared" si="2"/>
        <v>331</v>
      </c>
      <c r="I95" s="289"/>
    </row>
    <row r="96" spans="1:9" ht="38.25" hidden="1" x14ac:dyDescent="0.25">
      <c r="A96" s="278">
        <v>56</v>
      </c>
      <c r="B96" s="285" t="s">
        <v>365</v>
      </c>
      <c r="C96" s="278" t="s">
        <v>212</v>
      </c>
      <c r="D96" s="278" t="s">
        <v>10</v>
      </c>
      <c r="E96" s="280"/>
      <c r="F96" s="287">
        <v>45330</v>
      </c>
      <c r="G96" s="287">
        <v>45687</v>
      </c>
      <c r="H96" s="291">
        <f t="shared" si="2"/>
        <v>358</v>
      </c>
      <c r="I96" s="289" t="s">
        <v>663</v>
      </c>
    </row>
    <row r="97" spans="1:9" ht="25.5" hidden="1" x14ac:dyDescent="0.25">
      <c r="A97" s="278">
        <v>57</v>
      </c>
      <c r="B97" s="285" t="s">
        <v>365</v>
      </c>
      <c r="C97" s="278" t="s">
        <v>213</v>
      </c>
      <c r="D97" s="278" t="s">
        <v>10</v>
      </c>
      <c r="E97" s="280"/>
      <c r="F97" s="287">
        <v>45330</v>
      </c>
      <c r="G97" s="287">
        <v>45334</v>
      </c>
      <c r="H97" s="291">
        <f t="shared" si="2"/>
        <v>5</v>
      </c>
      <c r="I97" s="289" t="s">
        <v>371</v>
      </c>
    </row>
    <row r="98" spans="1:9" ht="25.5" hidden="1" x14ac:dyDescent="0.25">
      <c r="A98" s="278">
        <v>58</v>
      </c>
      <c r="B98" s="285" t="s">
        <v>365</v>
      </c>
      <c r="C98" s="278" t="s">
        <v>214</v>
      </c>
      <c r="D98" s="278" t="s">
        <v>10</v>
      </c>
      <c r="E98" s="280"/>
      <c r="F98" s="287">
        <v>45330</v>
      </c>
      <c r="G98" s="287">
        <v>45684</v>
      </c>
      <c r="H98" s="291">
        <f t="shared" si="2"/>
        <v>355</v>
      </c>
      <c r="I98" s="289"/>
    </row>
    <row r="99" spans="1:9" ht="25.5" hidden="1" x14ac:dyDescent="0.25">
      <c r="A99" s="278">
        <v>59</v>
      </c>
      <c r="B99" s="285" t="s">
        <v>365</v>
      </c>
      <c r="C99" s="278" t="s">
        <v>30</v>
      </c>
      <c r="D99" s="278" t="s">
        <v>10</v>
      </c>
      <c r="E99" s="280"/>
      <c r="F99" s="287">
        <v>45330</v>
      </c>
      <c r="G99" s="287">
        <v>45334</v>
      </c>
      <c r="H99" s="291">
        <f t="shared" si="2"/>
        <v>5</v>
      </c>
      <c r="I99" s="289" t="s">
        <v>371</v>
      </c>
    </row>
    <row r="100" spans="1:9" ht="25.5" hidden="1" x14ac:dyDescent="0.25">
      <c r="A100" s="278">
        <v>60</v>
      </c>
      <c r="B100" s="285" t="s">
        <v>365</v>
      </c>
      <c r="C100" s="278" t="s">
        <v>86</v>
      </c>
      <c r="D100" s="278" t="s">
        <v>10</v>
      </c>
      <c r="E100" s="280"/>
      <c r="F100" s="287">
        <v>45330</v>
      </c>
      <c r="G100" s="287">
        <v>45808</v>
      </c>
      <c r="H100" s="291">
        <f t="shared" si="2"/>
        <v>479</v>
      </c>
      <c r="I100" s="289"/>
    </row>
    <row r="101" spans="1:9" ht="25.5" hidden="1" x14ac:dyDescent="0.25">
      <c r="A101" s="278">
        <v>61</v>
      </c>
      <c r="B101" s="285" t="s">
        <v>365</v>
      </c>
      <c r="C101" s="278" t="s">
        <v>87</v>
      </c>
      <c r="D101" s="278" t="s">
        <v>10</v>
      </c>
      <c r="E101" s="280"/>
      <c r="F101" s="287">
        <v>45330</v>
      </c>
      <c r="G101" s="287">
        <v>45808</v>
      </c>
      <c r="H101" s="291">
        <f t="shared" si="2"/>
        <v>479</v>
      </c>
      <c r="I101" s="289"/>
    </row>
    <row r="102" spans="1:9" ht="25.5" hidden="1" x14ac:dyDescent="0.25">
      <c r="A102" s="278">
        <v>62</v>
      </c>
      <c r="B102" s="285" t="s">
        <v>365</v>
      </c>
      <c r="C102" s="278" t="s">
        <v>215</v>
      </c>
      <c r="D102" s="278" t="s">
        <v>10</v>
      </c>
      <c r="E102" s="280"/>
      <c r="F102" s="287">
        <v>45330</v>
      </c>
      <c r="G102" s="287">
        <v>45808</v>
      </c>
      <c r="H102" s="291">
        <f t="shared" si="2"/>
        <v>479</v>
      </c>
      <c r="I102" s="289"/>
    </row>
    <row r="103" spans="1:9" ht="38.25" hidden="1" x14ac:dyDescent="0.25">
      <c r="A103" s="278">
        <v>63</v>
      </c>
      <c r="B103" s="285" t="s">
        <v>378</v>
      </c>
      <c r="C103" s="278" t="s">
        <v>184</v>
      </c>
      <c r="D103" s="278" t="s">
        <v>10</v>
      </c>
      <c r="E103" s="280" t="s">
        <v>250</v>
      </c>
      <c r="F103" s="287">
        <v>45341</v>
      </c>
      <c r="G103" s="287">
        <v>45656</v>
      </c>
      <c r="H103" s="291">
        <f t="shared" si="2"/>
        <v>316</v>
      </c>
      <c r="I103" s="289" t="s">
        <v>380</v>
      </c>
    </row>
    <row r="104" spans="1:9" ht="38.25" hidden="1" x14ac:dyDescent="0.25">
      <c r="A104" s="278">
        <v>64</v>
      </c>
      <c r="B104" s="285" t="s">
        <v>374</v>
      </c>
      <c r="C104" s="278" t="s">
        <v>185</v>
      </c>
      <c r="D104" s="278" t="s">
        <v>10</v>
      </c>
      <c r="E104" s="280" t="s">
        <v>250</v>
      </c>
      <c r="F104" s="287">
        <v>45341</v>
      </c>
      <c r="G104" s="287">
        <v>45958</v>
      </c>
      <c r="H104" s="291">
        <f t="shared" si="2"/>
        <v>618</v>
      </c>
      <c r="I104" s="289" t="s">
        <v>1613</v>
      </c>
    </row>
    <row r="105" spans="1:9" ht="153" hidden="1" x14ac:dyDescent="0.25">
      <c r="A105" s="278">
        <v>65</v>
      </c>
      <c r="B105" s="285" t="s">
        <v>386</v>
      </c>
      <c r="C105" s="278" t="s">
        <v>50</v>
      </c>
      <c r="D105" s="278" t="s">
        <v>10</v>
      </c>
      <c r="E105" s="280"/>
      <c r="F105" s="287">
        <v>45340</v>
      </c>
      <c r="G105" s="287">
        <v>45968</v>
      </c>
      <c r="H105" s="291">
        <f t="shared" si="2"/>
        <v>629</v>
      </c>
      <c r="I105" s="289" t="s">
        <v>1622</v>
      </c>
    </row>
    <row r="106" spans="1:9" hidden="1" x14ac:dyDescent="0.25">
      <c r="A106" s="278">
        <v>66</v>
      </c>
      <c r="B106" s="285" t="s">
        <v>1210</v>
      </c>
      <c r="C106" s="278" t="s">
        <v>789</v>
      </c>
      <c r="D106" s="278" t="s">
        <v>10</v>
      </c>
      <c r="E106" s="280"/>
      <c r="F106" s="287">
        <v>45341</v>
      </c>
      <c r="G106" s="287">
        <v>45351</v>
      </c>
      <c r="H106" s="291">
        <f t="shared" ref="H106:H169" si="3">+IF(G106="","Awaited",_xlfn.DAYS(G106,F106)+1)</f>
        <v>11</v>
      </c>
      <c r="I106" s="289"/>
    </row>
    <row r="107" spans="1:9" hidden="1" x14ac:dyDescent="0.25">
      <c r="A107" s="278">
        <v>67</v>
      </c>
      <c r="B107" s="285" t="s">
        <v>1210</v>
      </c>
      <c r="C107" s="278" t="s">
        <v>783</v>
      </c>
      <c r="D107" s="278" t="s">
        <v>10</v>
      </c>
      <c r="E107" s="280"/>
      <c r="F107" s="287">
        <v>45341</v>
      </c>
      <c r="G107" s="287">
        <v>45351</v>
      </c>
      <c r="H107" s="291">
        <f t="shared" si="3"/>
        <v>11</v>
      </c>
      <c r="I107" s="289"/>
    </row>
    <row r="108" spans="1:9" hidden="1" x14ac:dyDescent="0.25">
      <c r="A108" s="278">
        <v>68</v>
      </c>
      <c r="B108" s="285" t="s">
        <v>1209</v>
      </c>
      <c r="C108" s="278" t="s">
        <v>99</v>
      </c>
      <c r="D108" s="278" t="s">
        <v>10</v>
      </c>
      <c r="E108" s="280"/>
      <c r="F108" s="287">
        <v>45341</v>
      </c>
      <c r="G108" s="287">
        <v>45351</v>
      </c>
      <c r="H108" s="291">
        <f t="shared" si="3"/>
        <v>11</v>
      </c>
      <c r="I108" s="289"/>
    </row>
    <row r="109" spans="1:9" ht="25.5" hidden="1" x14ac:dyDescent="0.25">
      <c r="A109" s="278">
        <v>69</v>
      </c>
      <c r="B109" s="285" t="s">
        <v>382</v>
      </c>
      <c r="C109" s="278" t="s">
        <v>176</v>
      </c>
      <c r="D109" s="278" t="s">
        <v>10</v>
      </c>
      <c r="E109" s="280"/>
      <c r="F109" s="287">
        <v>45344</v>
      </c>
      <c r="G109" s="287">
        <v>45790</v>
      </c>
      <c r="H109" s="291">
        <f t="shared" si="3"/>
        <v>447</v>
      </c>
      <c r="I109" s="289" t="s">
        <v>383</v>
      </c>
    </row>
    <row r="110" spans="1:9" ht="76.5" hidden="1" x14ac:dyDescent="0.25">
      <c r="A110" s="278">
        <v>70</v>
      </c>
      <c r="B110" s="285" t="s">
        <v>387</v>
      </c>
      <c r="C110" s="278"/>
      <c r="D110" s="278" t="s">
        <v>10</v>
      </c>
      <c r="E110" s="280" t="s">
        <v>253</v>
      </c>
      <c r="F110" s="287">
        <v>45347</v>
      </c>
      <c r="G110" s="287">
        <v>45348</v>
      </c>
      <c r="H110" s="291">
        <f t="shared" si="3"/>
        <v>2</v>
      </c>
      <c r="I110" s="289" t="s">
        <v>384</v>
      </c>
    </row>
    <row r="111" spans="1:9" ht="51" hidden="1" x14ac:dyDescent="0.25">
      <c r="A111" s="278">
        <v>71</v>
      </c>
      <c r="B111" s="285" t="s">
        <v>385</v>
      </c>
      <c r="C111" s="278" t="s">
        <v>183</v>
      </c>
      <c r="D111" s="278" t="s">
        <v>10</v>
      </c>
      <c r="E111" s="280" t="s">
        <v>379</v>
      </c>
      <c r="F111" s="287">
        <v>45347</v>
      </c>
      <c r="G111" s="287">
        <v>45348</v>
      </c>
      <c r="H111" s="291">
        <f t="shared" si="3"/>
        <v>2</v>
      </c>
      <c r="I111" s="289" t="s">
        <v>384</v>
      </c>
    </row>
    <row r="112" spans="1:9" ht="38.25" hidden="1" x14ac:dyDescent="0.25">
      <c r="A112" s="278">
        <v>72</v>
      </c>
      <c r="B112" s="285" t="s">
        <v>389</v>
      </c>
      <c r="C112" s="278" t="s">
        <v>183</v>
      </c>
      <c r="D112" s="278" t="s">
        <v>10</v>
      </c>
      <c r="E112" s="280" t="s">
        <v>250</v>
      </c>
      <c r="F112" s="287">
        <v>45352</v>
      </c>
      <c r="G112" s="287">
        <v>45355</v>
      </c>
      <c r="H112" s="291">
        <f t="shared" si="3"/>
        <v>4</v>
      </c>
      <c r="I112" s="289" t="s">
        <v>390</v>
      </c>
    </row>
    <row r="113" spans="1:9" ht="38.25" hidden="1" x14ac:dyDescent="0.25">
      <c r="A113" s="278">
        <v>73</v>
      </c>
      <c r="B113" s="285" t="s">
        <v>391</v>
      </c>
      <c r="C113" s="278" t="s">
        <v>51</v>
      </c>
      <c r="D113" s="278" t="s">
        <v>10</v>
      </c>
      <c r="E113" s="280" t="s">
        <v>377</v>
      </c>
      <c r="F113" s="287">
        <v>45353</v>
      </c>
      <c r="G113" s="287">
        <v>45354</v>
      </c>
      <c r="H113" s="291">
        <f t="shared" si="3"/>
        <v>2</v>
      </c>
      <c r="I113" s="289" t="s">
        <v>390</v>
      </c>
    </row>
    <row r="114" spans="1:9" hidden="1" x14ac:dyDescent="0.25">
      <c r="A114" s="278">
        <v>74</v>
      </c>
      <c r="B114" s="285" t="s">
        <v>1209</v>
      </c>
      <c r="C114" s="278" t="s">
        <v>730</v>
      </c>
      <c r="D114" s="278" t="s">
        <v>10</v>
      </c>
      <c r="E114" s="280"/>
      <c r="F114" s="287">
        <v>45357</v>
      </c>
      <c r="G114" s="287">
        <v>45436</v>
      </c>
      <c r="H114" s="291">
        <f t="shared" si="3"/>
        <v>80</v>
      </c>
      <c r="I114" s="289"/>
    </row>
    <row r="115" spans="1:9" hidden="1" x14ac:dyDescent="0.25">
      <c r="A115" s="278">
        <v>75</v>
      </c>
      <c r="B115" s="285" t="s">
        <v>1209</v>
      </c>
      <c r="C115" s="278" t="s">
        <v>731</v>
      </c>
      <c r="D115" s="278" t="s">
        <v>10</v>
      </c>
      <c r="E115" s="280"/>
      <c r="F115" s="287">
        <v>45357</v>
      </c>
      <c r="G115" s="287">
        <v>45386</v>
      </c>
      <c r="H115" s="291">
        <f t="shared" si="3"/>
        <v>30</v>
      </c>
      <c r="I115" s="289"/>
    </row>
    <row r="116" spans="1:9" hidden="1" x14ac:dyDescent="0.25">
      <c r="A116" s="278">
        <v>76</v>
      </c>
      <c r="B116" s="285" t="s">
        <v>1209</v>
      </c>
      <c r="C116" s="278" t="s">
        <v>732</v>
      </c>
      <c r="D116" s="278" t="s">
        <v>10</v>
      </c>
      <c r="E116" s="280"/>
      <c r="F116" s="287">
        <v>45357</v>
      </c>
      <c r="G116" s="287">
        <v>45386</v>
      </c>
      <c r="H116" s="291">
        <f t="shared" si="3"/>
        <v>30</v>
      </c>
      <c r="I116" s="289"/>
    </row>
    <row r="117" spans="1:9" hidden="1" x14ac:dyDescent="0.25">
      <c r="A117" s="278">
        <v>77</v>
      </c>
      <c r="B117" s="285" t="s">
        <v>1209</v>
      </c>
      <c r="C117" s="278" t="s">
        <v>733</v>
      </c>
      <c r="D117" s="278" t="s">
        <v>10</v>
      </c>
      <c r="E117" s="280"/>
      <c r="F117" s="287">
        <v>45357</v>
      </c>
      <c r="G117" s="287">
        <v>45436</v>
      </c>
      <c r="H117" s="291">
        <f t="shared" si="3"/>
        <v>80</v>
      </c>
      <c r="I117" s="289"/>
    </row>
    <row r="118" spans="1:9" hidden="1" x14ac:dyDescent="0.25">
      <c r="A118" s="278">
        <v>78</v>
      </c>
      <c r="B118" s="285" t="s">
        <v>1209</v>
      </c>
      <c r="C118" s="278" t="s">
        <v>734</v>
      </c>
      <c r="D118" s="278" t="s">
        <v>10</v>
      </c>
      <c r="E118" s="280"/>
      <c r="F118" s="287">
        <v>45357</v>
      </c>
      <c r="G118" s="287">
        <v>45436</v>
      </c>
      <c r="H118" s="291">
        <f t="shared" si="3"/>
        <v>80</v>
      </c>
      <c r="I118" s="289"/>
    </row>
    <row r="119" spans="1:9" hidden="1" x14ac:dyDescent="0.25">
      <c r="A119" s="278">
        <v>79</v>
      </c>
      <c r="B119" s="285" t="s">
        <v>1209</v>
      </c>
      <c r="C119" s="278" t="s">
        <v>735</v>
      </c>
      <c r="D119" s="278" t="s">
        <v>10</v>
      </c>
      <c r="E119" s="280"/>
      <c r="F119" s="287">
        <v>45357</v>
      </c>
      <c r="G119" s="287">
        <v>45436</v>
      </c>
      <c r="H119" s="291">
        <f t="shared" si="3"/>
        <v>80</v>
      </c>
      <c r="I119" s="289"/>
    </row>
    <row r="120" spans="1:9" ht="76.5" x14ac:dyDescent="0.25">
      <c r="A120" s="278">
        <v>80</v>
      </c>
      <c r="B120" s="285" t="s">
        <v>393</v>
      </c>
      <c r="C120" s="278" t="s">
        <v>153</v>
      </c>
      <c r="D120" s="278" t="s">
        <v>10</v>
      </c>
      <c r="E120" s="280" t="s">
        <v>622</v>
      </c>
      <c r="F120" s="287">
        <v>45429</v>
      </c>
      <c r="G120" s="287"/>
      <c r="H120" s="291" t="str">
        <f t="shared" si="3"/>
        <v>Awaited</v>
      </c>
      <c r="I120" s="289" t="s">
        <v>621</v>
      </c>
    </row>
    <row r="121" spans="1:9" ht="51" hidden="1" x14ac:dyDescent="0.25">
      <c r="A121" s="278">
        <v>81</v>
      </c>
      <c r="B121" s="285" t="s">
        <v>397</v>
      </c>
      <c r="C121" s="286" t="s">
        <v>165</v>
      </c>
      <c r="D121" s="278" t="s">
        <v>10</v>
      </c>
      <c r="E121" s="280" t="s">
        <v>392</v>
      </c>
      <c r="F121" s="287">
        <v>45416</v>
      </c>
      <c r="G121" s="287">
        <v>45416</v>
      </c>
      <c r="H121" s="291">
        <f t="shared" si="3"/>
        <v>1</v>
      </c>
      <c r="I121" s="289"/>
    </row>
    <row r="122" spans="1:9" ht="51" hidden="1" x14ac:dyDescent="0.25">
      <c r="A122" s="278">
        <v>82</v>
      </c>
      <c r="B122" s="285" t="s">
        <v>398</v>
      </c>
      <c r="C122" s="278" t="s">
        <v>164</v>
      </c>
      <c r="D122" s="278" t="s">
        <v>10</v>
      </c>
      <c r="E122" s="280" t="s">
        <v>392</v>
      </c>
      <c r="F122" s="287">
        <v>45426</v>
      </c>
      <c r="G122" s="287">
        <v>45459</v>
      </c>
      <c r="H122" s="291">
        <f t="shared" si="3"/>
        <v>34</v>
      </c>
      <c r="I122" s="289" t="s">
        <v>399</v>
      </c>
    </row>
    <row r="123" spans="1:9" ht="25.5" hidden="1" x14ac:dyDescent="0.25">
      <c r="A123" s="278">
        <v>83</v>
      </c>
      <c r="B123" s="285" t="s">
        <v>551</v>
      </c>
      <c r="C123" s="278" t="s">
        <v>161</v>
      </c>
      <c r="D123" s="278" t="s">
        <v>10</v>
      </c>
      <c r="E123" s="280" t="s">
        <v>549</v>
      </c>
      <c r="F123" s="287">
        <v>45477</v>
      </c>
      <c r="G123" s="287">
        <v>45511</v>
      </c>
      <c r="H123" s="291">
        <f t="shared" si="3"/>
        <v>35</v>
      </c>
      <c r="I123" s="289"/>
    </row>
    <row r="124" spans="1:9" ht="25.5" hidden="1" x14ac:dyDescent="0.25">
      <c r="A124" s="278">
        <v>84</v>
      </c>
      <c r="B124" s="285" t="s">
        <v>551</v>
      </c>
      <c r="C124" s="278" t="s">
        <v>162</v>
      </c>
      <c r="D124" s="278" t="s">
        <v>10</v>
      </c>
      <c r="E124" s="280" t="s">
        <v>549</v>
      </c>
      <c r="F124" s="287">
        <v>45477</v>
      </c>
      <c r="G124" s="287">
        <v>45932</v>
      </c>
      <c r="H124" s="291">
        <f t="shared" si="3"/>
        <v>456</v>
      </c>
      <c r="I124" s="289"/>
    </row>
    <row r="125" spans="1:9" ht="25.5" hidden="1" x14ac:dyDescent="0.25">
      <c r="A125" s="278">
        <v>85</v>
      </c>
      <c r="B125" s="285" t="s">
        <v>551</v>
      </c>
      <c r="C125" s="278" t="s">
        <v>473</v>
      </c>
      <c r="D125" s="278" t="s">
        <v>10</v>
      </c>
      <c r="E125" s="280" t="s">
        <v>549</v>
      </c>
      <c r="F125" s="287">
        <v>45477</v>
      </c>
      <c r="G125" s="287">
        <v>45480</v>
      </c>
      <c r="H125" s="291">
        <f t="shared" si="3"/>
        <v>4</v>
      </c>
      <c r="I125" s="289"/>
    </row>
    <row r="126" spans="1:9" ht="38.25" hidden="1" x14ac:dyDescent="0.25">
      <c r="A126" s="278">
        <v>86</v>
      </c>
      <c r="B126" s="285" t="s">
        <v>551</v>
      </c>
      <c r="C126" s="278" t="s">
        <v>496</v>
      </c>
      <c r="D126" s="278" t="s">
        <v>10</v>
      </c>
      <c r="E126" s="280" t="s">
        <v>360</v>
      </c>
      <c r="F126" s="287">
        <v>45477</v>
      </c>
      <c r="G126" s="287">
        <v>45542</v>
      </c>
      <c r="H126" s="291">
        <f t="shared" si="3"/>
        <v>66</v>
      </c>
      <c r="I126" s="289"/>
    </row>
    <row r="127" spans="1:9" ht="38.25" hidden="1" x14ac:dyDescent="0.25">
      <c r="A127" s="278">
        <v>87</v>
      </c>
      <c r="B127" s="285" t="s">
        <v>551</v>
      </c>
      <c r="C127" s="278" t="s">
        <v>497</v>
      </c>
      <c r="D127" s="278" t="s">
        <v>10</v>
      </c>
      <c r="E127" s="280" t="s">
        <v>360</v>
      </c>
      <c r="F127" s="287">
        <v>45477</v>
      </c>
      <c r="G127" s="287">
        <v>45480</v>
      </c>
      <c r="H127" s="291">
        <f t="shared" si="3"/>
        <v>4</v>
      </c>
      <c r="I127" s="289"/>
    </row>
    <row r="128" spans="1:9" ht="25.5" hidden="1" x14ac:dyDescent="0.25">
      <c r="A128" s="278">
        <v>88</v>
      </c>
      <c r="B128" s="285" t="s">
        <v>587</v>
      </c>
      <c r="C128" s="278" t="s">
        <v>156</v>
      </c>
      <c r="D128" s="278" t="s">
        <v>10</v>
      </c>
      <c r="E128" s="280" t="s">
        <v>549</v>
      </c>
      <c r="F128" s="287">
        <v>45508</v>
      </c>
      <c r="G128" s="287">
        <v>45510</v>
      </c>
      <c r="H128" s="291">
        <f t="shared" si="3"/>
        <v>3</v>
      </c>
      <c r="I128" s="292" t="s">
        <v>550</v>
      </c>
    </row>
    <row r="129" spans="1:9" ht="25.5" hidden="1" x14ac:dyDescent="0.25">
      <c r="A129" s="278">
        <v>89</v>
      </c>
      <c r="B129" s="285" t="s">
        <v>587</v>
      </c>
      <c r="C129" s="278" t="s">
        <v>469</v>
      </c>
      <c r="D129" s="278" t="s">
        <v>10</v>
      </c>
      <c r="E129" s="280" t="s">
        <v>549</v>
      </c>
      <c r="F129" s="287">
        <v>45508</v>
      </c>
      <c r="G129" s="287">
        <v>45510</v>
      </c>
      <c r="H129" s="291">
        <f t="shared" si="3"/>
        <v>3</v>
      </c>
      <c r="I129" s="292" t="s">
        <v>550</v>
      </c>
    </row>
    <row r="130" spans="1:9" ht="38.25" hidden="1" x14ac:dyDescent="0.25">
      <c r="A130" s="278">
        <v>90</v>
      </c>
      <c r="B130" s="285" t="s">
        <v>587</v>
      </c>
      <c r="C130" s="278" t="s">
        <v>487</v>
      </c>
      <c r="D130" s="278" t="s">
        <v>10</v>
      </c>
      <c r="E130" s="280" t="s">
        <v>548</v>
      </c>
      <c r="F130" s="287">
        <v>45508</v>
      </c>
      <c r="G130" s="287">
        <v>45510</v>
      </c>
      <c r="H130" s="291">
        <f t="shared" si="3"/>
        <v>3</v>
      </c>
      <c r="I130" s="292" t="s">
        <v>550</v>
      </c>
    </row>
    <row r="131" spans="1:9" ht="38.25" hidden="1" x14ac:dyDescent="0.25">
      <c r="A131" s="278">
        <v>91</v>
      </c>
      <c r="B131" s="285" t="s">
        <v>587</v>
      </c>
      <c r="C131" s="278" t="s">
        <v>173</v>
      </c>
      <c r="D131" s="278" t="s">
        <v>10</v>
      </c>
      <c r="E131" s="280" t="s">
        <v>360</v>
      </c>
      <c r="F131" s="287">
        <v>45508</v>
      </c>
      <c r="G131" s="287">
        <v>45510</v>
      </c>
      <c r="H131" s="291">
        <f t="shared" si="3"/>
        <v>3</v>
      </c>
      <c r="I131" s="292" t="s">
        <v>550</v>
      </c>
    </row>
    <row r="132" spans="1:9" hidden="1" x14ac:dyDescent="0.25">
      <c r="A132" s="278">
        <v>92</v>
      </c>
      <c r="B132" s="285" t="s">
        <v>587</v>
      </c>
      <c r="C132" s="278" t="s">
        <v>511</v>
      </c>
      <c r="D132" s="278" t="s">
        <v>10</v>
      </c>
      <c r="E132" s="280" t="s">
        <v>588</v>
      </c>
      <c r="F132" s="287">
        <v>45508</v>
      </c>
      <c r="G132" s="287">
        <v>45510</v>
      </c>
      <c r="H132" s="291">
        <f t="shared" si="3"/>
        <v>3</v>
      </c>
      <c r="I132" s="292" t="s">
        <v>550</v>
      </c>
    </row>
    <row r="133" spans="1:9" hidden="1" x14ac:dyDescent="0.25">
      <c r="A133" s="278">
        <v>93</v>
      </c>
      <c r="B133" s="285" t="s">
        <v>587</v>
      </c>
      <c r="C133" s="278" t="s">
        <v>506</v>
      </c>
      <c r="D133" s="278" t="s">
        <v>10</v>
      </c>
      <c r="E133" s="280" t="s">
        <v>582</v>
      </c>
      <c r="F133" s="287">
        <v>45508</v>
      </c>
      <c r="G133" s="287">
        <v>45510</v>
      </c>
      <c r="H133" s="291">
        <f t="shared" si="3"/>
        <v>3</v>
      </c>
      <c r="I133" s="292" t="s">
        <v>550</v>
      </c>
    </row>
    <row r="134" spans="1:9" ht="25.5" hidden="1" x14ac:dyDescent="0.25">
      <c r="A134" s="278">
        <v>94</v>
      </c>
      <c r="B134" s="285" t="s">
        <v>587</v>
      </c>
      <c r="C134" s="278" t="s">
        <v>573</v>
      </c>
      <c r="D134" s="278" t="s">
        <v>10</v>
      </c>
      <c r="E134" s="280" t="s">
        <v>251</v>
      </c>
      <c r="F134" s="287">
        <v>45508</v>
      </c>
      <c r="G134" s="287">
        <v>45510</v>
      </c>
      <c r="H134" s="291">
        <f t="shared" si="3"/>
        <v>3</v>
      </c>
      <c r="I134" s="292" t="s">
        <v>550</v>
      </c>
    </row>
    <row r="135" spans="1:9" ht="25.5" hidden="1" x14ac:dyDescent="0.25">
      <c r="A135" s="278">
        <v>95</v>
      </c>
      <c r="B135" s="285" t="s">
        <v>590</v>
      </c>
      <c r="C135" s="278" t="s">
        <v>500</v>
      </c>
      <c r="D135" s="278" t="s">
        <v>10</v>
      </c>
      <c r="E135" s="280" t="s">
        <v>591</v>
      </c>
      <c r="F135" s="287">
        <v>45528</v>
      </c>
      <c r="G135" s="287">
        <v>45529</v>
      </c>
      <c r="H135" s="291">
        <f t="shared" si="3"/>
        <v>2</v>
      </c>
      <c r="I135" s="292" t="s">
        <v>550</v>
      </c>
    </row>
    <row r="136" spans="1:9" ht="25.5" hidden="1" x14ac:dyDescent="0.25">
      <c r="A136" s="278">
        <v>96</v>
      </c>
      <c r="B136" s="285" t="s">
        <v>592</v>
      </c>
      <c r="C136" s="278" t="s">
        <v>571</v>
      </c>
      <c r="D136" s="278" t="s">
        <v>10</v>
      </c>
      <c r="E136" s="280" t="s">
        <v>251</v>
      </c>
      <c r="F136" s="287">
        <v>45531</v>
      </c>
      <c r="G136" s="287">
        <v>45534</v>
      </c>
      <c r="H136" s="291">
        <f t="shared" si="3"/>
        <v>4</v>
      </c>
      <c r="I136" s="292" t="s">
        <v>550</v>
      </c>
    </row>
    <row r="137" spans="1:9" ht="38.25" hidden="1" x14ac:dyDescent="0.25">
      <c r="A137" s="278">
        <v>97</v>
      </c>
      <c r="B137" s="285" t="s">
        <v>606</v>
      </c>
      <c r="C137" s="278" t="s">
        <v>517</v>
      </c>
      <c r="D137" s="278" t="s">
        <v>10</v>
      </c>
      <c r="E137" s="280" t="s">
        <v>588</v>
      </c>
      <c r="F137" s="287">
        <v>45563</v>
      </c>
      <c r="G137" s="287">
        <v>45564</v>
      </c>
      <c r="H137" s="291">
        <f t="shared" si="3"/>
        <v>2</v>
      </c>
      <c r="I137" s="292" t="s">
        <v>550</v>
      </c>
    </row>
    <row r="138" spans="1:9" hidden="1" x14ac:dyDescent="0.25">
      <c r="A138" s="278">
        <v>98</v>
      </c>
      <c r="B138" s="285" t="s">
        <v>1209</v>
      </c>
      <c r="C138" s="278" t="s">
        <v>219</v>
      </c>
      <c r="D138" s="278" t="s">
        <v>10</v>
      </c>
      <c r="E138" s="280"/>
      <c r="F138" s="287">
        <v>45575</v>
      </c>
      <c r="G138" s="287">
        <v>45607</v>
      </c>
      <c r="H138" s="291">
        <f t="shared" si="3"/>
        <v>33</v>
      </c>
      <c r="I138" s="292"/>
    </row>
    <row r="139" spans="1:9" hidden="1" x14ac:dyDescent="0.25">
      <c r="A139" s="278">
        <v>99</v>
      </c>
      <c r="B139" s="285" t="s">
        <v>1209</v>
      </c>
      <c r="C139" s="278" t="s">
        <v>220</v>
      </c>
      <c r="D139" s="278" t="s">
        <v>10</v>
      </c>
      <c r="E139" s="280"/>
      <c r="F139" s="287">
        <v>45575</v>
      </c>
      <c r="G139" s="287">
        <v>45607</v>
      </c>
      <c r="H139" s="291">
        <f t="shared" si="3"/>
        <v>33</v>
      </c>
      <c r="I139" s="292"/>
    </row>
    <row r="140" spans="1:9" hidden="1" x14ac:dyDescent="0.25">
      <c r="A140" s="278">
        <v>100</v>
      </c>
      <c r="B140" s="285" t="s">
        <v>1209</v>
      </c>
      <c r="C140" s="278" t="s">
        <v>829</v>
      </c>
      <c r="D140" s="278" t="s">
        <v>10</v>
      </c>
      <c r="E140" s="280"/>
      <c r="F140" s="287">
        <v>45575</v>
      </c>
      <c r="G140" s="287">
        <v>45679</v>
      </c>
      <c r="H140" s="291">
        <f t="shared" si="3"/>
        <v>105</v>
      </c>
      <c r="I140" s="292"/>
    </row>
    <row r="141" spans="1:9" hidden="1" x14ac:dyDescent="0.25">
      <c r="A141" s="278">
        <v>101</v>
      </c>
      <c r="B141" s="285" t="s">
        <v>1209</v>
      </c>
      <c r="C141" s="278" t="s">
        <v>103</v>
      </c>
      <c r="D141" s="278" t="s">
        <v>10</v>
      </c>
      <c r="E141" s="280"/>
      <c r="F141" s="287">
        <v>45575</v>
      </c>
      <c r="G141" s="287">
        <v>45670</v>
      </c>
      <c r="H141" s="291">
        <f t="shared" si="3"/>
        <v>96</v>
      </c>
      <c r="I141" s="292"/>
    </row>
    <row r="142" spans="1:9" hidden="1" x14ac:dyDescent="0.25">
      <c r="A142" s="278">
        <v>102</v>
      </c>
      <c r="B142" s="285" t="s">
        <v>1209</v>
      </c>
      <c r="C142" s="278" t="s">
        <v>739</v>
      </c>
      <c r="D142" s="278" t="s">
        <v>10</v>
      </c>
      <c r="E142" s="280"/>
      <c r="F142" s="287">
        <v>45575</v>
      </c>
      <c r="G142" s="287">
        <v>45670</v>
      </c>
      <c r="H142" s="291">
        <f t="shared" si="3"/>
        <v>96</v>
      </c>
      <c r="I142" s="292"/>
    </row>
    <row r="143" spans="1:9" hidden="1" x14ac:dyDescent="0.25">
      <c r="A143" s="278">
        <v>103</v>
      </c>
      <c r="B143" s="285" t="s">
        <v>1209</v>
      </c>
      <c r="C143" s="278" t="s">
        <v>740</v>
      </c>
      <c r="D143" s="278" t="s">
        <v>10</v>
      </c>
      <c r="E143" s="280"/>
      <c r="F143" s="287">
        <v>45575</v>
      </c>
      <c r="G143" s="287">
        <v>45670</v>
      </c>
      <c r="H143" s="291">
        <f t="shared" si="3"/>
        <v>96</v>
      </c>
      <c r="I143" s="292"/>
    </row>
    <row r="144" spans="1:9" hidden="1" x14ac:dyDescent="0.25">
      <c r="A144" s="278">
        <v>104</v>
      </c>
      <c r="B144" s="285" t="s">
        <v>1209</v>
      </c>
      <c r="C144" s="278" t="s">
        <v>741</v>
      </c>
      <c r="D144" s="278" t="s">
        <v>10</v>
      </c>
      <c r="E144" s="280"/>
      <c r="F144" s="287">
        <v>45575</v>
      </c>
      <c r="G144" s="287">
        <v>45670</v>
      </c>
      <c r="H144" s="291">
        <f t="shared" si="3"/>
        <v>96</v>
      </c>
      <c r="I144" s="292"/>
    </row>
    <row r="145" spans="1:9" hidden="1" x14ac:dyDescent="0.25">
      <c r="A145" s="278">
        <v>105</v>
      </c>
      <c r="B145" s="285" t="s">
        <v>1209</v>
      </c>
      <c r="C145" s="278" t="s">
        <v>845</v>
      </c>
      <c r="D145" s="278" t="s">
        <v>10</v>
      </c>
      <c r="E145" s="280"/>
      <c r="F145" s="287">
        <v>45575</v>
      </c>
      <c r="G145" s="287">
        <v>45641</v>
      </c>
      <c r="H145" s="291">
        <f t="shared" si="3"/>
        <v>67</v>
      </c>
      <c r="I145" s="292"/>
    </row>
    <row r="146" spans="1:9" hidden="1" x14ac:dyDescent="0.25">
      <c r="A146" s="278">
        <v>106</v>
      </c>
      <c r="B146" s="285" t="s">
        <v>1209</v>
      </c>
      <c r="C146" s="278" t="s">
        <v>846</v>
      </c>
      <c r="D146" s="278" t="s">
        <v>10</v>
      </c>
      <c r="E146" s="280"/>
      <c r="F146" s="287">
        <v>45575</v>
      </c>
      <c r="G146" s="287">
        <v>45641</v>
      </c>
      <c r="H146" s="291">
        <f t="shared" si="3"/>
        <v>67</v>
      </c>
      <c r="I146" s="292"/>
    </row>
    <row r="147" spans="1:9" hidden="1" x14ac:dyDescent="0.25">
      <c r="A147" s="278">
        <v>107</v>
      </c>
      <c r="B147" s="285" t="s">
        <v>1209</v>
      </c>
      <c r="C147" s="278" t="s">
        <v>847</v>
      </c>
      <c r="D147" s="278" t="s">
        <v>10</v>
      </c>
      <c r="E147" s="280"/>
      <c r="F147" s="287">
        <v>45575</v>
      </c>
      <c r="G147" s="287">
        <v>45641</v>
      </c>
      <c r="H147" s="291">
        <f t="shared" si="3"/>
        <v>67</v>
      </c>
      <c r="I147" s="292"/>
    </row>
    <row r="148" spans="1:9" hidden="1" x14ac:dyDescent="0.25">
      <c r="A148" s="278">
        <v>108</v>
      </c>
      <c r="B148" s="285" t="s">
        <v>1209</v>
      </c>
      <c r="C148" s="278" t="s">
        <v>848</v>
      </c>
      <c r="D148" s="278" t="s">
        <v>10</v>
      </c>
      <c r="E148" s="280"/>
      <c r="F148" s="287">
        <v>45575</v>
      </c>
      <c r="G148" s="287">
        <v>45641</v>
      </c>
      <c r="H148" s="291">
        <f t="shared" si="3"/>
        <v>67</v>
      </c>
      <c r="I148" s="292"/>
    </row>
    <row r="149" spans="1:9" hidden="1" x14ac:dyDescent="0.25">
      <c r="A149" s="278">
        <v>109</v>
      </c>
      <c r="B149" s="285" t="s">
        <v>1209</v>
      </c>
      <c r="C149" s="278" t="s">
        <v>849</v>
      </c>
      <c r="D149" s="278" t="s">
        <v>10</v>
      </c>
      <c r="E149" s="280"/>
      <c r="F149" s="287">
        <v>45575</v>
      </c>
      <c r="G149" s="287">
        <v>45641</v>
      </c>
      <c r="H149" s="291">
        <f t="shared" si="3"/>
        <v>67</v>
      </c>
      <c r="I149" s="292"/>
    </row>
    <row r="150" spans="1:9" hidden="1" x14ac:dyDescent="0.25">
      <c r="A150" s="278">
        <v>110</v>
      </c>
      <c r="B150" s="285" t="s">
        <v>1209</v>
      </c>
      <c r="C150" s="278" t="s">
        <v>852</v>
      </c>
      <c r="D150" s="278" t="s">
        <v>10</v>
      </c>
      <c r="E150" s="280"/>
      <c r="F150" s="287">
        <v>45575</v>
      </c>
      <c r="G150" s="287">
        <v>45641</v>
      </c>
      <c r="H150" s="291">
        <f t="shared" si="3"/>
        <v>67</v>
      </c>
      <c r="I150" s="292"/>
    </row>
    <row r="151" spans="1:9" hidden="1" x14ac:dyDescent="0.25">
      <c r="A151" s="278">
        <v>111</v>
      </c>
      <c r="B151" s="285" t="s">
        <v>1209</v>
      </c>
      <c r="C151" s="278" t="s">
        <v>853</v>
      </c>
      <c r="D151" s="278" t="s">
        <v>10</v>
      </c>
      <c r="E151" s="280"/>
      <c r="F151" s="287">
        <v>45575</v>
      </c>
      <c r="G151" s="287">
        <v>45641</v>
      </c>
      <c r="H151" s="291">
        <f t="shared" si="3"/>
        <v>67</v>
      </c>
      <c r="I151" s="292"/>
    </row>
    <row r="152" spans="1:9" hidden="1" x14ac:dyDescent="0.25">
      <c r="A152" s="278">
        <v>112</v>
      </c>
      <c r="B152" s="285" t="s">
        <v>1209</v>
      </c>
      <c r="C152" s="278" t="s">
        <v>854</v>
      </c>
      <c r="D152" s="278" t="s">
        <v>10</v>
      </c>
      <c r="E152" s="280"/>
      <c r="F152" s="287">
        <v>45575</v>
      </c>
      <c r="G152" s="287">
        <v>45641</v>
      </c>
      <c r="H152" s="291">
        <f t="shared" si="3"/>
        <v>67</v>
      </c>
      <c r="I152" s="292"/>
    </row>
    <row r="153" spans="1:9" ht="38.25" hidden="1" x14ac:dyDescent="0.25">
      <c r="A153" s="278">
        <v>113</v>
      </c>
      <c r="B153" s="285" t="s">
        <v>608</v>
      </c>
      <c r="C153" s="286" t="s">
        <v>532</v>
      </c>
      <c r="D153" s="278" t="s">
        <v>10</v>
      </c>
      <c r="E153" s="280" t="s">
        <v>585</v>
      </c>
      <c r="F153" s="287">
        <v>45579</v>
      </c>
      <c r="G153" s="287">
        <v>45580</v>
      </c>
      <c r="H153" s="291">
        <f t="shared" si="3"/>
        <v>2</v>
      </c>
      <c r="I153" s="292" t="s">
        <v>550</v>
      </c>
    </row>
    <row r="154" spans="1:9" ht="38.25" hidden="1" x14ac:dyDescent="0.25">
      <c r="A154" s="278">
        <v>114</v>
      </c>
      <c r="B154" s="285" t="s">
        <v>610</v>
      </c>
      <c r="C154" s="278" t="s">
        <v>645</v>
      </c>
      <c r="D154" s="278" t="s">
        <v>10</v>
      </c>
      <c r="E154" s="280" t="s">
        <v>548</v>
      </c>
      <c r="F154" s="287">
        <v>45589</v>
      </c>
      <c r="G154" s="287">
        <v>45590</v>
      </c>
      <c r="H154" s="291">
        <f t="shared" si="3"/>
        <v>2</v>
      </c>
      <c r="I154" s="292" t="s">
        <v>550</v>
      </c>
    </row>
    <row r="155" spans="1:9" ht="102" hidden="1" x14ac:dyDescent="0.25">
      <c r="A155" s="278">
        <v>115</v>
      </c>
      <c r="B155" s="285" t="s">
        <v>618</v>
      </c>
      <c r="C155" s="278" t="s">
        <v>172</v>
      </c>
      <c r="D155" s="278" t="s">
        <v>10</v>
      </c>
      <c r="E155" s="280"/>
      <c r="F155" s="287">
        <v>45597</v>
      </c>
      <c r="G155" s="287">
        <v>45972</v>
      </c>
      <c r="H155" s="291">
        <f t="shared" si="3"/>
        <v>376</v>
      </c>
      <c r="I155" s="292" t="s">
        <v>1626</v>
      </c>
    </row>
    <row r="156" spans="1:9" hidden="1" x14ac:dyDescent="0.25">
      <c r="A156" s="278">
        <v>116</v>
      </c>
      <c r="B156" s="285" t="s">
        <v>618</v>
      </c>
      <c r="C156" s="278" t="s">
        <v>494</v>
      </c>
      <c r="D156" s="278" t="s">
        <v>10</v>
      </c>
      <c r="E156" s="280"/>
      <c r="F156" s="287">
        <v>45597</v>
      </c>
      <c r="G156" s="287">
        <v>45823</v>
      </c>
      <c r="H156" s="291">
        <f t="shared" si="3"/>
        <v>227</v>
      </c>
      <c r="I156" s="292" t="s">
        <v>550</v>
      </c>
    </row>
    <row r="157" spans="1:9" hidden="1" x14ac:dyDescent="0.25">
      <c r="A157" s="278">
        <v>117</v>
      </c>
      <c r="B157" s="285" t="s">
        <v>623</v>
      </c>
      <c r="C157" s="278" t="s">
        <v>178</v>
      </c>
      <c r="D157" s="278" t="s">
        <v>10</v>
      </c>
      <c r="E157" s="280"/>
      <c r="F157" s="287">
        <v>45613</v>
      </c>
      <c r="G157" s="287">
        <v>45627</v>
      </c>
      <c r="H157" s="291">
        <f t="shared" si="3"/>
        <v>15</v>
      </c>
      <c r="I157" s="292" t="s">
        <v>550</v>
      </c>
    </row>
    <row r="158" spans="1:9" ht="25.5" hidden="1" x14ac:dyDescent="0.25">
      <c r="A158" s="278">
        <v>118</v>
      </c>
      <c r="B158" s="285" t="s">
        <v>625</v>
      </c>
      <c r="C158" s="278" t="s">
        <v>53</v>
      </c>
      <c r="D158" s="278" t="s">
        <v>10</v>
      </c>
      <c r="E158" s="280" t="s">
        <v>582</v>
      </c>
      <c r="F158" s="287">
        <v>45614</v>
      </c>
      <c r="G158" s="287">
        <v>45616</v>
      </c>
      <c r="H158" s="291">
        <f t="shared" si="3"/>
        <v>3</v>
      </c>
      <c r="I158" s="292" t="s">
        <v>550</v>
      </c>
    </row>
    <row r="159" spans="1:9" ht="38.25" hidden="1" x14ac:dyDescent="0.25">
      <c r="A159" s="278">
        <v>119</v>
      </c>
      <c r="B159" s="285" t="s">
        <v>623</v>
      </c>
      <c r="C159" s="278" t="s">
        <v>636</v>
      </c>
      <c r="D159" s="278" t="s">
        <v>10</v>
      </c>
      <c r="E159" s="280" t="s">
        <v>637</v>
      </c>
      <c r="F159" s="287">
        <v>45614</v>
      </c>
      <c r="G159" s="287">
        <v>45616</v>
      </c>
      <c r="H159" s="291">
        <f t="shared" si="3"/>
        <v>3</v>
      </c>
      <c r="I159" s="292" t="s">
        <v>550</v>
      </c>
    </row>
    <row r="160" spans="1:9" ht="51" hidden="1" x14ac:dyDescent="0.25">
      <c r="A160" s="278">
        <v>120</v>
      </c>
      <c r="B160" s="285" t="s">
        <v>644</v>
      </c>
      <c r="C160" s="278" t="s">
        <v>530</v>
      </c>
      <c r="D160" s="278" t="s">
        <v>10</v>
      </c>
      <c r="E160" s="280" t="s">
        <v>585</v>
      </c>
      <c r="F160" s="287">
        <v>45635</v>
      </c>
      <c r="G160" s="287">
        <v>45910</v>
      </c>
      <c r="H160" s="291">
        <f t="shared" si="3"/>
        <v>276</v>
      </c>
      <c r="I160" s="292" t="s">
        <v>1580</v>
      </c>
    </row>
    <row r="161" spans="1:9" ht="38.25" hidden="1" x14ac:dyDescent="0.25">
      <c r="A161" s="278">
        <v>121</v>
      </c>
      <c r="B161" s="285" t="s">
        <v>649</v>
      </c>
      <c r="C161" s="278" t="s">
        <v>42</v>
      </c>
      <c r="D161" s="278" t="s">
        <v>10</v>
      </c>
      <c r="E161" s="280" t="s">
        <v>641</v>
      </c>
      <c r="F161" s="287">
        <v>45637</v>
      </c>
      <c r="G161" s="287">
        <v>45645</v>
      </c>
      <c r="H161" s="291">
        <f t="shared" si="3"/>
        <v>9</v>
      </c>
      <c r="I161" s="292" t="s">
        <v>550</v>
      </c>
    </row>
    <row r="162" spans="1:9" ht="25.5" hidden="1" x14ac:dyDescent="0.25">
      <c r="A162" s="278">
        <v>122</v>
      </c>
      <c r="B162" s="285" t="s">
        <v>644</v>
      </c>
      <c r="C162" s="286" t="s">
        <v>213</v>
      </c>
      <c r="D162" s="278" t="s">
        <v>10</v>
      </c>
      <c r="E162" s="280" t="s">
        <v>624</v>
      </c>
      <c r="F162" s="287">
        <v>45656</v>
      </c>
      <c r="G162" s="287">
        <v>45656</v>
      </c>
      <c r="H162" s="291">
        <f t="shared" si="3"/>
        <v>1</v>
      </c>
      <c r="I162" s="292" t="s">
        <v>550</v>
      </c>
    </row>
    <row r="163" spans="1:9" hidden="1" x14ac:dyDescent="0.25">
      <c r="A163" s="278">
        <v>123</v>
      </c>
      <c r="B163" s="285" t="s">
        <v>657</v>
      </c>
      <c r="C163" s="286" t="s">
        <v>445</v>
      </c>
      <c r="D163" s="278" t="s">
        <v>10</v>
      </c>
      <c r="E163" s="280"/>
      <c r="F163" s="287">
        <v>45628</v>
      </c>
      <c r="G163" s="287">
        <v>45711</v>
      </c>
      <c r="H163" s="291">
        <f t="shared" si="3"/>
        <v>84</v>
      </c>
      <c r="I163" s="292" t="s">
        <v>658</v>
      </c>
    </row>
    <row r="164" spans="1:9" hidden="1" x14ac:dyDescent="0.25">
      <c r="A164" s="278">
        <v>124</v>
      </c>
      <c r="B164" s="285" t="s">
        <v>657</v>
      </c>
      <c r="C164" s="286" t="s">
        <v>627</v>
      </c>
      <c r="D164" s="278" t="s">
        <v>10</v>
      </c>
      <c r="E164" s="280"/>
      <c r="F164" s="287">
        <v>45628</v>
      </c>
      <c r="G164" s="287">
        <v>45669</v>
      </c>
      <c r="H164" s="291">
        <f t="shared" si="3"/>
        <v>42</v>
      </c>
      <c r="I164" s="292" t="s">
        <v>658</v>
      </c>
    </row>
    <row r="165" spans="1:9" hidden="1" x14ac:dyDescent="0.25">
      <c r="A165" s="278">
        <v>125</v>
      </c>
      <c r="B165" s="285" t="s">
        <v>657</v>
      </c>
      <c r="C165" s="286" t="s">
        <v>628</v>
      </c>
      <c r="D165" s="278" t="s">
        <v>10</v>
      </c>
      <c r="E165" s="280"/>
      <c r="F165" s="287">
        <v>45628</v>
      </c>
      <c r="G165" s="287">
        <v>45670</v>
      </c>
      <c r="H165" s="291">
        <f t="shared" si="3"/>
        <v>43</v>
      </c>
      <c r="I165" s="292" t="s">
        <v>658</v>
      </c>
    </row>
    <row r="166" spans="1:9" hidden="1" x14ac:dyDescent="0.25">
      <c r="A166" s="278">
        <v>126</v>
      </c>
      <c r="B166" s="285" t="s">
        <v>657</v>
      </c>
      <c r="C166" s="286" t="s">
        <v>629</v>
      </c>
      <c r="D166" s="278" t="s">
        <v>10</v>
      </c>
      <c r="E166" s="280"/>
      <c r="F166" s="287">
        <v>45628</v>
      </c>
      <c r="G166" s="287">
        <v>45678</v>
      </c>
      <c r="H166" s="291">
        <f t="shared" si="3"/>
        <v>51</v>
      </c>
      <c r="I166" s="292" t="s">
        <v>658</v>
      </c>
    </row>
    <row r="167" spans="1:9" hidden="1" x14ac:dyDescent="0.25">
      <c r="A167" s="278">
        <v>127</v>
      </c>
      <c r="B167" s="285" t="s">
        <v>657</v>
      </c>
      <c r="C167" s="286" t="s">
        <v>630</v>
      </c>
      <c r="D167" s="278" t="s">
        <v>10</v>
      </c>
      <c r="E167" s="280"/>
      <c r="F167" s="287">
        <v>45628</v>
      </c>
      <c r="G167" s="287">
        <v>45673</v>
      </c>
      <c r="H167" s="291">
        <f t="shared" si="3"/>
        <v>46</v>
      </c>
      <c r="I167" s="292" t="s">
        <v>658</v>
      </c>
    </row>
    <row r="168" spans="1:9" ht="25.5" hidden="1" x14ac:dyDescent="0.25">
      <c r="A168" s="278">
        <v>128</v>
      </c>
      <c r="B168" s="285" t="s">
        <v>657</v>
      </c>
      <c r="C168" s="286" t="s">
        <v>631</v>
      </c>
      <c r="D168" s="278" t="s">
        <v>10</v>
      </c>
      <c r="E168" s="280"/>
      <c r="F168" s="287">
        <v>45628</v>
      </c>
      <c r="G168" s="287">
        <v>45672</v>
      </c>
      <c r="H168" s="291">
        <f t="shared" si="3"/>
        <v>45</v>
      </c>
      <c r="I168" s="292" t="s">
        <v>662</v>
      </c>
    </row>
    <row r="169" spans="1:9" hidden="1" x14ac:dyDescent="0.25">
      <c r="A169" s="278">
        <v>129</v>
      </c>
      <c r="B169" s="285" t="s">
        <v>657</v>
      </c>
      <c r="C169" s="286" t="s">
        <v>632</v>
      </c>
      <c r="D169" s="278" t="s">
        <v>10</v>
      </c>
      <c r="E169" s="280"/>
      <c r="F169" s="287">
        <v>45628</v>
      </c>
      <c r="G169" s="287">
        <v>45679</v>
      </c>
      <c r="H169" s="291">
        <f t="shared" si="3"/>
        <v>52</v>
      </c>
      <c r="I169" s="292" t="s">
        <v>658</v>
      </c>
    </row>
    <row r="170" spans="1:9" hidden="1" x14ac:dyDescent="0.25">
      <c r="A170" s="278">
        <v>130</v>
      </c>
      <c r="B170" s="285" t="s">
        <v>657</v>
      </c>
      <c r="C170" s="286" t="s">
        <v>633</v>
      </c>
      <c r="D170" s="278" t="s">
        <v>10</v>
      </c>
      <c r="E170" s="280"/>
      <c r="F170" s="287">
        <v>45628</v>
      </c>
      <c r="G170" s="287">
        <v>45678</v>
      </c>
      <c r="H170" s="291">
        <f t="shared" ref="H170:H233" si="4">+IF(G170="","Awaited",_xlfn.DAYS(G170,F170)+1)</f>
        <v>51</v>
      </c>
      <c r="I170" s="292" t="s">
        <v>658</v>
      </c>
    </row>
    <row r="171" spans="1:9" hidden="1" x14ac:dyDescent="0.25">
      <c r="A171" s="278">
        <v>131</v>
      </c>
      <c r="B171" s="285" t="s">
        <v>657</v>
      </c>
      <c r="C171" s="286" t="s">
        <v>634</v>
      </c>
      <c r="D171" s="278" t="s">
        <v>10</v>
      </c>
      <c r="E171" s="280"/>
      <c r="F171" s="287">
        <v>45628</v>
      </c>
      <c r="G171" s="287">
        <v>45714</v>
      </c>
      <c r="H171" s="291">
        <f t="shared" si="4"/>
        <v>87</v>
      </c>
      <c r="I171" s="292" t="s">
        <v>658</v>
      </c>
    </row>
    <row r="172" spans="1:9" hidden="1" x14ac:dyDescent="0.25">
      <c r="A172" s="278">
        <v>132</v>
      </c>
      <c r="B172" s="285" t="s">
        <v>657</v>
      </c>
      <c r="C172" s="286" t="s">
        <v>635</v>
      </c>
      <c r="D172" s="278" t="s">
        <v>10</v>
      </c>
      <c r="E172" s="280"/>
      <c r="F172" s="287">
        <v>45628</v>
      </c>
      <c r="G172" s="287">
        <v>45779</v>
      </c>
      <c r="H172" s="291">
        <f t="shared" si="4"/>
        <v>152</v>
      </c>
      <c r="I172" s="292" t="s">
        <v>658</v>
      </c>
    </row>
    <row r="173" spans="1:9" hidden="1" x14ac:dyDescent="0.25">
      <c r="A173" s="278">
        <v>133</v>
      </c>
      <c r="B173" s="285" t="s">
        <v>657</v>
      </c>
      <c r="C173" s="286" t="s">
        <v>446</v>
      </c>
      <c r="D173" s="278" t="s">
        <v>10</v>
      </c>
      <c r="E173" s="280"/>
      <c r="F173" s="287">
        <v>45628</v>
      </c>
      <c r="G173" s="287">
        <v>45671</v>
      </c>
      <c r="H173" s="291">
        <f t="shared" si="4"/>
        <v>44</v>
      </c>
      <c r="I173" s="292" t="s">
        <v>658</v>
      </c>
    </row>
    <row r="174" spans="1:9" hidden="1" x14ac:dyDescent="0.25">
      <c r="A174" s="278">
        <v>134</v>
      </c>
      <c r="B174" s="285" t="s">
        <v>657</v>
      </c>
      <c r="C174" s="286" t="s">
        <v>447</v>
      </c>
      <c r="D174" s="278" t="s">
        <v>10</v>
      </c>
      <c r="E174" s="280"/>
      <c r="F174" s="287">
        <v>45629</v>
      </c>
      <c r="G174" s="287">
        <v>45728</v>
      </c>
      <c r="H174" s="291">
        <f t="shared" si="4"/>
        <v>100</v>
      </c>
      <c r="I174" s="292" t="s">
        <v>658</v>
      </c>
    </row>
    <row r="175" spans="1:9" ht="38.25" hidden="1" x14ac:dyDescent="0.25">
      <c r="A175" s="278">
        <v>135</v>
      </c>
      <c r="B175" s="285" t="s">
        <v>657</v>
      </c>
      <c r="C175" s="286" t="s">
        <v>453</v>
      </c>
      <c r="D175" s="278" t="s">
        <v>10</v>
      </c>
      <c r="E175" s="280"/>
      <c r="F175" s="287">
        <v>45629</v>
      </c>
      <c r="G175" s="287">
        <v>45813</v>
      </c>
      <c r="H175" s="291">
        <f t="shared" si="4"/>
        <v>185</v>
      </c>
      <c r="I175" s="292" t="s">
        <v>1391</v>
      </c>
    </row>
    <row r="176" spans="1:9" hidden="1" x14ac:dyDescent="0.25">
      <c r="A176" s="278">
        <v>136</v>
      </c>
      <c r="B176" s="285" t="s">
        <v>657</v>
      </c>
      <c r="C176" s="286" t="s">
        <v>454</v>
      </c>
      <c r="D176" s="278" t="s">
        <v>10</v>
      </c>
      <c r="E176" s="280"/>
      <c r="F176" s="287">
        <v>45629</v>
      </c>
      <c r="G176" s="287">
        <v>45692</v>
      </c>
      <c r="H176" s="291">
        <f t="shared" si="4"/>
        <v>64</v>
      </c>
      <c r="I176" s="292" t="s">
        <v>658</v>
      </c>
    </row>
    <row r="177" spans="1:9" ht="25.5" hidden="1" x14ac:dyDescent="0.25">
      <c r="A177" s="278">
        <v>137</v>
      </c>
      <c r="B177" s="285" t="s">
        <v>657</v>
      </c>
      <c r="C177" s="286" t="s">
        <v>455</v>
      </c>
      <c r="D177" s="278" t="s">
        <v>10</v>
      </c>
      <c r="E177" s="280"/>
      <c r="F177" s="287">
        <v>45629</v>
      </c>
      <c r="G177" s="287">
        <v>45811</v>
      </c>
      <c r="H177" s="291">
        <f t="shared" si="4"/>
        <v>183</v>
      </c>
      <c r="I177" s="292" t="s">
        <v>1395</v>
      </c>
    </row>
    <row r="178" spans="1:9" hidden="1" x14ac:dyDescent="0.25">
      <c r="A178" s="278">
        <v>138</v>
      </c>
      <c r="B178" s="285" t="s">
        <v>657</v>
      </c>
      <c r="C178" s="286" t="s">
        <v>38</v>
      </c>
      <c r="D178" s="278" t="s">
        <v>10</v>
      </c>
      <c r="E178" s="280"/>
      <c r="F178" s="287">
        <v>45629</v>
      </c>
      <c r="G178" s="287">
        <v>45759</v>
      </c>
      <c r="H178" s="291">
        <f t="shared" si="4"/>
        <v>131</v>
      </c>
      <c r="I178" s="292" t="s">
        <v>658</v>
      </c>
    </row>
    <row r="179" spans="1:9" hidden="1" x14ac:dyDescent="0.25">
      <c r="A179" s="278">
        <v>139</v>
      </c>
      <c r="B179" s="285" t="s">
        <v>657</v>
      </c>
      <c r="C179" s="286" t="s">
        <v>39</v>
      </c>
      <c r="D179" s="278" t="s">
        <v>10</v>
      </c>
      <c r="E179" s="280"/>
      <c r="F179" s="287">
        <v>45644</v>
      </c>
      <c r="G179" s="287">
        <v>45706</v>
      </c>
      <c r="H179" s="291">
        <f t="shared" si="4"/>
        <v>63</v>
      </c>
      <c r="I179" s="292" t="s">
        <v>658</v>
      </c>
    </row>
    <row r="180" spans="1:9" hidden="1" x14ac:dyDescent="0.25">
      <c r="A180" s="278">
        <v>140</v>
      </c>
      <c r="B180" s="285" t="s">
        <v>657</v>
      </c>
      <c r="C180" s="286" t="s">
        <v>456</v>
      </c>
      <c r="D180" s="278" t="s">
        <v>10</v>
      </c>
      <c r="E180" s="280"/>
      <c r="F180" s="287">
        <v>45644</v>
      </c>
      <c r="G180" s="287">
        <v>45775</v>
      </c>
      <c r="H180" s="291">
        <f t="shared" si="4"/>
        <v>132</v>
      </c>
      <c r="I180" s="292" t="s">
        <v>658</v>
      </c>
    </row>
    <row r="181" spans="1:9" hidden="1" x14ac:dyDescent="0.25">
      <c r="A181" s="278">
        <v>141</v>
      </c>
      <c r="B181" s="285" t="s">
        <v>657</v>
      </c>
      <c r="C181" s="286" t="s">
        <v>457</v>
      </c>
      <c r="D181" s="278" t="s">
        <v>10</v>
      </c>
      <c r="E181" s="280"/>
      <c r="F181" s="287">
        <v>45644</v>
      </c>
      <c r="G181" s="287">
        <v>45831</v>
      </c>
      <c r="H181" s="291">
        <f t="shared" si="4"/>
        <v>188</v>
      </c>
      <c r="I181" s="292" t="s">
        <v>658</v>
      </c>
    </row>
    <row r="182" spans="1:9" hidden="1" x14ac:dyDescent="0.25">
      <c r="A182" s="278">
        <v>142</v>
      </c>
      <c r="B182" s="285" t="s">
        <v>657</v>
      </c>
      <c r="C182" s="286" t="s">
        <v>458</v>
      </c>
      <c r="D182" s="278" t="s">
        <v>10</v>
      </c>
      <c r="E182" s="280"/>
      <c r="F182" s="287">
        <v>45644</v>
      </c>
      <c r="G182" s="287">
        <v>45790</v>
      </c>
      <c r="H182" s="291">
        <f t="shared" si="4"/>
        <v>147</v>
      </c>
      <c r="I182" s="292" t="s">
        <v>658</v>
      </c>
    </row>
    <row r="183" spans="1:9" hidden="1" x14ac:dyDescent="0.25">
      <c r="A183" s="278">
        <v>143</v>
      </c>
      <c r="B183" s="285" t="s">
        <v>657</v>
      </c>
      <c r="C183" s="286" t="s">
        <v>459</v>
      </c>
      <c r="D183" s="278" t="s">
        <v>10</v>
      </c>
      <c r="E183" s="280"/>
      <c r="F183" s="287">
        <v>45644</v>
      </c>
      <c r="G183" s="287">
        <v>45833</v>
      </c>
      <c r="H183" s="291">
        <f t="shared" si="4"/>
        <v>190</v>
      </c>
      <c r="I183" s="292" t="s">
        <v>658</v>
      </c>
    </row>
    <row r="184" spans="1:9" hidden="1" x14ac:dyDescent="0.25">
      <c r="A184" s="278">
        <v>144</v>
      </c>
      <c r="B184" s="285" t="s">
        <v>657</v>
      </c>
      <c r="C184" s="286" t="s">
        <v>40</v>
      </c>
      <c r="D184" s="278" t="s">
        <v>10</v>
      </c>
      <c r="E184" s="280"/>
      <c r="F184" s="287">
        <v>45644</v>
      </c>
      <c r="G184" s="287">
        <v>45886</v>
      </c>
      <c r="H184" s="291">
        <f t="shared" si="4"/>
        <v>243</v>
      </c>
      <c r="I184" s="292" t="s">
        <v>658</v>
      </c>
    </row>
    <row r="185" spans="1:9" hidden="1" x14ac:dyDescent="0.25">
      <c r="A185" s="278">
        <v>145</v>
      </c>
      <c r="B185" s="285" t="s">
        <v>657</v>
      </c>
      <c r="C185" s="286" t="s">
        <v>41</v>
      </c>
      <c r="D185" s="278" t="s">
        <v>10</v>
      </c>
      <c r="E185" s="280"/>
      <c r="F185" s="287">
        <v>45644</v>
      </c>
      <c r="G185" s="287">
        <v>45864</v>
      </c>
      <c r="H185" s="291">
        <f t="shared" si="4"/>
        <v>221</v>
      </c>
      <c r="I185" s="292" t="s">
        <v>658</v>
      </c>
    </row>
    <row r="186" spans="1:9" hidden="1" x14ac:dyDescent="0.25">
      <c r="A186" s="278">
        <v>146</v>
      </c>
      <c r="B186" s="285" t="s">
        <v>657</v>
      </c>
      <c r="C186" s="286" t="s">
        <v>43</v>
      </c>
      <c r="D186" s="278" t="s">
        <v>10</v>
      </c>
      <c r="E186" s="280"/>
      <c r="F186" s="287">
        <v>45644</v>
      </c>
      <c r="G186" s="287">
        <v>45912</v>
      </c>
      <c r="H186" s="291">
        <f t="shared" si="4"/>
        <v>269</v>
      </c>
      <c r="I186" s="292" t="s">
        <v>658</v>
      </c>
    </row>
    <row r="187" spans="1:9" hidden="1" x14ac:dyDescent="0.25">
      <c r="A187" s="278">
        <v>147</v>
      </c>
      <c r="B187" s="285" t="s">
        <v>657</v>
      </c>
      <c r="C187" s="286" t="s">
        <v>44</v>
      </c>
      <c r="D187" s="278" t="s">
        <v>10</v>
      </c>
      <c r="E187" s="280"/>
      <c r="F187" s="287">
        <v>45633</v>
      </c>
      <c r="G187" s="287">
        <v>45847</v>
      </c>
      <c r="H187" s="291">
        <f t="shared" si="4"/>
        <v>215</v>
      </c>
      <c r="I187" s="292" t="s">
        <v>658</v>
      </c>
    </row>
    <row r="188" spans="1:9" hidden="1" x14ac:dyDescent="0.25">
      <c r="A188" s="278">
        <v>148</v>
      </c>
      <c r="B188" s="285" t="s">
        <v>657</v>
      </c>
      <c r="C188" s="286" t="s">
        <v>150</v>
      </c>
      <c r="D188" s="278" t="s">
        <v>10</v>
      </c>
      <c r="E188" s="280"/>
      <c r="F188" s="287">
        <v>45633</v>
      </c>
      <c r="G188" s="287">
        <v>45844</v>
      </c>
      <c r="H188" s="291">
        <f t="shared" si="4"/>
        <v>212</v>
      </c>
      <c r="I188" s="292" t="s">
        <v>658</v>
      </c>
    </row>
    <row r="189" spans="1:9" ht="25.5" hidden="1" x14ac:dyDescent="0.25">
      <c r="A189" s="278">
        <v>149</v>
      </c>
      <c r="B189" s="285" t="s">
        <v>657</v>
      </c>
      <c r="C189" s="286" t="s">
        <v>461</v>
      </c>
      <c r="D189" s="278" t="s">
        <v>10</v>
      </c>
      <c r="E189" s="280"/>
      <c r="F189" s="287">
        <v>45633</v>
      </c>
      <c r="G189" s="287">
        <v>45823</v>
      </c>
      <c r="H189" s="291">
        <f t="shared" si="4"/>
        <v>191</v>
      </c>
      <c r="I189" s="292" t="s">
        <v>1382</v>
      </c>
    </row>
    <row r="190" spans="1:9" ht="25.5" hidden="1" x14ac:dyDescent="0.25">
      <c r="A190" s="278">
        <v>150</v>
      </c>
      <c r="B190" s="285" t="s">
        <v>657</v>
      </c>
      <c r="C190" s="286" t="s">
        <v>462</v>
      </c>
      <c r="D190" s="278" t="s">
        <v>10</v>
      </c>
      <c r="E190" s="280"/>
      <c r="F190" s="287">
        <v>45633</v>
      </c>
      <c r="G190" s="287">
        <v>45939</v>
      </c>
      <c r="H190" s="291">
        <f t="shared" si="4"/>
        <v>307</v>
      </c>
      <c r="I190" s="292" t="s">
        <v>1382</v>
      </c>
    </row>
    <row r="191" spans="1:9" ht="25.5" hidden="1" x14ac:dyDescent="0.25">
      <c r="A191" s="278">
        <v>151</v>
      </c>
      <c r="B191" s="285" t="s">
        <v>657</v>
      </c>
      <c r="C191" s="286" t="s">
        <v>463</v>
      </c>
      <c r="D191" s="278" t="s">
        <v>10</v>
      </c>
      <c r="E191" s="280"/>
      <c r="F191" s="287">
        <v>45633</v>
      </c>
      <c r="G191" s="287">
        <v>45860</v>
      </c>
      <c r="H191" s="291">
        <f t="shared" si="4"/>
        <v>228</v>
      </c>
      <c r="I191" s="292" t="s">
        <v>1382</v>
      </c>
    </row>
    <row r="192" spans="1:9" ht="25.5" hidden="1" x14ac:dyDescent="0.25">
      <c r="A192" s="278">
        <v>152</v>
      </c>
      <c r="B192" s="285" t="s">
        <v>657</v>
      </c>
      <c r="C192" s="286" t="s">
        <v>464</v>
      </c>
      <c r="D192" s="278" t="s">
        <v>10</v>
      </c>
      <c r="E192" s="280"/>
      <c r="F192" s="287">
        <v>45633</v>
      </c>
      <c r="G192" s="287">
        <v>45827</v>
      </c>
      <c r="H192" s="291">
        <f t="shared" si="4"/>
        <v>195</v>
      </c>
      <c r="I192" s="292" t="s">
        <v>1382</v>
      </c>
    </row>
    <row r="193" spans="1:9" ht="25.5" x14ac:dyDescent="0.25">
      <c r="A193" s="278">
        <v>153</v>
      </c>
      <c r="B193" s="285" t="s">
        <v>657</v>
      </c>
      <c r="C193" s="286" t="s">
        <v>151</v>
      </c>
      <c r="D193" s="278" t="s">
        <v>10</v>
      </c>
      <c r="E193" s="280"/>
      <c r="F193" s="287">
        <v>45633</v>
      </c>
      <c r="G193" s="287"/>
      <c r="H193" s="291" t="str">
        <f t="shared" si="4"/>
        <v>Awaited</v>
      </c>
      <c r="I193" s="292" t="s">
        <v>1382</v>
      </c>
    </row>
    <row r="194" spans="1:9" hidden="1" x14ac:dyDescent="0.25">
      <c r="A194" s="278">
        <v>154</v>
      </c>
      <c r="B194" s="285" t="s">
        <v>657</v>
      </c>
      <c r="C194" s="286" t="s">
        <v>155</v>
      </c>
      <c r="D194" s="278" t="s">
        <v>10</v>
      </c>
      <c r="E194" s="280"/>
      <c r="F194" s="287">
        <v>45633</v>
      </c>
      <c r="G194" s="287">
        <v>45789</v>
      </c>
      <c r="H194" s="291">
        <f t="shared" si="4"/>
        <v>157</v>
      </c>
      <c r="I194" s="292" t="s">
        <v>658</v>
      </c>
    </row>
    <row r="195" spans="1:9" hidden="1" x14ac:dyDescent="0.25">
      <c r="A195" s="278">
        <v>155</v>
      </c>
      <c r="B195" s="285" t="s">
        <v>657</v>
      </c>
      <c r="C195" s="286" t="s">
        <v>466</v>
      </c>
      <c r="D195" s="278" t="s">
        <v>10</v>
      </c>
      <c r="E195" s="280"/>
      <c r="F195" s="287">
        <v>45633</v>
      </c>
      <c r="G195" s="287">
        <v>45789</v>
      </c>
      <c r="H195" s="291">
        <f t="shared" si="4"/>
        <v>157</v>
      </c>
      <c r="I195" s="292" t="s">
        <v>658</v>
      </c>
    </row>
    <row r="196" spans="1:9" hidden="1" x14ac:dyDescent="0.25">
      <c r="A196" s="278">
        <v>156</v>
      </c>
      <c r="B196" s="285" t="s">
        <v>657</v>
      </c>
      <c r="C196" s="286" t="s">
        <v>45</v>
      </c>
      <c r="D196" s="278" t="s">
        <v>10</v>
      </c>
      <c r="E196" s="280"/>
      <c r="F196" s="287">
        <v>45633</v>
      </c>
      <c r="G196" s="287">
        <v>45844</v>
      </c>
      <c r="H196" s="291">
        <f t="shared" si="4"/>
        <v>212</v>
      </c>
      <c r="I196" s="292" t="s">
        <v>658</v>
      </c>
    </row>
    <row r="197" spans="1:9" hidden="1" x14ac:dyDescent="0.25">
      <c r="A197" s="278">
        <v>157</v>
      </c>
      <c r="B197" s="285" t="s">
        <v>657</v>
      </c>
      <c r="C197" s="286" t="s">
        <v>46</v>
      </c>
      <c r="D197" s="278" t="s">
        <v>10</v>
      </c>
      <c r="E197" s="280"/>
      <c r="F197" s="287">
        <v>45633</v>
      </c>
      <c r="G197" s="287">
        <v>45791</v>
      </c>
      <c r="H197" s="291">
        <f t="shared" si="4"/>
        <v>159</v>
      </c>
      <c r="I197" s="292" t="s">
        <v>658</v>
      </c>
    </row>
    <row r="198" spans="1:9" hidden="1" x14ac:dyDescent="0.25">
      <c r="A198" s="278">
        <v>158</v>
      </c>
      <c r="B198" s="285" t="s">
        <v>657</v>
      </c>
      <c r="C198" s="286" t="s">
        <v>467</v>
      </c>
      <c r="D198" s="278" t="s">
        <v>10</v>
      </c>
      <c r="E198" s="280"/>
      <c r="F198" s="287">
        <v>45633</v>
      </c>
      <c r="G198" s="287">
        <v>45793</v>
      </c>
      <c r="H198" s="291">
        <f t="shared" si="4"/>
        <v>161</v>
      </c>
      <c r="I198" s="292" t="s">
        <v>658</v>
      </c>
    </row>
    <row r="199" spans="1:9" x14ac:dyDescent="0.25">
      <c r="A199" s="278">
        <v>159</v>
      </c>
      <c r="B199" s="285" t="s">
        <v>657</v>
      </c>
      <c r="C199" s="286" t="s">
        <v>468</v>
      </c>
      <c r="D199" s="278" t="s">
        <v>10</v>
      </c>
      <c r="E199" s="280"/>
      <c r="F199" s="287">
        <v>45633</v>
      </c>
      <c r="G199" s="287">
        <v>46053</v>
      </c>
      <c r="H199" s="291">
        <f t="shared" si="4"/>
        <v>421</v>
      </c>
      <c r="I199" s="292" t="s">
        <v>1616</v>
      </c>
    </row>
    <row r="200" spans="1:9" ht="25.5" hidden="1" x14ac:dyDescent="0.25">
      <c r="A200" s="278">
        <v>160</v>
      </c>
      <c r="B200" s="285" t="s">
        <v>657</v>
      </c>
      <c r="C200" s="286" t="s">
        <v>159</v>
      </c>
      <c r="D200" s="278" t="s">
        <v>10</v>
      </c>
      <c r="E200" s="280"/>
      <c r="F200" s="287">
        <v>45633</v>
      </c>
      <c r="G200" s="287">
        <v>45851</v>
      </c>
      <c r="H200" s="291">
        <f t="shared" si="4"/>
        <v>219</v>
      </c>
      <c r="I200" s="292" t="s">
        <v>1447</v>
      </c>
    </row>
    <row r="201" spans="1:9" hidden="1" x14ac:dyDescent="0.25">
      <c r="A201" s="278">
        <v>161</v>
      </c>
      <c r="B201" s="285" t="s">
        <v>657</v>
      </c>
      <c r="C201" s="286" t="s">
        <v>470</v>
      </c>
      <c r="D201" s="278" t="s">
        <v>10</v>
      </c>
      <c r="E201" s="280"/>
      <c r="F201" s="287">
        <v>45633</v>
      </c>
      <c r="G201" s="287">
        <v>45914</v>
      </c>
      <c r="H201" s="291">
        <f t="shared" si="4"/>
        <v>282</v>
      </c>
      <c r="I201" s="292" t="s">
        <v>658</v>
      </c>
    </row>
    <row r="202" spans="1:9" hidden="1" x14ac:dyDescent="0.25">
      <c r="A202" s="278">
        <v>162</v>
      </c>
      <c r="B202" s="285" t="s">
        <v>657</v>
      </c>
      <c r="C202" s="286" t="s">
        <v>471</v>
      </c>
      <c r="D202" s="278" t="s">
        <v>10</v>
      </c>
      <c r="E202" s="280"/>
      <c r="F202" s="287">
        <v>45633</v>
      </c>
      <c r="G202" s="287">
        <v>45906</v>
      </c>
      <c r="H202" s="291">
        <f t="shared" si="4"/>
        <v>274</v>
      </c>
      <c r="I202" s="292" t="s">
        <v>658</v>
      </c>
    </row>
    <row r="203" spans="1:9" ht="38.25" hidden="1" x14ac:dyDescent="0.25">
      <c r="A203" s="278">
        <v>163</v>
      </c>
      <c r="B203" s="285" t="s">
        <v>657</v>
      </c>
      <c r="C203" s="286" t="s">
        <v>474</v>
      </c>
      <c r="D203" s="278" t="s">
        <v>10</v>
      </c>
      <c r="E203" s="280"/>
      <c r="F203" s="287">
        <v>45633</v>
      </c>
      <c r="G203" s="287">
        <v>45997</v>
      </c>
      <c r="H203" s="291">
        <f t="shared" si="4"/>
        <v>365</v>
      </c>
      <c r="I203" s="292" t="s">
        <v>1642</v>
      </c>
    </row>
    <row r="204" spans="1:9" hidden="1" x14ac:dyDescent="0.25">
      <c r="A204" s="278">
        <v>164</v>
      </c>
      <c r="B204" s="285" t="s">
        <v>657</v>
      </c>
      <c r="C204" s="286" t="s">
        <v>475</v>
      </c>
      <c r="D204" s="278" t="s">
        <v>10</v>
      </c>
      <c r="E204" s="280"/>
      <c r="F204" s="287">
        <v>45633</v>
      </c>
      <c r="G204" s="287">
        <v>45929</v>
      </c>
      <c r="H204" s="291">
        <f t="shared" si="4"/>
        <v>297</v>
      </c>
      <c r="I204" s="292" t="s">
        <v>658</v>
      </c>
    </row>
    <row r="205" spans="1:9" hidden="1" x14ac:dyDescent="0.25">
      <c r="A205" s="278">
        <v>165</v>
      </c>
      <c r="B205" s="285" t="s">
        <v>657</v>
      </c>
      <c r="C205" s="286" t="s">
        <v>476</v>
      </c>
      <c r="D205" s="278" t="s">
        <v>10</v>
      </c>
      <c r="E205" s="280"/>
      <c r="F205" s="287">
        <v>45633</v>
      </c>
      <c r="G205" s="287">
        <v>45906</v>
      </c>
      <c r="H205" s="291">
        <f t="shared" si="4"/>
        <v>274</v>
      </c>
      <c r="I205" s="292" t="s">
        <v>658</v>
      </c>
    </row>
    <row r="206" spans="1:9" hidden="1" x14ac:dyDescent="0.25">
      <c r="A206" s="278">
        <v>166</v>
      </c>
      <c r="B206" s="285" t="s">
        <v>657</v>
      </c>
      <c r="C206" s="286" t="s">
        <v>477</v>
      </c>
      <c r="D206" s="278" t="s">
        <v>10</v>
      </c>
      <c r="E206" s="280"/>
      <c r="F206" s="287">
        <v>45633</v>
      </c>
      <c r="G206" s="287">
        <v>45871</v>
      </c>
      <c r="H206" s="291">
        <f t="shared" si="4"/>
        <v>239</v>
      </c>
      <c r="I206" s="292" t="s">
        <v>658</v>
      </c>
    </row>
    <row r="207" spans="1:9" hidden="1" x14ac:dyDescent="0.25">
      <c r="A207" s="278">
        <v>167</v>
      </c>
      <c r="B207" s="285" t="s">
        <v>657</v>
      </c>
      <c r="C207" s="286" t="s">
        <v>478</v>
      </c>
      <c r="D207" s="278" t="s">
        <v>10</v>
      </c>
      <c r="E207" s="280"/>
      <c r="F207" s="287">
        <v>45633</v>
      </c>
      <c r="G207" s="287">
        <v>45885</v>
      </c>
      <c r="H207" s="291">
        <f t="shared" si="4"/>
        <v>253</v>
      </c>
      <c r="I207" s="292" t="s">
        <v>658</v>
      </c>
    </row>
    <row r="208" spans="1:9" hidden="1" x14ac:dyDescent="0.25">
      <c r="A208" s="278">
        <v>168</v>
      </c>
      <c r="B208" s="285" t="s">
        <v>657</v>
      </c>
      <c r="C208" s="286" t="s">
        <v>479</v>
      </c>
      <c r="D208" s="278" t="s">
        <v>10</v>
      </c>
      <c r="E208" s="280"/>
      <c r="F208" s="287">
        <v>45633</v>
      </c>
      <c r="G208" s="287">
        <v>45915</v>
      </c>
      <c r="H208" s="291">
        <f t="shared" si="4"/>
        <v>283</v>
      </c>
      <c r="I208" s="292" t="s">
        <v>658</v>
      </c>
    </row>
    <row r="209" spans="1:9" hidden="1" x14ac:dyDescent="0.25">
      <c r="A209" s="278">
        <v>169</v>
      </c>
      <c r="B209" s="285" t="s">
        <v>657</v>
      </c>
      <c r="C209" s="286" t="s">
        <v>480</v>
      </c>
      <c r="D209" s="278" t="s">
        <v>10</v>
      </c>
      <c r="E209" s="280"/>
      <c r="F209" s="287">
        <v>45633</v>
      </c>
      <c r="G209" s="287">
        <v>45814</v>
      </c>
      <c r="H209" s="291">
        <f t="shared" si="4"/>
        <v>182</v>
      </c>
      <c r="I209" s="292" t="s">
        <v>658</v>
      </c>
    </row>
    <row r="210" spans="1:9" ht="25.5" hidden="1" x14ac:dyDescent="0.25">
      <c r="A210" s="278">
        <v>170</v>
      </c>
      <c r="B210" s="285" t="s">
        <v>657</v>
      </c>
      <c r="C210" s="286" t="s">
        <v>518</v>
      </c>
      <c r="D210" s="278" t="s">
        <v>10</v>
      </c>
      <c r="E210" s="280"/>
      <c r="F210" s="287">
        <v>45633</v>
      </c>
      <c r="G210" s="287">
        <v>45934</v>
      </c>
      <c r="H210" s="291">
        <f t="shared" si="4"/>
        <v>302</v>
      </c>
      <c r="I210" s="292" t="s">
        <v>1598</v>
      </c>
    </row>
    <row r="211" spans="1:9" hidden="1" x14ac:dyDescent="0.25">
      <c r="A211" s="278">
        <v>171</v>
      </c>
      <c r="B211" s="285" t="s">
        <v>657</v>
      </c>
      <c r="C211" s="286" t="s">
        <v>519</v>
      </c>
      <c r="D211" s="278" t="s">
        <v>10</v>
      </c>
      <c r="E211" s="280"/>
      <c r="F211" s="287">
        <v>45633</v>
      </c>
      <c r="G211" s="287">
        <v>45809</v>
      </c>
      <c r="H211" s="291">
        <f t="shared" si="4"/>
        <v>177</v>
      </c>
      <c r="I211" s="292" t="s">
        <v>658</v>
      </c>
    </row>
    <row r="212" spans="1:9" hidden="1" x14ac:dyDescent="0.25">
      <c r="A212" s="278">
        <v>172</v>
      </c>
      <c r="B212" s="285" t="s">
        <v>657</v>
      </c>
      <c r="C212" s="286" t="s">
        <v>31</v>
      </c>
      <c r="D212" s="278" t="s">
        <v>10</v>
      </c>
      <c r="E212" s="280"/>
      <c r="F212" s="287">
        <v>45643</v>
      </c>
      <c r="G212" s="287">
        <v>45842</v>
      </c>
      <c r="H212" s="291">
        <f t="shared" si="4"/>
        <v>200</v>
      </c>
      <c r="I212" s="292" t="s">
        <v>658</v>
      </c>
    </row>
    <row r="213" spans="1:9" ht="51" hidden="1" x14ac:dyDescent="0.25">
      <c r="A213" s="278">
        <v>173</v>
      </c>
      <c r="B213" s="285" t="s">
        <v>657</v>
      </c>
      <c r="C213" s="286" t="s">
        <v>520</v>
      </c>
      <c r="D213" s="278" t="s">
        <v>10</v>
      </c>
      <c r="E213" s="280"/>
      <c r="F213" s="287">
        <v>45643</v>
      </c>
      <c r="G213" s="287">
        <v>45904</v>
      </c>
      <c r="H213" s="291">
        <f t="shared" si="4"/>
        <v>262</v>
      </c>
      <c r="I213" s="292" t="s">
        <v>1541</v>
      </c>
    </row>
    <row r="214" spans="1:9" hidden="1" x14ac:dyDescent="0.25">
      <c r="A214" s="278">
        <v>174</v>
      </c>
      <c r="B214" s="285" t="s">
        <v>657</v>
      </c>
      <c r="C214" s="286" t="s">
        <v>521</v>
      </c>
      <c r="D214" s="278" t="s">
        <v>10</v>
      </c>
      <c r="E214" s="280"/>
      <c r="F214" s="287">
        <v>45643</v>
      </c>
      <c r="G214" s="287">
        <v>45858</v>
      </c>
      <c r="H214" s="291">
        <f t="shared" si="4"/>
        <v>216</v>
      </c>
      <c r="I214" s="292" t="s">
        <v>658</v>
      </c>
    </row>
    <row r="215" spans="1:9" hidden="1" x14ac:dyDescent="0.25">
      <c r="A215" s="278">
        <v>175</v>
      </c>
      <c r="B215" s="285" t="s">
        <v>657</v>
      </c>
      <c r="C215" s="286" t="s">
        <v>522</v>
      </c>
      <c r="D215" s="278" t="s">
        <v>10</v>
      </c>
      <c r="E215" s="280"/>
      <c r="F215" s="287">
        <v>45643</v>
      </c>
      <c r="G215" s="287">
        <v>45861</v>
      </c>
      <c r="H215" s="291">
        <f t="shared" si="4"/>
        <v>219</v>
      </c>
      <c r="I215" s="292" t="s">
        <v>658</v>
      </c>
    </row>
    <row r="216" spans="1:9" hidden="1" x14ac:dyDescent="0.25">
      <c r="A216" s="278">
        <v>176</v>
      </c>
      <c r="B216" s="285" t="s">
        <v>657</v>
      </c>
      <c r="C216" s="286" t="s">
        <v>49</v>
      </c>
      <c r="D216" s="278" t="s">
        <v>10</v>
      </c>
      <c r="E216" s="280"/>
      <c r="F216" s="287">
        <v>45643</v>
      </c>
      <c r="G216" s="287">
        <v>45859</v>
      </c>
      <c r="H216" s="291">
        <f t="shared" si="4"/>
        <v>217</v>
      </c>
      <c r="I216" s="292" t="s">
        <v>658</v>
      </c>
    </row>
    <row r="217" spans="1:9" ht="25.5" x14ac:dyDescent="0.25">
      <c r="A217" s="278">
        <v>177</v>
      </c>
      <c r="B217" s="285" t="s">
        <v>657</v>
      </c>
      <c r="C217" s="286" t="s">
        <v>523</v>
      </c>
      <c r="D217" s="278" t="s">
        <v>10</v>
      </c>
      <c r="E217" s="280"/>
      <c r="F217" s="287">
        <v>45643</v>
      </c>
      <c r="G217" s="287"/>
      <c r="H217" s="291" t="str">
        <f t="shared" si="4"/>
        <v>Awaited</v>
      </c>
      <c r="I217" s="292" t="s">
        <v>1623</v>
      </c>
    </row>
    <row r="218" spans="1:9" ht="38.25" hidden="1" x14ac:dyDescent="0.25">
      <c r="A218" s="278">
        <v>178</v>
      </c>
      <c r="B218" s="285" t="s">
        <v>657</v>
      </c>
      <c r="C218" s="286" t="s">
        <v>524</v>
      </c>
      <c r="D218" s="278" t="s">
        <v>10</v>
      </c>
      <c r="E218" s="280"/>
      <c r="F218" s="287">
        <v>45643</v>
      </c>
      <c r="G218" s="287">
        <v>45863</v>
      </c>
      <c r="H218" s="291">
        <f t="shared" si="4"/>
        <v>221</v>
      </c>
      <c r="I218" s="292" t="s">
        <v>1450</v>
      </c>
    </row>
    <row r="219" spans="1:9" ht="25.5" hidden="1" x14ac:dyDescent="0.25">
      <c r="A219" s="278">
        <v>179</v>
      </c>
      <c r="B219" s="285" t="s">
        <v>657</v>
      </c>
      <c r="C219" s="286" t="s">
        <v>525</v>
      </c>
      <c r="D219" s="278" t="s">
        <v>10</v>
      </c>
      <c r="E219" s="280"/>
      <c r="F219" s="287">
        <v>45643</v>
      </c>
      <c r="G219" s="287">
        <v>45829</v>
      </c>
      <c r="H219" s="291">
        <f t="shared" si="4"/>
        <v>187</v>
      </c>
      <c r="I219" s="292" t="s">
        <v>1385</v>
      </c>
    </row>
    <row r="220" spans="1:9" hidden="1" x14ac:dyDescent="0.25">
      <c r="A220" s="278">
        <v>180</v>
      </c>
      <c r="B220" s="285" t="s">
        <v>657</v>
      </c>
      <c r="C220" s="286" t="s">
        <v>526</v>
      </c>
      <c r="D220" s="278" t="s">
        <v>10</v>
      </c>
      <c r="E220" s="280"/>
      <c r="F220" s="287">
        <v>45643</v>
      </c>
      <c r="G220" s="287">
        <v>45818</v>
      </c>
      <c r="H220" s="291">
        <f t="shared" si="4"/>
        <v>176</v>
      </c>
      <c r="I220" s="292" t="s">
        <v>658</v>
      </c>
    </row>
    <row r="221" spans="1:9" ht="25.5" hidden="1" x14ac:dyDescent="0.25">
      <c r="A221" s="278">
        <v>181</v>
      </c>
      <c r="B221" s="285" t="s">
        <v>657</v>
      </c>
      <c r="C221" s="286" t="s">
        <v>527</v>
      </c>
      <c r="D221" s="278" t="s">
        <v>10</v>
      </c>
      <c r="E221" s="280"/>
      <c r="F221" s="287">
        <v>45643</v>
      </c>
      <c r="G221" s="287">
        <v>45806</v>
      </c>
      <c r="H221" s="291">
        <f t="shared" si="4"/>
        <v>164</v>
      </c>
      <c r="I221" s="292" t="s">
        <v>1352</v>
      </c>
    </row>
    <row r="222" spans="1:9" ht="63.75" hidden="1" x14ac:dyDescent="0.25">
      <c r="A222" s="278">
        <v>182</v>
      </c>
      <c r="B222" s="285" t="s">
        <v>657</v>
      </c>
      <c r="C222" s="286" t="s">
        <v>528</v>
      </c>
      <c r="D222" s="278" t="s">
        <v>10</v>
      </c>
      <c r="E222" s="280"/>
      <c r="F222" s="287">
        <v>45643</v>
      </c>
      <c r="G222" s="287">
        <v>45956</v>
      </c>
      <c r="H222" s="291">
        <f t="shared" si="4"/>
        <v>314</v>
      </c>
      <c r="I222" s="292" t="s">
        <v>1612</v>
      </c>
    </row>
    <row r="223" spans="1:9" hidden="1" x14ac:dyDescent="0.25">
      <c r="A223" s="278">
        <v>183</v>
      </c>
      <c r="B223" s="285" t="s">
        <v>657</v>
      </c>
      <c r="C223" s="286" t="s">
        <v>529</v>
      </c>
      <c r="D223" s="278" t="s">
        <v>10</v>
      </c>
      <c r="E223" s="280"/>
      <c r="F223" s="287">
        <v>45643</v>
      </c>
      <c r="G223" s="287">
        <v>45784</v>
      </c>
      <c r="H223" s="291">
        <f t="shared" si="4"/>
        <v>142</v>
      </c>
      <c r="I223" s="292" t="s">
        <v>658</v>
      </c>
    </row>
    <row r="224" spans="1:9" ht="63.75" hidden="1" x14ac:dyDescent="0.25">
      <c r="A224" s="278">
        <v>184</v>
      </c>
      <c r="B224" s="285" t="s">
        <v>657</v>
      </c>
      <c r="C224" s="286" t="s">
        <v>175</v>
      </c>
      <c r="D224" s="278" t="s">
        <v>10</v>
      </c>
      <c r="E224" s="280"/>
      <c r="F224" s="287">
        <v>45643</v>
      </c>
      <c r="G224" s="287">
        <v>45933</v>
      </c>
      <c r="H224" s="291">
        <f t="shared" si="4"/>
        <v>291</v>
      </c>
      <c r="I224" s="292" t="s">
        <v>1597</v>
      </c>
    </row>
    <row r="225" spans="1:9" hidden="1" x14ac:dyDescent="0.25">
      <c r="A225" s="278">
        <v>185</v>
      </c>
      <c r="B225" s="285" t="s">
        <v>657</v>
      </c>
      <c r="C225" s="286" t="s">
        <v>57</v>
      </c>
      <c r="D225" s="278" t="s">
        <v>10</v>
      </c>
      <c r="E225" s="280"/>
      <c r="F225" s="287">
        <v>45643</v>
      </c>
      <c r="G225" s="287">
        <v>45868</v>
      </c>
      <c r="H225" s="291">
        <f t="shared" si="4"/>
        <v>226</v>
      </c>
      <c r="I225" s="292" t="s">
        <v>658</v>
      </c>
    </row>
    <row r="226" spans="1:9" hidden="1" x14ac:dyDescent="0.25">
      <c r="A226" s="278">
        <v>186</v>
      </c>
      <c r="B226" s="285" t="s">
        <v>657</v>
      </c>
      <c r="C226" s="286" t="s">
        <v>33</v>
      </c>
      <c r="D226" s="278" t="s">
        <v>10</v>
      </c>
      <c r="E226" s="280"/>
      <c r="F226" s="287">
        <v>45639</v>
      </c>
      <c r="G226" s="287">
        <v>45858</v>
      </c>
      <c r="H226" s="291">
        <f t="shared" si="4"/>
        <v>220</v>
      </c>
      <c r="I226" s="292" t="s">
        <v>658</v>
      </c>
    </row>
    <row r="227" spans="1:9" hidden="1" x14ac:dyDescent="0.25">
      <c r="A227" s="278">
        <v>187</v>
      </c>
      <c r="B227" s="285" t="s">
        <v>657</v>
      </c>
      <c r="C227" s="286" t="s">
        <v>36</v>
      </c>
      <c r="D227" s="278" t="s">
        <v>10</v>
      </c>
      <c r="E227" s="280"/>
      <c r="F227" s="287">
        <v>45639</v>
      </c>
      <c r="G227" s="287">
        <v>45849</v>
      </c>
      <c r="H227" s="291">
        <f t="shared" si="4"/>
        <v>211</v>
      </c>
      <c r="I227" s="292" t="s">
        <v>658</v>
      </c>
    </row>
    <row r="228" spans="1:9" hidden="1" x14ac:dyDescent="0.25">
      <c r="A228" s="278">
        <v>188</v>
      </c>
      <c r="B228" s="285" t="s">
        <v>657</v>
      </c>
      <c r="C228" s="286" t="s">
        <v>58</v>
      </c>
      <c r="D228" s="278" t="s">
        <v>10</v>
      </c>
      <c r="E228" s="280"/>
      <c r="F228" s="287">
        <v>45639</v>
      </c>
      <c r="G228" s="287">
        <v>45870</v>
      </c>
      <c r="H228" s="291">
        <f t="shared" si="4"/>
        <v>232</v>
      </c>
      <c r="I228" s="292" t="s">
        <v>658</v>
      </c>
    </row>
    <row r="229" spans="1:9" hidden="1" x14ac:dyDescent="0.25">
      <c r="A229" s="278">
        <v>189</v>
      </c>
      <c r="B229" s="285" t="s">
        <v>657</v>
      </c>
      <c r="C229" s="286" t="s">
        <v>63</v>
      </c>
      <c r="D229" s="278" t="s">
        <v>10</v>
      </c>
      <c r="E229" s="280"/>
      <c r="F229" s="287">
        <v>45639</v>
      </c>
      <c r="G229" s="287">
        <v>45783</v>
      </c>
      <c r="H229" s="291">
        <f t="shared" si="4"/>
        <v>145</v>
      </c>
      <c r="I229" s="292" t="s">
        <v>658</v>
      </c>
    </row>
    <row r="230" spans="1:9" hidden="1" x14ac:dyDescent="0.25">
      <c r="A230" s="278">
        <v>190</v>
      </c>
      <c r="B230" s="285" t="s">
        <v>657</v>
      </c>
      <c r="C230" s="286" t="s">
        <v>64</v>
      </c>
      <c r="D230" s="278" t="s">
        <v>10</v>
      </c>
      <c r="E230" s="280"/>
      <c r="F230" s="287">
        <v>45639</v>
      </c>
      <c r="G230" s="287">
        <v>45779</v>
      </c>
      <c r="H230" s="291">
        <f t="shared" si="4"/>
        <v>141</v>
      </c>
      <c r="I230" s="292" t="s">
        <v>658</v>
      </c>
    </row>
    <row r="231" spans="1:9" hidden="1" x14ac:dyDescent="0.25">
      <c r="A231" s="278">
        <v>191</v>
      </c>
      <c r="B231" s="285" t="s">
        <v>657</v>
      </c>
      <c r="C231" s="286" t="s">
        <v>65</v>
      </c>
      <c r="D231" s="278" t="s">
        <v>10</v>
      </c>
      <c r="E231" s="280"/>
      <c r="F231" s="287">
        <v>45639</v>
      </c>
      <c r="G231" s="287">
        <v>45763</v>
      </c>
      <c r="H231" s="291">
        <f t="shared" si="4"/>
        <v>125</v>
      </c>
      <c r="I231" s="292" t="s">
        <v>658</v>
      </c>
    </row>
    <row r="232" spans="1:9" hidden="1" x14ac:dyDescent="0.25">
      <c r="A232" s="278">
        <v>192</v>
      </c>
      <c r="B232" s="285" t="s">
        <v>657</v>
      </c>
      <c r="C232" s="286" t="s">
        <v>66</v>
      </c>
      <c r="D232" s="278" t="s">
        <v>10</v>
      </c>
      <c r="E232" s="280"/>
      <c r="F232" s="287">
        <v>45639</v>
      </c>
      <c r="G232" s="287">
        <v>45758</v>
      </c>
      <c r="H232" s="291">
        <f t="shared" si="4"/>
        <v>120</v>
      </c>
      <c r="I232" s="292" t="s">
        <v>658</v>
      </c>
    </row>
    <row r="233" spans="1:9" hidden="1" x14ac:dyDescent="0.25">
      <c r="A233" s="278">
        <v>193</v>
      </c>
      <c r="B233" s="285" t="s">
        <v>657</v>
      </c>
      <c r="C233" s="286" t="s">
        <v>67</v>
      </c>
      <c r="D233" s="278" t="s">
        <v>10</v>
      </c>
      <c r="E233" s="280"/>
      <c r="F233" s="287">
        <v>45639</v>
      </c>
      <c r="G233" s="287">
        <v>45789</v>
      </c>
      <c r="H233" s="291">
        <f t="shared" si="4"/>
        <v>151</v>
      </c>
      <c r="I233" s="292" t="s">
        <v>658</v>
      </c>
    </row>
    <row r="234" spans="1:9" hidden="1" x14ac:dyDescent="0.25">
      <c r="A234" s="278">
        <v>194</v>
      </c>
      <c r="B234" s="285" t="s">
        <v>657</v>
      </c>
      <c r="C234" s="286" t="s">
        <v>88</v>
      </c>
      <c r="D234" s="278" t="s">
        <v>10</v>
      </c>
      <c r="E234" s="280"/>
      <c r="F234" s="287">
        <v>45639</v>
      </c>
      <c r="G234" s="287">
        <v>45831</v>
      </c>
      <c r="H234" s="291">
        <f t="shared" ref="H234:H250" si="5">+IF(G234="","Awaited",_xlfn.DAYS(G234,F234)+1)</f>
        <v>193</v>
      </c>
      <c r="I234" s="292" t="s">
        <v>658</v>
      </c>
    </row>
    <row r="235" spans="1:9" hidden="1" x14ac:dyDescent="0.25">
      <c r="A235" s="278">
        <v>195</v>
      </c>
      <c r="B235" s="285" t="s">
        <v>657</v>
      </c>
      <c r="C235" s="286" t="s">
        <v>534</v>
      </c>
      <c r="D235" s="278" t="s">
        <v>10</v>
      </c>
      <c r="E235" s="280"/>
      <c r="F235" s="287">
        <v>45639</v>
      </c>
      <c r="G235" s="287">
        <v>45836</v>
      </c>
      <c r="H235" s="291">
        <f t="shared" si="5"/>
        <v>198</v>
      </c>
      <c r="I235" s="292" t="s">
        <v>658</v>
      </c>
    </row>
    <row r="236" spans="1:9" hidden="1" x14ac:dyDescent="0.25">
      <c r="A236" s="278">
        <v>196</v>
      </c>
      <c r="B236" s="285" t="s">
        <v>657</v>
      </c>
      <c r="C236" s="286" t="s">
        <v>651</v>
      </c>
      <c r="D236" s="278" t="s">
        <v>10</v>
      </c>
      <c r="E236" s="280"/>
      <c r="F236" s="287">
        <v>45639</v>
      </c>
      <c r="G236" s="287">
        <v>45765</v>
      </c>
      <c r="H236" s="291">
        <f t="shared" si="5"/>
        <v>127</v>
      </c>
      <c r="I236" s="292" t="s">
        <v>658</v>
      </c>
    </row>
    <row r="237" spans="1:9" hidden="1" x14ac:dyDescent="0.25">
      <c r="A237" s="278">
        <v>197</v>
      </c>
      <c r="B237" s="285" t="s">
        <v>657</v>
      </c>
      <c r="C237" s="286" t="s">
        <v>535</v>
      </c>
      <c r="D237" s="278" t="s">
        <v>10</v>
      </c>
      <c r="E237" s="280"/>
      <c r="F237" s="287">
        <v>45639</v>
      </c>
      <c r="G237" s="287">
        <v>45762</v>
      </c>
      <c r="H237" s="291">
        <f t="shared" si="5"/>
        <v>124</v>
      </c>
      <c r="I237" s="292" t="s">
        <v>658</v>
      </c>
    </row>
    <row r="238" spans="1:9" hidden="1" x14ac:dyDescent="0.25">
      <c r="A238" s="278">
        <v>198</v>
      </c>
      <c r="B238" s="285" t="s">
        <v>657</v>
      </c>
      <c r="C238" s="286" t="s">
        <v>536</v>
      </c>
      <c r="D238" s="278" t="s">
        <v>10</v>
      </c>
      <c r="E238" s="280"/>
      <c r="F238" s="287">
        <v>45639</v>
      </c>
      <c r="G238" s="287">
        <v>45768</v>
      </c>
      <c r="H238" s="291">
        <f t="shared" si="5"/>
        <v>130</v>
      </c>
      <c r="I238" s="292" t="s">
        <v>658</v>
      </c>
    </row>
    <row r="239" spans="1:9" hidden="1" x14ac:dyDescent="0.25">
      <c r="A239" s="278">
        <v>199</v>
      </c>
      <c r="B239" s="285" t="s">
        <v>657</v>
      </c>
      <c r="C239" s="286" t="s">
        <v>537</v>
      </c>
      <c r="D239" s="278" t="s">
        <v>10</v>
      </c>
      <c r="E239" s="280"/>
      <c r="F239" s="287">
        <v>45641</v>
      </c>
      <c r="G239" s="287">
        <v>45763</v>
      </c>
      <c r="H239" s="291">
        <f t="shared" si="5"/>
        <v>123</v>
      </c>
      <c r="I239" s="292" t="s">
        <v>658</v>
      </c>
    </row>
    <row r="240" spans="1:9" hidden="1" x14ac:dyDescent="0.25">
      <c r="A240" s="278">
        <v>200</v>
      </c>
      <c r="B240" s="285" t="s">
        <v>657</v>
      </c>
      <c r="C240" s="286" t="s">
        <v>538</v>
      </c>
      <c r="D240" s="278" t="s">
        <v>10</v>
      </c>
      <c r="E240" s="280"/>
      <c r="F240" s="287">
        <v>45641</v>
      </c>
      <c r="G240" s="287">
        <v>45789</v>
      </c>
      <c r="H240" s="291">
        <f t="shared" si="5"/>
        <v>149</v>
      </c>
      <c r="I240" s="292" t="s">
        <v>658</v>
      </c>
    </row>
    <row r="241" spans="1:9" hidden="1" x14ac:dyDescent="0.25">
      <c r="A241" s="278">
        <v>201</v>
      </c>
      <c r="B241" s="285" t="s">
        <v>657</v>
      </c>
      <c r="C241" s="286" t="s">
        <v>539</v>
      </c>
      <c r="D241" s="278" t="s">
        <v>10</v>
      </c>
      <c r="E241" s="280"/>
      <c r="F241" s="287">
        <v>45641</v>
      </c>
      <c r="G241" s="287">
        <v>45752</v>
      </c>
      <c r="H241" s="291">
        <f t="shared" si="5"/>
        <v>112</v>
      </c>
      <c r="I241" s="292" t="s">
        <v>658</v>
      </c>
    </row>
    <row r="242" spans="1:9" hidden="1" x14ac:dyDescent="0.25">
      <c r="A242" s="278">
        <v>202</v>
      </c>
      <c r="B242" s="285" t="s">
        <v>657</v>
      </c>
      <c r="C242" s="286" t="s">
        <v>540</v>
      </c>
      <c r="D242" s="278" t="s">
        <v>10</v>
      </c>
      <c r="E242" s="280"/>
      <c r="F242" s="287">
        <v>45641</v>
      </c>
      <c r="G242" s="287">
        <v>45758</v>
      </c>
      <c r="H242" s="291">
        <f t="shared" si="5"/>
        <v>118</v>
      </c>
      <c r="I242" s="292" t="s">
        <v>658</v>
      </c>
    </row>
    <row r="243" spans="1:9" hidden="1" x14ac:dyDescent="0.25">
      <c r="A243" s="278">
        <v>203</v>
      </c>
      <c r="B243" s="285" t="s">
        <v>657</v>
      </c>
      <c r="C243" s="286" t="s">
        <v>541</v>
      </c>
      <c r="D243" s="278" t="s">
        <v>10</v>
      </c>
      <c r="E243" s="280"/>
      <c r="F243" s="287">
        <v>45641</v>
      </c>
      <c r="G243" s="287">
        <v>45775</v>
      </c>
      <c r="H243" s="291">
        <f t="shared" si="5"/>
        <v>135</v>
      </c>
      <c r="I243" s="292" t="s">
        <v>1298</v>
      </c>
    </row>
    <row r="244" spans="1:9" ht="25.5" hidden="1" x14ac:dyDescent="0.25">
      <c r="A244" s="278">
        <v>204</v>
      </c>
      <c r="B244" s="285" t="s">
        <v>657</v>
      </c>
      <c r="C244" s="286" t="s">
        <v>542</v>
      </c>
      <c r="D244" s="278" t="s">
        <v>10</v>
      </c>
      <c r="E244" s="280"/>
      <c r="F244" s="287">
        <v>45641</v>
      </c>
      <c r="G244" s="287">
        <v>45775</v>
      </c>
      <c r="H244" s="291">
        <f t="shared" si="5"/>
        <v>135</v>
      </c>
      <c r="I244" s="292" t="s">
        <v>1297</v>
      </c>
    </row>
    <row r="245" spans="1:9" hidden="1" x14ac:dyDescent="0.25">
      <c r="A245" s="278">
        <v>205</v>
      </c>
      <c r="B245" s="285" t="s">
        <v>657</v>
      </c>
      <c r="C245" s="286" t="s">
        <v>552</v>
      </c>
      <c r="D245" s="278" t="s">
        <v>10</v>
      </c>
      <c r="E245" s="280"/>
      <c r="F245" s="287">
        <v>45641</v>
      </c>
      <c r="G245" s="287">
        <v>45779</v>
      </c>
      <c r="H245" s="291">
        <f t="shared" si="5"/>
        <v>139</v>
      </c>
      <c r="I245" s="292" t="s">
        <v>658</v>
      </c>
    </row>
    <row r="246" spans="1:9" hidden="1" x14ac:dyDescent="0.25">
      <c r="A246" s="278">
        <v>206</v>
      </c>
      <c r="B246" s="285" t="s">
        <v>657</v>
      </c>
      <c r="C246" s="286" t="s">
        <v>554</v>
      </c>
      <c r="D246" s="278" t="s">
        <v>10</v>
      </c>
      <c r="E246" s="280"/>
      <c r="F246" s="287">
        <v>45641</v>
      </c>
      <c r="G246" s="287">
        <v>45795</v>
      </c>
      <c r="H246" s="291">
        <f t="shared" si="5"/>
        <v>155</v>
      </c>
      <c r="I246" s="292" t="s">
        <v>658</v>
      </c>
    </row>
    <row r="247" spans="1:9" hidden="1" x14ac:dyDescent="0.25">
      <c r="A247" s="278">
        <v>207</v>
      </c>
      <c r="B247" s="285" t="s">
        <v>657</v>
      </c>
      <c r="C247" s="286" t="s">
        <v>555</v>
      </c>
      <c r="D247" s="278" t="s">
        <v>10</v>
      </c>
      <c r="E247" s="280"/>
      <c r="F247" s="287">
        <v>45641</v>
      </c>
      <c r="G247" s="287">
        <v>45767</v>
      </c>
      <c r="H247" s="291">
        <f t="shared" si="5"/>
        <v>127</v>
      </c>
      <c r="I247" s="292" t="s">
        <v>658</v>
      </c>
    </row>
    <row r="248" spans="1:9" hidden="1" x14ac:dyDescent="0.25">
      <c r="A248" s="278">
        <v>208</v>
      </c>
      <c r="B248" s="285" t="s">
        <v>657</v>
      </c>
      <c r="C248" s="286" t="s">
        <v>556</v>
      </c>
      <c r="D248" s="278" t="s">
        <v>10</v>
      </c>
      <c r="E248" s="280"/>
      <c r="F248" s="287">
        <v>45641</v>
      </c>
      <c r="G248" s="287">
        <v>45798</v>
      </c>
      <c r="H248" s="291">
        <f t="shared" si="5"/>
        <v>158</v>
      </c>
      <c r="I248" s="292" t="s">
        <v>658</v>
      </c>
    </row>
    <row r="249" spans="1:9" hidden="1" x14ac:dyDescent="0.25">
      <c r="A249" s="278">
        <v>209</v>
      </c>
      <c r="B249" s="285" t="s">
        <v>657</v>
      </c>
      <c r="C249" s="286" t="s">
        <v>562</v>
      </c>
      <c r="D249" s="278" t="s">
        <v>10</v>
      </c>
      <c r="E249" s="280"/>
      <c r="F249" s="287">
        <v>45641</v>
      </c>
      <c r="G249" s="287">
        <v>45793</v>
      </c>
      <c r="H249" s="291">
        <f t="shared" si="5"/>
        <v>153</v>
      </c>
      <c r="I249" s="292" t="s">
        <v>658</v>
      </c>
    </row>
    <row r="250" spans="1:9" hidden="1" x14ac:dyDescent="0.25">
      <c r="A250" s="278">
        <v>210</v>
      </c>
      <c r="B250" s="285" t="s">
        <v>657</v>
      </c>
      <c r="C250" s="286" t="s">
        <v>574</v>
      </c>
      <c r="D250" s="278" t="s">
        <v>10</v>
      </c>
      <c r="E250" s="280"/>
      <c r="F250" s="287">
        <v>45641</v>
      </c>
      <c r="G250" s="287">
        <v>45704</v>
      </c>
      <c r="H250" s="291">
        <f t="shared" si="5"/>
        <v>64</v>
      </c>
      <c r="I250" s="292" t="s">
        <v>658</v>
      </c>
    </row>
    <row r="255" spans="1:9" x14ac:dyDescent="0.25">
      <c r="A255" s="861" t="s">
        <v>126</v>
      </c>
      <c r="B255" s="861"/>
      <c r="C255" s="861"/>
      <c r="D255" s="861"/>
      <c r="E255" s="861"/>
      <c r="F255" s="861"/>
      <c r="G255" s="861"/>
      <c r="H255" s="861"/>
      <c r="I255" s="861"/>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v>3</v>
      </c>
      <c r="B259" s="293" t="s">
        <v>613</v>
      </c>
      <c r="C259" s="286" t="s">
        <v>499</v>
      </c>
      <c r="D259" s="278" t="s">
        <v>126</v>
      </c>
      <c r="E259" s="280" t="s">
        <v>598</v>
      </c>
      <c r="F259" s="287">
        <v>45589</v>
      </c>
      <c r="G259" s="287">
        <v>45590</v>
      </c>
      <c r="H259" s="288">
        <f t="shared" si="6"/>
        <v>2</v>
      </c>
      <c r="I259" s="294" t="s">
        <v>550</v>
      </c>
    </row>
    <row r="260" spans="1:9" ht="25.5" x14ac:dyDescent="0.25">
      <c r="A260" s="278">
        <v>4</v>
      </c>
      <c r="B260" s="293" t="s">
        <v>612</v>
      </c>
      <c r="C260" s="286" t="s">
        <v>501</v>
      </c>
      <c r="D260" s="278" t="s">
        <v>126</v>
      </c>
      <c r="E260" s="280" t="s">
        <v>593</v>
      </c>
      <c r="F260" s="287">
        <v>45589</v>
      </c>
      <c r="G260" s="287">
        <v>45590</v>
      </c>
      <c r="H260" s="288">
        <f t="shared" si="6"/>
        <v>2</v>
      </c>
      <c r="I260" s="294" t="s">
        <v>550</v>
      </c>
    </row>
    <row r="261" spans="1:9" x14ac:dyDescent="0.25">
      <c r="A261" s="278">
        <v>5</v>
      </c>
      <c r="B261" s="293" t="s">
        <v>618</v>
      </c>
      <c r="C261" s="278" t="s">
        <v>496</v>
      </c>
      <c r="D261" s="278" t="s">
        <v>126</v>
      </c>
      <c r="E261" s="280"/>
      <c r="F261" s="287">
        <v>45597</v>
      </c>
      <c r="G261" s="287">
        <v>46022</v>
      </c>
      <c r="H261" s="288">
        <f t="shared" si="6"/>
        <v>426</v>
      </c>
      <c r="I261" s="294" t="s">
        <v>550</v>
      </c>
    </row>
    <row r="262" spans="1:9" x14ac:dyDescent="0.25">
      <c r="A262" s="278">
        <v>6</v>
      </c>
      <c r="B262" s="293" t="s">
        <v>618</v>
      </c>
      <c r="C262" s="278" t="s">
        <v>497</v>
      </c>
      <c r="D262" s="278" t="s">
        <v>126</v>
      </c>
      <c r="E262" s="280"/>
      <c r="F262" s="287">
        <v>45597</v>
      </c>
      <c r="G262" s="287"/>
      <c r="H262" s="288" t="str">
        <f t="shared" si="6"/>
        <v>Awaited</v>
      </c>
      <c r="I262" s="294" t="s">
        <v>550</v>
      </c>
    </row>
    <row r="263" spans="1:9" x14ac:dyDescent="0.25">
      <c r="A263" s="278">
        <v>7</v>
      </c>
      <c r="B263" s="293" t="s">
        <v>618</v>
      </c>
      <c r="C263" s="278" t="s">
        <v>507</v>
      </c>
      <c r="D263" s="278" t="s">
        <v>126</v>
      </c>
      <c r="E263" s="280"/>
      <c r="F263" s="287">
        <v>45598</v>
      </c>
      <c r="G263" s="287">
        <v>45759</v>
      </c>
      <c r="H263" s="288">
        <f t="shared" si="6"/>
        <v>162</v>
      </c>
      <c r="I263" s="294" t="s">
        <v>550</v>
      </c>
    </row>
    <row r="264" spans="1:9" x14ac:dyDescent="0.25">
      <c r="A264" s="278">
        <v>8</v>
      </c>
      <c r="B264" s="293" t="s">
        <v>618</v>
      </c>
      <c r="C264" s="278" t="s">
        <v>508</v>
      </c>
      <c r="D264" s="278" t="s">
        <v>126</v>
      </c>
      <c r="E264" s="280" t="s">
        <v>599</v>
      </c>
      <c r="F264" s="287">
        <v>45598</v>
      </c>
      <c r="G264" s="287">
        <v>45619</v>
      </c>
      <c r="H264" s="288">
        <f t="shared" si="6"/>
        <v>22</v>
      </c>
      <c r="I264" s="294" t="s">
        <v>638</v>
      </c>
    </row>
    <row r="265" spans="1:9" x14ac:dyDescent="0.25">
      <c r="A265" s="278">
        <v>9</v>
      </c>
      <c r="B265" s="293" t="s">
        <v>618</v>
      </c>
      <c r="C265" s="278" t="s">
        <v>509</v>
      </c>
      <c r="D265" s="278" t="s">
        <v>126</v>
      </c>
      <c r="E265" s="280"/>
      <c r="F265" s="287">
        <v>45598</v>
      </c>
      <c r="G265" s="287">
        <v>45885</v>
      </c>
      <c r="H265" s="288">
        <f t="shared" si="6"/>
        <v>288</v>
      </c>
      <c r="I265" s="294" t="s">
        <v>550</v>
      </c>
    </row>
    <row r="266" spans="1:9" ht="25.5" x14ac:dyDescent="0.25">
      <c r="A266" s="278">
        <v>10</v>
      </c>
      <c r="B266" s="295" t="s">
        <v>639</v>
      </c>
      <c r="C266" s="296" t="s">
        <v>490</v>
      </c>
      <c r="D266" s="297" t="s">
        <v>126</v>
      </c>
      <c r="E266" s="298" t="s">
        <v>598</v>
      </c>
      <c r="F266" s="299">
        <v>45622</v>
      </c>
      <c r="G266" s="287">
        <v>46003</v>
      </c>
      <c r="H266" s="288">
        <f t="shared" si="6"/>
        <v>382</v>
      </c>
      <c r="I266" s="294" t="s">
        <v>550</v>
      </c>
    </row>
    <row r="267" spans="1:9" ht="25.5" x14ac:dyDescent="0.25">
      <c r="A267" s="278">
        <v>11</v>
      </c>
      <c r="B267" s="293" t="s">
        <v>644</v>
      </c>
      <c r="C267" s="286" t="s">
        <v>48</v>
      </c>
      <c r="D267" s="278" t="s">
        <v>126</v>
      </c>
      <c r="E267" s="280" t="s">
        <v>626</v>
      </c>
      <c r="F267" s="287">
        <v>45656</v>
      </c>
      <c r="G267" s="287"/>
      <c r="H267" s="288" t="str">
        <f t="shared" si="6"/>
        <v>Awaited</v>
      </c>
      <c r="I267" s="294" t="s">
        <v>1415</v>
      </c>
    </row>
    <row r="268" spans="1:9" ht="25.5" x14ac:dyDescent="0.25">
      <c r="A268" s="278">
        <v>12</v>
      </c>
      <c r="B268" s="293" t="s">
        <v>644</v>
      </c>
      <c r="C268" s="286" t="s">
        <v>485</v>
      </c>
      <c r="D268" s="278" t="s">
        <v>126</v>
      </c>
      <c r="E268" s="280" t="s">
        <v>595</v>
      </c>
      <c r="F268" s="287">
        <v>45656</v>
      </c>
      <c r="G268" s="287">
        <v>45657</v>
      </c>
      <c r="H268" s="288">
        <f t="shared" si="6"/>
        <v>2</v>
      </c>
      <c r="I268" s="294" t="s">
        <v>550</v>
      </c>
    </row>
    <row r="269" spans="1:9" x14ac:dyDescent="0.25">
      <c r="A269" s="278">
        <v>13</v>
      </c>
      <c r="B269" s="293" t="s">
        <v>657</v>
      </c>
      <c r="C269" s="286" t="s">
        <v>157</v>
      </c>
      <c r="D269" s="278" t="s">
        <v>126</v>
      </c>
      <c r="E269" s="280"/>
      <c r="F269" s="287">
        <v>45658</v>
      </c>
      <c r="G269" s="287">
        <v>46014</v>
      </c>
      <c r="H269" s="288">
        <f t="shared" si="6"/>
        <v>357</v>
      </c>
      <c r="I269" s="294" t="s">
        <v>658</v>
      </c>
    </row>
    <row r="270" spans="1:9" x14ac:dyDescent="0.25">
      <c r="A270" s="278">
        <v>14</v>
      </c>
      <c r="B270" s="293" t="s">
        <v>657</v>
      </c>
      <c r="C270" s="286" t="s">
        <v>484</v>
      </c>
      <c r="D270" s="278" t="s">
        <v>126</v>
      </c>
      <c r="E270" s="280"/>
      <c r="F270" s="287">
        <v>45658</v>
      </c>
      <c r="G270" s="287"/>
      <c r="H270" s="288" t="str">
        <f t="shared" si="6"/>
        <v>Awaited</v>
      </c>
      <c r="I270" s="294" t="s">
        <v>658</v>
      </c>
    </row>
    <row r="271" spans="1:9" x14ac:dyDescent="0.25">
      <c r="A271" s="278">
        <v>15</v>
      </c>
      <c r="B271" s="293" t="s">
        <v>657</v>
      </c>
      <c r="C271" s="286" t="s">
        <v>488</v>
      </c>
      <c r="D271" s="278" t="s">
        <v>126</v>
      </c>
      <c r="E271" s="280"/>
      <c r="F271" s="287">
        <v>45658</v>
      </c>
      <c r="G271" s="287">
        <v>45996</v>
      </c>
      <c r="H271" s="288">
        <f t="shared" si="6"/>
        <v>339</v>
      </c>
      <c r="I271" s="294" t="s">
        <v>658</v>
      </c>
    </row>
    <row r="272" spans="1:9" x14ac:dyDescent="0.25">
      <c r="A272" s="278">
        <v>16</v>
      </c>
      <c r="B272" s="293" t="s">
        <v>657</v>
      </c>
      <c r="C272" s="286" t="s">
        <v>47</v>
      </c>
      <c r="D272" s="278" t="s">
        <v>126</v>
      </c>
      <c r="E272" s="280"/>
      <c r="F272" s="287">
        <v>45658</v>
      </c>
      <c r="G272" s="287">
        <v>45858</v>
      </c>
      <c r="H272" s="288">
        <f t="shared" si="6"/>
        <v>201</v>
      </c>
      <c r="I272" s="294" t="s">
        <v>658</v>
      </c>
    </row>
    <row r="273" spans="1:9" x14ac:dyDescent="0.25">
      <c r="A273" s="278">
        <v>17</v>
      </c>
      <c r="B273" s="293" t="s">
        <v>657</v>
      </c>
      <c r="C273" s="286" t="s">
        <v>492</v>
      </c>
      <c r="D273" s="278" t="s">
        <v>126</v>
      </c>
      <c r="E273" s="280"/>
      <c r="F273" s="287">
        <v>45658</v>
      </c>
      <c r="G273" s="287">
        <v>46007</v>
      </c>
      <c r="H273" s="288">
        <f t="shared" si="6"/>
        <v>350</v>
      </c>
      <c r="I273" s="294" t="s">
        <v>658</v>
      </c>
    </row>
    <row r="274" spans="1:9" x14ac:dyDescent="0.25">
      <c r="A274" s="278">
        <v>18</v>
      </c>
      <c r="B274" s="293" t="s">
        <v>657</v>
      </c>
      <c r="C274" s="286" t="s">
        <v>493</v>
      </c>
      <c r="D274" s="278" t="s">
        <v>126</v>
      </c>
      <c r="E274" s="280"/>
      <c r="F274" s="287">
        <v>45658</v>
      </c>
      <c r="G274" s="287">
        <v>46007</v>
      </c>
      <c r="H274" s="288">
        <f t="shared" si="6"/>
        <v>350</v>
      </c>
      <c r="I274" s="294" t="s">
        <v>658</v>
      </c>
    </row>
    <row r="275" spans="1:9" x14ac:dyDescent="0.25">
      <c r="A275" s="278">
        <v>19</v>
      </c>
      <c r="B275" s="293" t="s">
        <v>657</v>
      </c>
      <c r="C275" s="286" t="s">
        <v>512</v>
      </c>
      <c r="D275" s="278" t="s">
        <v>126</v>
      </c>
      <c r="E275" s="280"/>
      <c r="F275" s="287">
        <v>45658</v>
      </c>
      <c r="G275" s="287">
        <v>45852</v>
      </c>
      <c r="H275" s="288">
        <f t="shared" si="6"/>
        <v>195</v>
      </c>
      <c r="I275" s="294" t="s">
        <v>658</v>
      </c>
    </row>
    <row r="276" spans="1:9" x14ac:dyDescent="0.25">
      <c r="A276" s="278">
        <v>20</v>
      </c>
      <c r="B276" s="293" t="s">
        <v>657</v>
      </c>
      <c r="C276" s="286" t="s">
        <v>515</v>
      </c>
      <c r="D276" s="278" t="s">
        <v>126</v>
      </c>
      <c r="E276" s="280"/>
      <c r="F276" s="287">
        <v>45658</v>
      </c>
      <c r="G276" s="287"/>
      <c r="H276" s="288" t="str">
        <f t="shared" si="6"/>
        <v>Awaited</v>
      </c>
      <c r="I276" s="294" t="s">
        <v>658</v>
      </c>
    </row>
    <row r="277" spans="1:9" x14ac:dyDescent="0.25">
      <c r="A277" s="278">
        <v>21</v>
      </c>
      <c r="B277" s="293" t="s">
        <v>657</v>
      </c>
      <c r="C277" s="286" t="s">
        <v>516</v>
      </c>
      <c r="D277" s="278" t="s">
        <v>126</v>
      </c>
      <c r="E277" s="280"/>
      <c r="F277" s="287">
        <v>45658</v>
      </c>
      <c r="G277" s="287">
        <v>45950</v>
      </c>
      <c r="H277" s="288">
        <f>+IF(G277="","Awaited",_xlfn.DAYS(G277,F277)+1)</f>
        <v>293</v>
      </c>
      <c r="I277" s="294" t="s">
        <v>658</v>
      </c>
    </row>
    <row r="278" spans="1:9" x14ac:dyDescent="0.25">
      <c r="A278" s="278">
        <v>22</v>
      </c>
      <c r="B278" s="293" t="s">
        <v>657</v>
      </c>
      <c r="C278" s="286" t="s">
        <v>632</v>
      </c>
      <c r="D278" s="278" t="s">
        <v>126</v>
      </c>
      <c r="E278" s="280" t="s">
        <v>1452</v>
      </c>
      <c r="F278" s="287">
        <v>45862</v>
      </c>
      <c r="G278" s="287">
        <v>45863</v>
      </c>
      <c r="H278" s="288">
        <f>+IF(G278="","Awaited",_xlfn.DAYS(G278,F278)+1)</f>
        <v>2</v>
      </c>
      <c r="I278" s="294" t="s">
        <v>1451</v>
      </c>
    </row>
    <row r="279" spans="1:9" ht="25.5" x14ac:dyDescent="0.25">
      <c r="A279" s="278">
        <v>23</v>
      </c>
      <c r="B279" s="293" t="s">
        <v>657</v>
      </c>
      <c r="C279" s="286" t="s">
        <v>480</v>
      </c>
      <c r="D279" s="278" t="s">
        <v>126</v>
      </c>
      <c r="E279" s="280" t="s">
        <v>1449</v>
      </c>
      <c r="F279" s="287">
        <v>45863</v>
      </c>
      <c r="G279" s="287">
        <v>45950</v>
      </c>
      <c r="H279" s="288">
        <f>+IF(G279="","Awaited",_xlfn.DAYS(G279,F279)+1)</f>
        <v>88</v>
      </c>
      <c r="I279" s="294" t="s">
        <v>1453</v>
      </c>
    </row>
    <row r="280" spans="1:9" ht="25.5" x14ac:dyDescent="0.25">
      <c r="A280" s="278">
        <v>24</v>
      </c>
      <c r="B280" s="293" t="s">
        <v>657</v>
      </c>
      <c r="C280" s="286" t="s">
        <v>69</v>
      </c>
      <c r="D280" s="278" t="s">
        <v>126</v>
      </c>
      <c r="E280" s="280" t="s">
        <v>1490</v>
      </c>
      <c r="F280" s="287">
        <v>45875</v>
      </c>
      <c r="G280" s="287">
        <v>45993</v>
      </c>
      <c r="H280" s="288">
        <f>+IF(G280="","Awaited",_xlfn.DAYS(G280,F280)+1)</f>
        <v>119</v>
      </c>
      <c r="I280" s="292" t="s">
        <v>1502</v>
      </c>
    </row>
    <row r="281" spans="1:9" x14ac:dyDescent="0.25">
      <c r="A281" s="278">
        <v>25</v>
      </c>
      <c r="B281" s="293" t="s">
        <v>657</v>
      </c>
      <c r="C281" s="286" t="s">
        <v>518</v>
      </c>
      <c r="D281" s="278" t="s">
        <v>126</v>
      </c>
      <c r="E281" s="280"/>
      <c r="F281" s="287">
        <v>45962</v>
      </c>
      <c r="G281" s="287">
        <v>46009</v>
      </c>
      <c r="H281" s="288">
        <f>+IF(G281="","Awaited",_xlfn.DAYS(G281,F281)+1)</f>
        <v>48</v>
      </c>
      <c r="I281" s="292" t="s">
        <v>1645</v>
      </c>
    </row>
    <row r="282" spans="1:9" x14ac:dyDescent="0.25">
      <c r="A282" s="278">
        <v>26</v>
      </c>
      <c r="B282" s="293" t="s">
        <v>657</v>
      </c>
      <c r="C282" s="286" t="s">
        <v>152</v>
      </c>
      <c r="D282" s="278" t="s">
        <v>126</v>
      </c>
      <c r="E282" s="280"/>
      <c r="F282" s="287">
        <v>45881</v>
      </c>
      <c r="G282" s="287"/>
      <c r="H282" s="288" t="str">
        <f t="shared" ref="H282:H339" si="7">+IF(G282="","Awaited",_xlfn.DAYS(G282,F282)+1)</f>
        <v>Awaited</v>
      </c>
      <c r="I282" s="292" t="s">
        <v>1534</v>
      </c>
    </row>
    <row r="283" spans="1:9" x14ac:dyDescent="0.25">
      <c r="A283" s="278">
        <v>27</v>
      </c>
      <c r="B283" s="293" t="s">
        <v>657</v>
      </c>
      <c r="C283" s="286" t="s">
        <v>155</v>
      </c>
      <c r="D283" s="278" t="s">
        <v>126</v>
      </c>
      <c r="E283" s="280"/>
      <c r="F283" s="287">
        <v>45881</v>
      </c>
      <c r="G283" s="287"/>
      <c r="H283" s="288" t="str">
        <f t="shared" si="7"/>
        <v>Awaited</v>
      </c>
      <c r="I283" s="292" t="s">
        <v>1534</v>
      </c>
    </row>
    <row r="284" spans="1:9" ht="38.25" x14ac:dyDescent="0.25">
      <c r="A284" s="278">
        <v>28</v>
      </c>
      <c r="B284" s="293" t="s">
        <v>657</v>
      </c>
      <c r="C284" s="286" t="s">
        <v>189</v>
      </c>
      <c r="D284" s="278" t="s">
        <v>126</v>
      </c>
      <c r="E284" s="280" t="s">
        <v>1533</v>
      </c>
      <c r="F284" s="287">
        <v>45898</v>
      </c>
      <c r="G284" s="287">
        <v>46017</v>
      </c>
      <c r="H284" s="288">
        <f t="shared" si="7"/>
        <v>120</v>
      </c>
      <c r="I284" s="292" t="s">
        <v>1534</v>
      </c>
    </row>
    <row r="285" spans="1:9" ht="25.5" x14ac:dyDescent="0.25">
      <c r="A285" s="278">
        <v>29</v>
      </c>
      <c r="B285" s="285" t="s">
        <v>1536</v>
      </c>
      <c r="C285" s="286" t="s">
        <v>531</v>
      </c>
      <c r="D285" s="278" t="s">
        <v>126</v>
      </c>
      <c r="E285" s="280"/>
      <c r="F285" s="287">
        <v>45899</v>
      </c>
      <c r="G285" s="287">
        <v>46017</v>
      </c>
      <c r="H285" s="288">
        <f t="shared" si="7"/>
        <v>119</v>
      </c>
      <c r="I285" s="292" t="s">
        <v>1534</v>
      </c>
    </row>
    <row r="286" spans="1:9" ht="25.5" x14ac:dyDescent="0.25">
      <c r="A286" s="278">
        <v>30</v>
      </c>
      <c r="B286" s="285" t="s">
        <v>1536</v>
      </c>
      <c r="C286" s="286" t="s">
        <v>532</v>
      </c>
      <c r="D286" s="278" t="s">
        <v>126</v>
      </c>
      <c r="E286" s="280"/>
      <c r="F286" s="287">
        <v>45899</v>
      </c>
      <c r="G286" s="287"/>
      <c r="H286" s="288" t="str">
        <f t="shared" si="7"/>
        <v>Awaited</v>
      </c>
      <c r="I286" s="292" t="s">
        <v>1534</v>
      </c>
    </row>
    <row r="287" spans="1:9" ht="25.5" x14ac:dyDescent="0.25">
      <c r="A287" s="278">
        <v>31</v>
      </c>
      <c r="B287" s="285" t="s">
        <v>1536</v>
      </c>
      <c r="C287" s="286" t="s">
        <v>533</v>
      </c>
      <c r="D287" s="278" t="s">
        <v>126</v>
      </c>
      <c r="E287" s="280"/>
      <c r="F287" s="287">
        <v>45899</v>
      </c>
      <c r="G287" s="287"/>
      <c r="H287" s="288" t="str">
        <f t="shared" si="7"/>
        <v>Awaited</v>
      </c>
      <c r="I287" s="292" t="s">
        <v>1534</v>
      </c>
    </row>
    <row r="288" spans="1:9" ht="25.5" x14ac:dyDescent="0.25">
      <c r="A288" s="278">
        <v>32</v>
      </c>
      <c r="B288" s="285" t="s">
        <v>1536</v>
      </c>
      <c r="C288" s="286" t="s">
        <v>57</v>
      </c>
      <c r="D288" s="278" t="s">
        <v>126</v>
      </c>
      <c r="E288" s="280"/>
      <c r="F288" s="287">
        <v>45899</v>
      </c>
      <c r="G288" s="287"/>
      <c r="H288" s="288" t="str">
        <f t="shared" si="7"/>
        <v>Awaited</v>
      </c>
      <c r="I288" s="292" t="s">
        <v>1534</v>
      </c>
    </row>
    <row r="289" spans="1:9" ht="25.5" x14ac:dyDescent="0.25">
      <c r="A289" s="278">
        <v>33</v>
      </c>
      <c r="B289" s="285" t="s">
        <v>1536</v>
      </c>
      <c r="C289" s="286" t="s">
        <v>34</v>
      </c>
      <c r="D289" s="278" t="s">
        <v>126</v>
      </c>
      <c r="E289" s="280"/>
      <c r="F289" s="287">
        <v>45899</v>
      </c>
      <c r="G289" s="287">
        <v>46043</v>
      </c>
      <c r="H289" s="288">
        <f t="shared" si="7"/>
        <v>145</v>
      </c>
      <c r="I289" s="292" t="s">
        <v>1534</v>
      </c>
    </row>
    <row r="290" spans="1:9" ht="25.5" x14ac:dyDescent="0.25">
      <c r="A290" s="278">
        <v>34</v>
      </c>
      <c r="B290" s="285" t="s">
        <v>1536</v>
      </c>
      <c r="C290" s="286" t="s">
        <v>179</v>
      </c>
      <c r="D290" s="278" t="s">
        <v>126</v>
      </c>
      <c r="E290" s="280"/>
      <c r="F290" s="287">
        <v>45899</v>
      </c>
      <c r="G290" s="287"/>
      <c r="H290" s="288" t="str">
        <f t="shared" si="7"/>
        <v>Awaited</v>
      </c>
      <c r="I290" s="292" t="s">
        <v>1534</v>
      </c>
    </row>
    <row r="291" spans="1:9" ht="25.5" x14ac:dyDescent="0.25">
      <c r="A291" s="278">
        <v>35</v>
      </c>
      <c r="B291" s="285" t="s">
        <v>1536</v>
      </c>
      <c r="C291" s="286" t="s">
        <v>180</v>
      </c>
      <c r="D291" s="278" t="s">
        <v>126</v>
      </c>
      <c r="E291" s="280"/>
      <c r="F291" s="287">
        <v>45899</v>
      </c>
      <c r="G291" s="287">
        <v>46025</v>
      </c>
      <c r="H291" s="288">
        <f t="shared" si="7"/>
        <v>127</v>
      </c>
      <c r="I291" s="292" t="s">
        <v>1534</v>
      </c>
    </row>
    <row r="292" spans="1:9" ht="25.5" x14ac:dyDescent="0.25">
      <c r="A292" s="278">
        <v>36</v>
      </c>
      <c r="B292" s="285" t="s">
        <v>1536</v>
      </c>
      <c r="C292" s="286" t="s">
        <v>58</v>
      </c>
      <c r="D292" s="278" t="s">
        <v>126</v>
      </c>
      <c r="E292" s="280"/>
      <c r="F292" s="287">
        <v>45899</v>
      </c>
      <c r="G292" s="287">
        <v>45906</v>
      </c>
      <c r="H292" s="288">
        <f t="shared" si="7"/>
        <v>8</v>
      </c>
      <c r="I292" s="292" t="s">
        <v>1534</v>
      </c>
    </row>
    <row r="293" spans="1:9" ht="25.5" x14ac:dyDescent="0.25">
      <c r="A293" s="278">
        <v>37</v>
      </c>
      <c r="B293" s="285" t="s">
        <v>1536</v>
      </c>
      <c r="C293" s="286" t="s">
        <v>61</v>
      </c>
      <c r="D293" s="278" t="s">
        <v>126</v>
      </c>
      <c r="E293" s="280"/>
      <c r="F293" s="287">
        <v>45899</v>
      </c>
      <c r="G293" s="287">
        <v>46051</v>
      </c>
      <c r="H293" s="288">
        <f t="shared" si="7"/>
        <v>153</v>
      </c>
      <c r="I293" s="292" t="s">
        <v>1534</v>
      </c>
    </row>
    <row r="294" spans="1:9" ht="25.5" x14ac:dyDescent="0.25">
      <c r="A294" s="278">
        <v>38</v>
      </c>
      <c r="B294" s="285" t="s">
        <v>1536</v>
      </c>
      <c r="C294" s="286" t="s">
        <v>62</v>
      </c>
      <c r="D294" s="278" t="s">
        <v>126</v>
      </c>
      <c r="E294" s="280"/>
      <c r="F294" s="287">
        <v>45899</v>
      </c>
      <c r="G294" s="287">
        <v>45981</v>
      </c>
      <c r="H294" s="288">
        <f t="shared" si="7"/>
        <v>83</v>
      </c>
      <c r="I294" s="292" t="s">
        <v>1534</v>
      </c>
    </row>
    <row r="295" spans="1:9" ht="63.75" x14ac:dyDescent="0.25">
      <c r="A295" s="278">
        <v>39</v>
      </c>
      <c r="B295" s="285" t="s">
        <v>1536</v>
      </c>
      <c r="C295" s="286" t="s">
        <v>183</v>
      </c>
      <c r="D295" s="278" t="s">
        <v>126</v>
      </c>
      <c r="E295" s="280"/>
      <c r="F295" s="287">
        <v>45899</v>
      </c>
      <c r="G295" s="287">
        <v>46031</v>
      </c>
      <c r="H295" s="288">
        <f t="shared" si="7"/>
        <v>133</v>
      </c>
      <c r="I295" s="292" t="s">
        <v>1670</v>
      </c>
    </row>
    <row r="296" spans="1:9" ht="25.5" x14ac:dyDescent="0.25">
      <c r="A296" s="278">
        <v>40</v>
      </c>
      <c r="B296" s="285" t="s">
        <v>1536</v>
      </c>
      <c r="C296" s="286" t="s">
        <v>184</v>
      </c>
      <c r="D296" s="278" t="s">
        <v>126</v>
      </c>
      <c r="E296" s="280"/>
      <c r="F296" s="287">
        <v>45899</v>
      </c>
      <c r="G296" s="287">
        <v>45997</v>
      </c>
      <c r="H296" s="288">
        <f t="shared" si="7"/>
        <v>99</v>
      </c>
      <c r="I296" s="292" t="s">
        <v>1534</v>
      </c>
    </row>
    <row r="297" spans="1:9" ht="25.5" x14ac:dyDescent="0.25">
      <c r="A297" s="278">
        <v>41</v>
      </c>
      <c r="B297" s="285" t="s">
        <v>1536</v>
      </c>
      <c r="C297" s="286" t="s">
        <v>68</v>
      </c>
      <c r="D297" s="278" t="s">
        <v>126</v>
      </c>
      <c r="E297" s="280"/>
      <c r="F297" s="287">
        <v>45899</v>
      </c>
      <c r="G297" s="287">
        <v>45967</v>
      </c>
      <c r="H297" s="288">
        <f t="shared" si="7"/>
        <v>69</v>
      </c>
      <c r="I297" s="292" t="s">
        <v>1534</v>
      </c>
    </row>
    <row r="298" spans="1:9" ht="25.5" x14ac:dyDescent="0.25">
      <c r="A298" s="278">
        <v>42</v>
      </c>
      <c r="B298" s="285" t="s">
        <v>1536</v>
      </c>
      <c r="C298" s="286" t="s">
        <v>186</v>
      </c>
      <c r="D298" s="278" t="s">
        <v>126</v>
      </c>
      <c r="E298" s="280"/>
      <c r="F298" s="287">
        <v>45899</v>
      </c>
      <c r="G298" s="287">
        <v>46002</v>
      </c>
      <c r="H298" s="288">
        <f t="shared" si="7"/>
        <v>104</v>
      </c>
      <c r="I298" s="292" t="s">
        <v>1534</v>
      </c>
    </row>
    <row r="299" spans="1:9" ht="25.5" x14ac:dyDescent="0.25">
      <c r="A299" s="278">
        <v>43</v>
      </c>
      <c r="B299" s="285" t="s">
        <v>1536</v>
      </c>
      <c r="C299" s="286" t="s">
        <v>187</v>
      </c>
      <c r="D299" s="278" t="s">
        <v>126</v>
      </c>
      <c r="E299" s="280"/>
      <c r="F299" s="287">
        <v>45899</v>
      </c>
      <c r="G299" s="287">
        <v>45979</v>
      </c>
      <c r="H299" s="288">
        <f t="shared" si="7"/>
        <v>81</v>
      </c>
      <c r="I299" s="292" t="s">
        <v>1534</v>
      </c>
    </row>
    <row r="300" spans="1:9" ht="25.5" x14ac:dyDescent="0.25">
      <c r="A300" s="278">
        <v>44</v>
      </c>
      <c r="B300" s="285" t="s">
        <v>1536</v>
      </c>
      <c r="C300" s="286" t="s">
        <v>188</v>
      </c>
      <c r="D300" s="278" t="s">
        <v>126</v>
      </c>
      <c r="E300" s="280"/>
      <c r="F300" s="287">
        <v>45899</v>
      </c>
      <c r="G300" s="287">
        <v>46005</v>
      </c>
      <c r="H300" s="288">
        <f t="shared" si="7"/>
        <v>107</v>
      </c>
      <c r="I300" s="292" t="s">
        <v>1534</v>
      </c>
    </row>
    <row r="301" spans="1:9" ht="25.5" x14ac:dyDescent="0.25">
      <c r="A301" s="278">
        <v>45</v>
      </c>
      <c r="B301" s="285" t="s">
        <v>1536</v>
      </c>
      <c r="C301" s="286" t="s">
        <v>191</v>
      </c>
      <c r="D301" s="278" t="s">
        <v>126</v>
      </c>
      <c r="E301" s="280"/>
      <c r="F301" s="287">
        <v>45899</v>
      </c>
      <c r="G301" s="287">
        <v>45987</v>
      </c>
      <c r="H301" s="288">
        <f t="shared" si="7"/>
        <v>89</v>
      </c>
      <c r="I301" s="292" t="s">
        <v>1534</v>
      </c>
    </row>
    <row r="302" spans="1:9" ht="25.5" x14ac:dyDescent="0.25">
      <c r="A302" s="278">
        <v>46</v>
      </c>
      <c r="B302" s="285" t="s">
        <v>1536</v>
      </c>
      <c r="C302" s="286" t="s">
        <v>71</v>
      </c>
      <c r="D302" s="278" t="s">
        <v>126</v>
      </c>
      <c r="E302" s="280"/>
      <c r="F302" s="287">
        <v>45899</v>
      </c>
      <c r="G302" s="287">
        <v>45971</v>
      </c>
      <c r="H302" s="288">
        <f t="shared" si="7"/>
        <v>73</v>
      </c>
      <c r="I302" s="292" t="s">
        <v>1627</v>
      </c>
    </row>
    <row r="303" spans="1:9" ht="25.5" x14ac:dyDescent="0.25">
      <c r="A303" s="278">
        <v>47</v>
      </c>
      <c r="B303" s="285" t="s">
        <v>1536</v>
      </c>
      <c r="C303" s="286" t="s">
        <v>73</v>
      </c>
      <c r="D303" s="278" t="s">
        <v>126</v>
      </c>
      <c r="E303" s="280"/>
      <c r="F303" s="287">
        <v>45899</v>
      </c>
      <c r="G303" s="287">
        <v>46011</v>
      </c>
      <c r="H303" s="288">
        <f t="shared" si="7"/>
        <v>113</v>
      </c>
      <c r="I303" s="292" t="s">
        <v>1534</v>
      </c>
    </row>
    <row r="304" spans="1:9" ht="25.5" x14ac:dyDescent="0.25">
      <c r="A304" s="278">
        <v>48</v>
      </c>
      <c r="B304" s="285" t="s">
        <v>1536</v>
      </c>
      <c r="C304" s="286" t="s">
        <v>74</v>
      </c>
      <c r="D304" s="278" t="s">
        <v>126</v>
      </c>
      <c r="E304" s="280"/>
      <c r="F304" s="287">
        <v>45899</v>
      </c>
      <c r="G304" s="287">
        <v>46011</v>
      </c>
      <c r="H304" s="288">
        <f t="shared" si="7"/>
        <v>113</v>
      </c>
      <c r="I304" s="292" t="s">
        <v>1646</v>
      </c>
    </row>
    <row r="305" spans="1:9" ht="25.5" x14ac:dyDescent="0.25">
      <c r="A305" s="278">
        <v>49</v>
      </c>
      <c r="B305" s="285" t="s">
        <v>1536</v>
      </c>
      <c r="C305" s="286" t="s">
        <v>192</v>
      </c>
      <c r="D305" s="278" t="s">
        <v>126</v>
      </c>
      <c r="E305" s="280"/>
      <c r="F305" s="287">
        <v>45899</v>
      </c>
      <c r="G305" s="287">
        <v>46019</v>
      </c>
      <c r="H305" s="288">
        <f t="shared" si="7"/>
        <v>121</v>
      </c>
      <c r="I305" s="292" t="s">
        <v>1647</v>
      </c>
    </row>
    <row r="306" spans="1:9" ht="25.5" x14ac:dyDescent="0.25">
      <c r="A306" s="278">
        <v>50</v>
      </c>
      <c r="B306" s="285" t="s">
        <v>1536</v>
      </c>
      <c r="C306" s="286" t="s">
        <v>193</v>
      </c>
      <c r="D306" s="278" t="s">
        <v>126</v>
      </c>
      <c r="E306" s="280"/>
      <c r="F306" s="287">
        <v>45899</v>
      </c>
      <c r="G306" s="287">
        <v>46001</v>
      </c>
      <c r="H306" s="288">
        <f t="shared" si="7"/>
        <v>103</v>
      </c>
      <c r="I306" s="292" t="s">
        <v>1534</v>
      </c>
    </row>
    <row r="307" spans="1:9" ht="25.5" x14ac:dyDescent="0.25">
      <c r="A307" s="278">
        <v>51</v>
      </c>
      <c r="B307" s="285" t="s">
        <v>1536</v>
      </c>
      <c r="C307" s="286" t="s">
        <v>194</v>
      </c>
      <c r="D307" s="278" t="s">
        <v>126</v>
      </c>
      <c r="E307" s="280"/>
      <c r="F307" s="287">
        <v>45899</v>
      </c>
      <c r="G307" s="287">
        <v>46011</v>
      </c>
      <c r="H307" s="288">
        <f t="shared" si="7"/>
        <v>113</v>
      </c>
      <c r="I307" s="292" t="s">
        <v>1534</v>
      </c>
    </row>
    <row r="308" spans="1:9" ht="25.5" x14ac:dyDescent="0.25">
      <c r="A308" s="278">
        <v>52</v>
      </c>
      <c r="B308" s="285" t="s">
        <v>1536</v>
      </c>
      <c r="C308" s="286" t="s">
        <v>196</v>
      </c>
      <c r="D308" s="278" t="s">
        <v>126</v>
      </c>
      <c r="E308" s="280"/>
      <c r="F308" s="287">
        <v>45899</v>
      </c>
      <c r="G308" s="287">
        <v>45970</v>
      </c>
      <c r="H308" s="288">
        <f t="shared" si="7"/>
        <v>72</v>
      </c>
      <c r="I308" s="292" t="s">
        <v>1625</v>
      </c>
    </row>
    <row r="309" spans="1:9" ht="25.5" x14ac:dyDescent="0.25">
      <c r="A309" s="278">
        <v>53</v>
      </c>
      <c r="B309" s="285" t="s">
        <v>1536</v>
      </c>
      <c r="C309" s="286" t="s">
        <v>197</v>
      </c>
      <c r="D309" s="278" t="s">
        <v>126</v>
      </c>
      <c r="E309" s="280"/>
      <c r="F309" s="287">
        <v>45899</v>
      </c>
      <c r="G309" s="287">
        <v>45915</v>
      </c>
      <c r="H309" s="288">
        <f t="shared" si="7"/>
        <v>17</v>
      </c>
      <c r="I309" s="292" t="s">
        <v>1534</v>
      </c>
    </row>
    <row r="310" spans="1:9" ht="25.5" x14ac:dyDescent="0.25">
      <c r="A310" s="278">
        <v>54</v>
      </c>
      <c r="B310" s="285" t="s">
        <v>1536</v>
      </c>
      <c r="C310" s="286" t="s">
        <v>198</v>
      </c>
      <c r="D310" s="278" t="s">
        <v>126</v>
      </c>
      <c r="E310" s="280"/>
      <c r="F310" s="287">
        <v>45899</v>
      </c>
      <c r="G310" s="287">
        <v>45942</v>
      </c>
      <c r="H310" s="288">
        <f t="shared" si="7"/>
        <v>44</v>
      </c>
      <c r="I310" s="292" t="s">
        <v>1534</v>
      </c>
    </row>
    <row r="311" spans="1:9" ht="25.5" x14ac:dyDescent="0.25">
      <c r="A311" s="278">
        <v>55</v>
      </c>
      <c r="B311" s="285" t="s">
        <v>1536</v>
      </c>
      <c r="C311" s="286" t="s">
        <v>26</v>
      </c>
      <c r="D311" s="278" t="s">
        <v>126</v>
      </c>
      <c r="E311" s="280"/>
      <c r="F311" s="287">
        <v>45899</v>
      </c>
      <c r="G311" s="287">
        <v>45974</v>
      </c>
      <c r="H311" s="288">
        <f t="shared" si="7"/>
        <v>76</v>
      </c>
      <c r="I311" s="292" t="s">
        <v>1534</v>
      </c>
    </row>
    <row r="312" spans="1:9" ht="25.5" x14ac:dyDescent="0.25">
      <c r="A312" s="278">
        <v>56</v>
      </c>
      <c r="B312" s="285" t="s">
        <v>1536</v>
      </c>
      <c r="C312" s="286" t="s">
        <v>199</v>
      </c>
      <c r="D312" s="278" t="s">
        <v>126</v>
      </c>
      <c r="E312" s="280"/>
      <c r="F312" s="287">
        <v>45899</v>
      </c>
      <c r="G312" s="287">
        <v>45930</v>
      </c>
      <c r="H312" s="288">
        <f t="shared" si="7"/>
        <v>32</v>
      </c>
      <c r="I312" s="292" t="s">
        <v>1534</v>
      </c>
    </row>
    <row r="313" spans="1:9" ht="25.5" x14ac:dyDescent="0.25">
      <c r="A313" s="278">
        <v>57</v>
      </c>
      <c r="B313" s="285" t="s">
        <v>1536</v>
      </c>
      <c r="C313" s="286" t="s">
        <v>201</v>
      </c>
      <c r="D313" s="278" t="s">
        <v>126</v>
      </c>
      <c r="E313" s="280"/>
      <c r="F313" s="287">
        <v>45899</v>
      </c>
      <c r="G313" s="287">
        <v>46014</v>
      </c>
      <c r="H313" s="288">
        <f t="shared" si="7"/>
        <v>116</v>
      </c>
      <c r="I313" s="292" t="s">
        <v>1534</v>
      </c>
    </row>
    <row r="314" spans="1:9" ht="25.5" x14ac:dyDescent="0.25">
      <c r="A314" s="278">
        <v>58</v>
      </c>
      <c r="B314" s="285" t="s">
        <v>1536</v>
      </c>
      <c r="C314" s="286" t="s">
        <v>78</v>
      </c>
      <c r="D314" s="278" t="s">
        <v>126</v>
      </c>
      <c r="E314" s="280"/>
      <c r="F314" s="287">
        <v>45899</v>
      </c>
      <c r="G314" s="287">
        <v>46007</v>
      </c>
      <c r="H314" s="288">
        <f t="shared" si="7"/>
        <v>109</v>
      </c>
      <c r="I314" s="292" t="s">
        <v>1534</v>
      </c>
    </row>
    <row r="315" spans="1:9" ht="25.5" x14ac:dyDescent="0.25">
      <c r="A315" s="278">
        <v>59</v>
      </c>
      <c r="B315" s="285" t="s">
        <v>1536</v>
      </c>
      <c r="C315" s="286" t="s">
        <v>80</v>
      </c>
      <c r="D315" s="278" t="s">
        <v>126</v>
      </c>
      <c r="E315" s="280"/>
      <c r="F315" s="287">
        <v>45899</v>
      </c>
      <c r="G315" s="287">
        <v>45967</v>
      </c>
      <c r="H315" s="288">
        <f t="shared" si="7"/>
        <v>69</v>
      </c>
      <c r="I315" s="292" t="s">
        <v>1534</v>
      </c>
    </row>
    <row r="316" spans="1:9" ht="25.5" x14ac:dyDescent="0.25">
      <c r="A316" s="278">
        <v>60</v>
      </c>
      <c r="B316" s="285" t="s">
        <v>1536</v>
      </c>
      <c r="C316" s="286" t="s">
        <v>82</v>
      </c>
      <c r="D316" s="278" t="s">
        <v>126</v>
      </c>
      <c r="E316" s="280"/>
      <c r="F316" s="287">
        <v>45899</v>
      </c>
      <c r="G316" s="287">
        <v>45967</v>
      </c>
      <c r="H316" s="288">
        <f t="shared" si="7"/>
        <v>69</v>
      </c>
      <c r="I316" s="292" t="s">
        <v>1534</v>
      </c>
    </row>
    <row r="317" spans="1:9" ht="25.5" x14ac:dyDescent="0.25">
      <c r="A317" s="278">
        <v>61</v>
      </c>
      <c r="B317" s="285" t="s">
        <v>1536</v>
      </c>
      <c r="C317" s="286" t="s">
        <v>204</v>
      </c>
      <c r="D317" s="278" t="s">
        <v>126</v>
      </c>
      <c r="E317" s="280"/>
      <c r="F317" s="287">
        <v>45899</v>
      </c>
      <c r="G317" s="287">
        <v>45960</v>
      </c>
      <c r="H317" s="288">
        <f t="shared" si="7"/>
        <v>62</v>
      </c>
      <c r="I317" s="292" t="s">
        <v>1534</v>
      </c>
    </row>
    <row r="318" spans="1:9" ht="25.5" x14ac:dyDescent="0.25">
      <c r="A318" s="278">
        <v>62</v>
      </c>
      <c r="B318" s="285" t="s">
        <v>1536</v>
      </c>
      <c r="C318" s="286" t="s">
        <v>205</v>
      </c>
      <c r="D318" s="278" t="s">
        <v>126</v>
      </c>
      <c r="E318" s="280"/>
      <c r="F318" s="287">
        <v>45899</v>
      </c>
      <c r="G318" s="287">
        <v>45602</v>
      </c>
      <c r="H318" s="288">
        <f t="shared" si="7"/>
        <v>-296</v>
      </c>
      <c r="I318" s="292" t="s">
        <v>1534</v>
      </c>
    </row>
    <row r="319" spans="1:9" ht="25.5" x14ac:dyDescent="0.25">
      <c r="A319" s="278">
        <v>63</v>
      </c>
      <c r="B319" s="285" t="s">
        <v>1536</v>
      </c>
      <c r="C319" s="286" t="s">
        <v>83</v>
      </c>
      <c r="D319" s="278" t="s">
        <v>126</v>
      </c>
      <c r="E319" s="280"/>
      <c r="F319" s="287">
        <v>45899</v>
      </c>
      <c r="G319" s="287">
        <v>45952</v>
      </c>
      <c r="H319" s="288">
        <f t="shared" si="7"/>
        <v>54</v>
      </c>
      <c r="I319" s="292" t="s">
        <v>1534</v>
      </c>
    </row>
    <row r="320" spans="1:9" ht="25.5" x14ac:dyDescent="0.25">
      <c r="A320" s="278">
        <v>64</v>
      </c>
      <c r="B320" s="285" t="s">
        <v>1536</v>
      </c>
      <c r="C320" s="286" t="s">
        <v>45</v>
      </c>
      <c r="D320" s="278" t="s">
        <v>126</v>
      </c>
      <c r="E320" s="280"/>
      <c r="F320" s="287">
        <v>45899</v>
      </c>
      <c r="G320" s="287">
        <v>45992</v>
      </c>
      <c r="H320" s="288">
        <f t="shared" si="7"/>
        <v>94</v>
      </c>
      <c r="I320" s="292" t="s">
        <v>1534</v>
      </c>
    </row>
    <row r="321" spans="1:9" ht="25.5" x14ac:dyDescent="0.25">
      <c r="A321" s="278">
        <v>65</v>
      </c>
      <c r="B321" s="285" t="s">
        <v>1536</v>
      </c>
      <c r="C321" s="286" t="s">
        <v>46</v>
      </c>
      <c r="D321" s="278" t="s">
        <v>126</v>
      </c>
      <c r="E321" s="280"/>
      <c r="F321" s="287">
        <v>45899</v>
      </c>
      <c r="G321" s="287"/>
      <c r="H321" s="288" t="str">
        <f t="shared" si="7"/>
        <v>Awaited</v>
      </c>
      <c r="I321" s="292" t="s">
        <v>1534</v>
      </c>
    </row>
    <row r="322" spans="1:9" ht="25.5" x14ac:dyDescent="0.25">
      <c r="A322" s="278">
        <v>66</v>
      </c>
      <c r="B322" s="285" t="s">
        <v>1536</v>
      </c>
      <c r="C322" s="286" t="s">
        <v>31</v>
      </c>
      <c r="D322" s="278" t="s">
        <v>126</v>
      </c>
      <c r="E322" s="280"/>
      <c r="F322" s="287">
        <v>45899</v>
      </c>
      <c r="G322" s="287">
        <v>45919</v>
      </c>
      <c r="H322" s="288">
        <f t="shared" si="7"/>
        <v>21</v>
      </c>
      <c r="I322" s="292" t="s">
        <v>1534</v>
      </c>
    </row>
    <row r="323" spans="1:9" ht="25.5" x14ac:dyDescent="0.25">
      <c r="A323" s="278">
        <v>67</v>
      </c>
      <c r="B323" s="285" t="s">
        <v>1536</v>
      </c>
      <c r="C323" s="286" t="s">
        <v>520</v>
      </c>
      <c r="D323" s="278" t="s">
        <v>126</v>
      </c>
      <c r="E323" s="280"/>
      <c r="F323" s="287">
        <v>45913</v>
      </c>
      <c r="G323" s="287"/>
      <c r="H323" s="288" t="str">
        <f t="shared" si="7"/>
        <v>Awaited</v>
      </c>
      <c r="I323" s="292" t="s">
        <v>1534</v>
      </c>
    </row>
    <row r="324" spans="1:9" ht="25.5" x14ac:dyDescent="0.25">
      <c r="A324" s="278">
        <v>68</v>
      </c>
      <c r="B324" s="285" t="s">
        <v>1536</v>
      </c>
      <c r="C324" s="286" t="s">
        <v>524</v>
      </c>
      <c r="D324" s="278" t="s">
        <v>126</v>
      </c>
      <c r="E324" s="280"/>
      <c r="F324" s="287">
        <v>45913</v>
      </c>
      <c r="G324" s="287"/>
      <c r="H324" s="288" t="str">
        <f t="shared" si="7"/>
        <v>Awaited</v>
      </c>
      <c r="I324" s="292" t="s">
        <v>1534</v>
      </c>
    </row>
    <row r="325" spans="1:9" ht="25.5" x14ac:dyDescent="0.25">
      <c r="A325" s="278">
        <v>69</v>
      </c>
      <c r="B325" s="285" t="s">
        <v>1536</v>
      </c>
      <c r="C325" s="286" t="s">
        <v>527</v>
      </c>
      <c r="D325" s="278" t="s">
        <v>126</v>
      </c>
      <c r="E325" s="280"/>
      <c r="F325" s="287">
        <v>45913</v>
      </c>
      <c r="G325" s="287">
        <v>45919</v>
      </c>
      <c r="H325" s="288">
        <f t="shared" si="7"/>
        <v>7</v>
      </c>
      <c r="I325" s="292" t="s">
        <v>1534</v>
      </c>
    </row>
    <row r="326" spans="1:9" ht="25.5" x14ac:dyDescent="0.25">
      <c r="A326" s="278">
        <v>70</v>
      </c>
      <c r="B326" s="285" t="s">
        <v>1536</v>
      </c>
      <c r="C326" s="286" t="s">
        <v>529</v>
      </c>
      <c r="D326" s="278" t="s">
        <v>126</v>
      </c>
      <c r="E326" s="280"/>
      <c r="F326" s="287">
        <v>45913</v>
      </c>
      <c r="G326" s="287"/>
      <c r="H326" s="288" t="str">
        <f t="shared" si="7"/>
        <v>Awaited</v>
      </c>
      <c r="I326" s="292" t="s">
        <v>1534</v>
      </c>
    </row>
    <row r="327" spans="1:9" ht="38.25" x14ac:dyDescent="0.25">
      <c r="A327" s="278">
        <v>71</v>
      </c>
      <c r="B327" s="285" t="s">
        <v>1536</v>
      </c>
      <c r="C327" s="286" t="s">
        <v>176</v>
      </c>
      <c r="D327" s="278" t="s">
        <v>126</v>
      </c>
      <c r="E327" s="280"/>
      <c r="F327" s="287">
        <v>45913</v>
      </c>
      <c r="G327" s="287">
        <v>46050</v>
      </c>
      <c r="H327" s="288">
        <f t="shared" si="7"/>
        <v>138</v>
      </c>
      <c r="I327" s="292" t="s">
        <v>1741</v>
      </c>
    </row>
    <row r="328" spans="1:9" ht="38.25" x14ac:dyDescent="0.25">
      <c r="A328" s="278">
        <v>72</v>
      </c>
      <c r="B328" s="285" t="s">
        <v>1536</v>
      </c>
      <c r="C328" s="286" t="s">
        <v>177</v>
      </c>
      <c r="D328" s="278" t="s">
        <v>126</v>
      </c>
      <c r="E328" s="280"/>
      <c r="F328" s="287">
        <v>45913</v>
      </c>
      <c r="G328" s="287"/>
      <c r="H328" s="288" t="str">
        <f t="shared" si="7"/>
        <v>Awaited</v>
      </c>
      <c r="I328" s="292" t="s">
        <v>1648</v>
      </c>
    </row>
    <row r="329" spans="1:9" ht="25.5" x14ac:dyDescent="0.25">
      <c r="A329" s="278">
        <v>73</v>
      </c>
      <c r="B329" s="285" t="s">
        <v>1536</v>
      </c>
      <c r="C329" s="286" t="s">
        <v>51</v>
      </c>
      <c r="D329" s="278" t="s">
        <v>126</v>
      </c>
      <c r="E329" s="280"/>
      <c r="F329" s="287">
        <v>45913</v>
      </c>
      <c r="G329" s="287"/>
      <c r="H329" s="288" t="str">
        <f t="shared" si="7"/>
        <v>Awaited</v>
      </c>
      <c r="I329" s="292" t="s">
        <v>1534</v>
      </c>
    </row>
    <row r="330" spans="1:9" ht="25.5" x14ac:dyDescent="0.25">
      <c r="A330" s="278">
        <v>74</v>
      </c>
      <c r="B330" s="285" t="s">
        <v>1536</v>
      </c>
      <c r="C330" s="286" t="s">
        <v>28</v>
      </c>
      <c r="D330" s="278" t="s">
        <v>126</v>
      </c>
      <c r="E330" s="280"/>
      <c r="F330" s="287">
        <v>45913</v>
      </c>
      <c r="G330" s="287">
        <v>46012</v>
      </c>
      <c r="H330" s="288">
        <f t="shared" si="7"/>
        <v>100</v>
      </c>
      <c r="I330" s="292" t="s">
        <v>1534</v>
      </c>
    </row>
    <row r="331" spans="1:9" ht="25.5" x14ac:dyDescent="0.25">
      <c r="A331" s="278">
        <v>75</v>
      </c>
      <c r="B331" s="285" t="s">
        <v>1536</v>
      </c>
      <c r="C331" s="286" t="s">
        <v>52</v>
      </c>
      <c r="D331" s="278" t="s">
        <v>126</v>
      </c>
      <c r="E331" s="280"/>
      <c r="F331" s="287">
        <v>45913</v>
      </c>
      <c r="G331" s="287"/>
      <c r="H331" s="288" t="str">
        <f t="shared" si="7"/>
        <v>Awaited</v>
      </c>
      <c r="I331" s="292" t="s">
        <v>1534</v>
      </c>
    </row>
    <row r="332" spans="1:9" ht="25.5" x14ac:dyDescent="0.25">
      <c r="A332" s="278">
        <v>76</v>
      </c>
      <c r="B332" s="285" t="s">
        <v>1536</v>
      </c>
      <c r="C332" s="286" t="s">
        <v>53</v>
      </c>
      <c r="D332" s="278" t="s">
        <v>126</v>
      </c>
      <c r="E332" s="280"/>
      <c r="F332" s="287">
        <v>45913</v>
      </c>
      <c r="G332" s="287"/>
      <c r="H332" s="288" t="str">
        <f t="shared" si="7"/>
        <v>Awaited</v>
      </c>
      <c r="I332" s="292" t="s">
        <v>1534</v>
      </c>
    </row>
    <row r="333" spans="1:9" ht="25.5" x14ac:dyDescent="0.25">
      <c r="A333" s="278">
        <v>77</v>
      </c>
      <c r="B333" s="285" t="s">
        <v>1536</v>
      </c>
      <c r="C333" s="286" t="s">
        <v>54</v>
      </c>
      <c r="D333" s="278" t="s">
        <v>126</v>
      </c>
      <c r="E333" s="280"/>
      <c r="F333" s="287">
        <v>45913</v>
      </c>
      <c r="G333" s="287">
        <v>46016</v>
      </c>
      <c r="H333" s="288">
        <f t="shared" si="7"/>
        <v>104</v>
      </c>
      <c r="I333" s="292" t="s">
        <v>1534</v>
      </c>
    </row>
    <row r="334" spans="1:9" ht="25.5" x14ac:dyDescent="0.25">
      <c r="A334" s="278">
        <v>78</v>
      </c>
      <c r="B334" s="285" t="s">
        <v>1536</v>
      </c>
      <c r="C334" s="286" t="s">
        <v>25</v>
      </c>
      <c r="D334" s="278" t="s">
        <v>126</v>
      </c>
      <c r="E334" s="280"/>
      <c r="F334" s="287">
        <v>45913</v>
      </c>
      <c r="G334" s="287">
        <v>46012</v>
      </c>
      <c r="H334" s="288">
        <f t="shared" si="7"/>
        <v>100</v>
      </c>
      <c r="I334" s="292" t="s">
        <v>1534</v>
      </c>
    </row>
    <row r="335" spans="1:9" ht="25.5" x14ac:dyDescent="0.25">
      <c r="A335" s="278">
        <v>79</v>
      </c>
      <c r="B335" s="285" t="s">
        <v>1536</v>
      </c>
      <c r="C335" s="286" t="s">
        <v>55</v>
      </c>
      <c r="D335" s="278" t="s">
        <v>126</v>
      </c>
      <c r="E335" s="280"/>
      <c r="F335" s="287">
        <v>45913</v>
      </c>
      <c r="G335" s="287">
        <v>46006</v>
      </c>
      <c r="H335" s="288">
        <f t="shared" si="7"/>
        <v>94</v>
      </c>
      <c r="I335" s="292" t="s">
        <v>1534</v>
      </c>
    </row>
    <row r="336" spans="1:9" ht="25.5" x14ac:dyDescent="0.25">
      <c r="A336" s="278">
        <v>80</v>
      </c>
      <c r="B336" s="285" t="s">
        <v>1536</v>
      </c>
      <c r="C336" s="286" t="s">
        <v>56</v>
      </c>
      <c r="D336" s="278" t="s">
        <v>126</v>
      </c>
      <c r="E336" s="280"/>
      <c r="F336" s="287">
        <v>45913</v>
      </c>
      <c r="G336" s="287"/>
      <c r="H336" s="288" t="str">
        <f t="shared" si="7"/>
        <v>Awaited</v>
      </c>
      <c r="I336" s="292" t="s">
        <v>1534</v>
      </c>
    </row>
    <row r="337" spans="1:9" ht="25.5" x14ac:dyDescent="0.25">
      <c r="A337" s="278">
        <v>81</v>
      </c>
      <c r="B337" s="285" t="s">
        <v>1536</v>
      </c>
      <c r="C337" s="286" t="s">
        <v>178</v>
      </c>
      <c r="D337" s="278" t="s">
        <v>126</v>
      </c>
      <c r="E337" s="280"/>
      <c r="F337" s="287">
        <v>45913</v>
      </c>
      <c r="G337" s="287"/>
      <c r="H337" s="288" t="str">
        <f t="shared" si="7"/>
        <v>Awaited</v>
      </c>
      <c r="I337" s="292" t="s">
        <v>1534</v>
      </c>
    </row>
    <row r="338" spans="1:9" ht="25.5" x14ac:dyDescent="0.25">
      <c r="A338" s="278">
        <v>82</v>
      </c>
      <c r="B338" s="285" t="s">
        <v>1536</v>
      </c>
      <c r="C338" s="286" t="s">
        <v>538</v>
      </c>
      <c r="D338" s="278" t="s">
        <v>126</v>
      </c>
      <c r="E338" s="280" t="s">
        <v>1398</v>
      </c>
      <c r="F338" s="287">
        <v>45943</v>
      </c>
      <c r="G338" s="287">
        <v>45967</v>
      </c>
      <c r="H338" s="288">
        <f t="shared" si="7"/>
        <v>25</v>
      </c>
      <c r="I338" s="702" t="s">
        <v>1608</v>
      </c>
    </row>
    <row r="339" spans="1:9" ht="25.5" x14ac:dyDescent="0.25">
      <c r="A339" s="278">
        <v>83</v>
      </c>
      <c r="B339" s="285" t="s">
        <v>1536</v>
      </c>
      <c r="C339" s="286" t="s">
        <v>517</v>
      </c>
      <c r="D339" s="278" t="s">
        <v>126</v>
      </c>
      <c r="E339" s="280"/>
      <c r="F339" s="287">
        <v>45992</v>
      </c>
      <c r="G339" s="287">
        <v>46014</v>
      </c>
      <c r="H339" s="288">
        <f t="shared" si="7"/>
        <v>23</v>
      </c>
      <c r="I339" s="292" t="s">
        <v>1534</v>
      </c>
    </row>
    <row r="340" spans="1:9" ht="25.5" x14ac:dyDescent="0.25">
      <c r="A340" s="278">
        <v>84</v>
      </c>
      <c r="B340" s="285" t="s">
        <v>1536</v>
      </c>
      <c r="C340" s="286" t="s">
        <v>528</v>
      </c>
      <c r="D340" s="278" t="s">
        <v>126</v>
      </c>
      <c r="E340" s="280"/>
      <c r="F340" s="287">
        <v>45992</v>
      </c>
      <c r="G340" s="287"/>
      <c r="H340" s="288"/>
      <c r="I340" s="292" t="s">
        <v>1534</v>
      </c>
    </row>
    <row r="341" spans="1:9" ht="25.5" x14ac:dyDescent="0.25">
      <c r="A341" s="278">
        <v>85</v>
      </c>
      <c r="B341" s="285" t="s">
        <v>1536</v>
      </c>
      <c r="C341" s="286" t="s">
        <v>175</v>
      </c>
      <c r="D341" s="278" t="s">
        <v>126</v>
      </c>
      <c r="E341" s="280"/>
      <c r="F341" s="287">
        <v>45992</v>
      </c>
      <c r="G341" s="287"/>
      <c r="H341" s="288"/>
      <c r="I341" s="292" t="s">
        <v>1534</v>
      </c>
    </row>
    <row r="342" spans="1:9" ht="25.5" x14ac:dyDescent="0.25">
      <c r="A342" s="278">
        <v>86</v>
      </c>
      <c r="B342" s="285" t="s">
        <v>1536</v>
      </c>
      <c r="C342" s="286" t="s">
        <v>50</v>
      </c>
      <c r="D342" s="278" t="s">
        <v>126</v>
      </c>
      <c r="E342" s="280"/>
      <c r="F342" s="287">
        <v>45992</v>
      </c>
      <c r="G342" s="287"/>
      <c r="H342" s="288"/>
      <c r="I342" s="292" t="s">
        <v>1534</v>
      </c>
    </row>
    <row r="343" spans="1:9" ht="25.5" x14ac:dyDescent="0.25">
      <c r="A343" s="278">
        <v>87</v>
      </c>
      <c r="B343" s="285" t="s">
        <v>1536</v>
      </c>
      <c r="C343" s="286" t="s">
        <v>530</v>
      </c>
      <c r="D343" s="278" t="s">
        <v>126</v>
      </c>
      <c r="E343" s="280"/>
      <c r="F343" s="287">
        <v>45992</v>
      </c>
      <c r="G343" s="287"/>
      <c r="H343" s="288"/>
      <c r="I343" s="292" t="s">
        <v>1534</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1" t="s">
        <v>266</v>
      </c>
      <c r="B346" s="861"/>
      <c r="C346" s="861"/>
      <c r="D346" s="861"/>
      <c r="E346" s="861"/>
      <c r="F346" s="861"/>
      <c r="G346" s="861"/>
      <c r="H346" s="861"/>
      <c r="I346" s="861"/>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v>1</v>
      </c>
      <c r="B348" s="285" t="s">
        <v>269</v>
      </c>
      <c r="C348" s="278"/>
      <c r="D348" s="280" t="s">
        <v>266</v>
      </c>
      <c r="E348" s="280"/>
      <c r="F348" s="300">
        <v>45266</v>
      </c>
      <c r="G348" s="300">
        <v>45346</v>
      </c>
      <c r="H348" s="291">
        <f>+IF(G348="","Awaited",_xlfn.DAYS(G348,F348)+1)</f>
        <v>81</v>
      </c>
      <c r="I348" s="301" t="s">
        <v>375</v>
      </c>
    </row>
    <row r="349" spans="1:9" x14ac:dyDescent="0.25">
      <c r="A349" s="278">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v>3</v>
      </c>
      <c r="B350" s="285" t="s">
        <v>395</v>
      </c>
      <c r="C350" s="278"/>
      <c r="D350" s="280" t="s">
        <v>266</v>
      </c>
      <c r="E350" s="280"/>
      <c r="F350" s="300">
        <v>45369</v>
      </c>
      <c r="G350" s="300">
        <v>45427</v>
      </c>
      <c r="H350" s="291">
        <f t="shared" si="8"/>
        <v>59</v>
      </c>
      <c r="I350" s="301" t="s">
        <v>396</v>
      </c>
    </row>
    <row r="352" spans="1:9" x14ac:dyDescent="0.25">
      <c r="A352" s="861" t="s">
        <v>344</v>
      </c>
      <c r="B352" s="861"/>
      <c r="C352" s="861"/>
      <c r="D352" s="861"/>
      <c r="E352" s="861"/>
      <c r="F352" s="861"/>
      <c r="G352" s="861"/>
      <c r="H352" s="861"/>
      <c r="I352" s="861"/>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v>1</v>
      </c>
      <c r="B354" s="285" t="s">
        <v>1388</v>
      </c>
      <c r="C354" s="286" t="s">
        <v>854</v>
      </c>
      <c r="D354" s="280" t="s">
        <v>344</v>
      </c>
      <c r="E354" s="280" t="s">
        <v>1431</v>
      </c>
      <c r="F354" s="300">
        <v>45801</v>
      </c>
      <c r="G354" s="300">
        <v>45803</v>
      </c>
      <c r="H354" s="291">
        <f t="shared" ref="H354:H363" si="9">+IF(G354="","Awaited",_xlfn.DAYS(G354,F354)+1)</f>
        <v>3</v>
      </c>
      <c r="I354" s="301"/>
    </row>
    <row r="355" spans="1:9" ht="51" x14ac:dyDescent="0.25">
      <c r="A355" s="278">
        <v>2</v>
      </c>
      <c r="B355" s="285" t="s">
        <v>1429</v>
      </c>
      <c r="C355" s="278" t="s">
        <v>1430</v>
      </c>
      <c r="D355" s="280" t="s">
        <v>344</v>
      </c>
      <c r="E355" s="280" t="s">
        <v>1431</v>
      </c>
      <c r="F355" s="300">
        <v>45804</v>
      </c>
      <c r="G355" s="300">
        <v>45825</v>
      </c>
      <c r="H355" s="291">
        <f t="shared" si="9"/>
        <v>22</v>
      </c>
      <c r="I355" s="301" t="s">
        <v>1432</v>
      </c>
    </row>
    <row r="356" spans="1:9" ht="63.75" x14ac:dyDescent="0.25">
      <c r="A356" s="278">
        <v>3</v>
      </c>
      <c r="B356" s="285" t="s">
        <v>1617</v>
      </c>
      <c r="C356" s="278" t="s">
        <v>1618</v>
      </c>
      <c r="D356" s="280" t="s">
        <v>344</v>
      </c>
      <c r="E356" s="280" t="s">
        <v>1620</v>
      </c>
      <c r="F356" s="300">
        <v>45955</v>
      </c>
      <c r="G356" s="300">
        <v>45961</v>
      </c>
      <c r="H356" s="291">
        <f t="shared" si="9"/>
        <v>7</v>
      </c>
      <c r="I356" s="289" t="s">
        <v>1619</v>
      </c>
    </row>
    <row r="357" spans="1:9" ht="38.25" x14ac:dyDescent="0.25">
      <c r="A357" s="278">
        <v>4</v>
      </c>
      <c r="B357" s="285" t="s">
        <v>1628</v>
      </c>
      <c r="C357" s="278" t="s">
        <v>1629</v>
      </c>
      <c r="D357" s="280" t="s">
        <v>344</v>
      </c>
      <c r="E357" s="280" t="s">
        <v>1620</v>
      </c>
      <c r="F357" s="300">
        <v>45973</v>
      </c>
      <c r="G357" s="300">
        <v>45974</v>
      </c>
      <c r="H357" s="291">
        <f t="shared" si="9"/>
        <v>2</v>
      </c>
      <c r="I357" s="289" t="s">
        <v>1630</v>
      </c>
    </row>
    <row r="358" spans="1:9" ht="38.25" x14ac:dyDescent="0.25">
      <c r="A358" s="278">
        <v>5</v>
      </c>
      <c r="B358" s="285" t="s">
        <v>1643</v>
      </c>
      <c r="C358" s="278" t="s">
        <v>1629</v>
      </c>
      <c r="D358" s="280" t="s">
        <v>344</v>
      </c>
      <c r="E358" s="280" t="s">
        <v>1620</v>
      </c>
      <c r="F358" s="300">
        <v>45994</v>
      </c>
      <c r="G358" s="300">
        <v>46000</v>
      </c>
      <c r="H358" s="291">
        <f t="shared" si="9"/>
        <v>7</v>
      </c>
      <c r="I358" s="289" t="s">
        <v>1678</v>
      </c>
    </row>
    <row r="359" spans="1:9" ht="38.25" x14ac:dyDescent="0.25">
      <c r="A359" s="278">
        <v>6</v>
      </c>
      <c r="B359" s="285" t="s">
        <v>1671</v>
      </c>
      <c r="C359" s="278" t="s">
        <v>1672</v>
      </c>
      <c r="D359" s="280" t="s">
        <v>344</v>
      </c>
      <c r="E359" s="280" t="s">
        <v>1624</v>
      </c>
      <c r="F359" s="300">
        <v>45979</v>
      </c>
      <c r="G359" s="300"/>
      <c r="H359" s="291" t="str">
        <f t="shared" si="9"/>
        <v>Awaited</v>
      </c>
      <c r="I359" s="289" t="s">
        <v>1679</v>
      </c>
    </row>
    <row r="360" spans="1:9" ht="38.25" x14ac:dyDescent="0.25">
      <c r="A360" s="278">
        <v>7</v>
      </c>
      <c r="B360" s="285" t="s">
        <v>1388</v>
      </c>
      <c r="C360" s="280" t="s">
        <v>1673</v>
      </c>
      <c r="D360" s="280" t="s">
        <v>344</v>
      </c>
      <c r="E360" s="280" t="s">
        <v>1660</v>
      </c>
      <c r="F360" s="300">
        <v>45667</v>
      </c>
      <c r="G360" s="300"/>
      <c r="H360" s="291" t="str">
        <f t="shared" si="9"/>
        <v>Awaited</v>
      </c>
      <c r="I360" s="289" t="s">
        <v>1674</v>
      </c>
    </row>
    <row r="361" spans="1:9" ht="38.25" x14ac:dyDescent="0.25">
      <c r="A361" s="278">
        <v>8</v>
      </c>
      <c r="B361" s="285" t="s">
        <v>1675</v>
      </c>
      <c r="C361" s="280" t="s">
        <v>1676</v>
      </c>
      <c r="D361" s="280" t="s">
        <v>344</v>
      </c>
      <c r="E361" s="280" t="s">
        <v>1620</v>
      </c>
      <c r="F361" s="300">
        <v>46023</v>
      </c>
      <c r="G361" s="300"/>
      <c r="H361" s="291" t="str">
        <f t="shared" si="9"/>
        <v>Awaited</v>
      </c>
      <c r="I361" s="289" t="s">
        <v>1677</v>
      </c>
    </row>
    <row r="362" spans="1:9" ht="25.5" x14ac:dyDescent="0.25">
      <c r="A362" s="278">
        <v>9</v>
      </c>
      <c r="B362" s="285" t="s">
        <v>1746</v>
      </c>
      <c r="C362" s="280" t="s">
        <v>1747</v>
      </c>
      <c r="D362" s="280" t="s">
        <v>344</v>
      </c>
      <c r="E362" s="280" t="s">
        <v>1660</v>
      </c>
      <c r="F362" s="300">
        <v>46045</v>
      </c>
      <c r="G362" s="300"/>
      <c r="H362" s="291" t="str">
        <f t="shared" si="9"/>
        <v>Awaited</v>
      </c>
      <c r="I362" s="289" t="s">
        <v>1677</v>
      </c>
    </row>
    <row r="363" spans="1:9" ht="38.25" x14ac:dyDescent="0.25">
      <c r="A363" s="278">
        <v>10</v>
      </c>
      <c r="B363" s="285" t="s">
        <v>1754</v>
      </c>
      <c r="C363" s="280" t="s">
        <v>1755</v>
      </c>
      <c r="D363" s="280" t="s">
        <v>344</v>
      </c>
      <c r="E363" s="280" t="s">
        <v>1620</v>
      </c>
      <c r="F363" s="300">
        <v>46054</v>
      </c>
      <c r="G363" s="300"/>
      <c r="H363" s="291" t="str">
        <f t="shared" si="9"/>
        <v>Awaited</v>
      </c>
      <c r="I363" s="289" t="s">
        <v>1677</v>
      </c>
    </row>
  </sheetData>
  <mergeCells count="7">
    <mergeCell ref="A352:I352"/>
    <mergeCell ref="A346:I346"/>
    <mergeCell ref="A12:B12"/>
    <mergeCell ref="A2:I2"/>
    <mergeCell ref="A15:I15"/>
    <mergeCell ref="A39:I39"/>
    <mergeCell ref="A255:I255"/>
  </mergeCells>
  <conditionalFormatting sqref="C6:C12">
    <cfRule type="duplicateValues" dxfId="212" priority="7"/>
    <cfRule type="duplicateValues" dxfId="211" priority="8"/>
  </conditionalFormatting>
  <conditionalFormatting sqref="C16:C36">
    <cfRule type="duplicateValues" dxfId="210" priority="27"/>
    <cfRule type="duplicateValues" dxfId="209" priority="28"/>
  </conditionalFormatting>
  <conditionalFormatting sqref="C40:C110">
    <cfRule type="duplicateValues" dxfId="208" priority="25"/>
  </conditionalFormatting>
  <conditionalFormatting sqref="C40:C250">
    <cfRule type="duplicateValues" dxfId="207" priority="24"/>
  </conditionalFormatting>
  <conditionalFormatting sqref="C111:C159">
    <cfRule type="duplicateValues" dxfId="206" priority="22"/>
  </conditionalFormatting>
  <conditionalFormatting sqref="C160:C250">
    <cfRule type="duplicateValues" dxfId="205" priority="19"/>
  </conditionalFormatting>
  <conditionalFormatting sqref="C256">
    <cfRule type="duplicateValues" dxfId="204" priority="16"/>
  </conditionalFormatting>
  <conditionalFormatting sqref="C256:C265 C267:C345">
    <cfRule type="duplicateValues" dxfId="203" priority="11085"/>
  </conditionalFormatting>
  <conditionalFormatting sqref="C257:C265">
    <cfRule type="duplicateValues" dxfId="202" priority="15"/>
  </conditionalFormatting>
  <conditionalFormatting sqref="C266">
    <cfRule type="duplicateValues" dxfId="201" priority="13"/>
  </conditionalFormatting>
  <conditionalFormatting sqref="C267:C345">
    <cfRule type="duplicateValues" dxfId="200" priority="11088"/>
  </conditionalFormatting>
  <conditionalFormatting sqref="C347:C349">
    <cfRule type="duplicateValues" dxfId="199" priority="12"/>
  </conditionalFormatting>
  <conditionalFormatting sqref="C347:C350">
    <cfRule type="duplicateValues" dxfId="198" priority="11"/>
  </conditionalFormatting>
  <conditionalFormatting sqref="C350">
    <cfRule type="duplicateValues" dxfId="197" priority="9"/>
  </conditionalFormatting>
  <conditionalFormatting sqref="C351 C37:C38 C2 C5 C251:C254 C13:C14 C364:C1048576">
    <cfRule type="duplicateValues" dxfId="196" priority="10771"/>
  </conditionalFormatting>
  <conditionalFormatting sqref="C351 C37:C38 C2:C5 C251:C254 C13:C14 C364:C1048576">
    <cfRule type="duplicateValues" dxfId="195" priority="10768"/>
  </conditionalFormatting>
  <conditionalFormatting sqref="C353:C354">
    <cfRule type="duplicateValues" dxfId="194" priority="5"/>
    <cfRule type="duplicateValues" dxfId="193" priority="6"/>
  </conditionalFormatting>
  <conditionalFormatting sqref="C355:C363">
    <cfRule type="duplicateValues" dxfId="192" priority="1"/>
    <cfRule type="duplicateValues" dxfId="191" priority="3"/>
  </conditionalFormatting>
  <conditionalFormatting sqref="G19:G29 G32:G36 G257:G345">
    <cfRule type="cellIs" dxfId="190" priority="26" operator="lessThan">
      <formula>1</formula>
    </cfRule>
  </conditionalFormatting>
  <conditionalFormatting sqref="G41:G75 F76:G109 G110:G120">
    <cfRule type="cellIs" dxfId="189" priority="23" operator="lessThan">
      <formula>1</formula>
    </cfRule>
  </conditionalFormatting>
  <conditionalFormatting sqref="G122:G250">
    <cfRule type="cellIs" dxfId="188" priority="21" operator="lessThan">
      <formula>1</formula>
    </cfRule>
  </conditionalFormatting>
  <conditionalFormatting sqref="G348:G350">
    <cfRule type="cellIs" dxfId="187" priority="10" operator="lessThan">
      <formula>1</formula>
    </cfRule>
  </conditionalFormatting>
  <conditionalFormatting sqref="G354:G363">
    <cfRule type="cellIs" dxfId="186" priority="2" operator="lessThan">
      <formula>1</formula>
    </cfRule>
  </conditionalFormatting>
  <conditionalFormatting sqref="H158">
    <cfRule type="cellIs" dxfId="185"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V502"/>
  <sheetViews>
    <sheetView zoomScale="90" zoomScaleNormal="90" zoomScaleSheetLayoutView="80" workbookViewId="0">
      <pane xSplit="7" ySplit="4" topLeftCell="H46" activePane="bottomRight" state="frozen"/>
      <selection activeCell="N8" sqref="N8"/>
      <selection pane="topRight" activeCell="N8" sqref="N8"/>
      <selection pane="bottomLeft" activeCell="N8" sqref="N8"/>
      <selection pane="bottomRight" activeCell="F51" sqref="F51"/>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1264</v>
      </c>
      <c r="M1" s="867" t="s">
        <v>1380</v>
      </c>
      <c r="N1" s="867"/>
      <c r="O1" s="867"/>
      <c r="P1" s="867"/>
      <c r="Q1" s="867"/>
      <c r="R1" s="867"/>
      <c r="S1" s="867"/>
      <c r="T1" s="867"/>
      <c r="U1" s="867"/>
      <c r="V1" s="867"/>
      <c r="W1" s="867"/>
      <c r="X1" s="867"/>
      <c r="Y1" s="867"/>
      <c r="Z1" s="867"/>
      <c r="AA1" s="867"/>
      <c r="AB1" s="867"/>
      <c r="AC1" s="867"/>
      <c r="AD1" s="867"/>
      <c r="AE1" s="867"/>
      <c r="AF1" s="867"/>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68" t="s">
        <v>1197</v>
      </c>
      <c r="B2" s="868"/>
      <c r="C2" s="868"/>
      <c r="D2" s="868"/>
      <c r="E2" s="868"/>
      <c r="F2" s="868"/>
      <c r="G2" s="868"/>
      <c r="H2" s="868"/>
      <c r="I2" s="869" t="s">
        <v>1661</v>
      </c>
      <c r="J2" s="869"/>
      <c r="K2" s="869"/>
      <c r="L2" s="667"/>
      <c r="M2" s="866" t="s">
        <v>10</v>
      </c>
      <c r="N2" s="866"/>
      <c r="O2" s="866"/>
      <c r="P2" s="866"/>
      <c r="Q2" s="866"/>
      <c r="R2" s="866"/>
      <c r="S2" s="866" t="s">
        <v>126</v>
      </c>
      <c r="T2" s="866"/>
      <c r="U2" s="866"/>
      <c r="V2" s="866"/>
      <c r="W2" s="866"/>
      <c r="X2" s="866"/>
      <c r="Y2" s="866"/>
      <c r="Z2" s="865" t="s">
        <v>344</v>
      </c>
      <c r="AA2" s="865"/>
      <c r="AB2" s="865"/>
      <c r="AC2" s="865"/>
      <c r="AD2" s="865"/>
      <c r="AE2" s="865"/>
      <c r="AF2" s="865"/>
    </row>
    <row r="3" spans="1:74" ht="26.25" customHeight="1" x14ac:dyDescent="0.25">
      <c r="A3" s="681" t="s">
        <v>303</v>
      </c>
      <c r="B3" s="681" t="s">
        <v>1195</v>
      </c>
      <c r="C3" s="433" t="s">
        <v>138</v>
      </c>
      <c r="D3" s="433" t="s">
        <v>1299</v>
      </c>
      <c r="E3" s="433" t="s">
        <v>1287</v>
      </c>
      <c r="F3" s="433" t="s">
        <v>437</v>
      </c>
      <c r="G3" s="433" t="s">
        <v>435</v>
      </c>
      <c r="H3" s="433" t="s">
        <v>1196</v>
      </c>
      <c r="I3" s="681" t="s">
        <v>1668</v>
      </c>
      <c r="J3" s="681" t="s">
        <v>1667</v>
      </c>
      <c r="K3" s="681" t="s">
        <v>1666</v>
      </c>
      <c r="L3" s="667" t="s">
        <v>1585</v>
      </c>
      <c r="M3" s="423" t="s">
        <v>1349</v>
      </c>
      <c r="N3" s="423" t="s">
        <v>19</v>
      </c>
      <c r="O3" s="423" t="s">
        <v>577</v>
      </c>
      <c r="P3" s="423" t="s">
        <v>124</v>
      </c>
      <c r="Q3" s="423" t="s">
        <v>1286</v>
      </c>
      <c r="R3" s="502" t="s">
        <v>129</v>
      </c>
      <c r="S3" s="423" t="s">
        <v>19</v>
      </c>
      <c r="T3" s="423" t="s">
        <v>577</v>
      </c>
      <c r="U3" s="423" t="s">
        <v>124</v>
      </c>
      <c r="V3" s="423" t="s">
        <v>1286</v>
      </c>
      <c r="W3" s="502" t="s">
        <v>129</v>
      </c>
      <c r="X3" s="764" t="s">
        <v>1379</v>
      </c>
      <c r="Y3" s="423" t="s">
        <v>16</v>
      </c>
      <c r="Z3" s="423" t="s">
        <v>1663</v>
      </c>
      <c r="AA3" s="423" t="s">
        <v>419</v>
      </c>
      <c r="AB3" s="423" t="s">
        <v>124</v>
      </c>
      <c r="AC3" s="423" t="s">
        <v>1286</v>
      </c>
      <c r="AD3" s="423" t="s">
        <v>129</v>
      </c>
      <c r="AE3" s="423" t="s">
        <v>1664</v>
      </c>
      <c r="AF3" s="423" t="s">
        <v>1665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hidden="1" x14ac:dyDescent="0.25">
      <c r="A4" s="413">
        <f>+SUBTOTAL(3,$B$4:B4)</f>
        <v>0</v>
      </c>
      <c r="B4" s="413" t="str">
        <f>'Visual chart Edit'!B7</f>
        <v>1/0</v>
      </c>
      <c r="C4" s="413" t="str">
        <f>'Visual chart Edit'!C7</f>
        <v>DD60+0</v>
      </c>
      <c r="D4" s="413" t="s">
        <v>1300</v>
      </c>
      <c r="E4" s="465">
        <f>'Visual chart Edit'!I7</f>
        <v>122</v>
      </c>
      <c r="F4" s="413" t="str">
        <f>'Visual chart Edit'!K7</f>
        <v>DRY</v>
      </c>
      <c r="G4" s="413" t="str">
        <f>'Visual chart Edit'!L7</f>
        <v>E</v>
      </c>
      <c r="H4" s="413"/>
      <c r="I4" s="413"/>
      <c r="J4" s="413"/>
      <c r="K4" s="413"/>
      <c r="M4" s="507" t="s">
        <v>1662</v>
      </c>
      <c r="N4" s="508">
        <f t="shared" ref="N4:X4" si="0">+SUM(N5:N53)</f>
        <v>485</v>
      </c>
      <c r="O4" s="508">
        <f t="shared" si="0"/>
        <v>481</v>
      </c>
      <c r="P4" s="508">
        <f t="shared" si="0"/>
        <v>0</v>
      </c>
      <c r="Q4" s="508">
        <f t="shared" si="0"/>
        <v>0</v>
      </c>
      <c r="R4" s="508">
        <f t="shared" si="0"/>
        <v>4</v>
      </c>
      <c r="S4" s="508">
        <f t="shared" si="0"/>
        <v>485</v>
      </c>
      <c r="T4" s="508">
        <f t="shared" si="0"/>
        <v>459</v>
      </c>
      <c r="U4" s="508">
        <f t="shared" si="0"/>
        <v>2</v>
      </c>
      <c r="V4" s="508">
        <f t="shared" si="0"/>
        <v>0</v>
      </c>
      <c r="W4" s="508">
        <f t="shared" si="0"/>
        <v>20</v>
      </c>
      <c r="X4" s="508">
        <f t="shared" si="0"/>
        <v>4</v>
      </c>
      <c r="Y4" s="413">
        <f>S4-T4</f>
        <v>26</v>
      </c>
      <c r="Z4" s="763">
        <f>+SUM(Z5:Z53)</f>
        <v>191.39264299999996</v>
      </c>
      <c r="AA4" s="763">
        <f t="shared" ref="AA4:AF4" si="1">+SUM(AA5:AA53)</f>
        <v>74.121770000000012</v>
      </c>
      <c r="AB4" s="763">
        <f t="shared" si="1"/>
        <v>10.255929999999999</v>
      </c>
      <c r="AC4" s="763">
        <f t="shared" si="1"/>
        <v>0</v>
      </c>
      <c r="AD4" s="763">
        <f t="shared" si="1"/>
        <v>0</v>
      </c>
      <c r="AE4" s="763">
        <f t="shared" si="1"/>
        <v>9.3850999999999996</v>
      </c>
      <c r="AF4" s="763">
        <f t="shared" si="1"/>
        <v>97.629843000000022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hidden="1" x14ac:dyDescent="0.25">
      <c r="A5" s="413">
        <f>+SUBTOTAL(3,$B$4:B5)</f>
        <v>0</v>
      </c>
      <c r="B5" s="413" t="str">
        <f>'Visual chart Edit'!B8</f>
        <v>1A/0</v>
      </c>
      <c r="C5" s="413" t="str">
        <f>'Visual chart Edit'!C8</f>
        <v>DD60+0</v>
      </c>
      <c r="D5" s="413" t="s">
        <v>1300</v>
      </c>
      <c r="E5" s="465">
        <f>'Visual chart Edit'!I8</f>
        <v>90</v>
      </c>
      <c r="F5" s="413" t="str">
        <f>'Visual chart Edit'!K8</f>
        <v>DRY</v>
      </c>
      <c r="G5" s="413" t="str">
        <f>'Visual chart Edit'!L8</f>
        <v>E</v>
      </c>
      <c r="H5" s="413"/>
      <c r="I5" s="413"/>
      <c r="J5" s="413"/>
      <c r="K5" s="413"/>
      <c r="M5" s="504" t="s">
        <v>1300</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hidden="1" x14ac:dyDescent="0.25">
      <c r="A6" s="413">
        <f>+SUBTOTAL(3,$B$4:B6)</f>
        <v>0</v>
      </c>
      <c r="B6" s="413" t="str">
        <f>'Visual chart Edit'!B9</f>
        <v>1A/1</v>
      </c>
      <c r="C6" s="413" t="str">
        <f>'Visual chart Edit'!C9</f>
        <v>DA+6</v>
      </c>
      <c r="D6" s="413" t="s">
        <v>1300</v>
      </c>
      <c r="E6" s="465">
        <f>'Visual chart Edit'!I9</f>
        <v>277.7</v>
      </c>
      <c r="F6" s="413" t="str">
        <f>'Visual chart Edit'!K9</f>
        <v>DFR</v>
      </c>
      <c r="G6" s="413" t="str">
        <f>'Visual chart Edit'!L9</f>
        <v>E</v>
      </c>
      <c r="H6" s="413" t="s">
        <v>419</v>
      </c>
      <c r="I6" s="413" t="s">
        <v>419</v>
      </c>
      <c r="J6" s="413" t="s">
        <v>419</v>
      </c>
      <c r="K6" s="413"/>
      <c r="M6" s="504" t="s">
        <v>1301</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1.8331999999999999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5.7236999999999982</v>
      </c>
      <c r="AG6"/>
    </row>
    <row r="7" spans="1:74" ht="15" hidden="1" x14ac:dyDescent="0.25">
      <c r="A7" s="413">
        <f>+SUBTOTAL(3,$B$4:B7)</f>
        <v>0</v>
      </c>
      <c r="B7" s="413" t="str">
        <f>'Visual chart Edit'!B10</f>
        <v>1A/2</v>
      </c>
      <c r="C7" s="413" t="str">
        <f>'Visual chart Edit'!C10</f>
        <v>DA+0</v>
      </c>
      <c r="D7" s="413" t="s">
        <v>1300</v>
      </c>
      <c r="E7" s="465">
        <f>'Visual chart Edit'!I10</f>
        <v>386</v>
      </c>
      <c r="F7" s="413" t="str">
        <f>'Visual chart Edit'!K10</f>
        <v>DRY</v>
      </c>
      <c r="G7" s="413" t="str">
        <f>'Visual chart Edit'!L10</f>
        <v>E</v>
      </c>
      <c r="H7" s="413" t="s">
        <v>419</v>
      </c>
      <c r="I7" s="413" t="s">
        <v>419</v>
      </c>
      <c r="J7" s="413" t="s">
        <v>419</v>
      </c>
      <c r="K7" s="413"/>
      <c r="M7" s="504" t="s">
        <v>1302</v>
      </c>
      <c r="N7" s="505">
        <f t="shared" si="2"/>
        <v>8</v>
      </c>
      <c r="O7" s="505">
        <f t="shared" si="3"/>
        <v>7</v>
      </c>
      <c r="P7" s="505">
        <f t="shared" si="4"/>
        <v>0</v>
      </c>
      <c r="Q7" s="505">
        <f t="shared" si="5"/>
        <v>0</v>
      </c>
      <c r="R7" s="505">
        <f t="shared" si="6"/>
        <v>1</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1.4911999999999999</v>
      </c>
      <c r="AF7" s="601">
        <f t="shared" si="20"/>
        <v>1.6390670000000001</v>
      </c>
      <c r="AG7"/>
    </row>
    <row r="8" spans="1:74" ht="15" hidden="1" x14ac:dyDescent="0.25">
      <c r="A8" s="413">
        <f>+SUBTOTAL(3,$B$4:B8)</f>
        <v>0</v>
      </c>
      <c r="B8" s="413" t="str">
        <f>'Visual chart Edit'!B11</f>
        <v>1A/3</v>
      </c>
      <c r="C8" s="413" t="str">
        <f>'Visual chart Edit'!C11</f>
        <v>DA+0</v>
      </c>
      <c r="D8" s="413" t="s">
        <v>1300</v>
      </c>
      <c r="E8" s="465">
        <f>'Visual chart Edit'!I11</f>
        <v>443.6</v>
      </c>
      <c r="F8" s="413" t="str">
        <f>'Visual chart Edit'!K11</f>
        <v>DRY</v>
      </c>
      <c r="G8" s="413" t="str">
        <f>'Visual chart Edit'!L11</f>
        <v>E</v>
      </c>
      <c r="H8" s="413" t="s">
        <v>419</v>
      </c>
      <c r="I8" s="413" t="s">
        <v>419</v>
      </c>
      <c r="J8" s="413" t="s">
        <v>419</v>
      </c>
      <c r="K8" s="413"/>
      <c r="M8" s="504" t="s">
        <v>1303</v>
      </c>
      <c r="N8" s="505">
        <f t="shared" si="2"/>
        <v>5</v>
      </c>
      <c r="O8" s="505">
        <f t="shared" si="3"/>
        <v>4</v>
      </c>
      <c r="P8" s="505">
        <f t="shared" si="4"/>
        <v>0</v>
      </c>
      <c r="Q8" s="505">
        <f t="shared" si="5"/>
        <v>0</v>
      </c>
      <c r="R8" s="505">
        <f t="shared" si="6"/>
        <v>1</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hidden="1" x14ac:dyDescent="0.25">
      <c r="A9" s="413">
        <f>+SUBTOTAL(3,$B$4:B9)</f>
        <v>0</v>
      </c>
      <c r="B9" s="413" t="str">
        <f>'Visual chart Edit'!B12</f>
        <v>1A/4</v>
      </c>
      <c r="C9" s="413" t="str">
        <f>'Visual chart Edit'!C12</f>
        <v>DA+3</v>
      </c>
      <c r="D9" s="413" t="s">
        <v>1300</v>
      </c>
      <c r="E9" s="465">
        <f>'Visual chart Edit'!I12</f>
        <v>333.4</v>
      </c>
      <c r="F9" s="413" t="str">
        <f>'Visual chart Edit'!K12</f>
        <v>DFR</v>
      </c>
      <c r="G9" s="413" t="str">
        <f>'Visual chart Edit'!L12</f>
        <v>E</v>
      </c>
      <c r="H9" s="413" t="s">
        <v>419</v>
      </c>
      <c r="I9" s="413" t="s">
        <v>419</v>
      </c>
      <c r="J9" s="413" t="s">
        <v>419</v>
      </c>
      <c r="K9" s="413"/>
      <c r="M9" s="504" t="s">
        <v>1304</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0</v>
      </c>
      <c r="AB9" s="763">
        <f t="shared" si="16"/>
        <v>2.8733999999999997</v>
      </c>
      <c r="AC9" s="763">
        <f t="shared" si="17"/>
        <v>0</v>
      </c>
      <c r="AD9" s="763">
        <f t="shared" si="18"/>
        <v>0</v>
      </c>
      <c r="AE9" s="763">
        <f t="shared" si="19"/>
        <v>0</v>
      </c>
      <c r="AF9" s="601">
        <f t="shared" si="20"/>
        <v>2.8420679999999998</v>
      </c>
      <c r="AG9"/>
    </row>
    <row r="10" spans="1:74" ht="15" hidden="1" x14ac:dyDescent="0.25">
      <c r="A10" s="413">
        <f>+SUBTOTAL(3,$B$4:B10)</f>
        <v>0</v>
      </c>
      <c r="B10" s="413" t="str">
        <f>'Visual chart Edit'!B13</f>
        <v>1A/5</v>
      </c>
      <c r="C10" s="413" t="str">
        <f>'Visual chart Edit'!C13</f>
        <v>DA+0</v>
      </c>
      <c r="D10" s="413" t="s">
        <v>1300</v>
      </c>
      <c r="E10" s="465">
        <f>'Visual chart Edit'!I13</f>
        <v>431.9</v>
      </c>
      <c r="F10" s="413" t="str">
        <f>'Visual chart Edit'!K13</f>
        <v>DRY</v>
      </c>
      <c r="G10" s="413" t="str">
        <f>'Visual chart Edit'!L13</f>
        <v>E</v>
      </c>
      <c r="H10" s="413" t="s">
        <v>419</v>
      </c>
      <c r="I10" s="413" t="s">
        <v>419</v>
      </c>
      <c r="J10" s="413" t="s">
        <v>419</v>
      </c>
      <c r="K10" s="413"/>
      <c r="M10" s="504" t="s">
        <v>1305</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0</v>
      </c>
      <c r="AB10" s="763">
        <f t="shared" si="16"/>
        <v>2.0732000000000004</v>
      </c>
      <c r="AC10" s="763">
        <f t="shared" si="17"/>
        <v>0</v>
      </c>
      <c r="AD10" s="763">
        <f t="shared" si="18"/>
        <v>0</v>
      </c>
      <c r="AE10" s="763">
        <f t="shared" si="19"/>
        <v>0</v>
      </c>
      <c r="AF10" s="601">
        <f t="shared" si="20"/>
        <v>3.0552999999999995</v>
      </c>
      <c r="AG10"/>
    </row>
    <row r="11" spans="1:74" ht="15" hidden="1" x14ac:dyDescent="0.25">
      <c r="A11" s="413">
        <f>+SUBTOTAL(3,$B$4:B11)</f>
        <v>0</v>
      </c>
      <c r="B11" s="413" t="str">
        <f>'Visual chart Edit'!B14</f>
        <v>1A/6</v>
      </c>
      <c r="C11" s="413" t="str">
        <f>'Visual chart Edit'!C14</f>
        <v>DA+0</v>
      </c>
      <c r="D11" s="413" t="s">
        <v>1300</v>
      </c>
      <c r="E11" s="465">
        <f>'Visual chart Edit'!I14</f>
        <v>348.7</v>
      </c>
      <c r="F11" s="413" t="str">
        <f>'Visual chart Edit'!K14</f>
        <v>Sandy</v>
      </c>
      <c r="G11" s="413" t="str">
        <f>'Visual chart Edit'!L14</f>
        <v>E</v>
      </c>
      <c r="H11" s="413" t="s">
        <v>419</v>
      </c>
      <c r="I11" s="413" t="s">
        <v>419</v>
      </c>
      <c r="J11" s="413" t="s">
        <v>419</v>
      </c>
      <c r="K11" s="413"/>
      <c r="M11" s="504" t="s">
        <v>1306</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hidden="1" x14ac:dyDescent="0.25">
      <c r="A12" s="413">
        <f>+SUBTOTAL(3,$B$4:B12)</f>
        <v>0</v>
      </c>
      <c r="B12" s="413" t="str">
        <f>'Visual chart Edit'!B15</f>
        <v>1A/7</v>
      </c>
      <c r="C12" s="413" t="str">
        <f>'Visual chart Edit'!C15</f>
        <v>DA+3</v>
      </c>
      <c r="D12" s="413" t="s">
        <v>1300</v>
      </c>
      <c r="E12" s="465">
        <f>'Visual chart Edit'!I15</f>
        <v>395.7</v>
      </c>
      <c r="F12" s="413" t="str">
        <f>'Visual chart Edit'!K15</f>
        <v>Sandy</v>
      </c>
      <c r="G12" s="413" t="str">
        <f>'Visual chart Edit'!L15</f>
        <v>E</v>
      </c>
      <c r="H12" s="413" t="s">
        <v>419</v>
      </c>
      <c r="I12" s="413" t="s">
        <v>419</v>
      </c>
      <c r="J12" s="413" t="s">
        <v>419</v>
      </c>
      <c r="K12" s="413"/>
      <c r="M12" s="504" t="s">
        <v>1307</v>
      </c>
      <c r="N12" s="505">
        <f t="shared" si="2"/>
        <v>29</v>
      </c>
      <c r="O12" s="505">
        <f t="shared" si="3"/>
        <v>28</v>
      </c>
      <c r="P12" s="505">
        <f t="shared" si="4"/>
        <v>0</v>
      </c>
      <c r="Q12" s="505">
        <f t="shared" si="5"/>
        <v>0</v>
      </c>
      <c r="R12" s="505">
        <f t="shared" si="6"/>
        <v>1</v>
      </c>
      <c r="S12" s="506">
        <f t="shared" si="13"/>
        <v>29</v>
      </c>
      <c r="T12" s="505">
        <f t="shared" si="7"/>
        <v>16</v>
      </c>
      <c r="U12" s="505">
        <f t="shared" si="8"/>
        <v>1</v>
      </c>
      <c r="V12" s="505">
        <f t="shared" si="9"/>
        <v>0</v>
      </c>
      <c r="W12" s="505">
        <f t="shared" si="10"/>
        <v>11</v>
      </c>
      <c r="X12" s="505">
        <f t="shared" si="11"/>
        <v>1</v>
      </c>
      <c r="Y12" s="413">
        <f t="shared" si="12"/>
        <v>13</v>
      </c>
      <c r="Z12" s="763">
        <f t="shared" si="14"/>
        <v>11.512</v>
      </c>
      <c r="AA12" s="763">
        <f t="shared" si="15"/>
        <v>0</v>
      </c>
      <c r="AB12" s="763">
        <f t="shared" si="16"/>
        <v>0</v>
      </c>
      <c r="AC12" s="763">
        <f t="shared" si="17"/>
        <v>0</v>
      </c>
      <c r="AD12" s="763">
        <f t="shared" si="18"/>
        <v>0</v>
      </c>
      <c r="AE12" s="763">
        <f t="shared" si="19"/>
        <v>4.9011000000000005</v>
      </c>
      <c r="AF12" s="601">
        <f t="shared" si="20"/>
        <v>6.6109</v>
      </c>
      <c r="AG12"/>
    </row>
    <row r="13" spans="1:74" ht="15" hidden="1" x14ac:dyDescent="0.25">
      <c r="A13" s="413">
        <f>+SUBTOTAL(3,$B$4:B13)</f>
        <v>0</v>
      </c>
      <c r="B13" s="413" t="str">
        <f>'Visual chart Edit'!B16</f>
        <v>1A/8</v>
      </c>
      <c r="C13" s="413" t="str">
        <f>'Visual chart Edit'!C16</f>
        <v>DA+0</v>
      </c>
      <c r="D13" s="413" t="s">
        <v>1300</v>
      </c>
      <c r="E13" s="465">
        <f>'Visual chart Edit'!I16</f>
        <v>415</v>
      </c>
      <c r="F13" s="413" t="str">
        <f>'Visual chart Edit'!K16</f>
        <v>Sandy</v>
      </c>
      <c r="G13" s="413" t="str">
        <f>'Visual chart Edit'!L16</f>
        <v>E</v>
      </c>
      <c r="H13" s="413" t="s">
        <v>419</v>
      </c>
      <c r="I13" s="413" t="s">
        <v>419</v>
      </c>
      <c r="J13" s="413" t="s">
        <v>419</v>
      </c>
      <c r="K13" s="413"/>
      <c r="M13" s="504" t="s">
        <v>1308</v>
      </c>
      <c r="N13" s="505">
        <f t="shared" si="2"/>
        <v>35</v>
      </c>
      <c r="O13" s="505">
        <f t="shared" si="3"/>
        <v>35</v>
      </c>
      <c r="P13" s="505">
        <f t="shared" si="4"/>
        <v>0</v>
      </c>
      <c r="Q13" s="505">
        <f t="shared" si="5"/>
        <v>0</v>
      </c>
      <c r="R13" s="505">
        <f t="shared" si="6"/>
        <v>0</v>
      </c>
      <c r="S13" s="506">
        <f t="shared" si="13"/>
        <v>35</v>
      </c>
      <c r="T13" s="505">
        <f t="shared" si="7"/>
        <v>31</v>
      </c>
      <c r="U13" s="505">
        <f t="shared" si="8"/>
        <v>1</v>
      </c>
      <c r="V13" s="505">
        <f t="shared" si="9"/>
        <v>0</v>
      </c>
      <c r="W13" s="505">
        <f t="shared" si="10"/>
        <v>3</v>
      </c>
      <c r="X13" s="505">
        <f t="shared" si="11"/>
        <v>0</v>
      </c>
      <c r="Y13" s="413">
        <f t="shared" si="12"/>
        <v>4</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hidden="1" x14ac:dyDescent="0.25">
      <c r="A14" s="413">
        <f>+SUBTOTAL(3,$B$4:B14)</f>
        <v>0</v>
      </c>
      <c r="B14" s="413" t="str">
        <f>'Visual chart Edit'!B17</f>
        <v>2/0</v>
      </c>
      <c r="C14" s="413" t="str">
        <f>'Visual chart Edit'!C17</f>
        <v>DC1+0</v>
      </c>
      <c r="D14" s="413" t="s">
        <v>1300</v>
      </c>
      <c r="E14" s="465">
        <f>'Visual chart Edit'!I17</f>
        <v>394.3</v>
      </c>
      <c r="F14" s="413" t="str">
        <f>'Visual chart Edit'!K17</f>
        <v>DRY</v>
      </c>
      <c r="G14" s="413" t="str">
        <f>'Visual chart Edit'!L17</f>
        <v>E</v>
      </c>
      <c r="H14" s="413" t="s">
        <v>419</v>
      </c>
      <c r="I14" s="413"/>
      <c r="J14" s="413" t="s">
        <v>419</v>
      </c>
      <c r="K14" s="413"/>
      <c r="M14" s="504" t="s">
        <v>1309</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hidden="1" x14ac:dyDescent="0.25">
      <c r="A15" s="413">
        <f>+SUBTOTAL(3,$B$4:B15)</f>
        <v>0</v>
      </c>
      <c r="B15" s="413" t="str">
        <f>'Visual chart Edit'!B18</f>
        <v>2/1</v>
      </c>
      <c r="C15" s="413" t="str">
        <f>'Visual chart Edit'!C18</f>
        <v>DA+3</v>
      </c>
      <c r="D15" s="413" t="s">
        <v>1300</v>
      </c>
      <c r="E15" s="465">
        <f>'Visual chart Edit'!I18</f>
        <v>405.3</v>
      </c>
      <c r="F15" s="413" t="str">
        <f>'Visual chart Edit'!K18</f>
        <v>Sandy</v>
      </c>
      <c r="G15" s="413" t="str">
        <f>'Visual chart Edit'!L18</f>
        <v>E</v>
      </c>
      <c r="H15" s="413" t="s">
        <v>419</v>
      </c>
      <c r="I15" s="413" t="s">
        <v>419</v>
      </c>
      <c r="J15" s="413" t="s">
        <v>419</v>
      </c>
      <c r="K15" s="413"/>
      <c r="M15" s="504" t="s">
        <v>1310</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hidden="1" x14ac:dyDescent="0.25">
      <c r="A16" s="413">
        <f>+SUBTOTAL(3,$B$4:B16)</f>
        <v>0</v>
      </c>
      <c r="B16" s="413" t="str">
        <f>'Visual chart Edit'!B19</f>
        <v>2/2</v>
      </c>
      <c r="C16" s="413" t="str">
        <f>'Visual chart Edit'!C19</f>
        <v>DA+3</v>
      </c>
      <c r="D16" s="413" t="s">
        <v>1300</v>
      </c>
      <c r="E16" s="465">
        <f>'Visual chart Edit'!I19</f>
        <v>338.5</v>
      </c>
      <c r="F16" s="413" t="str">
        <f>'Visual chart Edit'!K19</f>
        <v>Sandy</v>
      </c>
      <c r="G16" s="413" t="str">
        <f>'Visual chart Edit'!L19</f>
        <v>E</v>
      </c>
      <c r="H16" s="413" t="s">
        <v>419</v>
      </c>
      <c r="I16" s="413" t="s">
        <v>419</v>
      </c>
      <c r="J16" s="413" t="s">
        <v>419</v>
      </c>
      <c r="K16" s="413"/>
      <c r="L16" s="479" t="s">
        <v>1583</v>
      </c>
      <c r="M16" s="504" t="s">
        <v>1311</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hidden="1" x14ac:dyDescent="0.25">
      <c r="A17" s="413">
        <f>+SUBTOTAL(3,$B$4:B17)</f>
        <v>0</v>
      </c>
      <c r="B17" s="413" t="str">
        <f>'Visual chart Edit'!B20</f>
        <v>2/3</v>
      </c>
      <c r="C17" s="413" t="str">
        <f>'Visual chart Edit'!C20</f>
        <v>DA+3</v>
      </c>
      <c r="D17" s="413" t="s">
        <v>1300</v>
      </c>
      <c r="E17" s="465">
        <f>'Visual chart Edit'!I20</f>
        <v>406</v>
      </c>
      <c r="F17" s="413" t="str">
        <f>'Visual chart Edit'!K20</f>
        <v>Sandy</v>
      </c>
      <c r="G17" s="413" t="str">
        <f>'Visual chart Edit'!L20</f>
        <v>E</v>
      </c>
      <c r="H17" s="413" t="s">
        <v>419</v>
      </c>
      <c r="I17" s="413" t="s">
        <v>419</v>
      </c>
      <c r="J17" s="413" t="s">
        <v>419</v>
      </c>
      <c r="K17" s="413"/>
      <c r="M17" s="504" t="s">
        <v>1312</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hidden="1" x14ac:dyDescent="0.25">
      <c r="A18" s="413">
        <f>+SUBTOTAL(3,$B$4:B18)</f>
        <v>0</v>
      </c>
      <c r="B18" s="413" t="str">
        <f>'Visual chart Edit'!B21</f>
        <v>2/4</v>
      </c>
      <c r="C18" s="413" t="str">
        <f>'Visual chart Edit'!C21</f>
        <v>DA+3</v>
      </c>
      <c r="D18" s="413" t="s">
        <v>1300</v>
      </c>
      <c r="E18" s="465">
        <f>'Visual chart Edit'!I21</f>
        <v>429</v>
      </c>
      <c r="F18" s="413" t="str">
        <f>'Visual chart Edit'!K21</f>
        <v>Sandy</v>
      </c>
      <c r="G18" s="413" t="str">
        <f>'Visual chart Edit'!L21</f>
        <v>E</v>
      </c>
      <c r="H18" s="413" t="s">
        <v>419</v>
      </c>
      <c r="I18" s="413" t="s">
        <v>419</v>
      </c>
      <c r="J18" s="413" t="s">
        <v>419</v>
      </c>
      <c r="K18" s="413"/>
      <c r="M18" s="504" t="s">
        <v>1313</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hidden="1" x14ac:dyDescent="0.25">
      <c r="A19" s="413">
        <f>+SUBTOTAL(3,$B$4:B19)</f>
        <v>0</v>
      </c>
      <c r="B19" s="413" t="str">
        <f>'Visual chart Edit'!B22</f>
        <v>2/5</v>
      </c>
      <c r="C19" s="413" t="str">
        <f>'Visual chart Edit'!C22</f>
        <v>DA+3</v>
      </c>
      <c r="D19" s="413" t="s">
        <v>1300</v>
      </c>
      <c r="E19" s="465">
        <f>'Visual chart Edit'!I22</f>
        <v>411.6</v>
      </c>
      <c r="F19" s="413" t="str">
        <f>'Visual chart Edit'!K22</f>
        <v>Sandy</v>
      </c>
      <c r="G19" s="413" t="str">
        <f>'Visual chart Edit'!L22</f>
        <v>E</v>
      </c>
      <c r="H19" s="413" t="s">
        <v>419</v>
      </c>
      <c r="I19" s="413" t="s">
        <v>419</v>
      </c>
      <c r="J19" s="413" t="s">
        <v>419</v>
      </c>
      <c r="K19" s="413"/>
      <c r="M19" s="504" t="s">
        <v>1314</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hidden="1" x14ac:dyDescent="0.25">
      <c r="A20" s="413">
        <f>+SUBTOTAL(3,$B$4:B20)</f>
        <v>0</v>
      </c>
      <c r="B20" s="413" t="str">
        <f>'Visual chart Edit'!B23</f>
        <v>2/6</v>
      </c>
      <c r="C20" s="413" t="str">
        <f>'Visual chart Edit'!C23</f>
        <v>DA+3</v>
      </c>
      <c r="D20" s="413" t="s">
        <v>1301</v>
      </c>
      <c r="E20" s="465">
        <f>'Visual chart Edit'!I23</f>
        <v>425.7</v>
      </c>
      <c r="F20" s="413" t="str">
        <f>'Visual chart Edit'!K23</f>
        <v>Sandy</v>
      </c>
      <c r="G20" s="413" t="str">
        <f>'Visual chart Edit'!L23</f>
        <v>E</v>
      </c>
      <c r="H20" s="413" t="s">
        <v>419</v>
      </c>
      <c r="I20" s="413" t="s">
        <v>419</v>
      </c>
      <c r="J20" s="413" t="s">
        <v>419</v>
      </c>
      <c r="K20" s="413"/>
      <c r="M20" s="504" t="s">
        <v>1315</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hidden="1" x14ac:dyDescent="0.25">
      <c r="A21" s="413">
        <f>+SUBTOTAL(3,$B$4:B21)</f>
        <v>0</v>
      </c>
      <c r="B21" s="413" t="str">
        <f>'Visual chart Edit'!B24</f>
        <v>2/7</v>
      </c>
      <c r="C21" s="413" t="str">
        <f>'Visual chart Edit'!C24</f>
        <v>DA+3</v>
      </c>
      <c r="D21" s="413" t="s">
        <v>1301</v>
      </c>
      <c r="E21" s="465">
        <f>'Visual chart Edit'!I24</f>
        <v>408.2</v>
      </c>
      <c r="F21" s="413" t="str">
        <f>'Visual chart Edit'!K24</f>
        <v>Sandy</v>
      </c>
      <c r="G21" s="413" t="str">
        <f>'Visual chart Edit'!L24</f>
        <v>E</v>
      </c>
      <c r="H21" s="413" t="s">
        <v>419</v>
      </c>
      <c r="I21" s="413" t="s">
        <v>419</v>
      </c>
      <c r="J21" s="413" t="s">
        <v>419</v>
      </c>
      <c r="K21" s="413"/>
      <c r="M21" s="504" t="s">
        <v>1316</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hidden="1" x14ac:dyDescent="0.25">
      <c r="A22" s="413">
        <f>+SUBTOTAL(3,$B$4:B22)</f>
        <v>0</v>
      </c>
      <c r="B22" s="413" t="str">
        <f>'Visual chart Edit'!B25</f>
        <v>2/8</v>
      </c>
      <c r="C22" s="413" t="str">
        <f>'Visual chart Edit'!C25</f>
        <v>DA+0</v>
      </c>
      <c r="D22" s="413" t="s">
        <v>1301</v>
      </c>
      <c r="E22" s="465">
        <f>'Visual chart Edit'!I25</f>
        <v>354.6</v>
      </c>
      <c r="F22" s="413" t="str">
        <f>'Visual chart Edit'!K25</f>
        <v>Sandy</v>
      </c>
      <c r="G22" s="413" t="str">
        <f>'Visual chart Edit'!L25</f>
        <v>E</v>
      </c>
      <c r="H22" s="413" t="s">
        <v>419</v>
      </c>
      <c r="I22" s="413" t="s">
        <v>419</v>
      </c>
      <c r="J22" s="413" t="s">
        <v>419</v>
      </c>
      <c r="K22" s="413"/>
      <c r="M22" s="504" t="s">
        <v>1317</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hidden="1" x14ac:dyDescent="0.25">
      <c r="A23" s="413">
        <f>+SUBTOTAL(3,$B$4:B23)</f>
        <v>0</v>
      </c>
      <c r="B23" s="413" t="str">
        <f>'Visual chart Edit'!B26</f>
        <v>2/9</v>
      </c>
      <c r="C23" s="413" t="str">
        <f>'Visual chart Edit'!C26</f>
        <v>DA+0</v>
      </c>
      <c r="D23" s="413" t="s">
        <v>1301</v>
      </c>
      <c r="E23" s="465">
        <f>'Visual chart Edit'!I26</f>
        <v>308.7</v>
      </c>
      <c r="F23" s="413" t="str">
        <f>'Visual chart Edit'!K26</f>
        <v>DRY</v>
      </c>
      <c r="G23" s="413" t="str">
        <f>'Visual chart Edit'!L26</f>
        <v>E</v>
      </c>
      <c r="H23" s="413" t="s">
        <v>419</v>
      </c>
      <c r="I23" s="413" t="s">
        <v>419</v>
      </c>
      <c r="J23" s="413" t="s">
        <v>419</v>
      </c>
      <c r="K23" s="413"/>
      <c r="M23" s="504" t="s">
        <v>1318</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hidden="1" x14ac:dyDescent="0.25">
      <c r="A24" s="413">
        <f>+SUBTOTAL(3,$B$4:B24)</f>
        <v>0</v>
      </c>
      <c r="B24" s="413" t="str">
        <f>'Visual chart Edit'!B27</f>
        <v>3/0</v>
      </c>
      <c r="C24" s="413" t="str">
        <f>'Visual chart Edit'!C27</f>
        <v>DD60+6</v>
      </c>
      <c r="D24" s="413" t="s">
        <v>1301</v>
      </c>
      <c r="E24" s="465">
        <f>'Visual chart Edit'!I27</f>
        <v>336</v>
      </c>
      <c r="F24" s="413" t="str">
        <f>'Visual chart Edit'!K27</f>
        <v>DRY</v>
      </c>
      <c r="G24" s="413" t="str">
        <f>'Visual chart Edit'!L27</f>
        <v>E</v>
      </c>
      <c r="H24" s="413" t="s">
        <v>419</v>
      </c>
      <c r="I24" s="413" t="s">
        <v>419</v>
      </c>
      <c r="J24" s="413" t="s">
        <v>419</v>
      </c>
      <c r="K24" s="413"/>
      <c r="M24" s="504" t="s">
        <v>1319</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hidden="1" x14ac:dyDescent="0.25">
      <c r="A25" s="413">
        <f>+SUBTOTAL(3,$B$4:B25)</f>
        <v>0</v>
      </c>
      <c r="B25" s="413" t="str">
        <f>'Visual chart Edit'!B28</f>
        <v>4/0</v>
      </c>
      <c r="C25" s="413" t="str">
        <f>'Visual chart Edit'!C28</f>
        <v>DD60+6</v>
      </c>
      <c r="D25" s="413" t="s">
        <v>1301</v>
      </c>
      <c r="E25" s="465">
        <f>'Visual chart Edit'!I28</f>
        <v>226.5</v>
      </c>
      <c r="F25" s="413" t="str">
        <f>'Visual chart Edit'!K28</f>
        <v>DRY</v>
      </c>
      <c r="G25" s="413" t="str">
        <f>'Visual chart Edit'!L28</f>
        <v>E</v>
      </c>
      <c r="H25" s="413"/>
      <c r="I25" s="413"/>
      <c r="J25" s="413"/>
      <c r="K25" s="413"/>
      <c r="M25" s="504" t="s">
        <v>1320</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hidden="1" x14ac:dyDescent="0.25">
      <c r="A26" s="413">
        <f>+SUBTOTAL(3,$B$4:B26)</f>
        <v>0</v>
      </c>
      <c r="B26" s="413" t="str">
        <f>'Visual chart Edit'!B29</f>
        <v>4/1</v>
      </c>
      <c r="C26" s="413" t="str">
        <f>'Visual chart Edit'!C29</f>
        <v>DA+0</v>
      </c>
      <c r="D26" s="413" t="s">
        <v>1301</v>
      </c>
      <c r="E26" s="465">
        <f>'Visual chart Edit'!I29</f>
        <v>343</v>
      </c>
      <c r="F26" s="413" t="str">
        <f>'Visual chart Edit'!K29</f>
        <v>DRY</v>
      </c>
      <c r="G26" s="413" t="str">
        <f>'Visual chart Edit'!L29</f>
        <v>E</v>
      </c>
      <c r="H26" s="413"/>
      <c r="I26" s="413"/>
      <c r="J26" s="413"/>
      <c r="K26" s="413"/>
      <c r="M26" s="504" t="s">
        <v>1321</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hidden="1" x14ac:dyDescent="0.25">
      <c r="A27" s="413">
        <f>+SUBTOTAL(3,$B$4:B27)</f>
        <v>0</v>
      </c>
      <c r="B27" s="413" t="str">
        <f>'Visual chart Edit'!B30</f>
        <v>4/2</v>
      </c>
      <c r="C27" s="413" t="str">
        <f>'Visual chart Edit'!C30</f>
        <v>DA+0</v>
      </c>
      <c r="D27" s="413" t="s">
        <v>1301</v>
      </c>
      <c r="E27" s="465">
        <f>'Visual chart Edit'!I30</f>
        <v>358.4</v>
      </c>
      <c r="F27" s="413" t="str">
        <f>'Visual chart Edit'!K30</f>
        <v>DRY</v>
      </c>
      <c r="G27" s="413" t="str">
        <f>'Visual chart Edit'!L30</f>
        <v>E</v>
      </c>
      <c r="H27" s="413"/>
      <c r="I27" s="413"/>
      <c r="J27" s="413"/>
      <c r="K27" s="413"/>
      <c r="M27" s="504" t="s">
        <v>1322</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hidden="1" x14ac:dyDescent="0.25">
      <c r="A28" s="413">
        <f>+SUBTOTAL(3,$B$4:B28)</f>
        <v>0</v>
      </c>
      <c r="B28" s="413" t="str">
        <f>'Visual chart Edit'!B31</f>
        <v>4/3</v>
      </c>
      <c r="C28" s="413" t="str">
        <f>'Visual chart Edit'!C31</f>
        <v>DA+0</v>
      </c>
      <c r="D28" s="413" t="s">
        <v>1301</v>
      </c>
      <c r="E28" s="465">
        <f>'Visual chart Edit'!I31</f>
        <v>381</v>
      </c>
      <c r="F28" s="413" t="str">
        <f>'Visual chart Edit'!K31</f>
        <v>DRY</v>
      </c>
      <c r="G28" s="413" t="str">
        <f>'Visual chart Edit'!L31</f>
        <v>E</v>
      </c>
      <c r="H28" s="413"/>
      <c r="I28" s="413"/>
      <c r="J28" s="413"/>
      <c r="K28" s="413"/>
      <c r="M28" s="504" t="s">
        <v>1323</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hidden="1" x14ac:dyDescent="0.25">
      <c r="A29" s="413">
        <f>+SUBTOTAL(3,$B$4:B29)</f>
        <v>0</v>
      </c>
      <c r="B29" s="413" t="str">
        <f>'Visual chart Edit'!B32</f>
        <v>4/4</v>
      </c>
      <c r="C29" s="413" t="str">
        <f>'Visual chart Edit'!C32</f>
        <v>DA+0</v>
      </c>
      <c r="D29" s="413" t="s">
        <v>1301</v>
      </c>
      <c r="E29" s="465">
        <f>'Visual chart Edit'!I32</f>
        <v>367.6</v>
      </c>
      <c r="F29" s="413" t="str">
        <f>'Visual chart Edit'!K32</f>
        <v>DRY</v>
      </c>
      <c r="G29" s="413" t="str">
        <f>'Visual chart Edit'!L32</f>
        <v>E</v>
      </c>
      <c r="H29" s="413"/>
      <c r="I29" s="413"/>
      <c r="J29" s="413"/>
      <c r="K29" s="413"/>
      <c r="M29" s="504" t="s">
        <v>1324</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hidden="1" x14ac:dyDescent="0.25">
      <c r="A30" s="413">
        <f>+SUBTOTAL(3,$B$4:B30)</f>
        <v>0</v>
      </c>
      <c r="B30" s="413" t="str">
        <f>'Visual chart Edit'!B33</f>
        <v>5/0</v>
      </c>
      <c r="C30" s="413" t="str">
        <f>'Visual chart Edit'!C33</f>
        <v>DB1+9</v>
      </c>
      <c r="D30" s="413" t="s">
        <v>1301</v>
      </c>
      <c r="E30" s="465">
        <f>'Visual chart Edit'!I33</f>
        <v>423.1</v>
      </c>
      <c r="F30" s="413" t="str">
        <f>'Visual chart Edit'!K33</f>
        <v>DRY</v>
      </c>
      <c r="G30" s="413" t="str">
        <f>'Visual chart Edit'!L33</f>
        <v>E</v>
      </c>
      <c r="H30" s="413"/>
      <c r="I30" s="413"/>
      <c r="J30" s="413"/>
      <c r="K30" s="413"/>
      <c r="M30" s="504" t="s">
        <v>1325</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hidden="1" x14ac:dyDescent="0.25">
      <c r="A31" s="413">
        <f>+SUBTOTAL(3,$B$4:B31)</f>
        <v>0</v>
      </c>
      <c r="B31" s="413" t="str">
        <f>'Visual chart Edit'!B34</f>
        <v>6/0</v>
      </c>
      <c r="C31" s="413" t="str">
        <f>'Visual chart Edit'!C34</f>
        <v>DB2+9</v>
      </c>
      <c r="D31" s="413" t="s">
        <v>1301</v>
      </c>
      <c r="E31" s="465">
        <f>'Visual chart Edit'!I34</f>
        <v>246</v>
      </c>
      <c r="F31" s="413" t="str">
        <f>'Visual chart Edit'!K34</f>
        <v>DRY</v>
      </c>
      <c r="G31" s="413" t="str">
        <f>'Visual chart Edit'!L34</f>
        <v>E</v>
      </c>
      <c r="H31" s="413"/>
      <c r="I31" s="413"/>
      <c r="J31" s="413"/>
      <c r="K31" s="413"/>
      <c r="L31" s="479" t="s">
        <v>1434</v>
      </c>
      <c r="M31" s="504" t="s">
        <v>1326</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hidden="1" x14ac:dyDescent="0.25">
      <c r="A32" s="413">
        <f>+SUBTOTAL(3,$B$4:B32)</f>
        <v>0</v>
      </c>
      <c r="B32" s="413" t="str">
        <f>'Visual chart Edit'!B35</f>
        <v>6/1</v>
      </c>
      <c r="C32" s="413" t="str">
        <f>'Visual chart Edit'!C35</f>
        <v>DA+0</v>
      </c>
      <c r="D32" s="413" t="s">
        <v>1301</v>
      </c>
      <c r="E32" s="465">
        <f>'Visual chart Edit'!I35</f>
        <v>429.9</v>
      </c>
      <c r="F32" s="413" t="str">
        <f>'Visual chart Edit'!K35</f>
        <v>DFR</v>
      </c>
      <c r="G32" s="413" t="str">
        <f>'Visual chart Edit'!L35</f>
        <v>E</v>
      </c>
      <c r="H32" s="413"/>
      <c r="I32" s="413"/>
      <c r="J32" s="413"/>
      <c r="K32" s="413"/>
      <c r="M32" s="504" t="s">
        <v>1327</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hidden="1" x14ac:dyDescent="0.25">
      <c r="A33" s="413">
        <f>+SUBTOTAL(3,$B$4:B33)</f>
        <v>0</v>
      </c>
      <c r="B33" s="413" t="str">
        <f>'Visual chart Edit'!B36</f>
        <v>6/2</v>
      </c>
      <c r="C33" s="413" t="str">
        <f>'Visual chart Edit'!C36</f>
        <v>DA+0</v>
      </c>
      <c r="D33" s="413" t="s">
        <v>1301</v>
      </c>
      <c r="E33" s="465">
        <f>'Visual chart Edit'!I36</f>
        <v>362.4</v>
      </c>
      <c r="F33" s="413" t="str">
        <f>'Visual chart Edit'!K36</f>
        <v>DFR</v>
      </c>
      <c r="G33" s="413" t="str">
        <f>'Visual chart Edit'!L36</f>
        <v>E</v>
      </c>
      <c r="H33" s="413"/>
      <c r="I33" s="413"/>
      <c r="J33" s="413"/>
      <c r="K33" s="413"/>
      <c r="M33" s="504" t="s">
        <v>1328</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hidden="1" x14ac:dyDescent="0.25">
      <c r="A34" s="413">
        <f>+SUBTOTAL(3,$B$4:B34)</f>
        <v>0</v>
      </c>
      <c r="B34" s="413" t="str">
        <f>'Visual chart Edit'!B37</f>
        <v>7/0</v>
      </c>
      <c r="C34" s="413" t="str">
        <f>'Visual chart Edit'!C37</f>
        <v>DB1+0</v>
      </c>
      <c r="D34" s="413" t="s">
        <v>1301</v>
      </c>
      <c r="E34" s="465">
        <f>'Visual chart Edit'!I37</f>
        <v>347.9</v>
      </c>
      <c r="F34" s="413" t="str">
        <f>'Visual chart Edit'!K37</f>
        <v>DRY</v>
      </c>
      <c r="G34" s="413" t="str">
        <f>'Visual chart Edit'!L37</f>
        <v>E</v>
      </c>
      <c r="H34" s="413"/>
      <c r="I34" s="413"/>
      <c r="J34" s="413"/>
      <c r="K34" s="413"/>
      <c r="M34" s="504" t="s">
        <v>1329</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hidden="1" x14ac:dyDescent="0.25">
      <c r="A35" s="413">
        <f>+SUBTOTAL(3,$B$4:B35)</f>
        <v>0</v>
      </c>
      <c r="B35" s="413" t="str">
        <f>'Visual chart Edit'!B38</f>
        <v>8/0</v>
      </c>
      <c r="C35" s="413" t="str">
        <f>'Visual chart Edit'!C38</f>
        <v>DB1+0</v>
      </c>
      <c r="D35" s="413" t="s">
        <v>1301</v>
      </c>
      <c r="E35" s="465">
        <f>'Visual chart Edit'!I38</f>
        <v>210.8</v>
      </c>
      <c r="F35" s="413" t="str">
        <f>'Visual chart Edit'!K38</f>
        <v>DRY</v>
      </c>
      <c r="G35" s="413" t="str">
        <f>'Visual chart Edit'!L38</f>
        <v>E</v>
      </c>
      <c r="H35" s="413"/>
      <c r="I35" s="413"/>
      <c r="J35" s="413"/>
      <c r="K35" s="413"/>
      <c r="M35" s="504" t="s">
        <v>1330</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hidden="1" x14ac:dyDescent="0.25">
      <c r="A36" s="413">
        <f>+SUBTOTAL(3,$B$4:B36)</f>
        <v>0</v>
      </c>
      <c r="B36" s="413" t="str">
        <f>'Visual chart Edit'!B39</f>
        <v>8/1</v>
      </c>
      <c r="C36" s="413" t="str">
        <f>'Visual chart Edit'!C39</f>
        <v>DA+3</v>
      </c>
      <c r="D36" s="413" t="s">
        <v>1301</v>
      </c>
      <c r="E36" s="465">
        <f>'Visual chart Edit'!I39</f>
        <v>409.2</v>
      </c>
      <c r="F36" s="413" t="str">
        <f>'Visual chart Edit'!K39</f>
        <v>DRY</v>
      </c>
      <c r="G36" s="413" t="str">
        <f>'Visual chart Edit'!L39</f>
        <v>E</v>
      </c>
      <c r="H36" s="413"/>
      <c r="I36" s="413"/>
      <c r="J36" s="413"/>
      <c r="K36" s="413"/>
      <c r="M36" s="504" t="s">
        <v>1331</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hidden="1" x14ac:dyDescent="0.25">
      <c r="A37" s="413">
        <f>+SUBTOTAL(3,$B$4:B37)</f>
        <v>0</v>
      </c>
      <c r="B37" s="413" t="str">
        <f>'Visual chart Edit'!B40</f>
        <v>8/2</v>
      </c>
      <c r="C37" s="413" t="str">
        <f>'Visual chart Edit'!C40</f>
        <v>DA+3</v>
      </c>
      <c r="D37" s="413" t="s">
        <v>1301</v>
      </c>
      <c r="E37" s="465">
        <f>'Visual chart Edit'!I40</f>
        <v>413.6</v>
      </c>
      <c r="F37" s="413" t="str">
        <f>'Visual chart Edit'!K40</f>
        <v>DRY</v>
      </c>
      <c r="G37" s="413" t="str">
        <f>'Visual chart Edit'!L40</f>
        <v>E</v>
      </c>
      <c r="H37" s="413"/>
      <c r="I37" s="413"/>
      <c r="J37" s="413"/>
      <c r="K37" s="413"/>
      <c r="M37" s="504" t="s">
        <v>1332</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hidden="1" x14ac:dyDescent="0.25">
      <c r="A38" s="413">
        <f>+SUBTOTAL(3,$B$4:B38)</f>
        <v>0</v>
      </c>
      <c r="B38" s="413" t="str">
        <f>'Visual chart Edit'!B41</f>
        <v>8/3</v>
      </c>
      <c r="C38" s="413" t="str">
        <f>'Visual chart Edit'!C41</f>
        <v>DA+0</v>
      </c>
      <c r="D38" s="413" t="s">
        <v>1301</v>
      </c>
      <c r="E38" s="465">
        <f>'Visual chart Edit'!I41</f>
        <v>393.2</v>
      </c>
      <c r="F38" s="413" t="str">
        <f>'Visual chart Edit'!K41</f>
        <v>DRY</v>
      </c>
      <c r="G38" s="413" t="str">
        <f>'Visual chart Edit'!L41</f>
        <v>E</v>
      </c>
      <c r="H38" s="413"/>
      <c r="I38" s="413"/>
      <c r="J38" s="413"/>
      <c r="K38" s="413"/>
      <c r="M38" s="504" t="s">
        <v>1333</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hidden="1" x14ac:dyDescent="0.25">
      <c r="A39" s="413">
        <f>+SUBTOTAL(3,$B$4:B39)</f>
        <v>0</v>
      </c>
      <c r="B39" s="413" t="str">
        <f>'Visual chart Edit'!B42</f>
        <v>8/4</v>
      </c>
      <c r="C39" s="413" t="str">
        <f>'Visual chart Edit'!C42</f>
        <v>DA+3</v>
      </c>
      <c r="D39" s="413" t="s">
        <v>1301</v>
      </c>
      <c r="E39" s="465">
        <f>'Visual chart Edit'!I42</f>
        <v>416.5</v>
      </c>
      <c r="F39" s="413" t="str">
        <f>'Visual chart Edit'!K42</f>
        <v>DRY</v>
      </c>
      <c r="G39" s="413" t="str">
        <f>'Visual chart Edit'!L42</f>
        <v>E</v>
      </c>
      <c r="H39" s="413"/>
      <c r="I39" s="413"/>
      <c r="J39" s="413"/>
      <c r="K39" s="413"/>
      <c r="M39" s="504" t="s">
        <v>1334</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hidden="1" x14ac:dyDescent="0.25">
      <c r="A40" s="413">
        <f>+SUBTOTAL(3,$B$4:B40)</f>
        <v>0</v>
      </c>
      <c r="B40" s="413" t="str">
        <f>'Visual chart Edit'!B43</f>
        <v>8/5</v>
      </c>
      <c r="C40" s="413" t="str">
        <f>'Visual chart Edit'!C43</f>
        <v>DA+3</v>
      </c>
      <c r="D40" s="413" t="s">
        <v>1301</v>
      </c>
      <c r="E40" s="465">
        <f>'Visual chart Edit'!I43</f>
        <v>394.6</v>
      </c>
      <c r="F40" s="413" t="str">
        <f>'Visual chart Edit'!K43</f>
        <v>DRY</v>
      </c>
      <c r="G40" s="413" t="str">
        <f>'Visual chart Edit'!L43</f>
        <v>E</v>
      </c>
      <c r="H40" s="413"/>
      <c r="I40" s="413"/>
      <c r="J40" s="413"/>
      <c r="K40" s="413"/>
      <c r="M40" s="504" t="s">
        <v>1335</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1</v>
      </c>
      <c r="B41" s="413" t="str">
        <f>'Visual chart Edit'!B44</f>
        <v>8/6</v>
      </c>
      <c r="C41" s="413" t="str">
        <f>'Visual chart Edit'!C44</f>
        <v>DA+3</v>
      </c>
      <c r="D41" s="413" t="s">
        <v>1301</v>
      </c>
      <c r="E41" s="465">
        <f>'Visual chart Edit'!I44</f>
        <v>393.2</v>
      </c>
      <c r="F41" s="413" t="s">
        <v>129</v>
      </c>
      <c r="G41" s="413" t="str">
        <f>'Visual chart Edit'!L44</f>
        <v/>
      </c>
      <c r="H41" s="416" t="s">
        <v>1664</v>
      </c>
      <c r="I41" s="413"/>
      <c r="J41" s="413"/>
      <c r="K41" s="413"/>
      <c r="M41" s="504" t="s">
        <v>1336</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2</v>
      </c>
      <c r="B42" s="413" t="str">
        <f>'Visual chart Edit'!B45</f>
        <v>8/7</v>
      </c>
      <c r="C42" s="413" t="str">
        <f>'Visual chart Edit'!C45</f>
        <v>DB1+0</v>
      </c>
      <c r="D42" s="413" t="s">
        <v>1302</v>
      </c>
      <c r="E42" s="465">
        <f>'Visual chart Edit'!I45</f>
        <v>441.1</v>
      </c>
      <c r="F42" s="413" t="str">
        <f>'Visual chart Edit'!K45</f>
        <v>DRY</v>
      </c>
      <c r="G42" s="413" t="s">
        <v>129</v>
      </c>
      <c r="H42" s="416" t="s">
        <v>1664</v>
      </c>
      <c r="I42" s="413"/>
      <c r="J42" s="413"/>
      <c r="K42" s="413"/>
      <c r="M42" s="504" t="s">
        <v>1337</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3</v>
      </c>
      <c r="B43" s="413" t="str">
        <f>'Visual chart Edit'!B46</f>
        <v>8/8</v>
      </c>
      <c r="C43" s="413" t="str">
        <f>'Visual chart Edit'!C46</f>
        <v>DA+6</v>
      </c>
      <c r="D43" s="413" t="s">
        <v>1302</v>
      </c>
      <c r="E43" s="465">
        <f>'Visual chart Edit'!I46</f>
        <v>414.4</v>
      </c>
      <c r="F43" s="413" t="s">
        <v>129</v>
      </c>
      <c r="G43" s="413" t="str">
        <f>'Visual chart Edit'!L46</f>
        <v/>
      </c>
      <c r="H43" s="416" t="s">
        <v>1664</v>
      </c>
      <c r="I43" s="413"/>
      <c r="J43" s="413"/>
      <c r="K43" s="413"/>
      <c r="M43" s="504" t="s">
        <v>1338</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hidden="1" x14ac:dyDescent="0.25">
      <c r="A44" s="413">
        <f>+SUBTOTAL(3,$B$4:B44)</f>
        <v>3</v>
      </c>
      <c r="B44" s="413" t="str">
        <f>'Visual chart Edit'!B47</f>
        <v>8/9</v>
      </c>
      <c r="C44" s="413" t="str">
        <f>'Visual chart Edit'!C47</f>
        <v>DA+3</v>
      </c>
      <c r="D44" s="413" t="s">
        <v>1302</v>
      </c>
      <c r="E44" s="465">
        <f>'Visual chart Edit'!I47</f>
        <v>395.863</v>
      </c>
      <c r="F44" s="413" t="str">
        <f>'Visual chart Edit'!K47</f>
        <v>DFR</v>
      </c>
      <c r="G44" s="413" t="str">
        <f>'Visual chart Edit'!L47</f>
        <v>E</v>
      </c>
      <c r="H44" s="413"/>
      <c r="I44" s="413"/>
      <c r="J44" s="413"/>
      <c r="K44" s="413"/>
      <c r="M44" s="504" t="s">
        <v>1339</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hidden="1" x14ac:dyDescent="0.25">
      <c r="A45" s="413">
        <f>+SUBTOTAL(3,$B$4:B45)</f>
        <v>3</v>
      </c>
      <c r="B45" s="413" t="str">
        <f>'Visual chart Edit'!B48</f>
        <v>8/10</v>
      </c>
      <c r="C45" s="413" t="str">
        <f>'Visual chart Edit'!C48</f>
        <v>DA+3</v>
      </c>
      <c r="D45" s="413" t="s">
        <v>1302</v>
      </c>
      <c r="E45" s="465">
        <f>'Visual chart Edit'!I48</f>
        <v>413.404</v>
      </c>
      <c r="F45" s="413" t="str">
        <f>'Visual chart Edit'!K48</f>
        <v>DFR</v>
      </c>
      <c r="G45" s="413" t="str">
        <f>'Visual chart Edit'!L48</f>
        <v>E</v>
      </c>
      <c r="H45" s="413"/>
      <c r="I45" s="413"/>
      <c r="J45" s="413"/>
      <c r="K45" s="413"/>
      <c r="M45" s="504" t="s">
        <v>1340</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v>
      </c>
      <c r="B46" s="413" t="str">
        <f>'Visual chart Edit'!B49</f>
        <v>8/11</v>
      </c>
      <c r="C46" s="413" t="str">
        <f>'Visual chart Edit'!C49</f>
        <v>DA+0</v>
      </c>
      <c r="D46" s="413" t="s">
        <v>1302</v>
      </c>
      <c r="E46" s="465">
        <f>'Visual chart Edit'!I49</f>
        <v>402.6</v>
      </c>
      <c r="F46" s="413" t="str">
        <f>'Visual chart Edit'!K49</f>
        <v>DRY</v>
      </c>
      <c r="G46" s="413" t="s">
        <v>129</v>
      </c>
      <c r="H46" s="416" t="s">
        <v>1664</v>
      </c>
      <c r="I46" s="413"/>
      <c r="J46" s="413"/>
      <c r="K46" s="413"/>
      <c r="M46" s="504" t="s">
        <v>1341</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hidden="1" x14ac:dyDescent="0.25">
      <c r="A47" s="413">
        <f>+SUBTOTAL(3,$B$4:B47)</f>
        <v>4</v>
      </c>
      <c r="B47" s="413" t="str">
        <f>'Visual chart Edit'!B50</f>
        <v>8/12</v>
      </c>
      <c r="C47" s="413" t="str">
        <f>'Visual chart Edit'!C50</f>
        <v>DA+0</v>
      </c>
      <c r="D47" s="413" t="s">
        <v>1302</v>
      </c>
      <c r="E47" s="465">
        <f>'Visual chart Edit'!I50</f>
        <v>372.1</v>
      </c>
      <c r="F47" s="413" t="str">
        <f>'Visual chart Edit'!K50</f>
        <v>DRY</v>
      </c>
      <c r="G47" s="413" t="str">
        <f>'Visual chart Edit'!L50</f>
        <v>E</v>
      </c>
      <c r="H47" s="413"/>
      <c r="I47" s="413"/>
      <c r="J47" s="413"/>
      <c r="K47" s="413"/>
      <c r="M47" s="504" t="s">
        <v>1342</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hidden="1" x14ac:dyDescent="0.25">
      <c r="A48" s="413">
        <f>+SUBTOTAL(3,$B$4:B48)</f>
        <v>4</v>
      </c>
      <c r="B48" s="745" t="str">
        <f>'Visual chart Edit'!B51</f>
        <v>9/0</v>
      </c>
      <c r="C48" s="413" t="str">
        <f>'Visual chart Edit'!C51</f>
        <v>DD60+18</v>
      </c>
      <c r="D48" s="413" t="s">
        <v>1302</v>
      </c>
      <c r="E48" s="465">
        <f>'Visual chart Edit'!I51</f>
        <v>457.7</v>
      </c>
      <c r="F48" s="413" t="str">
        <f>'Visual chart Edit'!K51</f>
        <v>DRY</v>
      </c>
      <c r="G48" s="413" t="str">
        <f>'Visual chart Edit'!L51</f>
        <v>E</v>
      </c>
      <c r="H48" s="413"/>
      <c r="I48" s="413"/>
      <c r="J48" s="413"/>
      <c r="K48" s="413"/>
      <c r="M48" s="504" t="s">
        <v>1343</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5</v>
      </c>
      <c r="B49" s="745" t="str">
        <f>'Visual chart Edit'!B52</f>
        <v>10/0</v>
      </c>
      <c r="C49" s="413" t="str">
        <f>'Visual chart Edit'!C52</f>
        <v>DD60+25</v>
      </c>
      <c r="D49" s="413" t="s">
        <v>1302</v>
      </c>
      <c r="E49" s="465">
        <f>'Visual chart Edit'!I52</f>
        <v>233.1</v>
      </c>
      <c r="F49" s="413" t="str">
        <f>'Visual chart Edit'!K52</f>
        <v>DFR</v>
      </c>
      <c r="G49" s="413" t="s">
        <v>129</v>
      </c>
      <c r="H49" s="416" t="s">
        <v>1664</v>
      </c>
      <c r="I49" s="413"/>
      <c r="J49" s="413"/>
      <c r="K49" s="413"/>
      <c r="M49" s="504" t="s">
        <v>1344</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hidden="1" x14ac:dyDescent="0.25">
      <c r="A50" s="413">
        <f>+SUBTOTAL(3,$B$4:B50)</f>
        <v>5</v>
      </c>
      <c r="B50" s="413" t="str">
        <f>'Visual chart Edit'!B53</f>
        <v>10/1</v>
      </c>
      <c r="C50" s="413" t="str">
        <f>'Visual chart Edit'!C53</f>
        <v>DA+0</v>
      </c>
      <c r="D50" s="413" t="s">
        <v>1303</v>
      </c>
      <c r="E50" s="465">
        <f>'Visual chart Edit'!I53</f>
        <v>443.7</v>
      </c>
      <c r="F50" s="413" t="str">
        <f>'Visual chart Edit'!K53</f>
        <v>DRY</v>
      </c>
      <c r="G50" s="413" t="str">
        <f>'Visual chart Edit'!L53</f>
        <v>E</v>
      </c>
      <c r="H50" s="413"/>
      <c r="I50" s="413"/>
      <c r="J50" s="413"/>
      <c r="K50" s="413"/>
      <c r="M50" s="504" t="s">
        <v>1345</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6</v>
      </c>
      <c r="B51" s="413" t="str">
        <f>'Visual chart Edit'!B54</f>
        <v>10/2</v>
      </c>
      <c r="C51" s="413" t="str">
        <f>'Visual chart Edit'!C54</f>
        <v>DA+0</v>
      </c>
      <c r="D51" s="413" t="s">
        <v>1303</v>
      </c>
      <c r="E51" s="465">
        <f>'Visual chart Edit'!I54</f>
        <v>383.2</v>
      </c>
      <c r="F51" s="413" t="s">
        <v>129</v>
      </c>
      <c r="G51" s="413" t="str">
        <f>'Visual chart Edit'!L54</f>
        <v/>
      </c>
      <c r="H51" s="416" t="s">
        <v>1664</v>
      </c>
      <c r="I51" s="413"/>
      <c r="J51" s="413"/>
      <c r="K51" s="413"/>
      <c r="M51" s="504" t="s">
        <v>1346</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hidden="1" x14ac:dyDescent="0.25">
      <c r="A52" s="413">
        <f>+SUBTOTAL(3,$B$4:B52)</f>
        <v>6</v>
      </c>
      <c r="B52" s="413" t="str">
        <f>'Visual chart Edit'!B55</f>
        <v>10/3</v>
      </c>
      <c r="C52" s="413" t="str">
        <f>'Visual chart Edit'!C55</f>
        <v>DA+0</v>
      </c>
      <c r="D52" s="413" t="s">
        <v>1303</v>
      </c>
      <c r="E52" s="465">
        <f>'Visual chart Edit'!I55</f>
        <v>398.6</v>
      </c>
      <c r="F52" s="413" t="str">
        <f>'Visual chart Edit'!K55</f>
        <v>DFR</v>
      </c>
      <c r="G52" s="413" t="str">
        <f>'Visual chart Edit'!L55</f>
        <v>E</v>
      </c>
      <c r="H52" s="413"/>
      <c r="I52" s="413"/>
      <c r="J52" s="413"/>
      <c r="K52" s="413"/>
      <c r="M52" s="504" t="s">
        <v>1347</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hidden="1" x14ac:dyDescent="0.25">
      <c r="A53" s="413">
        <f>+SUBTOTAL(3,$B$4:B53)</f>
        <v>6</v>
      </c>
      <c r="B53" s="413" t="str">
        <f>'Visual chart Edit'!B56</f>
        <v>10/4</v>
      </c>
      <c r="C53" s="413" t="str">
        <f>'Visual chart Edit'!C56</f>
        <v>DA+3</v>
      </c>
      <c r="D53" s="413" t="s">
        <v>1303</v>
      </c>
      <c r="E53" s="465">
        <f>'Visual chart Edit'!I56</f>
        <v>410.7</v>
      </c>
      <c r="F53" s="413" t="str">
        <f>'Visual chart Edit'!K56</f>
        <v>DFR</v>
      </c>
      <c r="G53" s="413" t="str">
        <f>'Visual chart Edit'!L56</f>
        <v>E</v>
      </c>
      <c r="H53" s="413"/>
      <c r="I53" s="413"/>
      <c r="J53" s="413"/>
      <c r="K53" s="413"/>
      <c r="M53" s="504" t="s">
        <v>1348</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hidden="1" x14ac:dyDescent="0.25">
      <c r="A54" s="413">
        <f>+SUBTOTAL(3,$B$4:B54)</f>
        <v>6</v>
      </c>
      <c r="B54" s="413" t="str">
        <f>'Visual chart Edit'!B57</f>
        <v>10/5</v>
      </c>
      <c r="C54" s="413" t="str">
        <f>'Visual chart Edit'!C57</f>
        <v>DA+3</v>
      </c>
      <c r="D54" s="413" t="s">
        <v>1303</v>
      </c>
      <c r="E54" s="465">
        <f>'Visual chart Edit'!I57</f>
        <v>416.2</v>
      </c>
      <c r="F54" s="413" t="str">
        <f>'Visual chart Edit'!K57</f>
        <v>DRY</v>
      </c>
      <c r="G54" s="413" t="str">
        <f>'Visual chart Edit'!L57</f>
        <v>E</v>
      </c>
      <c r="H54" s="413"/>
      <c r="I54" s="413"/>
      <c r="J54" s="413"/>
      <c r="K54" s="413"/>
      <c r="AD54"/>
      <c r="AE54"/>
      <c r="AF54"/>
      <c r="AG54"/>
    </row>
    <row r="55" spans="1:33" hidden="1" x14ac:dyDescent="0.25">
      <c r="A55" s="413">
        <f>+SUBTOTAL(3,$B$4:B55)</f>
        <v>6</v>
      </c>
      <c r="B55" s="413" t="str">
        <f>'Visual chart Edit'!B58</f>
        <v>10/6</v>
      </c>
      <c r="C55" s="413" t="str">
        <f>'Visual chart Edit'!C58</f>
        <v>DA+0</v>
      </c>
      <c r="D55" s="413" t="s">
        <v>1304</v>
      </c>
      <c r="E55" s="465">
        <f>'Visual chart Edit'!I58</f>
        <v>403.4</v>
      </c>
      <c r="F55" s="413" t="str">
        <f>'Visual chart Edit'!K58</f>
        <v>DFR</v>
      </c>
      <c r="G55" s="413" t="str">
        <f>'Visual chart Edit'!L58</f>
        <v>E</v>
      </c>
      <c r="H55" s="413"/>
      <c r="I55" s="413"/>
      <c r="J55" s="413"/>
      <c r="K55" s="413"/>
    </row>
    <row r="56" spans="1:33" hidden="1" x14ac:dyDescent="0.25">
      <c r="A56" s="413">
        <f>+SUBTOTAL(3,$B$4:B56)</f>
        <v>6</v>
      </c>
      <c r="B56" s="413" t="str">
        <f>'Visual chart Edit'!B59</f>
        <v>10/7</v>
      </c>
      <c r="C56" s="413" t="str">
        <f>'Visual chart Edit'!C59</f>
        <v>DA+3</v>
      </c>
      <c r="D56" s="413" t="s">
        <v>1304</v>
      </c>
      <c r="E56" s="465">
        <f>'Visual chart Edit'!I59</f>
        <v>373.84500000000003</v>
      </c>
      <c r="F56" s="413" t="str">
        <f>'Visual chart Edit'!K59</f>
        <v>DRY</v>
      </c>
      <c r="G56" s="413" t="str">
        <f>'Visual chart Edit'!L59</f>
        <v>E</v>
      </c>
      <c r="H56" s="413"/>
      <c r="I56" s="413"/>
      <c r="J56" s="413"/>
      <c r="K56" s="413"/>
    </row>
    <row r="57" spans="1:33" hidden="1" x14ac:dyDescent="0.25">
      <c r="A57" s="413">
        <f>+SUBTOTAL(3,$B$4:B57)</f>
        <v>6</v>
      </c>
      <c r="B57" s="413" t="str">
        <f>'Visual chart Edit'!B60</f>
        <v>10/8</v>
      </c>
      <c r="C57" s="413" t="str">
        <f>'Visual chart Edit'!C60</f>
        <v>DA+3</v>
      </c>
      <c r="D57" s="413" t="s">
        <v>1304</v>
      </c>
      <c r="E57" s="465">
        <f>'Visual chart Edit'!I60</f>
        <v>411.82299999999998</v>
      </c>
      <c r="F57" s="413" t="str">
        <f>'Visual chart Edit'!K60</f>
        <v>DFR</v>
      </c>
      <c r="G57" s="413" t="str">
        <f>'Visual chart Edit'!L60</f>
        <v>E</v>
      </c>
      <c r="H57" s="413"/>
      <c r="I57" s="413"/>
      <c r="J57" s="413"/>
      <c r="K57" s="413"/>
    </row>
    <row r="58" spans="1:33" hidden="1" x14ac:dyDescent="0.25">
      <c r="A58" s="413">
        <f>+SUBTOTAL(3,$B$4:B58)</f>
        <v>6</v>
      </c>
      <c r="B58" s="413" t="str">
        <f>'Visual chart Edit'!B61</f>
        <v>10/9</v>
      </c>
      <c r="C58" s="413" t="str">
        <f>'Visual chart Edit'!C61</f>
        <v>DA+0</v>
      </c>
      <c r="D58" s="413" t="s">
        <v>1304</v>
      </c>
      <c r="E58" s="465">
        <f>'Visual chart Edit'!I61</f>
        <v>414.2</v>
      </c>
      <c r="F58" s="413" t="str">
        <f>'Visual chart Edit'!K61</f>
        <v>DRY</v>
      </c>
      <c r="G58" s="413" t="str">
        <f>'Visual chart Edit'!L61</f>
        <v>E</v>
      </c>
      <c r="H58" s="413"/>
      <c r="I58" s="413"/>
      <c r="J58" s="413"/>
      <c r="K58" s="413"/>
    </row>
    <row r="59" spans="1:33" hidden="1" x14ac:dyDescent="0.25">
      <c r="A59" s="413">
        <f>+SUBTOTAL(3,$B$4:B59)</f>
        <v>6</v>
      </c>
      <c r="B59" s="413" t="str">
        <f>'Visual chart Edit'!B62</f>
        <v>10/10</v>
      </c>
      <c r="C59" s="413" t="str">
        <f>'Visual chart Edit'!C62</f>
        <v>DA+3</v>
      </c>
      <c r="D59" s="413" t="s">
        <v>1304</v>
      </c>
      <c r="E59" s="465">
        <f>'Visual chart Edit'!I62</f>
        <v>402.3</v>
      </c>
      <c r="F59" s="413" t="str">
        <f>'Visual chart Edit'!K62</f>
        <v>Sandy</v>
      </c>
      <c r="G59" s="413" t="str">
        <f>'Visual chart Edit'!L62</f>
        <v>E</v>
      </c>
      <c r="H59" s="413"/>
      <c r="I59" s="413"/>
      <c r="J59" s="413"/>
      <c r="K59" s="413"/>
    </row>
    <row r="60" spans="1:33" hidden="1" x14ac:dyDescent="0.25">
      <c r="A60" s="413">
        <f>+SUBTOTAL(3,$B$4:B60)</f>
        <v>6</v>
      </c>
      <c r="B60" s="413" t="str">
        <f>'Visual chart Edit'!B63</f>
        <v>10/11</v>
      </c>
      <c r="C60" s="413" t="str">
        <f>'Visual chart Edit'!C63</f>
        <v>DA+3</v>
      </c>
      <c r="D60" s="413" t="s">
        <v>1304</v>
      </c>
      <c r="E60" s="465">
        <f>'Visual chart Edit'!I63</f>
        <v>430.3</v>
      </c>
      <c r="F60" s="413" t="str">
        <f>'Visual chart Edit'!K63</f>
        <v>DRY</v>
      </c>
      <c r="G60" s="413" t="str">
        <f>'Visual chart Edit'!L63</f>
        <v>E</v>
      </c>
      <c r="H60" s="413"/>
      <c r="I60" s="413"/>
      <c r="J60" s="413"/>
      <c r="K60" s="413"/>
    </row>
    <row r="61" spans="1:33" hidden="1" x14ac:dyDescent="0.25">
      <c r="A61" s="413">
        <f>+SUBTOTAL(3,$B$4:B61)</f>
        <v>6</v>
      </c>
      <c r="B61" s="413" t="str">
        <f>'Visual chart Edit'!B64</f>
        <v>10/12</v>
      </c>
      <c r="C61" s="413" t="str">
        <f>'Visual chart Edit'!C64</f>
        <v>DB1+0</v>
      </c>
      <c r="D61" s="413" t="s">
        <v>1304</v>
      </c>
      <c r="E61" s="465">
        <f>'Visual chart Edit'!I64</f>
        <v>406.2</v>
      </c>
      <c r="F61" s="413" t="str">
        <f>'Visual chart Edit'!K64</f>
        <v>DRY</v>
      </c>
      <c r="G61" s="413" t="str">
        <f>'Visual chart Edit'!L64</f>
        <v>E</v>
      </c>
      <c r="H61" s="413"/>
      <c r="I61" s="413"/>
      <c r="J61" s="413"/>
      <c r="K61" s="413"/>
    </row>
    <row r="62" spans="1:33" hidden="1" x14ac:dyDescent="0.25">
      <c r="A62" s="413">
        <f>+SUBTOTAL(3,$B$4:B62)</f>
        <v>6</v>
      </c>
      <c r="B62" s="413" t="str">
        <f>'Visual chart Edit'!B65</f>
        <v>10/13</v>
      </c>
      <c r="C62" s="413" t="str">
        <f>'Visual chart Edit'!C65</f>
        <v>DA+3</v>
      </c>
      <c r="D62" s="413" t="s">
        <v>1304</v>
      </c>
      <c r="E62" s="465">
        <f>'Visual chart Edit'!I65</f>
        <v>405.3</v>
      </c>
      <c r="F62" s="413" t="str">
        <f>'Visual chart Edit'!K65</f>
        <v>DRY</v>
      </c>
      <c r="G62" s="413" t="str">
        <f>'Visual chart Edit'!L65</f>
        <v>E</v>
      </c>
      <c r="H62" s="413" t="s">
        <v>124</v>
      </c>
      <c r="I62" s="413"/>
      <c r="J62" s="413"/>
      <c r="K62" s="413"/>
    </row>
    <row r="63" spans="1:33" hidden="1" x14ac:dyDescent="0.25">
      <c r="A63" s="413">
        <f>+SUBTOTAL(3,$B$4:B63)</f>
        <v>6</v>
      </c>
      <c r="B63" s="413" t="str">
        <f>'Visual chart Edit'!B66</f>
        <v>10/14</v>
      </c>
      <c r="C63" s="413" t="str">
        <f>'Visual chart Edit'!C66</f>
        <v>DA+3</v>
      </c>
      <c r="D63" s="413" t="s">
        <v>1304</v>
      </c>
      <c r="E63" s="465">
        <f>'Visual chart Edit'!I66</f>
        <v>427.1</v>
      </c>
      <c r="F63" s="413" t="str">
        <f>'Visual chart Edit'!K66</f>
        <v>DRY</v>
      </c>
      <c r="G63" s="413" t="str">
        <f>'Visual chart Edit'!L66</f>
        <v>E</v>
      </c>
      <c r="H63" s="413" t="s">
        <v>124</v>
      </c>
      <c r="I63" s="413"/>
      <c r="J63" s="413"/>
      <c r="K63" s="413"/>
    </row>
    <row r="64" spans="1:33" hidden="1" x14ac:dyDescent="0.25">
      <c r="A64" s="413">
        <f>+SUBTOTAL(3,$B$4:B64)</f>
        <v>6</v>
      </c>
      <c r="B64" s="413" t="str">
        <f>'Visual chart Edit'!B67</f>
        <v>10/15</v>
      </c>
      <c r="C64" s="413" t="str">
        <f>'Visual chart Edit'!C67</f>
        <v>DA+3</v>
      </c>
      <c r="D64" s="413" t="s">
        <v>1304</v>
      </c>
      <c r="E64" s="465">
        <f>'Visual chart Edit'!I67</f>
        <v>400</v>
      </c>
      <c r="F64" s="413" t="str">
        <f>'Visual chart Edit'!K67</f>
        <v>DRY</v>
      </c>
      <c r="G64" s="413" t="str">
        <f>'Visual chart Edit'!L67</f>
        <v>E</v>
      </c>
      <c r="H64" s="413" t="s">
        <v>124</v>
      </c>
      <c r="I64" s="413"/>
      <c r="J64" s="413"/>
      <c r="K64" s="413"/>
    </row>
    <row r="65" spans="1:11" hidden="1" x14ac:dyDescent="0.25">
      <c r="A65" s="413">
        <f>+SUBTOTAL(3,$B$4:B65)</f>
        <v>6</v>
      </c>
      <c r="B65" s="413" t="str">
        <f>'Visual chart Edit'!B68</f>
        <v>10/16</v>
      </c>
      <c r="C65" s="413" t="str">
        <f>'Visual chart Edit'!C68</f>
        <v>DA+3</v>
      </c>
      <c r="D65" s="413" t="s">
        <v>1304</v>
      </c>
      <c r="E65" s="465">
        <f>'Visual chart Edit'!I68</f>
        <v>412.8</v>
      </c>
      <c r="F65" s="413" t="str">
        <f>'Visual chart Edit'!K68</f>
        <v>DRY</v>
      </c>
      <c r="G65" s="413" t="str">
        <f>'Visual chart Edit'!L68</f>
        <v>E</v>
      </c>
      <c r="H65" s="413" t="s">
        <v>124</v>
      </c>
      <c r="I65" s="413"/>
      <c r="J65" s="413"/>
      <c r="K65" s="413"/>
    </row>
    <row r="66" spans="1:11" hidden="1" x14ac:dyDescent="0.25">
      <c r="A66" s="413">
        <f>+SUBTOTAL(3,$B$4:B66)</f>
        <v>6</v>
      </c>
      <c r="B66" s="413" t="str">
        <f>'Visual chart Edit'!B69</f>
        <v>10/17</v>
      </c>
      <c r="C66" s="413" t="str">
        <f>'Visual chart Edit'!C69</f>
        <v>DA+3</v>
      </c>
      <c r="D66" s="413" t="s">
        <v>1304</v>
      </c>
      <c r="E66" s="465">
        <f>'Visual chart Edit'!I69</f>
        <v>387.8</v>
      </c>
      <c r="F66" s="413" t="str">
        <f>'Visual chart Edit'!K69</f>
        <v>DFR</v>
      </c>
      <c r="G66" s="413" t="str">
        <f>'Visual chart Edit'!L69</f>
        <v>E</v>
      </c>
      <c r="H66" s="413" t="s">
        <v>124</v>
      </c>
      <c r="I66" s="413"/>
      <c r="J66" s="413"/>
      <c r="K66" s="413"/>
    </row>
    <row r="67" spans="1:11" hidden="1" x14ac:dyDescent="0.25">
      <c r="A67" s="413">
        <f>+SUBTOTAL(3,$B$4:B67)</f>
        <v>6</v>
      </c>
      <c r="B67" s="413" t="str">
        <f>'Visual chart Edit'!B70</f>
        <v>10/18</v>
      </c>
      <c r="C67" s="413" t="str">
        <f>'Visual chart Edit'!C70</f>
        <v>DA+3</v>
      </c>
      <c r="D67" s="413" t="s">
        <v>1304</v>
      </c>
      <c r="E67" s="465">
        <f>'Visual chart Edit'!I70</f>
        <v>436.7</v>
      </c>
      <c r="F67" s="413" t="str">
        <f>'Visual chart Edit'!K70</f>
        <v>DFR</v>
      </c>
      <c r="G67" s="413" t="str">
        <f>'Visual chart Edit'!L70</f>
        <v>E</v>
      </c>
      <c r="H67" s="413" t="s">
        <v>124</v>
      </c>
      <c r="I67" s="413"/>
      <c r="J67" s="413"/>
      <c r="K67" s="413"/>
    </row>
    <row r="68" spans="1:11" hidden="1" x14ac:dyDescent="0.25">
      <c r="A68" s="413">
        <f>+SUBTOTAL(3,$B$4:B68)</f>
        <v>6</v>
      </c>
      <c r="B68" s="413" t="str">
        <f>'Visual chart Edit'!B71</f>
        <v>10/19</v>
      </c>
      <c r="C68" s="413" t="str">
        <f>'Visual chart Edit'!C71</f>
        <v>DA+0</v>
      </c>
      <c r="D68" s="413" t="s">
        <v>1304</v>
      </c>
      <c r="E68" s="465">
        <f>'Visual chart Edit'!I71</f>
        <v>403.7</v>
      </c>
      <c r="F68" s="413" t="str">
        <f>'Visual chart Edit'!K71</f>
        <v>DRY</v>
      </c>
      <c r="G68" s="413" t="str">
        <f>'Visual chart Edit'!L71</f>
        <v>E</v>
      </c>
      <c r="H68" s="413" t="s">
        <v>124</v>
      </c>
      <c r="I68" s="413"/>
      <c r="J68" s="413"/>
      <c r="K68" s="413"/>
    </row>
    <row r="69" spans="1:11" hidden="1" x14ac:dyDescent="0.25">
      <c r="A69" s="413">
        <f>+SUBTOTAL(3,$B$4:B69)</f>
        <v>6</v>
      </c>
      <c r="B69" s="413" t="str">
        <f>'Visual chart Edit'!B72</f>
        <v>10/20</v>
      </c>
      <c r="C69" s="413" t="str">
        <f>'Visual chart Edit'!C72</f>
        <v>DA+3</v>
      </c>
      <c r="D69" s="413" t="s">
        <v>1305</v>
      </c>
      <c r="E69" s="465">
        <f>'Visual chart Edit'!I72</f>
        <v>409.5</v>
      </c>
      <c r="F69" s="413" t="str">
        <f>'Visual chart Edit'!K72</f>
        <v>DFR</v>
      </c>
      <c r="G69" s="413" t="str">
        <f>'Visual chart Edit'!L72</f>
        <v>E</v>
      </c>
      <c r="H69" s="413" t="s">
        <v>124</v>
      </c>
      <c r="I69" s="413"/>
      <c r="J69" s="413"/>
      <c r="K69" s="413"/>
    </row>
    <row r="70" spans="1:11" hidden="1" x14ac:dyDescent="0.25">
      <c r="A70" s="413">
        <f>+SUBTOTAL(3,$B$4:B70)</f>
        <v>6</v>
      </c>
      <c r="B70" s="413" t="str">
        <f>'Visual chart Edit'!B73</f>
        <v>10/21</v>
      </c>
      <c r="C70" s="413" t="str">
        <f>'Visual chart Edit'!C73</f>
        <v>DA+3</v>
      </c>
      <c r="D70" s="413" t="s">
        <v>1305</v>
      </c>
      <c r="E70" s="465">
        <f>'Visual chart Edit'!I73</f>
        <v>418.6</v>
      </c>
      <c r="F70" s="413" t="str">
        <f>'Visual chart Edit'!K73</f>
        <v>DFR</v>
      </c>
      <c r="G70" s="413" t="str">
        <f>'Visual chart Edit'!L73</f>
        <v>E</v>
      </c>
      <c r="H70" s="413" t="s">
        <v>124</v>
      </c>
      <c r="I70" s="413"/>
      <c r="J70" s="413"/>
      <c r="K70" s="413"/>
    </row>
    <row r="71" spans="1:11" hidden="1" x14ac:dyDescent="0.25">
      <c r="A71" s="413">
        <f>+SUBTOTAL(3,$B$4:B71)</f>
        <v>6</v>
      </c>
      <c r="B71" s="413" t="str">
        <f>'Visual chart Edit'!B74</f>
        <v>10/22</v>
      </c>
      <c r="C71" s="413" t="str">
        <f>'Visual chart Edit'!C74</f>
        <v>DA+0</v>
      </c>
      <c r="D71" s="413" t="s">
        <v>1305</v>
      </c>
      <c r="E71" s="465">
        <f>'Visual chart Edit'!I74</f>
        <v>410.3</v>
      </c>
      <c r="F71" s="413" t="str">
        <f>'Visual chart Edit'!K74</f>
        <v>Sandy</v>
      </c>
      <c r="G71" s="413" t="str">
        <f>'Visual chart Edit'!L74</f>
        <v>E</v>
      </c>
      <c r="H71" s="413" t="s">
        <v>124</v>
      </c>
      <c r="I71" s="413"/>
      <c r="J71" s="413"/>
      <c r="K71" s="413"/>
    </row>
    <row r="72" spans="1:11" hidden="1" x14ac:dyDescent="0.25">
      <c r="A72" s="413">
        <f>+SUBTOTAL(3,$B$4:B72)</f>
        <v>6</v>
      </c>
      <c r="B72" s="413" t="str">
        <f>'Visual chart Edit'!B75</f>
        <v>10/23</v>
      </c>
      <c r="C72" s="413" t="str">
        <f>'Visual chart Edit'!C75</f>
        <v>DA+0</v>
      </c>
      <c r="D72" s="413" t="s">
        <v>1305</v>
      </c>
      <c r="E72" s="465">
        <f>'Visual chart Edit'!I75</f>
        <v>384</v>
      </c>
      <c r="F72" s="413" t="str">
        <f>'Visual chart Edit'!K75</f>
        <v>Sandy</v>
      </c>
      <c r="G72" s="413" t="str">
        <f>'Visual chart Edit'!L75</f>
        <v>E</v>
      </c>
      <c r="H72" s="413" t="s">
        <v>124</v>
      </c>
      <c r="I72" s="413"/>
      <c r="J72" s="413"/>
      <c r="K72" s="413"/>
    </row>
    <row r="73" spans="1:11" hidden="1" x14ac:dyDescent="0.25">
      <c r="A73" s="413">
        <f>+SUBTOTAL(3,$B$4:B73)</f>
        <v>6</v>
      </c>
      <c r="B73" s="413" t="str">
        <f>'Visual chart Edit'!B76</f>
        <v>11/0</v>
      </c>
      <c r="C73" s="413" t="str">
        <f>'Visual chart Edit'!C76</f>
        <v>DB1+0</v>
      </c>
      <c r="D73" s="413" t="s">
        <v>1305</v>
      </c>
      <c r="E73" s="465">
        <f>'Visual chart Edit'!I76</f>
        <v>450.8</v>
      </c>
      <c r="F73" s="413" t="str">
        <f>'Visual chart Edit'!K76</f>
        <v>Sandy</v>
      </c>
      <c r="G73" s="413" t="str">
        <f>'Visual chart Edit'!L76</f>
        <v>E</v>
      </c>
      <c r="H73" s="413" t="s">
        <v>124</v>
      </c>
      <c r="I73" s="413"/>
      <c r="J73" s="413"/>
      <c r="K73" s="413"/>
    </row>
    <row r="74" spans="1:11" hidden="1" x14ac:dyDescent="0.25">
      <c r="A74" s="413">
        <f>+SUBTOTAL(3,$B$4:B74)</f>
        <v>6</v>
      </c>
      <c r="B74" s="413" t="str">
        <f>'Visual chart Edit'!B77</f>
        <v>11/1</v>
      </c>
      <c r="C74" s="413" t="str">
        <f>'Visual chart Edit'!C77</f>
        <v>DA+0</v>
      </c>
      <c r="D74" s="413" t="s">
        <v>1305</v>
      </c>
      <c r="E74" s="465">
        <f>'Visual chart Edit'!I77</f>
        <v>384.2</v>
      </c>
      <c r="F74" s="413" t="str">
        <f>'Visual chart Edit'!K77</f>
        <v>Sandy</v>
      </c>
      <c r="G74" s="413" t="str">
        <f>'Visual chart Edit'!L77</f>
        <v>E</v>
      </c>
      <c r="H74" s="413"/>
      <c r="I74" s="413"/>
      <c r="J74" s="413"/>
      <c r="K74" s="413"/>
    </row>
    <row r="75" spans="1:11" hidden="1" x14ac:dyDescent="0.25">
      <c r="A75" s="413">
        <f>+SUBTOTAL(3,$B$4:B75)</f>
        <v>6</v>
      </c>
      <c r="B75" s="413" t="str">
        <f>'Visual chart Edit'!B78</f>
        <v>11/2</v>
      </c>
      <c r="C75" s="413" t="str">
        <f>'Visual chart Edit'!C78</f>
        <v>DA+0</v>
      </c>
      <c r="D75" s="413" t="s">
        <v>1305</v>
      </c>
      <c r="E75" s="465">
        <f>'Visual chart Edit'!I78</f>
        <v>338.6</v>
      </c>
      <c r="F75" s="413" t="str">
        <f>'Visual chart Edit'!K78</f>
        <v>Sandy</v>
      </c>
      <c r="G75" s="413" t="str">
        <f>'Visual chart Edit'!L78</f>
        <v>E</v>
      </c>
      <c r="H75" s="413"/>
      <c r="I75" s="413"/>
      <c r="J75" s="413"/>
      <c r="K75" s="413"/>
    </row>
    <row r="76" spans="1:11" hidden="1" x14ac:dyDescent="0.25">
      <c r="A76" s="413">
        <f>+SUBTOTAL(3,$B$4:B76)</f>
        <v>6</v>
      </c>
      <c r="B76" s="413" t="str">
        <f>'Visual chart Edit'!B79</f>
        <v>11/3</v>
      </c>
      <c r="C76" s="413" t="str">
        <f>'Visual chart Edit'!C79</f>
        <v>DA+0</v>
      </c>
      <c r="D76" s="413" t="s">
        <v>1305</v>
      </c>
      <c r="E76" s="465">
        <f>'Visual chart Edit'!I79</f>
        <v>370.7</v>
      </c>
      <c r="F76" s="413" t="str">
        <f>'Visual chart Edit'!K79</f>
        <v>Sandy</v>
      </c>
      <c r="G76" s="413" t="str">
        <f>'Visual chart Edit'!L79</f>
        <v>E</v>
      </c>
      <c r="H76" s="413"/>
      <c r="I76" s="413"/>
      <c r="J76" s="413"/>
      <c r="K76" s="413"/>
    </row>
    <row r="77" spans="1:11" hidden="1" x14ac:dyDescent="0.25">
      <c r="A77" s="413">
        <f>+SUBTOTAL(3,$B$4:B77)</f>
        <v>6</v>
      </c>
      <c r="B77" s="413" t="str">
        <f>'Visual chart Edit'!B80</f>
        <v>11/4</v>
      </c>
      <c r="C77" s="413" t="str">
        <f>'Visual chart Edit'!C80</f>
        <v>DA+0</v>
      </c>
      <c r="D77" s="413" t="s">
        <v>1305</v>
      </c>
      <c r="E77" s="465">
        <f>'Visual chart Edit'!I80</f>
        <v>434.1</v>
      </c>
      <c r="F77" s="413" t="str">
        <f>'Visual chart Edit'!K80</f>
        <v>Sandy</v>
      </c>
      <c r="G77" s="413" t="str">
        <f>'Visual chart Edit'!L80</f>
        <v>E</v>
      </c>
      <c r="H77" s="413"/>
      <c r="I77" s="413"/>
      <c r="J77" s="413"/>
      <c r="K77" s="413"/>
    </row>
    <row r="78" spans="1:11" hidden="1" x14ac:dyDescent="0.25">
      <c r="A78" s="413">
        <f>+SUBTOTAL(3,$B$4:B78)</f>
        <v>6</v>
      </c>
      <c r="B78" s="413" t="str">
        <f>'Visual chart Edit'!B81</f>
        <v>11/5</v>
      </c>
      <c r="C78" s="413" t="str">
        <f>'Visual chart Edit'!C81</f>
        <v>DA+0</v>
      </c>
      <c r="D78" s="413" t="s">
        <v>1305</v>
      </c>
      <c r="E78" s="465">
        <f>'Visual chart Edit'!I81</f>
        <v>368.1</v>
      </c>
      <c r="F78" s="413" t="str">
        <f>'Visual chart Edit'!K81</f>
        <v>DFR</v>
      </c>
      <c r="G78" s="413" t="str">
        <f>'Visual chart Edit'!L81</f>
        <v>E</v>
      </c>
      <c r="H78" s="413"/>
      <c r="I78" s="413"/>
      <c r="J78" s="413"/>
      <c r="K78" s="413"/>
    </row>
    <row r="79" spans="1:11" hidden="1" x14ac:dyDescent="0.25">
      <c r="A79" s="413">
        <f>+SUBTOTAL(3,$B$4:B79)</f>
        <v>6</v>
      </c>
      <c r="B79" s="413" t="str">
        <f>'Visual chart Edit'!B82</f>
        <v>11A/0</v>
      </c>
      <c r="C79" s="413" t="str">
        <f>'Visual chart Edit'!C82</f>
        <v>DB1+0</v>
      </c>
      <c r="D79" s="413" t="s">
        <v>1305</v>
      </c>
      <c r="E79" s="465">
        <f>'Visual chart Edit'!I82</f>
        <v>342.3</v>
      </c>
      <c r="F79" s="413" t="str">
        <f>'Visual chart Edit'!K82</f>
        <v>DRY</v>
      </c>
      <c r="G79" s="413" t="str">
        <f>'Visual chart Edit'!L82</f>
        <v>E</v>
      </c>
      <c r="H79" s="413"/>
      <c r="I79" s="413"/>
      <c r="J79" s="413"/>
      <c r="K79" s="413"/>
    </row>
    <row r="80" spans="1:11" hidden="1" x14ac:dyDescent="0.25">
      <c r="A80" s="413">
        <f>+SUBTOTAL(3,$B$4:B80)</f>
        <v>6</v>
      </c>
      <c r="B80" s="413" t="str">
        <f>'Visual chart Edit'!B83</f>
        <v>11A/1</v>
      </c>
      <c r="C80" s="413" t="str">
        <f>'Visual chart Edit'!C83</f>
        <v>DA+3</v>
      </c>
      <c r="D80" s="413" t="s">
        <v>1305</v>
      </c>
      <c r="E80" s="465">
        <f>'Visual chart Edit'!I83</f>
        <v>405.1</v>
      </c>
      <c r="F80" s="413" t="str">
        <f>'Visual chart Edit'!K83</f>
        <v>DRY</v>
      </c>
      <c r="G80" s="413" t="str">
        <f>'Visual chart Edit'!L83</f>
        <v>E</v>
      </c>
      <c r="H80" s="413"/>
      <c r="I80" s="413"/>
      <c r="J80" s="413"/>
      <c r="K80" s="413"/>
    </row>
    <row r="81" spans="1:11" hidden="1" x14ac:dyDescent="0.25">
      <c r="A81" s="413">
        <f>+SUBTOTAL(3,$B$4:B81)</f>
        <v>6</v>
      </c>
      <c r="B81" s="413" t="str">
        <f>'Visual chart Edit'!B84</f>
        <v>11A/2</v>
      </c>
      <c r="C81" s="413" t="str">
        <f>'Visual chart Edit'!C84</f>
        <v>DA+0</v>
      </c>
      <c r="D81" s="413" t="s">
        <v>1305</v>
      </c>
      <c r="E81" s="465">
        <f>'Visual chart Edit'!I84</f>
        <v>412.2</v>
      </c>
      <c r="F81" s="413" t="str">
        <f>'Visual chart Edit'!K84</f>
        <v>DRY</v>
      </c>
      <c r="G81" s="413" t="str">
        <f>'Visual chart Edit'!L84</f>
        <v>E</v>
      </c>
      <c r="H81" s="413"/>
      <c r="I81" s="413"/>
      <c r="J81" s="413"/>
      <c r="K81" s="413"/>
    </row>
    <row r="82" spans="1:11" hidden="1" x14ac:dyDescent="0.25">
      <c r="A82" s="413">
        <f>+SUBTOTAL(3,$B$4:B82)</f>
        <v>6</v>
      </c>
      <c r="B82" s="413" t="str">
        <f>'Visual chart Edit'!B85</f>
        <v>11A/3</v>
      </c>
      <c r="C82" s="413" t="str">
        <f>'Visual chart Edit'!C85</f>
        <v>DA+3</v>
      </c>
      <c r="D82" s="413" t="s">
        <v>1306</v>
      </c>
      <c r="E82" s="465">
        <f>'Visual chart Edit'!I85</f>
        <v>412.2</v>
      </c>
      <c r="F82" s="413" t="str">
        <f>'Visual chart Edit'!K85</f>
        <v>DRY</v>
      </c>
      <c r="G82" s="413" t="str">
        <f>'Visual chart Edit'!L85</f>
        <v>E</v>
      </c>
      <c r="H82" s="413"/>
      <c r="I82" s="413"/>
      <c r="J82" s="413"/>
      <c r="K82" s="413"/>
    </row>
    <row r="83" spans="1:11" x14ac:dyDescent="0.25">
      <c r="A83" s="413">
        <f>+SUBTOTAL(3,$B$4:B83)</f>
        <v>7</v>
      </c>
      <c r="B83" s="413" t="str">
        <f>'Visual chart Edit'!B86</f>
        <v>11A/4</v>
      </c>
      <c r="C83" s="413" t="str">
        <f>'Visual chart Edit'!C86</f>
        <v>DA+3</v>
      </c>
      <c r="D83" s="413" t="s">
        <v>1306</v>
      </c>
      <c r="E83" s="465">
        <f>'Visual chart Edit'!I86</f>
        <v>422.1</v>
      </c>
      <c r="F83" s="413" t="str">
        <f>'Visual chart Edit'!K86</f>
        <v>DRY</v>
      </c>
      <c r="G83" s="413" t="s">
        <v>129</v>
      </c>
      <c r="H83" s="416" t="s">
        <v>1664</v>
      </c>
      <c r="I83" s="413"/>
      <c r="J83" s="413"/>
      <c r="K83" s="413"/>
    </row>
    <row r="84" spans="1:11" hidden="1" x14ac:dyDescent="0.25">
      <c r="A84" s="413">
        <f>+SUBTOTAL(3,$B$4:B84)</f>
        <v>7</v>
      </c>
      <c r="B84" s="413" t="str">
        <f>'Visual chart Edit'!B87</f>
        <v>11A/5</v>
      </c>
      <c r="C84" s="413" t="str">
        <f>'Visual chart Edit'!C87</f>
        <v>DA+3</v>
      </c>
      <c r="D84" s="413" t="s">
        <v>1306</v>
      </c>
      <c r="E84" s="465">
        <f>'Visual chart Edit'!I87</f>
        <v>418.3</v>
      </c>
      <c r="F84" s="413" t="str">
        <f>'Visual chart Edit'!K87</f>
        <v>DRY</v>
      </c>
      <c r="G84" s="413" t="str">
        <f>'Visual chart Edit'!L87</f>
        <v>E</v>
      </c>
      <c r="H84" s="413"/>
      <c r="I84" s="413"/>
      <c r="J84" s="413"/>
      <c r="K84" s="413"/>
    </row>
    <row r="85" spans="1:11" hidden="1" x14ac:dyDescent="0.25">
      <c r="A85" s="413">
        <f>+SUBTOTAL(3,$B$4:B85)</f>
        <v>7</v>
      </c>
      <c r="B85" s="413" t="str">
        <f>'Visual chart Edit'!B88</f>
        <v>11A/6</v>
      </c>
      <c r="C85" s="413" t="str">
        <f>'Visual chart Edit'!C88</f>
        <v>DA+6</v>
      </c>
      <c r="D85" s="413" t="s">
        <v>1306</v>
      </c>
      <c r="E85" s="465">
        <f>'Visual chart Edit'!I88</f>
        <v>384.3</v>
      </c>
      <c r="F85" s="413" t="str">
        <f>'Visual chart Edit'!K88</f>
        <v>DRY</v>
      </c>
      <c r="G85" s="413" t="str">
        <f>'Visual chart Edit'!L88</f>
        <v>E</v>
      </c>
      <c r="H85" s="413"/>
      <c r="I85" s="413"/>
      <c r="J85" s="413"/>
      <c r="K85" s="413"/>
    </row>
    <row r="86" spans="1:11" hidden="1" x14ac:dyDescent="0.25">
      <c r="A86" s="413">
        <f>+SUBTOTAL(3,$B$4:B86)</f>
        <v>7</v>
      </c>
      <c r="B86" s="413" t="str">
        <f>'Visual chart Edit'!B89</f>
        <v>11A/7</v>
      </c>
      <c r="C86" s="413" t="str">
        <f>'Visual chart Edit'!C89</f>
        <v>DA+9</v>
      </c>
      <c r="D86" s="413" t="s">
        <v>1306</v>
      </c>
      <c r="E86" s="465">
        <f>'Visual chart Edit'!I89</f>
        <v>434.2</v>
      </c>
      <c r="F86" s="413" t="str">
        <f>'Visual chart Edit'!K89</f>
        <v>Sandy</v>
      </c>
      <c r="G86" s="413" t="str">
        <f>'Visual chart Edit'!L89</f>
        <v>E</v>
      </c>
      <c r="H86" s="413"/>
      <c r="I86" s="413"/>
      <c r="J86" s="413"/>
      <c r="K86" s="413"/>
    </row>
    <row r="87" spans="1:11" hidden="1" x14ac:dyDescent="0.25">
      <c r="A87" s="413">
        <f>+SUBTOTAL(3,$B$4:B87)</f>
        <v>7</v>
      </c>
      <c r="B87" s="413" t="str">
        <f>'Visual chart Edit'!B90</f>
        <v>11A/8</v>
      </c>
      <c r="C87" s="413" t="str">
        <f>'Visual chart Edit'!C90</f>
        <v>DA+6</v>
      </c>
      <c r="D87" s="413" t="s">
        <v>1306</v>
      </c>
      <c r="E87" s="465">
        <f>'Visual chart Edit'!I90</f>
        <v>390.1</v>
      </c>
      <c r="F87" s="413" t="str">
        <f>'Visual chart Edit'!K90</f>
        <v>Sandy</v>
      </c>
      <c r="G87" s="413" t="str">
        <f>'Visual chart Edit'!L90</f>
        <v>E</v>
      </c>
      <c r="H87" s="413"/>
      <c r="I87" s="413"/>
      <c r="J87" s="413"/>
      <c r="K87" s="413"/>
    </row>
    <row r="88" spans="1:11" hidden="1" x14ac:dyDescent="0.25">
      <c r="A88" s="413">
        <f>+SUBTOTAL(3,$B$4:B88)</f>
        <v>7</v>
      </c>
      <c r="B88" s="413" t="str">
        <f>'Visual chart Edit'!B91</f>
        <v>11A/9</v>
      </c>
      <c r="C88" s="413" t="str">
        <f>'Visual chart Edit'!C91</f>
        <v>DA+3</v>
      </c>
      <c r="D88" s="413" t="s">
        <v>1306</v>
      </c>
      <c r="E88" s="465">
        <f>'Visual chart Edit'!I91</f>
        <v>426.3</v>
      </c>
      <c r="F88" s="413" t="str">
        <f>'Visual chart Edit'!K91</f>
        <v>DRY</v>
      </c>
      <c r="G88" s="413" t="str">
        <f>'Visual chart Edit'!L91</f>
        <v>E</v>
      </c>
      <c r="H88" s="413"/>
      <c r="I88" s="413"/>
      <c r="J88" s="413"/>
      <c r="K88" s="413"/>
    </row>
    <row r="89" spans="1:11" hidden="1" x14ac:dyDescent="0.25">
      <c r="A89" s="413">
        <f>+SUBTOTAL(3,$B$4:B89)</f>
        <v>7</v>
      </c>
      <c r="B89" s="413" t="str">
        <f>'Visual chart Edit'!B92</f>
        <v>12/0</v>
      </c>
      <c r="C89" s="413" t="str">
        <f>'Visual chart Edit'!C92</f>
        <v>DD60+0</v>
      </c>
      <c r="D89" s="413" t="s">
        <v>1306</v>
      </c>
      <c r="E89" s="465">
        <f>'Visual chart Edit'!I92</f>
        <v>405.9</v>
      </c>
      <c r="F89" s="413" t="str">
        <f>'Visual chart Edit'!K92</f>
        <v>DRY</v>
      </c>
      <c r="G89" s="413" t="str">
        <f>'Visual chart Edit'!L92</f>
        <v>E</v>
      </c>
      <c r="H89" s="413"/>
      <c r="I89" s="413"/>
      <c r="J89" s="413"/>
      <c r="K89" s="413"/>
    </row>
    <row r="90" spans="1:11" x14ac:dyDescent="0.25">
      <c r="A90" s="413">
        <f>+SUBTOTAL(3,$B$4:B90)</f>
        <v>8</v>
      </c>
      <c r="B90" s="413" t="str">
        <f>'Visual chart Edit'!B93</f>
        <v>13/0</v>
      </c>
      <c r="C90" s="413" t="str">
        <f>'Visual chart Edit'!C93</f>
        <v>DD60+3</v>
      </c>
      <c r="D90" s="413" t="s">
        <v>1306</v>
      </c>
      <c r="E90" s="465">
        <f>'Visual chart Edit'!I93</f>
        <v>211.9</v>
      </c>
      <c r="F90" s="413" t="str">
        <f>'Visual chart Edit'!K93</f>
        <v>DRY</v>
      </c>
      <c r="G90" s="413" t="s">
        <v>129</v>
      </c>
      <c r="H90" s="416" t="s">
        <v>1664</v>
      </c>
      <c r="I90" s="413"/>
      <c r="J90" s="413"/>
      <c r="K90" s="413"/>
    </row>
    <row r="91" spans="1:11" hidden="1" x14ac:dyDescent="0.25">
      <c r="A91" s="413">
        <f>+SUBTOTAL(3,$B$4:B91)</f>
        <v>8</v>
      </c>
      <c r="B91" s="413" t="str">
        <f>'Visual chart Edit'!B94</f>
        <v>13/1</v>
      </c>
      <c r="C91" s="413" t="str">
        <f>'Visual chart Edit'!C94</f>
        <v>DA+9</v>
      </c>
      <c r="D91" s="413" t="s">
        <v>1306</v>
      </c>
      <c r="E91" s="465">
        <f>'Visual chart Edit'!I94</f>
        <v>464.3</v>
      </c>
      <c r="F91" s="413" t="str">
        <f>'Visual chart Edit'!K94</f>
        <v>DRY</v>
      </c>
      <c r="G91" s="413" t="str">
        <f>'Visual chart Edit'!L94</f>
        <v>E</v>
      </c>
      <c r="H91" s="413"/>
      <c r="I91" s="413"/>
      <c r="J91" s="413"/>
      <c r="K91" s="413"/>
    </row>
    <row r="92" spans="1:11" hidden="1" x14ac:dyDescent="0.25">
      <c r="A92" s="413">
        <f>+SUBTOTAL(3,$B$4:B92)</f>
        <v>8</v>
      </c>
      <c r="B92" s="413" t="str">
        <f>'Visual chart Edit'!B95</f>
        <v>13/2</v>
      </c>
      <c r="C92" s="413" t="str">
        <f>'Visual chart Edit'!C95</f>
        <v>DA+3</v>
      </c>
      <c r="D92" s="413" t="s">
        <v>1306</v>
      </c>
      <c r="E92" s="465">
        <f>'Visual chart Edit'!I95</f>
        <v>373.7</v>
      </c>
      <c r="F92" s="413" t="str">
        <f>'Visual chart Edit'!K95</f>
        <v>DRY</v>
      </c>
      <c r="G92" s="413" t="str">
        <f>'Visual chart Edit'!L95</f>
        <v>E</v>
      </c>
      <c r="H92" s="413"/>
      <c r="I92" s="413"/>
      <c r="J92" s="413"/>
      <c r="K92" s="413"/>
    </row>
    <row r="93" spans="1:11" hidden="1" x14ac:dyDescent="0.25">
      <c r="A93" s="413">
        <f>+SUBTOTAL(3,$B$4:B93)</f>
        <v>8</v>
      </c>
      <c r="B93" s="413" t="str">
        <f>'Visual chart Edit'!B96</f>
        <v>13/3</v>
      </c>
      <c r="C93" s="413" t="str">
        <f>'Visual chart Edit'!C96</f>
        <v>DA+3</v>
      </c>
      <c r="D93" s="413" t="s">
        <v>1306</v>
      </c>
      <c r="E93" s="465">
        <f>'Visual chart Edit'!I96</f>
        <v>419.7</v>
      </c>
      <c r="F93" s="413" t="str">
        <f>'Visual chart Edit'!K96</f>
        <v>Sandy</v>
      </c>
      <c r="G93" s="413" t="str">
        <f>'Visual chart Edit'!L96</f>
        <v>E</v>
      </c>
      <c r="H93" s="413"/>
      <c r="I93" s="413"/>
      <c r="J93" s="413"/>
      <c r="K93" s="413"/>
    </row>
    <row r="94" spans="1:11" hidden="1" x14ac:dyDescent="0.25">
      <c r="A94" s="413">
        <f>+SUBTOTAL(3,$B$4:B94)</f>
        <v>8</v>
      </c>
      <c r="B94" s="413" t="str">
        <f>'Visual chart Edit'!B97</f>
        <v>13/4</v>
      </c>
      <c r="C94" s="413" t="str">
        <f>'Visual chart Edit'!C97</f>
        <v>DA+3</v>
      </c>
      <c r="D94" s="413" t="s">
        <v>1306</v>
      </c>
      <c r="E94" s="465">
        <f>'Visual chart Edit'!I97</f>
        <v>420.3</v>
      </c>
      <c r="F94" s="413" t="str">
        <f>'Visual chart Edit'!K97</f>
        <v>DRY</v>
      </c>
      <c r="G94" s="413" t="str">
        <f>'Visual chart Edit'!L97</f>
        <v>E</v>
      </c>
      <c r="H94" s="413"/>
      <c r="I94" s="413"/>
      <c r="J94" s="413"/>
      <c r="K94" s="413"/>
    </row>
    <row r="95" spans="1:11" hidden="1" x14ac:dyDescent="0.25">
      <c r="A95" s="413">
        <f>+SUBTOTAL(3,$B$4:B95)</f>
        <v>8</v>
      </c>
      <c r="B95" s="413" t="str">
        <f>'Visual chart Edit'!B98</f>
        <v>14/0</v>
      </c>
      <c r="C95" s="413" t="str">
        <f>'Visual chart Edit'!C98</f>
        <v>DC2+0</v>
      </c>
      <c r="D95" s="413" t="s">
        <v>1306</v>
      </c>
      <c r="E95" s="465">
        <f>'Visual chart Edit'!I98</f>
        <v>400</v>
      </c>
      <c r="F95" s="413" t="str">
        <f>'Visual chart Edit'!K98</f>
        <v>Sandy</v>
      </c>
      <c r="G95" s="413" t="str">
        <f>'Visual chart Edit'!L98</f>
        <v>E</v>
      </c>
      <c r="H95" s="413"/>
      <c r="I95" s="413"/>
      <c r="J95" s="413"/>
      <c r="K95" s="413"/>
    </row>
    <row r="96" spans="1:11" hidden="1" x14ac:dyDescent="0.25">
      <c r="A96" s="413">
        <f>+SUBTOTAL(3,$B$4:B96)</f>
        <v>8</v>
      </c>
      <c r="B96" s="413" t="str">
        <f>'Visual chart Edit'!B99</f>
        <v>14A/0</v>
      </c>
      <c r="C96" s="413" t="str">
        <f>'Visual chart Edit'!C99</f>
        <v>DC1+0</v>
      </c>
      <c r="D96" s="413" t="s">
        <v>1306</v>
      </c>
      <c r="E96" s="465">
        <f>'Visual chart Edit'!I99</f>
        <v>381.4</v>
      </c>
      <c r="F96" s="413" t="str">
        <f>'Visual chart Edit'!K99</f>
        <v>DRY</v>
      </c>
      <c r="G96" s="413" t="str">
        <f>'Visual chart Edit'!L99</f>
        <v>E</v>
      </c>
      <c r="H96" s="413"/>
      <c r="I96" s="413"/>
      <c r="J96" s="413"/>
      <c r="K96" s="413"/>
    </row>
    <row r="97" spans="1:11" hidden="1" x14ac:dyDescent="0.25">
      <c r="A97" s="413">
        <f>+SUBTOTAL(3,$B$4:B97)</f>
        <v>8</v>
      </c>
      <c r="B97" s="413" t="str">
        <f>'Visual chart Edit'!B100</f>
        <v>14A/1</v>
      </c>
      <c r="C97" s="413" t="str">
        <f>'Visual chart Edit'!C100</f>
        <v>DA+3</v>
      </c>
      <c r="D97" s="413" t="s">
        <v>1306</v>
      </c>
      <c r="E97" s="465">
        <f>'Visual chart Edit'!I100</f>
        <v>412.76499999999999</v>
      </c>
      <c r="F97" s="413" t="str">
        <f>'Visual chart Edit'!K100</f>
        <v>DRY</v>
      </c>
      <c r="G97" s="413" t="str">
        <f>'Visual chart Edit'!L100</f>
        <v>E</v>
      </c>
      <c r="H97" s="413"/>
      <c r="I97" s="413"/>
      <c r="J97" s="413"/>
      <c r="K97" s="413"/>
    </row>
    <row r="98" spans="1:11" hidden="1" x14ac:dyDescent="0.25">
      <c r="A98" s="413">
        <f>+SUBTOTAL(3,$B$4:B98)</f>
        <v>8</v>
      </c>
      <c r="B98" s="413" t="str">
        <f>'Visual chart Edit'!B101</f>
        <v>14A/2</v>
      </c>
      <c r="C98" s="413" t="str">
        <f>'Visual chart Edit'!C101</f>
        <v>DA+0</v>
      </c>
      <c r="D98" s="413" t="s">
        <v>1306</v>
      </c>
      <c r="E98" s="465">
        <f>'Visual chart Edit'!I101</f>
        <v>396.029</v>
      </c>
      <c r="F98" s="413" t="str">
        <f>'Visual chart Edit'!K101</f>
        <v>DRY</v>
      </c>
      <c r="G98" s="413" t="str">
        <f>'Visual chart Edit'!L101</f>
        <v>E</v>
      </c>
      <c r="H98" s="416"/>
      <c r="I98" s="413"/>
      <c r="J98" s="413"/>
      <c r="K98" s="413"/>
    </row>
    <row r="99" spans="1:11" x14ac:dyDescent="0.25">
      <c r="A99" s="413">
        <f>+SUBTOTAL(3,$B$4:B99)</f>
        <v>9</v>
      </c>
      <c r="B99" s="413" t="str">
        <f>'Visual chart Edit'!B102</f>
        <v>15/0</v>
      </c>
      <c r="C99" s="413" t="str">
        <f>'Visual chart Edit'!C102</f>
        <v>DC1+0</v>
      </c>
      <c r="D99" s="413" t="s">
        <v>1306</v>
      </c>
      <c r="E99" s="465">
        <f>'Visual chart Edit'!I102</f>
        <v>383.3</v>
      </c>
      <c r="F99" s="413" t="str">
        <f>'Visual chart Edit'!K102</f>
        <v>DRY</v>
      </c>
      <c r="G99" s="413" t="s">
        <v>129</v>
      </c>
      <c r="H99" s="416" t="s">
        <v>1664</v>
      </c>
      <c r="I99" s="413"/>
      <c r="J99" s="413"/>
      <c r="K99" s="413"/>
    </row>
    <row r="100" spans="1:11" hidden="1" x14ac:dyDescent="0.25">
      <c r="A100" s="413">
        <f>+SUBTOTAL(3,$B$4:B100)</f>
        <v>9</v>
      </c>
      <c r="B100" s="413" t="str">
        <f>'Visual chart Edit'!B103</f>
        <v>15/1</v>
      </c>
      <c r="C100" s="413" t="str">
        <f>'Visual chart Edit'!C103</f>
        <v>DA+3</v>
      </c>
      <c r="D100" s="413" t="s">
        <v>1306</v>
      </c>
      <c r="E100" s="465">
        <f>'Visual chart Edit'!I103</f>
        <v>404.6</v>
      </c>
      <c r="F100" s="413" t="str">
        <f>'Visual chart Edit'!K103</f>
        <v>DRY</v>
      </c>
      <c r="G100" s="413" t="str">
        <f>'Visual chart Edit'!L103</f>
        <v>E</v>
      </c>
      <c r="H100" s="413"/>
      <c r="I100" s="413"/>
      <c r="J100" s="413"/>
      <c r="K100" s="413"/>
    </row>
    <row r="101" spans="1:11" hidden="1" x14ac:dyDescent="0.25">
      <c r="A101" s="413">
        <f>+SUBTOTAL(3,$B$4:B101)</f>
        <v>9</v>
      </c>
      <c r="B101" s="413" t="str">
        <f>'Visual chart Edit'!B104</f>
        <v>16/0</v>
      </c>
      <c r="C101" s="413" t="str">
        <f>'Visual chart Edit'!C104</f>
        <v>DC1+0</v>
      </c>
      <c r="D101" s="413" t="s">
        <v>1306</v>
      </c>
      <c r="E101" s="465">
        <f>'Visual chart Edit'!I104</f>
        <v>413.3</v>
      </c>
      <c r="F101" s="413" t="str">
        <f>'Visual chart Edit'!K104</f>
        <v>DRY</v>
      </c>
      <c r="G101" s="413" t="str">
        <f>'Visual chart Edit'!L104</f>
        <v>E</v>
      </c>
      <c r="H101" s="413"/>
      <c r="I101" s="413"/>
      <c r="J101" s="413"/>
      <c r="K101" s="413"/>
    </row>
    <row r="102" spans="1:11" hidden="1" x14ac:dyDescent="0.25">
      <c r="A102" s="413">
        <f>+SUBTOTAL(3,$B$4:B102)</f>
        <v>9</v>
      </c>
      <c r="B102" s="413" t="str">
        <f>'Visual chart Edit'!B105</f>
        <v>16/1</v>
      </c>
      <c r="C102" s="413" t="str">
        <f>'Visual chart Edit'!C105</f>
        <v>DA+0</v>
      </c>
      <c r="D102" s="413" t="s">
        <v>1306</v>
      </c>
      <c r="E102" s="465">
        <f>'Visual chart Edit'!I105</f>
        <v>354.28300000000002</v>
      </c>
      <c r="F102" s="413" t="str">
        <f>'Visual chart Edit'!K105</f>
        <v>DRY</v>
      </c>
      <c r="G102" s="413" t="str">
        <f>'Visual chart Edit'!L105</f>
        <v>E</v>
      </c>
      <c r="H102" s="413"/>
      <c r="I102" s="413"/>
      <c r="J102" s="413"/>
      <c r="K102" s="413"/>
    </row>
    <row r="103" spans="1:11" hidden="1" x14ac:dyDescent="0.25">
      <c r="A103" s="413">
        <f>+SUBTOTAL(3,$B$4:B103)</f>
        <v>9</v>
      </c>
      <c r="B103" s="413" t="str">
        <f>'Visual chart Edit'!B106</f>
        <v>16/2</v>
      </c>
      <c r="C103" s="413" t="str">
        <f>'Visual chart Edit'!C106</f>
        <v>DA+0</v>
      </c>
      <c r="D103" s="413" t="s">
        <v>1306</v>
      </c>
      <c r="E103" s="465">
        <f>'Visual chart Edit'!I106</f>
        <v>424.28</v>
      </c>
      <c r="F103" s="413" t="str">
        <f>'Visual chart Edit'!K106</f>
        <v>DRY</v>
      </c>
      <c r="G103" s="413" t="str">
        <f>'Visual chart Edit'!L106</f>
        <v>E</v>
      </c>
      <c r="H103" s="413"/>
      <c r="I103" s="413"/>
      <c r="J103" s="413"/>
      <c r="K103" s="413"/>
    </row>
    <row r="104" spans="1:11" hidden="1" x14ac:dyDescent="0.25">
      <c r="A104" s="413">
        <f>+SUBTOTAL(3,$B$4:B104)</f>
        <v>9</v>
      </c>
      <c r="B104" s="413" t="str">
        <f>'Visual chart Edit'!B107</f>
        <v>16/3</v>
      </c>
      <c r="C104" s="413" t="str">
        <f>'Visual chart Edit'!C107</f>
        <v>DA+3</v>
      </c>
      <c r="D104" s="413" t="s">
        <v>1306</v>
      </c>
      <c r="E104" s="465">
        <f>'Visual chart Edit'!I107</f>
        <v>340.3</v>
      </c>
      <c r="F104" s="413" t="str">
        <f>'Visual chart Edit'!K107</f>
        <v>DRY</v>
      </c>
      <c r="G104" s="413" t="str">
        <f>'Visual chart Edit'!L107</f>
        <v>E</v>
      </c>
      <c r="H104" s="413"/>
      <c r="I104" s="413"/>
      <c r="J104" s="413"/>
      <c r="K104" s="413"/>
    </row>
    <row r="105" spans="1:11" hidden="1" x14ac:dyDescent="0.25">
      <c r="A105" s="413">
        <f>+SUBTOTAL(3,$B$4:B105)</f>
        <v>9</v>
      </c>
      <c r="B105" s="413" t="str">
        <f>'Visual chart Edit'!B108</f>
        <v>16/4</v>
      </c>
      <c r="C105" s="413" t="str">
        <f>'Visual chart Edit'!C108</f>
        <v>DA+0</v>
      </c>
      <c r="D105" s="413" t="s">
        <v>1306</v>
      </c>
      <c r="E105" s="465">
        <f>'Visual chart Edit'!I108</f>
        <v>394.7</v>
      </c>
      <c r="F105" s="413" t="str">
        <f>'Visual chart Edit'!K108</f>
        <v>DRY</v>
      </c>
      <c r="G105" s="413" t="str">
        <f>'Visual chart Edit'!L108</f>
        <v>E</v>
      </c>
      <c r="H105" s="413"/>
      <c r="I105" s="413"/>
      <c r="J105" s="413"/>
      <c r="K105" s="413"/>
    </row>
    <row r="106" spans="1:11" hidden="1" x14ac:dyDescent="0.25">
      <c r="A106" s="413">
        <f>+SUBTOTAL(3,$B$4:B106)</f>
        <v>9</v>
      </c>
      <c r="B106" s="413" t="str">
        <f>'Visual chart Edit'!B109</f>
        <v>16/5</v>
      </c>
      <c r="C106" s="413" t="str">
        <f>'Visual chart Edit'!C109</f>
        <v>DA+3</v>
      </c>
      <c r="D106" s="413" t="s">
        <v>1306</v>
      </c>
      <c r="E106" s="465">
        <f>'Visual chart Edit'!I109</f>
        <v>435.863</v>
      </c>
      <c r="F106" s="413" t="str">
        <f>'Visual chart Edit'!K109</f>
        <v>DRY</v>
      </c>
      <c r="G106" s="413" t="str">
        <f>'Visual chart Edit'!L109</f>
        <v>E</v>
      </c>
      <c r="H106" s="413"/>
      <c r="I106" s="413"/>
      <c r="J106" s="413"/>
      <c r="K106" s="413"/>
    </row>
    <row r="107" spans="1:11" hidden="1" x14ac:dyDescent="0.25">
      <c r="A107" s="413">
        <f>+SUBTOTAL(3,$B$4:B107)</f>
        <v>9</v>
      </c>
      <c r="B107" s="413" t="str">
        <f>'Visual chart Edit'!B110</f>
        <v>17/0</v>
      </c>
      <c r="C107" s="413" t="str">
        <f>'Visual chart Edit'!C110</f>
        <v>DB2+3</v>
      </c>
      <c r="D107" s="413" t="s">
        <v>1306</v>
      </c>
      <c r="E107" s="465">
        <f>'Visual chart Edit'!I110</f>
        <v>386.8</v>
      </c>
      <c r="F107" s="413" t="str">
        <f>'Visual chart Edit'!K110</f>
        <v>DRY</v>
      </c>
      <c r="G107" s="413" t="str">
        <f>'Visual chart Edit'!L110</f>
        <v>E</v>
      </c>
      <c r="H107" s="413"/>
      <c r="I107" s="413"/>
      <c r="J107" s="413"/>
      <c r="K107" s="413"/>
    </row>
    <row r="108" spans="1:11" hidden="1" x14ac:dyDescent="0.25">
      <c r="A108" s="413">
        <f>+SUBTOTAL(3,$B$4:B108)</f>
        <v>9</v>
      </c>
      <c r="B108" s="413" t="str">
        <f>'Visual chart Edit'!B111</f>
        <v>17/1</v>
      </c>
      <c r="C108" s="413" t="str">
        <f>'Visual chart Edit'!C111</f>
        <v>DA+3</v>
      </c>
      <c r="D108" s="413" t="s">
        <v>1306</v>
      </c>
      <c r="E108" s="465">
        <f>'Visual chart Edit'!I111</f>
        <v>393.7</v>
      </c>
      <c r="F108" s="413" t="str">
        <f>'Visual chart Edit'!K111</f>
        <v>DRY</v>
      </c>
      <c r="G108" s="413" t="str">
        <f>'Visual chart Edit'!L111</f>
        <v>E</v>
      </c>
      <c r="H108" s="413"/>
      <c r="I108" s="413"/>
      <c r="J108" s="413"/>
      <c r="K108" s="413"/>
    </row>
    <row r="109" spans="1:11" hidden="1" x14ac:dyDescent="0.25">
      <c r="A109" s="413">
        <f>+SUBTOTAL(3,$B$4:B109)</f>
        <v>9</v>
      </c>
      <c r="B109" s="413" t="str">
        <f>'Visual chart Edit'!B112</f>
        <v>17/2</v>
      </c>
      <c r="C109" s="413" t="str">
        <f>'Visual chart Edit'!C112</f>
        <v>DA+6</v>
      </c>
      <c r="D109" s="413" t="s">
        <v>1306</v>
      </c>
      <c r="E109" s="465">
        <f>'Visual chart Edit'!I112</f>
        <v>415.9</v>
      </c>
      <c r="F109" s="413" t="str">
        <f>'Visual chart Edit'!K112</f>
        <v>DRY</v>
      </c>
      <c r="G109" s="413" t="str">
        <f>'Visual chart Edit'!L112</f>
        <v>E</v>
      </c>
      <c r="H109" s="413"/>
      <c r="I109" s="413"/>
      <c r="J109" s="413"/>
      <c r="K109" s="413"/>
    </row>
    <row r="110" spans="1:11" hidden="1" x14ac:dyDescent="0.25">
      <c r="A110" s="413">
        <f>+SUBTOTAL(3,$B$4:B110)</f>
        <v>9</v>
      </c>
      <c r="B110" s="413" t="str">
        <f>'Visual chart Edit'!B113</f>
        <v>17/3</v>
      </c>
      <c r="C110" s="413" t="str">
        <f>'Visual chart Edit'!C113</f>
        <v>DA+0</v>
      </c>
      <c r="D110" s="413" t="s">
        <v>1306</v>
      </c>
      <c r="E110" s="465">
        <f>'Visual chart Edit'!I113</f>
        <v>422.8</v>
      </c>
      <c r="F110" s="413" t="str">
        <f>'Visual chart Edit'!K113</f>
        <v>DRY</v>
      </c>
      <c r="G110" s="413" t="str">
        <f>'Visual chart Edit'!L113</f>
        <v>E</v>
      </c>
      <c r="H110" s="413"/>
      <c r="I110" s="413"/>
      <c r="J110" s="413"/>
      <c r="K110" s="413"/>
    </row>
    <row r="111" spans="1:11" hidden="1" x14ac:dyDescent="0.25">
      <c r="A111" s="413">
        <f>+SUBTOTAL(3,$B$4:B111)</f>
        <v>9</v>
      </c>
      <c r="B111" s="413" t="str">
        <f>'Visual chart Edit'!B114</f>
        <v>17/4</v>
      </c>
      <c r="C111" s="413" t="str">
        <f>'Visual chart Edit'!C114</f>
        <v>DA+3</v>
      </c>
      <c r="D111" s="413" t="s">
        <v>1306</v>
      </c>
      <c r="E111" s="465">
        <f>'Visual chart Edit'!I114</f>
        <v>409.9</v>
      </c>
      <c r="F111" s="413" t="str">
        <f>'Visual chart Edit'!K114</f>
        <v>DRY</v>
      </c>
      <c r="G111" s="413" t="str">
        <f>'Visual chart Edit'!L114</f>
        <v>E</v>
      </c>
      <c r="H111" s="413"/>
      <c r="I111" s="413"/>
      <c r="J111" s="413"/>
      <c r="K111" s="413"/>
    </row>
    <row r="112" spans="1:11" hidden="1" x14ac:dyDescent="0.25">
      <c r="A112" s="413">
        <f>+SUBTOTAL(3,$B$4:B112)</f>
        <v>9</v>
      </c>
      <c r="B112" s="413" t="str">
        <f>'Visual chart Edit'!B115</f>
        <v>17/5</v>
      </c>
      <c r="C112" s="413" t="str">
        <f>'Visual chart Edit'!C115</f>
        <v>DA+3</v>
      </c>
      <c r="D112" s="413" t="s">
        <v>1306</v>
      </c>
      <c r="E112" s="465">
        <f>'Visual chart Edit'!I115</f>
        <v>425.3</v>
      </c>
      <c r="F112" s="413" t="str">
        <f>'Visual chart Edit'!K115</f>
        <v>DRY</v>
      </c>
      <c r="G112" s="413" t="str">
        <f>'Visual chart Edit'!L115</f>
        <v>E</v>
      </c>
      <c r="H112" s="413"/>
      <c r="I112" s="413"/>
      <c r="J112" s="413"/>
      <c r="K112" s="413"/>
    </row>
    <row r="113" spans="1:11" hidden="1" x14ac:dyDescent="0.25">
      <c r="A113" s="413">
        <f>+SUBTOTAL(3,$B$4:B113)</f>
        <v>9</v>
      </c>
      <c r="B113" s="413" t="str">
        <f>'Visual chart Edit'!B116</f>
        <v>18/0</v>
      </c>
      <c r="C113" s="413" t="str">
        <f>'Visual chart Edit'!C116</f>
        <v>DC2+0</v>
      </c>
      <c r="D113" s="413" t="s">
        <v>1306</v>
      </c>
      <c r="E113" s="465">
        <f>'Visual chart Edit'!I116</f>
        <v>383.4</v>
      </c>
      <c r="F113" s="413" t="str">
        <f>'Visual chart Edit'!K116</f>
        <v>DRY</v>
      </c>
      <c r="G113" s="413" t="str">
        <f>'Visual chart Edit'!L116</f>
        <v>E</v>
      </c>
      <c r="H113" s="413"/>
      <c r="I113" s="413"/>
      <c r="J113" s="413"/>
      <c r="K113" s="413"/>
    </row>
    <row r="114" spans="1:11" hidden="1" x14ac:dyDescent="0.25">
      <c r="A114" s="413">
        <f>+SUBTOTAL(3,$B$4:B114)</f>
        <v>9</v>
      </c>
      <c r="B114" s="413" t="str">
        <f>'Visual chart Edit'!B117</f>
        <v>18/1</v>
      </c>
      <c r="C114" s="413" t="str">
        <f>'Visual chart Edit'!C117</f>
        <v>DA+0</v>
      </c>
      <c r="D114" s="413" t="s">
        <v>1306</v>
      </c>
      <c r="E114" s="465">
        <f>'Visual chart Edit'!I117</f>
        <v>372.8</v>
      </c>
      <c r="F114" s="413" t="str">
        <f>'Visual chart Edit'!K117</f>
        <v>DRY</v>
      </c>
      <c r="G114" s="413" t="str">
        <f>'Visual chart Edit'!L117</f>
        <v>E</v>
      </c>
      <c r="H114" s="413"/>
      <c r="I114" s="413"/>
      <c r="J114" s="413"/>
      <c r="K114" s="413"/>
    </row>
    <row r="115" spans="1:11" hidden="1" x14ac:dyDescent="0.25">
      <c r="A115" s="413">
        <f>+SUBTOTAL(3,$B$4:B115)</f>
        <v>9</v>
      </c>
      <c r="B115" s="413" t="str">
        <f>'Visual chart Edit'!B118</f>
        <v>18/2</v>
      </c>
      <c r="C115" s="413" t="str">
        <f>'Visual chart Edit'!C118</f>
        <v>DA+0</v>
      </c>
      <c r="D115" s="413" t="s">
        <v>1306</v>
      </c>
      <c r="E115" s="465">
        <f>'Visual chart Edit'!I118</f>
        <v>379.8</v>
      </c>
      <c r="F115" s="413" t="str">
        <f>'Visual chart Edit'!K118</f>
        <v>DRY</v>
      </c>
      <c r="G115" s="413" t="str">
        <f>'Visual chart Edit'!L118</f>
        <v>E</v>
      </c>
      <c r="H115" s="413"/>
      <c r="I115" s="413"/>
      <c r="J115" s="413"/>
      <c r="K115" s="413"/>
    </row>
    <row r="116" spans="1:11" hidden="1" x14ac:dyDescent="0.25">
      <c r="A116" s="413">
        <f>+SUBTOTAL(3,$B$4:B116)</f>
        <v>9</v>
      </c>
      <c r="B116" s="413" t="str">
        <f>'Visual chart Edit'!B119</f>
        <v>18/3</v>
      </c>
      <c r="C116" s="413" t="str">
        <f>'Visual chart Edit'!C119</f>
        <v>DA+0</v>
      </c>
      <c r="D116" s="413" t="s">
        <v>1306</v>
      </c>
      <c r="E116" s="465">
        <f>'Visual chart Edit'!I119</f>
        <v>371</v>
      </c>
      <c r="F116" s="413" t="str">
        <f>'Visual chart Edit'!K119</f>
        <v>DRY</v>
      </c>
      <c r="G116" s="413" t="str">
        <f>'Visual chart Edit'!L119</f>
        <v>E</v>
      </c>
      <c r="H116" s="413"/>
      <c r="I116" s="413"/>
      <c r="J116" s="413"/>
      <c r="K116" s="413"/>
    </row>
    <row r="117" spans="1:11" hidden="1" x14ac:dyDescent="0.25">
      <c r="A117" s="413">
        <f>+SUBTOTAL(3,$B$4:B117)</f>
        <v>9</v>
      </c>
      <c r="B117" s="413" t="str">
        <f>'Visual chart Edit'!B120</f>
        <v>18/4</v>
      </c>
      <c r="C117" s="413" t="str">
        <f>'Visual chart Edit'!C120</f>
        <v>DA+0</v>
      </c>
      <c r="D117" s="413" t="s">
        <v>1306</v>
      </c>
      <c r="E117" s="465">
        <f>'Visual chart Edit'!I120</f>
        <v>398.7</v>
      </c>
      <c r="F117" s="413" t="str">
        <f>'Visual chart Edit'!K120</f>
        <v>DRY</v>
      </c>
      <c r="G117" s="413" t="str">
        <f>'Visual chart Edit'!L120</f>
        <v>E</v>
      </c>
      <c r="H117" s="413"/>
      <c r="I117" s="413"/>
      <c r="J117" s="413"/>
      <c r="K117" s="413"/>
    </row>
    <row r="118" spans="1:11" hidden="1" x14ac:dyDescent="0.25">
      <c r="A118" s="413">
        <f>+SUBTOTAL(3,$B$4:B118)</f>
        <v>9</v>
      </c>
      <c r="B118" s="413" t="str">
        <f>'Visual chart Edit'!B121</f>
        <v>19/0</v>
      </c>
      <c r="C118" s="413" t="str">
        <f>'Visual chart Edit'!C121</f>
        <v>DC2+0</v>
      </c>
      <c r="D118" s="413" t="s">
        <v>1306</v>
      </c>
      <c r="E118" s="465">
        <f>'Visual chart Edit'!I121</f>
        <v>380.8</v>
      </c>
      <c r="F118" s="413" t="str">
        <f>'Visual chart Edit'!K121</f>
        <v>DRY</v>
      </c>
      <c r="G118" s="413" t="str">
        <f>'Visual chart Edit'!L121</f>
        <v>E</v>
      </c>
      <c r="H118" s="413"/>
      <c r="I118" s="413"/>
      <c r="J118" s="413"/>
      <c r="K118" s="413"/>
    </row>
    <row r="119" spans="1:11" hidden="1" x14ac:dyDescent="0.25">
      <c r="A119" s="413">
        <f>+SUBTOTAL(3,$B$4:B119)</f>
        <v>9</v>
      </c>
      <c r="B119" s="413" t="str">
        <f>'Visual chart Edit'!B122</f>
        <v>19/1</v>
      </c>
      <c r="C119" s="413" t="str">
        <f>'Visual chart Edit'!C122</f>
        <v>DA+0</v>
      </c>
      <c r="D119" s="413" t="s">
        <v>1306</v>
      </c>
      <c r="E119" s="465">
        <f>'Visual chart Edit'!I122</f>
        <v>366.9</v>
      </c>
      <c r="F119" s="413" t="str">
        <f>'Visual chart Edit'!K122</f>
        <v>DRY</v>
      </c>
      <c r="G119" s="413" t="str">
        <f>'Visual chart Edit'!L122</f>
        <v>E</v>
      </c>
      <c r="H119" s="413"/>
      <c r="I119" s="413"/>
      <c r="J119" s="413"/>
      <c r="K119" s="413"/>
    </row>
    <row r="120" spans="1:11" hidden="1" x14ac:dyDescent="0.25">
      <c r="A120" s="413">
        <f>+SUBTOTAL(3,$B$4:B120)</f>
        <v>9</v>
      </c>
      <c r="B120" s="413" t="str">
        <f>'Visual chart Edit'!B123</f>
        <v>19/2</v>
      </c>
      <c r="C120" s="413" t="str">
        <f>'Visual chart Edit'!C123</f>
        <v>DA+0</v>
      </c>
      <c r="D120" s="413" t="s">
        <v>1307</v>
      </c>
      <c r="E120" s="465">
        <f>'Visual chart Edit'!I123</f>
        <v>372.5</v>
      </c>
      <c r="F120" s="413" t="str">
        <f>'Visual chart Edit'!K123</f>
        <v>DRY</v>
      </c>
      <c r="G120" s="413" t="str">
        <f>'Visual chart Edit'!L123</f>
        <v>E</v>
      </c>
      <c r="H120" s="413"/>
      <c r="I120" s="413"/>
      <c r="J120" s="413"/>
      <c r="K120" s="413"/>
    </row>
    <row r="121" spans="1:11" hidden="1" x14ac:dyDescent="0.25">
      <c r="A121" s="413">
        <f>+SUBTOTAL(3,$B$4:B121)</f>
        <v>9</v>
      </c>
      <c r="B121" s="413" t="str">
        <f>'Visual chart Edit'!B124</f>
        <v>19/3</v>
      </c>
      <c r="C121" s="413" t="str">
        <f>'Visual chart Edit'!C124</f>
        <v>DA+0</v>
      </c>
      <c r="D121" s="413" t="s">
        <v>1307</v>
      </c>
      <c r="E121" s="465">
        <f>'Visual chart Edit'!I124</f>
        <v>376.5</v>
      </c>
      <c r="F121" s="413" t="str">
        <f>'Visual chart Edit'!K124</f>
        <v>DRY</v>
      </c>
      <c r="G121" s="413" t="str">
        <f>'Visual chart Edit'!L124</f>
        <v>E</v>
      </c>
      <c r="H121" s="413"/>
      <c r="I121" s="413"/>
      <c r="J121" s="413"/>
      <c r="K121" s="413"/>
    </row>
    <row r="122" spans="1:11" hidden="1" x14ac:dyDescent="0.25">
      <c r="A122" s="413">
        <f>+SUBTOTAL(3,$B$4:B122)</f>
        <v>9</v>
      </c>
      <c r="B122" s="413" t="str">
        <f>'Visual chart Edit'!B125</f>
        <v>19/4</v>
      </c>
      <c r="C122" s="413" t="str">
        <f>'Visual chart Edit'!C125</f>
        <v>DA+0</v>
      </c>
      <c r="D122" s="413" t="s">
        <v>1307</v>
      </c>
      <c r="E122" s="465">
        <f>'Visual chart Edit'!I125</f>
        <v>384.3</v>
      </c>
      <c r="F122" s="413" t="str">
        <f>'Visual chart Edit'!K125</f>
        <v>DRY</v>
      </c>
      <c r="G122" s="413" t="str">
        <f>'Visual chart Edit'!L125</f>
        <v>E</v>
      </c>
      <c r="H122" s="413"/>
      <c r="I122" s="413"/>
      <c r="J122" s="413"/>
      <c r="K122" s="413"/>
    </row>
    <row r="123" spans="1:11" hidden="1" x14ac:dyDescent="0.25">
      <c r="A123" s="413">
        <f>+SUBTOTAL(3,$B$4:B123)</f>
        <v>9</v>
      </c>
      <c r="B123" s="413" t="str">
        <f>'Visual chart Edit'!B126</f>
        <v>19/5</v>
      </c>
      <c r="C123" s="413" t="str">
        <f>'Visual chart Edit'!C126</f>
        <v>DA+0</v>
      </c>
      <c r="D123" s="413" t="s">
        <v>1307</v>
      </c>
      <c r="E123" s="465">
        <f>'Visual chart Edit'!I126</f>
        <v>375.4</v>
      </c>
      <c r="F123" s="413" t="str">
        <f>'Visual chart Edit'!K126</f>
        <v>DRY</v>
      </c>
      <c r="G123" s="413" t="str">
        <f>'Visual chart Edit'!L126</f>
        <v>E</v>
      </c>
      <c r="H123" s="413"/>
      <c r="I123" s="413"/>
      <c r="J123" s="413"/>
      <c r="K123" s="413"/>
    </row>
    <row r="124" spans="1:11" hidden="1" x14ac:dyDescent="0.25">
      <c r="A124" s="413">
        <f>+SUBTOTAL(3,$B$4:B124)</f>
        <v>9</v>
      </c>
      <c r="B124" s="413" t="str">
        <f>'Visual chart Edit'!B127</f>
        <v>20/0</v>
      </c>
      <c r="C124" s="413" t="str">
        <f>'Visual chart Edit'!C127</f>
        <v>DB2+0</v>
      </c>
      <c r="D124" s="413" t="s">
        <v>1307</v>
      </c>
      <c r="E124" s="465">
        <f>'Visual chart Edit'!I127</f>
        <v>381.2</v>
      </c>
      <c r="F124" s="413" t="str">
        <f>'Visual chart Edit'!K127</f>
        <v>Sandy</v>
      </c>
      <c r="G124" s="413" t="str">
        <f>'Visual chart Edit'!L127</f>
        <v>E</v>
      </c>
      <c r="H124" s="413"/>
      <c r="I124" s="413"/>
      <c r="J124" s="413"/>
      <c r="K124" s="413"/>
    </row>
    <row r="125" spans="1:11" x14ac:dyDescent="0.25">
      <c r="A125" s="413">
        <f>+SUBTOTAL(3,$B$4:B125)</f>
        <v>10</v>
      </c>
      <c r="B125" s="413" t="str">
        <f>'Visual chart Edit'!B128</f>
        <v>20/1</v>
      </c>
      <c r="C125" s="413" t="str">
        <f>'Visual chart Edit'!C128</f>
        <v>DA+0</v>
      </c>
      <c r="D125" s="413" t="s">
        <v>1307</v>
      </c>
      <c r="E125" s="465">
        <f>'Visual chart Edit'!I128</f>
        <v>386.8</v>
      </c>
      <c r="F125" s="413" t="str">
        <f>'Visual chart Edit'!K128</f>
        <v>Sandy</v>
      </c>
      <c r="G125" s="413" t="s">
        <v>129</v>
      </c>
      <c r="H125" s="416" t="s">
        <v>1664</v>
      </c>
      <c r="I125" s="413"/>
      <c r="J125" s="413"/>
      <c r="K125" s="413"/>
    </row>
    <row r="126" spans="1:11" hidden="1" x14ac:dyDescent="0.25">
      <c r="A126" s="413">
        <f>+SUBTOTAL(3,$B$4:B126)</f>
        <v>10</v>
      </c>
      <c r="B126" s="413" t="str">
        <f>'Visual chart Edit'!B129</f>
        <v>20/2</v>
      </c>
      <c r="C126" s="413" t="str">
        <f>'Visual chart Edit'!C129</f>
        <v>DA+0</v>
      </c>
      <c r="D126" s="413" t="s">
        <v>1307</v>
      </c>
      <c r="E126" s="465">
        <f>'Visual chart Edit'!I129</f>
        <v>387</v>
      </c>
      <c r="F126" s="413" t="str">
        <f>'Visual chart Edit'!K129</f>
        <v>DRY</v>
      </c>
      <c r="G126" s="413" t="str">
        <f>'Visual chart Edit'!L129</f>
        <v>E</v>
      </c>
      <c r="H126" s="413"/>
      <c r="I126" s="413"/>
      <c r="J126" s="413"/>
      <c r="K126" s="413"/>
    </row>
    <row r="127" spans="1:11" hidden="1" x14ac:dyDescent="0.25">
      <c r="A127" s="413">
        <f>+SUBTOTAL(3,$B$4:B127)</f>
        <v>10</v>
      </c>
      <c r="B127" s="413" t="str">
        <f>'Visual chart Edit'!B130</f>
        <v>20/3</v>
      </c>
      <c r="C127" s="413" t="str">
        <f>'Visual chart Edit'!C130</f>
        <v>DA+0</v>
      </c>
      <c r="D127" s="413" t="s">
        <v>1307</v>
      </c>
      <c r="E127" s="465">
        <f>'Visual chart Edit'!I130</f>
        <v>348.5</v>
      </c>
      <c r="F127" s="413" t="str">
        <f>'Visual chart Edit'!K130</f>
        <v>DRY</v>
      </c>
      <c r="G127" s="413" t="str">
        <f>'Visual chart Edit'!L130</f>
        <v>E</v>
      </c>
      <c r="H127" s="413"/>
      <c r="I127" s="413"/>
      <c r="J127" s="413"/>
      <c r="K127" s="413"/>
    </row>
    <row r="128" spans="1:11" hidden="1" x14ac:dyDescent="0.25">
      <c r="A128" s="413">
        <f>+SUBTOTAL(3,$B$4:B128)</f>
        <v>10</v>
      </c>
      <c r="B128" s="413" t="str">
        <f>'Visual chart Edit'!B131</f>
        <v>21/0</v>
      </c>
      <c r="C128" s="413" t="str">
        <f>'Visual chart Edit'!C131</f>
        <v>DB2+0</v>
      </c>
      <c r="D128" s="413" t="s">
        <v>1307</v>
      </c>
      <c r="E128" s="465">
        <f>'Visual chart Edit'!I131</f>
        <v>355</v>
      </c>
      <c r="F128" s="413" t="str">
        <f>'Visual chart Edit'!K131</f>
        <v>DRY</v>
      </c>
      <c r="G128" s="413" t="str">
        <f>'Visual chart Edit'!L131</f>
        <v>E</v>
      </c>
      <c r="H128" s="413"/>
      <c r="I128" s="413"/>
      <c r="J128" s="413"/>
      <c r="K128" s="413"/>
    </row>
    <row r="129" spans="1:11" x14ac:dyDescent="0.25">
      <c r="A129" s="413">
        <f>+SUBTOTAL(3,$B$4:B129)</f>
        <v>11</v>
      </c>
      <c r="B129" s="413" t="str">
        <f>'Visual chart Edit'!B132</f>
        <v>21/1</v>
      </c>
      <c r="C129" s="413" t="str">
        <f>'Visual chart Edit'!C132</f>
        <v>DA+6</v>
      </c>
      <c r="D129" s="413" t="s">
        <v>1307</v>
      </c>
      <c r="E129" s="465">
        <f>'Visual chart Edit'!I132</f>
        <v>414.9</v>
      </c>
      <c r="F129" s="413" t="s">
        <v>129</v>
      </c>
      <c r="G129" s="413"/>
      <c r="H129" s="416" t="s">
        <v>1664</v>
      </c>
      <c r="I129" s="413"/>
      <c r="J129" s="413"/>
      <c r="K129" s="413"/>
    </row>
    <row r="130" spans="1:11" x14ac:dyDescent="0.25">
      <c r="A130" s="413">
        <f>+SUBTOTAL(3,$B$4:B130)</f>
        <v>12</v>
      </c>
      <c r="B130" s="413" t="str">
        <f>'Visual chart Edit'!B133</f>
        <v>21/2</v>
      </c>
      <c r="C130" s="413" t="str">
        <f>'Visual chart Edit'!C133</f>
        <v>DA+0</v>
      </c>
      <c r="D130" s="413" t="s">
        <v>1307</v>
      </c>
      <c r="E130" s="465">
        <f>'Visual chart Edit'!I133</f>
        <v>407.2</v>
      </c>
      <c r="F130" s="413" t="str">
        <f>'Visual chart Edit'!K133</f>
        <v>Sandy</v>
      </c>
      <c r="G130" s="413" t="s">
        <v>129</v>
      </c>
      <c r="H130" s="416" t="s">
        <v>1664</v>
      </c>
      <c r="I130" s="413"/>
      <c r="J130" s="413"/>
      <c r="K130" s="413"/>
    </row>
    <row r="131" spans="1:11" hidden="1" x14ac:dyDescent="0.25">
      <c r="A131" s="413">
        <f>+SUBTOTAL(3,$B$4:B131)</f>
        <v>12</v>
      </c>
      <c r="B131" s="413" t="str">
        <f>'Visual chart Edit'!B134</f>
        <v>21/3</v>
      </c>
      <c r="C131" s="413" t="str">
        <f>'Visual chart Edit'!C134</f>
        <v>DA+6</v>
      </c>
      <c r="D131" s="413" t="s">
        <v>1307</v>
      </c>
      <c r="E131" s="465">
        <f>'Visual chart Edit'!I134</f>
        <v>432.2</v>
      </c>
      <c r="F131" s="413" t="str">
        <f>'Visual chart Edit'!K134</f>
        <v>Sandy</v>
      </c>
      <c r="G131" s="413" t="str">
        <f>'Visual chart Edit'!L134</f>
        <v>E</v>
      </c>
      <c r="H131" s="413"/>
      <c r="I131" s="413"/>
      <c r="J131" s="413"/>
      <c r="K131" s="413"/>
    </row>
    <row r="132" spans="1:11" hidden="1" x14ac:dyDescent="0.25">
      <c r="A132" s="413">
        <f>+SUBTOTAL(3,$B$4:B132)</f>
        <v>12</v>
      </c>
      <c r="B132" s="413" t="str">
        <f>'Visual chart Edit'!B135</f>
        <v>21/4</v>
      </c>
      <c r="C132" s="413" t="str">
        <f>'Visual chart Edit'!C135</f>
        <v>DA+3</v>
      </c>
      <c r="D132" s="413" t="s">
        <v>1307</v>
      </c>
      <c r="E132" s="465">
        <f>'Visual chart Edit'!I135</f>
        <v>401.9</v>
      </c>
      <c r="F132" s="413" t="str">
        <f>'Visual chart Edit'!K135</f>
        <v>Sandy</v>
      </c>
      <c r="G132" s="413" t="str">
        <f>'Visual chart Edit'!L135</f>
        <v>E</v>
      </c>
      <c r="H132" s="413"/>
      <c r="I132" s="413"/>
      <c r="J132" s="413"/>
      <c r="K132" s="413"/>
    </row>
    <row r="133" spans="1:11" hidden="1" x14ac:dyDescent="0.25">
      <c r="A133" s="413">
        <f>+SUBTOTAL(3,$B$4:B133)</f>
        <v>12</v>
      </c>
      <c r="B133" s="413" t="str">
        <f>'Visual chart Edit'!B136</f>
        <v>21/5</v>
      </c>
      <c r="C133" s="413" t="str">
        <f>'Visual chart Edit'!C136</f>
        <v>DA+6</v>
      </c>
      <c r="D133" s="413" t="s">
        <v>1307</v>
      </c>
      <c r="E133" s="465">
        <f>'Visual chart Edit'!I136</f>
        <v>434.2</v>
      </c>
      <c r="F133" s="413" t="str">
        <f>'Visual chart Edit'!K136</f>
        <v>DFR</v>
      </c>
      <c r="G133" s="413" t="str">
        <f>'Visual chart Edit'!L136</f>
        <v>E</v>
      </c>
      <c r="H133" s="413"/>
      <c r="I133" s="413"/>
      <c r="J133" s="413"/>
      <c r="K133" s="413"/>
    </row>
    <row r="134" spans="1:11" x14ac:dyDescent="0.25">
      <c r="A134" s="413">
        <f>+SUBTOTAL(3,$B$4:B134)</f>
        <v>13</v>
      </c>
      <c r="B134" s="413" t="str">
        <f>'Visual chart Edit'!B137</f>
        <v>21/6</v>
      </c>
      <c r="C134" s="413" t="str">
        <f>'Visual chart Edit'!C137</f>
        <v>DA+3</v>
      </c>
      <c r="D134" s="413" t="s">
        <v>1307</v>
      </c>
      <c r="E134" s="465">
        <f>'Visual chart Edit'!I137</f>
        <v>405.5</v>
      </c>
      <c r="F134" s="413" t="str">
        <f>'Visual chart Edit'!K137</f>
        <v>DRY</v>
      </c>
      <c r="G134" s="413" t="s">
        <v>129</v>
      </c>
      <c r="H134" s="416" t="s">
        <v>1664</v>
      </c>
      <c r="I134" s="413"/>
      <c r="J134" s="413"/>
      <c r="K134" s="413"/>
    </row>
    <row r="135" spans="1:11" x14ac:dyDescent="0.25">
      <c r="A135" s="413">
        <f>+SUBTOTAL(3,$B$4:B135)</f>
        <v>14</v>
      </c>
      <c r="B135" s="413" t="str">
        <f>'Visual chart Edit'!B138</f>
        <v>21/7</v>
      </c>
      <c r="C135" s="413" t="str">
        <f>'Visual chart Edit'!C138</f>
        <v>DA+3</v>
      </c>
      <c r="D135" s="413" t="s">
        <v>1307</v>
      </c>
      <c r="E135" s="465">
        <f>'Visual chart Edit'!I138</f>
        <v>426</v>
      </c>
      <c r="F135" s="413" t="str">
        <f>'Visual chart Edit'!K138</f>
        <v>DFR</v>
      </c>
      <c r="G135" s="413" t="s">
        <v>129</v>
      </c>
      <c r="H135" s="416" t="s">
        <v>1664</v>
      </c>
      <c r="I135" s="413"/>
      <c r="J135" s="413"/>
      <c r="K135" s="413"/>
    </row>
    <row r="136" spans="1:11" x14ac:dyDescent="0.25">
      <c r="A136" s="413">
        <f>+SUBTOTAL(3,$B$4:B136)</f>
        <v>15</v>
      </c>
      <c r="B136" s="413" t="str">
        <f>'Visual chart Edit'!B139</f>
        <v>21/8</v>
      </c>
      <c r="C136" s="413" t="str">
        <f>'Visual chart Edit'!C139</f>
        <v>DA+6</v>
      </c>
      <c r="D136" s="413" t="s">
        <v>1307</v>
      </c>
      <c r="E136" s="465">
        <f>'Visual chart Edit'!I139</f>
        <v>406.9</v>
      </c>
      <c r="F136" s="413" t="str">
        <f>'Visual chart Edit'!K139</f>
        <v>DRY</v>
      </c>
      <c r="G136" s="413" t="s">
        <v>129</v>
      </c>
      <c r="H136" s="416" t="s">
        <v>1664</v>
      </c>
      <c r="I136" s="413"/>
      <c r="J136" s="413"/>
      <c r="K136" s="413"/>
    </row>
    <row r="137" spans="1:11" x14ac:dyDescent="0.25">
      <c r="A137" s="413">
        <f>+SUBTOTAL(3,$B$4:B137)</f>
        <v>16</v>
      </c>
      <c r="B137" s="413" t="str">
        <f>'Visual chart Edit'!B140</f>
        <v>21/9</v>
      </c>
      <c r="C137" s="413" t="str">
        <f>'Visual chart Edit'!C140</f>
        <v>DA+3</v>
      </c>
      <c r="D137" s="413" t="s">
        <v>1307</v>
      </c>
      <c r="E137" s="465">
        <f>'Visual chart Edit'!I140</f>
        <v>433.3</v>
      </c>
      <c r="F137" s="413" t="str">
        <f>'Visual chart Edit'!K140</f>
        <v>DFR</v>
      </c>
      <c r="G137" s="413" t="s">
        <v>124</v>
      </c>
      <c r="H137" s="416"/>
      <c r="I137" s="413"/>
      <c r="J137" s="413"/>
      <c r="K137" s="413"/>
    </row>
    <row r="138" spans="1:11" x14ac:dyDescent="0.25">
      <c r="A138" s="413">
        <f>+SUBTOTAL(3,$B$4:B138)</f>
        <v>17</v>
      </c>
      <c r="B138" s="413" t="str">
        <f>'Visual chart Edit'!B141</f>
        <v>21/10</v>
      </c>
      <c r="C138" s="413" t="str">
        <f>'Visual chart Edit'!C141</f>
        <v>DA+6</v>
      </c>
      <c r="D138" s="413" t="s">
        <v>1307</v>
      </c>
      <c r="E138" s="465">
        <f>'Visual chart Edit'!I141</f>
        <v>372.9</v>
      </c>
      <c r="F138" s="413" t="str">
        <f>'Visual chart Edit'!K141</f>
        <v>DRY</v>
      </c>
      <c r="G138" s="413" t="s">
        <v>129</v>
      </c>
      <c r="H138" s="416" t="s">
        <v>1664</v>
      </c>
      <c r="I138" s="413"/>
      <c r="J138" s="413"/>
      <c r="K138" s="413"/>
    </row>
    <row r="139" spans="1:11" x14ac:dyDescent="0.25">
      <c r="A139" s="413">
        <f>+SUBTOTAL(3,$B$4:B139)</f>
        <v>18</v>
      </c>
      <c r="B139" s="413" t="str">
        <f>'Visual chart Edit'!B142</f>
        <v>22/0</v>
      </c>
      <c r="C139" s="413" t="str">
        <f>'Visual chart Edit'!C142</f>
        <v>DB2+3</v>
      </c>
      <c r="D139" s="413" t="s">
        <v>1307</v>
      </c>
      <c r="E139" s="465">
        <f>'Visual chart Edit'!I142</f>
        <v>443.5</v>
      </c>
      <c r="F139" s="413" t="str">
        <f>'Visual chart Edit'!K142</f>
        <v>DRY</v>
      </c>
      <c r="G139" s="413" t="s">
        <v>129</v>
      </c>
      <c r="H139" s="416" t="s">
        <v>1664</v>
      </c>
      <c r="I139" s="413"/>
      <c r="J139" s="413"/>
      <c r="K139" s="413"/>
    </row>
    <row r="140" spans="1:11" x14ac:dyDescent="0.25">
      <c r="A140" s="413">
        <f>+SUBTOTAL(3,$B$4:B140)</f>
        <v>19</v>
      </c>
      <c r="B140" s="413" t="str">
        <f>'Visual chart Edit'!B143</f>
        <v>22/1</v>
      </c>
      <c r="C140" s="413" t="str">
        <f>'Visual chart Edit'!C143</f>
        <v>DA+9</v>
      </c>
      <c r="D140" s="413" t="s">
        <v>1307</v>
      </c>
      <c r="E140" s="465">
        <f>'Visual chart Edit'!I143</f>
        <v>456.3</v>
      </c>
      <c r="F140" s="413" t="str">
        <f>'Visual chart Edit'!K143</f>
        <v>Sandy</v>
      </c>
      <c r="G140" s="413" t="s">
        <v>129</v>
      </c>
      <c r="H140" s="416" t="s">
        <v>1664</v>
      </c>
      <c r="I140" s="413"/>
      <c r="J140" s="413"/>
      <c r="K140" s="413"/>
    </row>
    <row r="141" spans="1:11" hidden="1" x14ac:dyDescent="0.25">
      <c r="A141" s="413">
        <f>+SUBTOTAL(3,$B$4:B141)</f>
        <v>19</v>
      </c>
      <c r="B141" s="413" t="str">
        <f>'Visual chart Edit'!B144</f>
        <v>22/2</v>
      </c>
      <c r="C141" s="413" t="str">
        <f>'Visual chart Edit'!C144</f>
        <v>DA+6</v>
      </c>
      <c r="D141" s="413" t="s">
        <v>1307</v>
      </c>
      <c r="E141" s="465">
        <f>'Visual chart Edit'!I144</f>
        <v>379.2</v>
      </c>
      <c r="F141" s="413" t="str">
        <f>'Visual chart Edit'!K144</f>
        <v>Sandy</v>
      </c>
      <c r="G141" s="413" t="str">
        <f>'Visual chart Edit'!L144</f>
        <v>E</v>
      </c>
      <c r="H141" s="413"/>
      <c r="I141" s="413"/>
      <c r="J141" s="413"/>
      <c r="K141" s="413"/>
    </row>
    <row r="142" spans="1:11" hidden="1" x14ac:dyDescent="0.25">
      <c r="A142" s="413">
        <f>+SUBTOTAL(3,$B$4:B142)</f>
        <v>19</v>
      </c>
      <c r="B142" s="413" t="str">
        <f>'Visual chart Edit'!B145</f>
        <v>22/3</v>
      </c>
      <c r="C142" s="413" t="str">
        <f>'Visual chart Edit'!C145</f>
        <v>DA+9</v>
      </c>
      <c r="D142" s="413" t="s">
        <v>1307</v>
      </c>
      <c r="E142" s="465">
        <f>'Visual chart Edit'!I145</f>
        <v>382.6</v>
      </c>
      <c r="F142" s="413" t="str">
        <f>'Visual chart Edit'!K145</f>
        <v>Sandy</v>
      </c>
      <c r="G142" s="413" t="str">
        <f>'Visual chart Edit'!L145</f>
        <v>E</v>
      </c>
      <c r="H142" s="413"/>
      <c r="I142" s="413"/>
      <c r="J142" s="413"/>
      <c r="K142" s="413"/>
    </row>
    <row r="143" spans="1:11" x14ac:dyDescent="0.25">
      <c r="A143" s="413">
        <f>+SUBTOTAL(3,$B$4:B143)</f>
        <v>20</v>
      </c>
      <c r="B143" s="413" t="str">
        <f>'Visual chart Edit'!B146</f>
        <v>22/4</v>
      </c>
      <c r="C143" s="718" t="str">
        <f>'Visual chart Edit'!C146</f>
        <v>DA+9</v>
      </c>
      <c r="D143" s="413" t="s">
        <v>1307</v>
      </c>
      <c r="E143" s="465">
        <f>'Visual chart Edit'!I146</f>
        <v>435.6</v>
      </c>
      <c r="F143" s="413" t="str">
        <f>'Visual chart Edit'!K146</f>
        <v>Sandy</v>
      </c>
      <c r="G143" s="413" t="s">
        <v>129</v>
      </c>
      <c r="H143" s="416" t="s">
        <v>1664</v>
      </c>
      <c r="I143" s="413"/>
      <c r="J143" s="413"/>
      <c r="K143" s="413"/>
    </row>
    <row r="144" spans="1:11" hidden="1" x14ac:dyDescent="0.25">
      <c r="A144" s="413">
        <f>+SUBTOTAL(3,$B$4:B144)</f>
        <v>20</v>
      </c>
      <c r="B144" s="413" t="str">
        <f>'Visual chart Edit'!B147</f>
        <v>22/5</v>
      </c>
      <c r="C144" s="413" t="str">
        <f>'Visual chart Edit'!C147</f>
        <v>DA+9</v>
      </c>
      <c r="D144" s="413" t="s">
        <v>1307</v>
      </c>
      <c r="E144" s="465">
        <f>'Visual chart Edit'!I147</f>
        <v>402.1</v>
      </c>
      <c r="F144" s="413" t="str">
        <f>'Visual chart Edit'!K147</f>
        <v>DRY</v>
      </c>
      <c r="G144" s="413" t="str">
        <f>'Visual chart Edit'!L147</f>
        <v>E</v>
      </c>
      <c r="H144" s="413"/>
      <c r="I144" s="413"/>
      <c r="J144" s="413"/>
      <c r="K144" s="413"/>
    </row>
    <row r="145" spans="1:12" hidden="1" x14ac:dyDescent="0.25">
      <c r="A145" s="413">
        <f>+SUBTOTAL(3,$B$4:B145)</f>
        <v>20</v>
      </c>
      <c r="B145" s="413" t="str">
        <f>'Visual chart Edit'!B148</f>
        <v>22/6</v>
      </c>
      <c r="C145" s="413" t="str">
        <f>'Visual chart Edit'!C148</f>
        <v>DA+0</v>
      </c>
      <c r="D145" s="413" t="s">
        <v>1307</v>
      </c>
      <c r="E145" s="465">
        <f>'Visual chart Edit'!I148</f>
        <v>417.3</v>
      </c>
      <c r="F145" s="413" t="str">
        <f>'Visual chart Edit'!K148</f>
        <v>Sandy</v>
      </c>
      <c r="G145" s="413" t="str">
        <f>'Visual chart Edit'!L148</f>
        <v>E</v>
      </c>
      <c r="H145" s="413"/>
      <c r="I145" s="413"/>
      <c r="J145" s="413"/>
      <c r="K145" s="413"/>
    </row>
    <row r="146" spans="1:12" hidden="1" x14ac:dyDescent="0.25">
      <c r="A146" s="413">
        <f>+SUBTOTAL(3,$B$4:B146)</f>
        <v>20</v>
      </c>
      <c r="B146" s="413" t="str">
        <f>'Visual chart Edit'!B149</f>
        <v>22/7</v>
      </c>
      <c r="C146" s="413" t="str">
        <f>'Visual chart Edit'!C149</f>
        <v>DA+0</v>
      </c>
      <c r="D146" s="413" t="s">
        <v>1307</v>
      </c>
      <c r="E146" s="465">
        <f>'Visual chart Edit'!I149</f>
        <v>347.7</v>
      </c>
      <c r="F146" s="413" t="str">
        <f>'Visual chart Edit'!K149</f>
        <v>Sandy</v>
      </c>
      <c r="G146" s="413" t="str">
        <f>'Visual chart Edit'!L149</f>
        <v>E</v>
      </c>
      <c r="H146" s="413"/>
      <c r="I146" s="413"/>
      <c r="J146" s="413"/>
      <c r="K146" s="413"/>
    </row>
    <row r="147" spans="1:12" x14ac:dyDescent="0.25">
      <c r="A147" s="413">
        <f>+SUBTOTAL(3,$B$4:B147)</f>
        <v>21</v>
      </c>
      <c r="B147" s="413" t="str">
        <f>'Visual chart Edit'!B150</f>
        <v>22/8</v>
      </c>
      <c r="C147" s="718" t="str">
        <f>'Visual chart Edit'!C150</f>
        <v>DB1+0</v>
      </c>
      <c r="D147" s="413" t="s">
        <v>1307</v>
      </c>
      <c r="E147" s="465">
        <f>'Visual chart Edit'!I150</f>
        <v>356.3</v>
      </c>
      <c r="F147" s="413" t="str">
        <f>'Visual chart Edit'!K150</f>
        <v>Sandy</v>
      </c>
      <c r="G147" s="413" t="s">
        <v>129</v>
      </c>
      <c r="H147" s="416" t="s">
        <v>1664</v>
      </c>
      <c r="I147" s="413"/>
      <c r="J147" s="413"/>
      <c r="K147" s="413"/>
    </row>
    <row r="148" spans="1:12" x14ac:dyDescent="0.25">
      <c r="A148" s="413">
        <f>+SUBTOTAL(3,$B$4:B148)</f>
        <v>22</v>
      </c>
      <c r="B148" s="413" t="str">
        <f>'Visual chart Edit'!B151</f>
        <v>22/9</v>
      </c>
      <c r="C148" s="413" t="str">
        <f>'Visual chart Edit'!C151</f>
        <v>DA+6</v>
      </c>
      <c r="D148" s="413" t="s">
        <v>1307</v>
      </c>
      <c r="E148" s="465">
        <f>'Visual chart Edit'!I151</f>
        <v>389.2</v>
      </c>
      <c r="F148" s="413" t="str">
        <f>'Visual chart Edit'!K151</f>
        <v>Sandy</v>
      </c>
      <c r="G148" s="413" t="s">
        <v>129</v>
      </c>
      <c r="H148" s="416" t="s">
        <v>1664</v>
      </c>
      <c r="I148" s="413"/>
      <c r="J148" s="413"/>
      <c r="K148" s="413"/>
    </row>
    <row r="149" spans="1:12" x14ac:dyDescent="0.25">
      <c r="A149" s="413">
        <f>+SUBTOTAL(3,$B$4:B149)</f>
        <v>23</v>
      </c>
      <c r="B149" s="413" t="str">
        <f>'Visual chart Edit'!B152</f>
        <v>22/10</v>
      </c>
      <c r="C149" s="413" t="str">
        <f>'Visual chart Edit'!C152</f>
        <v>DA+6</v>
      </c>
      <c r="D149" s="413" t="s">
        <v>1308</v>
      </c>
      <c r="E149" s="465">
        <f>'Visual chart Edit'!I152</f>
        <v>343.8</v>
      </c>
      <c r="F149" s="413" t="str">
        <f>'Visual chart Edit'!K152</f>
        <v>Sandy</v>
      </c>
      <c r="G149" s="413" t="s">
        <v>129</v>
      </c>
      <c r="H149" s="416" t="s">
        <v>1664</v>
      </c>
      <c r="I149" s="413"/>
      <c r="J149" s="413"/>
      <c r="K149" s="413"/>
    </row>
    <row r="150" spans="1:12" hidden="1" x14ac:dyDescent="0.25">
      <c r="A150" s="413">
        <f>+SUBTOTAL(3,$B$4:B150)</f>
        <v>23</v>
      </c>
      <c r="B150" s="413" t="str">
        <f>'Visual chart Edit'!B153</f>
        <v>22/11</v>
      </c>
      <c r="C150" s="413" t="str">
        <f>'Visual chart Edit'!C153</f>
        <v>DA+6</v>
      </c>
      <c r="D150" s="413" t="s">
        <v>1308</v>
      </c>
      <c r="E150" s="465">
        <f>'Visual chart Edit'!I153</f>
        <v>395.5</v>
      </c>
      <c r="F150" s="413" t="str">
        <f>'Visual chart Edit'!K153</f>
        <v>Sandy</v>
      </c>
      <c r="G150" s="413" t="str">
        <f>'Visual chart Edit'!L153</f>
        <v>E</v>
      </c>
      <c r="H150" s="413"/>
      <c r="I150" s="413"/>
      <c r="J150" s="413"/>
      <c r="K150" s="413"/>
    </row>
    <row r="151" spans="1:12" x14ac:dyDescent="0.25">
      <c r="A151" s="413">
        <f>+SUBTOTAL(3,$B$4:B151)</f>
        <v>24</v>
      </c>
      <c r="B151" s="413" t="str">
        <f>'Visual chart Edit'!B154</f>
        <v>22/12</v>
      </c>
      <c r="C151" s="413" t="str">
        <f>'Visual chart Edit'!C154</f>
        <v>DA+3</v>
      </c>
      <c r="D151" s="413" t="s">
        <v>1308</v>
      </c>
      <c r="E151" s="465">
        <f>'Visual chart Edit'!I154</f>
        <v>408</v>
      </c>
      <c r="F151" s="413" t="str">
        <f>'Visual chart Edit'!K154</f>
        <v>Sandy</v>
      </c>
      <c r="G151" s="413" t="s">
        <v>129</v>
      </c>
      <c r="H151" s="416" t="s">
        <v>1664</v>
      </c>
      <c r="I151" s="413"/>
      <c r="J151" s="413"/>
      <c r="K151" s="413"/>
    </row>
    <row r="152" spans="1:12" hidden="1" x14ac:dyDescent="0.25">
      <c r="A152" s="413">
        <f>+SUBTOTAL(3,$B$4:B152)</f>
        <v>24</v>
      </c>
      <c r="B152" s="413" t="str">
        <f>'Visual chart Edit'!B155</f>
        <v>22/13</v>
      </c>
      <c r="C152" s="413" t="str">
        <f>'Visual chart Edit'!C155</f>
        <v>DA+6</v>
      </c>
      <c r="D152" s="413" t="s">
        <v>1308</v>
      </c>
      <c r="E152" s="465">
        <f>'Visual chart Edit'!I155</f>
        <v>318</v>
      </c>
      <c r="F152" s="413" t="str">
        <f>'Visual chart Edit'!K155</f>
        <v>Sandy</v>
      </c>
      <c r="G152" s="413" t="str">
        <f>'Visual chart Edit'!L155</f>
        <v>E</v>
      </c>
      <c r="H152" s="413"/>
      <c r="I152" s="413"/>
      <c r="J152" s="413"/>
      <c r="K152" s="413"/>
    </row>
    <row r="153" spans="1:12" x14ac:dyDescent="0.25">
      <c r="A153" s="413">
        <f>+SUBTOTAL(3,$B$4:B153)</f>
        <v>25</v>
      </c>
      <c r="B153" s="413" t="str">
        <f>'Visual chart Edit'!B156</f>
        <v>23/0</v>
      </c>
      <c r="C153" s="413" t="str">
        <f>'Visual chart Edit'!C156</f>
        <v>DD45+3</v>
      </c>
      <c r="D153" s="413" t="s">
        <v>1308</v>
      </c>
      <c r="E153" s="465">
        <f>'Visual chart Edit'!I156</f>
        <v>447.3</v>
      </c>
      <c r="F153" s="413" t="str">
        <f>'Visual chart Edit'!K156</f>
        <v>DRY</v>
      </c>
      <c r="G153" s="413" t="s">
        <v>129</v>
      </c>
      <c r="H153" s="416" t="s">
        <v>1664</v>
      </c>
      <c r="I153" s="413"/>
      <c r="J153" s="413"/>
      <c r="K153" s="413"/>
    </row>
    <row r="154" spans="1:12" hidden="1" x14ac:dyDescent="0.25">
      <c r="A154" s="413">
        <f>+SUBTOTAL(3,$B$4:B154)</f>
        <v>25</v>
      </c>
      <c r="B154" s="413" t="str">
        <f>'Visual chart Edit'!B157</f>
        <v>24/0</v>
      </c>
      <c r="C154" s="413" t="str">
        <f>'Visual chart Edit'!C157</f>
        <v>DD45+3</v>
      </c>
      <c r="D154" s="413" t="s">
        <v>1308</v>
      </c>
      <c r="E154" s="465">
        <f>'Visual chart Edit'!I157</f>
        <v>222.2</v>
      </c>
      <c r="F154" s="413" t="str">
        <f>'Visual chart Edit'!K157</f>
        <v>DRY</v>
      </c>
      <c r="G154" s="413" t="str">
        <f>'Visual chart Edit'!L157</f>
        <v>E</v>
      </c>
      <c r="H154" s="413"/>
      <c r="I154" s="413"/>
      <c r="J154" s="413"/>
      <c r="K154" s="413"/>
    </row>
    <row r="155" spans="1:12" hidden="1" x14ac:dyDescent="0.25">
      <c r="A155" s="413">
        <f>+SUBTOTAL(3,$B$4:B155)</f>
        <v>25</v>
      </c>
      <c r="B155" s="413" t="str">
        <f>'Visual chart Edit'!B158</f>
        <v>25/0</v>
      </c>
      <c r="C155" s="413" t="str">
        <f>'Visual chart Edit'!C158</f>
        <v>DC1+6</v>
      </c>
      <c r="D155" s="413" t="s">
        <v>1308</v>
      </c>
      <c r="E155" s="465">
        <f>'Visual chart Edit'!I158</f>
        <v>433.9</v>
      </c>
      <c r="F155" s="413" t="str">
        <f>'Visual chart Edit'!K158</f>
        <v>DRY</v>
      </c>
      <c r="G155" s="413" t="str">
        <f>'Visual chart Edit'!L158</f>
        <v>E</v>
      </c>
      <c r="H155" s="416"/>
      <c r="I155" s="413"/>
      <c r="J155" s="413"/>
      <c r="K155" s="413"/>
      <c r="L155" s="479" t="s">
        <v>1581</v>
      </c>
    </row>
    <row r="156" spans="1:12" hidden="1" x14ac:dyDescent="0.25">
      <c r="A156" s="413">
        <f>+SUBTOTAL(3,$B$4:B156)</f>
        <v>25</v>
      </c>
      <c r="B156" s="413" t="str">
        <f>'Visual chart Edit'!B159</f>
        <v>25/1</v>
      </c>
      <c r="C156" s="413" t="str">
        <f>'Visual chart Edit'!C159</f>
        <v>DA+3</v>
      </c>
      <c r="D156" s="413" t="s">
        <v>1308</v>
      </c>
      <c r="E156" s="465">
        <f>'Visual chart Edit'!I159</f>
        <v>422.3</v>
      </c>
      <c r="F156" s="413" t="str">
        <f>'Visual chart Edit'!K159</f>
        <v>DRY</v>
      </c>
      <c r="G156" s="413" t="str">
        <f>'Visual chart Edit'!L159</f>
        <v>E</v>
      </c>
      <c r="H156" s="416"/>
      <c r="I156" s="413"/>
      <c r="J156" s="413"/>
      <c r="K156" s="413"/>
    </row>
    <row r="157" spans="1:12" hidden="1" x14ac:dyDescent="0.25">
      <c r="A157" s="413">
        <f>+SUBTOTAL(3,$B$4:B157)</f>
        <v>25</v>
      </c>
      <c r="B157" s="413" t="str">
        <f>'Visual chart Edit'!B160</f>
        <v>25/2</v>
      </c>
      <c r="C157" s="413" t="str">
        <f>'Visual chart Edit'!C160</f>
        <v>DA+0</v>
      </c>
      <c r="D157" s="413" t="s">
        <v>1308</v>
      </c>
      <c r="E157" s="465">
        <f>'Visual chart Edit'!I160</f>
        <v>370.7</v>
      </c>
      <c r="F157" s="413" t="str">
        <f>'Visual chart Edit'!K160</f>
        <v>DRY</v>
      </c>
      <c r="G157" s="413" t="str">
        <f>'Visual chart Edit'!L160</f>
        <v>E</v>
      </c>
      <c r="H157" s="416"/>
      <c r="I157" s="413"/>
      <c r="J157" s="413"/>
      <c r="K157" s="413"/>
    </row>
    <row r="158" spans="1:12" hidden="1" x14ac:dyDescent="0.25">
      <c r="A158" s="413">
        <f>+SUBTOTAL(3,$B$4:B158)</f>
        <v>25</v>
      </c>
      <c r="B158" s="413" t="str">
        <f>'Visual chart Edit'!B161</f>
        <v>25/3</v>
      </c>
      <c r="C158" s="413" t="str">
        <f>'Visual chart Edit'!C161</f>
        <v>DA+0</v>
      </c>
      <c r="D158" s="413" t="s">
        <v>1308</v>
      </c>
      <c r="E158" s="465">
        <f>'Visual chart Edit'!I161</f>
        <v>345.7</v>
      </c>
      <c r="F158" s="413" t="str">
        <f>'Visual chart Edit'!K161</f>
        <v>Sandy</v>
      </c>
      <c r="G158" s="413" t="str">
        <f>'Visual chart Edit'!L161</f>
        <v>E</v>
      </c>
      <c r="H158" s="413"/>
      <c r="I158" s="413"/>
      <c r="J158" s="413"/>
      <c r="K158" s="413"/>
    </row>
    <row r="159" spans="1:12" hidden="1" x14ac:dyDescent="0.25">
      <c r="A159" s="413">
        <f>+SUBTOTAL(3,$B$4:B159)</f>
        <v>25</v>
      </c>
      <c r="B159" s="413" t="str">
        <f>'Visual chart Edit'!B162</f>
        <v>25/4</v>
      </c>
      <c r="C159" s="413" t="str">
        <f>'Visual chart Edit'!C162</f>
        <v>DA+0</v>
      </c>
      <c r="D159" s="413" t="s">
        <v>1308</v>
      </c>
      <c r="E159" s="465">
        <f>'Visual chart Edit'!I162</f>
        <v>391.1</v>
      </c>
      <c r="F159" s="413" t="str">
        <f>'Visual chart Edit'!K162</f>
        <v>Sandy</v>
      </c>
      <c r="G159" s="413" t="str">
        <f>'Visual chart Edit'!L162</f>
        <v>E</v>
      </c>
      <c r="H159" s="413"/>
      <c r="I159" s="413"/>
      <c r="J159" s="413"/>
      <c r="K159" s="413"/>
    </row>
    <row r="160" spans="1:12" hidden="1" x14ac:dyDescent="0.25">
      <c r="A160" s="413">
        <f>+SUBTOTAL(3,$B$4:B160)</f>
        <v>25</v>
      </c>
      <c r="B160" s="413" t="str">
        <f>'Visual chart Edit'!B163</f>
        <v>26/0</v>
      </c>
      <c r="C160" s="413" t="str">
        <f>'Visual chart Edit'!C163</f>
        <v>DB1+0</v>
      </c>
      <c r="D160" s="413" t="s">
        <v>1308</v>
      </c>
      <c r="E160" s="465">
        <f>'Visual chart Edit'!I163</f>
        <v>440.4</v>
      </c>
      <c r="F160" s="413" t="str">
        <f>'Visual chart Edit'!K163</f>
        <v>DFR</v>
      </c>
      <c r="G160" s="413" t="str">
        <f>'Visual chart Edit'!L163</f>
        <v>E</v>
      </c>
      <c r="H160" s="413"/>
      <c r="I160" s="413"/>
      <c r="J160" s="413"/>
      <c r="K160" s="413"/>
    </row>
    <row r="161" spans="1:12" hidden="1" x14ac:dyDescent="0.25">
      <c r="A161" s="413">
        <f>+SUBTOTAL(3,$B$4:B161)</f>
        <v>25</v>
      </c>
      <c r="B161" s="413" t="str">
        <f>'Visual chart Edit'!B164</f>
        <v>26/1</v>
      </c>
      <c r="C161" s="413" t="str">
        <f>'Visual chart Edit'!C164</f>
        <v>DA+0</v>
      </c>
      <c r="D161" s="413" t="s">
        <v>1308</v>
      </c>
      <c r="E161" s="465">
        <f>'Visual chart Edit'!I164</f>
        <v>391.4</v>
      </c>
      <c r="F161" s="413" t="str">
        <f>'Visual chart Edit'!K164</f>
        <v>DRY</v>
      </c>
      <c r="G161" s="413" t="str">
        <f>'Visual chart Edit'!L164</f>
        <v>E</v>
      </c>
      <c r="H161" s="413"/>
      <c r="I161" s="413"/>
      <c r="J161" s="413"/>
      <c r="K161" s="413"/>
    </row>
    <row r="162" spans="1:12" hidden="1" x14ac:dyDescent="0.25">
      <c r="A162" s="413">
        <f>+SUBTOTAL(3,$B$4:B162)</f>
        <v>25</v>
      </c>
      <c r="B162" s="413" t="str">
        <f>'Visual chart Edit'!B165</f>
        <v>26/2</v>
      </c>
      <c r="C162" s="413" t="str">
        <f>'Visual chart Edit'!C165</f>
        <v>DA+3</v>
      </c>
      <c r="D162" s="413" t="s">
        <v>1308</v>
      </c>
      <c r="E162" s="465">
        <f>'Visual chart Edit'!I165</f>
        <v>406.5</v>
      </c>
      <c r="F162" s="413" t="str">
        <f>'Visual chart Edit'!K165</f>
        <v>DFR</v>
      </c>
      <c r="G162" s="413" t="str">
        <f>'Visual chart Edit'!L165</f>
        <v>E</v>
      </c>
      <c r="H162" s="413"/>
      <c r="I162" s="413"/>
      <c r="J162" s="413"/>
      <c r="K162" s="413"/>
    </row>
    <row r="163" spans="1:12" hidden="1" x14ac:dyDescent="0.25">
      <c r="A163" s="413">
        <f>+SUBTOTAL(3,$B$4:B163)</f>
        <v>25</v>
      </c>
      <c r="B163" s="413" t="str">
        <f>'Visual chart Edit'!B166</f>
        <v>26/3</v>
      </c>
      <c r="C163" s="413" t="str">
        <f>'Visual chart Edit'!C166</f>
        <v>DA+0</v>
      </c>
      <c r="D163" s="413" t="s">
        <v>1308</v>
      </c>
      <c r="E163" s="465">
        <f>'Visual chart Edit'!I166</f>
        <v>418</v>
      </c>
      <c r="F163" s="413" t="str">
        <f>'Visual chart Edit'!K166</f>
        <v>DRY</v>
      </c>
      <c r="G163" s="413" t="str">
        <f>'Visual chart Edit'!L166</f>
        <v>E</v>
      </c>
      <c r="H163" s="413"/>
      <c r="I163" s="413"/>
      <c r="J163" s="413"/>
      <c r="K163" s="413"/>
    </row>
    <row r="164" spans="1:12" x14ac:dyDescent="0.25">
      <c r="A164" s="413">
        <f>+SUBTOTAL(3,$B$4:B164)</f>
        <v>26</v>
      </c>
      <c r="B164" s="413" t="str">
        <f>'Visual chart Edit'!B167</f>
        <v>26/4</v>
      </c>
      <c r="C164" s="413" t="str">
        <f>'Visual chart Edit'!C167</f>
        <v>DA+6</v>
      </c>
      <c r="D164" s="413" t="s">
        <v>1308</v>
      </c>
      <c r="E164" s="465">
        <f>'Visual chart Edit'!I167</f>
        <v>422.6</v>
      </c>
      <c r="F164" s="413" t="str">
        <f>'Visual chart Edit'!K167</f>
        <v>Sandy</v>
      </c>
      <c r="G164" s="413" t="s">
        <v>124</v>
      </c>
      <c r="H164" s="416"/>
      <c r="I164" s="413"/>
      <c r="J164" s="413"/>
      <c r="K164" s="413"/>
      <c r="L164" s="479" t="s">
        <v>1581</v>
      </c>
    </row>
    <row r="165" spans="1:12" hidden="1" x14ac:dyDescent="0.25">
      <c r="A165" s="413">
        <f>+SUBTOTAL(3,$B$4:B165)</f>
        <v>26</v>
      </c>
      <c r="B165" s="413" t="str">
        <f>'Visual chart Edit'!B168</f>
        <v>26/5</v>
      </c>
      <c r="C165" s="413" t="str">
        <f>'Visual chart Edit'!C168</f>
        <v>DA+6</v>
      </c>
      <c r="D165" s="413" t="s">
        <v>1308</v>
      </c>
      <c r="E165" s="465">
        <f>'Visual chart Edit'!I168</f>
        <v>410</v>
      </c>
      <c r="F165" s="413" t="str">
        <f>'Visual chart Edit'!K168</f>
        <v>Sandy</v>
      </c>
      <c r="G165" s="413" t="str">
        <f>'Visual chart Edit'!L168</f>
        <v>E</v>
      </c>
      <c r="H165" s="413"/>
      <c r="I165" s="413"/>
      <c r="J165" s="413"/>
      <c r="K165" s="413"/>
    </row>
    <row r="166" spans="1:12" hidden="1" x14ac:dyDescent="0.25">
      <c r="A166" s="413">
        <f>+SUBTOTAL(3,$B$4:B166)</f>
        <v>26</v>
      </c>
      <c r="B166" s="413" t="str">
        <f>'Visual chart Edit'!B169</f>
        <v>26/6</v>
      </c>
      <c r="C166" s="413" t="str">
        <f>'Visual chart Edit'!C169</f>
        <v>DA+6</v>
      </c>
      <c r="D166" s="413" t="s">
        <v>1308</v>
      </c>
      <c r="E166" s="465">
        <f>'Visual chart Edit'!I169</f>
        <v>363.4</v>
      </c>
      <c r="F166" s="413" t="str">
        <f>'Visual chart Edit'!K169</f>
        <v>Sandy</v>
      </c>
      <c r="G166" s="413" t="str">
        <f>'Visual chart Edit'!L169</f>
        <v>E</v>
      </c>
      <c r="H166" s="416"/>
      <c r="I166" s="413"/>
      <c r="J166" s="413"/>
      <c r="K166" s="413"/>
    </row>
    <row r="167" spans="1:12" hidden="1" x14ac:dyDescent="0.25">
      <c r="A167" s="413">
        <f>+SUBTOTAL(3,$B$4:B167)</f>
        <v>26</v>
      </c>
      <c r="B167" s="413" t="str">
        <f>'Visual chart Edit'!B170</f>
        <v>26/7</v>
      </c>
      <c r="C167" s="413" t="str">
        <f>'Visual chart Edit'!C170</f>
        <v>DA+0</v>
      </c>
      <c r="D167" s="413" t="s">
        <v>1308</v>
      </c>
      <c r="E167" s="465">
        <f>'Visual chart Edit'!I170</f>
        <v>421.9</v>
      </c>
      <c r="F167" s="413" t="str">
        <f>'Visual chart Edit'!K170</f>
        <v>DFR</v>
      </c>
      <c r="G167" s="413" t="str">
        <f>'Visual chart Edit'!L170</f>
        <v>E</v>
      </c>
      <c r="H167" s="413"/>
      <c r="I167" s="413"/>
      <c r="J167" s="413"/>
      <c r="K167" s="413"/>
    </row>
    <row r="168" spans="1:12" hidden="1" x14ac:dyDescent="0.25">
      <c r="A168" s="413">
        <f>+SUBTOTAL(3,$B$4:B168)</f>
        <v>26</v>
      </c>
      <c r="B168" s="413" t="str">
        <f>'Visual chart Edit'!B171</f>
        <v>26/8</v>
      </c>
      <c r="C168" s="413" t="str">
        <f>'Visual chart Edit'!C171</f>
        <v>DA+6</v>
      </c>
      <c r="D168" s="413" t="s">
        <v>1308</v>
      </c>
      <c r="E168" s="465">
        <f>'Visual chart Edit'!I171</f>
        <v>416.7</v>
      </c>
      <c r="F168" s="413" t="str">
        <f>'Visual chart Edit'!K171</f>
        <v>DFR</v>
      </c>
      <c r="G168" s="413" t="str">
        <f>'Visual chart Edit'!L171</f>
        <v>E</v>
      </c>
      <c r="H168" s="413"/>
      <c r="I168" s="413"/>
      <c r="J168" s="413"/>
      <c r="K168" s="413"/>
    </row>
    <row r="169" spans="1:12" hidden="1" x14ac:dyDescent="0.25">
      <c r="A169" s="413">
        <f>+SUBTOTAL(3,$B$4:B169)</f>
        <v>26</v>
      </c>
      <c r="B169" s="413" t="str">
        <f>'Visual chart Edit'!B172</f>
        <v>27/0</v>
      </c>
      <c r="C169" s="413" t="str">
        <f>'Visual chart Edit'!C172</f>
        <v>DC1+0</v>
      </c>
      <c r="D169" s="413" t="s">
        <v>1308</v>
      </c>
      <c r="E169" s="465">
        <f>'Visual chart Edit'!I172</f>
        <v>413.8</v>
      </c>
      <c r="F169" s="413" t="str">
        <f>'Visual chart Edit'!K172</f>
        <v>DFR</v>
      </c>
      <c r="G169" s="413" t="str">
        <f>'Visual chart Edit'!L172</f>
        <v>E</v>
      </c>
      <c r="H169" s="413"/>
      <c r="I169" s="413"/>
      <c r="J169" s="413"/>
      <c r="K169" s="413"/>
    </row>
    <row r="170" spans="1:12" hidden="1" x14ac:dyDescent="0.25">
      <c r="A170" s="413">
        <f>+SUBTOTAL(3,$B$4:B170)</f>
        <v>26</v>
      </c>
      <c r="B170" s="413" t="str">
        <f>'Visual chart Edit'!B173</f>
        <v>27/1</v>
      </c>
      <c r="C170" s="413" t="str">
        <f>'Visual chart Edit'!C173</f>
        <v>DA+3</v>
      </c>
      <c r="D170" s="413" t="s">
        <v>1308</v>
      </c>
      <c r="E170" s="465">
        <f>'Visual chart Edit'!I173</f>
        <v>399.8</v>
      </c>
      <c r="F170" s="413" t="str">
        <f>'Visual chart Edit'!K173</f>
        <v>DFR</v>
      </c>
      <c r="G170" s="413" t="str">
        <f>'Visual chart Edit'!L173</f>
        <v>E</v>
      </c>
      <c r="H170" s="413"/>
      <c r="I170" s="413"/>
      <c r="J170" s="413"/>
      <c r="K170" s="413"/>
    </row>
    <row r="171" spans="1:12" hidden="1" x14ac:dyDescent="0.25">
      <c r="A171" s="413">
        <f>+SUBTOTAL(3,$B$4:B171)</f>
        <v>26</v>
      </c>
      <c r="B171" s="413" t="str">
        <f>'Visual chart Edit'!B174</f>
        <v>27/2</v>
      </c>
      <c r="C171" s="413" t="str">
        <f>'Visual chart Edit'!C174</f>
        <v>DA+3</v>
      </c>
      <c r="D171" s="413" t="s">
        <v>1308</v>
      </c>
      <c r="E171" s="465">
        <f>'Visual chart Edit'!I174</f>
        <v>425.2</v>
      </c>
      <c r="F171" s="413" t="str">
        <f>'Visual chart Edit'!K174</f>
        <v>DFR</v>
      </c>
      <c r="G171" s="413" t="str">
        <f>'Visual chart Edit'!L174</f>
        <v>E</v>
      </c>
      <c r="H171" s="413"/>
      <c r="I171" s="413"/>
      <c r="J171" s="413"/>
      <c r="K171" s="413"/>
    </row>
    <row r="172" spans="1:12" hidden="1" x14ac:dyDescent="0.25">
      <c r="A172" s="413">
        <f>+SUBTOTAL(3,$B$4:B172)</f>
        <v>26</v>
      </c>
      <c r="B172" s="413" t="str">
        <f>'Visual chart Edit'!B175</f>
        <v>27/3</v>
      </c>
      <c r="C172" s="413" t="str">
        <f>'Visual chart Edit'!C175</f>
        <v>DA+3</v>
      </c>
      <c r="D172" s="413" t="s">
        <v>1308</v>
      </c>
      <c r="E172" s="465">
        <f>'Visual chart Edit'!I175</f>
        <v>398.6</v>
      </c>
      <c r="F172" s="413" t="str">
        <f>'Visual chart Edit'!K175</f>
        <v>DFR</v>
      </c>
      <c r="G172" s="413" t="str">
        <f>'Visual chart Edit'!L175</f>
        <v>E</v>
      </c>
      <c r="H172" s="413"/>
      <c r="I172" s="413"/>
      <c r="J172" s="413"/>
      <c r="K172" s="413"/>
    </row>
    <row r="173" spans="1:12" hidden="1" x14ac:dyDescent="0.25">
      <c r="A173" s="413">
        <f>+SUBTOTAL(3,$B$4:B173)</f>
        <v>26</v>
      </c>
      <c r="B173" s="413" t="str">
        <f>'Visual chart Edit'!B176</f>
        <v>27/4</v>
      </c>
      <c r="C173" s="413" t="str">
        <f>'Visual chart Edit'!C176</f>
        <v>DA+3</v>
      </c>
      <c r="D173" s="413" t="s">
        <v>1308</v>
      </c>
      <c r="E173" s="465">
        <f>'Visual chart Edit'!I176</f>
        <v>430.7</v>
      </c>
      <c r="F173" s="413" t="str">
        <f>'Visual chart Edit'!K176</f>
        <v>DFR</v>
      </c>
      <c r="G173" s="413" t="str">
        <f>'Visual chart Edit'!L176</f>
        <v>E</v>
      </c>
      <c r="H173" s="413"/>
      <c r="I173" s="413"/>
      <c r="J173" s="413"/>
      <c r="K173" s="413"/>
    </row>
    <row r="174" spans="1:12" hidden="1" x14ac:dyDescent="0.25">
      <c r="A174" s="413">
        <f>+SUBTOTAL(3,$B$4:B174)</f>
        <v>26</v>
      </c>
      <c r="B174" s="413" t="str">
        <f>'Visual chart Edit'!B177</f>
        <v>27/5</v>
      </c>
      <c r="C174" s="413" t="str">
        <f>'Visual chart Edit'!C177</f>
        <v>DA+0</v>
      </c>
      <c r="D174" s="413" t="s">
        <v>1308</v>
      </c>
      <c r="E174" s="465">
        <f>'Visual chart Edit'!I177</f>
        <v>410</v>
      </c>
      <c r="F174" s="413" t="str">
        <f>'Visual chart Edit'!K177</f>
        <v>DRY</v>
      </c>
      <c r="G174" s="413" t="str">
        <f>'Visual chart Edit'!L177</f>
        <v>E</v>
      </c>
      <c r="H174" s="413"/>
      <c r="I174" s="413"/>
      <c r="J174" s="413"/>
      <c r="K174" s="413"/>
    </row>
    <row r="175" spans="1:12" hidden="1" x14ac:dyDescent="0.25">
      <c r="A175" s="413">
        <f>+SUBTOTAL(3,$B$4:B175)</f>
        <v>26</v>
      </c>
      <c r="B175" s="413" t="str">
        <f>'Visual chart Edit'!B178</f>
        <v>27/6</v>
      </c>
      <c r="C175" s="413" t="str">
        <f>'Visual chart Edit'!C178</f>
        <v>DA+0</v>
      </c>
      <c r="D175" s="413" t="s">
        <v>1308</v>
      </c>
      <c r="E175" s="465">
        <f>'Visual chart Edit'!I178</f>
        <v>402.6</v>
      </c>
      <c r="F175" s="413" t="str">
        <f>'Visual chart Edit'!K178</f>
        <v>Sandy</v>
      </c>
      <c r="G175" s="413" t="str">
        <f>'Visual chart Edit'!L178</f>
        <v>E</v>
      </c>
      <c r="H175" s="413"/>
      <c r="I175" s="413"/>
      <c r="J175" s="413"/>
      <c r="K175" s="413"/>
    </row>
    <row r="176" spans="1:12" hidden="1" x14ac:dyDescent="0.25">
      <c r="A176" s="413">
        <f>+SUBTOTAL(3,$B$4:B176)</f>
        <v>26</v>
      </c>
      <c r="B176" s="413" t="str">
        <f>'Visual chart Edit'!B179</f>
        <v>27/7</v>
      </c>
      <c r="C176" s="413" t="str">
        <f>'Visual chart Edit'!C179</f>
        <v>DB1+0</v>
      </c>
      <c r="D176" s="413" t="s">
        <v>1308</v>
      </c>
      <c r="E176" s="465">
        <f>'Visual chart Edit'!I179</f>
        <v>343.5</v>
      </c>
      <c r="F176" s="413" t="str">
        <f>'Visual chart Edit'!K179</f>
        <v>DFR</v>
      </c>
      <c r="G176" s="413" t="str">
        <f>'Visual chart Edit'!L179</f>
        <v>E</v>
      </c>
      <c r="H176" s="413"/>
      <c r="I176" s="413"/>
      <c r="J176" s="413"/>
      <c r="K176" s="413"/>
      <c r="L176" s="479" t="s">
        <v>1582</v>
      </c>
    </row>
    <row r="177" spans="1:13" hidden="1" x14ac:dyDescent="0.25">
      <c r="A177" s="413">
        <f>+SUBTOTAL(3,$B$4:B177)</f>
        <v>26</v>
      </c>
      <c r="B177" s="413" t="str">
        <f>'Visual chart Edit'!B180</f>
        <v>27/8</v>
      </c>
      <c r="C177" s="413" t="str">
        <f>'Visual chart Edit'!C180</f>
        <v>DA+0</v>
      </c>
      <c r="D177" s="413" t="s">
        <v>1308</v>
      </c>
      <c r="E177" s="465">
        <f>'Visual chart Edit'!I180</f>
        <v>392</v>
      </c>
      <c r="F177" s="413" t="str">
        <f>'Visual chart Edit'!K180</f>
        <v>DFR</v>
      </c>
      <c r="G177" s="413" t="str">
        <f>'Visual chart Edit'!L180</f>
        <v>E</v>
      </c>
      <c r="H177" s="413"/>
      <c r="I177" s="413"/>
      <c r="J177" s="413"/>
      <c r="K177" s="413"/>
    </row>
    <row r="178" spans="1:13" hidden="1" x14ac:dyDescent="0.25">
      <c r="A178" s="413">
        <f>+SUBTOTAL(3,$B$4:B178)</f>
        <v>26</v>
      </c>
      <c r="B178" s="413" t="str">
        <f>'Visual chart Edit'!B181</f>
        <v>27/9</v>
      </c>
      <c r="C178" s="413" t="str">
        <f>'Visual chart Edit'!C181</f>
        <v>DA+0</v>
      </c>
      <c r="D178" s="413" t="s">
        <v>1308</v>
      </c>
      <c r="E178" s="465">
        <f>'Visual chart Edit'!I181</f>
        <v>381.1</v>
      </c>
      <c r="F178" s="413" t="str">
        <f>'Visual chart Edit'!K181</f>
        <v>DFR</v>
      </c>
      <c r="G178" s="413" t="str">
        <f>'Visual chart Edit'!L181</f>
        <v>E</v>
      </c>
      <c r="H178" s="413"/>
      <c r="I178" s="413"/>
      <c r="J178" s="413"/>
      <c r="K178" s="413"/>
    </row>
    <row r="179" spans="1:13" hidden="1" x14ac:dyDescent="0.25">
      <c r="A179" s="413">
        <f>+SUBTOTAL(3,$B$4:B179)</f>
        <v>26</v>
      </c>
      <c r="B179" s="413" t="str">
        <f>'Visual chart Edit'!B182</f>
        <v>27/10</v>
      </c>
      <c r="C179" s="413" t="str">
        <f>'Visual chart Edit'!C182</f>
        <v>DA+3</v>
      </c>
      <c r="D179" s="413" t="s">
        <v>1308</v>
      </c>
      <c r="E179" s="465">
        <f>'Visual chart Edit'!I182</f>
        <v>366.3</v>
      </c>
      <c r="F179" s="413" t="str">
        <f>'Visual chart Edit'!K182</f>
        <v>DFR</v>
      </c>
      <c r="G179" s="413" t="str">
        <f>'Visual chart Edit'!L182</f>
        <v>E</v>
      </c>
      <c r="H179" s="413"/>
      <c r="I179" s="413"/>
      <c r="J179" s="413"/>
      <c r="K179" s="413"/>
    </row>
    <row r="180" spans="1:13" hidden="1" x14ac:dyDescent="0.25">
      <c r="A180" s="413">
        <f>+SUBTOTAL(3,$B$4:B180)</f>
        <v>26</v>
      </c>
      <c r="B180" s="413" t="str">
        <f>'Visual chart Edit'!B183</f>
        <v>27/11</v>
      </c>
      <c r="C180" s="413" t="str">
        <f>'Visual chart Edit'!C183</f>
        <v>DA+3</v>
      </c>
      <c r="D180" s="413" t="s">
        <v>1308</v>
      </c>
      <c r="E180" s="465">
        <f>'Visual chart Edit'!I183</f>
        <v>420.1</v>
      </c>
      <c r="F180" s="413" t="str">
        <f>'Visual chart Edit'!K183</f>
        <v>DRY</v>
      </c>
      <c r="G180" s="413" t="str">
        <f>'Visual chart Edit'!L183</f>
        <v>E</v>
      </c>
      <c r="H180" s="413"/>
      <c r="I180" s="413"/>
      <c r="J180" s="413"/>
      <c r="K180" s="413"/>
    </row>
    <row r="181" spans="1:13" hidden="1" x14ac:dyDescent="0.25">
      <c r="A181" s="413">
        <f>+SUBTOTAL(3,$B$4:B181)</f>
        <v>26</v>
      </c>
      <c r="B181" s="413" t="str">
        <f>'Visual chart Edit'!B184</f>
        <v>27/12</v>
      </c>
      <c r="C181" s="413" t="str">
        <f>'Visual chart Edit'!C184</f>
        <v>DA+3</v>
      </c>
      <c r="D181" s="413" t="s">
        <v>1308</v>
      </c>
      <c r="E181" s="465">
        <f>'Visual chart Edit'!I184</f>
        <v>420.8</v>
      </c>
      <c r="F181" s="413" t="str">
        <f>'Visual chart Edit'!K184</f>
        <v>Sandy</v>
      </c>
      <c r="G181" s="413" t="str">
        <f>'Visual chart Edit'!L184</f>
        <v>E</v>
      </c>
      <c r="H181" s="413"/>
      <c r="I181" s="413"/>
      <c r="J181" s="413"/>
      <c r="K181" s="413"/>
    </row>
    <row r="182" spans="1:13" hidden="1" x14ac:dyDescent="0.25">
      <c r="A182" s="413">
        <f>+SUBTOTAL(3,$B$4:B182)</f>
        <v>26</v>
      </c>
      <c r="B182" s="413" t="str">
        <f>'Visual chart Edit'!B185</f>
        <v>28/0</v>
      </c>
      <c r="C182" s="413" t="str">
        <f>'Visual chart Edit'!C185</f>
        <v>DB2+0</v>
      </c>
      <c r="D182" s="413" t="s">
        <v>1308</v>
      </c>
      <c r="E182" s="465">
        <f>'Visual chart Edit'!I185</f>
        <v>406.6</v>
      </c>
      <c r="F182" s="413" t="str">
        <f>'Visual chart Edit'!K185</f>
        <v>DFR</v>
      </c>
      <c r="G182" s="413" t="str">
        <f>'Visual chart Edit'!L185</f>
        <v>E</v>
      </c>
      <c r="H182" s="413"/>
      <c r="I182" s="413"/>
      <c r="J182" s="413"/>
      <c r="K182" s="413"/>
    </row>
    <row r="183" spans="1:13" hidden="1" x14ac:dyDescent="0.25">
      <c r="A183" s="413">
        <f>+SUBTOTAL(3,$B$4:B183)</f>
        <v>26</v>
      </c>
      <c r="B183" s="413" t="str">
        <f>'Visual chart Edit'!B186</f>
        <v>28/1</v>
      </c>
      <c r="C183" s="413" t="str">
        <f>'Visual chart Edit'!C186</f>
        <v>DA+0</v>
      </c>
      <c r="D183" s="413" t="s">
        <v>1308</v>
      </c>
      <c r="E183" s="465">
        <f>'Visual chart Edit'!I186</f>
        <v>379.6</v>
      </c>
      <c r="F183" s="413" t="str">
        <f>'Visual chart Edit'!K186</f>
        <v>DRY</v>
      </c>
      <c r="G183" s="413" t="str">
        <f>'Visual chart Edit'!L186</f>
        <v>E</v>
      </c>
      <c r="H183" s="413"/>
      <c r="I183" s="413"/>
      <c r="J183" s="413"/>
      <c r="K183" s="413"/>
    </row>
    <row r="184" spans="1:13" hidden="1" x14ac:dyDescent="0.25">
      <c r="A184" s="413">
        <f>+SUBTOTAL(3,$B$4:B184)</f>
        <v>26</v>
      </c>
      <c r="B184" s="413" t="str">
        <f>'Visual chart Edit'!B187</f>
        <v>28/2</v>
      </c>
      <c r="C184" s="413" t="str">
        <f>'Visual chart Edit'!C187</f>
        <v>DA+0</v>
      </c>
      <c r="D184" s="413" t="s">
        <v>1309</v>
      </c>
      <c r="E184" s="465">
        <f>'Visual chart Edit'!I187</f>
        <v>385</v>
      </c>
      <c r="F184" s="413" t="str">
        <f>'Visual chart Edit'!K187</f>
        <v>DFR</v>
      </c>
      <c r="G184" s="413" t="str">
        <f>'Visual chart Edit'!L187</f>
        <v>E</v>
      </c>
      <c r="H184" s="413"/>
      <c r="I184" s="413"/>
      <c r="J184" s="413"/>
      <c r="K184" s="413"/>
    </row>
    <row r="185" spans="1:13" hidden="1" x14ac:dyDescent="0.25">
      <c r="A185" s="413">
        <f>+SUBTOTAL(3,$B$4:B185)</f>
        <v>26</v>
      </c>
      <c r="B185" s="413" t="str">
        <f>'Visual chart Edit'!B188</f>
        <v>28/3</v>
      </c>
      <c r="C185" s="413" t="str">
        <f>'Visual chart Edit'!C188</f>
        <v>DA+0</v>
      </c>
      <c r="D185" s="413" t="s">
        <v>1309</v>
      </c>
      <c r="E185" s="465">
        <f>'Visual chart Edit'!I188</f>
        <v>369</v>
      </c>
      <c r="F185" s="413" t="str">
        <f>'Visual chart Edit'!K188</f>
        <v>DFR</v>
      </c>
      <c r="G185" s="413" t="str">
        <f>'Visual chart Edit'!L188</f>
        <v>E</v>
      </c>
      <c r="H185" s="413"/>
      <c r="I185" s="413"/>
      <c r="J185" s="413"/>
      <c r="K185" s="413"/>
    </row>
    <row r="186" spans="1:13" hidden="1" x14ac:dyDescent="0.25">
      <c r="A186" s="413">
        <f>+SUBTOTAL(3,$B$4:B186)</f>
        <v>26</v>
      </c>
      <c r="B186" s="413" t="str">
        <f>'Visual chart Edit'!B189</f>
        <v>28/4</v>
      </c>
      <c r="C186" s="413" t="str">
        <f>'Visual chart Edit'!C189</f>
        <v>DA+0</v>
      </c>
      <c r="D186" s="413" t="s">
        <v>1309</v>
      </c>
      <c r="E186" s="465">
        <f>'Visual chart Edit'!I189</f>
        <v>409</v>
      </c>
      <c r="F186" s="413" t="str">
        <f>'Visual chart Edit'!K189</f>
        <v>Sandy</v>
      </c>
      <c r="G186" s="413" t="str">
        <f>'Visual chart Edit'!L189</f>
        <v>E</v>
      </c>
      <c r="H186" s="413"/>
      <c r="I186" s="413"/>
      <c r="J186" s="413"/>
      <c r="K186" s="413"/>
      <c r="L186" s="479" t="s">
        <v>1584</v>
      </c>
      <c r="M186" s="479"/>
    </row>
    <row r="187" spans="1:13" hidden="1" x14ac:dyDescent="0.25">
      <c r="A187" s="413">
        <f>+SUBTOTAL(3,$B$4:B187)</f>
        <v>26</v>
      </c>
      <c r="B187" s="413" t="str">
        <f>'Visual chart Edit'!B190</f>
        <v>28/5</v>
      </c>
      <c r="C187" s="413" t="str">
        <f>'Visual chart Edit'!C190</f>
        <v>DA+9</v>
      </c>
      <c r="D187" s="413" t="s">
        <v>1309</v>
      </c>
      <c r="E187" s="465">
        <f>'Visual chart Edit'!I190</f>
        <v>422</v>
      </c>
      <c r="F187" s="413" t="str">
        <f>'Visual chart Edit'!K190</f>
        <v>Sandy</v>
      </c>
      <c r="G187" s="413" t="str">
        <f>'Visual chart Edit'!L190</f>
        <v>E</v>
      </c>
      <c r="H187" s="413"/>
      <c r="I187" s="413"/>
      <c r="J187" s="413"/>
      <c r="K187" s="413"/>
    </row>
    <row r="188" spans="1:13" hidden="1" x14ac:dyDescent="0.25">
      <c r="A188" s="413">
        <f>+SUBTOTAL(3,$B$4:B188)</f>
        <v>26</v>
      </c>
      <c r="B188" s="413" t="str">
        <f>'Visual chart Edit'!B191</f>
        <v>28/6</v>
      </c>
      <c r="C188" s="413" t="str">
        <f>'Visual chart Edit'!C191</f>
        <v>DA+6</v>
      </c>
      <c r="D188" s="413" t="s">
        <v>1309</v>
      </c>
      <c r="E188" s="465">
        <f>'Visual chart Edit'!I191</f>
        <v>370</v>
      </c>
      <c r="F188" s="413" t="str">
        <f>'Visual chart Edit'!K191</f>
        <v>Sandy</v>
      </c>
      <c r="G188" s="413" t="str">
        <f>'Visual chart Edit'!L191</f>
        <v>E</v>
      </c>
      <c r="H188" s="413"/>
      <c r="I188" s="413"/>
      <c r="J188" s="413"/>
      <c r="K188" s="413"/>
    </row>
    <row r="189" spans="1:13" hidden="1" x14ac:dyDescent="0.25">
      <c r="A189" s="413">
        <f>+SUBTOTAL(3,$B$4:B189)</f>
        <v>26</v>
      </c>
      <c r="B189" s="413" t="str">
        <f>'Visual chart Edit'!B192</f>
        <v>28/7</v>
      </c>
      <c r="C189" s="413" t="str">
        <f>'Visual chart Edit'!C192</f>
        <v>DA+3</v>
      </c>
      <c r="D189" s="413" t="s">
        <v>1309</v>
      </c>
      <c r="E189" s="465">
        <f>'Visual chart Edit'!I192</f>
        <v>464</v>
      </c>
      <c r="F189" s="413" t="str">
        <f>'Visual chart Edit'!K192</f>
        <v>Sandy</v>
      </c>
      <c r="G189" s="413" t="str">
        <f>'Visual chart Edit'!L192</f>
        <v>E</v>
      </c>
      <c r="H189" s="413"/>
      <c r="I189" s="413"/>
      <c r="J189" s="413"/>
      <c r="K189" s="413"/>
    </row>
    <row r="190" spans="1:13" hidden="1" x14ac:dyDescent="0.25">
      <c r="A190" s="413">
        <f>+SUBTOTAL(3,$B$4:B190)</f>
        <v>26</v>
      </c>
      <c r="B190" s="413" t="str">
        <f>'Visual chart Edit'!B193</f>
        <v>28/8</v>
      </c>
      <c r="C190" s="413" t="str">
        <f>'Visual chart Edit'!C193</f>
        <v>DA+3</v>
      </c>
      <c r="D190" s="413" t="s">
        <v>1309</v>
      </c>
      <c r="E190" s="465">
        <f>'Visual chart Edit'!I193</f>
        <v>375</v>
      </c>
      <c r="F190" s="413" t="str">
        <f>'Visual chart Edit'!K193</f>
        <v>Sandy</v>
      </c>
      <c r="G190" s="413" t="str">
        <f>'Visual chart Edit'!L193</f>
        <v>E</v>
      </c>
      <c r="H190" s="413"/>
      <c r="I190" s="413"/>
      <c r="J190" s="413"/>
      <c r="K190" s="413"/>
    </row>
    <row r="191" spans="1:13" hidden="1" x14ac:dyDescent="0.25">
      <c r="A191" s="413">
        <f>+SUBTOTAL(3,$B$4:B191)</f>
        <v>26</v>
      </c>
      <c r="B191" s="413" t="str">
        <f>'Visual chart Edit'!B194</f>
        <v>29/0</v>
      </c>
      <c r="C191" s="413" t="str">
        <f>'Visual chart Edit'!C194</f>
        <v>DB1+0</v>
      </c>
      <c r="D191" s="413" t="s">
        <v>1309</v>
      </c>
      <c r="E191" s="465">
        <f>'Visual chart Edit'!I194</f>
        <v>465.5</v>
      </c>
      <c r="F191" s="413" t="str">
        <f>'Visual chart Edit'!K194</f>
        <v>DRY</v>
      </c>
      <c r="G191" s="413" t="str">
        <f>'Visual chart Edit'!L194</f>
        <v>E</v>
      </c>
      <c r="H191" s="413"/>
      <c r="I191" s="413"/>
      <c r="J191" s="413"/>
      <c r="K191" s="413"/>
    </row>
    <row r="192" spans="1:13" hidden="1" x14ac:dyDescent="0.25">
      <c r="A192" s="413">
        <f>+SUBTOTAL(3,$B$4:B192)</f>
        <v>26</v>
      </c>
      <c r="B192" s="413" t="str">
        <f>'Visual chart Edit'!B195</f>
        <v>29/1</v>
      </c>
      <c r="C192" s="413" t="str">
        <f>'Visual chart Edit'!C195</f>
        <v>DA+3</v>
      </c>
      <c r="D192" s="413" t="s">
        <v>1309</v>
      </c>
      <c r="E192" s="465">
        <f>'Visual chart Edit'!I195</f>
        <v>365.6</v>
      </c>
      <c r="F192" s="413" t="str">
        <f>'Visual chart Edit'!K195</f>
        <v>DRY</v>
      </c>
      <c r="G192" s="413" t="str">
        <f>'Visual chart Edit'!L195</f>
        <v>E</v>
      </c>
      <c r="H192" s="413"/>
      <c r="I192" s="413"/>
      <c r="J192" s="413"/>
      <c r="K192" s="413"/>
    </row>
    <row r="193" spans="1:25" hidden="1" x14ac:dyDescent="0.25">
      <c r="A193" s="413">
        <f>+SUBTOTAL(3,$B$4:B193)</f>
        <v>26</v>
      </c>
      <c r="B193" s="413" t="str">
        <f>'Visual chart Edit'!B196</f>
        <v>29/2</v>
      </c>
      <c r="C193" s="413" t="str">
        <f>'Visual chart Edit'!C196</f>
        <v>DA+3</v>
      </c>
      <c r="D193" s="413" t="s">
        <v>1309</v>
      </c>
      <c r="E193" s="465">
        <f>'Visual chart Edit'!I196</f>
        <v>424</v>
      </c>
      <c r="F193" s="413" t="str">
        <f>'Visual chart Edit'!K196</f>
        <v>DRY</v>
      </c>
      <c r="G193" s="413" t="str">
        <f>'Visual chart Edit'!L196</f>
        <v>E</v>
      </c>
      <c r="H193" s="413"/>
      <c r="I193" s="413"/>
      <c r="J193" s="413"/>
      <c r="K193" s="413"/>
    </row>
    <row r="194" spans="1:25" hidden="1" x14ac:dyDescent="0.25">
      <c r="A194" s="413">
        <f>+SUBTOTAL(3,$B$4:B194)</f>
        <v>26</v>
      </c>
      <c r="B194" s="413" t="str">
        <f>'Visual chart Edit'!B197</f>
        <v>29/3</v>
      </c>
      <c r="C194" s="413" t="str">
        <f>'Visual chart Edit'!C197</f>
        <v>DA+0</v>
      </c>
      <c r="D194" s="413" t="s">
        <v>1309</v>
      </c>
      <c r="E194" s="465">
        <f>'Visual chart Edit'!I197</f>
        <v>399</v>
      </c>
      <c r="F194" s="413" t="str">
        <f>'Visual chart Edit'!K197</f>
        <v>Sandy</v>
      </c>
      <c r="G194" s="413" t="str">
        <f>'Visual chart Edit'!L197</f>
        <v>E</v>
      </c>
      <c r="H194" s="413"/>
      <c r="I194" s="413"/>
      <c r="J194" s="413"/>
      <c r="K194" s="413"/>
    </row>
    <row r="195" spans="1:25" hidden="1" x14ac:dyDescent="0.25">
      <c r="A195" s="413">
        <f>+SUBTOTAL(3,$B$4:B195)</f>
        <v>26</v>
      </c>
      <c r="B195" s="413" t="str">
        <f>'Visual chart Edit'!B198</f>
        <v>29/4</v>
      </c>
      <c r="C195" s="413" t="str">
        <f>'Visual chart Edit'!C198</f>
        <v>DA+6</v>
      </c>
      <c r="D195" s="413" t="s">
        <v>1309</v>
      </c>
      <c r="E195" s="465">
        <f>'Visual chart Edit'!I198</f>
        <v>440</v>
      </c>
      <c r="F195" s="413" t="str">
        <f>'Visual chart Edit'!K198</f>
        <v>DRY</v>
      </c>
      <c r="G195" s="413" t="str">
        <f>'Visual chart Edit'!L198</f>
        <v>E</v>
      </c>
      <c r="H195" s="413"/>
      <c r="I195" s="413"/>
      <c r="J195" s="413"/>
      <c r="K195" s="413"/>
    </row>
    <row r="196" spans="1:25" hidden="1" x14ac:dyDescent="0.25">
      <c r="A196" s="413">
        <f>+SUBTOTAL(3,$B$4:B196)</f>
        <v>26</v>
      </c>
      <c r="B196" s="413" t="str">
        <f>'Visual chart Edit'!B199</f>
        <v>30/0</v>
      </c>
      <c r="C196" s="413" t="str">
        <f>'Visual chart Edit'!C199</f>
        <v>DC1+0</v>
      </c>
      <c r="D196" s="413" t="s">
        <v>1309</v>
      </c>
      <c r="E196" s="465">
        <f>'Visual chart Edit'!I199</f>
        <v>382.1</v>
      </c>
      <c r="F196" s="413" t="str">
        <f>'Visual chart Edit'!K199</f>
        <v>DRY</v>
      </c>
      <c r="G196" s="413" t="str">
        <f>'Visual chart Edit'!L199</f>
        <v>E</v>
      </c>
      <c r="H196" s="413"/>
      <c r="I196" s="413"/>
      <c r="J196" s="413"/>
      <c r="K196" s="413"/>
    </row>
    <row r="197" spans="1:25" hidden="1" x14ac:dyDescent="0.25">
      <c r="A197" s="413">
        <f>+SUBTOTAL(3,$B$4:B197)</f>
        <v>26</v>
      </c>
      <c r="B197" s="413" t="str">
        <f>'Visual chart Edit'!B200</f>
        <v>30/1</v>
      </c>
      <c r="C197" s="413" t="str">
        <f>'Visual chart Edit'!C200</f>
        <v>DA+0</v>
      </c>
      <c r="D197" s="413" t="s">
        <v>1309</v>
      </c>
      <c r="E197" s="465">
        <f>'Visual chart Edit'!I200</f>
        <v>388.9</v>
      </c>
      <c r="F197" s="413" t="str">
        <f>'Visual chart Edit'!K200</f>
        <v>Sandy</v>
      </c>
      <c r="G197" s="413" t="str">
        <f>'Visual chart Edit'!L200</f>
        <v>E</v>
      </c>
      <c r="H197" s="413"/>
      <c r="I197" s="413"/>
      <c r="J197" s="413"/>
      <c r="K197" s="413"/>
    </row>
    <row r="198" spans="1:25" hidden="1" x14ac:dyDescent="0.25">
      <c r="A198" s="413">
        <f>+SUBTOTAL(3,$B$4:B198)</f>
        <v>26</v>
      </c>
      <c r="B198" s="413" t="str">
        <f>'Visual chart Edit'!B201</f>
        <v>30/2</v>
      </c>
      <c r="C198" s="413" t="str">
        <f>'Visual chart Edit'!C201</f>
        <v>DA+0</v>
      </c>
      <c r="D198" s="413" t="s">
        <v>1309</v>
      </c>
      <c r="E198" s="465">
        <f>'Visual chart Edit'!I201</f>
        <v>445</v>
      </c>
      <c r="F198" s="413" t="str">
        <f>'Visual chart Edit'!K201</f>
        <v>Sandy</v>
      </c>
      <c r="G198" s="413" t="str">
        <f>'Visual chart Edit'!L201</f>
        <v>E</v>
      </c>
      <c r="H198" s="413"/>
      <c r="I198" s="413"/>
      <c r="J198" s="413"/>
      <c r="K198" s="413"/>
    </row>
    <row r="199" spans="1:25" hidden="1" x14ac:dyDescent="0.25">
      <c r="A199" s="413">
        <f>+SUBTOTAL(3,$B$4:B199)</f>
        <v>26</v>
      </c>
      <c r="B199" s="413" t="str">
        <f>'Visual chart Edit'!B202</f>
        <v>30/3</v>
      </c>
      <c r="C199" s="413" t="str">
        <f>'Visual chart Edit'!C202</f>
        <v>DA+3</v>
      </c>
      <c r="D199" s="413" t="s">
        <v>1309</v>
      </c>
      <c r="E199" s="465">
        <f>'Visual chart Edit'!I202</f>
        <v>395</v>
      </c>
      <c r="F199" s="413" t="str">
        <f>'Visual chart Edit'!K202</f>
        <v>Sandy</v>
      </c>
      <c r="G199" s="413" t="str">
        <f>'Visual chart Edit'!L202</f>
        <v>E</v>
      </c>
      <c r="H199" s="413"/>
      <c r="I199" s="413"/>
      <c r="J199" s="413"/>
      <c r="K199" s="413"/>
    </row>
    <row r="200" spans="1:25" s="722" customFormat="1" hidden="1" x14ac:dyDescent="0.25">
      <c r="A200" s="718">
        <f>+SUBTOTAL(3,$B$4:B200)</f>
        <v>26</v>
      </c>
      <c r="B200" s="718" t="str">
        <f>'Visual chart Edit'!B203</f>
        <v>30/4</v>
      </c>
      <c r="C200" s="718" t="str">
        <f>'Visual chart Edit'!C203</f>
        <v>DA+3</v>
      </c>
      <c r="D200" s="718" t="s">
        <v>1309</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hidden="1" x14ac:dyDescent="0.25">
      <c r="A201" s="413">
        <f>+SUBTOTAL(3,$B$4:B201)</f>
        <v>26</v>
      </c>
      <c r="B201" s="413" t="str">
        <f>'Visual chart Edit'!B204</f>
        <v>30/5</v>
      </c>
      <c r="C201" s="413" t="str">
        <f>'Visual chart Edit'!C204</f>
        <v>DA+3</v>
      </c>
      <c r="D201" s="413" t="s">
        <v>1309</v>
      </c>
      <c r="E201" s="465">
        <f>'Visual chart Edit'!I204</f>
        <v>442</v>
      </c>
      <c r="F201" s="413" t="str">
        <f>'Visual chart Edit'!K204</f>
        <v>DRY</v>
      </c>
      <c r="G201" s="413" t="str">
        <f>'Visual chart Edit'!L204</f>
        <v>E</v>
      </c>
      <c r="H201" s="413"/>
      <c r="I201" s="413"/>
      <c r="J201" s="413"/>
      <c r="K201" s="413"/>
    </row>
    <row r="202" spans="1:25" hidden="1" x14ac:dyDescent="0.25">
      <c r="A202" s="413">
        <f>+SUBTOTAL(3,$B$4:B202)</f>
        <v>26</v>
      </c>
      <c r="B202" s="413" t="str">
        <f>'Visual chart Edit'!B205</f>
        <v>30/6</v>
      </c>
      <c r="C202" s="413" t="str">
        <f>'Visual chart Edit'!C205</f>
        <v>DA+0</v>
      </c>
      <c r="D202" s="413" t="s">
        <v>1309</v>
      </c>
      <c r="E202" s="465">
        <f>'Visual chart Edit'!I205</f>
        <v>314</v>
      </c>
      <c r="F202" s="413" t="str">
        <f>'Visual chart Edit'!K205</f>
        <v>DRY</v>
      </c>
      <c r="G202" s="413" t="str">
        <f>'Visual chart Edit'!L205</f>
        <v>E</v>
      </c>
      <c r="H202" s="413"/>
      <c r="I202" s="413"/>
      <c r="J202" s="413"/>
      <c r="K202" s="413"/>
    </row>
    <row r="203" spans="1:25" hidden="1" x14ac:dyDescent="0.25">
      <c r="A203" s="413">
        <f>+SUBTOTAL(3,$B$4:B203)</f>
        <v>26</v>
      </c>
      <c r="B203" s="413" t="str">
        <f>'Visual chart Edit'!B206</f>
        <v>31/0</v>
      </c>
      <c r="C203" s="413" t="str">
        <f>'Visual chart Edit'!C206</f>
        <v>DB2+0</v>
      </c>
      <c r="D203" s="413" t="s">
        <v>1309</v>
      </c>
      <c r="E203" s="465">
        <f>'Visual chart Edit'!I206</f>
        <v>347.4</v>
      </c>
      <c r="F203" s="413" t="str">
        <f>'Visual chart Edit'!K206</f>
        <v>Sandy</v>
      </c>
      <c r="G203" s="413" t="str">
        <f>'Visual chart Edit'!L206</f>
        <v>E</v>
      </c>
      <c r="H203" s="413"/>
      <c r="I203" s="413"/>
      <c r="J203" s="413"/>
      <c r="K203" s="413"/>
    </row>
    <row r="204" spans="1:25" hidden="1" x14ac:dyDescent="0.25">
      <c r="A204" s="413">
        <f>+SUBTOTAL(3,$B$4:B204)</f>
        <v>26</v>
      </c>
      <c r="B204" s="413" t="str">
        <f>'Visual chart Edit'!B207</f>
        <v>31/1</v>
      </c>
      <c r="C204" s="413" t="str">
        <f>'Visual chart Edit'!C207</f>
        <v>DA+0</v>
      </c>
      <c r="D204" s="413" t="s">
        <v>1309</v>
      </c>
      <c r="E204" s="465">
        <f>'Visual chart Edit'!I207</f>
        <v>383.6</v>
      </c>
      <c r="F204" s="413" t="str">
        <f>'Visual chart Edit'!K207</f>
        <v>DRY</v>
      </c>
      <c r="G204" s="413" t="str">
        <f>'Visual chart Edit'!L207</f>
        <v>E</v>
      </c>
      <c r="H204" s="413"/>
      <c r="I204" s="413"/>
      <c r="J204" s="413"/>
      <c r="K204" s="413"/>
    </row>
    <row r="205" spans="1:25" hidden="1" x14ac:dyDescent="0.25">
      <c r="A205" s="413">
        <f>+SUBTOTAL(3,$B$4:B205)</f>
        <v>26</v>
      </c>
      <c r="B205" s="413" t="str">
        <f>'Visual chart Edit'!B208</f>
        <v>31/2</v>
      </c>
      <c r="C205" s="413" t="str">
        <f>'Visual chart Edit'!C208</f>
        <v>DA+0</v>
      </c>
      <c r="D205" s="413" t="s">
        <v>1309</v>
      </c>
      <c r="E205" s="465">
        <f>'Visual chart Edit'!I208</f>
        <v>366</v>
      </c>
      <c r="F205" s="413" t="str">
        <f>'Visual chart Edit'!K208</f>
        <v>DRY</v>
      </c>
      <c r="G205" s="413" t="str">
        <f>'Visual chart Edit'!L208</f>
        <v>E</v>
      </c>
      <c r="H205" s="413"/>
      <c r="I205" s="413"/>
      <c r="J205" s="413"/>
      <c r="K205" s="413"/>
    </row>
    <row r="206" spans="1:25" hidden="1" x14ac:dyDescent="0.25">
      <c r="A206" s="413">
        <f>+SUBTOTAL(3,$B$4:B206)</f>
        <v>26</v>
      </c>
      <c r="B206" s="413" t="str">
        <f>'Visual chart Edit'!B209</f>
        <v>32/0</v>
      </c>
      <c r="C206" s="413" t="str">
        <f>'Visual chart Edit'!C209</f>
        <v>DC1+0</v>
      </c>
      <c r="D206" s="413" t="s">
        <v>1309</v>
      </c>
      <c r="E206" s="465">
        <f>'Visual chart Edit'!I209</f>
        <v>332.9</v>
      </c>
      <c r="F206" s="413" t="str">
        <f>'Visual chart Edit'!K209</f>
        <v>DRY</v>
      </c>
      <c r="G206" s="413" t="str">
        <f>'Visual chart Edit'!L209</f>
        <v>E</v>
      </c>
      <c r="H206" s="413"/>
      <c r="I206" s="413"/>
      <c r="J206" s="413"/>
      <c r="K206" s="413"/>
    </row>
    <row r="207" spans="1:25" hidden="1" x14ac:dyDescent="0.25">
      <c r="A207" s="413">
        <f>+SUBTOTAL(3,$B$4:B207)</f>
        <v>26</v>
      </c>
      <c r="B207" s="413" t="str">
        <f>'Visual chart Edit'!B210</f>
        <v>32/1</v>
      </c>
      <c r="C207" s="413" t="str">
        <f>'Visual chart Edit'!C210</f>
        <v>DA+3</v>
      </c>
      <c r="D207" s="413" t="s">
        <v>1310</v>
      </c>
      <c r="E207" s="465">
        <f>'Visual chart Edit'!I210</f>
        <v>402.7</v>
      </c>
      <c r="F207" s="413" t="str">
        <f>'Visual chart Edit'!K210</f>
        <v>Sandy</v>
      </c>
      <c r="G207" s="413" t="str">
        <f>'Visual chart Edit'!L210</f>
        <v>E</v>
      </c>
      <c r="H207" s="413"/>
      <c r="I207" s="413"/>
      <c r="J207" s="413"/>
      <c r="K207" s="413"/>
    </row>
    <row r="208" spans="1:25" hidden="1" x14ac:dyDescent="0.25">
      <c r="A208" s="413">
        <f>+SUBTOTAL(3,$B$4:B208)</f>
        <v>26</v>
      </c>
      <c r="B208" s="413" t="str">
        <f>'Visual chart Edit'!B211</f>
        <v>32/2</v>
      </c>
      <c r="C208" s="413" t="str">
        <f>'Visual chart Edit'!C211</f>
        <v>DA+3</v>
      </c>
      <c r="D208" s="413" t="s">
        <v>1310</v>
      </c>
      <c r="E208" s="465">
        <f>'Visual chart Edit'!I211</f>
        <v>428.8</v>
      </c>
      <c r="F208" s="413" t="str">
        <f>'Visual chart Edit'!K211</f>
        <v>DRY</v>
      </c>
      <c r="G208" s="413" t="str">
        <f>'Visual chart Edit'!L211</f>
        <v>E</v>
      </c>
      <c r="H208" s="413"/>
      <c r="I208" s="413"/>
      <c r="J208" s="413"/>
      <c r="K208" s="413"/>
    </row>
    <row r="209" spans="1:11" hidden="1" x14ac:dyDescent="0.25">
      <c r="A209" s="413">
        <f>+SUBTOTAL(3,$B$4:B209)</f>
        <v>26</v>
      </c>
      <c r="B209" s="413" t="str">
        <f>'Visual chart Edit'!B212</f>
        <v>32/3</v>
      </c>
      <c r="C209" s="413" t="str">
        <f>'Visual chart Edit'!C212</f>
        <v>DA+0</v>
      </c>
      <c r="D209" s="413" t="s">
        <v>1310</v>
      </c>
      <c r="E209" s="465">
        <f>'Visual chart Edit'!I212</f>
        <v>410.9</v>
      </c>
      <c r="F209" s="413" t="str">
        <f>'Visual chart Edit'!K212</f>
        <v>Sandy</v>
      </c>
      <c r="G209" s="413" t="str">
        <f>'Visual chart Edit'!L212</f>
        <v>E</v>
      </c>
      <c r="H209" s="413"/>
      <c r="I209" s="413"/>
      <c r="J209" s="413"/>
      <c r="K209" s="413"/>
    </row>
    <row r="210" spans="1:11" hidden="1" x14ac:dyDescent="0.25">
      <c r="A210" s="413">
        <f>+SUBTOTAL(3,$B$4:B210)</f>
        <v>26</v>
      </c>
      <c r="B210" s="413" t="str">
        <f>'Visual chart Edit'!B213</f>
        <v>32/4</v>
      </c>
      <c r="C210" s="413" t="str">
        <f>'Visual chart Edit'!C213</f>
        <v>DA+0</v>
      </c>
      <c r="D210" s="413" t="s">
        <v>1310</v>
      </c>
      <c r="E210" s="465">
        <f>'Visual chart Edit'!I213</f>
        <v>381.1</v>
      </c>
      <c r="F210" s="413" t="str">
        <f>'Visual chart Edit'!K213</f>
        <v>Sandy</v>
      </c>
      <c r="G210" s="413" t="str">
        <f>'Visual chart Edit'!L213</f>
        <v>E</v>
      </c>
      <c r="H210" s="413"/>
      <c r="I210" s="413"/>
      <c r="J210" s="413"/>
      <c r="K210" s="413"/>
    </row>
    <row r="211" spans="1:11" hidden="1" x14ac:dyDescent="0.25">
      <c r="A211" s="413">
        <f>+SUBTOTAL(3,$B$4:B211)</f>
        <v>26</v>
      </c>
      <c r="B211" s="413" t="str">
        <f>'Visual chart Edit'!B214</f>
        <v>33/0</v>
      </c>
      <c r="C211" s="413" t="str">
        <f>'Visual chart Edit'!C214</f>
        <v>DC1+0</v>
      </c>
      <c r="D211" s="413" t="s">
        <v>1310</v>
      </c>
      <c r="E211" s="465">
        <f>'Visual chart Edit'!I214</f>
        <v>451.5</v>
      </c>
      <c r="F211" s="413" t="str">
        <f>'Visual chart Edit'!K214</f>
        <v>DRY</v>
      </c>
      <c r="G211" s="413" t="str">
        <f>'Visual chart Edit'!L214</f>
        <v>E</v>
      </c>
      <c r="H211" s="413"/>
      <c r="I211" s="413"/>
      <c r="J211" s="413"/>
      <c r="K211" s="413"/>
    </row>
    <row r="212" spans="1:11" hidden="1" x14ac:dyDescent="0.25">
      <c r="A212" s="413">
        <f>+SUBTOTAL(3,$B$4:B212)</f>
        <v>26</v>
      </c>
      <c r="B212" s="413" t="str">
        <f>'Visual chart Edit'!B215</f>
        <v>33/1</v>
      </c>
      <c r="C212" s="413" t="str">
        <f>'Visual chart Edit'!C215</f>
        <v>DA+0</v>
      </c>
      <c r="D212" s="413" t="s">
        <v>1310</v>
      </c>
      <c r="E212" s="465">
        <f>'Visual chart Edit'!I215</f>
        <v>379.6</v>
      </c>
      <c r="F212" s="413" t="str">
        <f>'Visual chart Edit'!K215</f>
        <v>DRY</v>
      </c>
      <c r="G212" s="413" t="str">
        <f>'Visual chart Edit'!L215</f>
        <v>E</v>
      </c>
      <c r="H212" s="413"/>
      <c r="I212" s="413"/>
      <c r="J212" s="413"/>
      <c r="K212" s="413"/>
    </row>
    <row r="213" spans="1:11" hidden="1" x14ac:dyDescent="0.25">
      <c r="A213" s="413">
        <f>+SUBTOTAL(3,$B$4:B213)</f>
        <v>26</v>
      </c>
      <c r="B213" s="413" t="str">
        <f>'Visual chart Edit'!B216</f>
        <v>34/0</v>
      </c>
      <c r="C213" s="413" t="str">
        <f>'Visual chart Edit'!C216</f>
        <v>DB2+0</v>
      </c>
      <c r="D213" s="413" t="s">
        <v>1310</v>
      </c>
      <c r="E213" s="465">
        <f>'Visual chart Edit'!I216</f>
        <v>292.5</v>
      </c>
      <c r="F213" s="413" t="str">
        <f>'Visual chart Edit'!K216</f>
        <v>DRY</v>
      </c>
      <c r="G213" s="413" t="str">
        <f>'Visual chart Edit'!L216</f>
        <v>E</v>
      </c>
      <c r="H213" s="413"/>
      <c r="I213" s="413"/>
      <c r="J213" s="413"/>
      <c r="K213" s="413"/>
    </row>
    <row r="214" spans="1:11" hidden="1" x14ac:dyDescent="0.25">
      <c r="A214" s="413">
        <f>+SUBTOTAL(3,$B$4:B214)</f>
        <v>26</v>
      </c>
      <c r="B214" s="413" t="str">
        <f>'Visual chart Edit'!B217</f>
        <v>34/1</v>
      </c>
      <c r="C214" s="413" t="str">
        <f>'Visual chart Edit'!C217</f>
        <v>DA+9</v>
      </c>
      <c r="D214" s="413" t="s">
        <v>1310</v>
      </c>
      <c r="E214" s="465">
        <f>'Visual chart Edit'!I217</f>
        <v>432.6</v>
      </c>
      <c r="F214" s="413" t="str">
        <f>'Visual chart Edit'!K217</f>
        <v>Sandy</v>
      </c>
      <c r="G214" s="413" t="str">
        <f>'Visual chart Edit'!L217</f>
        <v>E</v>
      </c>
      <c r="H214" s="413"/>
      <c r="I214" s="413"/>
      <c r="J214" s="413"/>
      <c r="K214" s="413"/>
    </row>
    <row r="215" spans="1:11" hidden="1" x14ac:dyDescent="0.25">
      <c r="A215" s="413">
        <f>+SUBTOTAL(3,$B$4:B215)</f>
        <v>26</v>
      </c>
      <c r="B215" s="413" t="str">
        <f>'Visual chart Edit'!B218</f>
        <v>34/2</v>
      </c>
      <c r="C215" s="413" t="str">
        <f>'Visual chart Edit'!C218</f>
        <v>DA+6</v>
      </c>
      <c r="D215" s="413" t="s">
        <v>1310</v>
      </c>
      <c r="E215" s="465">
        <f>'Visual chart Edit'!I218</f>
        <v>407.5</v>
      </c>
      <c r="F215" s="413" t="str">
        <f>'Visual chart Edit'!K218</f>
        <v>Sandy</v>
      </c>
      <c r="G215" s="413" t="str">
        <f>'Visual chart Edit'!L218</f>
        <v>E</v>
      </c>
      <c r="H215" s="413"/>
      <c r="I215" s="413"/>
      <c r="J215" s="413"/>
      <c r="K215" s="413"/>
    </row>
    <row r="216" spans="1:11" hidden="1" x14ac:dyDescent="0.25">
      <c r="A216" s="413">
        <f>+SUBTOTAL(3,$B$4:B216)</f>
        <v>26</v>
      </c>
      <c r="B216" s="413" t="str">
        <f>'Visual chart Edit'!B219</f>
        <v>34/3</v>
      </c>
      <c r="C216" s="413" t="str">
        <f>'Visual chart Edit'!C219</f>
        <v>DA+0</v>
      </c>
      <c r="D216" s="413" t="s">
        <v>1310</v>
      </c>
      <c r="E216" s="465">
        <f>'Visual chart Edit'!I219</f>
        <v>377</v>
      </c>
      <c r="F216" s="413" t="str">
        <f>'Visual chart Edit'!K219</f>
        <v>Sandy</v>
      </c>
      <c r="G216" s="413" t="str">
        <f>'Visual chart Edit'!L219</f>
        <v>E</v>
      </c>
      <c r="H216" s="413"/>
      <c r="I216" s="413"/>
      <c r="J216" s="413"/>
      <c r="K216" s="413"/>
    </row>
    <row r="217" spans="1:11" hidden="1" x14ac:dyDescent="0.25">
      <c r="A217" s="413">
        <f>+SUBTOTAL(3,$B$4:B217)</f>
        <v>26</v>
      </c>
      <c r="B217" s="413" t="str">
        <f>'Visual chart Edit'!B220</f>
        <v>34/4</v>
      </c>
      <c r="C217" s="413" t="str">
        <f>'Visual chart Edit'!C220</f>
        <v>DA+0</v>
      </c>
      <c r="D217" s="413" t="s">
        <v>1310</v>
      </c>
      <c r="E217" s="465">
        <f>'Visual chart Edit'!I220</f>
        <v>451.6</v>
      </c>
      <c r="F217" s="413" t="str">
        <f>'Visual chart Edit'!K220</f>
        <v>Sandy</v>
      </c>
      <c r="G217" s="413" t="str">
        <f>'Visual chart Edit'!L220</f>
        <v>E</v>
      </c>
      <c r="H217" s="413"/>
      <c r="I217" s="413"/>
      <c r="J217" s="413"/>
      <c r="K217" s="413"/>
    </row>
    <row r="218" spans="1:11" hidden="1" x14ac:dyDescent="0.25">
      <c r="A218" s="413">
        <f>+SUBTOTAL(3,$B$4:B218)</f>
        <v>26</v>
      </c>
      <c r="B218" s="413" t="str">
        <f>'Visual chart Edit'!B221</f>
        <v>35/0</v>
      </c>
      <c r="C218" s="413" t="str">
        <f>'Visual chart Edit'!C221</f>
        <v>DB2+6</v>
      </c>
      <c r="D218" s="413" t="s">
        <v>1310</v>
      </c>
      <c r="E218" s="465">
        <f>'Visual chart Edit'!I221</f>
        <v>379.3</v>
      </c>
      <c r="F218" s="413" t="str">
        <f>'Visual chart Edit'!K221</f>
        <v>Sandy</v>
      </c>
      <c r="G218" s="413" t="str">
        <f>'Visual chart Edit'!L221</f>
        <v>E</v>
      </c>
      <c r="H218" s="413"/>
      <c r="I218" s="413"/>
      <c r="J218" s="413"/>
      <c r="K218" s="413"/>
    </row>
    <row r="219" spans="1:11" hidden="1" x14ac:dyDescent="0.25">
      <c r="A219" s="413">
        <f>+SUBTOTAL(3,$B$4:B219)</f>
        <v>26</v>
      </c>
      <c r="B219" s="413" t="str">
        <f>'Visual chart Edit'!B222</f>
        <v>35/1</v>
      </c>
      <c r="C219" s="413" t="str">
        <f>'Visual chart Edit'!C222</f>
        <v>DA+9</v>
      </c>
      <c r="D219" s="413" t="s">
        <v>1310</v>
      </c>
      <c r="E219" s="465">
        <f>'Visual chart Edit'!I222</f>
        <v>265.60000000000002</v>
      </c>
      <c r="F219" s="413" t="str">
        <f>'Visual chart Edit'!K222</f>
        <v>Sandy</v>
      </c>
      <c r="G219" s="413" t="str">
        <f>'Visual chart Edit'!L222</f>
        <v>E</v>
      </c>
      <c r="H219" s="413"/>
      <c r="I219" s="413"/>
      <c r="J219" s="413"/>
      <c r="K219" s="413"/>
    </row>
    <row r="220" spans="1:11" hidden="1" x14ac:dyDescent="0.25">
      <c r="A220" s="413">
        <f>+SUBTOTAL(3,$B$4:B220)</f>
        <v>26</v>
      </c>
      <c r="B220" s="413" t="str">
        <f>'Visual chart Edit'!B223</f>
        <v>35/2</v>
      </c>
      <c r="C220" s="413" t="str">
        <f>'Visual chart Edit'!C223</f>
        <v>DB1+0</v>
      </c>
      <c r="D220" s="413" t="s">
        <v>1310</v>
      </c>
      <c r="E220" s="465">
        <f>'Visual chart Edit'!I223</f>
        <v>492.4</v>
      </c>
      <c r="F220" s="413" t="str">
        <f>'Visual chart Edit'!K223</f>
        <v>Sandy</v>
      </c>
      <c r="G220" s="413" t="str">
        <f>'Visual chart Edit'!L223</f>
        <v>E</v>
      </c>
      <c r="H220" s="413"/>
      <c r="I220" s="413"/>
      <c r="J220" s="413"/>
      <c r="K220" s="413"/>
    </row>
    <row r="221" spans="1:11" hidden="1" x14ac:dyDescent="0.25">
      <c r="A221" s="413">
        <f>+SUBTOTAL(3,$B$4:B221)</f>
        <v>26</v>
      </c>
      <c r="B221" s="413" t="str">
        <f>'Visual chart Edit'!B224</f>
        <v>35/3</v>
      </c>
      <c r="C221" s="413" t="str">
        <f>'Visual chart Edit'!C224</f>
        <v>DB1+6</v>
      </c>
      <c r="D221" s="413" t="s">
        <v>1310</v>
      </c>
      <c r="E221" s="465">
        <f>'Visual chart Edit'!I224</f>
        <v>522.20000000000005</v>
      </c>
      <c r="F221" s="413" t="str">
        <f>'Visual chart Edit'!K224</f>
        <v>Sandy</v>
      </c>
      <c r="G221" s="413" t="str">
        <f>'Visual chart Edit'!L224</f>
        <v>E</v>
      </c>
      <c r="H221" s="413"/>
      <c r="I221" s="413"/>
      <c r="J221" s="413"/>
      <c r="K221" s="413"/>
    </row>
    <row r="222" spans="1:11" hidden="1" x14ac:dyDescent="0.25">
      <c r="A222" s="413">
        <f>+SUBTOTAL(3,$B$4:B222)</f>
        <v>26</v>
      </c>
      <c r="B222" s="413" t="str">
        <f>'Visual chart Edit'!B225</f>
        <v>35/4</v>
      </c>
      <c r="C222" s="413" t="str">
        <f>'Visual chart Edit'!C225</f>
        <v>DA+0</v>
      </c>
      <c r="D222" s="413" t="s">
        <v>1310</v>
      </c>
      <c r="E222" s="465">
        <f>'Visual chart Edit'!I225</f>
        <v>418.9</v>
      </c>
      <c r="F222" s="413" t="str">
        <f>'Visual chart Edit'!K225</f>
        <v>DRY</v>
      </c>
      <c r="G222" s="413" t="str">
        <f>'Visual chart Edit'!L225</f>
        <v>E</v>
      </c>
      <c r="H222" s="413"/>
      <c r="I222" s="413"/>
      <c r="J222" s="413"/>
      <c r="K222" s="413"/>
    </row>
    <row r="223" spans="1:11" hidden="1" x14ac:dyDescent="0.25">
      <c r="A223" s="413">
        <f>+SUBTOTAL(3,$B$4:B223)</f>
        <v>26</v>
      </c>
      <c r="B223" s="413" t="str">
        <f>'Visual chart Edit'!B226</f>
        <v>35/5</v>
      </c>
      <c r="C223" s="413" t="str">
        <f>'Visual chart Edit'!C226</f>
        <v>DA+0</v>
      </c>
      <c r="D223" s="413" t="s">
        <v>1310</v>
      </c>
      <c r="E223" s="465">
        <f>'Visual chart Edit'!I226</f>
        <v>421.7</v>
      </c>
      <c r="F223" s="413" t="str">
        <f>'Visual chart Edit'!K226</f>
        <v>Sandy</v>
      </c>
      <c r="G223" s="413" t="str">
        <f>'Visual chart Edit'!L226</f>
        <v>E</v>
      </c>
      <c r="H223" s="413"/>
      <c r="I223" s="413"/>
      <c r="J223" s="413"/>
      <c r="K223" s="413"/>
    </row>
    <row r="224" spans="1:11" hidden="1" x14ac:dyDescent="0.25">
      <c r="A224" s="413">
        <f>+SUBTOTAL(3,$B$4:B224)</f>
        <v>26</v>
      </c>
      <c r="B224" s="413" t="str">
        <f>'Visual chart Edit'!B227</f>
        <v>36/0</v>
      </c>
      <c r="C224" s="413" t="str">
        <f>'Visual chart Edit'!C227</f>
        <v>DB2+0</v>
      </c>
      <c r="D224" s="413" t="s">
        <v>1310</v>
      </c>
      <c r="E224" s="465">
        <f>'Visual chart Edit'!I227</f>
        <v>342.7</v>
      </c>
      <c r="F224" s="413" t="str">
        <f>'Visual chart Edit'!K227</f>
        <v>Sandy</v>
      </c>
      <c r="G224" s="413" t="str">
        <f>'Visual chart Edit'!L227</f>
        <v>E</v>
      </c>
      <c r="H224" s="413"/>
      <c r="I224" s="413"/>
      <c r="J224" s="413"/>
      <c r="K224" s="413"/>
    </row>
    <row r="225" spans="1:12" hidden="1" x14ac:dyDescent="0.25">
      <c r="A225" s="413">
        <f>+SUBTOTAL(3,$B$4:B225)</f>
        <v>26</v>
      </c>
      <c r="B225" s="413" t="str">
        <f>'Visual chart Edit'!B228</f>
        <v>36/1</v>
      </c>
      <c r="C225" s="413" t="str">
        <f>'Visual chart Edit'!C228</f>
        <v>DA+3</v>
      </c>
      <c r="D225" s="413" t="s">
        <v>1310</v>
      </c>
      <c r="E225" s="465">
        <f>'Visual chart Edit'!I228</f>
        <v>386.4</v>
      </c>
      <c r="F225" s="413" t="str">
        <f>'Visual chart Edit'!K228</f>
        <v>Sandy</v>
      </c>
      <c r="G225" s="413" t="str">
        <f>'Visual chart Edit'!L228</f>
        <v>E</v>
      </c>
      <c r="H225" s="413"/>
      <c r="I225" s="413"/>
      <c r="J225" s="413"/>
      <c r="K225" s="413"/>
    </row>
    <row r="226" spans="1:12" hidden="1" x14ac:dyDescent="0.25">
      <c r="A226" s="413">
        <f>+SUBTOTAL(3,$B$4:B226)</f>
        <v>26</v>
      </c>
      <c r="B226" s="413" t="str">
        <f>'Visual chart Edit'!B229</f>
        <v>36/2</v>
      </c>
      <c r="C226" s="413" t="str">
        <f>'Visual chart Edit'!C229</f>
        <v>DA+0</v>
      </c>
      <c r="D226" s="413" t="s">
        <v>1310</v>
      </c>
      <c r="E226" s="465">
        <f>'Visual chart Edit'!I229</f>
        <v>309.39999999999998</v>
      </c>
      <c r="F226" s="413" t="str">
        <f>'Visual chart Edit'!K229</f>
        <v>Sandy</v>
      </c>
      <c r="G226" s="413" t="str">
        <f>'Visual chart Edit'!L229</f>
        <v>E</v>
      </c>
      <c r="H226" s="413"/>
      <c r="I226" s="413"/>
      <c r="J226" s="413"/>
      <c r="K226" s="413"/>
    </row>
    <row r="227" spans="1:12" hidden="1" x14ac:dyDescent="0.25">
      <c r="A227" s="413">
        <f>+SUBTOTAL(3,$B$4:B227)</f>
        <v>26</v>
      </c>
      <c r="B227" s="413" t="str">
        <f>'Visual chart Edit'!B230</f>
        <v>36/3</v>
      </c>
      <c r="C227" s="413" t="str">
        <f>'Visual chart Edit'!C230</f>
        <v>DA+0</v>
      </c>
      <c r="D227" s="413" t="s">
        <v>1310</v>
      </c>
      <c r="E227" s="465">
        <f>'Visual chart Edit'!I230</f>
        <v>357.8</v>
      </c>
      <c r="F227" s="413" t="str">
        <f>'Visual chart Edit'!K230</f>
        <v>Sandy</v>
      </c>
      <c r="G227" s="413" t="str">
        <f>'Visual chart Edit'!L230</f>
        <v>E</v>
      </c>
      <c r="H227" s="413"/>
      <c r="I227" s="413"/>
      <c r="J227" s="413"/>
      <c r="K227" s="413"/>
    </row>
    <row r="228" spans="1:12" hidden="1" x14ac:dyDescent="0.25">
      <c r="A228" s="413">
        <f>+SUBTOTAL(3,$B$4:B228)</f>
        <v>26</v>
      </c>
      <c r="B228" s="413" t="str">
        <f>'Visual chart Edit'!B231</f>
        <v>36/4</v>
      </c>
      <c r="C228" s="413" t="str">
        <f>'Visual chart Edit'!C231</f>
        <v>DA+6</v>
      </c>
      <c r="D228" s="413" t="s">
        <v>1310</v>
      </c>
      <c r="E228" s="465">
        <f>'Visual chart Edit'!I231</f>
        <v>480.4</v>
      </c>
      <c r="F228" s="413" t="str">
        <f>'Visual chart Edit'!K231</f>
        <v>Sandy</v>
      </c>
      <c r="G228" s="413" t="str">
        <f>'Visual chart Edit'!L231</f>
        <v>E</v>
      </c>
      <c r="H228" s="413"/>
      <c r="I228" s="413"/>
      <c r="J228" s="413"/>
      <c r="K228" s="413"/>
    </row>
    <row r="229" spans="1:12" hidden="1" x14ac:dyDescent="0.25">
      <c r="A229" s="413">
        <f>+SUBTOTAL(3,$B$4:B229)</f>
        <v>26</v>
      </c>
      <c r="B229" s="413" t="str">
        <f>'Visual chart Edit'!B232</f>
        <v>37/0</v>
      </c>
      <c r="C229" s="413" t="str">
        <f>'Visual chart Edit'!C232</f>
        <v>DB2+0</v>
      </c>
      <c r="D229" s="413" t="s">
        <v>1310</v>
      </c>
      <c r="E229" s="465">
        <f>'Visual chart Edit'!I232</f>
        <v>350.5</v>
      </c>
      <c r="F229" s="413" t="str">
        <f>'Visual chart Edit'!K232</f>
        <v>Sandy</v>
      </c>
      <c r="G229" s="413" t="str">
        <f>'Visual chart Edit'!L232</f>
        <v>E</v>
      </c>
      <c r="H229" s="413"/>
      <c r="I229" s="413"/>
      <c r="J229" s="413"/>
      <c r="K229" s="413"/>
    </row>
    <row r="230" spans="1:12" hidden="1" x14ac:dyDescent="0.25">
      <c r="A230" s="413">
        <f>+SUBTOTAL(3,$B$4:B230)</f>
        <v>26</v>
      </c>
      <c r="B230" s="413" t="str">
        <f>'Visual chart Edit'!B233</f>
        <v>37/1</v>
      </c>
      <c r="C230" s="413" t="str">
        <f>'Visual chart Edit'!C233</f>
        <v>DA+9</v>
      </c>
      <c r="D230" s="413" t="s">
        <v>1311</v>
      </c>
      <c r="E230" s="465">
        <f>'Visual chart Edit'!I233</f>
        <v>443.3</v>
      </c>
      <c r="F230" s="413" t="str">
        <f>'Visual chart Edit'!K233</f>
        <v>Sandy</v>
      </c>
      <c r="G230" s="413" t="str">
        <f>'Visual chart Edit'!L233</f>
        <v>E</v>
      </c>
      <c r="H230" s="413"/>
      <c r="I230" s="413"/>
      <c r="J230" s="413"/>
      <c r="K230" s="413"/>
    </row>
    <row r="231" spans="1:12" hidden="1" x14ac:dyDescent="0.25">
      <c r="A231" s="413">
        <f>+SUBTOTAL(3,$B$4:B231)</f>
        <v>26</v>
      </c>
      <c r="B231" s="413" t="str">
        <f>'Visual chart Edit'!B234</f>
        <v>37/2</v>
      </c>
      <c r="C231" s="413" t="str">
        <f>'Visual chart Edit'!C234</f>
        <v>DA+3</v>
      </c>
      <c r="D231" s="413" t="s">
        <v>1311</v>
      </c>
      <c r="E231" s="465">
        <f>'Visual chart Edit'!I234</f>
        <v>356.7</v>
      </c>
      <c r="F231" s="413" t="str">
        <f>'Visual chart Edit'!K234</f>
        <v>Sandy</v>
      </c>
      <c r="G231" s="413" t="str">
        <f>'Visual chart Edit'!L234</f>
        <v>E</v>
      </c>
      <c r="H231" s="413"/>
      <c r="I231" s="413"/>
      <c r="J231" s="413"/>
      <c r="K231" s="413"/>
    </row>
    <row r="232" spans="1:12" hidden="1" x14ac:dyDescent="0.25">
      <c r="A232" s="413">
        <f>+SUBTOTAL(3,$B$4:B232)</f>
        <v>26</v>
      </c>
      <c r="B232" s="413" t="str">
        <f>'Visual chart Edit'!B235</f>
        <v>37/3</v>
      </c>
      <c r="C232" s="413" t="str">
        <f>'Visual chart Edit'!C235</f>
        <v>DA+0</v>
      </c>
      <c r="D232" s="413" t="s">
        <v>1311</v>
      </c>
      <c r="E232" s="465">
        <f>'Visual chart Edit'!I235</f>
        <v>339.9</v>
      </c>
      <c r="F232" s="413" t="str">
        <f>'Visual chart Edit'!K235</f>
        <v>Sandy</v>
      </c>
      <c r="G232" s="413" t="str">
        <f>'Visual chart Edit'!L235</f>
        <v>E</v>
      </c>
      <c r="H232" s="413"/>
      <c r="I232" s="413"/>
      <c r="J232" s="413"/>
      <c r="K232" s="413"/>
    </row>
    <row r="233" spans="1:12" hidden="1" x14ac:dyDescent="0.25">
      <c r="A233" s="413">
        <f>+SUBTOTAL(3,$B$4:B233)</f>
        <v>26</v>
      </c>
      <c r="B233" s="413" t="str">
        <f>'Visual chart Edit'!B236</f>
        <v>38/0</v>
      </c>
      <c r="C233" s="413" t="str">
        <f>'Visual chart Edit'!C236</f>
        <v>DB2+6</v>
      </c>
      <c r="D233" s="413" t="s">
        <v>1311</v>
      </c>
      <c r="E233" s="465">
        <f>'Visual chart Edit'!I236</f>
        <v>500.3</v>
      </c>
      <c r="F233" s="413" t="str">
        <f>'Visual chart Edit'!K236</f>
        <v>Sandy</v>
      </c>
      <c r="G233" s="413" t="str">
        <f>'Visual chart Edit'!L236</f>
        <v>E</v>
      </c>
      <c r="H233" s="413"/>
      <c r="I233" s="413"/>
      <c r="J233" s="413"/>
      <c r="K233" s="413"/>
    </row>
    <row r="234" spans="1:12" hidden="1" x14ac:dyDescent="0.25">
      <c r="A234" s="413">
        <f>+SUBTOTAL(3,$B$4:B234)</f>
        <v>26</v>
      </c>
      <c r="B234" s="413" t="str">
        <f>'Visual chart Edit'!B237</f>
        <v>38/1</v>
      </c>
      <c r="C234" s="413" t="str">
        <f>'Visual chart Edit'!C237</f>
        <v>DA+0</v>
      </c>
      <c r="D234" s="413" t="s">
        <v>1311</v>
      </c>
      <c r="E234" s="465">
        <f>'Visual chart Edit'!I237</f>
        <v>421.4</v>
      </c>
      <c r="F234" s="413" t="str">
        <f>'Visual chart Edit'!K237</f>
        <v>Sandy</v>
      </c>
      <c r="G234" s="413" t="str">
        <f>'Visual chart Edit'!L237</f>
        <v>E</v>
      </c>
      <c r="H234" s="413"/>
      <c r="I234" s="413"/>
      <c r="J234" s="413"/>
      <c r="K234" s="413"/>
    </row>
    <row r="235" spans="1:12" hidden="1" x14ac:dyDescent="0.25">
      <c r="A235" s="413">
        <f>+SUBTOTAL(3,$B$4:B235)</f>
        <v>26</v>
      </c>
      <c r="B235" s="413" t="str">
        <f>'Visual chart Edit'!B238</f>
        <v>38/2</v>
      </c>
      <c r="C235" s="413" t="str">
        <f>'Visual chart Edit'!C238</f>
        <v>DA+6</v>
      </c>
      <c r="D235" s="413" t="s">
        <v>1311</v>
      </c>
      <c r="E235" s="465">
        <f>'Visual chart Edit'!I238</f>
        <v>419</v>
      </c>
      <c r="F235" s="413" t="str">
        <f>'Visual chart Edit'!K238</f>
        <v>Sandy</v>
      </c>
      <c r="G235" s="413" t="str">
        <f>'Visual chart Edit'!L238</f>
        <v>E</v>
      </c>
      <c r="H235" s="413"/>
      <c r="I235" s="413"/>
      <c r="J235" s="413"/>
      <c r="K235" s="413"/>
    </row>
    <row r="236" spans="1:12" hidden="1" x14ac:dyDescent="0.25">
      <c r="A236" s="413">
        <f>+SUBTOTAL(3,$B$4:B236)</f>
        <v>26</v>
      </c>
      <c r="B236" s="413" t="str">
        <f>'Visual chart Edit'!B239</f>
        <v>38/3</v>
      </c>
      <c r="C236" s="413" t="str">
        <f>'Visual chart Edit'!C239</f>
        <v>DA+9</v>
      </c>
      <c r="D236" s="413" t="s">
        <v>1311</v>
      </c>
      <c r="E236" s="465">
        <f>'Visual chart Edit'!I239</f>
        <v>420.3</v>
      </c>
      <c r="F236" s="413" t="str">
        <f>'Visual chart Edit'!K239</f>
        <v>Sandy</v>
      </c>
      <c r="G236" s="413" t="str">
        <f>'Visual chart Edit'!L239</f>
        <v>E</v>
      </c>
      <c r="H236" s="413"/>
      <c r="I236" s="413"/>
      <c r="J236" s="413"/>
      <c r="K236" s="413"/>
      <c r="L236" s="479" t="s">
        <v>1607</v>
      </c>
    </row>
    <row r="237" spans="1:12" hidden="1" x14ac:dyDescent="0.25">
      <c r="A237" s="413">
        <f>+SUBTOTAL(3,$B$4:B237)</f>
        <v>26</v>
      </c>
      <c r="B237" s="413" t="str">
        <f>'Visual chart Edit'!B240</f>
        <v>38/4</v>
      </c>
      <c r="C237" s="413" t="str">
        <f>'Visual chart Edit'!C240</f>
        <v>DA+9</v>
      </c>
      <c r="D237" s="413" t="s">
        <v>1311</v>
      </c>
      <c r="E237" s="465">
        <f>'Visual chart Edit'!I240</f>
        <v>414.9</v>
      </c>
      <c r="F237" s="413" t="str">
        <f>'Visual chart Edit'!K240</f>
        <v>Sandy</v>
      </c>
      <c r="G237" s="413" t="str">
        <f>'Visual chart Edit'!L240</f>
        <v>E</v>
      </c>
      <c r="H237" s="413"/>
      <c r="I237" s="413"/>
      <c r="J237" s="413"/>
      <c r="K237" s="413"/>
    </row>
    <row r="238" spans="1:12" hidden="1" x14ac:dyDescent="0.25">
      <c r="A238" s="413">
        <f>+SUBTOTAL(3,$B$4:B238)</f>
        <v>26</v>
      </c>
      <c r="B238" s="413" t="str">
        <f>'Visual chart Edit'!B241</f>
        <v>39/0</v>
      </c>
      <c r="C238" s="413" t="str">
        <f>'Visual chart Edit'!C241</f>
        <v>DB2+6</v>
      </c>
      <c r="D238" s="413" t="s">
        <v>1311</v>
      </c>
      <c r="E238" s="465">
        <f>'Visual chart Edit'!I241</f>
        <v>425.5</v>
      </c>
      <c r="F238" s="413" t="str">
        <f>'Visual chart Edit'!K241</f>
        <v>Sandy</v>
      </c>
      <c r="G238" s="413" t="str">
        <f>'Visual chart Edit'!L241</f>
        <v>E</v>
      </c>
      <c r="H238" s="413"/>
      <c r="I238" s="413"/>
      <c r="J238" s="413"/>
      <c r="K238" s="413"/>
    </row>
    <row r="239" spans="1:12" hidden="1" x14ac:dyDescent="0.25">
      <c r="A239" s="413">
        <f>+SUBTOTAL(3,$B$4:B239)</f>
        <v>26</v>
      </c>
      <c r="B239" s="413" t="str">
        <f>'Visual chart Edit'!B242</f>
        <v>39/1</v>
      </c>
      <c r="C239" s="413" t="str">
        <f>'Visual chart Edit'!C242</f>
        <v>DA+0</v>
      </c>
      <c r="D239" s="413" t="s">
        <v>1311</v>
      </c>
      <c r="E239" s="465">
        <f>'Visual chart Edit'!I242</f>
        <v>412.63799999999998</v>
      </c>
      <c r="F239" s="413" t="str">
        <f>'Visual chart Edit'!K242</f>
        <v>Sandy</v>
      </c>
      <c r="G239" s="413" t="str">
        <f>'Visual chart Edit'!L242</f>
        <v>E</v>
      </c>
      <c r="H239" s="413"/>
      <c r="I239" s="413"/>
      <c r="J239" s="413"/>
      <c r="K239" s="413"/>
    </row>
    <row r="240" spans="1:12" hidden="1" x14ac:dyDescent="0.25">
      <c r="A240" s="413">
        <f>+SUBTOTAL(3,$B$4:B240)</f>
        <v>26</v>
      </c>
      <c r="B240" s="413" t="str">
        <f>'Visual chart Edit'!B243</f>
        <v>40/0</v>
      </c>
      <c r="C240" s="413" t="str">
        <f>'Visual chart Edit'!C243</f>
        <v>DC2+0</v>
      </c>
      <c r="D240" s="413" t="s">
        <v>1311</v>
      </c>
      <c r="E240" s="465">
        <f>'Visual chart Edit'!I243</f>
        <v>322.61</v>
      </c>
      <c r="F240" s="413" t="str">
        <f>'Visual chart Edit'!K243</f>
        <v>Sandy</v>
      </c>
      <c r="G240" s="413" t="str">
        <f>'Visual chart Edit'!L243</f>
        <v>E</v>
      </c>
      <c r="H240" s="413"/>
      <c r="I240" s="413"/>
      <c r="J240" s="413"/>
      <c r="K240" s="413"/>
    </row>
    <row r="241" spans="1:11" hidden="1" x14ac:dyDescent="0.25">
      <c r="A241" s="413">
        <f>+SUBTOTAL(3,$B$4:B241)</f>
        <v>26</v>
      </c>
      <c r="B241" s="413" t="str">
        <f>'Visual chart Edit'!B244</f>
        <v>40/1</v>
      </c>
      <c r="C241" s="413" t="str">
        <f>'Visual chart Edit'!C244</f>
        <v>DA+6</v>
      </c>
      <c r="D241" s="413" t="s">
        <v>1311</v>
      </c>
      <c r="E241" s="465">
        <f>'Visual chart Edit'!I244</f>
        <v>396.2</v>
      </c>
      <c r="F241" s="413" t="str">
        <f>'Visual chart Edit'!K244</f>
        <v>Sandy</v>
      </c>
      <c r="G241" s="413" t="str">
        <f>'Visual chart Edit'!L244</f>
        <v>E</v>
      </c>
      <c r="H241" s="413"/>
      <c r="I241" s="413"/>
      <c r="J241" s="413"/>
      <c r="K241" s="413"/>
    </row>
    <row r="242" spans="1:11" hidden="1" x14ac:dyDescent="0.25">
      <c r="A242" s="413">
        <f>+SUBTOTAL(3,$B$4:B242)</f>
        <v>26</v>
      </c>
      <c r="B242" s="413" t="str">
        <f>'Visual chart Edit'!B245</f>
        <v>40/2</v>
      </c>
      <c r="C242" s="413" t="str">
        <f>'Visual chart Edit'!C245</f>
        <v>DA+3</v>
      </c>
      <c r="D242" s="413" t="s">
        <v>1311</v>
      </c>
      <c r="E242" s="465">
        <f>'Visual chart Edit'!I245</f>
        <v>425.8</v>
      </c>
      <c r="F242" s="413" t="str">
        <f>'Visual chart Edit'!K245</f>
        <v>Sandy</v>
      </c>
      <c r="G242" s="413" t="str">
        <f>'Visual chart Edit'!L245</f>
        <v>E</v>
      </c>
      <c r="H242" s="413"/>
      <c r="I242" s="413"/>
      <c r="J242" s="413"/>
      <c r="K242" s="413"/>
    </row>
    <row r="243" spans="1:11" hidden="1" x14ac:dyDescent="0.25">
      <c r="A243" s="413">
        <f>+SUBTOTAL(3,$B$4:B243)</f>
        <v>26</v>
      </c>
      <c r="B243" s="413" t="str">
        <f>'Visual chart Edit'!B246</f>
        <v>40/3</v>
      </c>
      <c r="C243" s="413" t="str">
        <f>'Visual chart Edit'!C246</f>
        <v>DA+3</v>
      </c>
      <c r="D243" s="413" t="s">
        <v>1312</v>
      </c>
      <c r="E243" s="465">
        <f>'Visual chart Edit'!I246</f>
        <v>401.7</v>
      </c>
      <c r="F243" s="413" t="str">
        <f>'Visual chart Edit'!K246</f>
        <v>Sandy</v>
      </c>
      <c r="G243" s="413" t="str">
        <f>'Visual chart Edit'!L246</f>
        <v>E</v>
      </c>
      <c r="H243" s="413"/>
      <c r="I243" s="413"/>
      <c r="J243" s="413"/>
      <c r="K243" s="413"/>
    </row>
    <row r="244" spans="1:11" hidden="1" x14ac:dyDescent="0.25">
      <c r="A244" s="413">
        <f>+SUBTOTAL(3,$B$4:B244)</f>
        <v>26</v>
      </c>
      <c r="B244" s="413" t="str">
        <f>'Visual chart Edit'!B247</f>
        <v>41/0</v>
      </c>
      <c r="C244" s="413" t="str">
        <f>'Visual chart Edit'!C247</f>
        <v>DC1+6</v>
      </c>
      <c r="D244" s="413" t="s">
        <v>1313</v>
      </c>
      <c r="E244" s="465">
        <f>'Visual chart Edit'!I247</f>
        <v>436.3</v>
      </c>
      <c r="F244" s="413" t="str">
        <f>'Visual chart Edit'!K247</f>
        <v>Sandy</v>
      </c>
      <c r="G244" s="413" t="str">
        <f>'Visual chart Edit'!L247</f>
        <v>E</v>
      </c>
      <c r="H244" s="413"/>
      <c r="I244" s="413"/>
      <c r="J244" s="413"/>
      <c r="K244" s="413"/>
    </row>
    <row r="245" spans="1:11" hidden="1" x14ac:dyDescent="0.25">
      <c r="A245" s="413">
        <f>+SUBTOTAL(3,$B$4:B245)</f>
        <v>26</v>
      </c>
      <c r="B245" s="413" t="str">
        <f>'Visual chart Edit'!B248</f>
        <v>41/1</v>
      </c>
      <c r="C245" s="413" t="str">
        <f>'Visual chart Edit'!C248</f>
        <v>DB1+9</v>
      </c>
      <c r="D245" s="413" t="s">
        <v>1313</v>
      </c>
      <c r="E245" s="465">
        <f>'Visual chart Edit'!I248</f>
        <v>340.8</v>
      </c>
      <c r="F245" s="413" t="str">
        <f>'Visual chart Edit'!K248</f>
        <v>Sandy</v>
      </c>
      <c r="G245" s="413" t="str">
        <f>'Visual chart Edit'!L248</f>
        <v>E</v>
      </c>
      <c r="H245" s="413"/>
      <c r="I245" s="413"/>
      <c r="J245" s="413"/>
      <c r="K245" s="413"/>
    </row>
    <row r="246" spans="1:11" hidden="1" x14ac:dyDescent="0.25">
      <c r="A246" s="413">
        <f>+SUBTOTAL(3,$B$4:B246)</f>
        <v>26</v>
      </c>
      <c r="B246" s="413" t="str">
        <f>'Visual chart Edit'!B249</f>
        <v>41/2</v>
      </c>
      <c r="C246" s="413" t="str">
        <f>'Visual chart Edit'!C249</f>
        <v>DA+0</v>
      </c>
      <c r="D246" s="413" t="s">
        <v>1314</v>
      </c>
      <c r="E246" s="465">
        <f>'Visual chart Edit'!I249</f>
        <v>447.8</v>
      </c>
      <c r="F246" s="413" t="str">
        <f>'Visual chart Edit'!K249</f>
        <v>Sandy</v>
      </c>
      <c r="G246" s="413" t="str">
        <f>'Visual chart Edit'!L249</f>
        <v>E</v>
      </c>
      <c r="H246" s="413"/>
      <c r="I246" s="413"/>
      <c r="J246" s="413"/>
      <c r="K246" s="413"/>
    </row>
    <row r="247" spans="1:11" hidden="1" x14ac:dyDescent="0.25">
      <c r="A247" s="413">
        <f>+SUBTOTAL(3,$B$4:B247)</f>
        <v>26</v>
      </c>
      <c r="B247" s="413" t="str">
        <f>'Visual chart Edit'!B250</f>
        <v>42/0</v>
      </c>
      <c r="C247" s="413" t="str">
        <f>'Visual chart Edit'!C250</f>
        <v>DC1+0</v>
      </c>
      <c r="D247" s="413" t="s">
        <v>1314</v>
      </c>
      <c r="E247" s="465">
        <f>'Visual chart Edit'!I250</f>
        <v>382.3</v>
      </c>
      <c r="F247" s="413" t="str">
        <f>'Visual chart Edit'!K250</f>
        <v>Sandy</v>
      </c>
      <c r="G247" s="413" t="str">
        <f>'Visual chart Edit'!L250</f>
        <v>E</v>
      </c>
      <c r="H247" s="413"/>
      <c r="I247" s="413"/>
      <c r="J247" s="413"/>
      <c r="K247" s="413"/>
    </row>
    <row r="248" spans="1:11" hidden="1" x14ac:dyDescent="0.25">
      <c r="A248" s="413">
        <f>+SUBTOTAL(3,$B$4:B248)</f>
        <v>26</v>
      </c>
      <c r="B248" s="413" t="str">
        <f>'Visual chart Edit'!B251</f>
        <v>42/1</v>
      </c>
      <c r="C248" s="413" t="str">
        <f>'Visual chart Edit'!C251</f>
        <v>DA+6</v>
      </c>
      <c r="D248" s="413" t="s">
        <v>1314</v>
      </c>
      <c r="E248" s="465">
        <f>'Visual chart Edit'!I251</f>
        <v>384.7</v>
      </c>
      <c r="F248" s="413" t="str">
        <f>'Visual chart Edit'!K251</f>
        <v>Sandy</v>
      </c>
      <c r="G248" s="413" t="str">
        <f>'Visual chart Edit'!L251</f>
        <v>E</v>
      </c>
      <c r="H248" s="413"/>
      <c r="I248" s="413"/>
      <c r="J248" s="413"/>
      <c r="K248" s="413"/>
    </row>
    <row r="249" spans="1:11" hidden="1" x14ac:dyDescent="0.25">
      <c r="A249" s="413">
        <f>+SUBTOTAL(3,$B$4:B249)</f>
        <v>26</v>
      </c>
      <c r="B249" s="413" t="str">
        <f>'Visual chart Edit'!B252</f>
        <v>42/2</v>
      </c>
      <c r="C249" s="413" t="str">
        <f>'Visual chart Edit'!C252</f>
        <v>DA+6</v>
      </c>
      <c r="D249" s="413" t="s">
        <v>1314</v>
      </c>
      <c r="E249" s="465">
        <f>'Visual chart Edit'!I252</f>
        <v>407.4</v>
      </c>
      <c r="F249" s="413" t="str">
        <f>'Visual chart Edit'!K252</f>
        <v>Sandy</v>
      </c>
      <c r="G249" s="413" t="str">
        <f>'Visual chart Edit'!L252</f>
        <v>E</v>
      </c>
      <c r="H249" s="413"/>
      <c r="I249" s="413"/>
      <c r="J249" s="413"/>
      <c r="K249" s="413"/>
    </row>
    <row r="250" spans="1:11" hidden="1" x14ac:dyDescent="0.25">
      <c r="A250" s="413">
        <f>+SUBTOTAL(3,$B$4:B250)</f>
        <v>26</v>
      </c>
      <c r="B250" s="413" t="str">
        <f>'Visual chart Edit'!B253</f>
        <v>42/3</v>
      </c>
      <c r="C250" s="413" t="str">
        <f>'Visual chart Edit'!C253</f>
        <v>DA+0</v>
      </c>
      <c r="D250" s="413" t="s">
        <v>1314</v>
      </c>
      <c r="E250" s="465">
        <f>'Visual chart Edit'!I253</f>
        <v>414.2</v>
      </c>
      <c r="F250" s="413" t="str">
        <f>'Visual chart Edit'!K253</f>
        <v>Sandy</v>
      </c>
      <c r="G250" s="413" t="str">
        <f>'Visual chart Edit'!L253</f>
        <v>E</v>
      </c>
      <c r="H250" s="413"/>
      <c r="I250" s="413"/>
      <c r="J250" s="413"/>
      <c r="K250" s="413"/>
    </row>
    <row r="251" spans="1:11" hidden="1" x14ac:dyDescent="0.25">
      <c r="A251" s="413">
        <f>+SUBTOTAL(3,$B$4:B251)</f>
        <v>26</v>
      </c>
      <c r="B251" s="413" t="str">
        <f>'Visual chart Edit'!B254</f>
        <v>42/4</v>
      </c>
      <c r="C251" s="413" t="str">
        <f>'Visual chart Edit'!C254</f>
        <v>DA+0</v>
      </c>
      <c r="D251" s="413" t="s">
        <v>1314</v>
      </c>
      <c r="E251" s="465">
        <f>'Visual chart Edit'!I254</f>
        <v>256.39999999999998</v>
      </c>
      <c r="F251" s="413" t="str">
        <f>'Visual chart Edit'!K254</f>
        <v>Sandy</v>
      </c>
      <c r="G251" s="413" t="str">
        <f>'Visual chart Edit'!L254</f>
        <v>E</v>
      </c>
      <c r="H251" s="413"/>
      <c r="I251" s="413"/>
      <c r="J251" s="413"/>
      <c r="K251" s="413"/>
    </row>
    <row r="252" spans="1:11" hidden="1" x14ac:dyDescent="0.25">
      <c r="A252" s="413">
        <f>+SUBTOTAL(3,$B$4:B252)</f>
        <v>26</v>
      </c>
      <c r="B252" s="413" t="str">
        <f>'Visual chart Edit'!B255</f>
        <v>42/5</v>
      </c>
      <c r="C252" s="413" t="str">
        <f>'Visual chart Edit'!C255</f>
        <v>DA+9</v>
      </c>
      <c r="D252" s="413" t="s">
        <v>1314</v>
      </c>
      <c r="E252" s="465">
        <f>'Visual chart Edit'!I255</f>
        <v>403.8</v>
      </c>
      <c r="F252" s="413" t="str">
        <f>'Visual chart Edit'!K255</f>
        <v>Sandy</v>
      </c>
      <c r="G252" s="413" t="str">
        <f>'Visual chart Edit'!L255</f>
        <v>E</v>
      </c>
      <c r="H252" s="413"/>
      <c r="I252" s="413"/>
      <c r="J252" s="413"/>
      <c r="K252" s="413"/>
    </row>
    <row r="253" spans="1:11" hidden="1" x14ac:dyDescent="0.25">
      <c r="A253" s="413">
        <f>+SUBTOTAL(3,$B$4:B253)</f>
        <v>26</v>
      </c>
      <c r="B253" s="413" t="str">
        <f>'Visual chart Edit'!B256</f>
        <v>42/6</v>
      </c>
      <c r="C253" s="413" t="str">
        <f>'Visual chart Edit'!C256</f>
        <v>DA+0</v>
      </c>
      <c r="D253" s="413" t="s">
        <v>1314</v>
      </c>
      <c r="E253" s="465">
        <f>'Visual chart Edit'!I256</f>
        <v>396.7</v>
      </c>
      <c r="F253" s="413" t="str">
        <f>'Visual chart Edit'!K256</f>
        <v>Sandy</v>
      </c>
      <c r="G253" s="413" t="str">
        <f>'Visual chart Edit'!L256</f>
        <v>E</v>
      </c>
      <c r="H253" s="413"/>
      <c r="I253" s="413"/>
      <c r="J253" s="413"/>
      <c r="K253" s="413"/>
    </row>
    <row r="254" spans="1:11" hidden="1" x14ac:dyDescent="0.25">
      <c r="A254" s="413">
        <f>+SUBTOTAL(3,$B$4:B254)</f>
        <v>26</v>
      </c>
      <c r="B254" s="413" t="str">
        <f>'Visual chart Edit'!B257</f>
        <v>43/0</v>
      </c>
      <c r="C254" s="413" t="str">
        <f>'Visual chart Edit'!C257</f>
        <v>DB1+0</v>
      </c>
      <c r="D254" s="413" t="s">
        <v>1314</v>
      </c>
      <c r="E254" s="465">
        <f>'Visual chart Edit'!I257</f>
        <v>403.9</v>
      </c>
      <c r="F254" s="413" t="str">
        <f>'Visual chart Edit'!K257</f>
        <v>Sandy</v>
      </c>
      <c r="G254" s="413" t="str">
        <f>'Visual chart Edit'!L257</f>
        <v>E</v>
      </c>
      <c r="H254" s="413"/>
      <c r="I254" s="413"/>
      <c r="J254" s="413"/>
      <c r="K254" s="413"/>
    </row>
    <row r="255" spans="1:11" hidden="1" x14ac:dyDescent="0.25">
      <c r="A255" s="413">
        <f>+SUBTOTAL(3,$B$4:B255)</f>
        <v>26</v>
      </c>
      <c r="B255" s="413" t="str">
        <f>'Visual chart Edit'!B258</f>
        <v>43/1</v>
      </c>
      <c r="C255" s="413" t="str">
        <f>'Visual chart Edit'!C258</f>
        <v>DA+3</v>
      </c>
      <c r="D255" s="413" t="s">
        <v>1315</v>
      </c>
      <c r="E255" s="465">
        <f>'Visual chart Edit'!I258</f>
        <v>346</v>
      </c>
      <c r="F255" s="413" t="str">
        <f>'Visual chart Edit'!K258</f>
        <v>Sandy</v>
      </c>
      <c r="G255" s="413" t="str">
        <f>'Visual chart Edit'!L258</f>
        <v>E</v>
      </c>
      <c r="H255" s="413"/>
      <c r="I255" s="413"/>
      <c r="J255" s="413"/>
      <c r="K255" s="413"/>
    </row>
    <row r="256" spans="1:11" hidden="1" x14ac:dyDescent="0.25">
      <c r="A256" s="413">
        <f>+SUBTOTAL(3,$B$4:B256)</f>
        <v>26</v>
      </c>
      <c r="B256" s="413" t="str">
        <f>'Visual chart Edit'!B259</f>
        <v>43/2</v>
      </c>
      <c r="C256" s="413" t="str">
        <f>'Visual chart Edit'!C259</f>
        <v>DA+0</v>
      </c>
      <c r="D256" s="413" t="s">
        <v>1315</v>
      </c>
      <c r="E256" s="465">
        <f>'Visual chart Edit'!I259</f>
        <v>475.8</v>
      </c>
      <c r="F256" s="413" t="str">
        <f>'Visual chart Edit'!K259</f>
        <v>Sandy</v>
      </c>
      <c r="G256" s="413" t="str">
        <f>'Visual chart Edit'!L259</f>
        <v>E</v>
      </c>
      <c r="H256" s="413"/>
      <c r="I256" s="413"/>
      <c r="J256" s="413"/>
      <c r="K256" s="413"/>
    </row>
    <row r="257" spans="1:11" hidden="1" x14ac:dyDescent="0.25">
      <c r="A257" s="413">
        <f>+SUBTOTAL(3,$B$4:B257)</f>
        <v>26</v>
      </c>
      <c r="B257" s="413" t="str">
        <f>'Visual chart Edit'!B260</f>
        <v>43/3</v>
      </c>
      <c r="C257" s="413" t="str">
        <f>'Visual chart Edit'!C260</f>
        <v>DA+0</v>
      </c>
      <c r="D257" s="413" t="s">
        <v>1315</v>
      </c>
      <c r="E257" s="465">
        <f>'Visual chart Edit'!I260</f>
        <v>363.7</v>
      </c>
      <c r="F257" s="413" t="str">
        <f>'Visual chart Edit'!K260</f>
        <v>DRY</v>
      </c>
      <c r="G257" s="413" t="str">
        <f>'Visual chart Edit'!L260</f>
        <v>E</v>
      </c>
      <c r="H257" s="413"/>
      <c r="I257" s="413"/>
      <c r="J257" s="413"/>
      <c r="K257" s="413"/>
    </row>
    <row r="258" spans="1:11" hidden="1" x14ac:dyDescent="0.25">
      <c r="A258" s="413">
        <f>+SUBTOTAL(3,$B$4:B258)</f>
        <v>26</v>
      </c>
      <c r="B258" s="413" t="str">
        <f>'Visual chart Edit'!B261</f>
        <v>43/4</v>
      </c>
      <c r="C258" s="413" t="str">
        <f>'Visual chart Edit'!C261</f>
        <v>DA+3</v>
      </c>
      <c r="D258" s="413" t="s">
        <v>1315</v>
      </c>
      <c r="E258" s="465">
        <f>'Visual chart Edit'!I261</f>
        <v>431.8</v>
      </c>
      <c r="F258" s="413" t="str">
        <f>'Visual chart Edit'!K261</f>
        <v>Sandy</v>
      </c>
      <c r="G258" s="413" t="str">
        <f>'Visual chart Edit'!L261</f>
        <v>E</v>
      </c>
      <c r="H258" s="413"/>
      <c r="I258" s="413"/>
      <c r="J258" s="413"/>
      <c r="K258" s="413"/>
    </row>
    <row r="259" spans="1:11" hidden="1" x14ac:dyDescent="0.25">
      <c r="A259" s="413">
        <f>+SUBTOTAL(3,$B$4:B259)</f>
        <v>26</v>
      </c>
      <c r="B259" s="413" t="str">
        <f>'Visual chart Edit'!B262</f>
        <v>43/5</v>
      </c>
      <c r="C259" s="413" t="str">
        <f>'Visual chart Edit'!C262</f>
        <v>DA+3</v>
      </c>
      <c r="D259" s="413" t="s">
        <v>1315</v>
      </c>
      <c r="E259" s="465">
        <f>'Visual chart Edit'!I262</f>
        <v>405.3</v>
      </c>
      <c r="F259" s="413" t="str">
        <f>'Visual chart Edit'!K262</f>
        <v>DRY</v>
      </c>
      <c r="G259" s="413" t="str">
        <f>'Visual chart Edit'!L262</f>
        <v>E</v>
      </c>
      <c r="H259" s="413"/>
      <c r="I259" s="413"/>
      <c r="J259" s="413"/>
      <c r="K259" s="413"/>
    </row>
    <row r="260" spans="1:11" hidden="1" x14ac:dyDescent="0.25">
      <c r="A260" s="413">
        <f>+SUBTOTAL(3,$B$4:B260)</f>
        <v>26</v>
      </c>
      <c r="B260" s="413" t="str">
        <f>'Visual chart Edit'!B263</f>
        <v>43/6</v>
      </c>
      <c r="C260" s="413" t="str">
        <f>'Visual chart Edit'!C263</f>
        <v>DA+3</v>
      </c>
      <c r="D260" s="413" t="s">
        <v>1315</v>
      </c>
      <c r="E260" s="465">
        <f>'Visual chart Edit'!I263</f>
        <v>427.8</v>
      </c>
      <c r="F260" s="413" t="str">
        <f>'Visual chart Edit'!K263</f>
        <v>Sandy</v>
      </c>
      <c r="G260" s="413" t="str">
        <f>'Visual chart Edit'!L263</f>
        <v>E</v>
      </c>
      <c r="H260" s="413"/>
      <c r="I260" s="413"/>
      <c r="J260" s="413"/>
      <c r="K260" s="413"/>
    </row>
    <row r="261" spans="1:11" hidden="1" x14ac:dyDescent="0.25">
      <c r="A261" s="413">
        <f>+SUBTOTAL(3,$B$4:B261)</f>
        <v>26</v>
      </c>
      <c r="B261" s="413" t="str">
        <f>'Visual chart Edit'!B264</f>
        <v>43/7</v>
      </c>
      <c r="C261" s="413" t="str">
        <f>'Visual chart Edit'!C264</f>
        <v>DA+3</v>
      </c>
      <c r="D261" s="413" t="s">
        <v>1316</v>
      </c>
      <c r="E261" s="465">
        <f>'Visual chart Edit'!I264</f>
        <v>389.8</v>
      </c>
      <c r="F261" s="413" t="str">
        <f>'Visual chart Edit'!K264</f>
        <v>Sandy</v>
      </c>
      <c r="G261" s="413" t="str">
        <f>'Visual chart Edit'!L264</f>
        <v>E</v>
      </c>
      <c r="H261" s="413"/>
      <c r="I261" s="413"/>
      <c r="J261" s="413"/>
      <c r="K261" s="413"/>
    </row>
    <row r="262" spans="1:11" hidden="1" x14ac:dyDescent="0.25">
      <c r="A262" s="413">
        <f>+SUBTOTAL(3,$B$4:B262)</f>
        <v>26</v>
      </c>
      <c r="B262" s="413" t="str">
        <f>'Visual chart Edit'!B265</f>
        <v>43/8</v>
      </c>
      <c r="C262" s="413" t="str">
        <f>'Visual chart Edit'!C265</f>
        <v>DA+9</v>
      </c>
      <c r="D262" s="413" t="s">
        <v>1316</v>
      </c>
      <c r="E262" s="465">
        <f>'Visual chart Edit'!I265</f>
        <v>449.5</v>
      </c>
      <c r="F262" s="413" t="str">
        <f>'Visual chart Edit'!K265</f>
        <v>Sandy</v>
      </c>
      <c r="G262" s="413" t="str">
        <f>'Visual chart Edit'!L265</f>
        <v>E</v>
      </c>
      <c r="H262" s="413"/>
      <c r="I262" s="413"/>
      <c r="J262" s="413"/>
      <c r="K262" s="413"/>
    </row>
    <row r="263" spans="1:11" hidden="1" x14ac:dyDescent="0.25">
      <c r="A263" s="413">
        <f>+SUBTOTAL(3,$B$4:B263)</f>
        <v>26</v>
      </c>
      <c r="B263" s="413" t="str">
        <f>'Visual chart Edit'!B266</f>
        <v>43/9</v>
      </c>
      <c r="C263" s="413" t="str">
        <f>'Visual chart Edit'!C266</f>
        <v>DA+9</v>
      </c>
      <c r="D263" s="413" t="s">
        <v>1316</v>
      </c>
      <c r="E263" s="465">
        <f>'Visual chart Edit'!I266</f>
        <v>388</v>
      </c>
      <c r="F263" s="413" t="str">
        <f>'Visual chart Edit'!K266</f>
        <v>Sandy</v>
      </c>
      <c r="G263" s="413" t="str">
        <f>'Visual chart Edit'!L266</f>
        <v>E</v>
      </c>
      <c r="H263" s="413"/>
      <c r="I263" s="413"/>
      <c r="J263" s="413"/>
      <c r="K263" s="413"/>
    </row>
    <row r="264" spans="1:11" hidden="1" x14ac:dyDescent="0.25">
      <c r="A264" s="413">
        <f>+SUBTOTAL(3,$B$4:B264)</f>
        <v>26</v>
      </c>
      <c r="B264" s="413" t="str">
        <f>'Visual chart Edit'!B267</f>
        <v>43/10</v>
      </c>
      <c r="C264" s="413" t="str">
        <f>'Visual chart Edit'!C267</f>
        <v>DA+3</v>
      </c>
      <c r="D264" s="413" t="s">
        <v>1316</v>
      </c>
      <c r="E264" s="465">
        <f>'Visual chart Edit'!I267</f>
        <v>346.3</v>
      </c>
      <c r="F264" s="413" t="str">
        <f>'Visual chart Edit'!K267</f>
        <v>Sandy</v>
      </c>
      <c r="G264" s="413" t="str">
        <f>'Visual chart Edit'!L267</f>
        <v>E</v>
      </c>
      <c r="H264" s="413"/>
      <c r="I264" s="413"/>
      <c r="J264" s="413"/>
      <c r="K264" s="413"/>
    </row>
    <row r="265" spans="1:11" hidden="1" x14ac:dyDescent="0.25">
      <c r="A265" s="413">
        <f>+SUBTOTAL(3,$B$4:B265)</f>
        <v>26</v>
      </c>
      <c r="B265" s="413" t="str">
        <f>'Visual chart Edit'!B268</f>
        <v>43/11</v>
      </c>
      <c r="C265" s="413" t="str">
        <f>'Visual chart Edit'!C268</f>
        <v>DA+3</v>
      </c>
      <c r="D265" s="413" t="s">
        <v>1317</v>
      </c>
      <c r="E265" s="465">
        <f>'Visual chart Edit'!I268</f>
        <v>444.8</v>
      </c>
      <c r="F265" s="413" t="str">
        <f>'Visual chart Edit'!K268</f>
        <v>Sandy</v>
      </c>
      <c r="G265" s="413" t="str">
        <f>'Visual chart Edit'!L268</f>
        <v>E</v>
      </c>
      <c r="H265" s="413"/>
      <c r="I265" s="413"/>
      <c r="J265" s="413"/>
      <c r="K265" s="413"/>
    </row>
    <row r="266" spans="1:11" hidden="1" x14ac:dyDescent="0.25">
      <c r="A266" s="413">
        <f>+SUBTOTAL(3,$B$4:B266)</f>
        <v>26</v>
      </c>
      <c r="B266" s="413" t="str">
        <f>'Visual chart Edit'!B269</f>
        <v>44/0</v>
      </c>
      <c r="C266" s="413" t="str">
        <f>'Visual chart Edit'!C269</f>
        <v>DB1+3</v>
      </c>
      <c r="D266" s="413" t="s">
        <v>1317</v>
      </c>
      <c r="E266" s="465">
        <f>'Visual chart Edit'!I269</f>
        <v>383.9</v>
      </c>
      <c r="F266" s="413" t="str">
        <f>'Visual chart Edit'!K269</f>
        <v>Sandy</v>
      </c>
      <c r="G266" s="413" t="str">
        <f>'Visual chart Edit'!L269</f>
        <v>E</v>
      </c>
      <c r="H266" s="413"/>
      <c r="I266" s="413"/>
      <c r="J266" s="413"/>
      <c r="K266" s="413"/>
    </row>
    <row r="267" spans="1:11" hidden="1" x14ac:dyDescent="0.25">
      <c r="A267" s="413">
        <f>+SUBTOTAL(3,$B$4:B267)</f>
        <v>26</v>
      </c>
      <c r="B267" s="413" t="str">
        <f>'Visual chart Edit'!B270</f>
        <v>44/1</v>
      </c>
      <c r="C267" s="413" t="str">
        <f>'Visual chart Edit'!C270</f>
        <v>DA+0</v>
      </c>
      <c r="D267" s="413" t="s">
        <v>1317</v>
      </c>
      <c r="E267" s="465">
        <f>'Visual chart Edit'!I270</f>
        <v>384.3</v>
      </c>
      <c r="F267" s="413" t="str">
        <f>'Visual chart Edit'!K270</f>
        <v>Sandy</v>
      </c>
      <c r="G267" s="413" t="str">
        <f>'Visual chart Edit'!L270</f>
        <v>E</v>
      </c>
      <c r="H267" s="413"/>
      <c r="I267" s="413"/>
      <c r="J267" s="413"/>
      <c r="K267" s="413"/>
    </row>
    <row r="268" spans="1:11" hidden="1" x14ac:dyDescent="0.25">
      <c r="A268" s="413">
        <f>+SUBTOTAL(3,$B$4:B268)</f>
        <v>26</v>
      </c>
      <c r="B268" s="413" t="str">
        <f>'Visual chart Edit'!B271</f>
        <v>44/2</v>
      </c>
      <c r="C268" s="413" t="str">
        <f>'Visual chart Edit'!C271</f>
        <v>DA+0</v>
      </c>
      <c r="D268" s="413" t="s">
        <v>1317</v>
      </c>
      <c r="E268" s="465">
        <f>'Visual chart Edit'!I271</f>
        <v>359</v>
      </c>
      <c r="F268" s="413" t="str">
        <f>'Visual chart Edit'!K271</f>
        <v>Sandy</v>
      </c>
      <c r="G268" s="413" t="str">
        <f>'Visual chart Edit'!L271</f>
        <v>E</v>
      </c>
      <c r="H268" s="413"/>
      <c r="I268" s="413"/>
      <c r="J268" s="413"/>
      <c r="K268" s="413"/>
    </row>
    <row r="269" spans="1:11" hidden="1" x14ac:dyDescent="0.25">
      <c r="A269" s="413">
        <f>+SUBTOTAL(3,$B$4:B269)</f>
        <v>26</v>
      </c>
      <c r="B269" s="413" t="str">
        <f>'Visual chart Edit'!B272</f>
        <v>44/3</v>
      </c>
      <c r="C269" s="413" t="str">
        <f>'Visual chart Edit'!C272</f>
        <v>DA+0</v>
      </c>
      <c r="D269" s="413" t="s">
        <v>1317</v>
      </c>
      <c r="E269" s="465">
        <f>'Visual chart Edit'!I272</f>
        <v>334</v>
      </c>
      <c r="F269" s="413" t="str">
        <f>'Visual chart Edit'!K272</f>
        <v>Sandy</v>
      </c>
      <c r="G269" s="413" t="str">
        <f>'Visual chart Edit'!L272</f>
        <v>E</v>
      </c>
      <c r="H269" s="413"/>
      <c r="I269" s="413"/>
      <c r="J269" s="413"/>
      <c r="K269" s="413"/>
    </row>
    <row r="270" spans="1:11" hidden="1" x14ac:dyDescent="0.25">
      <c r="A270" s="413">
        <f>+SUBTOTAL(3,$B$4:B270)</f>
        <v>26</v>
      </c>
      <c r="B270" s="413" t="str">
        <f>'Visual chart Edit'!B273</f>
        <v>44/4</v>
      </c>
      <c r="C270" s="413" t="str">
        <f>'Visual chart Edit'!C273</f>
        <v>DA+9</v>
      </c>
      <c r="D270" s="413" t="s">
        <v>1317</v>
      </c>
      <c r="E270" s="465">
        <f>'Visual chart Edit'!I273</f>
        <v>395</v>
      </c>
      <c r="F270" s="413" t="str">
        <f>'Visual chart Edit'!K273</f>
        <v>Sandy</v>
      </c>
      <c r="G270" s="413" t="str">
        <f>'Visual chart Edit'!L273</f>
        <v>E</v>
      </c>
      <c r="H270" s="413"/>
      <c r="I270" s="413"/>
      <c r="J270" s="413"/>
      <c r="K270" s="413"/>
    </row>
    <row r="271" spans="1:11" hidden="1" x14ac:dyDescent="0.25">
      <c r="A271" s="413">
        <f>+SUBTOTAL(3,$B$4:B271)</f>
        <v>26</v>
      </c>
      <c r="B271" s="413" t="str">
        <f>'Visual chart Edit'!B274</f>
        <v>44/5</v>
      </c>
      <c r="C271" s="413" t="str">
        <f>'Visual chart Edit'!C274</f>
        <v>DA+9</v>
      </c>
      <c r="D271" s="413" t="s">
        <v>1317</v>
      </c>
      <c r="E271" s="465">
        <f>'Visual chart Edit'!I274</f>
        <v>355</v>
      </c>
      <c r="F271" s="413" t="str">
        <f>'Visual chart Edit'!K274</f>
        <v>Sandy</v>
      </c>
      <c r="G271" s="413" t="str">
        <f>'Visual chart Edit'!L274</f>
        <v>E</v>
      </c>
      <c r="H271" s="413"/>
      <c r="I271" s="413"/>
      <c r="J271" s="413"/>
      <c r="K271" s="413"/>
    </row>
    <row r="272" spans="1:11" hidden="1" x14ac:dyDescent="0.25">
      <c r="A272" s="413">
        <f>+SUBTOTAL(3,$B$4:B272)</f>
        <v>26</v>
      </c>
      <c r="B272" s="413" t="str">
        <f>'Visual chart Edit'!B275</f>
        <v>44/6</v>
      </c>
      <c r="C272" s="413" t="str">
        <f>'Visual chart Edit'!C275</f>
        <v>DB1+3</v>
      </c>
      <c r="D272" s="413" t="s">
        <v>1318</v>
      </c>
      <c r="E272" s="465">
        <f>'Visual chart Edit'!I275</f>
        <v>485</v>
      </c>
      <c r="F272" s="413" t="str">
        <f>'Visual chart Edit'!K275</f>
        <v>Sandy</v>
      </c>
      <c r="G272" s="413" t="str">
        <f>'Visual chart Edit'!L275</f>
        <v>E</v>
      </c>
      <c r="H272" s="413"/>
      <c r="I272" s="413"/>
      <c r="J272" s="413"/>
      <c r="K272" s="413"/>
    </row>
    <row r="273" spans="1:11" hidden="1" x14ac:dyDescent="0.25">
      <c r="A273" s="413">
        <f>+SUBTOTAL(3,$B$4:B273)</f>
        <v>26</v>
      </c>
      <c r="B273" s="413" t="str">
        <f>'Visual chart Edit'!B276</f>
        <v>44/7</v>
      </c>
      <c r="C273" s="413" t="str">
        <f>'Visual chart Edit'!C276</f>
        <v>DA+9</v>
      </c>
      <c r="D273" s="413" t="s">
        <v>1318</v>
      </c>
      <c r="E273" s="465">
        <f>'Visual chart Edit'!I276</f>
        <v>473</v>
      </c>
      <c r="F273" s="413" t="str">
        <f>'Visual chart Edit'!K276</f>
        <v>Sandy</v>
      </c>
      <c r="G273" s="413" t="str">
        <f>'Visual chart Edit'!L276</f>
        <v>E</v>
      </c>
      <c r="H273" s="413"/>
      <c r="I273" s="413"/>
      <c r="J273" s="413"/>
      <c r="K273" s="413"/>
    </row>
    <row r="274" spans="1:11" hidden="1" x14ac:dyDescent="0.25">
      <c r="A274" s="413">
        <f>+SUBTOTAL(3,$B$4:B274)</f>
        <v>26</v>
      </c>
      <c r="B274" s="413" t="str">
        <f>'Visual chart Edit'!B277</f>
        <v>44/8</v>
      </c>
      <c r="C274" s="413" t="str">
        <f>'Visual chart Edit'!C277</f>
        <v>DCT+0</v>
      </c>
      <c r="D274" s="413" t="s">
        <v>1318</v>
      </c>
      <c r="E274" s="465">
        <f>'Visual chart Edit'!I277</f>
        <v>367</v>
      </c>
      <c r="F274" s="413" t="str">
        <f>'Visual chart Edit'!K277</f>
        <v>Sandy</v>
      </c>
      <c r="G274" s="413" t="str">
        <f>'Visual chart Edit'!L277</f>
        <v>E</v>
      </c>
      <c r="H274" s="413"/>
      <c r="I274" s="413"/>
      <c r="J274" s="413"/>
      <c r="K274" s="413"/>
    </row>
    <row r="275" spans="1:11" hidden="1" x14ac:dyDescent="0.25">
      <c r="A275" s="413">
        <f>+SUBTOTAL(3,$B$4:B275)</f>
        <v>26</v>
      </c>
      <c r="B275" s="413" t="str">
        <f>'Visual chart Edit'!B278</f>
        <v>44/9</v>
      </c>
      <c r="C275" s="413" t="str">
        <f>'Visual chart Edit'!C278</f>
        <v>DA+9</v>
      </c>
      <c r="D275" s="413" t="s">
        <v>1318</v>
      </c>
      <c r="E275" s="465">
        <f>'Visual chart Edit'!I278</f>
        <v>430</v>
      </c>
      <c r="F275" s="413" t="str">
        <f>'Visual chart Edit'!K278</f>
        <v>Sandy</v>
      </c>
      <c r="G275" s="413" t="str">
        <f>'Visual chart Edit'!L278</f>
        <v>E</v>
      </c>
      <c r="H275" s="413"/>
      <c r="I275" s="413"/>
      <c r="J275" s="413"/>
      <c r="K275" s="413"/>
    </row>
    <row r="276" spans="1:11" hidden="1" x14ac:dyDescent="0.25">
      <c r="A276" s="413">
        <f>+SUBTOTAL(3,$B$4:B276)</f>
        <v>26</v>
      </c>
      <c r="B276" s="413" t="str">
        <f>'Visual chart Edit'!B279</f>
        <v>44/10</v>
      </c>
      <c r="C276" s="413" t="str">
        <f>'Visual chart Edit'!C279</f>
        <v>DB1+9</v>
      </c>
      <c r="D276" s="413" t="s">
        <v>1318</v>
      </c>
      <c r="E276" s="465">
        <f>'Visual chart Edit'!I279</f>
        <v>365</v>
      </c>
      <c r="F276" s="413" t="str">
        <f>'Visual chart Edit'!K279</f>
        <v>Sandy</v>
      </c>
      <c r="G276" s="413" t="str">
        <f>'Visual chart Edit'!L279</f>
        <v>E</v>
      </c>
      <c r="H276" s="413"/>
      <c r="I276" s="413"/>
      <c r="J276" s="413"/>
      <c r="K276" s="413"/>
    </row>
    <row r="277" spans="1:11" hidden="1" x14ac:dyDescent="0.25">
      <c r="A277" s="413">
        <f>+SUBTOTAL(3,$B$4:B277)</f>
        <v>26</v>
      </c>
      <c r="B277" s="413" t="str">
        <f>'Visual chart Edit'!B280</f>
        <v>44/11</v>
      </c>
      <c r="C277" s="413" t="str">
        <f>'Visual chart Edit'!C280</f>
        <v>DA+0</v>
      </c>
      <c r="D277" s="413" t="s">
        <v>1318</v>
      </c>
      <c r="E277" s="465">
        <f>'Visual chart Edit'!I280</f>
        <v>428</v>
      </c>
      <c r="F277" s="413" t="str">
        <f>'Visual chart Edit'!K280</f>
        <v>Sandy</v>
      </c>
      <c r="G277" s="413" t="str">
        <f>'Visual chart Edit'!L280</f>
        <v>E</v>
      </c>
      <c r="H277" s="413"/>
      <c r="I277" s="413"/>
      <c r="J277" s="413"/>
      <c r="K277" s="413"/>
    </row>
    <row r="278" spans="1:11" hidden="1" x14ac:dyDescent="0.25">
      <c r="A278" s="413">
        <f>+SUBTOTAL(3,$B$4:B278)</f>
        <v>26</v>
      </c>
      <c r="B278" s="413" t="str">
        <f>'Visual chart Edit'!B281</f>
        <v>45/0</v>
      </c>
      <c r="C278" s="413" t="str">
        <f>'Visual chart Edit'!C281</f>
        <v>DC2+0</v>
      </c>
      <c r="D278" s="413" t="s">
        <v>1318</v>
      </c>
      <c r="E278" s="465">
        <f>'Visual chart Edit'!I281</f>
        <v>327.2</v>
      </c>
      <c r="F278" s="413" t="str">
        <f>'Visual chart Edit'!K281</f>
        <v>Sandy</v>
      </c>
      <c r="G278" s="413" t="str">
        <f>'Visual chart Edit'!L281</f>
        <v>E</v>
      </c>
      <c r="H278" s="413"/>
      <c r="I278" s="413"/>
      <c r="J278" s="413"/>
      <c r="K278" s="413"/>
    </row>
    <row r="279" spans="1:11" hidden="1" x14ac:dyDescent="0.25">
      <c r="A279" s="413">
        <f>+SUBTOTAL(3,$B$4:B279)</f>
        <v>26</v>
      </c>
      <c r="B279" s="413" t="str">
        <f>'Visual chart Edit'!B282</f>
        <v>45/1</v>
      </c>
      <c r="C279" s="413" t="str">
        <f>'Visual chart Edit'!C282</f>
        <v>DA+9</v>
      </c>
      <c r="D279" s="413" t="s">
        <v>1318</v>
      </c>
      <c r="E279" s="465">
        <f>'Visual chart Edit'!I282</f>
        <v>294.92</v>
      </c>
      <c r="F279" s="413" t="str">
        <f>'Visual chart Edit'!K282</f>
        <v>Sandy</v>
      </c>
      <c r="G279" s="413" t="str">
        <f>'Visual chart Edit'!L282</f>
        <v>E</v>
      </c>
      <c r="H279" s="413"/>
      <c r="I279" s="413"/>
      <c r="J279" s="413"/>
      <c r="K279" s="413"/>
    </row>
    <row r="280" spans="1:11" hidden="1" x14ac:dyDescent="0.25">
      <c r="A280" s="413">
        <f>+SUBTOTAL(3,$B$4:B280)</f>
        <v>26</v>
      </c>
      <c r="B280" s="745" t="str">
        <f>'Visual chart Edit'!B283</f>
        <v>46/0</v>
      </c>
      <c r="C280" s="413" t="str">
        <f>'Visual chart Edit'!C283</f>
        <v>DD60+25</v>
      </c>
      <c r="D280" s="413" t="s">
        <v>1319</v>
      </c>
      <c r="E280" s="465">
        <f>'Visual chart Edit'!I283</f>
        <v>406.54</v>
      </c>
      <c r="F280" s="413" t="str">
        <f>'Visual chart Edit'!K283</f>
        <v>Sandy</v>
      </c>
      <c r="G280" s="413" t="str">
        <f>'Visual chart Edit'!L283</f>
        <v>E</v>
      </c>
      <c r="H280" s="413"/>
      <c r="I280" s="413"/>
      <c r="J280" s="413"/>
      <c r="K280" s="413"/>
    </row>
    <row r="281" spans="1:11" hidden="1" x14ac:dyDescent="0.25">
      <c r="A281" s="413">
        <f>+SUBTOTAL(3,$B$4:B281)</f>
        <v>26</v>
      </c>
      <c r="B281" s="745" t="str">
        <f>'Visual chart Edit'!B284</f>
        <v>47/0</v>
      </c>
      <c r="C281" s="413" t="str">
        <f>'Visual chart Edit'!C284</f>
        <v>DD60+25</v>
      </c>
      <c r="D281" s="413" t="s">
        <v>1319</v>
      </c>
      <c r="E281" s="465">
        <f>'Visual chart Edit'!I284</f>
        <v>199.08</v>
      </c>
      <c r="F281" s="413" t="str">
        <f>'Visual chart Edit'!K284</f>
        <v>Sandy</v>
      </c>
      <c r="G281" s="413" t="str">
        <f>'Visual chart Edit'!L284</f>
        <v>E</v>
      </c>
      <c r="H281" s="413"/>
      <c r="I281" s="413"/>
      <c r="J281" s="413"/>
      <c r="K281" s="413"/>
    </row>
    <row r="282" spans="1:11" hidden="1" x14ac:dyDescent="0.25">
      <c r="A282" s="413">
        <f>+SUBTOTAL(3,$B$4:B282)</f>
        <v>26</v>
      </c>
      <c r="B282" s="413" t="str">
        <f>'Visual chart Edit'!B285</f>
        <v>47/1</v>
      </c>
      <c r="C282" s="413" t="str">
        <f>'Visual chart Edit'!C285</f>
        <v>DA+3</v>
      </c>
      <c r="D282" s="413" t="s">
        <v>1319</v>
      </c>
      <c r="E282" s="465">
        <f>'Visual chart Edit'!I285</f>
        <v>441.2</v>
      </c>
      <c r="F282" s="413" t="str">
        <f>'Visual chart Edit'!K285</f>
        <v>Sandy</v>
      </c>
      <c r="G282" s="413" t="str">
        <f>'Visual chart Edit'!L285</f>
        <v>E</v>
      </c>
      <c r="H282" s="413" t="s">
        <v>124</v>
      </c>
      <c r="I282" s="413"/>
      <c r="J282" s="413"/>
      <c r="K282" s="413"/>
    </row>
    <row r="283" spans="1:11" hidden="1" x14ac:dyDescent="0.25">
      <c r="A283" s="413">
        <f>+SUBTOTAL(3,$B$4:B283)</f>
        <v>26</v>
      </c>
      <c r="B283" s="413" t="str">
        <f>'Visual chart Edit'!B286</f>
        <v>47/2</v>
      </c>
      <c r="C283" s="413" t="str">
        <f>'Visual chart Edit'!C286</f>
        <v>DA+9</v>
      </c>
      <c r="D283" s="413" t="s">
        <v>1319</v>
      </c>
      <c r="E283" s="465">
        <f>'Visual chart Edit'!I286</f>
        <v>365.93</v>
      </c>
      <c r="F283" s="413" t="str">
        <f>'Visual chart Edit'!K286</f>
        <v>Sandy</v>
      </c>
      <c r="G283" s="413" t="str">
        <f>'Visual chart Edit'!L286</f>
        <v>E</v>
      </c>
      <c r="H283" s="413" t="s">
        <v>124</v>
      </c>
      <c r="I283" s="413"/>
      <c r="J283" s="413"/>
      <c r="K283" s="413"/>
    </row>
    <row r="284" spans="1:11" hidden="1" x14ac:dyDescent="0.25">
      <c r="A284" s="413">
        <f>+SUBTOTAL(3,$B$4:B284)</f>
        <v>26</v>
      </c>
      <c r="B284" s="413" t="str">
        <f>'Visual chart Edit'!B287</f>
        <v>47/3</v>
      </c>
      <c r="C284" s="413" t="str">
        <f>'Visual chart Edit'!C287</f>
        <v>DA+9</v>
      </c>
      <c r="D284" s="413" t="s">
        <v>1319</v>
      </c>
      <c r="E284" s="465">
        <f>'Visual chart Edit'!I287</f>
        <v>417.4</v>
      </c>
      <c r="F284" s="413" t="str">
        <f>'Visual chart Edit'!K287</f>
        <v>Sandy</v>
      </c>
      <c r="G284" s="413" t="str">
        <f>'Visual chart Edit'!L287</f>
        <v>E</v>
      </c>
      <c r="H284" s="413" t="s">
        <v>124</v>
      </c>
      <c r="I284" s="413"/>
      <c r="J284" s="413"/>
      <c r="K284" s="413"/>
    </row>
    <row r="285" spans="1:11" hidden="1" x14ac:dyDescent="0.25">
      <c r="A285" s="413">
        <f>+SUBTOTAL(3,$B$4:B285)</f>
        <v>26</v>
      </c>
      <c r="B285" s="413" t="str">
        <f>'Visual chart Edit'!B288</f>
        <v>47/4</v>
      </c>
      <c r="C285" s="413" t="str">
        <f>'Visual chart Edit'!C288</f>
        <v>DA+3</v>
      </c>
      <c r="D285" s="413" t="s">
        <v>1319</v>
      </c>
      <c r="E285" s="465">
        <f>'Visual chart Edit'!I288</f>
        <v>358.4</v>
      </c>
      <c r="F285" s="413" t="str">
        <f>'Visual chart Edit'!K288</f>
        <v>Sandy</v>
      </c>
      <c r="G285" s="413" t="str">
        <f>'Visual chart Edit'!L288</f>
        <v>E</v>
      </c>
      <c r="H285" s="413" t="s">
        <v>124</v>
      </c>
      <c r="I285" s="413"/>
      <c r="J285" s="413"/>
      <c r="K285" s="413"/>
    </row>
    <row r="286" spans="1:11" hidden="1" x14ac:dyDescent="0.25">
      <c r="A286" s="413">
        <f>+SUBTOTAL(3,$B$4:B286)</f>
        <v>26</v>
      </c>
      <c r="B286" s="413" t="str">
        <f>'Visual chart Edit'!B289</f>
        <v>47/5</v>
      </c>
      <c r="C286" s="413" t="str">
        <f>'Visual chart Edit'!C289</f>
        <v>DA+0</v>
      </c>
      <c r="D286" s="413" t="s">
        <v>1319</v>
      </c>
      <c r="E286" s="465">
        <f>'Visual chart Edit'!I289</f>
        <v>461.2</v>
      </c>
      <c r="F286" s="413" t="str">
        <f>'Visual chart Edit'!K289</f>
        <v>Sandy</v>
      </c>
      <c r="G286" s="413" t="str">
        <f>'Visual chart Edit'!L289</f>
        <v>E</v>
      </c>
      <c r="H286" s="413" t="s">
        <v>124</v>
      </c>
      <c r="I286" s="413"/>
      <c r="J286" s="413"/>
      <c r="K286" s="413"/>
    </row>
    <row r="287" spans="1:11" hidden="1" x14ac:dyDescent="0.25">
      <c r="A287" s="413">
        <f>+SUBTOTAL(3,$B$4:B287)</f>
        <v>26</v>
      </c>
      <c r="B287" s="413" t="str">
        <f>'Visual chart Edit'!B290</f>
        <v>47/6</v>
      </c>
      <c r="C287" s="413" t="str">
        <f>'Visual chart Edit'!C290</f>
        <v>DA+3</v>
      </c>
      <c r="D287" s="413" t="s">
        <v>1319</v>
      </c>
      <c r="E287" s="465">
        <f>'Visual chart Edit'!I290</f>
        <v>377.3</v>
      </c>
      <c r="F287" s="413" t="str">
        <f>'Visual chart Edit'!K290</f>
        <v>Sandy</v>
      </c>
      <c r="G287" s="413" t="str">
        <f>'Visual chart Edit'!L290</f>
        <v>E</v>
      </c>
      <c r="H287" s="413" t="s">
        <v>124</v>
      </c>
      <c r="I287" s="413"/>
      <c r="J287" s="413"/>
      <c r="K287" s="413"/>
    </row>
    <row r="288" spans="1:11" hidden="1" x14ac:dyDescent="0.25">
      <c r="A288" s="413">
        <f>+SUBTOTAL(3,$B$4:B288)</f>
        <v>26</v>
      </c>
      <c r="B288" s="413" t="str">
        <f>'Visual chart Edit'!B291</f>
        <v>47/7</v>
      </c>
      <c r="C288" s="413" t="str">
        <f>'Visual chart Edit'!C291</f>
        <v>DA+3</v>
      </c>
      <c r="D288" s="413" t="s">
        <v>1319</v>
      </c>
      <c r="E288" s="465">
        <f>'Visual chart Edit'!I291</f>
        <v>431.5</v>
      </c>
      <c r="F288" s="413" t="str">
        <f>'Visual chart Edit'!K291</f>
        <v>Sandy</v>
      </c>
      <c r="G288" s="413" t="str">
        <f>'Visual chart Edit'!L291</f>
        <v>E</v>
      </c>
      <c r="H288" s="413" t="s">
        <v>124</v>
      </c>
      <c r="I288" s="413"/>
      <c r="J288" s="413"/>
      <c r="K288" s="413"/>
    </row>
    <row r="289" spans="1:11" hidden="1" x14ac:dyDescent="0.25">
      <c r="A289" s="413">
        <f>+SUBTOTAL(3,$B$4:B289)</f>
        <v>26</v>
      </c>
      <c r="B289" s="413" t="str">
        <f>'Visual chart Edit'!B292</f>
        <v>47/8</v>
      </c>
      <c r="C289" s="413" t="str">
        <f>'Visual chart Edit'!C292</f>
        <v>DA+0</v>
      </c>
      <c r="D289" s="413" t="s">
        <v>1320</v>
      </c>
      <c r="E289" s="465">
        <f>'Visual chart Edit'!I292</f>
        <v>398.8</v>
      </c>
      <c r="F289" s="413" t="str">
        <f>'Visual chart Edit'!K292</f>
        <v>Sandy</v>
      </c>
      <c r="G289" s="413" t="str">
        <f>'Visual chart Edit'!L292</f>
        <v>E</v>
      </c>
      <c r="H289" s="413" t="s">
        <v>124</v>
      </c>
      <c r="I289" s="413"/>
      <c r="J289" s="413"/>
      <c r="K289" s="413"/>
    </row>
    <row r="290" spans="1:11" hidden="1" x14ac:dyDescent="0.25">
      <c r="A290" s="413">
        <f>+SUBTOTAL(3,$B$4:B290)</f>
        <v>26</v>
      </c>
      <c r="B290" s="413" t="str">
        <f>'Visual chart Edit'!B293</f>
        <v>47/9</v>
      </c>
      <c r="C290" s="413" t="str">
        <f>'Visual chart Edit'!C293</f>
        <v>DA+3</v>
      </c>
      <c r="D290" s="413" t="s">
        <v>1320</v>
      </c>
      <c r="E290" s="465">
        <f>'Visual chart Edit'!I293</f>
        <v>405.9</v>
      </c>
      <c r="F290" s="413" t="str">
        <f>'Visual chart Edit'!K293</f>
        <v>Sandy</v>
      </c>
      <c r="G290" s="413" t="str">
        <f>'Visual chart Edit'!L293</f>
        <v>E</v>
      </c>
      <c r="H290" s="413" t="s">
        <v>124</v>
      </c>
      <c r="I290" s="413"/>
      <c r="J290" s="413"/>
      <c r="K290" s="413"/>
    </row>
    <row r="291" spans="1:11" hidden="1" x14ac:dyDescent="0.25">
      <c r="A291" s="413">
        <f>+SUBTOTAL(3,$B$4:B291)</f>
        <v>26</v>
      </c>
      <c r="B291" s="413" t="str">
        <f>'Visual chart Edit'!B294</f>
        <v>47/10</v>
      </c>
      <c r="C291" s="413" t="str">
        <f>'Visual chart Edit'!C294</f>
        <v>DA+6</v>
      </c>
      <c r="D291" s="413" t="s">
        <v>1320</v>
      </c>
      <c r="E291" s="465">
        <f>'Visual chart Edit'!I294</f>
        <v>433.7</v>
      </c>
      <c r="F291" s="413" t="str">
        <f>'Visual chart Edit'!K294</f>
        <v>Sandy</v>
      </c>
      <c r="G291" s="413" t="str">
        <f>'Visual chart Edit'!L294</f>
        <v>E</v>
      </c>
      <c r="H291" s="413" t="s">
        <v>124</v>
      </c>
      <c r="I291" s="413"/>
      <c r="J291" s="413"/>
      <c r="K291" s="413"/>
    </row>
    <row r="292" spans="1:11" hidden="1" x14ac:dyDescent="0.25">
      <c r="A292" s="413">
        <f>+SUBTOTAL(3,$B$4:B292)</f>
        <v>26</v>
      </c>
      <c r="B292" s="413" t="str">
        <f>'Visual chart Edit'!B295</f>
        <v>48/0</v>
      </c>
      <c r="C292" s="413" t="str">
        <f>'Visual chart Edit'!C295</f>
        <v>DC2+0</v>
      </c>
      <c r="D292" s="413" t="s">
        <v>1320</v>
      </c>
      <c r="E292" s="465">
        <f>'Visual chart Edit'!I295</f>
        <v>386.2</v>
      </c>
      <c r="F292" s="413" t="str">
        <f>'Visual chart Edit'!K295</f>
        <v>Sandy</v>
      </c>
      <c r="G292" s="413" t="str">
        <f>'Visual chart Edit'!L295</f>
        <v>E</v>
      </c>
      <c r="H292" s="413" t="s">
        <v>124</v>
      </c>
      <c r="I292" s="413"/>
      <c r="J292" s="413"/>
      <c r="K292" s="413"/>
    </row>
    <row r="293" spans="1:11" hidden="1" x14ac:dyDescent="0.25">
      <c r="A293" s="413">
        <f>+SUBTOTAL(3,$B$4:B293)</f>
        <v>26</v>
      </c>
      <c r="B293" s="413" t="str">
        <f>'Visual chart Edit'!B296</f>
        <v>48/1</v>
      </c>
      <c r="C293" s="413" t="str">
        <f>'Visual chart Edit'!C296</f>
        <v>DA+9</v>
      </c>
      <c r="D293" s="413" t="s">
        <v>1321</v>
      </c>
      <c r="E293" s="465">
        <f>'Visual chart Edit'!I296</f>
        <v>428.9</v>
      </c>
      <c r="F293" s="413" t="str">
        <f>'Visual chart Edit'!K296</f>
        <v>Sandy</v>
      </c>
      <c r="G293" s="413" t="str">
        <f>'Visual chart Edit'!L296</f>
        <v>E</v>
      </c>
      <c r="H293" s="413" t="s">
        <v>124</v>
      </c>
      <c r="I293" s="413"/>
      <c r="J293" s="413"/>
      <c r="K293" s="413"/>
    </row>
    <row r="294" spans="1:11" hidden="1" x14ac:dyDescent="0.25">
      <c r="A294" s="413">
        <f>+SUBTOTAL(3,$B$4:B294)</f>
        <v>26</v>
      </c>
      <c r="B294" s="413" t="str">
        <f>'Visual chart Edit'!B297</f>
        <v>49/0</v>
      </c>
      <c r="C294" s="413" t="str">
        <f>'Visual chart Edit'!C297</f>
        <v>DD45+0</v>
      </c>
      <c r="D294" s="413" t="s">
        <v>1321</v>
      </c>
      <c r="E294" s="465">
        <f>'Visual chart Edit'!I297</f>
        <v>402.9</v>
      </c>
      <c r="F294" s="413" t="str">
        <f>'Visual chart Edit'!K297</f>
        <v>Sandy</v>
      </c>
      <c r="G294" s="413" t="str">
        <f>'Visual chart Edit'!L297</f>
        <v>E</v>
      </c>
      <c r="H294" s="413" t="s">
        <v>124</v>
      </c>
      <c r="I294" s="413"/>
      <c r="J294" s="413"/>
      <c r="K294" s="413"/>
    </row>
    <row r="295" spans="1:11" hidden="1" x14ac:dyDescent="0.25">
      <c r="A295" s="413">
        <f>+SUBTOTAL(3,$B$4:B295)</f>
        <v>26</v>
      </c>
      <c r="B295" s="413" t="str">
        <f>'Visual chart Edit'!B298</f>
        <v>49/1</v>
      </c>
      <c r="C295" s="413" t="str">
        <f>'Visual chart Edit'!C298</f>
        <v>DA+0</v>
      </c>
      <c r="D295" s="413" t="s">
        <v>1321</v>
      </c>
      <c r="E295" s="465">
        <f>'Visual chart Edit'!I298</f>
        <v>379.1</v>
      </c>
      <c r="F295" s="413" t="str">
        <f>'Visual chart Edit'!K298</f>
        <v>Sandy</v>
      </c>
      <c r="G295" s="413" t="str">
        <f>'Visual chart Edit'!L298</f>
        <v>E</v>
      </c>
      <c r="H295" s="413" t="s">
        <v>419</v>
      </c>
      <c r="I295" s="413"/>
      <c r="J295" s="413" t="s">
        <v>419</v>
      </c>
      <c r="K295" s="413"/>
    </row>
    <row r="296" spans="1:11" hidden="1" x14ac:dyDescent="0.25">
      <c r="A296" s="413">
        <f>+SUBTOTAL(3,$B$4:B296)</f>
        <v>26</v>
      </c>
      <c r="B296" s="413" t="str">
        <f>'Visual chart Edit'!B299</f>
        <v>49/2</v>
      </c>
      <c r="C296" s="413" t="str">
        <f>'Visual chart Edit'!C299</f>
        <v>DA+3</v>
      </c>
      <c r="D296" s="413" t="s">
        <v>1321</v>
      </c>
      <c r="E296" s="465">
        <f>'Visual chart Edit'!I299</f>
        <v>386.6</v>
      </c>
      <c r="F296" s="413" t="str">
        <f>'Visual chart Edit'!K299</f>
        <v>Sandy</v>
      </c>
      <c r="G296" s="413" t="str">
        <f>'Visual chart Edit'!L299</f>
        <v>E</v>
      </c>
      <c r="H296" s="413" t="s">
        <v>419</v>
      </c>
      <c r="I296" s="413" t="s">
        <v>419</v>
      </c>
      <c r="J296" s="413" t="s">
        <v>419</v>
      </c>
      <c r="K296" s="413"/>
    </row>
    <row r="297" spans="1:11" hidden="1" x14ac:dyDescent="0.25">
      <c r="A297" s="413">
        <f>+SUBTOTAL(3,$B$4:B297)</f>
        <v>26</v>
      </c>
      <c r="B297" s="413" t="str">
        <f>'Visual chart Edit'!B300</f>
        <v>49/3</v>
      </c>
      <c r="C297" s="413" t="str">
        <f>'Visual chart Edit'!C300</f>
        <v>DA+3</v>
      </c>
      <c r="D297" s="413" t="s">
        <v>1321</v>
      </c>
      <c r="E297" s="465">
        <f>'Visual chart Edit'!I300</f>
        <v>390</v>
      </c>
      <c r="F297" s="413" t="str">
        <f>'Visual chart Edit'!K300</f>
        <v>Sandy</v>
      </c>
      <c r="G297" s="413" t="str">
        <f>'Visual chart Edit'!L300</f>
        <v>E</v>
      </c>
      <c r="H297" s="413" t="s">
        <v>419</v>
      </c>
      <c r="I297" s="413" t="s">
        <v>419</v>
      </c>
      <c r="J297" s="413" t="s">
        <v>419</v>
      </c>
      <c r="K297" s="413"/>
    </row>
    <row r="298" spans="1:11" hidden="1" x14ac:dyDescent="0.25">
      <c r="A298" s="413">
        <f>+SUBTOTAL(3,$B$4:B298)</f>
        <v>26</v>
      </c>
      <c r="B298" s="413" t="str">
        <f>'Visual chart Edit'!B301</f>
        <v>49/4</v>
      </c>
      <c r="C298" s="413" t="str">
        <f>'Visual chart Edit'!C301</f>
        <v>DA+3</v>
      </c>
      <c r="D298" s="413" t="s">
        <v>1321</v>
      </c>
      <c r="E298" s="465">
        <f>'Visual chart Edit'!I301</f>
        <v>421.7</v>
      </c>
      <c r="F298" s="413" t="str">
        <f>'Visual chart Edit'!K301</f>
        <v>Sandy</v>
      </c>
      <c r="G298" s="413" t="str">
        <f>'Visual chart Edit'!L301</f>
        <v>E</v>
      </c>
      <c r="H298" s="413" t="s">
        <v>419</v>
      </c>
      <c r="I298" s="413" t="s">
        <v>419</v>
      </c>
      <c r="J298" s="413" t="s">
        <v>419</v>
      </c>
      <c r="K298" s="413"/>
    </row>
    <row r="299" spans="1:11" hidden="1" x14ac:dyDescent="0.25">
      <c r="A299" s="413">
        <f>+SUBTOTAL(3,$B$4:B299)</f>
        <v>26</v>
      </c>
      <c r="B299" s="413" t="str">
        <f>'Visual chart Edit'!B302</f>
        <v>49/5</v>
      </c>
      <c r="C299" s="413" t="str">
        <f>'Visual chart Edit'!C302</f>
        <v>DA+3</v>
      </c>
      <c r="D299" s="413" t="s">
        <v>1322</v>
      </c>
      <c r="E299" s="465">
        <f>'Visual chart Edit'!I302</f>
        <v>396.6</v>
      </c>
      <c r="F299" s="413" t="str">
        <f>'Visual chart Edit'!K302</f>
        <v>Sandy</v>
      </c>
      <c r="G299" s="413" t="str">
        <f>'Visual chart Edit'!L302</f>
        <v>E</v>
      </c>
      <c r="H299" s="413" t="s">
        <v>419</v>
      </c>
      <c r="I299" s="413" t="s">
        <v>419</v>
      </c>
      <c r="J299" s="413" t="s">
        <v>419</v>
      </c>
      <c r="K299" s="413"/>
    </row>
    <row r="300" spans="1:11" hidden="1" x14ac:dyDescent="0.25">
      <c r="A300" s="413">
        <f>+SUBTOTAL(3,$B$4:B300)</f>
        <v>26</v>
      </c>
      <c r="B300" s="413" t="str">
        <f>'Visual chart Edit'!B303</f>
        <v>49/6</v>
      </c>
      <c r="C300" s="413" t="str">
        <f>'Visual chart Edit'!C303</f>
        <v>DA+0</v>
      </c>
      <c r="D300" s="413" t="s">
        <v>1322</v>
      </c>
      <c r="E300" s="465">
        <f>'Visual chart Edit'!I303</f>
        <v>412.8</v>
      </c>
      <c r="F300" s="413" t="str">
        <f>'Visual chart Edit'!K303</f>
        <v>Sandy</v>
      </c>
      <c r="G300" s="413" t="str">
        <f>'Visual chart Edit'!L303</f>
        <v>E</v>
      </c>
      <c r="H300" s="413" t="s">
        <v>419</v>
      </c>
      <c r="I300" s="413" t="s">
        <v>419</v>
      </c>
      <c r="J300" s="413" t="s">
        <v>419</v>
      </c>
      <c r="K300" s="413"/>
    </row>
    <row r="301" spans="1:11" hidden="1" x14ac:dyDescent="0.25">
      <c r="A301" s="413">
        <f>+SUBTOTAL(3,$B$4:B301)</f>
        <v>26</v>
      </c>
      <c r="B301" s="413" t="str">
        <f>'Visual chart Edit'!B304</f>
        <v>49/7</v>
      </c>
      <c r="C301" s="413" t="str">
        <f>'Visual chart Edit'!C304</f>
        <v>DA+0</v>
      </c>
      <c r="D301" s="413" t="s">
        <v>1322</v>
      </c>
      <c r="E301" s="465">
        <f>'Visual chart Edit'!I304</f>
        <v>340.2</v>
      </c>
      <c r="F301" s="413" t="str">
        <f>'Visual chart Edit'!K304</f>
        <v>Sandy</v>
      </c>
      <c r="G301" s="413" t="str">
        <f>'Visual chart Edit'!L304</f>
        <v>E</v>
      </c>
      <c r="H301" s="413" t="s">
        <v>419</v>
      </c>
      <c r="I301" s="413" t="s">
        <v>419</v>
      </c>
      <c r="J301" s="413" t="s">
        <v>419</v>
      </c>
      <c r="K301" s="413"/>
    </row>
    <row r="302" spans="1:11" hidden="1" x14ac:dyDescent="0.25">
      <c r="A302" s="413">
        <f>+SUBTOTAL(3,$B$4:B302)</f>
        <v>26</v>
      </c>
      <c r="B302" s="413" t="str">
        <f>'Visual chart Edit'!B305</f>
        <v>50/0</v>
      </c>
      <c r="C302" s="413" t="str">
        <f>'Visual chart Edit'!C305</f>
        <v>DB2+0</v>
      </c>
      <c r="D302" s="413" t="s">
        <v>1322</v>
      </c>
      <c r="E302" s="465">
        <f>'Visual chart Edit'!I305</f>
        <v>500.2</v>
      </c>
      <c r="F302" s="413" t="str">
        <f>'Visual chart Edit'!K305</f>
        <v>Sandy</v>
      </c>
      <c r="G302" s="413" t="str">
        <f>'Visual chart Edit'!L305</f>
        <v>E</v>
      </c>
      <c r="H302" s="413" t="s">
        <v>419</v>
      </c>
      <c r="I302" s="413"/>
      <c r="J302" s="413" t="s">
        <v>419</v>
      </c>
      <c r="K302" s="413" t="s">
        <v>419</v>
      </c>
    </row>
    <row r="303" spans="1:11" hidden="1" x14ac:dyDescent="0.25">
      <c r="A303" s="413">
        <f>+SUBTOTAL(3,$B$4:B303)</f>
        <v>26</v>
      </c>
      <c r="B303" s="413" t="str">
        <f>'Visual chart Edit'!B306</f>
        <v>50/1</v>
      </c>
      <c r="C303" s="413" t="str">
        <f>'Visual chart Edit'!C306</f>
        <v>DA+6</v>
      </c>
      <c r="D303" s="413" t="s">
        <v>1322</v>
      </c>
      <c r="E303" s="465">
        <f>'Visual chart Edit'!I306</f>
        <v>469.1</v>
      </c>
      <c r="F303" s="413" t="str">
        <f>'Visual chart Edit'!K306</f>
        <v>Sandy</v>
      </c>
      <c r="G303" s="413" t="str">
        <f>'Visual chart Edit'!L306</f>
        <v>E</v>
      </c>
      <c r="H303" s="413" t="s">
        <v>419</v>
      </c>
      <c r="I303" s="413" t="s">
        <v>419</v>
      </c>
      <c r="J303" s="413" t="s">
        <v>419</v>
      </c>
      <c r="K303" s="413"/>
    </row>
    <row r="304" spans="1:11" hidden="1" x14ac:dyDescent="0.25">
      <c r="A304" s="413">
        <f>+SUBTOTAL(3,$B$4:B304)</f>
        <v>26</v>
      </c>
      <c r="B304" s="413" t="str">
        <f>'Visual chart Edit'!B307</f>
        <v>50/2</v>
      </c>
      <c r="C304" s="413" t="str">
        <f>'Visual chart Edit'!C307</f>
        <v>DA+9</v>
      </c>
      <c r="D304" s="413" t="s">
        <v>1322</v>
      </c>
      <c r="E304" s="465">
        <f>'Visual chart Edit'!I307</f>
        <v>367.1</v>
      </c>
      <c r="F304" s="413" t="str">
        <f>'Visual chart Edit'!K307</f>
        <v>Sandy</v>
      </c>
      <c r="G304" s="413" t="str">
        <f>'Visual chart Edit'!L307</f>
        <v>E</v>
      </c>
      <c r="H304" s="413" t="s">
        <v>419</v>
      </c>
      <c r="I304" s="413" t="s">
        <v>419</v>
      </c>
      <c r="J304" s="413" t="s">
        <v>419</v>
      </c>
      <c r="K304" s="413"/>
    </row>
    <row r="305" spans="1:11" hidden="1" x14ac:dyDescent="0.25">
      <c r="A305" s="413">
        <f>+SUBTOTAL(3,$B$4:B305)</f>
        <v>26</v>
      </c>
      <c r="B305" s="413" t="str">
        <f>'Visual chart Edit'!B308</f>
        <v>50/3</v>
      </c>
      <c r="C305" s="413" t="str">
        <f>'Visual chart Edit'!C308</f>
        <v>DA+6</v>
      </c>
      <c r="D305" s="413" t="s">
        <v>1322</v>
      </c>
      <c r="E305" s="465">
        <f>'Visual chart Edit'!I308</f>
        <v>470.4</v>
      </c>
      <c r="F305" s="413" t="str">
        <f>'Visual chart Edit'!K308</f>
        <v>Sandy</v>
      </c>
      <c r="G305" s="413" t="str">
        <f>'Visual chart Edit'!L308</f>
        <v>E</v>
      </c>
      <c r="H305" s="413" t="s">
        <v>419</v>
      </c>
      <c r="I305" s="413" t="s">
        <v>419</v>
      </c>
      <c r="J305" s="413" t="s">
        <v>419</v>
      </c>
      <c r="K305" s="413"/>
    </row>
    <row r="306" spans="1:11" hidden="1" x14ac:dyDescent="0.25">
      <c r="A306" s="413">
        <f>+SUBTOTAL(3,$B$4:B306)</f>
        <v>26</v>
      </c>
      <c r="B306" s="413" t="str">
        <f>'Visual chart Edit'!B309</f>
        <v>50/4</v>
      </c>
      <c r="C306" s="413" t="str">
        <f>'Visual chart Edit'!C309</f>
        <v>DA+9</v>
      </c>
      <c r="D306" s="413" t="s">
        <v>1323</v>
      </c>
      <c r="E306" s="465">
        <f>'Visual chart Edit'!I309</f>
        <v>354.8</v>
      </c>
      <c r="F306" s="413" t="str">
        <f>'Visual chart Edit'!K309</f>
        <v>Sandy</v>
      </c>
      <c r="G306" s="413" t="str">
        <f>'Visual chart Edit'!L309</f>
        <v>E</v>
      </c>
      <c r="H306" s="413" t="s">
        <v>419</v>
      </c>
      <c r="I306" s="413" t="s">
        <v>419</v>
      </c>
      <c r="J306" s="413" t="s">
        <v>419</v>
      </c>
      <c r="K306" s="413"/>
    </row>
    <row r="307" spans="1:11" hidden="1" x14ac:dyDescent="0.25">
      <c r="A307" s="413">
        <f>+SUBTOTAL(3,$B$4:B307)</f>
        <v>26</v>
      </c>
      <c r="B307" s="413" t="str">
        <f>'Visual chart Edit'!B310</f>
        <v>50/5</v>
      </c>
      <c r="C307" s="413" t="str">
        <f>'Visual chart Edit'!C310</f>
        <v>DA+9</v>
      </c>
      <c r="D307" s="413" t="s">
        <v>1323</v>
      </c>
      <c r="E307" s="465">
        <f>'Visual chart Edit'!I310</f>
        <v>442.1</v>
      </c>
      <c r="F307" s="413" t="str">
        <f>'Visual chart Edit'!K310</f>
        <v>Sandy</v>
      </c>
      <c r="G307" s="413" t="str">
        <f>'Visual chart Edit'!L310</f>
        <v>E</v>
      </c>
      <c r="H307" s="413" t="s">
        <v>419</v>
      </c>
      <c r="I307" s="413" t="s">
        <v>419</v>
      </c>
      <c r="J307" s="413" t="s">
        <v>419</v>
      </c>
      <c r="K307" s="413"/>
    </row>
    <row r="308" spans="1:11" hidden="1" x14ac:dyDescent="0.25">
      <c r="A308" s="413">
        <f>+SUBTOTAL(3,$B$4:B308)</f>
        <v>26</v>
      </c>
      <c r="B308" s="413" t="str">
        <f>'Visual chart Edit'!B311</f>
        <v>50/6</v>
      </c>
      <c r="C308" s="413" t="str">
        <f>'Visual chart Edit'!C311</f>
        <v>DA+9</v>
      </c>
      <c r="D308" s="413" t="s">
        <v>1323</v>
      </c>
      <c r="E308" s="465">
        <f>'Visual chart Edit'!I311</f>
        <v>364.4</v>
      </c>
      <c r="F308" s="413" t="str">
        <f>'Visual chart Edit'!K311</f>
        <v>Sandy</v>
      </c>
      <c r="G308" s="413" t="str">
        <f>'Visual chart Edit'!L311</f>
        <v>E</v>
      </c>
      <c r="H308" s="413" t="s">
        <v>419</v>
      </c>
      <c r="I308" s="413" t="s">
        <v>419</v>
      </c>
      <c r="J308" s="413" t="s">
        <v>419</v>
      </c>
      <c r="K308" s="413"/>
    </row>
    <row r="309" spans="1:11" hidden="1" x14ac:dyDescent="0.25">
      <c r="A309" s="413">
        <f>+SUBTOTAL(3,$B$4:B309)</f>
        <v>26</v>
      </c>
      <c r="B309" s="413" t="str">
        <f>'Visual chart Edit'!B312</f>
        <v>50/7</v>
      </c>
      <c r="C309" s="413" t="str">
        <f>'Visual chart Edit'!C312</f>
        <v>DA+0</v>
      </c>
      <c r="D309" s="413" t="s">
        <v>1323</v>
      </c>
      <c r="E309" s="465">
        <f>'Visual chart Edit'!I312</f>
        <v>470.8</v>
      </c>
      <c r="F309" s="413" t="str">
        <f>'Visual chart Edit'!K312</f>
        <v>Sandy</v>
      </c>
      <c r="G309" s="413" t="str">
        <f>'Visual chart Edit'!L312</f>
        <v>E</v>
      </c>
      <c r="H309" s="413" t="s">
        <v>419</v>
      </c>
      <c r="I309" s="413" t="s">
        <v>419</v>
      </c>
      <c r="J309" s="413" t="s">
        <v>419</v>
      </c>
      <c r="K309" s="413"/>
    </row>
    <row r="310" spans="1:11" hidden="1" x14ac:dyDescent="0.25">
      <c r="A310" s="413">
        <f>+SUBTOTAL(3,$B$4:B310)</f>
        <v>26</v>
      </c>
      <c r="B310" s="413" t="str">
        <f>'Visual chart Edit'!B313</f>
        <v>50/8</v>
      </c>
      <c r="C310" s="413" t="str">
        <f>'Visual chart Edit'!C313</f>
        <v>DA+9</v>
      </c>
      <c r="D310" s="413" t="s">
        <v>1324</v>
      </c>
      <c r="E310" s="465">
        <f>'Visual chart Edit'!I313</f>
        <v>345</v>
      </c>
      <c r="F310" s="413" t="str">
        <f>'Visual chart Edit'!K313</f>
        <v>Sandy</v>
      </c>
      <c r="G310" s="413" t="str">
        <f>'Visual chart Edit'!L313</f>
        <v>E</v>
      </c>
      <c r="H310" s="413" t="s">
        <v>419</v>
      </c>
      <c r="I310" s="413" t="s">
        <v>419</v>
      </c>
      <c r="J310" s="413" t="s">
        <v>419</v>
      </c>
      <c r="K310" s="413"/>
    </row>
    <row r="311" spans="1:11" hidden="1" x14ac:dyDescent="0.25">
      <c r="A311" s="413">
        <f>+SUBTOTAL(3,$B$4:B311)</f>
        <v>26</v>
      </c>
      <c r="B311" s="413" t="str">
        <f>'Visual chart Edit'!B314</f>
        <v>50/9</v>
      </c>
      <c r="C311" s="413" t="str">
        <f>'Visual chart Edit'!C314</f>
        <v>DA+0</v>
      </c>
      <c r="D311" s="413" t="s">
        <v>1324</v>
      </c>
      <c r="E311" s="465">
        <f>'Visual chart Edit'!I314</f>
        <v>364.4</v>
      </c>
      <c r="F311" s="413" t="str">
        <f>'Visual chart Edit'!K314</f>
        <v>Sandy</v>
      </c>
      <c r="G311" s="413" t="str">
        <f>'Visual chart Edit'!L314</f>
        <v>E</v>
      </c>
      <c r="H311" s="413" t="s">
        <v>419</v>
      </c>
      <c r="I311" s="413" t="s">
        <v>419</v>
      </c>
      <c r="J311" s="413" t="s">
        <v>419</v>
      </c>
      <c r="K311" s="413"/>
    </row>
    <row r="312" spans="1:11" hidden="1" x14ac:dyDescent="0.25">
      <c r="A312" s="413">
        <f>+SUBTOTAL(3,$B$4:B312)</f>
        <v>26</v>
      </c>
      <c r="B312" s="413" t="str">
        <f>'Visual chart Edit'!B315</f>
        <v>50/10</v>
      </c>
      <c r="C312" s="413" t="str">
        <f>'Visual chart Edit'!C315</f>
        <v>DA+0</v>
      </c>
      <c r="D312" s="413" t="s">
        <v>1324</v>
      </c>
      <c r="E312" s="465">
        <f>'Visual chart Edit'!I315</f>
        <v>394.6</v>
      </c>
      <c r="F312" s="413" t="str">
        <f>'Visual chart Edit'!K315</f>
        <v>Sandy</v>
      </c>
      <c r="G312" s="413" t="str">
        <f>'Visual chart Edit'!L315</f>
        <v>E</v>
      </c>
      <c r="H312" s="413" t="s">
        <v>419</v>
      </c>
      <c r="I312" s="413" t="s">
        <v>419</v>
      </c>
      <c r="J312" s="413" t="s">
        <v>419</v>
      </c>
      <c r="K312" s="413"/>
    </row>
    <row r="313" spans="1:11" hidden="1" x14ac:dyDescent="0.25">
      <c r="A313" s="413">
        <f>+SUBTOTAL(3,$B$4:B313)</f>
        <v>26</v>
      </c>
      <c r="B313" s="413" t="str">
        <f>'Visual chart Edit'!B316</f>
        <v>51/0</v>
      </c>
      <c r="C313" s="413" t="str">
        <f>'Visual chart Edit'!C316</f>
        <v>DC2+0</v>
      </c>
      <c r="D313" s="413" t="s">
        <v>1324</v>
      </c>
      <c r="E313" s="465">
        <f>'Visual chart Edit'!I316</f>
        <v>401.4</v>
      </c>
      <c r="F313" s="413" t="str">
        <f>'Visual chart Edit'!K316</f>
        <v>Sandy</v>
      </c>
      <c r="G313" s="413" t="str">
        <f>'Visual chart Edit'!L316</f>
        <v>E</v>
      </c>
      <c r="H313" s="413" t="s">
        <v>419</v>
      </c>
      <c r="I313" s="413"/>
      <c r="J313" s="413" t="s">
        <v>419</v>
      </c>
      <c r="K313" s="413" t="s">
        <v>419</v>
      </c>
    </row>
    <row r="314" spans="1:11" hidden="1" x14ac:dyDescent="0.25">
      <c r="A314" s="413">
        <f>+SUBTOTAL(3,$B$4:B314)</f>
        <v>26</v>
      </c>
      <c r="B314" s="413" t="str">
        <f>'Visual chart Edit'!B317</f>
        <v>51/1</v>
      </c>
      <c r="C314" s="413" t="str">
        <f>'Visual chart Edit'!C317</f>
        <v>DA+0</v>
      </c>
      <c r="D314" s="413" t="s">
        <v>1324</v>
      </c>
      <c r="E314" s="465">
        <f>'Visual chart Edit'!I317</f>
        <v>356.6</v>
      </c>
      <c r="F314" s="413" t="str">
        <f>'Visual chart Edit'!K317</f>
        <v>Sandy</v>
      </c>
      <c r="G314" s="413" t="str">
        <f>'Visual chart Edit'!L317</f>
        <v>E</v>
      </c>
      <c r="H314" s="413" t="s">
        <v>419</v>
      </c>
      <c r="I314" s="413" t="s">
        <v>419</v>
      </c>
      <c r="J314" s="413" t="s">
        <v>419</v>
      </c>
      <c r="K314" s="413"/>
    </row>
    <row r="315" spans="1:11" hidden="1" x14ac:dyDescent="0.25">
      <c r="A315" s="413">
        <f>+SUBTOTAL(3,$B$4:B315)</f>
        <v>26</v>
      </c>
      <c r="B315" s="413" t="str">
        <f>'Visual chart Edit'!B318</f>
        <v>51/2</v>
      </c>
      <c r="C315" s="413" t="str">
        <f>'Visual chart Edit'!C318</f>
        <v>DA+0</v>
      </c>
      <c r="D315" s="413" t="s">
        <v>1324</v>
      </c>
      <c r="E315" s="465">
        <f>'Visual chart Edit'!I318</f>
        <v>307.10000000000002</v>
      </c>
      <c r="F315" s="413" t="str">
        <f>'Visual chart Edit'!K318</f>
        <v>Sandy</v>
      </c>
      <c r="G315" s="413" t="str">
        <f>'Visual chart Edit'!L318</f>
        <v>E</v>
      </c>
      <c r="H315" s="413" t="s">
        <v>419</v>
      </c>
      <c r="I315" s="413" t="s">
        <v>419</v>
      </c>
      <c r="J315" s="413" t="s">
        <v>419</v>
      </c>
      <c r="K315" s="413"/>
    </row>
    <row r="316" spans="1:11" hidden="1" x14ac:dyDescent="0.25">
      <c r="A316" s="413">
        <f>+SUBTOTAL(3,$B$4:B316)</f>
        <v>26</v>
      </c>
      <c r="B316" s="413" t="str">
        <f>'Visual chart Edit'!B319</f>
        <v>52/0</v>
      </c>
      <c r="C316" s="413" t="str">
        <f>'Visual chart Edit'!C319</f>
        <v>DC2+0</v>
      </c>
      <c r="D316" s="413" t="s">
        <v>1324</v>
      </c>
      <c r="E316" s="465">
        <f>'Visual chart Edit'!I319</f>
        <v>385</v>
      </c>
      <c r="F316" s="413" t="str">
        <f>'Visual chart Edit'!K319</f>
        <v>Sandy</v>
      </c>
      <c r="G316" s="413" t="str">
        <f>'Visual chart Edit'!L319</f>
        <v>E</v>
      </c>
      <c r="H316" s="413" t="s">
        <v>419</v>
      </c>
      <c r="I316" s="413"/>
      <c r="J316" s="413" t="s">
        <v>419</v>
      </c>
      <c r="K316" s="413"/>
    </row>
    <row r="317" spans="1:11" hidden="1" x14ac:dyDescent="0.25">
      <c r="A317" s="413">
        <f>+SUBTOTAL(3,$B$4:B317)</f>
        <v>26</v>
      </c>
      <c r="B317" s="413" t="str">
        <f>'Visual chart Edit'!B320</f>
        <v>52/1</v>
      </c>
      <c r="C317" s="413" t="str">
        <f>'Visual chart Edit'!C320</f>
        <v>DA+6</v>
      </c>
      <c r="D317" s="413" t="s">
        <v>1325</v>
      </c>
      <c r="E317" s="465">
        <f>'Visual chart Edit'!I320</f>
        <v>402</v>
      </c>
      <c r="F317" s="413" t="str">
        <f>'Visual chart Edit'!K320</f>
        <v>Sandy</v>
      </c>
      <c r="G317" s="413" t="str">
        <f>'Visual chart Edit'!L320</f>
        <v>E</v>
      </c>
      <c r="H317" s="413"/>
      <c r="I317" s="413"/>
      <c r="J317" s="413"/>
      <c r="K317" s="413"/>
    </row>
    <row r="318" spans="1:11" hidden="1" x14ac:dyDescent="0.25">
      <c r="A318" s="413">
        <f>+SUBTOTAL(3,$B$4:B318)</f>
        <v>26</v>
      </c>
      <c r="B318" s="413" t="str">
        <f>'Visual chart Edit'!B321</f>
        <v>52/2</v>
      </c>
      <c r="C318" s="413" t="str">
        <f>'Visual chart Edit'!C321</f>
        <v>DA+6</v>
      </c>
      <c r="D318" s="413" t="s">
        <v>1325</v>
      </c>
      <c r="E318" s="465">
        <f>'Visual chart Edit'!I321</f>
        <v>402.6</v>
      </c>
      <c r="F318" s="413" t="str">
        <f>'Visual chart Edit'!K321</f>
        <v>Sandy</v>
      </c>
      <c r="G318" s="413" t="str">
        <f>'Visual chart Edit'!L321</f>
        <v>E</v>
      </c>
      <c r="H318" s="413"/>
      <c r="I318" s="413"/>
      <c r="J318" s="413"/>
      <c r="K318" s="413"/>
    </row>
    <row r="319" spans="1:11" hidden="1" x14ac:dyDescent="0.25">
      <c r="A319" s="413">
        <f>+SUBTOTAL(3,$B$4:B319)</f>
        <v>26</v>
      </c>
      <c r="B319" s="413" t="str">
        <f>'Visual chart Edit'!B322</f>
        <v>52/3</v>
      </c>
      <c r="C319" s="413" t="str">
        <f>'Visual chart Edit'!C322</f>
        <v>DA+9</v>
      </c>
      <c r="D319" s="413" t="s">
        <v>1325</v>
      </c>
      <c r="E319" s="465">
        <f>'Visual chart Edit'!I322</f>
        <v>437</v>
      </c>
      <c r="F319" s="413" t="str">
        <f>'Visual chart Edit'!K322</f>
        <v>Sandy</v>
      </c>
      <c r="G319" s="413" t="str">
        <f>'Visual chart Edit'!L322</f>
        <v>E</v>
      </c>
      <c r="H319" s="413"/>
      <c r="I319" s="413"/>
      <c r="J319" s="413"/>
      <c r="K319" s="413"/>
    </row>
    <row r="320" spans="1:11" hidden="1" x14ac:dyDescent="0.25">
      <c r="A320" s="413">
        <f>+SUBTOTAL(3,$B$4:B320)</f>
        <v>26</v>
      </c>
      <c r="B320" s="413" t="str">
        <f>'Visual chart Edit'!B323</f>
        <v>52/4</v>
      </c>
      <c r="C320" s="413" t="str">
        <f>'Visual chart Edit'!C323</f>
        <v>DA+9</v>
      </c>
      <c r="D320" s="413" t="s">
        <v>1325</v>
      </c>
      <c r="E320" s="465">
        <f>'Visual chart Edit'!I323</f>
        <v>393.8</v>
      </c>
      <c r="F320" s="413" t="str">
        <f>'Visual chart Edit'!K323</f>
        <v>Sandy</v>
      </c>
      <c r="G320" s="413" t="str">
        <f>'Visual chart Edit'!L323</f>
        <v>E</v>
      </c>
      <c r="H320" s="413"/>
      <c r="I320" s="413"/>
      <c r="J320" s="413"/>
      <c r="K320" s="413"/>
    </row>
    <row r="321" spans="1:11" hidden="1" x14ac:dyDescent="0.25">
      <c r="A321" s="413">
        <f>+SUBTOTAL(3,$B$4:B321)</f>
        <v>26</v>
      </c>
      <c r="B321" s="413" t="str">
        <f>'Visual chart Edit'!B324</f>
        <v>52/5</v>
      </c>
      <c r="C321" s="413" t="str">
        <f>'Visual chart Edit'!C324</f>
        <v>DA+9</v>
      </c>
      <c r="D321" s="413" t="s">
        <v>1325</v>
      </c>
      <c r="E321" s="465">
        <f>'Visual chart Edit'!I324</f>
        <v>447</v>
      </c>
      <c r="F321" s="413" t="str">
        <f>'Visual chart Edit'!K324</f>
        <v>Sandy</v>
      </c>
      <c r="G321" s="413" t="str">
        <f>'Visual chart Edit'!L324</f>
        <v>E</v>
      </c>
      <c r="H321" s="413"/>
      <c r="I321" s="413"/>
      <c r="J321" s="413"/>
      <c r="K321" s="413"/>
    </row>
    <row r="322" spans="1:11" hidden="1" x14ac:dyDescent="0.25">
      <c r="A322" s="413">
        <f>+SUBTOTAL(3,$B$4:B322)</f>
        <v>26</v>
      </c>
      <c r="B322" s="413" t="str">
        <f>'Visual chart Edit'!B325</f>
        <v>52/6</v>
      </c>
      <c r="C322" s="413" t="str">
        <f>'Visual chart Edit'!C325</f>
        <v>DA+6</v>
      </c>
      <c r="D322" s="413" t="s">
        <v>1325</v>
      </c>
      <c r="E322" s="465">
        <f>'Visual chart Edit'!I325</f>
        <v>373</v>
      </c>
      <c r="F322" s="413" t="str">
        <f>'Visual chart Edit'!K325</f>
        <v>Sandy</v>
      </c>
      <c r="G322" s="413" t="str">
        <f>'Visual chart Edit'!L325</f>
        <v>E</v>
      </c>
      <c r="H322" s="413"/>
      <c r="I322" s="413"/>
      <c r="J322" s="413"/>
      <c r="K322" s="413"/>
    </row>
    <row r="323" spans="1:11" hidden="1" x14ac:dyDescent="0.25">
      <c r="A323" s="413">
        <f>+SUBTOTAL(3,$B$4:B323)</f>
        <v>26</v>
      </c>
      <c r="B323" s="413" t="str">
        <f>'Visual chart Edit'!B326</f>
        <v>52/7</v>
      </c>
      <c r="C323" s="413" t="str">
        <f>'Visual chart Edit'!C326</f>
        <v>DA+3</v>
      </c>
      <c r="D323" s="413" t="s">
        <v>1325</v>
      </c>
      <c r="E323" s="465">
        <f>'Visual chart Edit'!I326</f>
        <v>406.8</v>
      </c>
      <c r="F323" s="413" t="str">
        <f>'Visual chart Edit'!K326</f>
        <v>Sandy</v>
      </c>
      <c r="G323" s="413" t="str">
        <f>'Visual chart Edit'!L326</f>
        <v>E</v>
      </c>
      <c r="H323" s="413"/>
      <c r="I323" s="413"/>
      <c r="J323" s="413"/>
      <c r="K323" s="413"/>
    </row>
    <row r="324" spans="1:11" hidden="1" x14ac:dyDescent="0.25">
      <c r="A324" s="413">
        <f>+SUBTOTAL(3,$B$4:B324)</f>
        <v>26</v>
      </c>
      <c r="B324" s="413" t="str">
        <f>'Visual chart Edit'!B327</f>
        <v>52/8</v>
      </c>
      <c r="C324" s="413" t="str">
        <f>'Visual chart Edit'!C327</f>
        <v>DA+6</v>
      </c>
      <c r="D324" s="413" t="s">
        <v>1325</v>
      </c>
      <c r="E324" s="465">
        <f>'Visual chart Edit'!I327</f>
        <v>433</v>
      </c>
      <c r="F324" s="413" t="str">
        <f>'Visual chart Edit'!K327</f>
        <v>Sandy</v>
      </c>
      <c r="G324" s="413" t="str">
        <f>'Visual chart Edit'!L327</f>
        <v>E</v>
      </c>
      <c r="H324" s="413"/>
      <c r="I324" s="413"/>
      <c r="J324" s="413"/>
      <c r="K324" s="413"/>
    </row>
    <row r="325" spans="1:11" hidden="1" x14ac:dyDescent="0.25">
      <c r="A325" s="413">
        <f>+SUBTOTAL(3,$B$4:B325)</f>
        <v>26</v>
      </c>
      <c r="B325" s="413" t="str">
        <f>'Visual chart Edit'!B328</f>
        <v>52/9</v>
      </c>
      <c r="C325" s="413" t="str">
        <f>'Visual chart Edit'!C328</f>
        <v>DA+3</v>
      </c>
      <c r="D325" s="413" t="s">
        <v>1325</v>
      </c>
      <c r="E325" s="465">
        <f>'Visual chart Edit'!I328</f>
        <v>399.7</v>
      </c>
      <c r="F325" s="413" t="str">
        <f>'Visual chart Edit'!K328</f>
        <v>Sandy</v>
      </c>
      <c r="G325" s="413" t="str">
        <f>'Visual chart Edit'!L328</f>
        <v>E</v>
      </c>
      <c r="H325" s="413"/>
      <c r="I325" s="413"/>
      <c r="J325" s="413"/>
      <c r="K325" s="413"/>
    </row>
    <row r="326" spans="1:11" hidden="1" x14ac:dyDescent="0.25">
      <c r="A326" s="413">
        <f>+SUBTOTAL(3,$B$4:B326)</f>
        <v>26</v>
      </c>
      <c r="B326" s="413" t="str">
        <f>'Visual chart Edit'!B329</f>
        <v>52/10</v>
      </c>
      <c r="C326" s="413" t="str">
        <f>'Visual chart Edit'!C329</f>
        <v>DA+9</v>
      </c>
      <c r="D326" s="413" t="s">
        <v>1325</v>
      </c>
      <c r="E326" s="465">
        <f>'Visual chart Edit'!I329</f>
        <v>384.1</v>
      </c>
      <c r="F326" s="413" t="str">
        <f>'Visual chart Edit'!K329</f>
        <v>Sandy</v>
      </c>
      <c r="G326" s="413" t="str">
        <f>'Visual chart Edit'!L329</f>
        <v>E</v>
      </c>
      <c r="H326" s="413"/>
      <c r="I326" s="413"/>
      <c r="J326" s="413"/>
      <c r="K326" s="413"/>
    </row>
    <row r="327" spans="1:11" hidden="1" x14ac:dyDescent="0.25">
      <c r="A327" s="413">
        <f>+SUBTOTAL(3,$B$4:B327)</f>
        <v>26</v>
      </c>
      <c r="B327" s="413" t="str">
        <f>'Visual chart Edit'!B330</f>
        <v>53/0</v>
      </c>
      <c r="C327" s="413" t="str">
        <f>'Visual chart Edit'!C330</f>
        <v>DB2+9</v>
      </c>
      <c r="D327" s="413" t="s">
        <v>1325</v>
      </c>
      <c r="E327" s="465">
        <f>'Visual chart Edit'!I330</f>
        <v>455.9</v>
      </c>
      <c r="F327" s="413" t="str">
        <f>'Visual chart Edit'!K330</f>
        <v>Sandy</v>
      </c>
      <c r="G327" s="413" t="str">
        <f>'Visual chart Edit'!L330</f>
        <v>E</v>
      </c>
      <c r="H327" s="413"/>
      <c r="I327" s="413"/>
      <c r="J327" s="413"/>
      <c r="K327" s="413"/>
    </row>
    <row r="328" spans="1:11" hidden="1" x14ac:dyDescent="0.25">
      <c r="A328" s="413">
        <f>+SUBTOTAL(3,$B$4:B328)</f>
        <v>26</v>
      </c>
      <c r="B328" s="745" t="str">
        <f>'Visual chart Edit'!B331</f>
        <v>53/1</v>
      </c>
      <c r="C328" s="413" t="str">
        <f>'Visual chart Edit'!C331</f>
        <v>DA+9</v>
      </c>
      <c r="D328" s="413" t="s">
        <v>1325</v>
      </c>
      <c r="E328" s="465">
        <f>'Visual chart Edit'!I331</f>
        <v>433.2</v>
      </c>
      <c r="F328" s="413" t="str">
        <f>'Visual chart Edit'!K331</f>
        <v>Sandy</v>
      </c>
      <c r="G328" s="413" t="str">
        <f>'Visual chart Edit'!L331</f>
        <v>E</v>
      </c>
      <c r="H328" s="413"/>
      <c r="I328" s="413"/>
      <c r="J328" s="413"/>
      <c r="K328" s="413"/>
    </row>
    <row r="329" spans="1:11" hidden="1" x14ac:dyDescent="0.25">
      <c r="A329" s="413">
        <f>+SUBTOTAL(3,$B$4:B329)</f>
        <v>26</v>
      </c>
      <c r="B329" s="745" t="str">
        <f>'Visual chart Edit'!B332</f>
        <v>53/2</v>
      </c>
      <c r="C329" s="413" t="str">
        <f>'Visual chart Edit'!C332</f>
        <v>DA+0</v>
      </c>
      <c r="D329" s="413" t="s">
        <v>1325</v>
      </c>
      <c r="E329" s="465">
        <f>'Visual chart Edit'!I332</f>
        <v>407.4</v>
      </c>
      <c r="F329" s="413" t="str">
        <f>'Visual chart Edit'!K332</f>
        <v>Sandy</v>
      </c>
      <c r="G329" s="413" t="str">
        <f>'Visual chart Edit'!L332</f>
        <v>E</v>
      </c>
      <c r="H329" s="413"/>
      <c r="I329" s="413"/>
      <c r="J329" s="413"/>
      <c r="K329" s="413"/>
    </row>
    <row r="330" spans="1:11" hidden="1" x14ac:dyDescent="0.25">
      <c r="A330" s="413">
        <f>+SUBTOTAL(3,$B$4:B330)</f>
        <v>26</v>
      </c>
      <c r="B330" s="745" t="str">
        <f>'Visual chart Edit'!B333</f>
        <v>53/3</v>
      </c>
      <c r="C330" s="413" t="str">
        <f>'Visual chart Edit'!C333</f>
        <v>DA+6</v>
      </c>
      <c r="D330" s="413" t="s">
        <v>1326</v>
      </c>
      <c r="E330" s="465">
        <f>'Visual chart Edit'!I333</f>
        <v>394.5</v>
      </c>
      <c r="F330" s="413" t="str">
        <f>'Visual chart Edit'!K333</f>
        <v>Sandy</v>
      </c>
      <c r="G330" s="413" t="str">
        <f>'Visual chart Edit'!L333</f>
        <v>E</v>
      </c>
      <c r="H330" s="413"/>
      <c r="I330" s="413"/>
      <c r="J330" s="413"/>
      <c r="K330" s="413"/>
    </row>
    <row r="331" spans="1:11" hidden="1" x14ac:dyDescent="0.25">
      <c r="A331" s="413">
        <f>+SUBTOTAL(3,$B$4:B331)</f>
        <v>26</v>
      </c>
      <c r="B331" s="745" t="str">
        <f>'Visual chart Edit'!B334</f>
        <v>53/4</v>
      </c>
      <c r="C331" s="413" t="str">
        <f>'Visual chart Edit'!C334</f>
        <v>DA+0</v>
      </c>
      <c r="D331" s="413" t="s">
        <v>1326</v>
      </c>
      <c r="E331" s="465">
        <f>'Visual chart Edit'!I334</f>
        <v>410.1</v>
      </c>
      <c r="F331" s="413" t="str">
        <f>'Visual chart Edit'!K334</f>
        <v>Sandy</v>
      </c>
      <c r="G331" s="413" t="str">
        <f>'Visual chart Edit'!L334</f>
        <v>E</v>
      </c>
      <c r="H331" s="413"/>
      <c r="I331" s="413"/>
      <c r="J331" s="413"/>
      <c r="K331" s="413"/>
    </row>
    <row r="332" spans="1:11" hidden="1" x14ac:dyDescent="0.25">
      <c r="A332" s="413">
        <f>+SUBTOTAL(3,$B$4:B332)</f>
        <v>26</v>
      </c>
      <c r="B332" s="745" t="str">
        <f>'Visual chart Edit'!B335</f>
        <v>53/5</v>
      </c>
      <c r="C332" s="413" t="str">
        <f>'Visual chart Edit'!C335</f>
        <v>DA+3</v>
      </c>
      <c r="D332" s="413" t="s">
        <v>1326</v>
      </c>
      <c r="E332" s="465">
        <f>'Visual chart Edit'!I335</f>
        <v>428.1</v>
      </c>
      <c r="F332" s="413" t="str">
        <f>'Visual chart Edit'!K335</f>
        <v>Sandy</v>
      </c>
      <c r="G332" s="413" t="str">
        <f>'Visual chart Edit'!L335</f>
        <v>E</v>
      </c>
      <c r="H332" s="413"/>
      <c r="I332" s="413"/>
      <c r="J332" s="413"/>
      <c r="K332" s="413"/>
    </row>
    <row r="333" spans="1:11" hidden="1" x14ac:dyDescent="0.25">
      <c r="A333" s="413">
        <f>+SUBTOTAL(3,$B$4:B333)</f>
        <v>26</v>
      </c>
      <c r="B333" s="745" t="str">
        <f>'Visual chart Edit'!B336</f>
        <v>53/6</v>
      </c>
      <c r="C333" s="413" t="str">
        <f>'Visual chart Edit'!C336</f>
        <v>DA+6</v>
      </c>
      <c r="D333" s="413" t="s">
        <v>1327</v>
      </c>
      <c r="E333" s="465">
        <f>'Visual chart Edit'!I336</f>
        <v>406.6</v>
      </c>
      <c r="F333" s="413" t="str">
        <f>'Visual chart Edit'!K336</f>
        <v>Sandy</v>
      </c>
      <c r="G333" s="413" t="str">
        <f>'Visual chart Edit'!L336</f>
        <v>E</v>
      </c>
      <c r="H333" s="413"/>
      <c r="I333" s="413"/>
      <c r="J333" s="413"/>
      <c r="K333" s="413"/>
    </row>
    <row r="334" spans="1:11" hidden="1" x14ac:dyDescent="0.25">
      <c r="A334" s="413">
        <f>+SUBTOTAL(3,$B$4:B334)</f>
        <v>26</v>
      </c>
      <c r="B334" s="745" t="str">
        <f>'Visual chart Edit'!B337</f>
        <v>53/7</v>
      </c>
      <c r="C334" s="413" t="str">
        <f>'Visual chart Edit'!C337</f>
        <v>DA+3</v>
      </c>
      <c r="D334" s="413" t="s">
        <v>1327</v>
      </c>
      <c r="E334" s="465">
        <f>'Visual chart Edit'!I337</f>
        <v>411.3</v>
      </c>
      <c r="F334" s="413" t="str">
        <f>'Visual chart Edit'!K337</f>
        <v>Sandy</v>
      </c>
      <c r="G334" s="413" t="str">
        <f>'Visual chart Edit'!L337</f>
        <v>E</v>
      </c>
      <c r="H334" s="413"/>
      <c r="I334" s="413"/>
      <c r="J334" s="413"/>
      <c r="K334" s="413"/>
    </row>
    <row r="335" spans="1:11" hidden="1" x14ac:dyDescent="0.25">
      <c r="A335" s="413">
        <f>+SUBTOTAL(3,$B$4:B335)</f>
        <v>26</v>
      </c>
      <c r="B335" s="745" t="str">
        <f>'Visual chart Edit'!B338</f>
        <v>53/8</v>
      </c>
      <c r="C335" s="413" t="str">
        <f>'Visual chart Edit'!C338</f>
        <v>DA+3</v>
      </c>
      <c r="D335" s="413" t="s">
        <v>1327</v>
      </c>
      <c r="E335" s="465">
        <f>'Visual chart Edit'!I338</f>
        <v>427.8</v>
      </c>
      <c r="F335" s="413" t="str">
        <f>'Visual chart Edit'!K338</f>
        <v>Sandy</v>
      </c>
      <c r="G335" s="413" t="str">
        <f>'Visual chart Edit'!L338</f>
        <v>E</v>
      </c>
      <c r="H335" s="413"/>
      <c r="I335" s="413"/>
      <c r="J335" s="413"/>
      <c r="K335" s="413"/>
    </row>
    <row r="336" spans="1:11" hidden="1" x14ac:dyDescent="0.25">
      <c r="A336" s="413">
        <f>+SUBTOTAL(3,$B$4:B336)</f>
        <v>26</v>
      </c>
      <c r="B336" s="745" t="str">
        <f>'Visual chart Edit'!B339</f>
        <v>54/0</v>
      </c>
      <c r="C336" s="413" t="str">
        <f>'Visual chart Edit'!C339</f>
        <v>DB1+6</v>
      </c>
      <c r="D336" s="413" t="s">
        <v>1327</v>
      </c>
      <c r="E336" s="465">
        <f>'Visual chart Edit'!I339</f>
        <v>371.3</v>
      </c>
      <c r="F336" s="413" t="str">
        <f>'Visual chart Edit'!K339</f>
        <v>Sandy</v>
      </c>
      <c r="G336" s="413" t="str">
        <f>'Visual chart Edit'!L339</f>
        <v>E</v>
      </c>
      <c r="H336" s="413"/>
      <c r="I336" s="413"/>
      <c r="J336" s="413"/>
      <c r="K336" s="413"/>
    </row>
    <row r="337" spans="1:11" hidden="1" x14ac:dyDescent="0.25">
      <c r="A337" s="413">
        <f>+SUBTOTAL(3,$B$4:B337)</f>
        <v>26</v>
      </c>
      <c r="B337" s="745" t="str">
        <f>'Visual chart Edit'!B340</f>
        <v>54/1</v>
      </c>
      <c r="C337" s="413" t="str">
        <f>'Visual chart Edit'!C340</f>
        <v>DA+3</v>
      </c>
      <c r="D337" s="413" t="s">
        <v>1327</v>
      </c>
      <c r="E337" s="465">
        <f>'Visual chart Edit'!I340</f>
        <v>365.1</v>
      </c>
      <c r="F337" s="413" t="str">
        <f>'Visual chart Edit'!K340</f>
        <v>Sandy</v>
      </c>
      <c r="G337" s="413" t="str">
        <f>'Visual chart Edit'!L340</f>
        <v>E</v>
      </c>
      <c r="H337" s="413"/>
      <c r="I337" s="413"/>
      <c r="J337" s="413"/>
      <c r="K337" s="413"/>
    </row>
    <row r="338" spans="1:11" hidden="1" x14ac:dyDescent="0.25">
      <c r="A338" s="413">
        <f>+SUBTOTAL(3,$B$4:B338)</f>
        <v>26</v>
      </c>
      <c r="B338" s="745" t="str">
        <f>'Visual chart Edit'!B341</f>
        <v>54/2</v>
      </c>
      <c r="C338" s="413" t="str">
        <f>'Visual chart Edit'!C341</f>
        <v>DA+3</v>
      </c>
      <c r="D338" s="413" t="s">
        <v>1327</v>
      </c>
      <c r="E338" s="465">
        <f>'Visual chart Edit'!I341</f>
        <v>381</v>
      </c>
      <c r="F338" s="413" t="str">
        <f>'Visual chart Edit'!K341</f>
        <v>Sandy</v>
      </c>
      <c r="G338" s="413" t="str">
        <f>'Visual chart Edit'!L341</f>
        <v>E</v>
      </c>
      <c r="H338" s="413"/>
      <c r="I338" s="413"/>
      <c r="J338" s="413"/>
      <c r="K338" s="413"/>
    </row>
    <row r="339" spans="1:11" hidden="1" x14ac:dyDescent="0.25">
      <c r="A339" s="413">
        <f>+SUBTOTAL(3,$B$4:B339)</f>
        <v>26</v>
      </c>
      <c r="B339" s="745" t="str">
        <f>'Visual chart Edit'!B342</f>
        <v>54/3</v>
      </c>
      <c r="C339" s="413" t="str">
        <f>'Visual chart Edit'!C342</f>
        <v>DA+6</v>
      </c>
      <c r="D339" s="413" t="s">
        <v>1327</v>
      </c>
      <c r="E339" s="465">
        <f>'Visual chart Edit'!I342</f>
        <v>417</v>
      </c>
      <c r="F339" s="413" t="str">
        <f>'Visual chart Edit'!K342</f>
        <v>Sandy</v>
      </c>
      <c r="G339" s="413" t="str">
        <f>'Visual chart Edit'!L342</f>
        <v>E</v>
      </c>
      <c r="H339" s="413"/>
      <c r="I339" s="413"/>
      <c r="J339" s="413"/>
      <c r="K339" s="413"/>
    </row>
    <row r="340" spans="1:11" hidden="1" x14ac:dyDescent="0.25">
      <c r="A340" s="413">
        <f>+SUBTOTAL(3,$B$4:B340)</f>
        <v>26</v>
      </c>
      <c r="B340" s="745" t="str">
        <f>'Visual chart Edit'!B343</f>
        <v>54/4</v>
      </c>
      <c r="C340" s="413" t="str">
        <f>'Visual chart Edit'!C343</f>
        <v>DA+9</v>
      </c>
      <c r="D340" s="413" t="s">
        <v>1327</v>
      </c>
      <c r="E340" s="465">
        <f>'Visual chart Edit'!I343</f>
        <v>423.3</v>
      </c>
      <c r="F340" s="413" t="str">
        <f>'Visual chart Edit'!K343</f>
        <v>Sandy</v>
      </c>
      <c r="G340" s="413" t="str">
        <f>'Visual chart Edit'!L343</f>
        <v>E</v>
      </c>
      <c r="H340" s="413"/>
      <c r="I340" s="413"/>
      <c r="J340" s="413"/>
      <c r="K340" s="413"/>
    </row>
    <row r="341" spans="1:11" hidden="1" x14ac:dyDescent="0.25">
      <c r="A341" s="413">
        <f>+SUBTOTAL(3,$B$4:B341)</f>
        <v>26</v>
      </c>
      <c r="B341" s="745" t="str">
        <f>'Visual chart Edit'!B344</f>
        <v>54/5</v>
      </c>
      <c r="C341" s="413" t="str">
        <f>'Visual chart Edit'!C344</f>
        <v>DA+9</v>
      </c>
      <c r="D341" s="413" t="s">
        <v>1328</v>
      </c>
      <c r="E341" s="465">
        <f>'Visual chart Edit'!I344</f>
        <v>401</v>
      </c>
      <c r="F341" s="413" t="str">
        <f>'Visual chart Edit'!K344</f>
        <v>Sandy</v>
      </c>
      <c r="G341" s="413" t="str">
        <f>'Visual chart Edit'!L344</f>
        <v>E</v>
      </c>
      <c r="H341" s="413"/>
      <c r="I341" s="413"/>
      <c r="J341" s="413"/>
      <c r="K341" s="413"/>
    </row>
    <row r="342" spans="1:11" hidden="1" x14ac:dyDescent="0.25">
      <c r="A342" s="413">
        <f>+SUBTOTAL(3,$B$4:B342)</f>
        <v>26</v>
      </c>
      <c r="B342" s="745" t="str">
        <f>'Visual chart Edit'!B345</f>
        <v>55/0</v>
      </c>
      <c r="C342" s="413" t="str">
        <f>'Visual chart Edit'!C345</f>
        <v>DB1+6</v>
      </c>
      <c r="D342" s="413" t="s">
        <v>1328</v>
      </c>
      <c r="E342" s="465">
        <f>'Visual chart Edit'!I345</f>
        <v>424</v>
      </c>
      <c r="F342" s="413" t="str">
        <f>'Visual chart Edit'!K345</f>
        <v>Sandy</v>
      </c>
      <c r="G342" s="413" t="str">
        <f>'Visual chart Edit'!L345</f>
        <v>E</v>
      </c>
      <c r="H342" s="413"/>
      <c r="I342" s="413"/>
      <c r="J342" s="413"/>
      <c r="K342" s="413"/>
    </row>
    <row r="343" spans="1:11" hidden="1" x14ac:dyDescent="0.25">
      <c r="A343" s="413">
        <f>+SUBTOTAL(3,$B$4:B343)</f>
        <v>26</v>
      </c>
      <c r="B343" s="745" t="str">
        <f>'Visual chart Edit'!B346</f>
        <v>55/1</v>
      </c>
      <c r="C343" s="413" t="str">
        <f>'Visual chart Edit'!C346</f>
        <v>DA+0</v>
      </c>
      <c r="D343" s="413" t="s">
        <v>1328</v>
      </c>
      <c r="E343" s="465">
        <f>'Visual chart Edit'!I346</f>
        <v>404.9</v>
      </c>
      <c r="F343" s="413" t="str">
        <f>'Visual chart Edit'!K346</f>
        <v>WFR</v>
      </c>
      <c r="G343" s="413" t="str">
        <f>'Visual chart Edit'!L346</f>
        <v>E</v>
      </c>
      <c r="H343" s="413" t="s">
        <v>419</v>
      </c>
      <c r="I343" s="413"/>
      <c r="J343" s="413"/>
      <c r="K343" s="413"/>
    </row>
    <row r="344" spans="1:11" hidden="1" x14ac:dyDescent="0.25">
      <c r="A344" s="413">
        <f>+SUBTOTAL(3,$B$4:B344)</f>
        <v>26</v>
      </c>
      <c r="B344" s="745" t="str">
        <f>'Visual chart Edit'!B347</f>
        <v>55/2</v>
      </c>
      <c r="C344" s="413" t="str">
        <f>'Visual chart Edit'!C347</f>
        <v>DA+0</v>
      </c>
      <c r="D344" s="413" t="s">
        <v>1329</v>
      </c>
      <c r="E344" s="465">
        <f>'Visual chart Edit'!I347</f>
        <v>343.1</v>
      </c>
      <c r="F344" s="413" t="str">
        <f>'Visual chart Edit'!K347</f>
        <v>WFR</v>
      </c>
      <c r="G344" s="413" t="str">
        <f>'Visual chart Edit'!L347</f>
        <v>E</v>
      </c>
      <c r="H344" s="413" t="s">
        <v>419</v>
      </c>
      <c r="I344" s="413"/>
      <c r="J344" s="413"/>
      <c r="K344" s="413"/>
    </row>
    <row r="345" spans="1:11" hidden="1" x14ac:dyDescent="0.25">
      <c r="A345" s="413">
        <f>+SUBTOTAL(3,$B$4:B345)</f>
        <v>26</v>
      </c>
      <c r="B345" s="745" t="str">
        <f>'Visual chart Edit'!B348</f>
        <v>55/3</v>
      </c>
      <c r="C345" s="413" t="str">
        <f>'Visual chart Edit'!C348</f>
        <v>DA+0</v>
      </c>
      <c r="D345" s="413" t="s">
        <v>1329</v>
      </c>
      <c r="E345" s="465">
        <f>'Visual chart Edit'!I348</f>
        <v>357.7</v>
      </c>
      <c r="F345" s="413" t="str">
        <f>'Visual chart Edit'!K348</f>
        <v>Sandy</v>
      </c>
      <c r="G345" s="413" t="str">
        <f>'Visual chart Edit'!L348</f>
        <v>E</v>
      </c>
      <c r="H345" s="413" t="s">
        <v>419</v>
      </c>
      <c r="I345" s="413"/>
      <c r="J345" s="413"/>
      <c r="K345" s="413"/>
    </row>
    <row r="346" spans="1:11" hidden="1" x14ac:dyDescent="0.25">
      <c r="A346" s="413">
        <f>+SUBTOTAL(3,$B$4:B346)</f>
        <v>26</v>
      </c>
      <c r="B346" s="745" t="str">
        <f>'Visual chart Edit'!B349</f>
        <v>55/4</v>
      </c>
      <c r="C346" s="413" t="str">
        <f>'Visual chart Edit'!C349</f>
        <v>DA+0</v>
      </c>
      <c r="D346" s="413" t="s">
        <v>1329</v>
      </c>
      <c r="E346" s="465">
        <f>'Visual chart Edit'!I349</f>
        <v>365.2</v>
      </c>
      <c r="F346" s="413" t="str">
        <f>'Visual chart Edit'!K349</f>
        <v>Sandy</v>
      </c>
      <c r="G346" s="413" t="str">
        <f>'Visual chart Edit'!L349</f>
        <v>E</v>
      </c>
      <c r="H346" s="413" t="s">
        <v>419</v>
      </c>
      <c r="I346" s="413"/>
      <c r="J346" s="413"/>
      <c r="K346" s="413"/>
    </row>
    <row r="347" spans="1:11" hidden="1" x14ac:dyDescent="0.25">
      <c r="A347" s="413">
        <f>+SUBTOTAL(3,$B$4:B347)</f>
        <v>26</v>
      </c>
      <c r="B347" s="745" t="str">
        <f>'Visual chart Edit'!B350</f>
        <v>55/5</v>
      </c>
      <c r="C347" s="413" t="str">
        <f>'Visual chart Edit'!C350</f>
        <v>DA+0</v>
      </c>
      <c r="D347" s="413" t="s">
        <v>1329</v>
      </c>
      <c r="E347" s="465">
        <f>'Visual chart Edit'!I350</f>
        <v>350.1</v>
      </c>
      <c r="F347" s="413" t="str">
        <f>'Visual chart Edit'!K350</f>
        <v>Sandy</v>
      </c>
      <c r="G347" s="413" t="str">
        <f>'Visual chart Edit'!L350</f>
        <v>E</v>
      </c>
      <c r="H347" s="413" t="s">
        <v>419</v>
      </c>
      <c r="I347" s="413"/>
      <c r="J347" s="413"/>
      <c r="K347" s="413"/>
    </row>
    <row r="348" spans="1:11" hidden="1" x14ac:dyDescent="0.25">
      <c r="A348" s="413">
        <f>+SUBTOTAL(3,$B$4:B348)</f>
        <v>26</v>
      </c>
      <c r="B348" s="745" t="str">
        <f>'Visual chart Edit'!B351</f>
        <v>55/6</v>
      </c>
      <c r="C348" s="413" t="str">
        <f>'Visual chart Edit'!C351</f>
        <v>DA+0</v>
      </c>
      <c r="D348" s="413" t="s">
        <v>1329</v>
      </c>
      <c r="E348" s="465">
        <f>'Visual chart Edit'!I351</f>
        <v>357.7</v>
      </c>
      <c r="F348" s="413" t="str">
        <f>'Visual chart Edit'!K351</f>
        <v>Sandy</v>
      </c>
      <c r="G348" s="413" t="str">
        <f>'Visual chart Edit'!L351</f>
        <v>E</v>
      </c>
      <c r="H348" s="413" t="s">
        <v>419</v>
      </c>
      <c r="I348" s="413"/>
      <c r="J348" s="413"/>
      <c r="K348" s="413"/>
    </row>
    <row r="349" spans="1:11" hidden="1" x14ac:dyDescent="0.25">
      <c r="A349" s="413">
        <f>+SUBTOTAL(3,$B$4:B349)</f>
        <v>26</v>
      </c>
      <c r="B349" s="745" t="str">
        <f>'Visual chart Edit'!B352</f>
        <v>55/7</v>
      </c>
      <c r="C349" s="413" t="str">
        <f>'Visual chart Edit'!C352</f>
        <v>DA+0</v>
      </c>
      <c r="D349" s="413" t="s">
        <v>1329</v>
      </c>
      <c r="E349" s="465">
        <f>'Visual chart Edit'!I352</f>
        <v>337.8</v>
      </c>
      <c r="F349" s="413" t="str">
        <f>'Visual chart Edit'!K352</f>
        <v>Sandy</v>
      </c>
      <c r="G349" s="413" t="str">
        <f>'Visual chart Edit'!L352</f>
        <v>E</v>
      </c>
      <c r="H349" s="413" t="s">
        <v>419</v>
      </c>
      <c r="I349" s="413"/>
      <c r="J349" s="413"/>
      <c r="K349" s="413"/>
    </row>
    <row r="350" spans="1:11" hidden="1" x14ac:dyDescent="0.25">
      <c r="A350" s="413">
        <f>+SUBTOTAL(3,$B$4:B350)</f>
        <v>26</v>
      </c>
      <c r="B350" s="745" t="str">
        <f>'Visual chart Edit'!B353</f>
        <v>55/8</v>
      </c>
      <c r="C350" s="413" t="str">
        <f>'Visual chart Edit'!C353</f>
        <v>DA+6</v>
      </c>
      <c r="D350" s="413" t="s">
        <v>1329</v>
      </c>
      <c r="E350" s="465">
        <f>'Visual chart Edit'!I353</f>
        <v>341.22</v>
      </c>
      <c r="F350" s="413" t="str">
        <f>'Visual chart Edit'!K353</f>
        <v>Sandy</v>
      </c>
      <c r="G350" s="413" t="str">
        <f>'Visual chart Edit'!L353</f>
        <v>E</v>
      </c>
      <c r="H350" s="413" t="s">
        <v>419</v>
      </c>
      <c r="I350" s="413"/>
      <c r="J350" s="413"/>
      <c r="K350" s="413"/>
    </row>
    <row r="351" spans="1:11" hidden="1" x14ac:dyDescent="0.25">
      <c r="A351" s="413">
        <f>+SUBTOTAL(3,$B$4:B351)</f>
        <v>26</v>
      </c>
      <c r="B351" s="745" t="s">
        <v>93</v>
      </c>
      <c r="C351" s="413" t="str">
        <f>'Visual chart Edit'!C354</f>
        <v>DD60+25</v>
      </c>
      <c r="D351" s="413" t="s">
        <v>1329</v>
      </c>
      <c r="E351" s="465">
        <f>'Visual chart Edit'!I354</f>
        <v>460.49</v>
      </c>
      <c r="F351" s="413" t="str">
        <f>'Visual chart Edit'!K354</f>
        <v>Sandy</v>
      </c>
      <c r="G351" s="413" t="str">
        <f>'Visual chart Edit'!L354</f>
        <v>E</v>
      </c>
      <c r="H351" s="413" t="s">
        <v>419</v>
      </c>
      <c r="I351" s="413"/>
      <c r="J351" s="413"/>
      <c r="K351" s="413"/>
    </row>
    <row r="352" spans="1:11" hidden="1" x14ac:dyDescent="0.25">
      <c r="A352" s="413">
        <f>+SUBTOTAL(3,$B$4:B352)</f>
        <v>26</v>
      </c>
      <c r="B352" s="745" t="str">
        <f>'Visual chart Edit'!B355</f>
        <v>57/0</v>
      </c>
      <c r="C352" s="413" t="str">
        <f>'Visual chart Edit'!C355</f>
        <v>DD60+25</v>
      </c>
      <c r="D352" s="413" t="s">
        <v>1329</v>
      </c>
      <c r="E352" s="465">
        <f>'Visual chart Edit'!I355</f>
        <v>219.76</v>
      </c>
      <c r="F352" s="413" t="str">
        <f>'Visual chart Edit'!K355</f>
        <v>Sandy</v>
      </c>
      <c r="G352" s="413" t="str">
        <f>'Visual chart Edit'!L355</f>
        <v>E</v>
      </c>
      <c r="H352" s="413" t="s">
        <v>419</v>
      </c>
      <c r="I352" s="413"/>
      <c r="J352" s="413"/>
      <c r="K352" s="413"/>
    </row>
    <row r="353" spans="1:11" hidden="1" x14ac:dyDescent="0.25">
      <c r="A353" s="413">
        <f>+SUBTOTAL(3,$B$4:B353)</f>
        <v>26</v>
      </c>
      <c r="B353" s="745" t="str">
        <f>'Visual chart Edit'!B356</f>
        <v>57/1</v>
      </c>
      <c r="C353" s="413" t="str">
        <f>'Visual chart Edit'!C356</f>
        <v>DA+0</v>
      </c>
      <c r="D353" s="413" t="s">
        <v>1329</v>
      </c>
      <c r="E353" s="465">
        <f>'Visual chart Edit'!I356</f>
        <v>461.1</v>
      </c>
      <c r="F353" s="413" t="str">
        <f>'Visual chart Edit'!K356</f>
        <v>Sandy</v>
      </c>
      <c r="G353" s="413" t="str">
        <f>'Visual chart Edit'!L356</f>
        <v>E</v>
      </c>
      <c r="H353" s="413" t="s">
        <v>419</v>
      </c>
      <c r="I353" s="413"/>
      <c r="J353" s="413"/>
      <c r="K353" s="413"/>
    </row>
    <row r="354" spans="1:11" hidden="1" x14ac:dyDescent="0.25">
      <c r="A354" s="413">
        <f>+SUBTOTAL(3,$B$4:B354)</f>
        <v>26</v>
      </c>
      <c r="B354" s="745" t="str">
        <f>'Visual chart Edit'!B357</f>
        <v>57/2</v>
      </c>
      <c r="C354" s="413" t="str">
        <f>'Visual chart Edit'!C357</f>
        <v>DA+3</v>
      </c>
      <c r="D354" s="413" t="s">
        <v>1330</v>
      </c>
      <c r="E354" s="465">
        <f>'Visual chart Edit'!I357</f>
        <v>355.5</v>
      </c>
      <c r="F354" s="413" t="str">
        <f>'Visual chart Edit'!K357</f>
        <v>DRY</v>
      </c>
      <c r="G354" s="413" t="str">
        <f>'Visual chart Edit'!L357</f>
        <v>E</v>
      </c>
      <c r="H354" s="413" t="s">
        <v>419</v>
      </c>
      <c r="I354" s="413"/>
      <c r="J354" s="413"/>
      <c r="K354" s="413"/>
    </row>
    <row r="355" spans="1:11" hidden="1" x14ac:dyDescent="0.25">
      <c r="A355" s="413">
        <f>+SUBTOTAL(3,$B$4:B355)</f>
        <v>26</v>
      </c>
      <c r="B355" s="745" t="str">
        <f>'Visual chart Edit'!B358</f>
        <v>57/3</v>
      </c>
      <c r="C355" s="413" t="str">
        <f>'Visual chart Edit'!C358</f>
        <v>DA+0</v>
      </c>
      <c r="D355" s="413" t="s">
        <v>1330</v>
      </c>
      <c r="E355" s="465">
        <f>'Visual chart Edit'!I358</f>
        <v>405.4</v>
      </c>
      <c r="F355" s="413" t="str">
        <f>'Visual chart Edit'!K358</f>
        <v>DRY</v>
      </c>
      <c r="G355" s="413" t="str">
        <f>'Visual chart Edit'!L358</f>
        <v>E</v>
      </c>
      <c r="H355" s="413" t="s">
        <v>419</v>
      </c>
      <c r="I355" s="413"/>
      <c r="J355" s="413"/>
      <c r="K355" s="413"/>
    </row>
    <row r="356" spans="1:11" hidden="1" x14ac:dyDescent="0.25">
      <c r="A356" s="413">
        <f>+SUBTOTAL(3,$B$4:B356)</f>
        <v>26</v>
      </c>
      <c r="B356" s="745" t="str">
        <f>'Visual chart Edit'!B359</f>
        <v>57/4</v>
      </c>
      <c r="C356" s="413" t="str">
        <f>'Visual chart Edit'!C359</f>
        <v>DA+0</v>
      </c>
      <c r="D356" s="413" t="s">
        <v>1330</v>
      </c>
      <c r="E356" s="465">
        <f>'Visual chart Edit'!I359</f>
        <v>418.2</v>
      </c>
      <c r="F356" s="413" t="str">
        <f>'Visual chart Edit'!K359</f>
        <v>Sandy</v>
      </c>
      <c r="G356" s="413" t="str">
        <f>'Visual chart Edit'!L359</f>
        <v>E</v>
      </c>
      <c r="H356" s="413" t="s">
        <v>419</v>
      </c>
      <c r="I356" s="413"/>
      <c r="J356" s="413"/>
      <c r="K356" s="413"/>
    </row>
    <row r="357" spans="1:11" hidden="1" x14ac:dyDescent="0.25">
      <c r="A357" s="413">
        <f>+SUBTOTAL(3,$B$4:B357)</f>
        <v>26</v>
      </c>
      <c r="B357" s="745" t="str">
        <f>'Visual chart Edit'!B360</f>
        <v>57/5</v>
      </c>
      <c r="C357" s="413" t="str">
        <f>'Visual chart Edit'!C360</f>
        <v>DA+3</v>
      </c>
      <c r="D357" s="413" t="s">
        <v>1329</v>
      </c>
      <c r="E357" s="465">
        <f>'Visual chart Edit'!I360</f>
        <v>416.8</v>
      </c>
      <c r="F357" s="413" t="str">
        <f>'Visual chart Edit'!K360</f>
        <v>Sandy</v>
      </c>
      <c r="G357" s="413" t="str">
        <f>'Visual chart Edit'!L360</f>
        <v>E</v>
      </c>
      <c r="H357" s="413" t="s">
        <v>419</v>
      </c>
      <c r="I357" s="413"/>
      <c r="J357" s="413"/>
      <c r="K357" s="413"/>
    </row>
    <row r="358" spans="1:11" hidden="1" x14ac:dyDescent="0.25">
      <c r="A358" s="413">
        <f>+SUBTOTAL(3,$B$4:B358)</f>
        <v>26</v>
      </c>
      <c r="B358" s="745" t="str">
        <f>'Visual chart Edit'!B361</f>
        <v>57/6</v>
      </c>
      <c r="C358" s="413" t="str">
        <f>'Visual chart Edit'!C361</f>
        <v>DA+3</v>
      </c>
      <c r="D358" s="413" t="s">
        <v>1330</v>
      </c>
      <c r="E358" s="465">
        <f>'Visual chart Edit'!I361</f>
        <v>395</v>
      </c>
      <c r="F358" s="413" t="str">
        <f>'Visual chart Edit'!K361</f>
        <v>Sandy</v>
      </c>
      <c r="G358" s="413" t="str">
        <f>'Visual chart Edit'!L361</f>
        <v>E</v>
      </c>
      <c r="H358" s="413" t="s">
        <v>419</v>
      </c>
      <c r="I358" s="413"/>
      <c r="J358" s="413"/>
      <c r="K358" s="413"/>
    </row>
    <row r="359" spans="1:11" hidden="1" x14ac:dyDescent="0.25">
      <c r="A359" s="413">
        <f>+SUBTOTAL(3,$B$4:B359)</f>
        <v>26</v>
      </c>
      <c r="B359" s="745" t="str">
        <f>'Visual chart Edit'!B362</f>
        <v>57/7</v>
      </c>
      <c r="C359" s="413" t="str">
        <f>'Visual chart Edit'!C362</f>
        <v>DA+3</v>
      </c>
      <c r="D359" s="413" t="s">
        <v>1331</v>
      </c>
      <c r="E359" s="465">
        <f>'Visual chart Edit'!I362</f>
        <v>401.8</v>
      </c>
      <c r="F359" s="413" t="str">
        <f>'Visual chart Edit'!K362</f>
        <v>DFR</v>
      </c>
      <c r="G359" s="413" t="str">
        <f>'Visual chart Edit'!L362</f>
        <v>E</v>
      </c>
      <c r="H359" s="413" t="s">
        <v>419</v>
      </c>
      <c r="I359" s="413"/>
      <c r="J359" s="413"/>
      <c r="K359" s="413"/>
    </row>
    <row r="360" spans="1:11" hidden="1" x14ac:dyDescent="0.25">
      <c r="A360" s="413">
        <f>+SUBTOTAL(3,$B$4:B360)</f>
        <v>26</v>
      </c>
      <c r="B360" s="745" t="str">
        <f>'Visual chart Edit'!B363</f>
        <v>58/0</v>
      </c>
      <c r="C360" s="413" t="str">
        <f>'Visual chart Edit'!C363</f>
        <v>DC1+3</v>
      </c>
      <c r="D360" s="413" t="s">
        <v>1331</v>
      </c>
      <c r="E360" s="465">
        <f>'Visual chart Edit'!I363</f>
        <v>433.9</v>
      </c>
      <c r="F360" s="413" t="str">
        <f>'Visual chart Edit'!K363</f>
        <v>DFR</v>
      </c>
      <c r="G360" s="413" t="str">
        <f>'Visual chart Edit'!L363</f>
        <v>E</v>
      </c>
      <c r="H360" s="413" t="s">
        <v>419</v>
      </c>
      <c r="I360" s="413"/>
      <c r="J360" s="413"/>
      <c r="K360" s="413"/>
    </row>
    <row r="361" spans="1:11" hidden="1" x14ac:dyDescent="0.25">
      <c r="A361" s="413">
        <f>+SUBTOTAL(3,$B$4:B361)</f>
        <v>26</v>
      </c>
      <c r="B361" s="745" t="str">
        <f>'Visual chart Edit'!B364</f>
        <v>59/0</v>
      </c>
      <c r="C361" s="413" t="str">
        <f>'Visual chart Edit'!C364</f>
        <v>DC2+0</v>
      </c>
      <c r="D361" s="413" t="s">
        <v>1331</v>
      </c>
      <c r="E361" s="465">
        <f>'Visual chart Edit'!I364</f>
        <v>238.9</v>
      </c>
      <c r="F361" s="413" t="str">
        <f>'Visual chart Edit'!K364</f>
        <v>DRY</v>
      </c>
      <c r="G361" s="413" t="str">
        <f>'Visual chart Edit'!L364</f>
        <v>E</v>
      </c>
      <c r="H361" s="413" t="s">
        <v>419</v>
      </c>
      <c r="I361" s="413"/>
      <c r="J361" s="413"/>
      <c r="K361" s="413"/>
    </row>
    <row r="362" spans="1:11" hidden="1" x14ac:dyDescent="0.25">
      <c r="A362" s="413">
        <f>+SUBTOTAL(3,$B$4:B362)</f>
        <v>26</v>
      </c>
      <c r="B362" s="745" t="str">
        <f>'Visual chart Edit'!B365</f>
        <v>59/1</v>
      </c>
      <c r="C362" s="413" t="str">
        <f>'Visual chart Edit'!C365</f>
        <v>DA+3</v>
      </c>
      <c r="D362" s="413" t="s">
        <v>1331</v>
      </c>
      <c r="E362" s="465">
        <f>'Visual chart Edit'!I365</f>
        <v>411.3</v>
      </c>
      <c r="F362" s="413" t="str">
        <f>'Visual chart Edit'!K365</f>
        <v>DRY</v>
      </c>
      <c r="G362" s="413" t="str">
        <f>'Visual chart Edit'!L365</f>
        <v>E</v>
      </c>
      <c r="H362" s="413" t="s">
        <v>419</v>
      </c>
      <c r="I362" s="413" t="s">
        <v>419</v>
      </c>
      <c r="J362" s="413" t="s">
        <v>419</v>
      </c>
      <c r="K362" s="413"/>
    </row>
    <row r="363" spans="1:11" hidden="1" x14ac:dyDescent="0.25">
      <c r="A363" s="413">
        <f>+SUBTOTAL(3,$B$4:B363)</f>
        <v>26</v>
      </c>
      <c r="B363" s="745" t="str">
        <f>'Visual chart Edit'!B366</f>
        <v>59/2</v>
      </c>
      <c r="C363" s="413" t="str">
        <f>'Visual chart Edit'!C366</f>
        <v>DA+3</v>
      </c>
      <c r="D363" s="413" t="s">
        <v>1331</v>
      </c>
      <c r="E363" s="465">
        <f>'Visual chart Edit'!I366</f>
        <v>418.2</v>
      </c>
      <c r="F363" s="413" t="str">
        <f>'Visual chart Edit'!K366</f>
        <v>DFR</v>
      </c>
      <c r="G363" s="413" t="str">
        <f>'Visual chart Edit'!L366</f>
        <v>E</v>
      </c>
      <c r="H363" s="413" t="s">
        <v>419</v>
      </c>
      <c r="I363" s="413" t="s">
        <v>419</v>
      </c>
      <c r="J363" s="413" t="s">
        <v>419</v>
      </c>
      <c r="K363" s="413"/>
    </row>
    <row r="364" spans="1:11" hidden="1" x14ac:dyDescent="0.25">
      <c r="A364" s="413">
        <f>+SUBTOTAL(3,$B$4:B364)</f>
        <v>26</v>
      </c>
      <c r="B364" s="745" t="str">
        <f>'Visual chart Edit'!B367</f>
        <v>59/3</v>
      </c>
      <c r="C364" s="413" t="str">
        <f>'Visual chart Edit'!C367</f>
        <v>DA+3</v>
      </c>
      <c r="D364" s="413" t="s">
        <v>1330</v>
      </c>
      <c r="E364" s="465">
        <f>'Visual chart Edit'!I367</f>
        <v>412.3</v>
      </c>
      <c r="F364" s="413" t="str">
        <f>'Visual chart Edit'!K367</f>
        <v>DFR</v>
      </c>
      <c r="G364" s="413" t="str">
        <f>'Visual chart Edit'!L367</f>
        <v>E</v>
      </c>
      <c r="H364" s="413" t="s">
        <v>419</v>
      </c>
      <c r="I364" s="413" t="s">
        <v>419</v>
      </c>
      <c r="J364" s="413" t="s">
        <v>419</v>
      </c>
      <c r="K364" s="413"/>
    </row>
    <row r="365" spans="1:11" hidden="1" x14ac:dyDescent="0.25">
      <c r="A365" s="413">
        <f>+SUBTOTAL(3,$B$4:B365)</f>
        <v>26</v>
      </c>
      <c r="B365" s="745" t="str">
        <f>'Visual chart Edit'!B368</f>
        <v>59/4</v>
      </c>
      <c r="C365" s="413" t="str">
        <f>'Visual chart Edit'!C368</f>
        <v>DA+3</v>
      </c>
      <c r="D365" s="413" t="s">
        <v>1330</v>
      </c>
      <c r="E365" s="465">
        <f>'Visual chart Edit'!I368</f>
        <v>421</v>
      </c>
      <c r="F365" s="413" t="str">
        <f>'Visual chart Edit'!K368</f>
        <v>DFR</v>
      </c>
      <c r="G365" s="413" t="str">
        <f>'Visual chart Edit'!L368</f>
        <v>E</v>
      </c>
      <c r="H365" s="413" t="s">
        <v>419</v>
      </c>
      <c r="I365" s="413" t="s">
        <v>419</v>
      </c>
      <c r="J365" s="413" t="s">
        <v>419</v>
      </c>
      <c r="K365" s="413"/>
    </row>
    <row r="366" spans="1:11" hidden="1" x14ac:dyDescent="0.25">
      <c r="A366" s="413">
        <f>+SUBTOTAL(3,$B$4:B366)</f>
        <v>26</v>
      </c>
      <c r="B366" s="745" t="str">
        <f>'Visual chart Edit'!B369</f>
        <v>59/5</v>
      </c>
      <c r="C366" s="413" t="str">
        <f>'Visual chart Edit'!C369</f>
        <v>DA+3</v>
      </c>
      <c r="D366" s="413" t="s">
        <v>1332</v>
      </c>
      <c r="E366" s="465">
        <f>'Visual chart Edit'!I369</f>
        <v>419.7</v>
      </c>
      <c r="F366" s="413" t="str">
        <f>'Visual chart Edit'!K369</f>
        <v>DFR</v>
      </c>
      <c r="G366" s="413" t="str">
        <f>'Visual chart Edit'!L369</f>
        <v>E</v>
      </c>
      <c r="H366" s="413" t="s">
        <v>419</v>
      </c>
      <c r="I366" s="413" t="s">
        <v>419</v>
      </c>
      <c r="J366" s="413" t="s">
        <v>419</v>
      </c>
      <c r="K366" s="413"/>
    </row>
    <row r="367" spans="1:11" hidden="1" x14ac:dyDescent="0.25">
      <c r="A367" s="413">
        <f>+SUBTOTAL(3,$B$4:B367)</f>
        <v>26</v>
      </c>
      <c r="B367" s="745" t="str">
        <f>'Visual chart Edit'!B370</f>
        <v>59/6</v>
      </c>
      <c r="C367" s="413" t="str">
        <f>'Visual chart Edit'!C370</f>
        <v>DA+3</v>
      </c>
      <c r="D367" s="413" t="s">
        <v>1332</v>
      </c>
      <c r="E367" s="465">
        <f>'Visual chart Edit'!I370</f>
        <v>419.1</v>
      </c>
      <c r="F367" s="413" t="str">
        <f>'Visual chart Edit'!K370</f>
        <v>DFR</v>
      </c>
      <c r="G367" s="413" t="str">
        <f>'Visual chart Edit'!L370</f>
        <v>E</v>
      </c>
      <c r="H367" s="413" t="s">
        <v>419</v>
      </c>
      <c r="I367" s="413" t="s">
        <v>419</v>
      </c>
      <c r="J367" s="413" t="s">
        <v>419</v>
      </c>
      <c r="K367" s="413"/>
    </row>
    <row r="368" spans="1:11" hidden="1" x14ac:dyDescent="0.25">
      <c r="A368" s="413">
        <f>+SUBTOTAL(3,$B$4:B368)</f>
        <v>26</v>
      </c>
      <c r="B368" s="745" t="str">
        <f>'Visual chart Edit'!B371</f>
        <v>59/7</v>
      </c>
      <c r="C368" s="413" t="str">
        <f>'Visual chart Edit'!C371</f>
        <v>DA+3</v>
      </c>
      <c r="D368" s="413" t="s">
        <v>1332</v>
      </c>
      <c r="E368" s="465">
        <f>'Visual chart Edit'!I371</f>
        <v>408.8</v>
      </c>
      <c r="F368" s="413" t="str">
        <f>'Visual chart Edit'!K371</f>
        <v>DRY</v>
      </c>
      <c r="G368" s="413" t="str">
        <f>'Visual chart Edit'!L371</f>
        <v>E</v>
      </c>
      <c r="H368" s="413" t="s">
        <v>419</v>
      </c>
      <c r="I368" s="413" t="s">
        <v>419</v>
      </c>
      <c r="J368" s="413" t="s">
        <v>419</v>
      </c>
      <c r="K368" s="413"/>
    </row>
    <row r="369" spans="1:11" hidden="1" x14ac:dyDescent="0.25">
      <c r="A369" s="413">
        <f>+SUBTOTAL(3,$B$4:B369)</f>
        <v>26</v>
      </c>
      <c r="B369" s="745" t="str">
        <f>'Visual chart Edit'!B372</f>
        <v>59/8</v>
      </c>
      <c r="C369" s="413" t="str">
        <f>'Visual chart Edit'!C372</f>
        <v>DB1+3</v>
      </c>
      <c r="D369" s="413" t="s">
        <v>1332</v>
      </c>
      <c r="E369" s="465">
        <f>'Visual chart Edit'!I372</f>
        <v>426.9</v>
      </c>
      <c r="F369" s="413" t="str">
        <f>'Visual chart Edit'!K372</f>
        <v>DRY</v>
      </c>
      <c r="G369" s="413" t="str">
        <f>'Visual chart Edit'!L372</f>
        <v>E</v>
      </c>
      <c r="H369" s="413" t="s">
        <v>419</v>
      </c>
      <c r="I369" s="413"/>
      <c r="J369" s="413" t="s">
        <v>419</v>
      </c>
      <c r="K369" s="413" t="s">
        <v>419</v>
      </c>
    </row>
    <row r="370" spans="1:11" hidden="1" x14ac:dyDescent="0.25">
      <c r="A370" s="413">
        <f>+SUBTOTAL(3,$B$4:B370)</f>
        <v>26</v>
      </c>
      <c r="B370" s="745" t="str">
        <f>'Visual chart Edit'!B373</f>
        <v>59/9</v>
      </c>
      <c r="C370" s="413" t="str">
        <f>'Visual chart Edit'!C373</f>
        <v>DA+3</v>
      </c>
      <c r="D370" s="413" t="s">
        <v>1332</v>
      </c>
      <c r="E370" s="465">
        <f>'Visual chart Edit'!I373</f>
        <v>434.7</v>
      </c>
      <c r="F370" s="413" t="str">
        <f>'Visual chart Edit'!K373</f>
        <v>DRY</v>
      </c>
      <c r="G370" s="413" t="str">
        <f>'Visual chart Edit'!L373</f>
        <v>E</v>
      </c>
      <c r="H370" s="413" t="s">
        <v>419</v>
      </c>
      <c r="I370" s="413" t="s">
        <v>419</v>
      </c>
      <c r="J370" s="413" t="s">
        <v>419</v>
      </c>
      <c r="K370" s="413"/>
    </row>
    <row r="371" spans="1:11" hidden="1" x14ac:dyDescent="0.25">
      <c r="A371" s="413">
        <f>+SUBTOTAL(3,$B$4:B371)</f>
        <v>26</v>
      </c>
      <c r="B371" s="745" t="str">
        <f>'Visual chart Edit'!B374</f>
        <v>59/10</v>
      </c>
      <c r="C371" s="413" t="str">
        <f>'Visual chart Edit'!C374</f>
        <v>DA+0</v>
      </c>
      <c r="D371" s="413" t="s">
        <v>1332</v>
      </c>
      <c r="E371" s="465">
        <f>'Visual chart Edit'!I374</f>
        <v>400.8</v>
      </c>
      <c r="F371" s="413" t="str">
        <f>'Visual chart Edit'!K374</f>
        <v>DRY</v>
      </c>
      <c r="G371" s="413" t="str">
        <f>'Visual chart Edit'!L374</f>
        <v>E</v>
      </c>
      <c r="H371" s="413" t="s">
        <v>419</v>
      </c>
      <c r="I371" s="413" t="s">
        <v>419</v>
      </c>
      <c r="J371" s="413" t="s">
        <v>419</v>
      </c>
      <c r="K371" s="413"/>
    </row>
    <row r="372" spans="1:11" hidden="1" x14ac:dyDescent="0.25">
      <c r="A372" s="413">
        <f>+SUBTOTAL(3,$B$4:B372)</f>
        <v>26</v>
      </c>
      <c r="B372" s="745" t="str">
        <f>'Visual chart Edit'!B375</f>
        <v>59/11</v>
      </c>
      <c r="C372" s="413" t="str">
        <f>'Visual chart Edit'!C375</f>
        <v>DA+6</v>
      </c>
      <c r="D372" s="413" t="s">
        <v>1332</v>
      </c>
      <c r="E372" s="465">
        <f>'Visual chart Edit'!I375</f>
        <v>436.3</v>
      </c>
      <c r="F372" s="413" t="str">
        <f>'Visual chart Edit'!K375</f>
        <v>DFR</v>
      </c>
      <c r="G372" s="413" t="str">
        <f>'Visual chart Edit'!L375</f>
        <v>E</v>
      </c>
      <c r="H372" s="413" t="s">
        <v>419</v>
      </c>
      <c r="I372" s="413" t="s">
        <v>419</v>
      </c>
      <c r="J372" s="413" t="s">
        <v>419</v>
      </c>
      <c r="K372" s="413"/>
    </row>
    <row r="373" spans="1:11" hidden="1" x14ac:dyDescent="0.25">
      <c r="A373" s="413">
        <f>+SUBTOTAL(3,$B$4:B373)</f>
        <v>26</v>
      </c>
      <c r="B373" s="745" t="str">
        <f>'Visual chart Edit'!B376</f>
        <v>59/12</v>
      </c>
      <c r="C373" s="413" t="str">
        <f>'Visual chart Edit'!C376</f>
        <v>DA+6</v>
      </c>
      <c r="D373" s="413" t="s">
        <v>1332</v>
      </c>
      <c r="E373" s="465">
        <f>'Visual chart Edit'!I376</f>
        <v>393.1</v>
      </c>
      <c r="F373" s="413" t="str">
        <f>'Visual chart Edit'!K376</f>
        <v>DFR</v>
      </c>
      <c r="G373" s="413" t="str">
        <f>'Visual chart Edit'!L376</f>
        <v>E</v>
      </c>
      <c r="H373" s="413" t="s">
        <v>419</v>
      </c>
      <c r="I373" s="413" t="s">
        <v>419</v>
      </c>
      <c r="J373" s="413" t="s">
        <v>419</v>
      </c>
      <c r="K373" s="413"/>
    </row>
    <row r="374" spans="1:11" hidden="1" x14ac:dyDescent="0.25">
      <c r="A374" s="413">
        <f>+SUBTOTAL(3,$B$4:B374)</f>
        <v>26</v>
      </c>
      <c r="B374" s="745" t="str">
        <f>'Visual chart Edit'!B377</f>
        <v>59/13</v>
      </c>
      <c r="C374" s="413" t="str">
        <f>'Visual chart Edit'!C377</f>
        <v>DA+3</v>
      </c>
      <c r="D374" s="413" t="s">
        <v>1332</v>
      </c>
      <c r="E374" s="465">
        <f>'Visual chart Edit'!I377</f>
        <v>447.4</v>
      </c>
      <c r="F374" s="413" t="str">
        <f>'Visual chart Edit'!K377</f>
        <v>DRY</v>
      </c>
      <c r="G374" s="413" t="str">
        <f>'Visual chart Edit'!L377</f>
        <v>E</v>
      </c>
      <c r="H374" s="413" t="s">
        <v>419</v>
      </c>
      <c r="I374" s="413" t="s">
        <v>419</v>
      </c>
      <c r="J374" s="413" t="s">
        <v>419</v>
      </c>
      <c r="K374" s="413"/>
    </row>
    <row r="375" spans="1:11" hidden="1" x14ac:dyDescent="0.25">
      <c r="A375" s="413">
        <f>+SUBTOTAL(3,$B$4:B375)</f>
        <v>26</v>
      </c>
      <c r="B375" s="745" t="str">
        <f>'Visual chart Edit'!B378</f>
        <v>59/14</v>
      </c>
      <c r="C375" s="413" t="str">
        <f>'Visual chart Edit'!C378</f>
        <v>DA+6</v>
      </c>
      <c r="D375" s="413" t="s">
        <v>1332</v>
      </c>
      <c r="E375" s="465">
        <f>'Visual chart Edit'!I378</f>
        <v>391.1</v>
      </c>
      <c r="F375" s="413" t="str">
        <f>'Visual chart Edit'!K378</f>
        <v>DRY</v>
      </c>
      <c r="G375" s="413" t="str">
        <f>'Visual chart Edit'!L378</f>
        <v>E</v>
      </c>
      <c r="H375" s="413" t="s">
        <v>419</v>
      </c>
      <c r="I375" s="413" t="s">
        <v>419</v>
      </c>
      <c r="J375" s="413" t="s">
        <v>419</v>
      </c>
      <c r="K375" s="413"/>
    </row>
    <row r="376" spans="1:11" hidden="1" x14ac:dyDescent="0.25">
      <c r="A376" s="413">
        <f>+SUBTOTAL(3,$B$4:B376)</f>
        <v>26</v>
      </c>
      <c r="B376" s="745" t="str">
        <f>'Visual chart Edit'!B379</f>
        <v>59/15</v>
      </c>
      <c r="C376" s="413" t="str">
        <f>'Visual chart Edit'!C379</f>
        <v>DA+6</v>
      </c>
      <c r="D376" s="413" t="s">
        <v>1333</v>
      </c>
      <c r="E376" s="465">
        <f>'Visual chart Edit'!I379</f>
        <v>448.6</v>
      </c>
      <c r="F376" s="413" t="str">
        <f>'Visual chart Edit'!K379</f>
        <v>DRY</v>
      </c>
      <c r="G376" s="413" t="str">
        <f>'Visual chart Edit'!L379</f>
        <v>E</v>
      </c>
      <c r="H376" s="413" t="s">
        <v>419</v>
      </c>
      <c r="I376" s="413" t="s">
        <v>419</v>
      </c>
      <c r="J376" s="413" t="s">
        <v>419</v>
      </c>
      <c r="K376" s="413"/>
    </row>
    <row r="377" spans="1:11" hidden="1" x14ac:dyDescent="0.25">
      <c r="A377" s="413">
        <f>+SUBTOTAL(3,$B$4:B377)</f>
        <v>26</v>
      </c>
      <c r="B377" s="745" t="str">
        <f>'Visual chart Edit'!B380</f>
        <v>59/16</v>
      </c>
      <c r="C377" s="413" t="str">
        <f>'Visual chart Edit'!C380</f>
        <v>DA+9</v>
      </c>
      <c r="D377" s="413" t="s">
        <v>1333</v>
      </c>
      <c r="E377" s="465">
        <f>'Visual chart Edit'!I380</f>
        <v>388</v>
      </c>
      <c r="F377" s="413" t="str">
        <f>'Visual chart Edit'!K380</f>
        <v>Dry</v>
      </c>
      <c r="G377" s="413" t="str">
        <f>'Visual chart Edit'!L380</f>
        <v>E</v>
      </c>
      <c r="H377" s="413" t="s">
        <v>419</v>
      </c>
      <c r="I377" s="413" t="s">
        <v>419</v>
      </c>
      <c r="J377" s="413" t="s">
        <v>419</v>
      </c>
      <c r="K377" s="413"/>
    </row>
    <row r="378" spans="1:11" hidden="1" x14ac:dyDescent="0.25">
      <c r="A378" s="413">
        <f>+SUBTOTAL(3,$B$4:B378)</f>
        <v>26</v>
      </c>
      <c r="B378" s="745" t="str">
        <f>'Visual chart Edit'!B381</f>
        <v>60/0</v>
      </c>
      <c r="C378" s="413" t="str">
        <f>'Visual chart Edit'!C381</f>
        <v>DC1+0</v>
      </c>
      <c r="D378" s="413" t="s">
        <v>1333</v>
      </c>
      <c r="E378" s="465">
        <f>'Visual chart Edit'!I381</f>
        <v>438</v>
      </c>
      <c r="F378" s="413" t="str">
        <f>'Visual chart Edit'!K381</f>
        <v>DRY</v>
      </c>
      <c r="G378" s="413" t="str">
        <f>'Visual chart Edit'!L381</f>
        <v>E</v>
      </c>
      <c r="H378" s="413" t="s">
        <v>419</v>
      </c>
      <c r="I378" s="413"/>
      <c r="J378" s="413" t="s">
        <v>419</v>
      </c>
      <c r="K378" s="413" t="s">
        <v>419</v>
      </c>
    </row>
    <row r="379" spans="1:11" hidden="1" x14ac:dyDescent="0.25">
      <c r="A379" s="413">
        <f>+SUBTOTAL(3,$B$4:B379)</f>
        <v>26</v>
      </c>
      <c r="B379" s="745" t="str">
        <f>'Visual chart Edit'!B382</f>
        <v>60/1</v>
      </c>
      <c r="C379" s="413" t="str">
        <f>'Visual chart Edit'!C382</f>
        <v>DA+6</v>
      </c>
      <c r="D379" s="413" t="s">
        <v>1333</v>
      </c>
      <c r="E379" s="465">
        <f>'Visual chart Edit'!I382</f>
        <v>413.8</v>
      </c>
      <c r="F379" s="413" t="str">
        <f>'Visual chart Edit'!K382</f>
        <v>DRY</v>
      </c>
      <c r="G379" s="413" t="str">
        <f>'Visual chart Edit'!L382</f>
        <v>E</v>
      </c>
      <c r="H379" s="413" t="s">
        <v>419</v>
      </c>
      <c r="I379" s="413" t="s">
        <v>419</v>
      </c>
      <c r="J379" s="413" t="s">
        <v>419</v>
      </c>
      <c r="K379" s="413"/>
    </row>
    <row r="380" spans="1:11" hidden="1" x14ac:dyDescent="0.25">
      <c r="A380" s="413">
        <f>+SUBTOTAL(3,$B$4:B380)</f>
        <v>26</v>
      </c>
      <c r="B380" s="745" t="str">
        <f>'Visual chart Edit'!B383</f>
        <v>60/2</v>
      </c>
      <c r="C380" s="413" t="str">
        <f>'Visual chart Edit'!C383</f>
        <v>DA+3</v>
      </c>
      <c r="D380" s="413" t="s">
        <v>1333</v>
      </c>
      <c r="E380" s="465">
        <f>'Visual chart Edit'!I383</f>
        <v>424.2</v>
      </c>
      <c r="F380" s="413" t="str">
        <f>'Visual chart Edit'!K383</f>
        <v>DFR</v>
      </c>
      <c r="G380" s="413" t="str">
        <f>'Visual chart Edit'!L383</f>
        <v>E</v>
      </c>
      <c r="H380" s="413" t="s">
        <v>419</v>
      </c>
      <c r="I380" s="413" t="s">
        <v>419</v>
      </c>
      <c r="J380" s="413" t="s">
        <v>419</v>
      </c>
      <c r="K380" s="413"/>
    </row>
    <row r="381" spans="1:11" hidden="1" x14ac:dyDescent="0.25">
      <c r="A381" s="413">
        <f>+SUBTOTAL(3,$B$4:B381)</f>
        <v>26</v>
      </c>
      <c r="B381" s="745" t="str">
        <f>'Visual chart Edit'!B384</f>
        <v>60/3</v>
      </c>
      <c r="C381" s="413" t="str">
        <f>'Visual chart Edit'!C384</f>
        <v>DA+3</v>
      </c>
      <c r="D381" s="413" t="s">
        <v>1333</v>
      </c>
      <c r="E381" s="465">
        <f>'Visual chart Edit'!I384</f>
        <v>414.5</v>
      </c>
      <c r="F381" s="413" t="str">
        <f>'Visual chart Edit'!K384</f>
        <v>DFR</v>
      </c>
      <c r="G381" s="413" t="str">
        <f>'Visual chart Edit'!L384</f>
        <v>E</v>
      </c>
      <c r="H381" s="413" t="s">
        <v>419</v>
      </c>
      <c r="I381" s="413" t="s">
        <v>419</v>
      </c>
      <c r="J381" s="413" t="s">
        <v>419</v>
      </c>
      <c r="K381" s="413"/>
    </row>
    <row r="382" spans="1:11" hidden="1" x14ac:dyDescent="0.25">
      <c r="A382" s="413">
        <f>+SUBTOTAL(3,$B$4:B382)</f>
        <v>26</v>
      </c>
      <c r="B382" s="745" t="str">
        <f>'Visual chart Edit'!B385</f>
        <v>60/4</v>
      </c>
      <c r="C382" s="413" t="str">
        <f>'Visual chart Edit'!C385</f>
        <v>DA+3</v>
      </c>
      <c r="D382" s="413" t="s">
        <v>1334</v>
      </c>
      <c r="E382" s="465">
        <f>'Visual chart Edit'!I385</f>
        <v>425.6</v>
      </c>
      <c r="F382" s="413" t="str">
        <f>'Visual chart Edit'!K385</f>
        <v>DFR</v>
      </c>
      <c r="G382" s="413" t="str">
        <f>'Visual chart Edit'!L385</f>
        <v>E</v>
      </c>
      <c r="H382" s="413" t="s">
        <v>419</v>
      </c>
      <c r="I382" s="413" t="s">
        <v>419</v>
      </c>
      <c r="J382" s="413" t="s">
        <v>419</v>
      </c>
      <c r="K382" s="413"/>
    </row>
    <row r="383" spans="1:11" hidden="1" x14ac:dyDescent="0.25">
      <c r="A383" s="413">
        <f>+SUBTOTAL(3,$B$4:B383)</f>
        <v>26</v>
      </c>
      <c r="B383" s="745" t="str">
        <f>'Visual chart Edit'!B386</f>
        <v>60/5</v>
      </c>
      <c r="C383" s="413" t="str">
        <f>'Visual chart Edit'!C386</f>
        <v>DA+3</v>
      </c>
      <c r="D383" s="413" t="s">
        <v>1334</v>
      </c>
      <c r="E383" s="465">
        <f>'Visual chart Edit'!I386</f>
        <v>412.3</v>
      </c>
      <c r="F383" s="413" t="str">
        <f>'Visual chart Edit'!K386</f>
        <v>DRY</v>
      </c>
      <c r="G383" s="413" t="str">
        <f>'Visual chart Edit'!L386</f>
        <v>E</v>
      </c>
      <c r="H383" s="413" t="s">
        <v>419</v>
      </c>
      <c r="I383" s="413" t="s">
        <v>419</v>
      </c>
      <c r="J383" s="413" t="s">
        <v>419</v>
      </c>
      <c r="K383" s="413"/>
    </row>
    <row r="384" spans="1:11" hidden="1" x14ac:dyDescent="0.25">
      <c r="A384" s="413">
        <f>+SUBTOTAL(3,$B$4:B384)</f>
        <v>26</v>
      </c>
      <c r="B384" s="745" t="str">
        <f>'Visual chart Edit'!B387</f>
        <v>60/6</v>
      </c>
      <c r="C384" s="413" t="str">
        <f>'Visual chart Edit'!C387</f>
        <v>DA+0</v>
      </c>
      <c r="D384" s="413" t="s">
        <v>1334</v>
      </c>
      <c r="E384" s="465">
        <f>'Visual chart Edit'!I387</f>
        <v>374.1</v>
      </c>
      <c r="F384" s="413" t="str">
        <f>'Visual chart Edit'!K387</f>
        <v>DRY</v>
      </c>
      <c r="G384" s="413" t="str">
        <f>'Visual chart Edit'!L387</f>
        <v>E</v>
      </c>
      <c r="H384" s="413" t="s">
        <v>419</v>
      </c>
      <c r="I384" s="413" t="s">
        <v>419</v>
      </c>
      <c r="J384" s="413" t="s">
        <v>419</v>
      </c>
      <c r="K384" s="413"/>
    </row>
    <row r="385" spans="1:11" hidden="1" x14ac:dyDescent="0.25">
      <c r="A385" s="413">
        <f>+SUBTOTAL(3,$B$4:B385)</f>
        <v>26</v>
      </c>
      <c r="B385" s="745" t="str">
        <f>'Visual chart Edit'!B388</f>
        <v>60/7</v>
      </c>
      <c r="C385" s="413" t="str">
        <f>'Visual chart Edit'!C388</f>
        <v>DA+3</v>
      </c>
      <c r="D385" s="413" t="s">
        <v>1334</v>
      </c>
      <c r="E385" s="465">
        <f>'Visual chart Edit'!I388</f>
        <v>410.1</v>
      </c>
      <c r="F385" s="413" t="str">
        <f>'Visual chart Edit'!K388</f>
        <v>DRY</v>
      </c>
      <c r="G385" s="413" t="str">
        <f>'Visual chart Edit'!L388</f>
        <v>E</v>
      </c>
      <c r="H385" s="413" t="s">
        <v>419</v>
      </c>
      <c r="I385" s="413" t="s">
        <v>419</v>
      </c>
      <c r="J385" s="413" t="s">
        <v>419</v>
      </c>
      <c r="K385" s="413"/>
    </row>
    <row r="386" spans="1:11" hidden="1" x14ac:dyDescent="0.25">
      <c r="A386" s="413">
        <f>+SUBTOTAL(3,$B$4:B386)</f>
        <v>26</v>
      </c>
      <c r="B386" s="745" t="str">
        <f>'Visual chart Edit'!B389</f>
        <v>60/8</v>
      </c>
      <c r="C386" s="413" t="str">
        <f>'Visual chart Edit'!C389</f>
        <v>DA+0</v>
      </c>
      <c r="D386" s="413" t="s">
        <v>1334</v>
      </c>
      <c r="E386" s="465">
        <f>'Visual chart Edit'!I389</f>
        <v>400.4</v>
      </c>
      <c r="F386" s="413" t="str">
        <f>'Visual chart Edit'!K389</f>
        <v>DRY</v>
      </c>
      <c r="G386" s="413" t="str">
        <f>'Visual chart Edit'!L389</f>
        <v>E</v>
      </c>
      <c r="H386" s="413" t="s">
        <v>419</v>
      </c>
      <c r="I386" s="413" t="s">
        <v>419</v>
      </c>
      <c r="J386" s="413" t="s">
        <v>419</v>
      </c>
      <c r="K386" s="413"/>
    </row>
    <row r="387" spans="1:11" hidden="1" x14ac:dyDescent="0.25">
      <c r="A387" s="413">
        <f>+SUBTOTAL(3,$B$4:B387)</f>
        <v>26</v>
      </c>
      <c r="B387" s="745" t="str">
        <f>'Visual chart Edit'!B390</f>
        <v>60/9</v>
      </c>
      <c r="C387" s="413" t="str">
        <f>'Visual chart Edit'!C390</f>
        <v>DA+3</v>
      </c>
      <c r="D387" s="413" t="s">
        <v>1334</v>
      </c>
      <c r="E387" s="465">
        <f>'Visual chart Edit'!I390</f>
        <v>409.2</v>
      </c>
      <c r="F387" s="413" t="str">
        <f>'Visual chart Edit'!K390</f>
        <v>DRY</v>
      </c>
      <c r="G387" s="413" t="str">
        <f>'Visual chart Edit'!L390</f>
        <v>E</v>
      </c>
      <c r="H387" s="413" t="s">
        <v>419</v>
      </c>
      <c r="I387" s="413" t="s">
        <v>419</v>
      </c>
      <c r="J387" s="413" t="s">
        <v>419</v>
      </c>
      <c r="K387" s="413"/>
    </row>
    <row r="388" spans="1:11" hidden="1" x14ac:dyDescent="0.25">
      <c r="A388" s="413">
        <f>+SUBTOTAL(3,$B$4:B388)</f>
        <v>26</v>
      </c>
      <c r="B388" s="745" t="str">
        <f>'Visual chart Edit'!B391</f>
        <v>60/10</v>
      </c>
      <c r="C388" s="413" t="str">
        <f>'Visual chart Edit'!C391</f>
        <v>DA+0</v>
      </c>
      <c r="D388" s="413" t="s">
        <v>1334</v>
      </c>
      <c r="E388" s="465">
        <f>'Visual chart Edit'!I391</f>
        <v>401</v>
      </c>
      <c r="F388" s="413" t="str">
        <f>'Visual chart Edit'!K391</f>
        <v>DFR</v>
      </c>
      <c r="G388" s="413" t="str">
        <f>'Visual chart Edit'!L391</f>
        <v>E</v>
      </c>
      <c r="H388" s="413" t="s">
        <v>419</v>
      </c>
      <c r="I388" s="413" t="s">
        <v>419</v>
      </c>
      <c r="J388" s="413" t="s">
        <v>419</v>
      </c>
      <c r="K388" s="413"/>
    </row>
    <row r="389" spans="1:11" hidden="1" x14ac:dyDescent="0.25">
      <c r="A389" s="413">
        <f>+SUBTOTAL(3,$B$4:B389)</f>
        <v>26</v>
      </c>
      <c r="B389" s="745" t="str">
        <f>'Visual chart Edit'!B392</f>
        <v>60/11</v>
      </c>
      <c r="C389" s="413" t="str">
        <f>'Visual chart Edit'!C392</f>
        <v>DA+3</v>
      </c>
      <c r="D389" s="413" t="s">
        <v>1334</v>
      </c>
      <c r="E389" s="465">
        <f>'Visual chart Edit'!I392</f>
        <v>394.5</v>
      </c>
      <c r="F389" s="413" t="str">
        <f>'Visual chart Edit'!K392</f>
        <v>DRY</v>
      </c>
      <c r="G389" s="413" t="str">
        <f>'Visual chart Edit'!L392</f>
        <v>E</v>
      </c>
      <c r="H389" s="413" t="s">
        <v>419</v>
      </c>
      <c r="I389" s="413" t="s">
        <v>419</v>
      </c>
      <c r="J389" s="413" t="s">
        <v>419</v>
      </c>
      <c r="K389" s="413"/>
    </row>
    <row r="390" spans="1:11" hidden="1" x14ac:dyDescent="0.25">
      <c r="A390" s="413">
        <f>+SUBTOTAL(3,$B$4:B390)</f>
        <v>26</v>
      </c>
      <c r="B390" s="745" t="str">
        <f>'Visual chart Edit'!B393</f>
        <v>61/0</v>
      </c>
      <c r="C390" s="413" t="str">
        <f>'Visual chart Edit'!C393</f>
        <v>DB2+0</v>
      </c>
      <c r="D390" s="413" t="s">
        <v>1334</v>
      </c>
      <c r="E390" s="465">
        <f>'Visual chart Edit'!I393</f>
        <v>397.9</v>
      </c>
      <c r="F390" s="413" t="str">
        <f>'Visual chart Edit'!K393</f>
        <v>DRY</v>
      </c>
      <c r="G390" s="413" t="str">
        <f>'Visual chart Edit'!L393</f>
        <v>E</v>
      </c>
      <c r="H390" s="413" t="s">
        <v>419</v>
      </c>
      <c r="I390" s="413"/>
      <c r="J390" s="413" t="s">
        <v>419</v>
      </c>
      <c r="K390" s="413" t="s">
        <v>419</v>
      </c>
    </row>
    <row r="391" spans="1:11" hidden="1" x14ac:dyDescent="0.25">
      <c r="A391" s="413">
        <f>+SUBTOTAL(3,$B$4:B391)</f>
        <v>26</v>
      </c>
      <c r="B391" s="745" t="str">
        <f>'Visual chart Edit'!B394</f>
        <v>61/1</v>
      </c>
      <c r="C391" s="413" t="str">
        <f>'Visual chart Edit'!C394</f>
        <v>DA+6</v>
      </c>
      <c r="D391" s="413" t="s">
        <v>1335</v>
      </c>
      <c r="E391" s="465">
        <f>'Visual chart Edit'!I394</f>
        <v>405.7</v>
      </c>
      <c r="F391" s="413" t="str">
        <f>'Visual chart Edit'!K394</f>
        <v>DFR</v>
      </c>
      <c r="G391" s="413" t="str">
        <f>'Visual chart Edit'!L394</f>
        <v>E</v>
      </c>
      <c r="H391" s="413" t="s">
        <v>419</v>
      </c>
      <c r="I391" s="413" t="s">
        <v>419</v>
      </c>
      <c r="J391" s="413" t="s">
        <v>419</v>
      </c>
      <c r="K391" s="413"/>
    </row>
    <row r="392" spans="1:11" hidden="1" x14ac:dyDescent="0.25">
      <c r="A392" s="413">
        <f>+SUBTOTAL(3,$B$4:B392)</f>
        <v>26</v>
      </c>
      <c r="B392" s="745" t="str">
        <f>'Visual chart Edit'!B395</f>
        <v>61/2</v>
      </c>
      <c r="C392" s="413" t="str">
        <f>'Visual chart Edit'!C395</f>
        <v>DA+6</v>
      </c>
      <c r="D392" s="413" t="s">
        <v>1335</v>
      </c>
      <c r="E392" s="465">
        <f>'Visual chart Edit'!I395</f>
        <v>433.2</v>
      </c>
      <c r="F392" s="413" t="str">
        <f>'Visual chart Edit'!K395</f>
        <v>DFR</v>
      </c>
      <c r="G392" s="413" t="str">
        <f>'Visual chart Edit'!L395</f>
        <v>E</v>
      </c>
      <c r="H392" s="413" t="s">
        <v>419</v>
      </c>
      <c r="I392" s="413" t="s">
        <v>419</v>
      </c>
      <c r="J392" s="413" t="s">
        <v>419</v>
      </c>
      <c r="K392" s="413"/>
    </row>
    <row r="393" spans="1:11" hidden="1" x14ac:dyDescent="0.25">
      <c r="A393" s="413">
        <f>+SUBTOTAL(3,$B$4:B393)</f>
        <v>26</v>
      </c>
      <c r="B393" s="745" t="str">
        <f>'Visual chart Edit'!B396</f>
        <v>61/3</v>
      </c>
      <c r="C393" s="413" t="str">
        <f>'Visual chart Edit'!C396</f>
        <v>DA+6</v>
      </c>
      <c r="D393" s="413" t="s">
        <v>1335</v>
      </c>
      <c r="E393" s="465">
        <f>'Visual chart Edit'!I396</f>
        <v>400.9</v>
      </c>
      <c r="F393" s="413" t="str">
        <f>'Visual chart Edit'!K396</f>
        <v>DRY</v>
      </c>
      <c r="G393" s="413" t="str">
        <f>'Visual chart Edit'!L396</f>
        <v>E</v>
      </c>
      <c r="H393" s="413" t="s">
        <v>419</v>
      </c>
      <c r="I393" s="413" t="s">
        <v>419</v>
      </c>
      <c r="J393" s="413" t="s">
        <v>419</v>
      </c>
      <c r="K393" s="413"/>
    </row>
    <row r="394" spans="1:11" hidden="1" x14ac:dyDescent="0.25">
      <c r="A394" s="413">
        <f>+SUBTOTAL(3,$B$4:B394)</f>
        <v>26</v>
      </c>
      <c r="B394" s="745" t="str">
        <f>'Visual chart Edit'!B397</f>
        <v>61/4</v>
      </c>
      <c r="C394" s="413" t="str">
        <f>'Visual chart Edit'!C397</f>
        <v>DA+3</v>
      </c>
      <c r="D394" s="413" t="s">
        <v>1335</v>
      </c>
      <c r="E394" s="465">
        <f>'Visual chart Edit'!I397</f>
        <v>427</v>
      </c>
      <c r="F394" s="413" t="str">
        <f>'Visual chart Edit'!K397</f>
        <v>DRY</v>
      </c>
      <c r="G394" s="413" t="str">
        <f>'Visual chart Edit'!L397</f>
        <v>E</v>
      </c>
      <c r="H394" s="413" t="s">
        <v>419</v>
      </c>
      <c r="I394" s="413" t="s">
        <v>419</v>
      </c>
      <c r="J394" s="413" t="s">
        <v>419</v>
      </c>
      <c r="K394" s="413"/>
    </row>
    <row r="395" spans="1:11" hidden="1" x14ac:dyDescent="0.25">
      <c r="A395" s="413">
        <f>+SUBTOTAL(3,$B$4:B395)</f>
        <v>26</v>
      </c>
      <c r="B395" s="745" t="str">
        <f>'Visual chart Edit'!B398</f>
        <v>61/5</v>
      </c>
      <c r="C395" s="413" t="str">
        <f>'Visual chart Edit'!C398</f>
        <v>DA+3</v>
      </c>
      <c r="D395" s="413" t="s">
        <v>1335</v>
      </c>
      <c r="E395" s="465">
        <f>'Visual chart Edit'!I398</f>
        <v>413.9</v>
      </c>
      <c r="F395" s="413" t="str">
        <f>'Visual chart Edit'!K398</f>
        <v>DRY</v>
      </c>
      <c r="G395" s="413" t="str">
        <f>'Visual chart Edit'!L398</f>
        <v>E</v>
      </c>
      <c r="H395" s="413" t="s">
        <v>419</v>
      </c>
      <c r="I395" s="413" t="s">
        <v>419</v>
      </c>
      <c r="J395" s="413" t="s">
        <v>419</v>
      </c>
      <c r="K395" s="413"/>
    </row>
    <row r="396" spans="1:11" hidden="1" x14ac:dyDescent="0.25">
      <c r="A396" s="413">
        <f>+SUBTOTAL(3,$B$4:B396)</f>
        <v>26</v>
      </c>
      <c r="B396" s="745" t="str">
        <f>'Visual chart Edit'!B399</f>
        <v>61/6</v>
      </c>
      <c r="C396" s="413" t="str">
        <f>'Visual chart Edit'!C399</f>
        <v>DA+3</v>
      </c>
      <c r="D396" s="413" t="s">
        <v>1335</v>
      </c>
      <c r="E396" s="465">
        <f>'Visual chart Edit'!I399</f>
        <v>426.4</v>
      </c>
      <c r="F396" s="413" t="str">
        <f>'Visual chart Edit'!K399</f>
        <v>DRY</v>
      </c>
      <c r="G396" s="413" t="str">
        <f>'Visual chart Edit'!L399</f>
        <v>E</v>
      </c>
      <c r="H396" s="413" t="s">
        <v>419</v>
      </c>
      <c r="I396" s="413" t="s">
        <v>419</v>
      </c>
      <c r="J396" s="413" t="s">
        <v>419</v>
      </c>
      <c r="K396" s="413"/>
    </row>
    <row r="397" spans="1:11" hidden="1" x14ac:dyDescent="0.25">
      <c r="A397" s="413">
        <f>+SUBTOTAL(3,$B$4:B397)</f>
        <v>26</v>
      </c>
      <c r="B397" s="745" t="str">
        <f>'Visual chart Edit'!B400</f>
        <v>61/7</v>
      </c>
      <c r="C397" s="413" t="str">
        <f>'Visual chart Edit'!C400</f>
        <v>DA+9</v>
      </c>
      <c r="D397" s="413" t="s">
        <v>1335</v>
      </c>
      <c r="E397" s="465">
        <f>'Visual chart Edit'!I400</f>
        <v>411.5</v>
      </c>
      <c r="F397" s="413" t="str">
        <f>'Visual chart Edit'!K400</f>
        <v>Dry</v>
      </c>
      <c r="G397" s="413" t="str">
        <f>'Visual chart Edit'!L400</f>
        <v>E</v>
      </c>
      <c r="H397" s="413" t="s">
        <v>419</v>
      </c>
      <c r="I397" s="413" t="s">
        <v>419</v>
      </c>
      <c r="J397" s="413" t="s">
        <v>419</v>
      </c>
      <c r="K397" s="413"/>
    </row>
    <row r="398" spans="1:11" hidden="1" x14ac:dyDescent="0.25">
      <c r="A398" s="413">
        <f>+SUBTOTAL(3,$B$4:B398)</f>
        <v>26</v>
      </c>
      <c r="B398" s="745" t="str">
        <f>'Visual chart Edit'!B401</f>
        <v>61/8</v>
      </c>
      <c r="C398" s="413" t="str">
        <f>'Visual chart Edit'!C401</f>
        <v>DA+6</v>
      </c>
      <c r="D398" s="413" t="s">
        <v>1335</v>
      </c>
      <c r="E398" s="465">
        <f>'Visual chart Edit'!I401</f>
        <v>376.3</v>
      </c>
      <c r="F398" s="413" t="str">
        <f>'Visual chart Edit'!K401</f>
        <v>DRY</v>
      </c>
      <c r="G398" s="413" t="str">
        <f>'Visual chart Edit'!L401</f>
        <v>E</v>
      </c>
      <c r="H398" s="413" t="s">
        <v>419</v>
      </c>
      <c r="I398" s="413" t="s">
        <v>419</v>
      </c>
      <c r="J398" s="413" t="s">
        <v>419</v>
      </c>
      <c r="K398" s="413"/>
    </row>
    <row r="399" spans="1:11" hidden="1" x14ac:dyDescent="0.25">
      <c r="A399" s="413">
        <f>+SUBTOTAL(3,$B$4:B399)</f>
        <v>26</v>
      </c>
      <c r="B399" s="745" t="str">
        <f>'Visual chart Edit'!B402</f>
        <v>61/9</v>
      </c>
      <c r="C399" s="413" t="str">
        <f>'Visual chart Edit'!C402</f>
        <v>DA+0</v>
      </c>
      <c r="D399" s="413" t="s">
        <v>1335</v>
      </c>
      <c r="E399" s="465">
        <f>'Visual chart Edit'!I402</f>
        <v>433.4</v>
      </c>
      <c r="F399" s="413" t="str">
        <f>'Visual chart Edit'!K402</f>
        <v>Dry</v>
      </c>
      <c r="G399" s="413" t="str">
        <f>'Visual chart Edit'!L402</f>
        <v>E</v>
      </c>
      <c r="H399" s="413" t="s">
        <v>419</v>
      </c>
      <c r="I399" s="413" t="s">
        <v>419</v>
      </c>
      <c r="J399" s="413" t="s">
        <v>419</v>
      </c>
      <c r="K399" s="413"/>
    </row>
    <row r="400" spans="1:11" hidden="1" x14ac:dyDescent="0.25">
      <c r="A400" s="413">
        <f>+SUBTOTAL(3,$B$4:B400)</f>
        <v>26</v>
      </c>
      <c r="B400" s="745" t="str">
        <f>'Visual chart Edit'!B403</f>
        <v>61/10</v>
      </c>
      <c r="C400" s="413" t="str">
        <f>'Visual chart Edit'!C403</f>
        <v>DA+9</v>
      </c>
      <c r="D400" s="413" t="s">
        <v>1336</v>
      </c>
      <c r="E400" s="465">
        <f>'Visual chart Edit'!I403</f>
        <v>405.6</v>
      </c>
      <c r="F400" s="413" t="str">
        <f>'Visual chart Edit'!K403</f>
        <v>DRY</v>
      </c>
      <c r="G400" s="413" t="str">
        <f>'Visual chart Edit'!L403</f>
        <v>E</v>
      </c>
      <c r="H400" s="413" t="s">
        <v>419</v>
      </c>
      <c r="I400" s="413" t="s">
        <v>419</v>
      </c>
      <c r="J400" s="413" t="s">
        <v>419</v>
      </c>
      <c r="K400" s="413"/>
    </row>
    <row r="401" spans="1:11" hidden="1" x14ac:dyDescent="0.25">
      <c r="A401" s="413">
        <f>+SUBTOTAL(3,$B$4:B401)</f>
        <v>26</v>
      </c>
      <c r="B401" s="745" t="str">
        <f>'Visual chart Edit'!B404</f>
        <v>62/0</v>
      </c>
      <c r="C401" s="413" t="str">
        <f>'Visual chart Edit'!C404</f>
        <v>DB2+0</v>
      </c>
      <c r="D401" s="413" t="s">
        <v>1336</v>
      </c>
      <c r="E401" s="465">
        <f>'Visual chart Edit'!I404</f>
        <v>434.3</v>
      </c>
      <c r="F401" s="413" t="str">
        <f>'Visual chart Edit'!K404</f>
        <v>DRY</v>
      </c>
      <c r="G401" s="413" t="str">
        <f>'Visual chart Edit'!L404</f>
        <v>E</v>
      </c>
      <c r="H401" s="413" t="s">
        <v>419</v>
      </c>
      <c r="I401" s="413"/>
      <c r="J401" s="413" t="s">
        <v>419</v>
      </c>
      <c r="K401" s="413" t="s">
        <v>419</v>
      </c>
    </row>
    <row r="402" spans="1:11" hidden="1" x14ac:dyDescent="0.25">
      <c r="A402" s="413">
        <f>+SUBTOTAL(3,$B$4:B402)</f>
        <v>26</v>
      </c>
      <c r="B402" s="745" t="str">
        <f>'Visual chart Edit'!B405</f>
        <v>62/1</v>
      </c>
      <c r="C402" s="413" t="str">
        <f>'Visual chart Edit'!C405</f>
        <v>DA+3</v>
      </c>
      <c r="D402" s="413" t="s">
        <v>1336</v>
      </c>
      <c r="E402" s="465">
        <f>'Visual chart Edit'!I405</f>
        <v>418</v>
      </c>
      <c r="F402" s="413" t="str">
        <f>'Visual chart Edit'!K405</f>
        <v>Sandy</v>
      </c>
      <c r="G402" s="413" t="str">
        <f>'Visual chart Edit'!L405</f>
        <v>E</v>
      </c>
      <c r="H402" s="413" t="s">
        <v>419</v>
      </c>
      <c r="I402" s="413" t="s">
        <v>419</v>
      </c>
      <c r="J402" s="413" t="s">
        <v>419</v>
      </c>
      <c r="K402" s="413"/>
    </row>
    <row r="403" spans="1:11" hidden="1" x14ac:dyDescent="0.25">
      <c r="A403" s="413">
        <f>+SUBTOTAL(3,$B$4:B403)</f>
        <v>26</v>
      </c>
      <c r="B403" s="745" t="str">
        <f>'Visual chart Edit'!B406</f>
        <v>62/2</v>
      </c>
      <c r="C403" s="413" t="str">
        <f>'Visual chart Edit'!C406</f>
        <v>DA+3</v>
      </c>
      <c r="D403" s="413" t="s">
        <v>1336</v>
      </c>
      <c r="E403" s="465">
        <f>'Visual chart Edit'!I406</f>
        <v>386</v>
      </c>
      <c r="F403" s="413" t="str">
        <f>'Visual chart Edit'!K406</f>
        <v>DRY</v>
      </c>
      <c r="G403" s="413" t="str">
        <f>'Visual chart Edit'!L406</f>
        <v>E</v>
      </c>
      <c r="H403" s="413" t="s">
        <v>419</v>
      </c>
      <c r="I403" s="413" t="s">
        <v>419</v>
      </c>
      <c r="J403" s="413" t="s">
        <v>419</v>
      </c>
      <c r="K403" s="413"/>
    </row>
    <row r="404" spans="1:11" hidden="1" x14ac:dyDescent="0.25">
      <c r="A404" s="413">
        <f>+SUBTOTAL(3,$B$4:B404)</f>
        <v>26</v>
      </c>
      <c r="B404" s="745" t="str">
        <f>'Visual chart Edit'!B407</f>
        <v>62/3</v>
      </c>
      <c r="C404" s="413" t="str">
        <f>'Visual chart Edit'!C407</f>
        <v>DA+0</v>
      </c>
      <c r="D404" s="413" t="s">
        <v>1336</v>
      </c>
      <c r="E404" s="465">
        <f>'Visual chart Edit'!I407</f>
        <v>400</v>
      </c>
      <c r="F404" s="413" t="str">
        <f>'Visual chart Edit'!K407</f>
        <v>DRY</v>
      </c>
      <c r="G404" s="413" t="str">
        <f>'Visual chart Edit'!L407</f>
        <v>E</v>
      </c>
      <c r="H404" s="413" t="s">
        <v>419</v>
      </c>
      <c r="I404" s="413" t="s">
        <v>419</v>
      </c>
      <c r="J404" s="413" t="s">
        <v>419</v>
      </c>
      <c r="K404" s="413"/>
    </row>
    <row r="405" spans="1:11" hidden="1" x14ac:dyDescent="0.25">
      <c r="A405" s="413">
        <f>+SUBTOTAL(3,$B$4:B405)</f>
        <v>26</v>
      </c>
      <c r="B405" s="745" t="str">
        <f>'Visual chart Edit'!B408</f>
        <v>62/4</v>
      </c>
      <c r="C405" s="413" t="str">
        <f>'Visual chart Edit'!C408</f>
        <v>DA+3</v>
      </c>
      <c r="D405" s="413" t="s">
        <v>1336</v>
      </c>
      <c r="E405" s="465">
        <f>'Visual chart Edit'!I408</f>
        <v>401</v>
      </c>
      <c r="F405" s="413" t="str">
        <f>'Visual chart Edit'!K408</f>
        <v>DRY</v>
      </c>
      <c r="G405" s="413" t="str">
        <f>'Visual chart Edit'!L408</f>
        <v>E</v>
      </c>
      <c r="H405" s="413" t="s">
        <v>419</v>
      </c>
      <c r="I405" s="413" t="s">
        <v>419</v>
      </c>
      <c r="J405" s="413" t="s">
        <v>419</v>
      </c>
      <c r="K405" s="413"/>
    </row>
    <row r="406" spans="1:11" hidden="1" x14ac:dyDescent="0.25">
      <c r="A406" s="413">
        <f>+SUBTOTAL(3,$B$4:B406)</f>
        <v>26</v>
      </c>
      <c r="B406" s="745" t="str">
        <f>'Visual chart Edit'!B409</f>
        <v>62/5</v>
      </c>
      <c r="C406" s="413" t="str">
        <f>'Visual chart Edit'!C409</f>
        <v>DA+0</v>
      </c>
      <c r="D406" s="413" t="s">
        <v>1336</v>
      </c>
      <c r="E406" s="465">
        <f>'Visual chart Edit'!I409</f>
        <v>403</v>
      </c>
      <c r="F406" s="413" t="str">
        <f>'Visual chart Edit'!K409</f>
        <v>DRY</v>
      </c>
      <c r="G406" s="413" t="str">
        <f>'Visual chart Edit'!L409</f>
        <v>E</v>
      </c>
      <c r="H406" s="413" t="s">
        <v>419</v>
      </c>
      <c r="I406" s="413" t="s">
        <v>419</v>
      </c>
      <c r="J406" s="413" t="s">
        <v>419</v>
      </c>
      <c r="K406" s="413"/>
    </row>
    <row r="407" spans="1:11" hidden="1" x14ac:dyDescent="0.25">
      <c r="A407" s="413">
        <f>+SUBTOTAL(3,$B$4:B407)</f>
        <v>26</v>
      </c>
      <c r="B407" s="745" t="str">
        <f>'Visual chart Edit'!B410</f>
        <v>62/6</v>
      </c>
      <c r="C407" s="413" t="str">
        <f>'Visual chart Edit'!C410</f>
        <v>DA+3</v>
      </c>
      <c r="D407" s="413" t="s">
        <v>1336</v>
      </c>
      <c r="E407" s="465">
        <f>'Visual chart Edit'!I410</f>
        <v>404</v>
      </c>
      <c r="F407" s="413" t="str">
        <f>'Visual chart Edit'!K410</f>
        <v>DRY</v>
      </c>
      <c r="G407" s="413" t="str">
        <f>'Visual chart Edit'!L410</f>
        <v>E</v>
      </c>
      <c r="H407" s="413" t="s">
        <v>419</v>
      </c>
      <c r="I407" s="413" t="s">
        <v>419</v>
      </c>
      <c r="J407" s="413" t="s">
        <v>419</v>
      </c>
      <c r="K407" s="413"/>
    </row>
    <row r="408" spans="1:11" hidden="1" x14ac:dyDescent="0.25">
      <c r="A408" s="413">
        <f>+SUBTOTAL(3,$B$4:B408)</f>
        <v>26</v>
      </c>
      <c r="B408" s="745" t="str">
        <f>'Visual chart Edit'!B411</f>
        <v>62/7</v>
      </c>
      <c r="C408" s="413" t="str">
        <f>'Visual chart Edit'!C411</f>
        <v>DA+3</v>
      </c>
      <c r="D408" s="413" t="s">
        <v>1336</v>
      </c>
      <c r="E408" s="465">
        <f>'Visual chart Edit'!I411</f>
        <v>423</v>
      </c>
      <c r="F408" s="413" t="str">
        <f>'Visual chart Edit'!K411</f>
        <v>DRY</v>
      </c>
      <c r="G408" s="413" t="str">
        <f>'Visual chart Edit'!L411</f>
        <v>E</v>
      </c>
      <c r="H408" s="413" t="s">
        <v>419</v>
      </c>
      <c r="I408" s="413" t="s">
        <v>419</v>
      </c>
      <c r="J408" s="413" t="s">
        <v>419</v>
      </c>
      <c r="K408" s="413"/>
    </row>
    <row r="409" spans="1:11" hidden="1" x14ac:dyDescent="0.25">
      <c r="A409" s="413">
        <f>+SUBTOTAL(3,$B$4:B409)</f>
        <v>26</v>
      </c>
      <c r="B409" s="745" t="str">
        <f>'Visual chart Edit'!B412</f>
        <v>62/8</v>
      </c>
      <c r="C409" s="413" t="str">
        <f>'Visual chart Edit'!C412</f>
        <v>DA+0</v>
      </c>
      <c r="D409" s="413" t="s">
        <v>1337</v>
      </c>
      <c r="E409" s="465">
        <f>'Visual chart Edit'!I412</f>
        <v>409</v>
      </c>
      <c r="F409" s="413" t="str">
        <f>'Visual chart Edit'!K412</f>
        <v>DFR</v>
      </c>
      <c r="G409" s="413" t="str">
        <f>'Visual chart Edit'!L412</f>
        <v>E</v>
      </c>
      <c r="H409" s="413" t="s">
        <v>419</v>
      </c>
      <c r="I409" s="413" t="s">
        <v>419</v>
      </c>
      <c r="J409" s="413" t="s">
        <v>419</v>
      </c>
      <c r="K409" s="413"/>
    </row>
    <row r="410" spans="1:11" hidden="1" x14ac:dyDescent="0.25">
      <c r="A410" s="413">
        <f>+SUBTOTAL(3,$B$4:B410)</f>
        <v>26</v>
      </c>
      <c r="B410" s="745" t="str">
        <f>'Visual chart Edit'!B413</f>
        <v>62/9</v>
      </c>
      <c r="C410" s="413" t="str">
        <f>'Visual chart Edit'!C413</f>
        <v>DA+3</v>
      </c>
      <c r="D410" s="413" t="s">
        <v>1337</v>
      </c>
      <c r="E410" s="465">
        <f>'Visual chart Edit'!I413</f>
        <v>409</v>
      </c>
      <c r="F410" s="413" t="str">
        <f>'Visual chart Edit'!K413</f>
        <v>DFR</v>
      </c>
      <c r="G410" s="413" t="str">
        <f>'Visual chart Edit'!L413</f>
        <v>E</v>
      </c>
      <c r="H410" s="413" t="s">
        <v>419</v>
      </c>
      <c r="I410" s="413" t="s">
        <v>419</v>
      </c>
      <c r="J410" s="413" t="s">
        <v>419</v>
      </c>
      <c r="K410" s="413"/>
    </row>
    <row r="411" spans="1:11" hidden="1" x14ac:dyDescent="0.25">
      <c r="A411" s="413">
        <f>+SUBTOTAL(3,$B$4:B411)</f>
        <v>26</v>
      </c>
      <c r="B411" s="745" t="str">
        <f>'Visual chart Edit'!B414</f>
        <v>62/10</v>
      </c>
      <c r="C411" s="413" t="str">
        <f>'Visual chart Edit'!C414</f>
        <v>DA+0</v>
      </c>
      <c r="D411" s="413" t="s">
        <v>1337</v>
      </c>
      <c r="E411" s="465">
        <f>'Visual chart Edit'!I414</f>
        <v>411</v>
      </c>
      <c r="F411" s="413" t="str">
        <f>'Visual chart Edit'!K414</f>
        <v>DFR</v>
      </c>
      <c r="G411" s="413" t="str">
        <f>'Visual chart Edit'!L414</f>
        <v>E</v>
      </c>
      <c r="H411" s="413" t="s">
        <v>419</v>
      </c>
      <c r="I411" s="413" t="s">
        <v>419</v>
      </c>
      <c r="J411" s="413" t="s">
        <v>419</v>
      </c>
      <c r="K411" s="413"/>
    </row>
    <row r="412" spans="1:11" hidden="1" x14ac:dyDescent="0.25">
      <c r="A412" s="413">
        <f>+SUBTOTAL(3,$B$4:B412)</f>
        <v>26</v>
      </c>
      <c r="B412" s="745" t="str">
        <f>'Visual chart Edit'!B415</f>
        <v>62/11</v>
      </c>
      <c r="C412" s="413" t="str">
        <f>'Visual chart Edit'!C415</f>
        <v>DA+3</v>
      </c>
      <c r="D412" s="413" t="s">
        <v>1337</v>
      </c>
      <c r="E412" s="465">
        <f>'Visual chart Edit'!I415</f>
        <v>413</v>
      </c>
      <c r="F412" s="413" t="str">
        <f>'Visual chart Edit'!K415</f>
        <v>DRY</v>
      </c>
      <c r="G412" s="413" t="str">
        <f>'Visual chart Edit'!L415</f>
        <v>E</v>
      </c>
      <c r="H412" s="413" t="s">
        <v>419</v>
      </c>
      <c r="I412" s="413" t="s">
        <v>419</v>
      </c>
      <c r="J412" s="413" t="s">
        <v>419</v>
      </c>
      <c r="K412" s="413"/>
    </row>
    <row r="413" spans="1:11" hidden="1" x14ac:dyDescent="0.25">
      <c r="A413" s="413">
        <f>+SUBTOTAL(3,$B$4:B413)</f>
        <v>26</v>
      </c>
      <c r="B413" s="745" t="str">
        <f>'Visual chart Edit'!B416</f>
        <v>63/0</v>
      </c>
      <c r="C413" s="413" t="str">
        <f>'Visual chart Edit'!C416</f>
        <v>DC1+0</v>
      </c>
      <c r="D413" s="413" t="s">
        <v>1338</v>
      </c>
      <c r="E413" s="465">
        <f>'Visual chart Edit'!I416</f>
        <v>386.1</v>
      </c>
      <c r="F413" s="413" t="str">
        <f>'Visual chart Edit'!K416</f>
        <v>DFR</v>
      </c>
      <c r="G413" s="413" t="str">
        <f>'Visual chart Edit'!L416</f>
        <v>E</v>
      </c>
      <c r="H413" s="413" t="s">
        <v>419</v>
      </c>
      <c r="I413" s="413"/>
      <c r="J413" s="413" t="s">
        <v>419</v>
      </c>
      <c r="K413" s="413" t="s">
        <v>419</v>
      </c>
    </row>
    <row r="414" spans="1:11" hidden="1" x14ac:dyDescent="0.25">
      <c r="A414" s="413">
        <f>+SUBTOTAL(3,$B$4:B414)</f>
        <v>26</v>
      </c>
      <c r="B414" s="745" t="str">
        <f>'Visual chart Edit'!B417</f>
        <v>63/1</v>
      </c>
      <c r="C414" s="413" t="str">
        <f>'Visual chart Edit'!C417</f>
        <v>DA+3</v>
      </c>
      <c r="D414" s="413" t="s">
        <v>1337</v>
      </c>
      <c r="E414" s="465">
        <f>'Visual chart Edit'!I417</f>
        <v>400</v>
      </c>
      <c r="F414" s="413" t="str">
        <f>'Visual chart Edit'!K417</f>
        <v>DFR</v>
      </c>
      <c r="G414" s="413" t="str">
        <f>'Visual chart Edit'!L417</f>
        <v>E</v>
      </c>
      <c r="H414" s="413" t="s">
        <v>419</v>
      </c>
      <c r="I414" s="413" t="s">
        <v>419</v>
      </c>
      <c r="J414" s="413" t="s">
        <v>419</v>
      </c>
      <c r="K414" s="413"/>
    </row>
    <row r="415" spans="1:11" hidden="1" x14ac:dyDescent="0.25">
      <c r="A415" s="413">
        <f>+SUBTOTAL(3,$B$4:B415)</f>
        <v>26</v>
      </c>
      <c r="B415" s="745" t="str">
        <f>'Visual chart Edit'!B418</f>
        <v>63/2</v>
      </c>
      <c r="C415" s="413" t="str">
        <f>'Visual chart Edit'!C418</f>
        <v>DA+0</v>
      </c>
      <c r="D415" s="413" t="s">
        <v>1337</v>
      </c>
      <c r="E415" s="465">
        <f>'Visual chart Edit'!I418</f>
        <v>416</v>
      </c>
      <c r="F415" s="413" t="str">
        <f>'Visual chart Edit'!K418</f>
        <v>DFR</v>
      </c>
      <c r="G415" s="413" t="str">
        <f>'Visual chart Edit'!L418</f>
        <v>E</v>
      </c>
      <c r="H415" s="413" t="s">
        <v>419</v>
      </c>
      <c r="I415" s="413" t="s">
        <v>419</v>
      </c>
      <c r="J415" s="413" t="s">
        <v>419</v>
      </c>
      <c r="K415" s="413"/>
    </row>
    <row r="416" spans="1:11" hidden="1" x14ac:dyDescent="0.25">
      <c r="A416" s="413">
        <f>+SUBTOTAL(3,$B$4:B416)</f>
        <v>26</v>
      </c>
      <c r="B416" s="745" t="str">
        <f>'Visual chart Edit'!B419</f>
        <v>63/3</v>
      </c>
      <c r="C416" s="413" t="str">
        <f>'Visual chart Edit'!C419</f>
        <v>DA+3</v>
      </c>
      <c r="D416" s="413" t="s">
        <v>1337</v>
      </c>
      <c r="E416" s="465">
        <f>'Visual chart Edit'!I419</f>
        <v>411</v>
      </c>
      <c r="F416" s="413" t="str">
        <f>'Visual chart Edit'!K419</f>
        <v>DFR</v>
      </c>
      <c r="G416" s="413" t="str">
        <f>'Visual chart Edit'!L419</f>
        <v>E</v>
      </c>
      <c r="H416" s="413" t="s">
        <v>419</v>
      </c>
      <c r="I416" s="413" t="s">
        <v>419</v>
      </c>
      <c r="J416" s="413" t="s">
        <v>419</v>
      </c>
      <c r="K416" s="413"/>
    </row>
    <row r="417" spans="1:11" hidden="1" x14ac:dyDescent="0.25">
      <c r="A417" s="413">
        <f>+SUBTOTAL(3,$B$4:B417)</f>
        <v>26</v>
      </c>
      <c r="B417" s="745" t="str">
        <f>'Visual chart Edit'!B420</f>
        <v>63/4</v>
      </c>
      <c r="C417" s="413" t="str">
        <f>'Visual chart Edit'!C420</f>
        <v>DA+0</v>
      </c>
      <c r="D417" s="413" t="s">
        <v>1337</v>
      </c>
      <c r="E417" s="465">
        <f>'Visual chart Edit'!I420</f>
        <v>399</v>
      </c>
      <c r="F417" s="413" t="str">
        <f>'Visual chart Edit'!K420</f>
        <v>DRY</v>
      </c>
      <c r="G417" s="413" t="str">
        <f>'Visual chart Edit'!L420</f>
        <v>E</v>
      </c>
      <c r="H417" s="413" t="s">
        <v>419</v>
      </c>
      <c r="I417" s="413" t="s">
        <v>419</v>
      </c>
      <c r="J417" s="413" t="s">
        <v>419</v>
      </c>
      <c r="K417" s="413"/>
    </row>
    <row r="418" spans="1:11" hidden="1" x14ac:dyDescent="0.25">
      <c r="A418" s="413">
        <f>+SUBTOTAL(3,$B$4:B418)</f>
        <v>26</v>
      </c>
      <c r="B418" s="745" t="str">
        <f>'Visual chart Edit'!B421</f>
        <v>63/5</v>
      </c>
      <c r="C418" s="413" t="str">
        <f>'Visual chart Edit'!C421</f>
        <v>DA+3</v>
      </c>
      <c r="D418" s="413" t="s">
        <v>1337</v>
      </c>
      <c r="E418" s="465">
        <f>'Visual chart Edit'!I421</f>
        <v>413</v>
      </c>
      <c r="F418" s="413" t="str">
        <f>'Visual chart Edit'!K421</f>
        <v>DFR</v>
      </c>
      <c r="G418" s="413" t="str">
        <f>'Visual chart Edit'!L421</f>
        <v>E</v>
      </c>
      <c r="H418" s="413" t="s">
        <v>419</v>
      </c>
      <c r="I418" s="413" t="s">
        <v>419</v>
      </c>
      <c r="J418" s="413" t="s">
        <v>419</v>
      </c>
      <c r="K418" s="413"/>
    </row>
    <row r="419" spans="1:11" hidden="1" x14ac:dyDescent="0.25">
      <c r="A419" s="413">
        <f>+SUBTOTAL(3,$B$4:B419)</f>
        <v>26</v>
      </c>
      <c r="B419" s="745" t="str">
        <f>'Visual chart Edit'!B422</f>
        <v>63/6</v>
      </c>
      <c r="C419" s="413" t="str">
        <f>'Visual chart Edit'!C422</f>
        <v>DA+3</v>
      </c>
      <c r="D419" s="413" t="s">
        <v>1339</v>
      </c>
      <c r="E419" s="465">
        <f>'Visual chart Edit'!I422</f>
        <v>426</v>
      </c>
      <c r="F419" s="413" t="str">
        <f>'Visual chart Edit'!K422</f>
        <v>DRY</v>
      </c>
      <c r="G419" s="413" t="str">
        <f>'Visual chart Edit'!L422</f>
        <v>E</v>
      </c>
      <c r="H419" s="413" t="s">
        <v>419</v>
      </c>
      <c r="I419" s="413" t="s">
        <v>419</v>
      </c>
      <c r="J419" s="413" t="s">
        <v>419</v>
      </c>
      <c r="K419" s="413"/>
    </row>
    <row r="420" spans="1:11" hidden="1" x14ac:dyDescent="0.25">
      <c r="A420" s="413">
        <f>+SUBTOTAL(3,$B$4:B420)</f>
        <v>26</v>
      </c>
      <c r="B420" s="745" t="str">
        <f>'Visual chart Edit'!B423</f>
        <v>63/7</v>
      </c>
      <c r="C420" s="413" t="str">
        <f>'Visual chart Edit'!C423</f>
        <v>DA+3</v>
      </c>
      <c r="D420" s="413" t="s">
        <v>1339</v>
      </c>
      <c r="E420" s="465">
        <f>'Visual chart Edit'!I423</f>
        <v>413</v>
      </c>
      <c r="F420" s="413" t="str">
        <f>'Visual chart Edit'!K423</f>
        <v>DRY</v>
      </c>
      <c r="G420" s="413" t="str">
        <f>'Visual chart Edit'!L423</f>
        <v>E</v>
      </c>
      <c r="H420" s="413" t="s">
        <v>419</v>
      </c>
      <c r="I420" s="413" t="s">
        <v>419</v>
      </c>
      <c r="J420" s="413" t="s">
        <v>419</v>
      </c>
      <c r="K420" s="413"/>
    </row>
    <row r="421" spans="1:11" hidden="1" x14ac:dyDescent="0.25">
      <c r="A421" s="413">
        <f>+SUBTOTAL(3,$B$4:B421)</f>
        <v>26</v>
      </c>
      <c r="B421" s="745" t="str">
        <f>'Visual chart Edit'!B424</f>
        <v>63/8</v>
      </c>
      <c r="C421" s="413" t="str">
        <f>'Visual chart Edit'!C424</f>
        <v>DA+3</v>
      </c>
      <c r="D421" s="413" t="s">
        <v>1339</v>
      </c>
      <c r="E421" s="465">
        <f>'Visual chart Edit'!I424</f>
        <v>425</v>
      </c>
      <c r="F421" s="413" t="str">
        <f>'Visual chart Edit'!K424</f>
        <v>DRY</v>
      </c>
      <c r="G421" s="413" t="str">
        <f>'Visual chart Edit'!L424</f>
        <v>E</v>
      </c>
      <c r="H421" s="413" t="s">
        <v>419</v>
      </c>
      <c r="I421" s="413" t="s">
        <v>419</v>
      </c>
      <c r="J421" s="413" t="s">
        <v>419</v>
      </c>
      <c r="K421" s="413"/>
    </row>
    <row r="422" spans="1:11" hidden="1" x14ac:dyDescent="0.25">
      <c r="A422" s="413">
        <f>+SUBTOTAL(3,$B$4:B422)</f>
        <v>26</v>
      </c>
      <c r="B422" s="745" t="str">
        <f>'Visual chart Edit'!B425</f>
        <v>64/0</v>
      </c>
      <c r="C422" s="413" t="str">
        <f>'Visual chart Edit'!C425</f>
        <v>DB2+0</v>
      </c>
      <c r="D422" s="413" t="s">
        <v>1339</v>
      </c>
      <c r="E422" s="465">
        <f>'Visual chart Edit'!I425</f>
        <v>408.3</v>
      </c>
      <c r="F422" s="413" t="str">
        <f>'Visual chart Edit'!K425</f>
        <v>DRY</v>
      </c>
      <c r="G422" s="413" t="str">
        <f>'Visual chart Edit'!L425</f>
        <v>E</v>
      </c>
      <c r="H422" s="413" t="s">
        <v>419</v>
      </c>
      <c r="I422" s="413"/>
      <c r="J422" s="413" t="s">
        <v>419</v>
      </c>
      <c r="K422" s="413" t="s">
        <v>419</v>
      </c>
    </row>
    <row r="423" spans="1:11" hidden="1" x14ac:dyDescent="0.25">
      <c r="A423" s="413">
        <f>+SUBTOTAL(3,$B$4:B423)</f>
        <v>26</v>
      </c>
      <c r="B423" s="745" t="str">
        <f>'Visual chart Edit'!B426</f>
        <v>64/1</v>
      </c>
      <c r="C423" s="413" t="str">
        <f>'Visual chart Edit'!C426</f>
        <v>DA+0</v>
      </c>
      <c r="D423" s="413" t="s">
        <v>1339</v>
      </c>
      <c r="E423" s="465">
        <f>'Visual chart Edit'!I426</f>
        <v>375.1</v>
      </c>
      <c r="F423" s="413" t="str">
        <f>'Visual chart Edit'!K426</f>
        <v>DRY</v>
      </c>
      <c r="G423" s="413" t="str">
        <f>'Visual chart Edit'!L426</f>
        <v>E</v>
      </c>
      <c r="H423" s="413" t="s">
        <v>419</v>
      </c>
      <c r="I423" s="413" t="s">
        <v>419</v>
      </c>
      <c r="J423" s="413" t="s">
        <v>419</v>
      </c>
      <c r="K423" s="413"/>
    </row>
    <row r="424" spans="1:11" hidden="1" x14ac:dyDescent="0.25">
      <c r="A424" s="413">
        <f>+SUBTOTAL(3,$B$4:B424)</f>
        <v>26</v>
      </c>
      <c r="B424" s="745" t="str">
        <f>'Visual chart Edit'!B427</f>
        <v>64/2</v>
      </c>
      <c r="C424" s="413" t="str">
        <f>'Visual chart Edit'!C427</f>
        <v>DA+3</v>
      </c>
      <c r="D424" s="413" t="s">
        <v>1340</v>
      </c>
      <c r="E424" s="465">
        <f>'Visual chart Edit'!I427</f>
        <v>408.7</v>
      </c>
      <c r="F424" s="413" t="str">
        <f>'Visual chart Edit'!K427</f>
        <v>DRY</v>
      </c>
      <c r="G424" s="413" t="str">
        <f>'Visual chart Edit'!L427</f>
        <v>E</v>
      </c>
      <c r="H424" s="413" t="s">
        <v>419</v>
      </c>
      <c r="I424" s="413" t="s">
        <v>419</v>
      </c>
      <c r="J424" s="413" t="s">
        <v>419</v>
      </c>
      <c r="K424" s="413"/>
    </row>
    <row r="425" spans="1:11" hidden="1" x14ac:dyDescent="0.25">
      <c r="A425" s="413">
        <f>+SUBTOTAL(3,$B$4:B425)</f>
        <v>26</v>
      </c>
      <c r="B425" s="745" t="str">
        <f>'Visual chart Edit'!B428</f>
        <v>64/3</v>
      </c>
      <c r="C425" s="413" t="str">
        <f>'Visual chart Edit'!C428</f>
        <v>DA+0</v>
      </c>
      <c r="D425" s="413" t="s">
        <v>1340</v>
      </c>
      <c r="E425" s="465">
        <f>'Visual chart Edit'!I428</f>
        <v>410.7</v>
      </c>
      <c r="F425" s="413" t="str">
        <f>'Visual chart Edit'!K428</f>
        <v>DRY</v>
      </c>
      <c r="G425" s="413" t="str">
        <f>'Visual chart Edit'!L428</f>
        <v>E</v>
      </c>
      <c r="H425" s="413" t="s">
        <v>419</v>
      </c>
      <c r="I425" s="413" t="s">
        <v>419</v>
      </c>
      <c r="J425" s="413" t="s">
        <v>419</v>
      </c>
      <c r="K425" s="413"/>
    </row>
    <row r="426" spans="1:11" hidden="1" x14ac:dyDescent="0.25">
      <c r="A426" s="413">
        <f>+SUBTOTAL(3,$B$4:B426)</f>
        <v>26</v>
      </c>
      <c r="B426" s="745" t="str">
        <f>'Visual chart Edit'!B429</f>
        <v>64/4</v>
      </c>
      <c r="C426" s="413" t="str">
        <f>'Visual chart Edit'!C429</f>
        <v>DA+3</v>
      </c>
      <c r="D426" s="413" t="s">
        <v>1340</v>
      </c>
      <c r="E426" s="465">
        <f>'Visual chart Edit'!I429</f>
        <v>408.2</v>
      </c>
      <c r="F426" s="413" t="str">
        <f>'Visual chart Edit'!K429</f>
        <v>DRY</v>
      </c>
      <c r="G426" s="413" t="str">
        <f>'Visual chart Edit'!L429</f>
        <v>E</v>
      </c>
      <c r="H426" s="413" t="s">
        <v>419</v>
      </c>
      <c r="I426" s="413" t="s">
        <v>419</v>
      </c>
      <c r="J426" s="413" t="s">
        <v>419</v>
      </c>
      <c r="K426" s="413"/>
    </row>
    <row r="427" spans="1:11" hidden="1" x14ac:dyDescent="0.25">
      <c r="A427" s="413">
        <f>+SUBTOTAL(3,$B$4:B427)</f>
        <v>26</v>
      </c>
      <c r="B427" s="745" t="str">
        <f>'Visual chart Edit'!B430</f>
        <v>64/5</v>
      </c>
      <c r="C427" s="413" t="str">
        <f>'Visual chart Edit'!C430</f>
        <v>DA+3</v>
      </c>
      <c r="D427" s="413" t="s">
        <v>1341</v>
      </c>
      <c r="E427" s="465">
        <f>'Visual chart Edit'!I430</f>
        <v>426.2</v>
      </c>
      <c r="F427" s="413" t="str">
        <f>'Visual chart Edit'!K430</f>
        <v>DRY</v>
      </c>
      <c r="G427" s="413" t="str">
        <f>'Visual chart Edit'!L430</f>
        <v>E</v>
      </c>
      <c r="H427" s="413" t="s">
        <v>419</v>
      </c>
      <c r="I427" s="413" t="s">
        <v>419</v>
      </c>
      <c r="J427" s="413" t="s">
        <v>419</v>
      </c>
      <c r="K427" s="413"/>
    </row>
    <row r="428" spans="1:11" hidden="1" x14ac:dyDescent="0.25">
      <c r="A428" s="413">
        <f>+SUBTOTAL(3,$B$4:B428)</f>
        <v>26</v>
      </c>
      <c r="B428" s="745" t="str">
        <f>'Visual chart Edit'!B431</f>
        <v>64/6</v>
      </c>
      <c r="C428" s="413" t="str">
        <f>'Visual chart Edit'!C431</f>
        <v>DA+0</v>
      </c>
      <c r="D428" s="413" t="s">
        <v>1341</v>
      </c>
      <c r="E428" s="465">
        <f>'Visual chart Edit'!I431</f>
        <v>407.7</v>
      </c>
      <c r="F428" s="413" t="str">
        <f>'Visual chart Edit'!K431</f>
        <v>DRY</v>
      </c>
      <c r="G428" s="413" t="str">
        <f>'Visual chart Edit'!L431</f>
        <v>E</v>
      </c>
      <c r="H428" s="413" t="s">
        <v>419</v>
      </c>
      <c r="I428" s="413" t="s">
        <v>419</v>
      </c>
      <c r="J428" s="413" t="s">
        <v>419</v>
      </c>
      <c r="K428" s="413"/>
    </row>
    <row r="429" spans="1:11" hidden="1" x14ac:dyDescent="0.25">
      <c r="A429" s="413">
        <f>+SUBTOTAL(3,$B$4:B429)</f>
        <v>26</v>
      </c>
      <c r="B429" s="745" t="str">
        <f>'Visual chart Edit'!B432</f>
        <v>64/7</v>
      </c>
      <c r="C429" s="413" t="str">
        <f>'Visual chart Edit'!C432</f>
        <v>DA+3</v>
      </c>
      <c r="D429" s="413" t="s">
        <v>1341</v>
      </c>
      <c r="E429" s="465">
        <f>'Visual chart Edit'!I432</f>
        <v>401.6</v>
      </c>
      <c r="F429" s="413" t="str">
        <f>'Visual chart Edit'!K432</f>
        <v>DRY</v>
      </c>
      <c r="G429" s="413" t="str">
        <f>'Visual chart Edit'!L432</f>
        <v>E</v>
      </c>
      <c r="H429" s="413" t="s">
        <v>419</v>
      </c>
      <c r="I429" s="413" t="s">
        <v>419</v>
      </c>
      <c r="J429" s="413" t="s">
        <v>419</v>
      </c>
      <c r="K429" s="413"/>
    </row>
    <row r="430" spans="1:11" hidden="1" x14ac:dyDescent="0.25">
      <c r="A430" s="413">
        <f>+SUBTOTAL(3,$B$4:B430)</f>
        <v>26</v>
      </c>
      <c r="B430" s="745" t="str">
        <f>'Visual chart Edit'!B433</f>
        <v>64/8</v>
      </c>
      <c r="C430" s="413" t="str">
        <f>'Visual chart Edit'!C433</f>
        <v>DA+3</v>
      </c>
      <c r="D430" s="413" t="s">
        <v>1341</v>
      </c>
      <c r="E430" s="465">
        <f>'Visual chart Edit'!I433</f>
        <v>425.5</v>
      </c>
      <c r="F430" s="413" t="str">
        <f>'Visual chart Edit'!K433</f>
        <v>DRY</v>
      </c>
      <c r="G430" s="413" t="str">
        <f>'Visual chart Edit'!L433</f>
        <v>E</v>
      </c>
      <c r="H430" s="413" t="s">
        <v>419</v>
      </c>
      <c r="I430" s="413" t="s">
        <v>419</v>
      </c>
      <c r="J430" s="413" t="s">
        <v>419</v>
      </c>
      <c r="K430" s="413"/>
    </row>
    <row r="431" spans="1:11" hidden="1" x14ac:dyDescent="0.25">
      <c r="A431" s="413">
        <f>+SUBTOTAL(3,$B$4:B431)</f>
        <v>26</v>
      </c>
      <c r="B431" s="745" t="str">
        <f>'Visual chart Edit'!B434</f>
        <v>64/9</v>
      </c>
      <c r="C431" s="413" t="str">
        <f>'Visual chart Edit'!C434</f>
        <v>DA+3</v>
      </c>
      <c r="D431" s="413" t="s">
        <v>1341</v>
      </c>
      <c r="E431" s="465">
        <f>'Visual chart Edit'!I434</f>
        <v>414.4</v>
      </c>
      <c r="F431" s="413" t="str">
        <f>'Visual chart Edit'!K434</f>
        <v>DRY</v>
      </c>
      <c r="G431" s="413" t="str">
        <f>'Visual chart Edit'!L434</f>
        <v>E</v>
      </c>
      <c r="H431" s="413" t="s">
        <v>419</v>
      </c>
      <c r="I431" s="413" t="s">
        <v>419</v>
      </c>
      <c r="J431" s="413" t="s">
        <v>419</v>
      </c>
      <c r="K431" s="413"/>
    </row>
    <row r="432" spans="1:11" hidden="1" x14ac:dyDescent="0.25">
      <c r="A432" s="413">
        <f>+SUBTOTAL(3,$B$4:B432)</f>
        <v>26</v>
      </c>
      <c r="B432" s="745" t="str">
        <f>'Visual chart Edit'!B435</f>
        <v>64/10</v>
      </c>
      <c r="C432" s="413" t="str">
        <f>'Visual chart Edit'!C435</f>
        <v>DA+3</v>
      </c>
      <c r="D432" s="413" t="s">
        <v>1341</v>
      </c>
      <c r="E432" s="465">
        <f>'Visual chart Edit'!I435</f>
        <v>410.6</v>
      </c>
      <c r="F432" s="413" t="str">
        <f>'Visual chart Edit'!K435</f>
        <v>DRY</v>
      </c>
      <c r="G432" s="413" t="str">
        <f>'Visual chart Edit'!L435</f>
        <v>E</v>
      </c>
      <c r="H432" s="413" t="s">
        <v>419</v>
      </c>
      <c r="I432" s="413" t="s">
        <v>419</v>
      </c>
      <c r="J432" s="413" t="s">
        <v>419</v>
      </c>
      <c r="K432" s="413"/>
    </row>
    <row r="433" spans="1:11" hidden="1" x14ac:dyDescent="0.25">
      <c r="A433" s="413">
        <f>+SUBTOTAL(3,$B$4:B433)</f>
        <v>26</v>
      </c>
      <c r="B433" s="745" t="str">
        <f>'Visual chart Edit'!B436</f>
        <v>64/11</v>
      </c>
      <c r="C433" s="413" t="str">
        <f>'Visual chart Edit'!C436</f>
        <v>DA+3</v>
      </c>
      <c r="D433" s="413" t="s">
        <v>1341</v>
      </c>
      <c r="E433" s="465">
        <f>'Visual chart Edit'!I436</f>
        <v>428.4</v>
      </c>
      <c r="F433" s="413" t="str">
        <f>'Visual chart Edit'!K436</f>
        <v>DRY</v>
      </c>
      <c r="G433" s="413" t="str">
        <f>'Visual chart Edit'!L436</f>
        <v>E</v>
      </c>
      <c r="H433" s="413" t="s">
        <v>419</v>
      </c>
      <c r="I433" s="413" t="s">
        <v>419</v>
      </c>
      <c r="J433" s="413" t="s">
        <v>419</v>
      </c>
      <c r="K433" s="413"/>
    </row>
    <row r="434" spans="1:11" hidden="1" x14ac:dyDescent="0.25">
      <c r="A434" s="413">
        <f>+SUBTOTAL(3,$B$4:B434)</f>
        <v>26</v>
      </c>
      <c r="B434" s="745" t="str">
        <f>'Visual chart Edit'!B437</f>
        <v>65/0</v>
      </c>
      <c r="C434" s="413" t="str">
        <f>'Visual chart Edit'!C437</f>
        <v>DB1+0</v>
      </c>
      <c r="D434" s="413" t="s">
        <v>1341</v>
      </c>
      <c r="E434" s="465">
        <f>'Visual chart Edit'!I437</f>
        <v>400.6</v>
      </c>
      <c r="F434" s="413" t="str">
        <f>'Visual chart Edit'!K437</f>
        <v>DRY</v>
      </c>
      <c r="G434" s="413" t="str">
        <f>'Visual chart Edit'!L437</f>
        <v>E</v>
      </c>
      <c r="H434" s="413" t="s">
        <v>419</v>
      </c>
      <c r="I434" s="413"/>
      <c r="J434" s="413" t="s">
        <v>419</v>
      </c>
      <c r="K434" s="413" t="s">
        <v>419</v>
      </c>
    </row>
    <row r="435" spans="1:11" hidden="1" x14ac:dyDescent="0.25">
      <c r="A435" s="413">
        <f>+SUBTOTAL(3,$B$4:B435)</f>
        <v>26</v>
      </c>
      <c r="B435" s="745" t="str">
        <f>'Visual chart Edit'!B438</f>
        <v>65/1</v>
      </c>
      <c r="C435" s="413" t="str">
        <f>'Visual chart Edit'!C438</f>
        <v>DA+0</v>
      </c>
      <c r="D435" s="413" t="s">
        <v>1341</v>
      </c>
      <c r="E435" s="465">
        <f>'Visual chart Edit'!I438</f>
        <v>395.4</v>
      </c>
      <c r="F435" s="413" t="str">
        <f>'Visual chart Edit'!K438</f>
        <v>DRY</v>
      </c>
      <c r="G435" s="413" t="str">
        <f>'Visual chart Edit'!L438</f>
        <v>E</v>
      </c>
      <c r="H435" s="413" t="s">
        <v>419</v>
      </c>
      <c r="I435" s="413" t="s">
        <v>419</v>
      </c>
      <c r="J435" s="413" t="s">
        <v>419</v>
      </c>
      <c r="K435" s="413"/>
    </row>
    <row r="436" spans="1:11" hidden="1" x14ac:dyDescent="0.25">
      <c r="A436" s="413">
        <f>+SUBTOTAL(3,$B$4:B436)</f>
        <v>26</v>
      </c>
      <c r="B436" s="745" t="str">
        <f>'Visual chart Edit'!B439</f>
        <v>65/2</v>
      </c>
      <c r="C436" s="413" t="str">
        <f>'Visual chart Edit'!C439</f>
        <v>DA+0</v>
      </c>
      <c r="D436" s="413" t="s">
        <v>1341</v>
      </c>
      <c r="E436" s="465">
        <f>'Visual chart Edit'!I439</f>
        <v>393.7</v>
      </c>
      <c r="F436" s="413" t="str">
        <f>'Visual chart Edit'!K439</f>
        <v>DRY</v>
      </c>
      <c r="G436" s="413" t="str">
        <f>'Visual chart Edit'!L439</f>
        <v>E</v>
      </c>
      <c r="H436" s="413" t="s">
        <v>419</v>
      </c>
      <c r="I436" s="413" t="s">
        <v>419</v>
      </c>
      <c r="J436" s="413" t="s">
        <v>419</v>
      </c>
      <c r="K436" s="413"/>
    </row>
    <row r="437" spans="1:11" hidden="1" x14ac:dyDescent="0.25">
      <c r="A437" s="413">
        <f>+SUBTOTAL(3,$B$4:B437)</f>
        <v>26</v>
      </c>
      <c r="B437" s="745" t="str">
        <f>'Visual chart Edit'!B440</f>
        <v>65/3</v>
      </c>
      <c r="C437" s="413" t="str">
        <f>'Visual chart Edit'!C440</f>
        <v>DA+3</v>
      </c>
      <c r="D437" s="413" t="s">
        <v>1341</v>
      </c>
      <c r="E437" s="465">
        <f>'Visual chart Edit'!I440</f>
        <v>403.7</v>
      </c>
      <c r="F437" s="413" t="str">
        <f>'Visual chart Edit'!K440</f>
        <v>DRY</v>
      </c>
      <c r="G437" s="413" t="str">
        <f>'Visual chart Edit'!L440</f>
        <v>E</v>
      </c>
      <c r="H437" s="413" t="s">
        <v>419</v>
      </c>
      <c r="I437" s="413" t="s">
        <v>419</v>
      </c>
      <c r="J437" s="413" t="s">
        <v>419</v>
      </c>
      <c r="K437" s="413"/>
    </row>
    <row r="438" spans="1:11" hidden="1" x14ac:dyDescent="0.25">
      <c r="A438" s="413">
        <f>+SUBTOTAL(3,$B$4:B438)</f>
        <v>26</v>
      </c>
      <c r="B438" s="745" t="str">
        <f>'Visual chart Edit'!B441</f>
        <v>65/4</v>
      </c>
      <c r="C438" s="413" t="str">
        <f>'Visual chart Edit'!C441</f>
        <v>DA+0</v>
      </c>
      <c r="D438" s="413" t="s">
        <v>1342</v>
      </c>
      <c r="E438" s="465">
        <f>'Visual chart Edit'!I441</f>
        <v>402.9</v>
      </c>
      <c r="F438" s="413" t="str">
        <f>'Visual chart Edit'!K441</f>
        <v>DRY</v>
      </c>
      <c r="G438" s="413" t="str">
        <f>'Visual chart Edit'!L441</f>
        <v>E</v>
      </c>
      <c r="H438" s="413" t="s">
        <v>419</v>
      </c>
      <c r="I438" s="413" t="s">
        <v>419</v>
      </c>
      <c r="J438" s="413" t="s">
        <v>419</v>
      </c>
      <c r="K438" s="413"/>
    </row>
    <row r="439" spans="1:11" hidden="1" x14ac:dyDescent="0.25">
      <c r="A439" s="413">
        <f>+SUBTOTAL(3,$B$4:B439)</f>
        <v>26</v>
      </c>
      <c r="B439" s="745" t="str">
        <f>'Visual chart Edit'!B442</f>
        <v>65/5</v>
      </c>
      <c r="C439" s="413" t="str">
        <f>'Visual chart Edit'!C442</f>
        <v>DA+0</v>
      </c>
      <c r="D439" s="413" t="s">
        <v>1342</v>
      </c>
      <c r="E439" s="465">
        <f>'Visual chart Edit'!I442</f>
        <v>376.4</v>
      </c>
      <c r="F439" s="413" t="str">
        <f>'Visual chart Edit'!K442</f>
        <v>DRY</v>
      </c>
      <c r="G439" s="413" t="str">
        <f>'Visual chart Edit'!L442</f>
        <v>E</v>
      </c>
      <c r="H439" s="413" t="s">
        <v>419</v>
      </c>
      <c r="I439" s="413" t="s">
        <v>419</v>
      </c>
      <c r="J439" s="413" t="s">
        <v>419</v>
      </c>
      <c r="K439" s="413"/>
    </row>
    <row r="440" spans="1:11" hidden="1" x14ac:dyDescent="0.25">
      <c r="A440" s="413">
        <f>+SUBTOTAL(3,$B$4:B440)</f>
        <v>26</v>
      </c>
      <c r="B440" s="745" t="str">
        <f>'Visual chart Edit'!B443</f>
        <v>65/6</v>
      </c>
      <c r="C440" s="413" t="str">
        <f>'Visual chart Edit'!C443</f>
        <v>DA+0</v>
      </c>
      <c r="D440" s="413" t="s">
        <v>1342</v>
      </c>
      <c r="E440" s="465">
        <f>'Visual chart Edit'!I443</f>
        <v>389.2</v>
      </c>
      <c r="F440" s="413" t="str">
        <f>'Visual chart Edit'!K443</f>
        <v>DRY</v>
      </c>
      <c r="G440" s="413" t="str">
        <f>'Visual chart Edit'!L443</f>
        <v>E</v>
      </c>
      <c r="H440" s="413" t="s">
        <v>419</v>
      </c>
      <c r="I440" s="413" t="s">
        <v>419</v>
      </c>
      <c r="J440" s="413" t="s">
        <v>419</v>
      </c>
      <c r="K440" s="413"/>
    </row>
    <row r="441" spans="1:11" hidden="1" x14ac:dyDescent="0.25">
      <c r="A441" s="413">
        <f>+SUBTOTAL(3,$B$4:B441)</f>
        <v>26</v>
      </c>
      <c r="B441" s="745" t="str">
        <f>'Visual chart Edit'!B444</f>
        <v>65/7</v>
      </c>
      <c r="C441" s="413" t="str">
        <f>'Visual chart Edit'!C444</f>
        <v>DA+0</v>
      </c>
      <c r="D441" s="413" t="s">
        <v>1342</v>
      </c>
      <c r="E441" s="465">
        <f>'Visual chart Edit'!I444</f>
        <v>397.6</v>
      </c>
      <c r="F441" s="413" t="str">
        <f>'Visual chart Edit'!K444</f>
        <v>DRY</v>
      </c>
      <c r="G441" s="413" t="str">
        <f>'Visual chart Edit'!L444</f>
        <v>E</v>
      </c>
      <c r="H441" s="413" t="s">
        <v>419</v>
      </c>
      <c r="I441" s="413" t="s">
        <v>419</v>
      </c>
      <c r="J441" s="413" t="s">
        <v>419</v>
      </c>
      <c r="K441" s="413"/>
    </row>
    <row r="442" spans="1:11" hidden="1" x14ac:dyDescent="0.25">
      <c r="A442" s="413">
        <f>+SUBTOTAL(3,$B$4:B442)</f>
        <v>26</v>
      </c>
      <c r="B442" s="745" t="str">
        <f>'Visual chart Edit'!B445</f>
        <v>65/8</v>
      </c>
      <c r="C442" s="413" t="str">
        <f>'Visual chart Edit'!C445</f>
        <v>DA+0</v>
      </c>
      <c r="D442" s="413" t="s">
        <v>1343</v>
      </c>
      <c r="E442" s="465">
        <f>'Visual chart Edit'!I445</f>
        <v>394.3</v>
      </c>
      <c r="F442" s="413" t="str">
        <f>'Visual chart Edit'!K445</f>
        <v>DRY</v>
      </c>
      <c r="G442" s="413" t="str">
        <f>'Visual chart Edit'!L445</f>
        <v>E</v>
      </c>
      <c r="H442" s="413" t="s">
        <v>419</v>
      </c>
      <c r="I442" s="413" t="s">
        <v>419</v>
      </c>
      <c r="J442" s="413" t="s">
        <v>419</v>
      </c>
      <c r="K442" s="413"/>
    </row>
    <row r="443" spans="1:11" hidden="1" x14ac:dyDescent="0.25">
      <c r="A443" s="413">
        <f>+SUBTOTAL(3,$B$4:B443)</f>
        <v>26</v>
      </c>
      <c r="B443" s="745" t="str">
        <f>'Visual chart Edit'!B446</f>
        <v>65/9</v>
      </c>
      <c r="C443" s="413" t="str">
        <f>'Visual chart Edit'!C446</f>
        <v>DA+0</v>
      </c>
      <c r="D443" s="413" t="s">
        <v>1343</v>
      </c>
      <c r="E443" s="465">
        <f>'Visual chart Edit'!I446</f>
        <v>389</v>
      </c>
      <c r="F443" s="413" t="str">
        <f>'Visual chart Edit'!K446</f>
        <v>DRY</v>
      </c>
      <c r="G443" s="413" t="str">
        <f>'Visual chart Edit'!L446</f>
        <v>E</v>
      </c>
      <c r="H443" s="413" t="s">
        <v>419</v>
      </c>
      <c r="I443" s="413" t="s">
        <v>419</v>
      </c>
      <c r="J443" s="413" t="s">
        <v>419</v>
      </c>
      <c r="K443" s="413"/>
    </row>
    <row r="444" spans="1:11" hidden="1" x14ac:dyDescent="0.25">
      <c r="A444" s="413">
        <f>+SUBTOTAL(3,$B$4:B444)</f>
        <v>26</v>
      </c>
      <c r="B444" s="745" t="str">
        <f>'Visual chart Edit'!B447</f>
        <v>65/10</v>
      </c>
      <c r="C444" s="413" t="str">
        <f>'Visual chart Edit'!C447</f>
        <v>DA+0</v>
      </c>
      <c r="D444" s="413" t="s">
        <v>1343</v>
      </c>
      <c r="E444" s="465">
        <f>'Visual chart Edit'!I447</f>
        <v>379.1</v>
      </c>
      <c r="F444" s="413" t="str">
        <f>'Visual chart Edit'!K447</f>
        <v>DRY</v>
      </c>
      <c r="G444" s="413" t="str">
        <f>'Visual chart Edit'!L447</f>
        <v>E</v>
      </c>
      <c r="H444" s="413" t="s">
        <v>419</v>
      </c>
      <c r="I444" s="413" t="s">
        <v>419</v>
      </c>
      <c r="J444" s="413" t="s">
        <v>419</v>
      </c>
      <c r="K444" s="413"/>
    </row>
    <row r="445" spans="1:11" hidden="1" x14ac:dyDescent="0.25">
      <c r="A445" s="413">
        <f>+SUBTOTAL(3,$B$4:B445)</f>
        <v>26</v>
      </c>
      <c r="B445" s="745" t="str">
        <f>'Visual chart Edit'!B448</f>
        <v>65/11</v>
      </c>
      <c r="C445" s="413" t="str">
        <f>'Visual chart Edit'!C448</f>
        <v>DA+0</v>
      </c>
      <c r="D445" s="413" t="s">
        <v>1343</v>
      </c>
      <c r="E445" s="465">
        <f>'Visual chart Edit'!I448</f>
        <v>387.6</v>
      </c>
      <c r="F445" s="413" t="str">
        <f>'Visual chart Edit'!K448</f>
        <v>DRY</v>
      </c>
      <c r="G445" s="413" t="str">
        <f>'Visual chart Edit'!L448</f>
        <v>E</v>
      </c>
      <c r="H445" s="413" t="s">
        <v>419</v>
      </c>
      <c r="I445" s="413" t="s">
        <v>419</v>
      </c>
      <c r="J445" s="413" t="s">
        <v>419</v>
      </c>
      <c r="K445" s="413"/>
    </row>
    <row r="446" spans="1:11" hidden="1" x14ac:dyDescent="0.25">
      <c r="A446" s="413">
        <f>+SUBTOTAL(3,$B$4:B446)</f>
        <v>26</v>
      </c>
      <c r="B446" s="745" t="str">
        <f>'Visual chart Edit'!B449</f>
        <v>66/0</v>
      </c>
      <c r="C446" s="413" t="str">
        <f>'Visual chart Edit'!C449</f>
        <v>DC2+6</v>
      </c>
      <c r="D446" s="413" t="s">
        <v>1343</v>
      </c>
      <c r="E446" s="465">
        <f>'Visual chart Edit'!I449</f>
        <v>426.9</v>
      </c>
      <c r="F446" s="413" t="str">
        <f>'Visual chart Edit'!K449</f>
        <v>DRY</v>
      </c>
      <c r="G446" s="413" t="str">
        <f>'Visual chart Edit'!L449</f>
        <v>E</v>
      </c>
      <c r="H446" s="413" t="s">
        <v>419</v>
      </c>
      <c r="I446" s="413"/>
      <c r="J446" s="413" t="s">
        <v>419</v>
      </c>
      <c r="K446" s="413" t="s">
        <v>419</v>
      </c>
    </row>
    <row r="447" spans="1:11" hidden="1" x14ac:dyDescent="0.25">
      <c r="A447" s="413">
        <f>+SUBTOTAL(3,$B$4:B447)</f>
        <v>26</v>
      </c>
      <c r="B447" s="745" t="str">
        <f>'Visual chart Edit'!B450</f>
        <v>67/0</v>
      </c>
      <c r="C447" s="413" t="str">
        <f>'Visual chart Edit'!C450</f>
        <v>DC1+9</v>
      </c>
      <c r="D447" s="413" t="s">
        <v>1343</v>
      </c>
      <c r="E447" s="465">
        <f>'Visual chart Edit'!I450</f>
        <v>207.8</v>
      </c>
      <c r="F447" s="413" t="str">
        <f>'Visual chart Edit'!K450</f>
        <v>DRY</v>
      </c>
      <c r="G447" s="413" t="str">
        <f>'Visual chart Edit'!L450</f>
        <v>E</v>
      </c>
      <c r="H447" s="413" t="s">
        <v>419</v>
      </c>
      <c r="I447" s="413"/>
      <c r="J447" s="413" t="s">
        <v>419</v>
      </c>
      <c r="K447" s="413" t="s">
        <v>419</v>
      </c>
    </row>
    <row r="448" spans="1:11" hidden="1" x14ac:dyDescent="0.25">
      <c r="A448" s="413">
        <f>+SUBTOTAL(3,$B$4:B448)</f>
        <v>26</v>
      </c>
      <c r="B448" s="745" t="str">
        <f>'Visual chart Edit'!B451</f>
        <v>67/1</v>
      </c>
      <c r="C448" s="413" t="str">
        <f>'Visual chart Edit'!C451</f>
        <v>DA+0</v>
      </c>
      <c r="D448" s="413" t="s">
        <v>1343</v>
      </c>
      <c r="E448" s="465">
        <f>'Visual chart Edit'!I451</f>
        <v>347.1</v>
      </c>
      <c r="F448" s="413" t="str">
        <f>'Visual chart Edit'!K451</f>
        <v>DRY</v>
      </c>
      <c r="G448" s="413" t="str">
        <f>'Visual chart Edit'!L451</f>
        <v>E</v>
      </c>
      <c r="H448" s="413" t="s">
        <v>419</v>
      </c>
      <c r="I448" s="413" t="s">
        <v>419</v>
      </c>
      <c r="J448" s="413" t="s">
        <v>419</v>
      </c>
      <c r="K448" s="413"/>
    </row>
    <row r="449" spans="1:11" hidden="1" x14ac:dyDescent="0.25">
      <c r="A449" s="413">
        <f>+SUBTOTAL(3,$B$4:B449)</f>
        <v>26</v>
      </c>
      <c r="B449" s="745" t="str">
        <f>'Visual chart Edit'!B452</f>
        <v>67/2</v>
      </c>
      <c r="C449" s="413" t="str">
        <f>'Visual chart Edit'!C452</f>
        <v>DA+0</v>
      </c>
      <c r="D449" s="413" t="s">
        <v>1343</v>
      </c>
      <c r="E449" s="465">
        <f>'Visual chart Edit'!I452</f>
        <v>344.9</v>
      </c>
      <c r="F449" s="413" t="str">
        <f>'Visual chart Edit'!K452</f>
        <v>DRY</v>
      </c>
      <c r="G449" s="413" t="str">
        <f>'Visual chart Edit'!L452</f>
        <v>E</v>
      </c>
      <c r="H449" s="413" t="s">
        <v>419</v>
      </c>
      <c r="I449" s="413" t="s">
        <v>419</v>
      </c>
      <c r="J449" s="413" t="s">
        <v>419</v>
      </c>
      <c r="K449" s="413"/>
    </row>
    <row r="450" spans="1:11" hidden="1" x14ac:dyDescent="0.25">
      <c r="A450" s="413">
        <f>+SUBTOTAL(3,$B$4:B450)</f>
        <v>26</v>
      </c>
      <c r="B450" s="745" t="str">
        <f>'Visual chart Edit'!B453</f>
        <v>68/0</v>
      </c>
      <c r="C450" s="413" t="str">
        <f>'Visual chart Edit'!C453</f>
        <v>DD45+0</v>
      </c>
      <c r="D450" s="413" t="s">
        <v>1343</v>
      </c>
      <c r="E450" s="465">
        <f>'Visual chart Edit'!I453</f>
        <v>369.2</v>
      </c>
      <c r="F450" s="413" t="str">
        <f>'Visual chart Edit'!K453</f>
        <v>DRY</v>
      </c>
      <c r="G450" s="413" t="str">
        <f>'Visual chart Edit'!L453</f>
        <v>E</v>
      </c>
      <c r="H450" s="413" t="s">
        <v>419</v>
      </c>
      <c r="I450" s="413"/>
      <c r="J450" s="413" t="s">
        <v>419</v>
      </c>
      <c r="K450" s="413"/>
    </row>
    <row r="451" spans="1:11" hidden="1" x14ac:dyDescent="0.25">
      <c r="A451" s="413">
        <f>+SUBTOTAL(3,$B$4:B451)</f>
        <v>26</v>
      </c>
      <c r="B451" s="745" t="str">
        <f>'Visual chart Edit'!B454</f>
        <v>69/0</v>
      </c>
      <c r="C451" s="413" t="str">
        <f>'Visual chart Edit'!C454</f>
        <v>DB2+0</v>
      </c>
      <c r="D451" s="413" t="s">
        <v>1343</v>
      </c>
      <c r="E451" s="465">
        <f>'Visual chart Edit'!I454</f>
        <v>200.9</v>
      </c>
      <c r="F451" s="413" t="str">
        <f>'Visual chart Edit'!K454</f>
        <v>DFR</v>
      </c>
      <c r="G451" s="413" t="str">
        <f>'Visual chart Edit'!L454</f>
        <v>E</v>
      </c>
      <c r="H451" s="413" t="s">
        <v>419</v>
      </c>
      <c r="I451" s="413"/>
      <c r="J451" s="413" t="s">
        <v>419</v>
      </c>
      <c r="K451" s="413" t="s">
        <v>419</v>
      </c>
    </row>
    <row r="452" spans="1:11" hidden="1" x14ac:dyDescent="0.25">
      <c r="A452" s="413">
        <f>+SUBTOTAL(3,$B$4:B452)</f>
        <v>26</v>
      </c>
      <c r="B452" s="745" t="str">
        <f>'Visual chart Edit'!B455</f>
        <v>69/1</v>
      </c>
      <c r="C452" s="413" t="str">
        <f>'Visual chart Edit'!C455</f>
        <v>DA+3</v>
      </c>
      <c r="D452" s="413" t="s">
        <v>1344</v>
      </c>
      <c r="E452" s="465">
        <f>'Visual chart Edit'!I455</f>
        <v>374.1</v>
      </c>
      <c r="F452" s="413" t="str">
        <f>'Visual chart Edit'!K455</f>
        <v>DRY</v>
      </c>
      <c r="G452" s="413" t="str">
        <f>'Visual chart Edit'!L455</f>
        <v>E</v>
      </c>
      <c r="H452" s="413" t="s">
        <v>419</v>
      </c>
      <c r="I452" s="413" t="s">
        <v>419</v>
      </c>
      <c r="J452" s="413" t="s">
        <v>419</v>
      </c>
      <c r="K452" s="413"/>
    </row>
    <row r="453" spans="1:11" hidden="1" x14ac:dyDescent="0.25">
      <c r="A453" s="413">
        <f>+SUBTOTAL(3,$B$4:B453)</f>
        <v>26</v>
      </c>
      <c r="B453" s="745" t="str">
        <f>'Visual chart Edit'!B456</f>
        <v>70/0</v>
      </c>
      <c r="C453" s="413" t="str">
        <f>'Visual chart Edit'!C456</f>
        <v>DC1+0</v>
      </c>
      <c r="D453" s="413" t="s">
        <v>1344</v>
      </c>
      <c r="E453" s="465">
        <f>'Visual chart Edit'!I456</f>
        <v>394.9</v>
      </c>
      <c r="F453" s="413" t="str">
        <f>'Visual chart Edit'!K456</f>
        <v>DRY</v>
      </c>
      <c r="G453" s="413" t="str">
        <f>'Visual chart Edit'!L456</f>
        <v>E</v>
      </c>
      <c r="H453" s="413" t="s">
        <v>419</v>
      </c>
      <c r="I453" s="413"/>
      <c r="J453" s="413" t="s">
        <v>419</v>
      </c>
      <c r="K453" s="413" t="s">
        <v>419</v>
      </c>
    </row>
    <row r="454" spans="1:11" hidden="1" x14ac:dyDescent="0.25">
      <c r="A454" s="413">
        <f>+SUBTOTAL(3,$B$4:B454)</f>
        <v>26</v>
      </c>
      <c r="B454" s="745" t="str">
        <f>'Visual chart Edit'!B457</f>
        <v>70/1</v>
      </c>
      <c r="C454" s="413" t="str">
        <f>'Visual chart Edit'!C457</f>
        <v>DA+3</v>
      </c>
      <c r="D454" s="413" t="s">
        <v>1343</v>
      </c>
      <c r="E454" s="465">
        <f>'Visual chart Edit'!I457</f>
        <v>388.4</v>
      </c>
      <c r="F454" s="413" t="str">
        <f>'Visual chart Edit'!K457</f>
        <v>DRY</v>
      </c>
      <c r="G454" s="413" t="str">
        <f>'Visual chart Edit'!L457</f>
        <v>E</v>
      </c>
      <c r="H454" s="413" t="s">
        <v>419</v>
      </c>
      <c r="I454" s="413" t="s">
        <v>419</v>
      </c>
      <c r="J454" s="413" t="s">
        <v>419</v>
      </c>
      <c r="K454" s="413"/>
    </row>
    <row r="455" spans="1:11" hidden="1" x14ac:dyDescent="0.25">
      <c r="A455" s="413">
        <f>+SUBTOTAL(3,$B$4:B455)</f>
        <v>26</v>
      </c>
      <c r="B455" s="745" t="str">
        <f>'Visual chart Edit'!B458</f>
        <v>70/2</v>
      </c>
      <c r="C455" s="413" t="str">
        <f>'Visual chart Edit'!C458</f>
        <v>DA+3</v>
      </c>
      <c r="D455" s="413" t="s">
        <v>1343</v>
      </c>
      <c r="E455" s="465">
        <f>'Visual chart Edit'!I458</f>
        <v>418.9</v>
      </c>
      <c r="F455" s="413" t="str">
        <f>'Visual chart Edit'!K458</f>
        <v>DRY</v>
      </c>
      <c r="G455" s="413" t="str">
        <f>'Visual chart Edit'!L458</f>
        <v>E</v>
      </c>
      <c r="H455" s="413" t="s">
        <v>419</v>
      </c>
      <c r="I455" s="413" t="s">
        <v>419</v>
      </c>
      <c r="J455" s="413" t="s">
        <v>419</v>
      </c>
      <c r="K455" s="413"/>
    </row>
    <row r="456" spans="1:11" hidden="1" x14ac:dyDescent="0.25">
      <c r="A456" s="413">
        <f>+SUBTOTAL(3,$B$4:B456)</f>
        <v>26</v>
      </c>
      <c r="B456" s="745" t="str">
        <f>'Visual chart Edit'!B459</f>
        <v>70/3</v>
      </c>
      <c r="C456" s="413" t="str">
        <f>'Visual chart Edit'!C459</f>
        <v>DA+3</v>
      </c>
      <c r="D456" s="413" t="s">
        <v>1345</v>
      </c>
      <c r="E456" s="465">
        <f>'Visual chart Edit'!I459</f>
        <v>418.6</v>
      </c>
      <c r="F456" s="413" t="str">
        <f>'Visual chart Edit'!K459</f>
        <v>DRY</v>
      </c>
      <c r="G456" s="413" t="str">
        <f>'Visual chart Edit'!L459</f>
        <v>E</v>
      </c>
      <c r="H456" s="413" t="s">
        <v>419</v>
      </c>
      <c r="I456" s="413" t="s">
        <v>419</v>
      </c>
      <c r="J456" s="413" t="s">
        <v>419</v>
      </c>
      <c r="K456" s="413"/>
    </row>
    <row r="457" spans="1:11" hidden="1" x14ac:dyDescent="0.25">
      <c r="A457" s="413">
        <f>+SUBTOTAL(3,$B$4:B457)</f>
        <v>26</v>
      </c>
      <c r="B457" s="745" t="str">
        <f>'Visual chart Edit'!B460</f>
        <v>70/4</v>
      </c>
      <c r="C457" s="413" t="str">
        <f>'Visual chart Edit'!C460</f>
        <v>DA+3</v>
      </c>
      <c r="D457" s="413" t="s">
        <v>1345</v>
      </c>
      <c r="E457" s="465">
        <f>'Visual chart Edit'!I460</f>
        <v>414</v>
      </c>
      <c r="F457" s="413" t="str">
        <f>'Visual chart Edit'!K460</f>
        <v>DRY</v>
      </c>
      <c r="G457" s="413" t="str">
        <f>'Visual chart Edit'!L460</f>
        <v>E</v>
      </c>
      <c r="H457" s="413" t="s">
        <v>419</v>
      </c>
      <c r="I457" s="413" t="s">
        <v>419</v>
      </c>
      <c r="J457" s="413" t="s">
        <v>419</v>
      </c>
      <c r="K457" s="413"/>
    </row>
    <row r="458" spans="1:11" hidden="1" x14ac:dyDescent="0.25">
      <c r="A458" s="413">
        <f>+SUBTOTAL(3,$B$4:B458)</f>
        <v>26</v>
      </c>
      <c r="B458" s="745" t="str">
        <f>'Visual chart Edit'!B461</f>
        <v>70/5</v>
      </c>
      <c r="C458" s="413" t="str">
        <f>'Visual chart Edit'!C461</f>
        <v>DA+3</v>
      </c>
      <c r="D458" s="413" t="s">
        <v>1345</v>
      </c>
      <c r="E458" s="465">
        <f>'Visual chart Edit'!I461</f>
        <v>419.6</v>
      </c>
      <c r="F458" s="413" t="str">
        <f>'Visual chart Edit'!K461</f>
        <v>DRY</v>
      </c>
      <c r="G458" s="413" t="str">
        <f>'Visual chart Edit'!L461</f>
        <v>E</v>
      </c>
      <c r="H458" s="413" t="s">
        <v>419</v>
      </c>
      <c r="I458" s="413" t="s">
        <v>419</v>
      </c>
      <c r="J458" s="413" t="s">
        <v>419</v>
      </c>
      <c r="K458" s="413"/>
    </row>
    <row r="459" spans="1:11" hidden="1" x14ac:dyDescent="0.25">
      <c r="A459" s="413">
        <f>+SUBTOTAL(3,$B$4:B459)</f>
        <v>26</v>
      </c>
      <c r="B459" s="745" t="str">
        <f>'Visual chart Edit'!B462</f>
        <v>70/6</v>
      </c>
      <c r="C459" s="413" t="str">
        <f>'Visual chart Edit'!C462</f>
        <v>DA+3</v>
      </c>
      <c r="D459" s="413" t="s">
        <v>1345</v>
      </c>
      <c r="E459" s="465">
        <f>'Visual chart Edit'!I462</f>
        <v>420.3</v>
      </c>
      <c r="F459" s="413" t="str">
        <f>'Visual chart Edit'!K462</f>
        <v>DRY</v>
      </c>
      <c r="G459" s="413" t="str">
        <f>'Visual chart Edit'!L462</f>
        <v>E</v>
      </c>
      <c r="H459" s="413" t="s">
        <v>419</v>
      </c>
      <c r="I459" s="413" t="s">
        <v>419</v>
      </c>
      <c r="J459" s="413" t="s">
        <v>419</v>
      </c>
      <c r="K459" s="413"/>
    </row>
    <row r="460" spans="1:11" hidden="1" x14ac:dyDescent="0.25">
      <c r="A460" s="413">
        <f>+SUBTOTAL(3,$B$4:B460)</f>
        <v>26</v>
      </c>
      <c r="B460" s="745" t="str">
        <f>'Visual chart Edit'!B463</f>
        <v>70/7</v>
      </c>
      <c r="C460" s="413" t="str">
        <f>'Visual chart Edit'!C463</f>
        <v>DA+3</v>
      </c>
      <c r="D460" s="413" t="s">
        <v>1345</v>
      </c>
      <c r="E460" s="465">
        <f>'Visual chart Edit'!I463</f>
        <v>419.6</v>
      </c>
      <c r="F460" s="413" t="str">
        <f>'Visual chart Edit'!K463</f>
        <v>DRY</v>
      </c>
      <c r="G460" s="413" t="str">
        <f>'Visual chart Edit'!L463</f>
        <v>E</v>
      </c>
      <c r="H460" s="413" t="s">
        <v>419</v>
      </c>
      <c r="I460" s="413" t="s">
        <v>419</v>
      </c>
      <c r="J460" s="413" t="s">
        <v>124</v>
      </c>
      <c r="K460" s="413"/>
    </row>
    <row r="461" spans="1:11" hidden="1" x14ac:dyDescent="0.25">
      <c r="A461" s="413">
        <f>+SUBTOTAL(3,$B$4:B461)</f>
        <v>26</v>
      </c>
      <c r="B461" s="745" t="str">
        <f>'Visual chart Edit'!B464</f>
        <v>70/8</v>
      </c>
      <c r="C461" s="413" t="str">
        <f>'Visual chart Edit'!C464</f>
        <v>DA+3</v>
      </c>
      <c r="D461" s="413" t="s">
        <v>1345</v>
      </c>
      <c r="E461" s="465">
        <f>'Visual chart Edit'!I464</f>
        <v>418.2</v>
      </c>
      <c r="F461" s="413" t="str">
        <f>'Visual chart Edit'!K464</f>
        <v>DRY</v>
      </c>
      <c r="G461" s="413" t="str">
        <f>'Visual chart Edit'!L464</f>
        <v>E</v>
      </c>
      <c r="H461" s="413" t="s">
        <v>419</v>
      </c>
      <c r="I461" s="413"/>
      <c r="J461" s="413" t="s">
        <v>124</v>
      </c>
      <c r="K461" s="413"/>
    </row>
    <row r="462" spans="1:11" hidden="1" x14ac:dyDescent="0.25">
      <c r="A462" s="413">
        <f>+SUBTOTAL(3,$B$4:B462)</f>
        <v>26</v>
      </c>
      <c r="B462" s="745" t="str">
        <f>'Visual chart Edit'!B465</f>
        <v>70/9</v>
      </c>
      <c r="C462" s="413" t="str">
        <f>'Visual chart Edit'!C465</f>
        <v>DA+3</v>
      </c>
      <c r="D462" s="413" t="s">
        <v>1346</v>
      </c>
      <c r="E462" s="465">
        <f>'Visual chart Edit'!I465</f>
        <v>414.1</v>
      </c>
      <c r="F462" s="413" t="str">
        <f>'Visual chart Edit'!K465</f>
        <v>DRY</v>
      </c>
      <c r="G462" s="413" t="str">
        <f>'Visual chart Edit'!L465</f>
        <v>E</v>
      </c>
      <c r="H462" s="413" t="s">
        <v>419</v>
      </c>
      <c r="I462" s="413"/>
      <c r="J462" s="413" t="s">
        <v>124</v>
      </c>
      <c r="K462" s="413"/>
    </row>
    <row r="463" spans="1:11" hidden="1" x14ac:dyDescent="0.25">
      <c r="A463" s="413">
        <f>+SUBTOTAL(3,$B$4:B463)</f>
        <v>26</v>
      </c>
      <c r="B463" s="745" t="str">
        <f>'Visual chart Edit'!B466</f>
        <v>70/10</v>
      </c>
      <c r="C463" s="413" t="str">
        <f>'Visual chart Edit'!C466</f>
        <v>DA+3</v>
      </c>
      <c r="D463" s="413" t="s">
        <v>1346</v>
      </c>
      <c r="E463" s="465">
        <f>'Visual chart Edit'!I466</f>
        <v>406.1</v>
      </c>
      <c r="F463" s="413" t="str">
        <f>'Visual chart Edit'!K466</f>
        <v>DRY</v>
      </c>
      <c r="G463" s="413" t="str">
        <f>'Visual chart Edit'!L466</f>
        <v>E</v>
      </c>
      <c r="H463" s="413" t="s">
        <v>419</v>
      </c>
      <c r="I463" s="413" t="s">
        <v>419</v>
      </c>
      <c r="J463" s="413" t="s">
        <v>124</v>
      </c>
      <c r="K463" s="413"/>
    </row>
    <row r="464" spans="1:11" hidden="1" x14ac:dyDescent="0.25">
      <c r="A464" s="413">
        <f>+SUBTOTAL(3,$B$4:B464)</f>
        <v>26</v>
      </c>
      <c r="B464" s="745" t="str">
        <f>'Visual chart Edit'!B467</f>
        <v>70/11</v>
      </c>
      <c r="C464" s="413" t="str">
        <f>'Visual chart Edit'!C467</f>
        <v>DA+3</v>
      </c>
      <c r="D464" s="413" t="s">
        <v>1345</v>
      </c>
      <c r="E464" s="465">
        <f>'Visual chart Edit'!I467</f>
        <v>408.6</v>
      </c>
      <c r="F464" s="413" t="str">
        <f>'Visual chart Edit'!K467</f>
        <v>DRY</v>
      </c>
      <c r="G464" s="413" t="str">
        <f>'Visual chart Edit'!L467</f>
        <v>E</v>
      </c>
      <c r="H464" s="413" t="s">
        <v>419</v>
      </c>
      <c r="I464" s="413" t="s">
        <v>419</v>
      </c>
      <c r="J464" s="413" t="s">
        <v>419</v>
      </c>
      <c r="K464" s="413"/>
    </row>
    <row r="465" spans="1:11" hidden="1" x14ac:dyDescent="0.25">
      <c r="A465" s="413">
        <f>+SUBTOTAL(3,$B$4:B465)</f>
        <v>26</v>
      </c>
      <c r="B465" s="745" t="str">
        <f>'Visual chart Edit'!B468</f>
        <v>71/0</v>
      </c>
      <c r="C465" s="413" t="str">
        <f>'Visual chart Edit'!C468</f>
        <v>DB2+3</v>
      </c>
      <c r="D465" s="413" t="s">
        <v>1345</v>
      </c>
      <c r="E465" s="465">
        <f>'Visual chart Edit'!I468</f>
        <v>420.4</v>
      </c>
      <c r="F465" s="413" t="str">
        <f>'Visual chart Edit'!K468</f>
        <v>DRY</v>
      </c>
      <c r="G465" s="413" t="str">
        <f>'Visual chart Edit'!L468</f>
        <v>E</v>
      </c>
      <c r="H465" s="413" t="s">
        <v>419</v>
      </c>
      <c r="I465" s="413"/>
      <c r="J465" s="413" t="s">
        <v>419</v>
      </c>
      <c r="K465" s="413" t="s">
        <v>419</v>
      </c>
    </row>
    <row r="466" spans="1:11" hidden="1" x14ac:dyDescent="0.25">
      <c r="A466" s="413">
        <f>+SUBTOTAL(3,$B$4:B466)</f>
        <v>26</v>
      </c>
      <c r="B466" s="745" t="str">
        <f>'Visual chart Edit'!B469</f>
        <v>71/1</v>
      </c>
      <c r="C466" s="413" t="str">
        <f>'Visual chart Edit'!C469</f>
        <v>DA+3</v>
      </c>
      <c r="D466" s="413" t="s">
        <v>1345</v>
      </c>
      <c r="E466" s="465">
        <f>'Visual chart Edit'!I469</f>
        <v>398.6</v>
      </c>
      <c r="F466" s="413" t="str">
        <f>'Visual chart Edit'!K469</f>
        <v>DRY</v>
      </c>
      <c r="G466" s="413" t="str">
        <f>'Visual chart Edit'!L469</f>
        <v>E</v>
      </c>
      <c r="H466" s="413" t="s">
        <v>419</v>
      </c>
      <c r="I466" s="413" t="s">
        <v>419</v>
      </c>
      <c r="J466" s="413" t="s">
        <v>419</v>
      </c>
      <c r="K466" s="413"/>
    </row>
    <row r="467" spans="1:11" hidden="1" x14ac:dyDescent="0.25">
      <c r="A467" s="413">
        <f>+SUBTOTAL(3,$B$4:B467)</f>
        <v>26</v>
      </c>
      <c r="B467" s="745" t="str">
        <f>'Visual chart Edit'!B470</f>
        <v>71/2</v>
      </c>
      <c r="C467" s="413" t="str">
        <f>'Visual chart Edit'!C470</f>
        <v>DA+3</v>
      </c>
      <c r="D467" s="413" t="s">
        <v>1345</v>
      </c>
      <c r="E467" s="465">
        <f>'Visual chart Edit'!I470</f>
        <v>414.3</v>
      </c>
      <c r="F467" s="413" t="str">
        <f>'Visual chart Edit'!K470</f>
        <v>DRY</v>
      </c>
      <c r="G467" s="413" t="str">
        <f>'Visual chart Edit'!L470</f>
        <v>E</v>
      </c>
      <c r="H467" s="413" t="s">
        <v>419</v>
      </c>
      <c r="I467" s="413" t="s">
        <v>419</v>
      </c>
      <c r="J467" s="413" t="s">
        <v>419</v>
      </c>
      <c r="K467" s="413"/>
    </row>
    <row r="468" spans="1:11" hidden="1" x14ac:dyDescent="0.25">
      <c r="A468" s="413">
        <f>+SUBTOTAL(3,$B$4:B468)</f>
        <v>26</v>
      </c>
      <c r="B468" s="745" t="str">
        <f>'Visual chart Edit'!B471</f>
        <v>71/3</v>
      </c>
      <c r="C468" s="413" t="str">
        <f>'Visual chart Edit'!C471</f>
        <v>DA+6</v>
      </c>
      <c r="D468" s="413" t="s">
        <v>1345</v>
      </c>
      <c r="E468" s="465">
        <f>'Visual chart Edit'!I471</f>
        <v>413</v>
      </c>
      <c r="F468" s="413" t="str">
        <f>'Visual chart Edit'!K471</f>
        <v>DRY</v>
      </c>
      <c r="G468" s="413" t="str">
        <f>'Visual chart Edit'!L471</f>
        <v>E</v>
      </c>
      <c r="H468" s="413" t="s">
        <v>419</v>
      </c>
      <c r="I468" s="413" t="s">
        <v>419</v>
      </c>
      <c r="J468" s="413" t="s">
        <v>419</v>
      </c>
      <c r="K468" s="413"/>
    </row>
    <row r="469" spans="1:11" hidden="1" x14ac:dyDescent="0.25">
      <c r="A469" s="413">
        <f>+SUBTOTAL(3,$B$4:B469)</f>
        <v>26</v>
      </c>
      <c r="B469" s="745" t="str">
        <f>'Visual chart Edit'!B472</f>
        <v>71/4</v>
      </c>
      <c r="C469" s="413" t="str">
        <f>'Visual chart Edit'!C472</f>
        <v>DA+3</v>
      </c>
      <c r="D469" s="413" t="s">
        <v>1345</v>
      </c>
      <c r="E469" s="465">
        <f>'Visual chart Edit'!I472</f>
        <v>367.7</v>
      </c>
      <c r="F469" s="413" t="str">
        <f>'Visual chart Edit'!K472</f>
        <v>DRY</v>
      </c>
      <c r="G469" s="413" t="str">
        <f>'Visual chart Edit'!L472</f>
        <v>E</v>
      </c>
      <c r="H469" s="413" t="s">
        <v>419</v>
      </c>
      <c r="I469" s="413" t="s">
        <v>419</v>
      </c>
      <c r="J469" s="413" t="s">
        <v>419</v>
      </c>
      <c r="K469" s="413"/>
    </row>
    <row r="470" spans="1:11" hidden="1" x14ac:dyDescent="0.25">
      <c r="A470" s="413">
        <f>+SUBTOTAL(3,$B$4:B470)</f>
        <v>26</v>
      </c>
      <c r="B470" s="745" t="str">
        <f>'Visual chart Edit'!B473</f>
        <v>71/5</v>
      </c>
      <c r="C470" s="413" t="str">
        <f>'Visual chart Edit'!C473</f>
        <v>DA+3</v>
      </c>
      <c r="D470" s="413" t="s">
        <v>1347</v>
      </c>
      <c r="E470" s="465">
        <f>'Visual chart Edit'!I473</f>
        <v>429.4</v>
      </c>
      <c r="F470" s="413" t="str">
        <f>'Visual chart Edit'!K473</f>
        <v>DRY</v>
      </c>
      <c r="G470" s="413" t="str">
        <f>'Visual chart Edit'!L473</f>
        <v>E</v>
      </c>
      <c r="H470" s="413" t="s">
        <v>419</v>
      </c>
      <c r="I470" s="413" t="s">
        <v>419</v>
      </c>
      <c r="J470" s="413" t="s">
        <v>419</v>
      </c>
      <c r="K470" s="413"/>
    </row>
    <row r="471" spans="1:11" hidden="1" x14ac:dyDescent="0.25">
      <c r="A471" s="413">
        <f>+SUBTOTAL(3,$B$4:B471)</f>
        <v>26</v>
      </c>
      <c r="B471" s="745" t="str">
        <f>'Visual chart Edit'!B474</f>
        <v>71/6</v>
      </c>
      <c r="C471" s="413" t="str">
        <f>'Visual chart Edit'!C474</f>
        <v>DA+0</v>
      </c>
      <c r="D471" s="413" t="s">
        <v>1347</v>
      </c>
      <c r="E471" s="465">
        <f>'Visual chart Edit'!I474</f>
        <v>408</v>
      </c>
      <c r="F471" s="413" t="str">
        <f>'Visual chart Edit'!K474</f>
        <v>DRY</v>
      </c>
      <c r="G471" s="413" t="str">
        <f>'Visual chart Edit'!L474</f>
        <v>E</v>
      </c>
      <c r="H471" s="413" t="s">
        <v>419</v>
      </c>
      <c r="I471" s="413" t="s">
        <v>419</v>
      </c>
      <c r="J471" s="413" t="s">
        <v>419</v>
      </c>
      <c r="K471" s="413"/>
    </row>
    <row r="472" spans="1:11" hidden="1" x14ac:dyDescent="0.25">
      <c r="A472" s="413">
        <f>+SUBTOTAL(3,$B$4:B472)</f>
        <v>26</v>
      </c>
      <c r="B472" s="745" t="str">
        <f>'Visual chart Edit'!B475</f>
        <v>71/7</v>
      </c>
      <c r="C472" s="413" t="str">
        <f>'Visual chart Edit'!C475</f>
        <v>DA+3</v>
      </c>
      <c r="D472" s="413" t="s">
        <v>1347</v>
      </c>
      <c r="E472" s="465">
        <f>'Visual chart Edit'!I475</f>
        <v>404.9</v>
      </c>
      <c r="F472" s="413" t="str">
        <f>'Visual chart Edit'!K475</f>
        <v>DRY</v>
      </c>
      <c r="G472" s="413" t="str">
        <f>'Visual chart Edit'!L475</f>
        <v>E</v>
      </c>
      <c r="H472" s="413" t="s">
        <v>419</v>
      </c>
      <c r="I472" s="413" t="s">
        <v>419</v>
      </c>
      <c r="J472" s="413" t="s">
        <v>419</v>
      </c>
      <c r="K472" s="413"/>
    </row>
    <row r="473" spans="1:11" hidden="1" x14ac:dyDescent="0.25">
      <c r="A473" s="413">
        <f>+SUBTOTAL(3,$B$4:B473)</f>
        <v>26</v>
      </c>
      <c r="B473" s="745" t="str">
        <f>'Visual chart Edit'!B476</f>
        <v>71/8</v>
      </c>
      <c r="C473" s="413" t="str">
        <f>'Visual chart Edit'!C476</f>
        <v>DA+3</v>
      </c>
      <c r="D473" s="413" t="s">
        <v>1347</v>
      </c>
      <c r="E473" s="465">
        <f>'Visual chart Edit'!I476</f>
        <v>431.6</v>
      </c>
      <c r="F473" s="413" t="str">
        <f>'Visual chart Edit'!K476</f>
        <v>DRY</v>
      </c>
      <c r="G473" s="413" t="str">
        <f>'Visual chart Edit'!L476</f>
        <v>E</v>
      </c>
      <c r="H473" s="413" t="s">
        <v>419</v>
      </c>
      <c r="I473" s="413" t="s">
        <v>419</v>
      </c>
      <c r="J473" s="413" t="s">
        <v>419</v>
      </c>
      <c r="K473" s="413"/>
    </row>
    <row r="474" spans="1:11" hidden="1" x14ac:dyDescent="0.25">
      <c r="A474" s="413">
        <f>+SUBTOTAL(3,$B$4:B474)</f>
        <v>26</v>
      </c>
      <c r="B474" s="745" t="str">
        <f>'Visual chart Edit'!B477</f>
        <v>72/0</v>
      </c>
      <c r="C474" s="413" t="str">
        <f>'Visual chart Edit'!C477</f>
        <v>DB2+3</v>
      </c>
      <c r="D474" s="413" t="s">
        <v>1347</v>
      </c>
      <c r="E474" s="465">
        <f>'Visual chart Edit'!I477</f>
        <v>408.4</v>
      </c>
      <c r="F474" s="413" t="str">
        <f>'Visual chart Edit'!K477</f>
        <v>DRY</v>
      </c>
      <c r="G474" s="413" t="str">
        <f>'Visual chart Edit'!L477</f>
        <v>E</v>
      </c>
      <c r="H474" s="413" t="s">
        <v>419</v>
      </c>
      <c r="I474" s="413"/>
      <c r="J474" s="413" t="s">
        <v>419</v>
      </c>
      <c r="K474" s="413" t="s">
        <v>419</v>
      </c>
    </row>
    <row r="475" spans="1:11" hidden="1" x14ac:dyDescent="0.25">
      <c r="A475" s="413">
        <f>+SUBTOTAL(3,$B$4:B475)</f>
        <v>26</v>
      </c>
      <c r="B475" s="745" t="str">
        <f>'Visual chart Edit'!B478</f>
        <v>72/1</v>
      </c>
      <c r="C475" s="413" t="str">
        <f>'Visual chart Edit'!C478</f>
        <v>DA+3</v>
      </c>
      <c r="D475" s="413" t="s">
        <v>1347</v>
      </c>
      <c r="E475" s="465">
        <f>'Visual chart Edit'!I478</f>
        <v>435.3</v>
      </c>
      <c r="F475" s="413" t="str">
        <f>'Visual chart Edit'!K478</f>
        <v>DRY</v>
      </c>
      <c r="G475" s="413" t="str">
        <f>'Visual chart Edit'!L478</f>
        <v>E</v>
      </c>
      <c r="H475" s="413" t="s">
        <v>419</v>
      </c>
      <c r="I475" s="413" t="s">
        <v>419</v>
      </c>
      <c r="J475" s="413" t="s">
        <v>419</v>
      </c>
      <c r="K475" s="413"/>
    </row>
    <row r="476" spans="1:11" hidden="1" x14ac:dyDescent="0.25">
      <c r="A476" s="413">
        <f>+SUBTOTAL(3,$B$4:B476)</f>
        <v>26</v>
      </c>
      <c r="B476" s="745" t="str">
        <f>'Visual chart Edit'!B479</f>
        <v>72/2</v>
      </c>
      <c r="C476" s="413" t="str">
        <f>'Visual chart Edit'!C479</f>
        <v>DA+0</v>
      </c>
      <c r="D476" s="413" t="s">
        <v>1347</v>
      </c>
      <c r="E476" s="465">
        <f>'Visual chart Edit'!I479</f>
        <v>403.9</v>
      </c>
      <c r="F476" s="413" t="str">
        <f>'Visual chart Edit'!K479</f>
        <v>DRY</v>
      </c>
      <c r="G476" s="413" t="str">
        <f>'Visual chart Edit'!L479</f>
        <v>E</v>
      </c>
      <c r="H476" s="413" t="s">
        <v>419</v>
      </c>
      <c r="I476" s="413" t="s">
        <v>419</v>
      </c>
      <c r="J476" s="413" t="s">
        <v>419</v>
      </c>
      <c r="K476" s="413"/>
    </row>
    <row r="477" spans="1:11" hidden="1" x14ac:dyDescent="0.25">
      <c r="A477" s="413">
        <f>+SUBTOTAL(3,$B$4:B477)</f>
        <v>26</v>
      </c>
      <c r="B477" s="745" t="str">
        <f>'Visual chart Edit'!B480</f>
        <v>72/3</v>
      </c>
      <c r="C477" s="413" t="str">
        <f>'Visual chart Edit'!C480</f>
        <v>DA+3</v>
      </c>
      <c r="D477" s="413" t="s">
        <v>1347</v>
      </c>
      <c r="E477" s="465">
        <f>'Visual chart Edit'!I480</f>
        <v>389.2</v>
      </c>
      <c r="F477" s="413" t="str">
        <f>'Visual chart Edit'!K480</f>
        <v>DRY</v>
      </c>
      <c r="G477" s="413" t="str">
        <f>'Visual chart Edit'!L480</f>
        <v>E</v>
      </c>
      <c r="H477" s="413" t="s">
        <v>419</v>
      </c>
      <c r="I477" s="413" t="s">
        <v>419</v>
      </c>
      <c r="J477" s="413" t="s">
        <v>419</v>
      </c>
      <c r="K477" s="413"/>
    </row>
    <row r="478" spans="1:11" hidden="1" x14ac:dyDescent="0.25">
      <c r="A478" s="413">
        <f>+SUBTOTAL(3,$B$4:B478)</f>
        <v>26</v>
      </c>
      <c r="B478" s="745" t="str">
        <f>'Visual chart Edit'!B481</f>
        <v>73/0</v>
      </c>
      <c r="C478" s="413" t="str">
        <f>'Visual chart Edit'!C481</f>
        <v>DB2+0</v>
      </c>
      <c r="D478" s="413" t="s">
        <v>1347</v>
      </c>
      <c r="E478" s="465">
        <f>'Visual chart Edit'!I481</f>
        <v>400.1</v>
      </c>
      <c r="F478" s="413" t="str">
        <f>'Visual chart Edit'!K481</f>
        <v>DRY</v>
      </c>
      <c r="G478" s="413" t="str">
        <f>'Visual chart Edit'!L481</f>
        <v>E</v>
      </c>
      <c r="H478" s="413" t="s">
        <v>419</v>
      </c>
      <c r="I478" s="413"/>
      <c r="J478" s="413" t="s">
        <v>419</v>
      </c>
      <c r="K478" s="413" t="s">
        <v>419</v>
      </c>
    </row>
    <row r="479" spans="1:11" hidden="1" x14ac:dyDescent="0.25">
      <c r="A479" s="413">
        <f>+SUBTOTAL(3,$B$4:B479)</f>
        <v>26</v>
      </c>
      <c r="B479" s="745" t="str">
        <f>'Visual chart Edit'!B482</f>
        <v>73/1</v>
      </c>
      <c r="C479" s="413" t="str">
        <f>'Visual chart Edit'!C482</f>
        <v>DA+0</v>
      </c>
      <c r="D479" s="413" t="s">
        <v>1348</v>
      </c>
      <c r="E479" s="465">
        <f>'Visual chart Edit'!I482</f>
        <v>383.3</v>
      </c>
      <c r="F479" s="413" t="str">
        <f>'Visual chart Edit'!K482</f>
        <v>DRY</v>
      </c>
      <c r="G479" s="413" t="str">
        <f>'Visual chart Edit'!L482</f>
        <v>E</v>
      </c>
      <c r="H479" s="413" t="s">
        <v>419</v>
      </c>
      <c r="I479" s="413" t="s">
        <v>419</v>
      </c>
      <c r="J479" s="413" t="s">
        <v>419</v>
      </c>
      <c r="K479" s="413"/>
    </row>
    <row r="480" spans="1:11" hidden="1" x14ac:dyDescent="0.25">
      <c r="A480" s="413">
        <f>+SUBTOTAL(3,$B$4:B480)</f>
        <v>26</v>
      </c>
      <c r="B480" s="745" t="str">
        <f>'Visual chart Edit'!B483</f>
        <v>73/2</v>
      </c>
      <c r="C480" s="413" t="str">
        <f>'Visual chart Edit'!C483</f>
        <v>DA+0</v>
      </c>
      <c r="D480" s="413" t="s">
        <v>1348</v>
      </c>
      <c r="E480" s="465">
        <f>'Visual chart Edit'!I483</f>
        <v>379</v>
      </c>
      <c r="F480" s="413" t="str">
        <f>'Visual chart Edit'!K483</f>
        <v>DRY</v>
      </c>
      <c r="G480" s="413" t="str">
        <f>'Visual chart Edit'!L483</f>
        <v>E</v>
      </c>
      <c r="H480" s="413" t="s">
        <v>419</v>
      </c>
      <c r="I480" s="413" t="s">
        <v>419</v>
      </c>
      <c r="J480" s="413" t="s">
        <v>419</v>
      </c>
      <c r="K480" s="413"/>
    </row>
    <row r="481" spans="1:11" hidden="1" x14ac:dyDescent="0.25">
      <c r="A481" s="413">
        <f>+SUBTOTAL(3,$B$4:B481)</f>
        <v>26</v>
      </c>
      <c r="B481" s="745" t="str">
        <f>'Visual chart Edit'!B484</f>
        <v>73/3</v>
      </c>
      <c r="C481" s="413" t="str">
        <f>'Visual chart Edit'!C484</f>
        <v>DA+0</v>
      </c>
      <c r="D481" s="413" t="s">
        <v>1348</v>
      </c>
      <c r="E481" s="465">
        <f>'Visual chart Edit'!I484</f>
        <v>381.2</v>
      </c>
      <c r="F481" s="413" t="str">
        <f>'Visual chart Edit'!K484</f>
        <v>DRY</v>
      </c>
      <c r="G481" s="413" t="str">
        <f>'Visual chart Edit'!L484</f>
        <v>E</v>
      </c>
      <c r="H481" s="413" t="s">
        <v>419</v>
      </c>
      <c r="I481" s="413" t="s">
        <v>419</v>
      </c>
      <c r="J481" s="413" t="s">
        <v>419</v>
      </c>
      <c r="K481" s="413"/>
    </row>
    <row r="482" spans="1:11" hidden="1" x14ac:dyDescent="0.25">
      <c r="A482" s="413">
        <f>+SUBTOTAL(3,$B$4:B482)</f>
        <v>26</v>
      </c>
      <c r="B482" s="745" t="str">
        <f>'Visual chart Edit'!B485</f>
        <v>73/4</v>
      </c>
      <c r="C482" s="413" t="str">
        <f>'Visual chart Edit'!C485</f>
        <v>DA+0</v>
      </c>
      <c r="D482" s="413" t="s">
        <v>1348</v>
      </c>
      <c r="E482" s="465">
        <f>'Visual chart Edit'!I485</f>
        <v>384.7</v>
      </c>
      <c r="F482" s="413" t="str">
        <f>'Visual chart Edit'!K485</f>
        <v>DRY</v>
      </c>
      <c r="G482" s="413" t="str">
        <f>'Visual chart Edit'!L485</f>
        <v>E</v>
      </c>
      <c r="H482" s="413" t="s">
        <v>419</v>
      </c>
      <c r="I482" s="413" t="s">
        <v>419</v>
      </c>
      <c r="J482" s="413" t="s">
        <v>419</v>
      </c>
      <c r="K482" s="413"/>
    </row>
    <row r="483" spans="1:11" hidden="1" x14ac:dyDescent="0.25">
      <c r="A483" s="413">
        <f>+SUBTOTAL(3,$B$4:B483)</f>
        <v>26</v>
      </c>
      <c r="B483" s="745" t="str">
        <f>'Visual chart Edit'!B486</f>
        <v>73/5</v>
      </c>
      <c r="C483" s="413" t="str">
        <f>'Visual chart Edit'!C486</f>
        <v>DA+0</v>
      </c>
      <c r="D483" s="413" t="s">
        <v>1348</v>
      </c>
      <c r="E483" s="465">
        <f>'Visual chart Edit'!I486</f>
        <v>368.8</v>
      </c>
      <c r="F483" s="413" t="str">
        <f>'Visual chart Edit'!K486</f>
        <v>DRY</v>
      </c>
      <c r="G483" s="413" t="str">
        <f>'Visual chart Edit'!L486</f>
        <v>E</v>
      </c>
      <c r="H483" s="413" t="s">
        <v>419</v>
      </c>
      <c r="I483" s="413" t="s">
        <v>419</v>
      </c>
      <c r="J483" s="413" t="s">
        <v>419</v>
      </c>
      <c r="K483" s="413"/>
    </row>
    <row r="484" spans="1:11" hidden="1" x14ac:dyDescent="0.25">
      <c r="A484" s="413">
        <f>+SUBTOTAL(3,$B$4:B484)</f>
        <v>26</v>
      </c>
      <c r="B484" s="745" t="str">
        <f>'Visual chart Edit'!B487</f>
        <v>73/6</v>
      </c>
      <c r="C484" s="413" t="str">
        <f>'Visual chart Edit'!C487</f>
        <v>DA+0</v>
      </c>
      <c r="D484" s="413" t="s">
        <v>1348</v>
      </c>
      <c r="E484" s="465">
        <f>'Visual chart Edit'!I487</f>
        <v>365.5</v>
      </c>
      <c r="F484" s="413" t="str">
        <f>'Visual chart Edit'!K487</f>
        <v>DRY</v>
      </c>
      <c r="G484" s="413" t="str">
        <f>'Visual chart Edit'!L487</f>
        <v>E</v>
      </c>
      <c r="H484" s="413" t="s">
        <v>419</v>
      </c>
      <c r="I484" s="413" t="s">
        <v>419</v>
      </c>
      <c r="J484" s="413" t="s">
        <v>419</v>
      </c>
      <c r="K484" s="413"/>
    </row>
    <row r="485" spans="1:11" hidden="1" x14ac:dyDescent="0.25">
      <c r="A485" s="413">
        <f>+SUBTOTAL(3,$B$4:B485)</f>
        <v>26</v>
      </c>
      <c r="B485" s="745" t="str">
        <f>'Visual chart Edit'!B488</f>
        <v>73/7</v>
      </c>
      <c r="C485" s="413" t="str">
        <f>'Visual chart Edit'!C488</f>
        <v>DA+0</v>
      </c>
      <c r="D485" s="413" t="s">
        <v>1348</v>
      </c>
      <c r="E485" s="465">
        <f>'Visual chart Edit'!I488</f>
        <v>392.4</v>
      </c>
      <c r="F485" s="413" t="str">
        <f>'Visual chart Edit'!K488</f>
        <v>DRY</v>
      </c>
      <c r="G485" s="413" t="str">
        <f>'Visual chart Edit'!L488</f>
        <v>E</v>
      </c>
      <c r="H485" s="413" t="s">
        <v>419</v>
      </c>
      <c r="I485" s="413" t="s">
        <v>419</v>
      </c>
      <c r="J485" s="413" t="s">
        <v>419</v>
      </c>
      <c r="K485" s="413"/>
    </row>
    <row r="486" spans="1:11" hidden="1" x14ac:dyDescent="0.25">
      <c r="A486" s="413">
        <f>+SUBTOTAL(3,$B$4:B486)</f>
        <v>26</v>
      </c>
      <c r="B486" s="745" t="str">
        <f>'Visual chart Edit'!B489</f>
        <v>73/8</v>
      </c>
      <c r="C486" s="413" t="str">
        <f>'Visual chart Edit'!C489</f>
        <v>DA+3</v>
      </c>
      <c r="D486" s="413" t="s">
        <v>1348</v>
      </c>
      <c r="E486" s="465">
        <f>'Visual chart Edit'!I489</f>
        <v>374.9</v>
      </c>
      <c r="F486" s="413" t="str">
        <f>'Visual chart Edit'!K489</f>
        <v>DRY</v>
      </c>
      <c r="G486" s="413" t="str">
        <f>'Visual chart Edit'!L489</f>
        <v>E</v>
      </c>
      <c r="H486" s="413" t="s">
        <v>419</v>
      </c>
      <c r="I486" s="413" t="s">
        <v>419</v>
      </c>
      <c r="J486" s="413" t="s">
        <v>419</v>
      </c>
      <c r="K486" s="413"/>
    </row>
    <row r="487" spans="1:11" hidden="1" x14ac:dyDescent="0.25">
      <c r="A487" s="413">
        <f>+SUBTOTAL(3,$B$4:B487)</f>
        <v>26</v>
      </c>
      <c r="B487" s="745" t="str">
        <f>'Visual chart Edit'!B490</f>
        <v>73/9</v>
      </c>
      <c r="C487" s="413" t="str">
        <f>'Visual chart Edit'!C490</f>
        <v>DA+0</v>
      </c>
      <c r="D487" s="413" t="s">
        <v>1348</v>
      </c>
      <c r="E487" s="465">
        <f>'Visual chart Edit'!I490</f>
        <v>379.5</v>
      </c>
      <c r="F487" s="413" t="str">
        <f>'Visual chart Edit'!K490</f>
        <v>DRY</v>
      </c>
      <c r="G487" s="413" t="str">
        <f>'Visual chart Edit'!L490</f>
        <v>E</v>
      </c>
      <c r="H487" s="413" t="s">
        <v>419</v>
      </c>
      <c r="I487" s="413" t="s">
        <v>419</v>
      </c>
      <c r="J487" s="413" t="s">
        <v>419</v>
      </c>
      <c r="K487" s="413"/>
    </row>
    <row r="488" spans="1:11" hidden="1" x14ac:dyDescent="0.25">
      <c r="A488" s="413">
        <f>+SUBTOTAL(3,$B$4:B488)</f>
        <v>26</v>
      </c>
      <c r="B488" s="413" t="str">
        <f>'Visual chart Edit'!B491</f>
        <v>74/0</v>
      </c>
      <c r="C488" s="413" t="str">
        <f>'Visual chart Edit'!C491</f>
        <v>DB2+0</v>
      </c>
      <c r="D488" s="413" t="s">
        <v>1348</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145</v>
      </c>
      <c r="J493" s="266">
        <f t="shared" ref="J493:K493" si="31">+COUNTIF(J4:J488,"C")</f>
        <v>164</v>
      </c>
      <c r="K493" s="266">
        <f t="shared" si="31"/>
        <v>16</v>
      </c>
    </row>
    <row r="494" spans="1:11" x14ac:dyDescent="0.25">
      <c r="D494" s="349" t="s">
        <v>16</v>
      </c>
      <c r="I494" s="266">
        <f>I492-I493</f>
        <v>252</v>
      </c>
      <c r="J494" s="266">
        <f t="shared" ref="J494:K494" si="32">J492-J493</f>
        <v>321</v>
      </c>
      <c r="K494" s="266">
        <f t="shared" si="32"/>
        <v>72</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filterColumn colId="6">
      <filters blank="1">
        <filter val="ROW"/>
        <filter val="WIP"/>
      </filters>
    </filterColumn>
  </autoFilter>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1264</v>
      </c>
      <c r="B1" s="302" t="s">
        <v>1163</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1164</v>
      </c>
      <c r="C3" s="307"/>
      <c r="D3" s="307"/>
      <c r="E3" s="307"/>
      <c r="F3" s="307"/>
      <c r="G3" s="308"/>
      <c r="H3" s="308"/>
      <c r="I3" s="307"/>
      <c r="J3" s="307"/>
      <c r="K3" s="307"/>
      <c r="L3" s="307"/>
      <c r="M3" s="309"/>
    </row>
    <row r="4" spans="1:15" ht="15" customHeight="1" x14ac:dyDescent="0.25">
      <c r="A4" s="870" t="s">
        <v>13</v>
      </c>
      <c r="B4" s="876" t="s">
        <v>1165</v>
      </c>
      <c r="C4" s="878" t="s">
        <v>13</v>
      </c>
      <c r="D4" s="878"/>
      <c r="E4" s="879" t="s">
        <v>1166</v>
      </c>
      <c r="F4" s="879" t="s">
        <v>1167</v>
      </c>
      <c r="G4" s="881" t="s">
        <v>984</v>
      </c>
      <c r="H4" s="882"/>
      <c r="I4" s="882"/>
      <c r="J4" s="882"/>
      <c r="K4" s="882"/>
      <c r="L4" s="883"/>
      <c r="M4" s="871" t="s">
        <v>19</v>
      </c>
      <c r="N4" s="873" t="s">
        <v>1168</v>
      </c>
      <c r="O4" s="873" t="s">
        <v>1169</v>
      </c>
    </row>
    <row r="5" spans="1:15" ht="38.25" x14ac:dyDescent="0.25">
      <c r="A5" s="870"/>
      <c r="B5" s="877"/>
      <c r="C5" s="694" t="s">
        <v>1170</v>
      </c>
      <c r="D5" s="694" t="s">
        <v>119</v>
      </c>
      <c r="E5" s="880"/>
      <c r="F5" s="880"/>
      <c r="G5" s="695" t="s">
        <v>1171</v>
      </c>
      <c r="H5" s="695" t="s">
        <v>1172</v>
      </c>
      <c r="I5" s="695" t="s">
        <v>1173</v>
      </c>
      <c r="J5" s="695" t="s">
        <v>1174</v>
      </c>
      <c r="K5" s="695" t="s">
        <v>9</v>
      </c>
      <c r="L5" s="695" t="s">
        <v>9</v>
      </c>
      <c r="M5" s="872"/>
      <c r="N5" s="874"/>
      <c r="O5" s="874"/>
    </row>
    <row r="6" spans="1:15" x14ac:dyDescent="0.25">
      <c r="A6" s="305">
        <v>1</v>
      </c>
      <c r="B6" s="310">
        <f>+SUBTOTAL(3,($C$6:$C6))</f>
        <v>1</v>
      </c>
      <c r="C6" s="310" t="s">
        <v>655</v>
      </c>
      <c r="D6" s="310" t="s">
        <v>445</v>
      </c>
      <c r="E6" s="311">
        <v>122</v>
      </c>
      <c r="F6" s="312">
        <v>45213</v>
      </c>
      <c r="G6" s="313" t="s">
        <v>586</v>
      </c>
      <c r="H6" s="314">
        <v>45555</v>
      </c>
      <c r="I6" s="315"/>
      <c r="J6" s="314">
        <v>45604</v>
      </c>
      <c r="K6" s="316" t="s">
        <v>1175</v>
      </c>
      <c r="L6" s="317"/>
      <c r="M6" s="318">
        <f>+SUM(N6:O6)</f>
        <v>1</v>
      </c>
      <c r="N6" s="310">
        <v>0</v>
      </c>
      <c r="O6" s="310">
        <v>1</v>
      </c>
    </row>
    <row r="7" spans="1:15" x14ac:dyDescent="0.25">
      <c r="A7" s="305">
        <v>1</v>
      </c>
      <c r="B7" s="310">
        <f>+SUBTOTAL(3,($C$6:$C7))</f>
        <v>2</v>
      </c>
      <c r="C7" s="310" t="s">
        <v>445</v>
      </c>
      <c r="D7" s="310" t="s">
        <v>627</v>
      </c>
      <c r="E7" s="311">
        <v>90</v>
      </c>
      <c r="F7" s="312">
        <v>45213</v>
      </c>
      <c r="G7" s="313" t="s">
        <v>586</v>
      </c>
      <c r="H7" s="314">
        <v>45555</v>
      </c>
      <c r="I7" s="315"/>
      <c r="J7" s="314">
        <v>45604</v>
      </c>
      <c r="K7" s="316" t="s">
        <v>1175</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1175</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1176</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1176</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1176</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1176</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1176</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1176</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1176</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1176</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1176</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1176</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1177</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1178</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1176</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1176</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1176</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1179</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1179</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1179</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1179</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1179</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1179</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1179</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1414</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1179</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1179</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1179</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1179</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1179</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1180</v>
      </c>
      <c r="L41" s="316" t="s">
        <v>1181</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1180</v>
      </c>
      <c r="L42" s="316" t="s">
        <v>1181</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1180</v>
      </c>
      <c r="L43" s="316" t="s">
        <v>1181</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1182</v>
      </c>
      <c r="L44" s="316" t="s">
        <v>1181</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1183</v>
      </c>
      <c r="K45" s="320" t="s">
        <v>1182</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1183</v>
      </c>
      <c r="K46" s="320" t="s">
        <v>1182</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1183</v>
      </c>
      <c r="K47" s="320" t="s">
        <v>1184</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1183</v>
      </c>
      <c r="K48" s="320" t="s">
        <v>1184</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1183</v>
      </c>
      <c r="K49" s="320" t="s">
        <v>1184</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1183</v>
      </c>
      <c r="K50" s="320" t="s">
        <v>1184</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1183</v>
      </c>
      <c r="K51" s="320" t="s">
        <v>1184</v>
      </c>
      <c r="L51" s="317"/>
      <c r="M51" s="318">
        <f t="shared" si="0"/>
        <v>5</v>
      </c>
      <c r="N51" s="310">
        <v>4</v>
      </c>
      <c r="O51" s="310">
        <v>1</v>
      </c>
    </row>
    <row r="52" spans="1:15" x14ac:dyDescent="0.25">
      <c r="A52" s="305">
        <v>1</v>
      </c>
      <c r="B52" s="310">
        <f>+SUBTOTAL(3,($C$6:$C52))</f>
        <v>47</v>
      </c>
      <c r="C52" s="310" t="s">
        <v>88</v>
      </c>
      <c r="D52" s="322" t="s">
        <v>666</v>
      </c>
      <c r="E52" s="311">
        <v>1138.5360000000001</v>
      </c>
      <c r="F52" s="312">
        <v>45213</v>
      </c>
      <c r="G52" s="310" t="s">
        <v>586</v>
      </c>
      <c r="H52" s="324">
        <v>45347</v>
      </c>
      <c r="I52" s="310"/>
      <c r="J52" s="324">
        <v>45637</v>
      </c>
      <c r="K52" s="320" t="s">
        <v>1290</v>
      </c>
      <c r="L52" s="317"/>
      <c r="M52" s="318">
        <f t="shared" si="0"/>
        <v>3</v>
      </c>
      <c r="N52" s="310">
        <v>2</v>
      </c>
      <c r="O52" s="310">
        <v>1</v>
      </c>
    </row>
    <row r="53" spans="1:15" x14ac:dyDescent="0.25">
      <c r="A53" s="305">
        <v>1</v>
      </c>
      <c r="B53" s="310">
        <f>+SUBTOTAL(3,($C$6:$C53))</f>
        <v>48</v>
      </c>
      <c r="C53" s="310" t="s">
        <v>666</v>
      </c>
      <c r="D53" s="322" t="s">
        <v>535</v>
      </c>
      <c r="E53" s="311">
        <v>594.05899999999997</v>
      </c>
      <c r="F53" s="312">
        <v>45213</v>
      </c>
      <c r="G53" s="310" t="s">
        <v>586</v>
      </c>
      <c r="H53" s="324">
        <v>45347</v>
      </c>
      <c r="I53" s="310"/>
      <c r="J53" s="324">
        <v>45637</v>
      </c>
      <c r="K53" s="320" t="s">
        <v>1290</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1185</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1185</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1186</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1186</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1186</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1186</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1186</v>
      </c>
      <c r="L60" s="317"/>
      <c r="M60" s="318">
        <f t="shared" si="0"/>
        <v>7</v>
      </c>
      <c r="N60" s="310">
        <v>6</v>
      </c>
      <c r="O60" s="310">
        <v>1</v>
      </c>
    </row>
    <row r="61" spans="1:15" x14ac:dyDescent="0.25">
      <c r="A61" s="305">
        <v>1</v>
      </c>
      <c r="B61" s="310">
        <f>+SUBTOTAL(3,($C$6:$C61))</f>
        <v>56</v>
      </c>
      <c r="C61" s="310" t="s">
        <v>565</v>
      </c>
      <c r="D61" s="310" t="s">
        <v>667</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667</v>
      </c>
      <c r="D62" s="310" t="s">
        <v>670</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670</v>
      </c>
      <c r="D63" s="310" t="s">
        <v>675</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675</v>
      </c>
      <c r="D64" s="310" t="s">
        <v>679</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679</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691</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691</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710</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710</v>
      </c>
      <c r="D71" s="310" t="s">
        <v>713</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713</v>
      </c>
      <c r="D72" s="310" t="s">
        <v>724</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724</v>
      </c>
      <c r="D73" s="310" t="s">
        <v>733</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733</v>
      </c>
      <c r="D74" s="310" t="s">
        <v>739</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739</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760</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760</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809</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809</v>
      </c>
      <c r="D85" s="310" t="s">
        <v>821</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821</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1187</v>
      </c>
      <c r="L91" s="317"/>
      <c r="M91" s="318">
        <f t="shared" si="1"/>
        <v>12</v>
      </c>
      <c r="N91" s="310">
        <v>11</v>
      </c>
      <c r="O91" s="310">
        <v>1</v>
      </c>
    </row>
    <row r="92" spans="1:15" x14ac:dyDescent="0.25">
      <c r="A92" s="305">
        <v>2</v>
      </c>
      <c r="B92" s="310">
        <f>+SUBTOTAL(3,($C$6:$C92))</f>
        <v>87</v>
      </c>
      <c r="C92" s="310" t="s">
        <v>106</v>
      </c>
      <c r="D92" s="310" t="s">
        <v>853</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853</v>
      </c>
      <c r="D93" s="310" t="s">
        <v>856</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856</v>
      </c>
      <c r="D94" s="310" t="s">
        <v>866</v>
      </c>
      <c r="E94" s="323">
        <v>3788.2000000000003</v>
      </c>
      <c r="F94" s="310"/>
      <c r="G94" s="323" t="s">
        <v>586</v>
      </c>
      <c r="H94" s="324">
        <v>45524</v>
      </c>
      <c r="I94" s="310"/>
      <c r="J94" s="324">
        <v>45531</v>
      </c>
      <c r="K94" s="316" t="s">
        <v>1188</v>
      </c>
      <c r="L94" s="317"/>
      <c r="M94" s="318">
        <f t="shared" si="1"/>
        <v>10</v>
      </c>
      <c r="N94" s="310">
        <v>9</v>
      </c>
      <c r="O94" s="310">
        <v>1</v>
      </c>
    </row>
    <row r="95" spans="1:15" x14ac:dyDescent="0.25">
      <c r="B95" s="875" t="s">
        <v>1189</v>
      </c>
      <c r="C95" s="875"/>
      <c r="D95" s="875"/>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503"/>
  <sheetViews>
    <sheetView zoomScaleNormal="90" workbookViewId="0">
      <pane ySplit="6" topLeftCell="A486" activePane="bottomLeft" state="frozen"/>
      <selection activeCell="N8" sqref="N8"/>
      <selection pane="bottomLeft" activeCell="J499" sqref="J499"/>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44.85546875" style="34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1264</v>
      </c>
    </row>
    <row r="2" spans="1:103" x14ac:dyDescent="0.2">
      <c r="A2" s="342" t="s">
        <v>1230</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2" t="s">
        <v>303</v>
      </c>
      <c r="B5" s="894" t="s">
        <v>1008</v>
      </c>
      <c r="C5" s="892" t="s">
        <v>115</v>
      </c>
      <c r="D5" s="892" t="s">
        <v>4</v>
      </c>
      <c r="E5" s="892" t="s">
        <v>135</v>
      </c>
      <c r="F5" s="888" t="s">
        <v>1397</v>
      </c>
      <c r="G5" s="890" t="s">
        <v>116</v>
      </c>
      <c r="H5" s="886" t="s">
        <v>137</v>
      </c>
      <c r="I5" s="884" t="s">
        <v>1006</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3"/>
      <c r="B6" s="895"/>
      <c r="C6" s="893"/>
      <c r="D6" s="893"/>
      <c r="E6" s="893"/>
      <c r="F6" s="889"/>
      <c r="G6" s="891"/>
      <c r="H6" s="887"/>
      <c r="I6" s="885"/>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782</v>
      </c>
      <c r="D9" s="344" t="str">
        <f>+VLOOKUP(C9,'Visual chart Edit'!$B$7:$C$491,2,FALSE)</f>
        <v>DA+6</v>
      </c>
      <c r="E9" s="344" t="s">
        <v>276</v>
      </c>
      <c r="F9" s="552">
        <v>45273</v>
      </c>
      <c r="G9" s="552">
        <v>45274</v>
      </c>
      <c r="H9" s="553" t="s">
        <v>875</v>
      </c>
      <c r="I9" s="554" t="s">
        <v>1025</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1009</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795</v>
      </c>
      <c r="D11" s="344" t="str">
        <f>+VLOOKUP(C11,'Visual chart Edit'!$B$7:$C$491,2,FALSE)</f>
        <v>DA+3</v>
      </c>
      <c r="E11" s="344" t="s">
        <v>276</v>
      </c>
      <c r="F11" s="552">
        <v>45276</v>
      </c>
      <c r="G11" s="552">
        <v>45278</v>
      </c>
      <c r="H11" s="553" t="s">
        <v>236</v>
      </c>
      <c r="I11" s="554" t="s">
        <v>1007</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766</v>
      </c>
      <c r="D12" s="344" t="str">
        <f>+VLOOKUP(C12,'Visual chart Edit'!$B$7:$C$491,2,FALSE)</f>
        <v>DA+6</v>
      </c>
      <c r="E12" s="344" t="s">
        <v>276</v>
      </c>
      <c r="F12" s="552">
        <v>45277</v>
      </c>
      <c r="G12" s="552">
        <v>45278</v>
      </c>
      <c r="H12" s="553" t="s">
        <v>875</v>
      </c>
      <c r="I12" s="554" t="s">
        <v>1025</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796</v>
      </c>
      <c r="D13" s="344" t="str">
        <f>+VLOOKUP(C13,'Visual chart Edit'!$B$7:$C$491,2,FALSE)</f>
        <v>DA+3</v>
      </c>
      <c r="E13" s="344" t="s">
        <v>276</v>
      </c>
      <c r="F13" s="552">
        <v>45279</v>
      </c>
      <c r="G13" s="552">
        <v>45281</v>
      </c>
      <c r="H13" s="553" t="s">
        <v>236</v>
      </c>
      <c r="I13" s="554" t="s">
        <v>1007</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765</v>
      </c>
      <c r="D14" s="344" t="str">
        <f>+VLOOKUP(C14,'Visual chart Edit'!$B$7:$C$491,2,FALSE)</f>
        <v>DA+3</v>
      </c>
      <c r="E14" s="344" t="s">
        <v>276</v>
      </c>
      <c r="F14" s="552">
        <v>45281</v>
      </c>
      <c r="G14" s="552">
        <v>45281</v>
      </c>
      <c r="H14" s="553" t="s">
        <v>875</v>
      </c>
      <c r="I14" s="554" t="s">
        <v>1025</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1009</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808</v>
      </c>
      <c r="D16" s="344" t="str">
        <f>+VLOOKUP(C16,'Visual chart Edit'!$B$7:$C$491,2,FALSE)</f>
        <v>DA+3</v>
      </c>
      <c r="E16" s="344" t="s">
        <v>276</v>
      </c>
      <c r="F16" s="552">
        <v>45282</v>
      </c>
      <c r="G16" s="552">
        <v>45284</v>
      </c>
      <c r="H16" s="553" t="s">
        <v>876</v>
      </c>
      <c r="I16" s="554" t="s">
        <v>1007</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762</v>
      </c>
      <c r="D17" s="344" t="str">
        <f>+VLOOKUP(C17,'Visual chart Edit'!$B$7:$C$491,2,FALSE)</f>
        <v>DA+0</v>
      </c>
      <c r="E17" s="344" t="s">
        <v>276</v>
      </c>
      <c r="F17" s="552">
        <v>45283</v>
      </c>
      <c r="G17" s="552">
        <v>45284</v>
      </c>
      <c r="H17" s="553" t="s">
        <v>875</v>
      </c>
      <c r="I17" s="554" t="s">
        <v>1025</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794</v>
      </c>
      <c r="D18" s="344" t="str">
        <f>+VLOOKUP(C18,'Visual chart Edit'!$B$7:$C$491,2,FALSE)</f>
        <v>DA+0</v>
      </c>
      <c r="E18" s="344" t="s">
        <v>276</v>
      </c>
      <c r="F18" s="552">
        <v>45282</v>
      </c>
      <c r="G18" s="552">
        <v>45285</v>
      </c>
      <c r="H18" s="553" t="s">
        <v>236</v>
      </c>
      <c r="I18" s="554" t="s">
        <v>1007</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761</v>
      </c>
      <c r="D19" s="344" t="str">
        <f>+VLOOKUP(C19,'Visual chart Edit'!$B$7:$C$491,2,FALSE)</f>
        <v>DA+3</v>
      </c>
      <c r="E19" s="344" t="s">
        <v>276</v>
      </c>
      <c r="F19" s="552">
        <v>45285</v>
      </c>
      <c r="G19" s="552">
        <v>45286</v>
      </c>
      <c r="H19" s="553" t="s">
        <v>875</v>
      </c>
      <c r="I19" s="554" t="s">
        <v>1025</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777</v>
      </c>
      <c r="D20" s="344" t="str">
        <f>+VLOOKUP(C20,'Visual chart Edit'!$B$7:$C$491,2,FALSE)</f>
        <v>DA+3</v>
      </c>
      <c r="E20" s="344" t="s">
        <v>276</v>
      </c>
      <c r="F20" s="552">
        <v>45286</v>
      </c>
      <c r="G20" s="552">
        <v>45287</v>
      </c>
      <c r="H20" s="553" t="s">
        <v>877</v>
      </c>
      <c r="I20" s="554" t="s">
        <v>660</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793</v>
      </c>
      <c r="D21" s="344" t="str">
        <f>+VLOOKUP(C21,'Visual chart Edit'!$B$7:$C$491,2,FALSE)</f>
        <v>DA+3</v>
      </c>
      <c r="E21" s="344" t="s">
        <v>276</v>
      </c>
      <c r="F21" s="552">
        <v>45286</v>
      </c>
      <c r="G21" s="552">
        <v>45288</v>
      </c>
      <c r="H21" s="553" t="s">
        <v>236</v>
      </c>
      <c r="I21" s="554" t="s">
        <v>1007</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760</v>
      </c>
      <c r="D22" s="344" t="str">
        <f>+VLOOKUP(C22,'Visual chart Edit'!$B$7:$C$491,2,FALSE)</f>
        <v>DB1+3</v>
      </c>
      <c r="E22" s="344" t="s">
        <v>276</v>
      </c>
      <c r="F22" s="552">
        <v>45287</v>
      </c>
      <c r="G22" s="552">
        <v>45288</v>
      </c>
      <c r="H22" s="553" t="s">
        <v>875</v>
      </c>
      <c r="I22" s="554" t="s">
        <v>660</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758</v>
      </c>
      <c r="D24" s="344" t="str">
        <f>+VLOOKUP(C24,'Visual chart Edit'!$B$7:$C$491,2,FALSE)</f>
        <v>DA+3</v>
      </c>
      <c r="E24" s="344" t="s">
        <v>32</v>
      </c>
      <c r="F24" s="552">
        <v>45287</v>
      </c>
      <c r="G24" s="552">
        <v>45289</v>
      </c>
      <c r="H24" s="553" t="s">
        <v>1010</v>
      </c>
      <c r="I24" s="554" t="s">
        <v>1007</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806</v>
      </c>
      <c r="D25" s="344" t="str">
        <f>+VLOOKUP(C25,'Visual chart Edit'!$B$7:$C$491,2,FALSE)</f>
        <v>DA+3</v>
      </c>
      <c r="E25" s="344" t="s">
        <v>276</v>
      </c>
      <c r="F25" s="552">
        <v>45287</v>
      </c>
      <c r="G25" s="552">
        <v>45289</v>
      </c>
      <c r="H25" s="553" t="s">
        <v>876</v>
      </c>
      <c r="I25" s="554" t="s">
        <v>1007</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776</v>
      </c>
      <c r="D26" s="344" t="str">
        <f>+VLOOKUP(C26,'Visual chart Edit'!$B$7:$C$491,2,FALSE)</f>
        <v>DA+0</v>
      </c>
      <c r="E26" s="344" t="s">
        <v>276</v>
      </c>
      <c r="F26" s="552">
        <v>45286</v>
      </c>
      <c r="G26" s="552">
        <v>45289</v>
      </c>
      <c r="H26" s="553" t="s">
        <v>877</v>
      </c>
      <c r="I26" s="554" t="s">
        <v>660</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1009</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759</v>
      </c>
      <c r="D28" s="344" t="str">
        <f>+VLOOKUP(C28,'Visual chart Edit'!$B$7:$C$491,2,FALSE)</f>
        <v>DA+3</v>
      </c>
      <c r="E28" s="344" t="s">
        <v>276</v>
      </c>
      <c r="F28" s="552">
        <v>45289</v>
      </c>
      <c r="G28" s="552">
        <v>45290</v>
      </c>
      <c r="H28" s="553" t="s">
        <v>875</v>
      </c>
      <c r="I28" s="554" t="s">
        <v>1025</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757</v>
      </c>
      <c r="D29" s="344" t="str">
        <f>+VLOOKUP(C29,'Visual chart Edit'!$B$7:$C$491,2,FALSE)</f>
        <v>DA+3</v>
      </c>
      <c r="E29" s="344" t="s">
        <v>32</v>
      </c>
      <c r="F29" s="552">
        <v>45285</v>
      </c>
      <c r="G29" s="552">
        <v>45291</v>
      </c>
      <c r="H29" s="553" t="s">
        <v>1010</v>
      </c>
      <c r="I29" s="554" t="s">
        <v>1025</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792</v>
      </c>
      <c r="D30" s="344" t="str">
        <f>+VLOOKUP(C30,'Visual chart Edit'!$B$7:$C$491,2,FALSE)</f>
        <v>DA+0</v>
      </c>
      <c r="E30" s="344" t="s">
        <v>276</v>
      </c>
      <c r="F30" s="552">
        <v>45290</v>
      </c>
      <c r="G30" s="552">
        <v>45291</v>
      </c>
      <c r="H30" s="553" t="s">
        <v>236</v>
      </c>
      <c r="I30" s="554" t="s">
        <v>1007</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764</v>
      </c>
      <c r="D31" s="344" t="str">
        <f>+VLOOKUP(C31,'Visual chart Edit'!$B$7:$C$491,2,FALSE)</f>
        <v>DA+6</v>
      </c>
      <c r="E31" s="344" t="s">
        <v>32</v>
      </c>
      <c r="F31" s="552">
        <v>45295</v>
      </c>
      <c r="G31" s="552">
        <v>45296</v>
      </c>
      <c r="H31" s="553" t="s">
        <v>875</v>
      </c>
      <c r="I31" s="554" t="s">
        <v>1025</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775</v>
      </c>
      <c r="D32" s="344" t="str">
        <f>+VLOOKUP(C32,'Visual chart Edit'!$B$7:$C$491,2,FALSE)</f>
        <v>DA+3</v>
      </c>
      <c r="E32" s="344" t="s">
        <v>276</v>
      </c>
      <c r="F32" s="552">
        <v>45292</v>
      </c>
      <c r="G32" s="552">
        <v>45296</v>
      </c>
      <c r="H32" s="553" t="s">
        <v>877</v>
      </c>
      <c r="I32" s="554" t="s">
        <v>1025</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791</v>
      </c>
      <c r="D33" s="344" t="str">
        <f>+VLOOKUP(C33,'Visual chart Edit'!$B$7:$C$491,2,FALSE)</f>
        <v>DA+3</v>
      </c>
      <c r="E33" s="344" t="s">
        <v>276</v>
      </c>
      <c r="F33" s="552">
        <v>45293</v>
      </c>
      <c r="G33" s="552">
        <v>45296</v>
      </c>
      <c r="H33" s="553" t="s">
        <v>236</v>
      </c>
      <c r="I33" s="554" t="s">
        <v>1007</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1010</v>
      </c>
      <c r="I34" s="554" t="s">
        <v>1025</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809</v>
      </c>
      <c r="D35" s="344" t="str">
        <f>+VLOOKUP(C35,'Visual chart Edit'!$B$7:$C$491,2,FALSE)</f>
        <v>DB2+0</v>
      </c>
      <c r="E35" s="344" t="s">
        <v>276</v>
      </c>
      <c r="F35" s="552">
        <v>45295</v>
      </c>
      <c r="G35" s="552">
        <v>45299</v>
      </c>
      <c r="H35" s="553" t="s">
        <v>876</v>
      </c>
      <c r="I35" s="554" t="s">
        <v>1007</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750</v>
      </c>
      <c r="D36" s="344" t="str">
        <f>+VLOOKUP(C36,'Visual chart Edit'!$B$7:$C$491,2,FALSE)</f>
        <v>DA+0</v>
      </c>
      <c r="E36" s="344" t="s">
        <v>276</v>
      </c>
      <c r="F36" s="552">
        <v>45297</v>
      </c>
      <c r="G36" s="552">
        <v>45299</v>
      </c>
      <c r="H36" s="553" t="s">
        <v>1010</v>
      </c>
      <c r="I36" s="554" t="s">
        <v>1025</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773</v>
      </c>
      <c r="D37" s="344" t="str">
        <f>+VLOOKUP(C37,'Visual chart Edit'!$B$7:$C$491,2,FALSE)</f>
        <v>DA+3</v>
      </c>
      <c r="E37" s="344" t="s">
        <v>276</v>
      </c>
      <c r="F37" s="552">
        <v>45299</v>
      </c>
      <c r="G37" s="552">
        <v>45300</v>
      </c>
      <c r="H37" s="553" t="s">
        <v>875</v>
      </c>
      <c r="I37" s="554" t="s">
        <v>1025</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800</v>
      </c>
      <c r="D38" s="344" t="str">
        <f>+VLOOKUP(C38,'Visual chart Edit'!$B$7:$C$491,2,FALSE)</f>
        <v>DA+3</v>
      </c>
      <c r="E38" s="344" t="s">
        <v>276</v>
      </c>
      <c r="F38" s="552">
        <v>45300</v>
      </c>
      <c r="G38" s="552">
        <v>45301</v>
      </c>
      <c r="H38" s="553" t="s">
        <v>236</v>
      </c>
      <c r="I38" s="554" t="s">
        <v>1007</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823</v>
      </c>
      <c r="D39" s="344" t="str">
        <f>+VLOOKUP(C39,'Visual chart Edit'!$B$7:$C$491,2,FALSE)</f>
        <v>DA+0</v>
      </c>
      <c r="E39" s="344" t="s">
        <v>276</v>
      </c>
      <c r="F39" s="552">
        <v>45299</v>
      </c>
      <c r="G39" s="552">
        <v>45301</v>
      </c>
      <c r="H39" s="553" t="s">
        <v>878</v>
      </c>
      <c r="I39" s="554" t="s">
        <v>1007</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830</v>
      </c>
      <c r="D40" s="344" t="str">
        <f>+VLOOKUP(C40,'Visual chart Edit'!$B$7:$C$491,2,FALSE)</f>
        <v>DA+0</v>
      </c>
      <c r="E40" s="344" t="s">
        <v>276</v>
      </c>
      <c r="F40" s="552">
        <v>45300</v>
      </c>
      <c r="G40" s="552">
        <v>45301</v>
      </c>
      <c r="H40" s="553" t="s">
        <v>879</v>
      </c>
      <c r="I40" s="554" t="s">
        <v>1007</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774</v>
      </c>
      <c r="D41" s="344" t="str">
        <f>+VLOOKUP(C41,'Visual chart Edit'!$B$7:$C$491,2,FALSE)</f>
        <v>DA+0</v>
      </c>
      <c r="E41" s="344" t="s">
        <v>276</v>
      </c>
      <c r="F41" s="552">
        <v>45301</v>
      </c>
      <c r="G41" s="552">
        <v>45302</v>
      </c>
      <c r="H41" s="553" t="s">
        <v>875</v>
      </c>
      <c r="I41" s="554" t="s">
        <v>1025</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749</v>
      </c>
      <c r="D42" s="344" t="str">
        <f>+VLOOKUP(C42,'Visual chart Edit'!$B$7:$C$491,2,FALSE)</f>
        <v>DA+3</v>
      </c>
      <c r="E42" s="344" t="s">
        <v>276</v>
      </c>
      <c r="F42" s="552">
        <v>45300</v>
      </c>
      <c r="G42" s="552">
        <v>45302</v>
      </c>
      <c r="H42" s="553" t="s">
        <v>1010</v>
      </c>
      <c r="I42" s="554" t="s">
        <v>1025</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799</v>
      </c>
      <c r="D43" s="344" t="str">
        <f>+VLOOKUP(C43,'Visual chart Edit'!$B$7:$C$491,2,FALSE)</f>
        <v>DA+0</v>
      </c>
      <c r="E43" s="344" t="s">
        <v>32</v>
      </c>
      <c r="F43" s="552">
        <v>45302</v>
      </c>
      <c r="G43" s="552">
        <v>45304</v>
      </c>
      <c r="H43" s="553" t="s">
        <v>236</v>
      </c>
      <c r="I43" s="554" t="s">
        <v>1007</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828</v>
      </c>
      <c r="D44" s="344" t="str">
        <f>+VLOOKUP(C44,'Visual chart Edit'!$B$7:$C$491,2,FALSE)</f>
        <v>DA+0</v>
      </c>
      <c r="E44" s="344" t="s">
        <v>276</v>
      </c>
      <c r="F44" s="552">
        <v>45302</v>
      </c>
      <c r="G44" s="552">
        <v>45304</v>
      </c>
      <c r="H44" s="553" t="s">
        <v>879</v>
      </c>
      <c r="I44" s="554" t="s">
        <v>1007</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751</v>
      </c>
      <c r="D45" s="344" t="str">
        <f>+VLOOKUP(C45,'Visual chart Edit'!$B$7:$C$491,2,FALSE)</f>
        <v>DA+0</v>
      </c>
      <c r="E45" s="344" t="s">
        <v>143</v>
      </c>
      <c r="F45" s="552">
        <v>45303</v>
      </c>
      <c r="G45" s="552">
        <v>45305</v>
      </c>
      <c r="H45" s="553" t="s">
        <v>1010</v>
      </c>
      <c r="I45" s="554" t="s">
        <v>1025</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813</v>
      </c>
      <c r="D46" s="344" t="str">
        <f>+VLOOKUP(C46,'Visual chart Edit'!$B$7:$C$491,2,FALSE)</f>
        <v>DA+3</v>
      </c>
      <c r="E46" s="344" t="s">
        <v>276</v>
      </c>
      <c r="F46" s="552">
        <v>45304</v>
      </c>
      <c r="G46" s="552">
        <v>45305</v>
      </c>
      <c r="H46" s="553" t="s">
        <v>876</v>
      </c>
      <c r="I46" s="554" t="s">
        <v>1007</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824</v>
      </c>
      <c r="D47" s="344" t="str">
        <f>+VLOOKUP(C47,'Visual chart Edit'!$B$7:$C$491,2,FALSE)</f>
        <v>DA+3</v>
      </c>
      <c r="E47" s="344" t="s">
        <v>276</v>
      </c>
      <c r="F47" s="552">
        <v>45304</v>
      </c>
      <c r="G47" s="552">
        <v>45306</v>
      </c>
      <c r="H47" s="553" t="s">
        <v>878</v>
      </c>
      <c r="I47" s="554" t="s">
        <v>1007</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742</v>
      </c>
      <c r="D48" s="344" t="str">
        <f>+VLOOKUP(C48,'Visual chart Edit'!$B$7:$C$491,2,FALSE)</f>
        <v>DA+0</v>
      </c>
      <c r="E48" s="344" t="s">
        <v>143</v>
      </c>
      <c r="F48" s="552">
        <v>45300</v>
      </c>
      <c r="G48" s="552">
        <v>45306</v>
      </c>
      <c r="H48" s="553" t="s">
        <v>877</v>
      </c>
      <c r="I48" s="554" t="s">
        <v>1025</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778</v>
      </c>
      <c r="D49" s="344" t="str">
        <f>+VLOOKUP(C49,'Visual chart Edit'!$B$7:$C$491,2,FALSE)</f>
        <v>DA+0</v>
      </c>
      <c r="E49" s="344" t="s">
        <v>32</v>
      </c>
      <c r="F49" s="552">
        <v>45305</v>
      </c>
      <c r="G49" s="552">
        <v>45306</v>
      </c>
      <c r="H49" s="553" t="s">
        <v>875</v>
      </c>
      <c r="I49" s="554" t="s">
        <v>1025</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797</v>
      </c>
      <c r="D50" s="344" t="str">
        <f>+VLOOKUP(C50,'Visual chart Edit'!$B$7:$C$491,2,FALSE)</f>
        <v>DA+0</v>
      </c>
      <c r="E50" s="344" t="s">
        <v>32</v>
      </c>
      <c r="F50" s="552">
        <v>45306</v>
      </c>
      <c r="G50" s="552">
        <v>45307</v>
      </c>
      <c r="H50" s="553" t="s">
        <v>236</v>
      </c>
      <c r="I50" s="554" t="s">
        <v>1007</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743</v>
      </c>
      <c r="D51" s="344" t="str">
        <f>+VLOOKUP(C51,'Visual chart Edit'!$B$7:$C$491,2,FALSE)</f>
        <v>DA+0</v>
      </c>
      <c r="E51" s="344" t="s">
        <v>143</v>
      </c>
      <c r="F51" s="552">
        <v>45303</v>
      </c>
      <c r="G51" s="552">
        <v>45308</v>
      </c>
      <c r="H51" s="553" t="s">
        <v>877</v>
      </c>
      <c r="I51" s="554" t="s">
        <v>1025</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752</v>
      </c>
      <c r="D52" s="344" t="str">
        <f>+VLOOKUP(C52,'Visual chart Edit'!$B$7:$C$491,2,FALSE)</f>
        <v>DA+3</v>
      </c>
      <c r="E52" s="344" t="s">
        <v>143</v>
      </c>
      <c r="F52" s="552">
        <v>45305</v>
      </c>
      <c r="G52" s="552">
        <v>45308</v>
      </c>
      <c r="H52" s="553" t="s">
        <v>1010</v>
      </c>
      <c r="I52" s="554" t="s">
        <v>1025</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810</v>
      </c>
      <c r="D54" s="344" t="str">
        <f>+VLOOKUP(C54,'Visual chart Edit'!$B$7:$C$491,2,FALSE)</f>
        <v>DA+0</v>
      </c>
      <c r="E54" s="344" t="s">
        <v>276</v>
      </c>
      <c r="F54" s="552">
        <v>45301</v>
      </c>
      <c r="G54" s="552">
        <v>45309</v>
      </c>
      <c r="H54" s="553" t="s">
        <v>876</v>
      </c>
      <c r="I54" s="554" t="s">
        <v>1007</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814</v>
      </c>
      <c r="D55" s="344" t="str">
        <f>+VLOOKUP(C55,'Visual chart Edit'!$B$7:$C$491,2,FALSE)</f>
        <v>DA+3</v>
      </c>
      <c r="E55" s="344" t="s">
        <v>276</v>
      </c>
      <c r="F55" s="552">
        <v>45307</v>
      </c>
      <c r="G55" s="552">
        <v>45309</v>
      </c>
      <c r="H55" s="553" t="s">
        <v>876</v>
      </c>
      <c r="I55" s="554" t="s">
        <v>1007</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827</v>
      </c>
      <c r="D56" s="344" t="str">
        <f>+VLOOKUP(C56,'Visual chart Edit'!$B$7:$C$491,2,FALSE)</f>
        <v>DA+0</v>
      </c>
      <c r="E56" s="344" t="s">
        <v>276</v>
      </c>
      <c r="F56" s="552">
        <v>45307</v>
      </c>
      <c r="G56" s="552">
        <v>45309</v>
      </c>
      <c r="H56" s="553" t="s">
        <v>879</v>
      </c>
      <c r="I56" s="554" t="s">
        <v>1007</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875</v>
      </c>
      <c r="I57" s="554" t="s">
        <v>1025</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798</v>
      </c>
      <c r="D58" s="344" t="str">
        <f>+VLOOKUP(C58,'Visual chart Edit'!$B$7:$C$491,2,FALSE)</f>
        <v>DA+3</v>
      </c>
      <c r="E58" s="344" t="s">
        <v>32</v>
      </c>
      <c r="F58" s="552">
        <v>45309</v>
      </c>
      <c r="G58" s="552">
        <v>45310</v>
      </c>
      <c r="H58" s="553" t="s">
        <v>236</v>
      </c>
      <c r="I58" s="554" t="s">
        <v>1007</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826</v>
      </c>
      <c r="D59" s="344" t="str">
        <f>+VLOOKUP(C59,'Visual chart Edit'!$B$7:$C$491,2,FALSE)</f>
        <v>DA+0</v>
      </c>
      <c r="E59" s="344" t="s">
        <v>276</v>
      </c>
      <c r="F59" s="552">
        <v>45311</v>
      </c>
      <c r="G59" s="552">
        <v>45312</v>
      </c>
      <c r="H59" s="553" t="s">
        <v>879</v>
      </c>
      <c r="I59" s="554" t="s">
        <v>1007</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811</v>
      </c>
      <c r="D60" s="344" t="str">
        <f>+VLOOKUP(C60,'Visual chart Edit'!$B$7:$C$491,2,FALSE)</f>
        <v>DA+3</v>
      </c>
      <c r="E60" s="344" t="s">
        <v>276</v>
      </c>
      <c r="F60" s="552">
        <v>45311</v>
      </c>
      <c r="G60" s="552">
        <v>45312</v>
      </c>
      <c r="H60" s="553" t="s">
        <v>876</v>
      </c>
      <c r="I60" s="554" t="s">
        <v>1007</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753</v>
      </c>
      <c r="D61" s="344" t="str">
        <f>+VLOOKUP(C61,'Visual chart Edit'!$B$7:$C$491,2,FALSE)</f>
        <v>DA+3</v>
      </c>
      <c r="E61" s="344" t="s">
        <v>143</v>
      </c>
      <c r="F61" s="552">
        <v>45309</v>
      </c>
      <c r="G61" s="552">
        <v>45312</v>
      </c>
      <c r="H61" s="553" t="s">
        <v>1010</v>
      </c>
      <c r="I61" s="554" t="s">
        <v>1025</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801</v>
      </c>
      <c r="D62" s="344" t="str">
        <f>+VLOOKUP(C62,'Visual chart Edit'!$B$7:$C$491,2,FALSE)</f>
        <v>DA+3</v>
      </c>
      <c r="E62" s="344" t="s">
        <v>32</v>
      </c>
      <c r="F62" s="552">
        <v>45312</v>
      </c>
      <c r="G62" s="552">
        <v>45314</v>
      </c>
      <c r="H62" s="553" t="s">
        <v>236</v>
      </c>
      <c r="I62" s="554" t="s">
        <v>1007</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818</v>
      </c>
      <c r="D63" s="344" t="str">
        <f>+VLOOKUP(C63,'Visual chart Edit'!$B$7:$C$491,2,FALSE)</f>
        <v>DA+3</v>
      </c>
      <c r="E63" s="344" t="s">
        <v>276</v>
      </c>
      <c r="F63" s="552">
        <v>45313</v>
      </c>
      <c r="G63" s="552">
        <v>45315</v>
      </c>
      <c r="H63" s="553" t="s">
        <v>878</v>
      </c>
      <c r="I63" s="554" t="s">
        <v>1007</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779</v>
      </c>
      <c r="D64" s="344" t="str">
        <f>+VLOOKUP(C64,'Visual chart Edit'!$B$7:$C$491,2,FALSE)</f>
        <v>DA+3</v>
      </c>
      <c r="E64" s="344" t="s">
        <v>276</v>
      </c>
      <c r="F64" s="552">
        <v>45314</v>
      </c>
      <c r="G64" s="552">
        <v>45315</v>
      </c>
      <c r="H64" s="553" t="s">
        <v>875</v>
      </c>
      <c r="I64" s="554" t="s">
        <v>1025</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825</v>
      </c>
      <c r="D65" s="344" t="str">
        <f>+VLOOKUP(C65,'Visual chart Edit'!$B$7:$C$491,2,FALSE)</f>
        <v>DA+0</v>
      </c>
      <c r="E65" s="344" t="s">
        <v>276</v>
      </c>
      <c r="F65" s="552">
        <v>45314</v>
      </c>
      <c r="G65" s="552">
        <v>45315</v>
      </c>
      <c r="H65" s="553" t="s">
        <v>879</v>
      </c>
      <c r="I65" s="554" t="s">
        <v>1007</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807</v>
      </c>
      <c r="D66" s="344" t="str">
        <f>+VLOOKUP(C66,'Visual chart Edit'!$B$7:$C$491,2,FALSE)</f>
        <v>DA+3</v>
      </c>
      <c r="E66" s="344" t="s">
        <v>276</v>
      </c>
      <c r="F66" s="552">
        <v>45315</v>
      </c>
      <c r="G66" s="552">
        <v>45316</v>
      </c>
      <c r="H66" s="553" t="s">
        <v>876</v>
      </c>
      <c r="I66" s="554" t="s">
        <v>1007</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744</v>
      </c>
      <c r="D67" s="344" t="str">
        <f>+VLOOKUP(C67,'Visual chart Edit'!$B$7:$C$491,2,FALSE)</f>
        <v>DA+0</v>
      </c>
      <c r="E67" s="344" t="s">
        <v>143</v>
      </c>
      <c r="F67" s="552">
        <v>45308</v>
      </c>
      <c r="G67" s="552">
        <v>45316</v>
      </c>
      <c r="H67" s="553" t="s">
        <v>877</v>
      </c>
      <c r="I67" s="554" t="s">
        <v>1025</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745</v>
      </c>
      <c r="D68" s="344" t="str">
        <f>+VLOOKUP(C68,'Visual chart Edit'!$B$7:$C$491,2,FALSE)</f>
        <v>DA+0</v>
      </c>
      <c r="E68" s="344" t="s">
        <v>143</v>
      </c>
      <c r="F68" s="552">
        <v>45311</v>
      </c>
      <c r="G68" s="552">
        <v>45316</v>
      </c>
      <c r="H68" s="553" t="s">
        <v>877</v>
      </c>
      <c r="I68" s="554" t="s">
        <v>1025</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802</v>
      </c>
      <c r="D69" s="344" t="str">
        <f>+VLOOKUP(C69,'Visual chart Edit'!$B$7:$C$491,2,FALSE)</f>
        <v>DA+0</v>
      </c>
      <c r="E69" s="344" t="s">
        <v>32</v>
      </c>
      <c r="F69" s="552">
        <v>45315</v>
      </c>
      <c r="G69" s="552">
        <v>45316</v>
      </c>
      <c r="H69" s="553" t="s">
        <v>236</v>
      </c>
      <c r="I69" s="554" t="s">
        <v>1007</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1009</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780</v>
      </c>
      <c r="D71" s="344" t="str">
        <f>+VLOOKUP(C71,'Visual chart Edit'!$B$7:$C$491,2,FALSE)</f>
        <v>DA+6</v>
      </c>
      <c r="E71" s="344" t="s">
        <v>32</v>
      </c>
      <c r="F71" s="552">
        <v>45318</v>
      </c>
      <c r="G71" s="552">
        <v>45319</v>
      </c>
      <c r="H71" s="553" t="s">
        <v>875</v>
      </c>
      <c r="I71" s="554" t="s">
        <v>1025</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746</v>
      </c>
      <c r="D72" s="344" t="str">
        <f>+VLOOKUP(C72,'Visual chart Edit'!$B$7:$C$491,2,FALSE)</f>
        <v>DA+0</v>
      </c>
      <c r="E72" s="344" t="s">
        <v>143</v>
      </c>
      <c r="F72" s="552">
        <v>45318</v>
      </c>
      <c r="G72" s="552">
        <v>45320</v>
      </c>
      <c r="H72" s="553" t="s">
        <v>877</v>
      </c>
      <c r="I72" s="554" t="s">
        <v>1025</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812</v>
      </c>
      <c r="D73" s="344" t="str">
        <f>+VLOOKUP(C73,'Visual chart Edit'!$B$7:$C$491,2,FALSE)</f>
        <v>DA+0</v>
      </c>
      <c r="E73" s="344" t="s">
        <v>276</v>
      </c>
      <c r="F73" s="552">
        <v>45320</v>
      </c>
      <c r="G73" s="552">
        <v>45321</v>
      </c>
      <c r="H73" s="553" t="s">
        <v>876</v>
      </c>
      <c r="I73" s="554" t="s">
        <v>1007</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803</v>
      </c>
      <c r="D74" s="344" t="str">
        <f>+VLOOKUP(C74,'Visual chart Edit'!$B$7:$C$491,2,FALSE)</f>
        <v>DA+3</v>
      </c>
      <c r="E74" s="344" t="s">
        <v>32</v>
      </c>
      <c r="F74" s="552">
        <v>45320</v>
      </c>
      <c r="G74" s="552">
        <v>45321</v>
      </c>
      <c r="H74" s="553" t="s">
        <v>236</v>
      </c>
      <c r="I74" s="554" t="s">
        <v>1007</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817</v>
      </c>
      <c r="D75" s="344" t="str">
        <f>+VLOOKUP(C75,'Visual chart Edit'!$B$7:$C$491,2,FALSE)</f>
        <v>DA+3</v>
      </c>
      <c r="E75" s="344" t="s">
        <v>276</v>
      </c>
      <c r="F75" s="552">
        <v>45320</v>
      </c>
      <c r="G75" s="552">
        <v>45322</v>
      </c>
      <c r="H75" s="553" t="s">
        <v>878</v>
      </c>
      <c r="I75" s="554" t="s">
        <v>1007</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781</v>
      </c>
      <c r="D76" s="344" t="str">
        <f>+VLOOKUP(C76,'Visual chart Edit'!$B$7:$C$491,2,FALSE)</f>
        <v>DA+6</v>
      </c>
      <c r="E76" s="344" t="s">
        <v>32</v>
      </c>
      <c r="F76" s="552">
        <v>45321</v>
      </c>
      <c r="G76" s="552">
        <v>45322</v>
      </c>
      <c r="H76" s="553" t="s">
        <v>875</v>
      </c>
      <c r="I76" s="554" t="s">
        <v>1025</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816</v>
      </c>
      <c r="D77" s="344" t="str">
        <f>+VLOOKUP(C77,'Visual chart Edit'!$B$7:$C$491,2,FALSE)</f>
        <v>DA+3</v>
      </c>
      <c r="E77" s="344" t="s">
        <v>276</v>
      </c>
      <c r="F77" s="552">
        <v>45323</v>
      </c>
      <c r="G77" s="552">
        <v>45324</v>
      </c>
      <c r="H77" s="553" t="s">
        <v>876</v>
      </c>
      <c r="I77" s="554" t="s">
        <v>1007</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718</v>
      </c>
      <c r="D78" s="344" t="str">
        <f>+VLOOKUP(C78,'Visual chart Edit'!$B$7:$C$491,2,FALSE)</f>
        <v>DA+9</v>
      </c>
      <c r="E78" s="344" t="s">
        <v>143</v>
      </c>
      <c r="F78" s="552">
        <v>45322</v>
      </c>
      <c r="G78" s="552">
        <v>45324</v>
      </c>
      <c r="H78" s="553" t="s">
        <v>877</v>
      </c>
      <c r="I78" s="554" t="s">
        <v>1025</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804</v>
      </c>
      <c r="D79" s="344" t="str">
        <f>+VLOOKUP(C79,'Visual chart Edit'!$B$7:$C$491,2,FALSE)</f>
        <v>DA+0</v>
      </c>
      <c r="E79" s="344" t="s">
        <v>276</v>
      </c>
      <c r="F79" s="552">
        <v>45323</v>
      </c>
      <c r="G79" s="552">
        <v>45324</v>
      </c>
      <c r="H79" s="553" t="s">
        <v>236</v>
      </c>
      <c r="I79" s="554" t="s">
        <v>1007</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832</v>
      </c>
      <c r="D81" s="344" t="str">
        <f>+VLOOKUP(C81,'Visual chart Edit'!$B$7:$C$491,2,FALSE)</f>
        <v>DA+0</v>
      </c>
      <c r="E81" s="344" t="s">
        <v>276</v>
      </c>
      <c r="F81" s="552">
        <v>45325</v>
      </c>
      <c r="G81" s="552">
        <v>45326</v>
      </c>
      <c r="H81" s="553" t="s">
        <v>879</v>
      </c>
      <c r="I81" s="554" t="s">
        <v>1007</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719</v>
      </c>
      <c r="D82" s="344" t="str">
        <f>+VLOOKUP(C82,'Visual chart Edit'!$B$7:$C$491,2,FALSE)</f>
        <v>DA+6</v>
      </c>
      <c r="E82" s="344" t="s">
        <v>143</v>
      </c>
      <c r="F82" s="552">
        <v>45325</v>
      </c>
      <c r="G82" s="552">
        <v>45328</v>
      </c>
      <c r="H82" s="553" t="s">
        <v>877</v>
      </c>
      <c r="I82" s="554" t="s">
        <v>1025</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815</v>
      </c>
      <c r="D83" s="344" t="str">
        <f>+VLOOKUP(C83,'Visual chart Edit'!$B$7:$C$491,2,FALSE)</f>
        <v>DA+0</v>
      </c>
      <c r="E83" s="344" t="s">
        <v>276</v>
      </c>
      <c r="F83" s="552">
        <v>45325</v>
      </c>
      <c r="G83" s="552">
        <v>45329</v>
      </c>
      <c r="H83" s="553" t="s">
        <v>876</v>
      </c>
      <c r="I83" s="554" t="s">
        <v>1007</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805</v>
      </c>
      <c r="D84" s="344" t="str">
        <f>+VLOOKUP(C84,'Visual chart Edit'!$B$7:$C$491,2,FALSE)</f>
        <v>DA+3</v>
      </c>
      <c r="E84" s="344" t="s">
        <v>32</v>
      </c>
      <c r="F84" s="552">
        <v>45328</v>
      </c>
      <c r="G84" s="552">
        <v>45329</v>
      </c>
      <c r="H84" s="553" t="s">
        <v>236</v>
      </c>
      <c r="I84" s="554" t="s">
        <v>1007</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767</v>
      </c>
      <c r="D85" s="344" t="str">
        <f>+VLOOKUP(C85,'Visual chart Edit'!$B$7:$C$491,2,FALSE)</f>
        <v>DA+6</v>
      </c>
      <c r="E85" s="344" t="s">
        <v>276</v>
      </c>
      <c r="F85" s="552">
        <v>45327</v>
      </c>
      <c r="G85" s="552">
        <v>45329</v>
      </c>
      <c r="H85" s="553" t="s">
        <v>1010</v>
      </c>
      <c r="I85" s="554" t="s">
        <v>1025</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784</v>
      </c>
      <c r="D86" s="344" t="str">
        <f>+VLOOKUP(C86,'Visual chart Edit'!$B$7:$C$491,2,FALSE)</f>
        <v>DA+3</v>
      </c>
      <c r="E86" s="344" t="s">
        <v>276</v>
      </c>
      <c r="F86" s="552">
        <v>45329</v>
      </c>
      <c r="G86" s="552">
        <v>45331</v>
      </c>
      <c r="H86" s="553" t="s">
        <v>875</v>
      </c>
      <c r="I86" s="554" t="s">
        <v>1025</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831</v>
      </c>
      <c r="D87" s="344" t="str">
        <f>+VLOOKUP(C87,'Visual chart Edit'!$B$7:$C$491,2,FALSE)</f>
        <v>DA+0</v>
      </c>
      <c r="E87" s="344" t="s">
        <v>276</v>
      </c>
      <c r="F87" s="552">
        <v>45329</v>
      </c>
      <c r="G87" s="552">
        <v>45331</v>
      </c>
      <c r="H87" s="553" t="s">
        <v>879</v>
      </c>
      <c r="I87" s="554" t="s">
        <v>1007</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819</v>
      </c>
      <c r="D88" s="344" t="str">
        <f>+VLOOKUP(C88,'Visual chart Edit'!$B$7:$C$491,2,FALSE)</f>
        <v>DA+3</v>
      </c>
      <c r="E88" s="344" t="s">
        <v>276</v>
      </c>
      <c r="F88" s="552">
        <v>45330</v>
      </c>
      <c r="G88" s="552">
        <v>45332</v>
      </c>
      <c r="H88" s="553" t="s">
        <v>878</v>
      </c>
      <c r="I88" s="554" t="s">
        <v>1007</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785</v>
      </c>
      <c r="D89" s="344" t="str">
        <f>+VLOOKUP(C89,'Visual chart Edit'!$B$7:$C$491,2,FALSE)</f>
        <v>DA+3</v>
      </c>
      <c r="E89" s="344" t="s">
        <v>276</v>
      </c>
      <c r="F89" s="552">
        <v>45331</v>
      </c>
      <c r="G89" s="552">
        <v>45333</v>
      </c>
      <c r="H89" s="553" t="s">
        <v>875</v>
      </c>
      <c r="I89" s="554" t="s">
        <v>1025</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720</v>
      </c>
      <c r="D90" s="344" t="str">
        <f>+VLOOKUP(C90,'Visual chart Edit'!$B$7:$C$491,2,FALSE)</f>
        <v>DA+3</v>
      </c>
      <c r="E90" s="344" t="s">
        <v>143</v>
      </c>
      <c r="F90" s="552">
        <v>45329</v>
      </c>
      <c r="G90" s="552">
        <v>45334</v>
      </c>
      <c r="H90" s="553" t="s">
        <v>877</v>
      </c>
      <c r="I90" s="554" t="s">
        <v>1025</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768</v>
      </c>
      <c r="D91" s="344" t="str">
        <f>+VLOOKUP(C91,'Visual chart Edit'!$B$7:$C$491,2,FALSE)</f>
        <v>DA+9</v>
      </c>
      <c r="E91" s="344" t="s">
        <v>416</v>
      </c>
      <c r="F91" s="552">
        <v>45333</v>
      </c>
      <c r="G91" s="552">
        <v>45334</v>
      </c>
      <c r="H91" s="553" t="s">
        <v>1010</v>
      </c>
      <c r="I91" s="554" t="s">
        <v>1025</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1007</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721</v>
      </c>
      <c r="D93" s="344" t="str">
        <f>+VLOOKUP(C93,'Visual chart Edit'!$B$7:$C$491,2,FALSE)</f>
        <v>DA+6</v>
      </c>
      <c r="E93" s="344" t="s">
        <v>143</v>
      </c>
      <c r="F93" s="552">
        <v>45331</v>
      </c>
      <c r="G93" s="552">
        <v>45335</v>
      </c>
      <c r="H93" s="553" t="s">
        <v>877</v>
      </c>
      <c r="I93" s="554" t="s">
        <v>1025</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786</v>
      </c>
      <c r="D94" s="344" t="str">
        <f>+VLOOKUP(C94,'Visual chart Edit'!$B$7:$C$491,2,FALSE)</f>
        <v>DA+9</v>
      </c>
      <c r="E94" s="344" t="s">
        <v>416</v>
      </c>
      <c r="F94" s="552">
        <v>45333</v>
      </c>
      <c r="G94" s="552">
        <v>45335</v>
      </c>
      <c r="H94" s="553" t="s">
        <v>875</v>
      </c>
      <c r="I94" s="554" t="s">
        <v>1025</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788</v>
      </c>
      <c r="D96" s="344" t="str">
        <f>+VLOOKUP(C96,'Visual chart Edit'!$B$7:$C$491,2,FALSE)</f>
        <v>DA+0</v>
      </c>
      <c r="E96" s="344" t="s">
        <v>416</v>
      </c>
      <c r="F96" s="552">
        <v>45336</v>
      </c>
      <c r="G96" s="552">
        <v>45338</v>
      </c>
      <c r="H96" s="553" t="s">
        <v>875</v>
      </c>
      <c r="I96" s="554" t="s">
        <v>1025</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769</v>
      </c>
      <c r="D97" s="344" t="str">
        <f>+VLOOKUP(C97,'Visual chart Edit'!$B$7:$C$491,2,FALSE)</f>
        <v>DA+6</v>
      </c>
      <c r="E97" s="344" t="s">
        <v>276</v>
      </c>
      <c r="F97" s="552">
        <v>45336</v>
      </c>
      <c r="G97" s="552">
        <v>45338</v>
      </c>
      <c r="H97" s="553" t="s">
        <v>1010</v>
      </c>
      <c r="I97" s="554" t="s">
        <v>1025</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723</v>
      </c>
      <c r="D99" s="344" t="str">
        <f>+VLOOKUP(C99,'Visual chart Edit'!$B$7:$C$491,2,FALSE)</f>
        <v>DA+9</v>
      </c>
      <c r="E99" s="344" t="s">
        <v>143</v>
      </c>
      <c r="F99" s="552">
        <v>45336</v>
      </c>
      <c r="G99" s="552">
        <v>45339</v>
      </c>
      <c r="H99" s="553" t="s">
        <v>877</v>
      </c>
      <c r="I99" s="554" t="s">
        <v>1025</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694</v>
      </c>
      <c r="D101" s="344" t="str">
        <f>+VLOOKUP(C101,'Visual chart Edit'!$B$7:$C$491,2,FALSE)</f>
        <v>DA+3</v>
      </c>
      <c r="E101" s="344" t="s">
        <v>143</v>
      </c>
      <c r="F101" s="552">
        <v>45336</v>
      </c>
      <c r="G101" s="552">
        <v>45340</v>
      </c>
      <c r="H101" s="553" t="s">
        <v>878</v>
      </c>
      <c r="I101" s="554" t="s">
        <v>1025</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722</v>
      </c>
      <c r="D102" s="344" t="str">
        <f>+VLOOKUP(C102,'Visual chart Edit'!$B$7:$C$491,2,FALSE)</f>
        <v>DA+3</v>
      </c>
      <c r="E102" s="344" t="s">
        <v>143</v>
      </c>
      <c r="F102" s="552">
        <v>45339</v>
      </c>
      <c r="G102" s="552">
        <v>45341</v>
      </c>
      <c r="H102" s="553" t="s">
        <v>877</v>
      </c>
      <c r="I102" s="554" t="s">
        <v>1025</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787</v>
      </c>
      <c r="D103" s="344" t="str">
        <f>+VLOOKUP(C103,'Visual chart Edit'!$B$7:$C$491,2,FALSE)</f>
        <v>DA+6</v>
      </c>
      <c r="E103" s="344" t="s">
        <v>276</v>
      </c>
      <c r="F103" s="552">
        <v>45339</v>
      </c>
      <c r="G103" s="552">
        <v>45342</v>
      </c>
      <c r="H103" s="553" t="s">
        <v>875</v>
      </c>
      <c r="I103" s="554" t="s">
        <v>1025</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790</v>
      </c>
      <c r="D104" s="344" t="str">
        <f>+VLOOKUP(C104,'Visual chart Edit'!$B$7:$C$491,2,FALSE)</f>
        <v>DA+3</v>
      </c>
      <c r="E104" s="344" t="s">
        <v>143</v>
      </c>
      <c r="F104" s="552">
        <v>45339</v>
      </c>
      <c r="G104" s="552">
        <v>45343</v>
      </c>
      <c r="H104" s="553" t="s">
        <v>236</v>
      </c>
      <c r="I104" s="554" t="s">
        <v>1007</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729</v>
      </c>
      <c r="D105" s="344" t="str">
        <f>+VLOOKUP(C105,'Visual chart Edit'!$B$7:$C$491,2,FALSE)</f>
        <v>DA+3</v>
      </c>
      <c r="E105" s="344" t="s">
        <v>143</v>
      </c>
      <c r="F105" s="552">
        <v>45343</v>
      </c>
      <c r="G105" s="552">
        <v>45344</v>
      </c>
      <c r="H105" s="553" t="s">
        <v>877</v>
      </c>
      <c r="I105" s="554" t="s">
        <v>1025</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820</v>
      </c>
      <c r="D106" s="344" t="str">
        <f>+VLOOKUP(C106,'Visual chart Edit'!$B$7:$C$491,2,FALSE)</f>
        <v>DA+3</v>
      </c>
      <c r="E106" s="344" t="s">
        <v>276</v>
      </c>
      <c r="F106" s="552">
        <v>45345</v>
      </c>
      <c r="G106" s="552">
        <v>45346</v>
      </c>
      <c r="H106" s="553" t="s">
        <v>879</v>
      </c>
      <c r="I106" s="554" t="s">
        <v>1007</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770</v>
      </c>
      <c r="D107" s="344" t="str">
        <f>+VLOOKUP(C107,'Visual chart Edit'!$B$7:$C$491,2,FALSE)</f>
        <v>DA+3</v>
      </c>
      <c r="E107" s="344" t="s">
        <v>32</v>
      </c>
      <c r="F107" s="552">
        <v>45342</v>
      </c>
      <c r="G107" s="552">
        <v>45346</v>
      </c>
      <c r="H107" s="553" t="s">
        <v>1010</v>
      </c>
      <c r="I107" s="554" t="s">
        <v>1025</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771</v>
      </c>
      <c r="D109" s="344" t="str">
        <f>+VLOOKUP(C109,'Visual chart Edit'!$B$7:$C$491,2,FALSE)</f>
        <v>DA+3</v>
      </c>
      <c r="E109" s="344" t="s">
        <v>32</v>
      </c>
      <c r="F109" s="552">
        <v>45347</v>
      </c>
      <c r="G109" s="552">
        <v>45350</v>
      </c>
      <c r="H109" s="553" t="s">
        <v>875</v>
      </c>
      <c r="I109" s="554" t="s">
        <v>1025</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821</v>
      </c>
      <c r="D111" s="344" t="str">
        <f>+VLOOKUP(C111,'Visual chart Edit'!$B$7:$C$491,2,FALSE)</f>
        <v>DB1+0</v>
      </c>
      <c r="E111" s="344" t="s">
        <v>276</v>
      </c>
      <c r="F111" s="552">
        <v>45350</v>
      </c>
      <c r="G111" s="552">
        <v>45351</v>
      </c>
      <c r="H111" s="553" t="s">
        <v>879</v>
      </c>
      <c r="I111" s="554" t="s">
        <v>1007</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772</v>
      </c>
      <c r="D112" s="344" t="str">
        <f>+VLOOKUP(C112,'Visual chart Edit'!$B$7:$C$491,2,FALSE)</f>
        <v>DA+3</v>
      </c>
      <c r="E112" s="344" t="s">
        <v>32</v>
      </c>
      <c r="F112" s="552">
        <v>45349</v>
      </c>
      <c r="G112" s="552">
        <v>45351</v>
      </c>
      <c r="H112" s="553" t="s">
        <v>875</v>
      </c>
      <c r="I112" s="554" t="s">
        <v>1025</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789</v>
      </c>
      <c r="D114" s="344" t="str">
        <f>+VLOOKUP(C114,'Visual chart Edit'!$B$7:$C$491,2,FALSE)</f>
        <v>DA+9</v>
      </c>
      <c r="E114" s="344" t="s">
        <v>276</v>
      </c>
      <c r="F114" s="552">
        <v>45325</v>
      </c>
      <c r="G114" s="552">
        <v>45355</v>
      </c>
      <c r="H114" s="553" t="s">
        <v>875</v>
      </c>
      <c r="I114" s="554" t="s">
        <v>1025</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822</v>
      </c>
      <c r="D115" s="344" t="str">
        <f>+VLOOKUP(C115,'Visual chart Edit'!$B$7:$C$491,2,FALSE)</f>
        <v>DA+0</v>
      </c>
      <c r="E115" s="344" t="s">
        <v>276</v>
      </c>
      <c r="F115" s="552">
        <v>45354</v>
      </c>
      <c r="G115" s="552">
        <v>45356</v>
      </c>
      <c r="H115" s="553" t="s">
        <v>879</v>
      </c>
      <c r="I115" s="554" t="s">
        <v>1007</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875</v>
      </c>
      <c r="I117" s="554" t="s">
        <v>1025</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783</v>
      </c>
      <c r="D118" s="344" t="str">
        <f>+VLOOKUP(C118,'Visual chart Edit'!$B$7:$C$491,2,FALSE)</f>
        <v>DA+3</v>
      </c>
      <c r="E118" s="344" t="s">
        <v>276</v>
      </c>
      <c r="F118" s="552">
        <v>45364</v>
      </c>
      <c r="G118" s="552">
        <v>45365</v>
      </c>
      <c r="H118" s="553" t="s">
        <v>875</v>
      </c>
      <c r="I118" s="554" t="s">
        <v>1025</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695</v>
      </c>
      <c r="D119" s="344" t="str">
        <f>+VLOOKUP(C119,'Visual chart Edit'!$B$7:$C$491,2,FALSE)</f>
        <v>DA+3</v>
      </c>
      <c r="E119" s="344" t="s">
        <v>143</v>
      </c>
      <c r="F119" s="552">
        <v>45364</v>
      </c>
      <c r="G119" s="552">
        <v>45366</v>
      </c>
      <c r="H119" s="553" t="s">
        <v>878</v>
      </c>
      <c r="I119" s="554" t="s">
        <v>1025</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698</v>
      </c>
      <c r="D121" s="344" t="str">
        <f>+VLOOKUP(C121,'Visual chart Edit'!$B$7:$C$491,2,FALSE)</f>
        <v>DA+0</v>
      </c>
      <c r="E121" s="344" t="s">
        <v>143</v>
      </c>
      <c r="F121" s="552">
        <v>45365</v>
      </c>
      <c r="G121" s="552">
        <v>45368</v>
      </c>
      <c r="H121" s="553" t="s">
        <v>236</v>
      </c>
      <c r="I121" s="554" t="s">
        <v>1025</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875</v>
      </c>
      <c r="I122" s="554" t="s">
        <v>1025</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696</v>
      </c>
      <c r="D123" s="344" t="str">
        <f>+VLOOKUP(C123,'Visual chart Edit'!$B$7:$C$491,2,FALSE)</f>
        <v>DA+3</v>
      </c>
      <c r="E123" s="344" t="s">
        <v>143</v>
      </c>
      <c r="F123" s="552">
        <v>45366</v>
      </c>
      <c r="G123" s="552">
        <v>45370</v>
      </c>
      <c r="H123" s="553" t="s">
        <v>878</v>
      </c>
      <c r="I123" s="554" t="s">
        <v>1025</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697</v>
      </c>
      <c r="D124" s="344" t="str">
        <f>+VLOOKUP(C124,'Visual chart Edit'!$B$7:$C$491,2,FALSE)</f>
        <v>DA+3</v>
      </c>
      <c r="E124" s="344" t="s">
        <v>143</v>
      </c>
      <c r="F124" s="552">
        <v>45369</v>
      </c>
      <c r="G124" s="552">
        <v>45371</v>
      </c>
      <c r="H124" s="553" t="s">
        <v>236</v>
      </c>
      <c r="I124" s="554" t="s">
        <v>1025</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690</v>
      </c>
      <c r="D125" s="344" t="str">
        <f>+VLOOKUP(C125,'Visual chart Edit'!$B$7:$C$491,2,FALSE)</f>
        <v>DA+6</v>
      </c>
      <c r="E125" s="344" t="s">
        <v>143</v>
      </c>
      <c r="F125" s="552">
        <v>45369</v>
      </c>
      <c r="G125" s="552">
        <v>45371</v>
      </c>
      <c r="H125" s="553" t="s">
        <v>879</v>
      </c>
      <c r="I125" s="554" t="s">
        <v>1025</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689</v>
      </c>
      <c r="D126" s="344" t="str">
        <f>+VLOOKUP(C126,'Visual chart Edit'!$B$7:$C$491,2,FALSE)</f>
        <v>DA+3</v>
      </c>
      <c r="E126" s="344" t="s">
        <v>143</v>
      </c>
      <c r="F126" s="552">
        <v>45372</v>
      </c>
      <c r="G126" s="552">
        <v>45374</v>
      </c>
      <c r="H126" s="553" t="s">
        <v>879</v>
      </c>
      <c r="I126" s="554" t="s">
        <v>1025</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688</v>
      </c>
      <c r="D127" s="344" t="str">
        <f>+VLOOKUP(C127,'Visual chart Edit'!$B$7:$C$491,2,FALSE)</f>
        <v>DA+0</v>
      </c>
      <c r="E127" s="344" t="s">
        <v>143</v>
      </c>
      <c r="F127" s="552">
        <v>45377</v>
      </c>
      <c r="G127" s="552">
        <v>45380</v>
      </c>
      <c r="H127" s="553" t="s">
        <v>879</v>
      </c>
      <c r="I127" s="554" t="s">
        <v>1021</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687</v>
      </c>
      <c r="D128" s="344" t="str">
        <f>+VLOOKUP(C128,'Visual chart Edit'!$B$7:$C$491,2,FALSE)</f>
        <v>DA+3</v>
      </c>
      <c r="E128" s="344" t="s">
        <v>143</v>
      </c>
      <c r="F128" s="552">
        <v>45381</v>
      </c>
      <c r="G128" s="552">
        <v>45382</v>
      </c>
      <c r="H128" s="553" t="s">
        <v>879</v>
      </c>
      <c r="I128" s="554" t="s">
        <v>1021</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708</v>
      </c>
      <c r="D129" s="344" t="str">
        <f>+VLOOKUP(C129,'Visual chart Edit'!$B$7:$C$491,2,FALSE)</f>
        <v>DA+0</v>
      </c>
      <c r="E129" s="344" t="s">
        <v>143</v>
      </c>
      <c r="F129" s="552">
        <v>45373</v>
      </c>
      <c r="G129" s="552">
        <v>45383</v>
      </c>
      <c r="H129" s="553" t="s">
        <v>236</v>
      </c>
      <c r="I129" s="554" t="s">
        <v>1025</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691</v>
      </c>
      <c r="D130" s="344" t="str">
        <f>+VLOOKUP(C130,'Visual chart Edit'!$B$7:$C$491,2,FALSE)</f>
        <v>DC2+0</v>
      </c>
      <c r="E130" s="344" t="s">
        <v>143</v>
      </c>
      <c r="F130" s="552">
        <v>45385</v>
      </c>
      <c r="G130" s="552">
        <v>45389</v>
      </c>
      <c r="H130" s="553" t="s">
        <v>879</v>
      </c>
      <c r="I130" s="554" t="s">
        <v>1025</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709</v>
      </c>
      <c r="D131" s="344" t="str">
        <f>+VLOOKUP(C131,'Visual chart Edit'!$B$7:$C$491,2,FALSE)</f>
        <v>DA+0</v>
      </c>
      <c r="E131" s="344" t="s">
        <v>143</v>
      </c>
      <c r="F131" s="552">
        <v>45385</v>
      </c>
      <c r="G131" s="552">
        <v>45390</v>
      </c>
      <c r="H131" s="553" t="s">
        <v>236</v>
      </c>
      <c r="I131" s="554" t="s">
        <v>1025</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711</v>
      </c>
      <c r="D132" s="344" t="str">
        <f>+VLOOKUP(C132,'Visual chart Edit'!$B$7:$C$491,2,FALSE)</f>
        <v>DA+0</v>
      </c>
      <c r="E132" s="344" t="s">
        <v>143</v>
      </c>
      <c r="F132" s="552">
        <v>45390</v>
      </c>
      <c r="G132" s="552">
        <v>45395</v>
      </c>
      <c r="H132" s="553" t="s">
        <v>236</v>
      </c>
      <c r="I132" s="554" t="s">
        <v>1021</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692</v>
      </c>
      <c r="D133" s="344" t="str">
        <f>+VLOOKUP(C133,'Visual chart Edit'!$B$7:$C$491,2,FALSE)</f>
        <v>DA+9</v>
      </c>
      <c r="E133" s="344" t="s">
        <v>143</v>
      </c>
      <c r="F133" s="552">
        <v>45390</v>
      </c>
      <c r="G133" s="552">
        <v>45397</v>
      </c>
      <c r="H133" s="553" t="s">
        <v>878</v>
      </c>
      <c r="I133" s="554" t="s">
        <v>1025</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707</v>
      </c>
      <c r="D134" s="344" t="str">
        <f>+VLOOKUP(C134,'Visual chart Edit'!$B$7:$C$491,2,FALSE)</f>
        <v>DA+9</v>
      </c>
      <c r="E134" s="344" t="s">
        <v>143</v>
      </c>
      <c r="F134" s="552">
        <v>45396</v>
      </c>
      <c r="G134" s="552">
        <v>45401</v>
      </c>
      <c r="H134" s="553" t="s">
        <v>236</v>
      </c>
      <c r="I134" s="554" t="s">
        <v>1025</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693</v>
      </c>
      <c r="D135" s="344" t="str">
        <f>+VLOOKUP(C135,'Visual chart Edit'!$B$7:$C$491,2,FALSE)</f>
        <v>DA+0</v>
      </c>
      <c r="E135" s="344" t="s">
        <v>143</v>
      </c>
      <c r="F135" s="552">
        <v>45399</v>
      </c>
      <c r="G135" s="552">
        <v>45402</v>
      </c>
      <c r="H135" s="561" t="s">
        <v>878</v>
      </c>
      <c r="I135" s="554" t="s">
        <v>1025</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878</v>
      </c>
      <c r="I136" s="554" t="s">
        <v>1025</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706</v>
      </c>
      <c r="D139" s="344" t="str">
        <f>+VLOOKUP(C139,'Visual chart Edit'!$B$7:$C$491,2,FALSE)</f>
        <v>DA+0</v>
      </c>
      <c r="E139" s="344" t="s">
        <v>143</v>
      </c>
      <c r="F139" s="552">
        <v>45417</v>
      </c>
      <c r="G139" s="552">
        <v>45422</v>
      </c>
      <c r="H139" s="553" t="s">
        <v>878</v>
      </c>
      <c r="I139" s="554" t="s">
        <v>1025</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700</v>
      </c>
      <c r="D141" s="344" t="str">
        <f>+VLOOKUP(C141,'Visual chart Edit'!$B$7:$C$491,2,FALSE)</f>
        <v>DA+6</v>
      </c>
      <c r="E141" s="344" t="s">
        <v>143</v>
      </c>
      <c r="F141" s="552">
        <v>45426</v>
      </c>
      <c r="G141" s="552">
        <v>45430</v>
      </c>
      <c r="H141" s="553" t="s">
        <v>878</v>
      </c>
      <c r="I141" s="554" t="s">
        <v>1025</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686</v>
      </c>
      <c r="D142" s="344" t="str">
        <f>+VLOOKUP(C142,'Visual chart Edit'!$B$7:$C$491,2,FALSE)</f>
        <v>DA+3</v>
      </c>
      <c r="E142" s="344" t="s">
        <v>143</v>
      </c>
      <c r="F142" s="552">
        <v>45427</v>
      </c>
      <c r="G142" s="552">
        <v>45430</v>
      </c>
      <c r="H142" s="553" t="s">
        <v>879</v>
      </c>
      <c r="I142" s="554" t="s">
        <v>1025</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716</v>
      </c>
      <c r="D143" s="344" t="str">
        <f>+VLOOKUP(C143,'Visual chart Edit'!$B$7:$C$491,2,FALSE)</f>
        <v>DA+9</v>
      </c>
      <c r="E143" s="344" t="s">
        <v>143</v>
      </c>
      <c r="F143" s="552">
        <v>45426</v>
      </c>
      <c r="G143" s="552">
        <v>45437</v>
      </c>
      <c r="H143" s="553" t="s">
        <v>1011</v>
      </c>
      <c r="I143" s="554" t="s">
        <v>1025</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682</v>
      </c>
      <c r="D144" s="344" t="str">
        <f>+VLOOKUP(C144,'Visual chart Edit'!$B$7:$C$491,2,FALSE)</f>
        <v>DA+9</v>
      </c>
      <c r="E144" s="344" t="s">
        <v>143</v>
      </c>
      <c r="F144" s="552">
        <v>45435</v>
      </c>
      <c r="G144" s="552">
        <v>45438</v>
      </c>
      <c r="H144" s="553" t="s">
        <v>879</v>
      </c>
      <c r="I144" s="554" t="s">
        <v>1025</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703</v>
      </c>
      <c r="D147" s="344" t="str">
        <f>+VLOOKUP(C147,'Visual chart Edit'!$B$7:$C$491,2,FALSE)</f>
        <v>DA+9</v>
      </c>
      <c r="E147" s="344" t="s">
        <v>143</v>
      </c>
      <c r="F147" s="552">
        <v>45432</v>
      </c>
      <c r="G147" s="552">
        <v>45440</v>
      </c>
      <c r="H147" s="553" t="s">
        <v>878</v>
      </c>
      <c r="I147" s="554" t="s">
        <v>1025</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712</v>
      </c>
      <c r="D148" s="344" t="str">
        <f>+VLOOKUP(C148,'Visual chart Edit'!$B$7:$C$491,2,FALSE)</f>
        <v>DA+0</v>
      </c>
      <c r="E148" s="344" t="s">
        <v>143</v>
      </c>
      <c r="F148" s="552">
        <v>45437</v>
      </c>
      <c r="G148" s="552">
        <v>45443</v>
      </c>
      <c r="H148" s="553" t="s">
        <v>1011</v>
      </c>
      <c r="I148" s="554" t="s">
        <v>1025</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685</v>
      </c>
      <c r="D149" s="344" t="str">
        <f>+VLOOKUP(C149,'Visual chart Edit'!$B$7:$C$491,2,FALSE)</f>
        <v>DA+0</v>
      </c>
      <c r="E149" s="344" t="s">
        <v>143</v>
      </c>
      <c r="F149" s="552">
        <v>45441</v>
      </c>
      <c r="G149" s="552">
        <v>45443</v>
      </c>
      <c r="H149" s="553" t="s">
        <v>879</v>
      </c>
      <c r="I149" s="554" t="s">
        <v>1025</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701</v>
      </c>
      <c r="D150" s="344" t="str">
        <f>+VLOOKUP(C150,'Visual chart Edit'!$B$7:$C$491,2,FALSE)</f>
        <v>DA+9</v>
      </c>
      <c r="E150" s="344" t="s">
        <v>143</v>
      </c>
      <c r="F150" s="552">
        <v>45438</v>
      </c>
      <c r="G150" s="552">
        <v>45443</v>
      </c>
      <c r="H150" s="553" t="s">
        <v>878</v>
      </c>
      <c r="I150" s="554" t="s">
        <v>1025</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683</v>
      </c>
      <c r="D154" s="344" t="str">
        <f>+VLOOKUP(C154,'Visual chart Edit'!$B$7:$C$491,2,FALSE)</f>
        <v>DA+9</v>
      </c>
      <c r="E154" s="344" t="s">
        <v>143</v>
      </c>
      <c r="F154" s="552">
        <v>45446</v>
      </c>
      <c r="G154" s="552">
        <v>45451</v>
      </c>
      <c r="H154" s="553" t="s">
        <v>879</v>
      </c>
      <c r="I154" s="554" t="s">
        <v>1025</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710</v>
      </c>
      <c r="D155" s="344" t="str">
        <f>+VLOOKUP(C155,'Visual chart Edit'!$B$7:$C$491,2,FALSE)</f>
        <v>DC2+0</v>
      </c>
      <c r="E155" s="344" t="s">
        <v>143</v>
      </c>
      <c r="F155" s="552">
        <v>45446</v>
      </c>
      <c r="G155" s="552">
        <v>45453</v>
      </c>
      <c r="H155" s="553" t="s">
        <v>1011</v>
      </c>
      <c r="I155" s="554" t="s">
        <v>1025</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731</v>
      </c>
      <c r="D157" s="344" t="str">
        <f>+VLOOKUP(C157,'Visual chart Edit'!$B$7:$C$491,2,FALSE)</f>
        <v>DA+3</v>
      </c>
      <c r="E157" s="344" t="s">
        <v>143</v>
      </c>
      <c r="F157" s="552">
        <v>45455</v>
      </c>
      <c r="G157" s="552">
        <v>45458</v>
      </c>
      <c r="H157" s="553" t="s">
        <v>879</v>
      </c>
      <c r="I157" s="554" t="s">
        <v>1025</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878</v>
      </c>
      <c r="I167" s="554" t="s">
        <v>1025</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879</v>
      </c>
      <c r="I171" s="554" t="s">
        <v>1025</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1012</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754</v>
      </c>
      <c r="D178" s="344" t="str">
        <f>+VLOOKUP(C178,'Visual chart Edit'!$B$7:$C$491,2,FALSE)</f>
        <v>DA+3</v>
      </c>
      <c r="E178" s="344" t="s">
        <v>32</v>
      </c>
      <c r="F178" s="552">
        <v>45511</v>
      </c>
      <c r="G178" s="552">
        <v>45514</v>
      </c>
      <c r="H178" s="553" t="s">
        <v>879</v>
      </c>
      <c r="I178" s="554" t="s">
        <v>1025</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879</v>
      </c>
      <c r="I191" s="554" t="s">
        <v>1025</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1012</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705</v>
      </c>
      <c r="D194" s="344" t="str">
        <f>+VLOOKUP(C194,'Visual chart Edit'!$B$7:$C$491,2,FALSE)</f>
        <v>DA+9</v>
      </c>
      <c r="E194" s="344" t="s">
        <v>143</v>
      </c>
      <c r="F194" s="552">
        <v>45518</v>
      </c>
      <c r="G194" s="552">
        <v>45532</v>
      </c>
      <c r="H194" s="553" t="s">
        <v>880</v>
      </c>
      <c r="I194" s="554" t="s">
        <v>1025</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732</v>
      </c>
      <c r="D195" s="344" t="str">
        <f>+VLOOKUP(C195,'Visual chart Edit'!$B$7:$C$491,2,FALSE)</f>
        <v>DA+3</v>
      </c>
      <c r="E195" s="344" t="s">
        <v>143</v>
      </c>
      <c r="F195" s="552">
        <v>45530</v>
      </c>
      <c r="G195" s="552">
        <v>45533</v>
      </c>
      <c r="H195" s="553" t="s">
        <v>879</v>
      </c>
      <c r="I195" s="554" t="s">
        <v>1025</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1012</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730</v>
      </c>
      <c r="D205" s="344" t="str">
        <f>+VLOOKUP(C205,'Visual chart Edit'!$B$7:$C$491,2,FALSE)</f>
        <v>DA+6</v>
      </c>
      <c r="E205" s="344" t="s">
        <v>143</v>
      </c>
      <c r="F205" s="552">
        <v>45534</v>
      </c>
      <c r="G205" s="552">
        <v>45540</v>
      </c>
      <c r="H205" s="553" t="s">
        <v>879</v>
      </c>
      <c r="I205" s="554" t="s">
        <v>1025</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734</v>
      </c>
      <c r="D208" s="344" t="str">
        <f>+VLOOKUP(C208,'Visual chart Edit'!$B$7:$C$491,2,FALSE)</f>
        <v>DA+3</v>
      </c>
      <c r="E208" s="344" t="s">
        <v>143</v>
      </c>
      <c r="F208" s="552">
        <v>45540</v>
      </c>
      <c r="G208" s="552">
        <v>45544</v>
      </c>
      <c r="H208" s="553" t="s">
        <v>879</v>
      </c>
      <c r="I208" s="554" t="s">
        <v>1025</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702</v>
      </c>
      <c r="D209" s="344" t="str">
        <f>+VLOOKUP(C209,'Visual chart Edit'!$B$7:$C$491,2,FALSE)</f>
        <v>DA+6</v>
      </c>
      <c r="E209" s="344" t="s">
        <v>143</v>
      </c>
      <c r="F209" s="552">
        <v>45536</v>
      </c>
      <c r="G209" s="552">
        <v>45545</v>
      </c>
      <c r="H209" s="553" t="s">
        <v>880</v>
      </c>
      <c r="I209" s="554" t="s">
        <v>1025</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856</v>
      </c>
      <c r="D210" s="344" t="str">
        <f>+VLOOKUP(C210,'Visual chart Edit'!$B$7:$C$491,2,FALSE)</f>
        <v>DB2+0</v>
      </c>
      <c r="E210" s="344" t="s">
        <v>276</v>
      </c>
      <c r="F210" s="552">
        <v>45544</v>
      </c>
      <c r="G210" s="552">
        <v>45545</v>
      </c>
      <c r="H210" s="553" t="s">
        <v>881</v>
      </c>
      <c r="I210" s="554" t="s">
        <v>1021</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865</v>
      </c>
      <c r="D211" s="344" t="str">
        <f>+VLOOKUP(C211,'Visual chart Edit'!$B$7:$C$491,2,FALSE)</f>
        <v>DA+0</v>
      </c>
      <c r="E211" s="344" t="s">
        <v>276</v>
      </c>
      <c r="F211" s="552">
        <v>45543</v>
      </c>
      <c r="G211" s="552">
        <v>45546</v>
      </c>
      <c r="H211" s="553" t="s">
        <v>236</v>
      </c>
      <c r="I211" s="554" t="s">
        <v>1021</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858</v>
      </c>
      <c r="D212" s="344" t="str">
        <f>+VLOOKUP(C212,'Visual chart Edit'!$B$7:$C$491,2,FALSE)</f>
        <v>DA+0</v>
      </c>
      <c r="E212" s="344" t="s">
        <v>276</v>
      </c>
      <c r="F212" s="552">
        <v>45547</v>
      </c>
      <c r="G212" s="552">
        <v>45548</v>
      </c>
      <c r="H212" s="553" t="s">
        <v>881</v>
      </c>
      <c r="I212" s="554" t="s">
        <v>1021</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735</v>
      </c>
      <c r="D214" s="344" t="str">
        <f>+VLOOKUP(C214,'Visual chart Edit'!$B$7:$C$491,2,FALSE)</f>
        <v>DA+3</v>
      </c>
      <c r="E214" s="344" t="s">
        <v>143</v>
      </c>
      <c r="F214" s="552">
        <v>45546</v>
      </c>
      <c r="G214" s="552">
        <v>45549</v>
      </c>
      <c r="H214" s="553" t="s">
        <v>879</v>
      </c>
      <c r="I214" s="554" t="s">
        <v>1025</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857</v>
      </c>
      <c r="D217" s="344" t="str">
        <f>+VLOOKUP(C217,'Visual chart Edit'!$B$7:$C$491,2,FALSE)</f>
        <v>DA+0</v>
      </c>
      <c r="E217" s="344" t="s">
        <v>276</v>
      </c>
      <c r="F217" s="552">
        <v>45550</v>
      </c>
      <c r="G217" s="552">
        <v>45551</v>
      </c>
      <c r="H217" s="553" t="s">
        <v>881</v>
      </c>
      <c r="I217" s="554" t="s">
        <v>1022</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862</v>
      </c>
      <c r="D220" s="344" t="str">
        <f>+VLOOKUP(C220,'Visual chart Edit'!$B$7:$C$491,2,FALSE)</f>
        <v>DA+0</v>
      </c>
      <c r="E220" s="344" t="s">
        <v>276</v>
      </c>
      <c r="F220" s="552">
        <v>45553</v>
      </c>
      <c r="G220" s="552">
        <v>45554</v>
      </c>
      <c r="H220" s="553" t="s">
        <v>881</v>
      </c>
      <c r="I220" s="554" t="s">
        <v>1022</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833</v>
      </c>
      <c r="D222" s="344" t="str">
        <f>+VLOOKUP(C222,'Visual chart Edit'!$B$7:$C$491,2,FALSE)</f>
        <v>DA+3</v>
      </c>
      <c r="E222" s="344" t="s">
        <v>276</v>
      </c>
      <c r="F222" s="552">
        <v>45554</v>
      </c>
      <c r="G222" s="552">
        <v>45555</v>
      </c>
      <c r="H222" s="553" t="s">
        <v>879</v>
      </c>
      <c r="I222" s="554" t="s">
        <v>1022</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861</v>
      </c>
      <c r="D224" s="344" t="str">
        <f>+VLOOKUP(C224,'Visual chart Edit'!$B$7:$C$491,2,FALSE)</f>
        <v>DA+0</v>
      </c>
      <c r="E224" s="344" t="s">
        <v>276</v>
      </c>
      <c r="F224" s="552">
        <v>45557</v>
      </c>
      <c r="G224" s="552">
        <v>45558</v>
      </c>
      <c r="H224" s="553" t="s">
        <v>881</v>
      </c>
      <c r="I224" s="554" t="s">
        <v>1021</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864</v>
      </c>
      <c r="D228" s="344" t="str">
        <f>+VLOOKUP(C228,'Visual chart Edit'!$B$7:$C$491,2,FALSE)</f>
        <v>DA+3</v>
      </c>
      <c r="E228" s="344" t="s">
        <v>276</v>
      </c>
      <c r="F228" s="552">
        <v>45558</v>
      </c>
      <c r="G228" s="552">
        <v>45560</v>
      </c>
      <c r="H228" s="553" t="s">
        <v>236</v>
      </c>
      <c r="I228" s="554" t="s">
        <v>1021</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755</v>
      </c>
      <c r="D229" s="344" t="str">
        <f>+VLOOKUP(C229,'Visual chart Edit'!$B$7:$C$491,2,FALSE)</f>
        <v>DA+3</v>
      </c>
      <c r="E229" s="344" t="s">
        <v>276</v>
      </c>
      <c r="F229" s="552">
        <v>45555</v>
      </c>
      <c r="G229" s="552">
        <v>45560</v>
      </c>
      <c r="H229" s="553" t="s">
        <v>879</v>
      </c>
      <c r="I229" s="554" t="s">
        <v>1025</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855</v>
      </c>
      <c r="D231" s="344" t="str">
        <f>+VLOOKUP(C231,'Visual chart Edit'!$B$7:$C$491,2,FALSE)</f>
        <v>DA+0</v>
      </c>
      <c r="E231" s="344" t="s">
        <v>276</v>
      </c>
      <c r="F231" s="552">
        <v>45560</v>
      </c>
      <c r="G231" s="552">
        <v>45561</v>
      </c>
      <c r="H231" s="553" t="s">
        <v>881</v>
      </c>
      <c r="I231" s="554" t="s">
        <v>1021</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879</v>
      </c>
      <c r="I233" s="554" t="s">
        <v>1022</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763</v>
      </c>
      <c r="D234" s="344" t="str">
        <f>+VLOOKUP(C234,'Visual chart Edit'!$B$7:$C$491,2,FALSE)</f>
        <v>DA+6</v>
      </c>
      <c r="E234" s="344" t="s">
        <v>32</v>
      </c>
      <c r="F234" s="552">
        <v>45560</v>
      </c>
      <c r="G234" s="552">
        <v>45562</v>
      </c>
      <c r="H234" s="553" t="s">
        <v>876</v>
      </c>
      <c r="I234" s="554" t="s">
        <v>1025</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859</v>
      </c>
      <c r="D237" s="344" t="str">
        <f>+VLOOKUP(C237,'Visual chart Edit'!$B$7:$C$491,2,FALSE)</f>
        <v>DA+0</v>
      </c>
      <c r="E237" s="344" t="s">
        <v>276</v>
      </c>
      <c r="F237" s="552">
        <v>45560</v>
      </c>
      <c r="G237" s="552">
        <v>45565</v>
      </c>
      <c r="H237" s="553" t="s">
        <v>882</v>
      </c>
      <c r="I237" s="554" t="s">
        <v>1021</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863</v>
      </c>
      <c r="D238" s="344" t="str">
        <f>+VLOOKUP(C238,'Visual chart Edit'!$B$7:$C$491,2,FALSE)</f>
        <v>DA+0</v>
      </c>
      <c r="E238" s="344" t="s">
        <v>276</v>
      </c>
      <c r="F238" s="552">
        <v>45564</v>
      </c>
      <c r="G238" s="552">
        <v>45566</v>
      </c>
      <c r="H238" s="553" t="s">
        <v>236</v>
      </c>
      <c r="I238" s="554" t="s">
        <v>1021</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879</v>
      </c>
      <c r="I239" s="554" t="s">
        <v>1025</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879</v>
      </c>
      <c r="I240" s="554" t="s">
        <v>1021</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879</v>
      </c>
      <c r="I244" s="554" t="s">
        <v>1022</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860</v>
      </c>
      <c r="D245" s="344" t="str">
        <f>+VLOOKUP(C245,'Visual chart Edit'!$B$7:$C$491,2,FALSE)</f>
        <v>DA+0</v>
      </c>
      <c r="E245" s="344" t="s">
        <v>276</v>
      </c>
      <c r="F245" s="552">
        <v>45573</v>
      </c>
      <c r="G245" s="552">
        <v>45574</v>
      </c>
      <c r="H245" s="553" t="s">
        <v>881</v>
      </c>
      <c r="I245" s="554" t="s">
        <v>1022</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1013</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866</v>
      </c>
      <c r="D247" s="344" t="str">
        <f>+VLOOKUP(C247,'Visual chart Edit'!$B$7:$C$491,2,FALSE)</f>
        <v>DB2+0</v>
      </c>
      <c r="E247" s="344" t="s">
        <v>143</v>
      </c>
      <c r="F247" s="552">
        <v>45572</v>
      </c>
      <c r="G247" s="552">
        <v>45575</v>
      </c>
      <c r="H247" s="553" t="s">
        <v>236</v>
      </c>
      <c r="I247" s="554" t="s">
        <v>1022</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881</v>
      </c>
      <c r="I250" s="554" t="s">
        <v>1022</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851</v>
      </c>
      <c r="D253" s="344" t="str">
        <f>+VLOOKUP(C253,'Visual chart Edit'!$B$7:$C$491,2,FALSE)</f>
        <v>DA+3</v>
      </c>
      <c r="E253" s="344" t="s">
        <v>276</v>
      </c>
      <c r="F253" s="552">
        <v>45582</v>
      </c>
      <c r="G253" s="552">
        <v>45583</v>
      </c>
      <c r="H253" s="553" t="s">
        <v>881</v>
      </c>
      <c r="I253" s="554" t="s">
        <v>1022</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756</v>
      </c>
      <c r="D254" s="344" t="str">
        <f>+VLOOKUP(C254,'Visual chart Edit'!$B$7:$C$491,2,FALSE)</f>
        <v>DA+3</v>
      </c>
      <c r="E254" s="344" t="s">
        <v>32</v>
      </c>
      <c r="F254" s="552">
        <v>45579</v>
      </c>
      <c r="G254" s="552">
        <v>45584</v>
      </c>
      <c r="H254" s="553" t="s">
        <v>879</v>
      </c>
      <c r="I254" s="554" t="s">
        <v>1025</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1013</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850</v>
      </c>
      <c r="D257" s="344" t="str">
        <f>+VLOOKUP(C257,'Visual chart Edit'!$B$7:$C$491,2,FALSE)</f>
        <v>DA+0</v>
      </c>
      <c r="E257" s="344" t="s">
        <v>276</v>
      </c>
      <c r="F257" s="552">
        <v>45585</v>
      </c>
      <c r="G257" s="552">
        <v>45586</v>
      </c>
      <c r="H257" s="553" t="s">
        <v>881</v>
      </c>
      <c r="I257" s="554" t="s">
        <v>1022</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699</v>
      </c>
      <c r="D258" s="344" t="str">
        <f>+VLOOKUP(C258,'Visual chart Edit'!$B$7:$C$491,2,FALSE)</f>
        <v>DA+0</v>
      </c>
      <c r="E258" s="344" t="s">
        <v>143</v>
      </c>
      <c r="F258" s="552">
        <v>45547</v>
      </c>
      <c r="G258" s="552">
        <v>45586</v>
      </c>
      <c r="H258" s="553" t="s">
        <v>880</v>
      </c>
      <c r="I258" s="554" t="s">
        <v>1025</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1013</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1013</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733</v>
      </c>
      <c r="D269" s="344" t="str">
        <f>+VLOOKUP(C269,'Visual chart Edit'!$B$7:$C$491,2,FALSE)</f>
        <v>DB1+6</v>
      </c>
      <c r="E269" s="344" t="s">
        <v>143</v>
      </c>
      <c r="F269" s="552">
        <v>45611</v>
      </c>
      <c r="G269" s="552">
        <v>45617</v>
      </c>
      <c r="H269" s="553" t="s">
        <v>879</v>
      </c>
      <c r="I269" s="554" t="s">
        <v>1025</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879</v>
      </c>
      <c r="I270" s="554" t="s">
        <v>1022</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879</v>
      </c>
      <c r="I272" s="554" t="s">
        <v>1022</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640</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1014</v>
      </c>
      <c r="I274" s="554" t="s">
        <v>642</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643</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647</v>
      </c>
      <c r="I276" s="554" t="s">
        <v>643</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646</v>
      </c>
      <c r="I277" s="554" t="s">
        <v>642</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1015</v>
      </c>
      <c r="I279" s="554" t="s">
        <v>643</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1013</v>
      </c>
      <c r="I280" s="554" t="s">
        <v>642</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841</v>
      </c>
      <c r="D281" s="344" t="str">
        <f>+VLOOKUP(C281,'Visual chart Edit'!$B$7:$C$491,2,FALSE)</f>
        <v>DA+3</v>
      </c>
      <c r="E281" s="344" t="s">
        <v>276</v>
      </c>
      <c r="F281" s="552">
        <v>45642</v>
      </c>
      <c r="G281" s="552">
        <v>45643</v>
      </c>
      <c r="H281" s="553" t="s">
        <v>883</v>
      </c>
      <c r="I281" s="554" t="s">
        <v>1022</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854</v>
      </c>
      <c r="D282" s="344" t="str">
        <f>+VLOOKUP(C282,'Visual chart Edit'!$B$7:$C$491,2,FALSE)</f>
        <v>DA+3</v>
      </c>
      <c r="E282" s="344" t="s">
        <v>276</v>
      </c>
      <c r="F282" s="552">
        <v>45642</v>
      </c>
      <c r="G282" s="552">
        <v>45644</v>
      </c>
      <c r="H282" s="553" t="s">
        <v>1016</v>
      </c>
      <c r="I282" s="554" t="s">
        <v>1022</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840</v>
      </c>
      <c r="D283" s="344" t="str">
        <f>+VLOOKUP(C283,'Visual chart Edit'!$B$7:$C$491,2,FALSE)</f>
        <v>DA+3</v>
      </c>
      <c r="E283" s="344" t="s">
        <v>276</v>
      </c>
      <c r="F283" s="552">
        <v>45643</v>
      </c>
      <c r="G283" s="552">
        <v>45645</v>
      </c>
      <c r="H283" s="561" t="s">
        <v>883</v>
      </c>
      <c r="I283" s="554" t="s">
        <v>1022</v>
      </c>
      <c r="J283" s="555">
        <f t="shared" si="4"/>
        <v>2</v>
      </c>
    </row>
    <row r="284" spans="1:101" x14ac:dyDescent="0.2">
      <c r="A284" s="344">
        <f>+SUBTOTAL(3,$E$8:$E284)</f>
        <v>277</v>
      </c>
      <c r="B284" s="556">
        <v>45627</v>
      </c>
      <c r="C284" s="556" t="s">
        <v>852</v>
      </c>
      <c r="D284" s="344" t="str">
        <f>+VLOOKUP(C284,'Visual chart Edit'!$B$7:$C$491,2,FALSE)</f>
        <v>DA+3</v>
      </c>
      <c r="E284" s="344" t="s">
        <v>276</v>
      </c>
      <c r="F284" s="552">
        <v>45645</v>
      </c>
      <c r="G284" s="552">
        <v>45646</v>
      </c>
      <c r="H284" s="561" t="s">
        <v>1016</v>
      </c>
      <c r="I284" s="554" t="s">
        <v>1022</v>
      </c>
      <c r="J284" s="555">
        <f t="shared" si="4"/>
        <v>1</v>
      </c>
    </row>
    <row r="285" spans="1:101" x14ac:dyDescent="0.2">
      <c r="A285" s="344">
        <f>+SUBTOTAL(3,$E$8:$E285)</f>
        <v>278</v>
      </c>
      <c r="B285" s="556">
        <v>45627</v>
      </c>
      <c r="C285" s="344" t="s">
        <v>714</v>
      </c>
      <c r="D285" s="344" t="str">
        <f>+VLOOKUP(C285,'Visual chart Edit'!$B$7:$C$491,2,FALSE)</f>
        <v>DA+6</v>
      </c>
      <c r="E285" s="344" t="s">
        <v>143</v>
      </c>
      <c r="F285" s="552">
        <v>45643</v>
      </c>
      <c r="G285" s="552">
        <v>45646</v>
      </c>
      <c r="H285" s="553" t="s">
        <v>883</v>
      </c>
      <c r="I285" s="554" t="s">
        <v>1021</v>
      </c>
      <c r="J285" s="555">
        <f t="shared" si="4"/>
        <v>3</v>
      </c>
    </row>
    <row r="286" spans="1:101" x14ac:dyDescent="0.2">
      <c r="A286" s="344">
        <f>+SUBTOTAL(3,$E$8:$E286)</f>
        <v>279</v>
      </c>
      <c r="B286" s="556">
        <v>45627</v>
      </c>
      <c r="C286" s="344" t="s">
        <v>842</v>
      </c>
      <c r="D286" s="344" t="str">
        <f>+VLOOKUP(C286,'Visual chart Edit'!$B$7:$C$491,2,FALSE)</f>
        <v>DA+3</v>
      </c>
      <c r="E286" s="344" t="s">
        <v>276</v>
      </c>
      <c r="F286" s="552">
        <v>45646</v>
      </c>
      <c r="G286" s="552">
        <v>45647</v>
      </c>
      <c r="H286" s="553" t="s">
        <v>883</v>
      </c>
      <c r="I286" s="554" t="s">
        <v>1022</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1017</v>
      </c>
      <c r="I287" s="554" t="s">
        <v>643</v>
      </c>
      <c r="J287" s="555">
        <f t="shared" si="4"/>
        <v>5</v>
      </c>
    </row>
    <row r="288" spans="1:101" x14ac:dyDescent="0.2">
      <c r="A288" s="344">
        <f>+SUBTOTAL(3,$E$8:$E288)</f>
        <v>281</v>
      </c>
      <c r="B288" s="556">
        <v>45627</v>
      </c>
      <c r="C288" s="346" t="s">
        <v>853</v>
      </c>
      <c r="D288" s="344" t="str">
        <f>+VLOOKUP(C288,'Visual chart Edit'!$B$7:$C$491,2,FALSE)</f>
        <v>DB2+3</v>
      </c>
      <c r="E288" s="344" t="s">
        <v>276</v>
      </c>
      <c r="F288" s="552">
        <v>45648</v>
      </c>
      <c r="G288" s="552">
        <v>45649</v>
      </c>
      <c r="H288" s="553" t="s">
        <v>1016</v>
      </c>
      <c r="I288" s="554" t="s">
        <v>1022</v>
      </c>
      <c r="J288" s="555">
        <f t="shared" si="4"/>
        <v>1</v>
      </c>
    </row>
    <row r="289" spans="1:10" x14ac:dyDescent="0.2">
      <c r="A289" s="344">
        <f>+SUBTOTAL(3,$E$8:$E289)</f>
        <v>282</v>
      </c>
      <c r="B289" s="556">
        <v>45627</v>
      </c>
      <c r="C289" s="346" t="s">
        <v>839</v>
      </c>
      <c r="D289" s="344" t="str">
        <f>+VLOOKUP(C289,'Visual chart Edit'!$B$7:$C$491,2,FALSE)</f>
        <v>DA+3</v>
      </c>
      <c r="E289" s="344" t="s">
        <v>276</v>
      </c>
      <c r="F289" s="552">
        <v>45648</v>
      </c>
      <c r="G289" s="552">
        <v>45649</v>
      </c>
      <c r="H289" s="553" t="s">
        <v>883</v>
      </c>
      <c r="I289" s="554" t="s">
        <v>1022</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1015</v>
      </c>
      <c r="I290" s="554" t="s">
        <v>643</v>
      </c>
      <c r="J290" s="555">
        <f t="shared" si="4"/>
        <v>12</v>
      </c>
    </row>
    <row r="291" spans="1:10" x14ac:dyDescent="0.2">
      <c r="A291" s="344">
        <f>+SUBTOTAL(3,$E$8:$E291)</f>
        <v>284</v>
      </c>
      <c r="B291" s="556">
        <v>45627</v>
      </c>
      <c r="C291" s="344" t="s">
        <v>848</v>
      </c>
      <c r="D291" s="344" t="str">
        <f>+VLOOKUP(C291,'Visual chart Edit'!$B$7:$C$491,2,FALSE)</f>
        <v>DA+3</v>
      </c>
      <c r="E291" s="344" t="s">
        <v>276</v>
      </c>
      <c r="F291" s="552">
        <v>45650</v>
      </c>
      <c r="G291" s="552">
        <v>45651</v>
      </c>
      <c r="H291" s="553" t="s">
        <v>1016</v>
      </c>
      <c r="I291" s="554" t="s">
        <v>1022</v>
      </c>
      <c r="J291" s="555">
        <f t="shared" si="4"/>
        <v>1</v>
      </c>
    </row>
    <row r="292" spans="1:10" x14ac:dyDescent="0.2">
      <c r="A292" s="344">
        <f>+SUBTOTAL(3,$E$8:$E292)</f>
        <v>285</v>
      </c>
      <c r="B292" s="556">
        <v>45627</v>
      </c>
      <c r="C292" s="344" t="s">
        <v>715</v>
      </c>
      <c r="D292" s="344" t="str">
        <f>+VLOOKUP(C292,'Visual chart Edit'!$B$7:$C$491,2,FALSE)</f>
        <v>DA+6</v>
      </c>
      <c r="E292" s="344" t="s">
        <v>143</v>
      </c>
      <c r="F292" s="552">
        <v>45650</v>
      </c>
      <c r="G292" s="552">
        <v>45651</v>
      </c>
      <c r="H292" s="553" t="s">
        <v>883</v>
      </c>
      <c r="I292" s="554" t="s">
        <v>1025</v>
      </c>
      <c r="J292" s="555">
        <f t="shared" si="4"/>
        <v>1</v>
      </c>
    </row>
    <row r="293" spans="1:10" x14ac:dyDescent="0.2">
      <c r="A293" s="344">
        <f>+SUBTOTAL(3,$E$8:$E293)</f>
        <v>286</v>
      </c>
      <c r="B293" s="556">
        <v>45627</v>
      </c>
      <c r="C293" s="346" t="s">
        <v>843</v>
      </c>
      <c r="D293" s="344" t="str">
        <f>+VLOOKUP(C293,'Visual chart Edit'!$B$7:$C$491,2,FALSE)</f>
        <v>DA+3</v>
      </c>
      <c r="E293" s="344" t="s">
        <v>276</v>
      </c>
      <c r="F293" s="552">
        <v>45650</v>
      </c>
      <c r="G293" s="552">
        <v>45651</v>
      </c>
      <c r="H293" s="553" t="s">
        <v>883</v>
      </c>
      <c r="I293" s="554" t="s">
        <v>1021</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643</v>
      </c>
      <c r="J294" s="555">
        <f t="shared" si="4"/>
        <v>10</v>
      </c>
    </row>
    <row r="295" spans="1:10" x14ac:dyDescent="0.2">
      <c r="A295" s="344">
        <f>+SUBTOTAL(3,$E$8:$E295)</f>
        <v>288</v>
      </c>
      <c r="B295" s="556">
        <v>45627</v>
      </c>
      <c r="C295" s="344" t="s">
        <v>849</v>
      </c>
      <c r="D295" s="344" t="str">
        <f>+VLOOKUP(C295,'Visual chart Edit'!$B$7:$C$491,2,FALSE)</f>
        <v>DA+3</v>
      </c>
      <c r="E295" s="344" t="s">
        <v>276</v>
      </c>
      <c r="F295" s="552">
        <v>45652</v>
      </c>
      <c r="G295" s="552">
        <v>45653</v>
      </c>
      <c r="H295" s="553" t="s">
        <v>1016</v>
      </c>
      <c r="I295" s="554" t="s">
        <v>1022</v>
      </c>
      <c r="J295" s="555">
        <f t="shared" si="4"/>
        <v>1</v>
      </c>
    </row>
    <row r="296" spans="1:10" x14ac:dyDescent="0.2">
      <c r="A296" s="344">
        <f>+SUBTOTAL(3,$E$8:$E296)</f>
        <v>289</v>
      </c>
      <c r="B296" s="556">
        <v>45627</v>
      </c>
      <c r="C296" s="346" t="s">
        <v>844</v>
      </c>
      <c r="D296" s="344" t="str">
        <f>+VLOOKUP(C296,'Visual chart Edit'!$B$7:$C$491,2,FALSE)</f>
        <v>DA+3</v>
      </c>
      <c r="E296" s="344" t="s">
        <v>276</v>
      </c>
      <c r="F296" s="552">
        <v>45652</v>
      </c>
      <c r="G296" s="552">
        <v>45653</v>
      </c>
      <c r="H296" s="553" t="s">
        <v>883</v>
      </c>
      <c r="I296" s="554" t="s">
        <v>1022</v>
      </c>
      <c r="J296" s="555">
        <f t="shared" si="4"/>
        <v>1</v>
      </c>
    </row>
    <row r="297" spans="1:10" x14ac:dyDescent="0.2">
      <c r="A297" s="344">
        <f>+SUBTOTAL(3,$E$8:$E297)</f>
        <v>290</v>
      </c>
      <c r="B297" s="556">
        <v>45627</v>
      </c>
      <c r="C297" s="344" t="s">
        <v>726</v>
      </c>
      <c r="D297" s="344" t="str">
        <f>+VLOOKUP(C297,'Visual chart Edit'!$B$7:$C$491,2,FALSE)</f>
        <v>DA+0</v>
      </c>
      <c r="E297" s="344" t="s">
        <v>143</v>
      </c>
      <c r="F297" s="552">
        <v>45651</v>
      </c>
      <c r="G297" s="552">
        <v>45655</v>
      </c>
      <c r="H297" s="553" t="s">
        <v>1016</v>
      </c>
      <c r="I297" s="554" t="s">
        <v>1025</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624</v>
      </c>
      <c r="I298" s="554" t="s">
        <v>222</v>
      </c>
      <c r="J298" s="555">
        <f t="shared" si="4"/>
        <v>9</v>
      </c>
    </row>
    <row r="299" spans="1:10" x14ac:dyDescent="0.2">
      <c r="A299" s="344">
        <f>+SUBTOTAL(3,$E$8:$E299)</f>
        <v>292</v>
      </c>
      <c r="B299" s="556">
        <v>45627</v>
      </c>
      <c r="C299" s="344" t="s">
        <v>847</v>
      </c>
      <c r="D299" s="344" t="str">
        <f>+VLOOKUP(C299,'Visual chart Edit'!$B$7:$C$491,2,FALSE)</f>
        <v>DA+6</v>
      </c>
      <c r="E299" s="344" t="s">
        <v>276</v>
      </c>
      <c r="F299" s="552">
        <v>45655</v>
      </c>
      <c r="G299" s="552">
        <v>45656</v>
      </c>
      <c r="H299" s="553" t="s">
        <v>1016</v>
      </c>
      <c r="I299" s="554" t="s">
        <v>1022</v>
      </c>
      <c r="J299" s="555">
        <f t="shared" si="4"/>
        <v>1</v>
      </c>
    </row>
    <row r="300" spans="1:10" x14ac:dyDescent="0.2">
      <c r="A300" s="344">
        <f>+SUBTOTAL(3,$E$8:$E300)</f>
        <v>293</v>
      </c>
      <c r="B300" s="556">
        <v>45627</v>
      </c>
      <c r="C300" s="344" t="s">
        <v>717</v>
      </c>
      <c r="D300" s="344" t="str">
        <f>+VLOOKUP(C300,'Visual chart Edit'!$B$7:$C$491,2,FALSE)</f>
        <v>DA+9</v>
      </c>
      <c r="E300" s="344" t="s">
        <v>143</v>
      </c>
      <c r="F300" s="552">
        <v>45653</v>
      </c>
      <c r="G300" s="552">
        <v>45656</v>
      </c>
      <c r="H300" s="553" t="s">
        <v>883</v>
      </c>
      <c r="I300" s="554" t="s">
        <v>1025</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1018</v>
      </c>
      <c r="I301" s="554" t="s">
        <v>643</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624</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883</v>
      </c>
      <c r="I303" s="554" t="s">
        <v>1022</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1013</v>
      </c>
      <c r="I304" s="554" t="s">
        <v>642</v>
      </c>
      <c r="J304" s="555">
        <f t="shared" si="4"/>
        <v>12</v>
      </c>
    </row>
    <row r="305" spans="1:10" x14ac:dyDescent="0.2">
      <c r="A305" s="344">
        <f>+SUBTOTAL(3,$E$8:$E305)</f>
        <v>298</v>
      </c>
      <c r="B305" s="556">
        <v>45658</v>
      </c>
      <c r="C305" s="344" t="s">
        <v>846</v>
      </c>
      <c r="D305" s="344" t="str">
        <f>+VLOOKUP(C305,'Visual chart Edit'!$B$7:$C$491,2,FALSE)</f>
        <v>DA+3</v>
      </c>
      <c r="E305" s="563" t="s">
        <v>276</v>
      </c>
      <c r="F305" s="552">
        <v>45657</v>
      </c>
      <c r="G305" s="552">
        <v>45661</v>
      </c>
      <c r="H305" s="561" t="s">
        <v>1016</v>
      </c>
      <c r="I305" s="554" t="s">
        <v>1022</v>
      </c>
      <c r="J305" s="555">
        <f t="shared" si="4"/>
        <v>4</v>
      </c>
    </row>
    <row r="306" spans="1:10" x14ac:dyDescent="0.2">
      <c r="A306" s="344">
        <f>+SUBTOTAL(3,$E$8:$E306)</f>
        <v>299</v>
      </c>
      <c r="B306" s="556">
        <v>45658</v>
      </c>
      <c r="C306" s="344" t="s">
        <v>845</v>
      </c>
      <c r="D306" s="344" t="str">
        <f>+VLOOKUP(C306,'Visual chart Edit'!$B$7:$C$491,2,FALSE)</f>
        <v>DA+3</v>
      </c>
      <c r="E306" s="563" t="s">
        <v>276</v>
      </c>
      <c r="F306" s="552">
        <v>45661</v>
      </c>
      <c r="G306" s="552">
        <v>45663</v>
      </c>
      <c r="H306" s="561" t="s">
        <v>1016</v>
      </c>
      <c r="I306" s="554" t="s">
        <v>1022</v>
      </c>
      <c r="J306" s="555">
        <f t="shared" si="4"/>
        <v>2</v>
      </c>
    </row>
    <row r="307" spans="1:10" x14ac:dyDescent="0.2">
      <c r="A307" s="344">
        <f>+SUBTOTAL(3,$E$8:$E307)</f>
        <v>300</v>
      </c>
      <c r="B307" s="556">
        <v>45658</v>
      </c>
      <c r="C307" s="344" t="s">
        <v>736</v>
      </c>
      <c r="D307" s="344" t="str">
        <f>+VLOOKUP(C307,'Visual chart Edit'!$B$7:$C$491,2,FALSE)</f>
        <v>DA+6</v>
      </c>
      <c r="E307" s="563" t="s">
        <v>143</v>
      </c>
      <c r="F307" s="552">
        <v>45659</v>
      </c>
      <c r="G307" s="552">
        <v>45663</v>
      </c>
      <c r="H307" s="561" t="s">
        <v>883</v>
      </c>
      <c r="I307" s="554" t="s">
        <v>1025</v>
      </c>
      <c r="J307" s="555">
        <f t="shared" si="4"/>
        <v>4</v>
      </c>
    </row>
    <row r="308" spans="1:10" x14ac:dyDescent="0.2">
      <c r="A308" s="344">
        <f>+SUBTOTAL(3,$E$8:$E308)</f>
        <v>301</v>
      </c>
      <c r="B308" s="556">
        <v>45658</v>
      </c>
      <c r="C308" s="344" t="s">
        <v>668</v>
      </c>
      <c r="D308" s="344" t="str">
        <f>+VLOOKUP(C308,'Visual chart Edit'!$B$7:$C$491,2,FALSE)</f>
        <v>DA+0</v>
      </c>
      <c r="E308" s="563" t="s">
        <v>143</v>
      </c>
      <c r="F308" s="552">
        <v>45659</v>
      </c>
      <c r="G308" s="552">
        <v>45663</v>
      </c>
      <c r="H308" s="561" t="s">
        <v>883</v>
      </c>
      <c r="I308" s="554" t="s">
        <v>1025</v>
      </c>
      <c r="J308" s="555">
        <f t="shared" si="4"/>
        <v>4</v>
      </c>
    </row>
    <row r="309" spans="1:10" x14ac:dyDescent="0.2">
      <c r="A309" s="344">
        <f>+SUBTOTAL(3,$E$8:$E309)</f>
        <v>302</v>
      </c>
      <c r="B309" s="556">
        <v>45658</v>
      </c>
      <c r="C309" s="344" t="s">
        <v>669</v>
      </c>
      <c r="D309" s="344" t="str">
        <f>+VLOOKUP(C309,'Visual chart Edit'!$B$7:$C$491,2,FALSE)</f>
        <v>DA+0</v>
      </c>
      <c r="E309" s="563" t="s">
        <v>143</v>
      </c>
      <c r="F309" s="552">
        <v>45661</v>
      </c>
      <c r="G309" s="552">
        <v>45664</v>
      </c>
      <c r="H309" s="561" t="s">
        <v>883</v>
      </c>
      <c r="I309" s="554" t="s">
        <v>1025</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1018</v>
      </c>
      <c r="I310" s="554" t="s">
        <v>661</v>
      </c>
      <c r="J310" s="555">
        <f t="shared" si="4"/>
        <v>6</v>
      </c>
    </row>
    <row r="311" spans="1:10" x14ac:dyDescent="0.2">
      <c r="A311" s="344">
        <f>+SUBTOTAL(3,$E$8:$E311)</f>
        <v>304</v>
      </c>
      <c r="B311" s="556">
        <v>45658</v>
      </c>
      <c r="C311" s="344" t="s">
        <v>725</v>
      </c>
      <c r="D311" s="344" t="str">
        <f>+VLOOKUP(C311,'Visual chart Edit'!$B$7:$C$491,2,FALSE)</f>
        <v>DA+9</v>
      </c>
      <c r="E311" s="563" t="s">
        <v>143</v>
      </c>
      <c r="F311" s="552">
        <v>45655</v>
      </c>
      <c r="G311" s="552">
        <v>45665</v>
      </c>
      <c r="H311" s="561" t="s">
        <v>1016</v>
      </c>
      <c r="I311" s="554" t="s">
        <v>1025</v>
      </c>
      <c r="J311" s="555">
        <f t="shared" si="4"/>
        <v>10</v>
      </c>
    </row>
    <row r="312" spans="1:10" x14ac:dyDescent="0.2">
      <c r="A312" s="344">
        <f>+SUBTOTAL(3,$E$8:$E312)</f>
        <v>305</v>
      </c>
      <c r="B312" s="556">
        <v>45658</v>
      </c>
      <c r="C312" s="344" t="s">
        <v>836</v>
      </c>
      <c r="D312" s="344" t="str">
        <f>+VLOOKUP(C312,'Visual chart Edit'!$B$7:$C$491,2,FALSE)</f>
        <v>DA+3</v>
      </c>
      <c r="E312" s="563" t="s">
        <v>276</v>
      </c>
      <c r="F312" s="552">
        <v>45664</v>
      </c>
      <c r="G312" s="552">
        <v>45666</v>
      </c>
      <c r="H312" s="561" t="s">
        <v>1016</v>
      </c>
      <c r="I312" s="554" t="s">
        <v>1022</v>
      </c>
      <c r="J312" s="555">
        <f t="shared" si="4"/>
        <v>2</v>
      </c>
    </row>
    <row r="313" spans="1:10" x14ac:dyDescent="0.2">
      <c r="A313" s="344">
        <f>+SUBTOTAL(3,$E$8:$E313)</f>
        <v>306</v>
      </c>
      <c r="B313" s="556">
        <v>45658</v>
      </c>
      <c r="C313" s="344" t="s">
        <v>737</v>
      </c>
      <c r="D313" s="344" t="str">
        <f>+VLOOKUP(C313,'Visual chart Edit'!$B$7:$C$491,2,FALSE)</f>
        <v>DA+9</v>
      </c>
      <c r="E313" s="563" t="s">
        <v>143</v>
      </c>
      <c r="F313" s="552">
        <v>45663</v>
      </c>
      <c r="G313" s="552">
        <v>45666</v>
      </c>
      <c r="H313" s="561" t="s">
        <v>883</v>
      </c>
      <c r="I313" s="554" t="s">
        <v>1025</v>
      </c>
      <c r="J313" s="555">
        <f t="shared" si="4"/>
        <v>3</v>
      </c>
    </row>
    <row r="314" spans="1:10" x14ac:dyDescent="0.2">
      <c r="A314" s="344">
        <f>+SUBTOTAL(3,$E$8:$E314)</f>
        <v>307</v>
      </c>
      <c r="B314" s="556">
        <v>45658</v>
      </c>
      <c r="C314" s="344" t="s">
        <v>679</v>
      </c>
      <c r="D314" s="344" t="str">
        <f>+VLOOKUP(C314,'Visual chart Edit'!$B$7:$C$491,2,FALSE)</f>
        <v>DC2+0</v>
      </c>
      <c r="E314" s="563" t="s">
        <v>143</v>
      </c>
      <c r="F314" s="552">
        <v>45663</v>
      </c>
      <c r="G314" s="552">
        <v>45666</v>
      </c>
      <c r="H314" s="561" t="s">
        <v>884</v>
      </c>
      <c r="I314" s="554" t="s">
        <v>1025</v>
      </c>
      <c r="J314" s="555">
        <f t="shared" si="4"/>
        <v>3</v>
      </c>
    </row>
    <row r="315" spans="1:10" x14ac:dyDescent="0.2">
      <c r="A315" s="344">
        <f>+SUBTOTAL(3,$E$8:$E315)</f>
        <v>308</v>
      </c>
      <c r="B315" s="556">
        <v>45658</v>
      </c>
      <c r="C315" s="344" t="s">
        <v>678</v>
      </c>
      <c r="D315" s="344" t="str">
        <f>+VLOOKUP(C315,'Visual chart Edit'!$B$7:$C$491,2,FALSE)</f>
        <v>DA+0</v>
      </c>
      <c r="E315" s="563" t="s">
        <v>143</v>
      </c>
      <c r="F315" s="552">
        <v>45664</v>
      </c>
      <c r="G315" s="552">
        <v>45666</v>
      </c>
      <c r="H315" s="561" t="s">
        <v>884</v>
      </c>
      <c r="I315" s="554" t="s">
        <v>1025</v>
      </c>
      <c r="J315" s="555">
        <f t="shared" si="4"/>
        <v>2</v>
      </c>
    </row>
    <row r="316" spans="1:10" x14ac:dyDescent="0.2">
      <c r="A316" s="344">
        <f>+SUBTOTAL(3,$E$8:$E316)</f>
        <v>309</v>
      </c>
      <c r="B316" s="556">
        <v>45658</v>
      </c>
      <c r="C316" s="344" t="s">
        <v>724</v>
      </c>
      <c r="D316" s="344" t="str">
        <f>+VLOOKUP(C316,'Visual chart Edit'!$B$7:$C$491,2,FALSE)</f>
        <v>DB2+9</v>
      </c>
      <c r="E316" s="563" t="s">
        <v>143</v>
      </c>
      <c r="F316" s="552">
        <v>45663</v>
      </c>
      <c r="G316" s="552">
        <v>45669</v>
      </c>
      <c r="H316" s="561" t="s">
        <v>1016</v>
      </c>
      <c r="I316" s="554" t="s">
        <v>1025</v>
      </c>
      <c r="J316" s="555">
        <f t="shared" si="4"/>
        <v>6</v>
      </c>
    </row>
    <row r="317" spans="1:10" x14ac:dyDescent="0.2">
      <c r="A317" s="344">
        <f>+SUBTOTAL(3,$E$8:$E317)</f>
        <v>310</v>
      </c>
      <c r="B317" s="556">
        <v>45658</v>
      </c>
      <c r="C317" s="344" t="s">
        <v>677</v>
      </c>
      <c r="D317" s="344" t="str">
        <f>+VLOOKUP(C317,'Visual chart Edit'!$B$7:$C$491,2,FALSE)</f>
        <v>DB1+9</v>
      </c>
      <c r="E317" s="563" t="s">
        <v>143</v>
      </c>
      <c r="F317" s="552">
        <v>45668</v>
      </c>
      <c r="G317" s="552">
        <v>45669</v>
      </c>
      <c r="H317" s="561" t="s">
        <v>884</v>
      </c>
      <c r="I317" s="554" t="s">
        <v>1025</v>
      </c>
      <c r="J317" s="555">
        <f t="shared" si="4"/>
        <v>1</v>
      </c>
    </row>
    <row r="318" spans="1:10" x14ac:dyDescent="0.2">
      <c r="A318" s="344">
        <f>+SUBTOTAL(3,$E$8:$E318)</f>
        <v>311</v>
      </c>
      <c r="B318" s="556">
        <v>45658</v>
      </c>
      <c r="C318" s="344" t="s">
        <v>671</v>
      </c>
      <c r="D318" s="344" t="str">
        <f>+VLOOKUP(C318,'Visual chart Edit'!$B$7:$C$491,2,FALSE)</f>
        <v>DA+9</v>
      </c>
      <c r="E318" s="563" t="s">
        <v>143</v>
      </c>
      <c r="F318" s="552">
        <v>45665</v>
      </c>
      <c r="G318" s="552">
        <v>45669</v>
      </c>
      <c r="H318" s="561" t="s">
        <v>883</v>
      </c>
      <c r="I318" s="554" t="s">
        <v>1025</v>
      </c>
      <c r="J318" s="555">
        <f t="shared" si="4"/>
        <v>4</v>
      </c>
    </row>
    <row r="319" spans="1:10" x14ac:dyDescent="0.2">
      <c r="A319" s="344">
        <f>+SUBTOTAL(3,$E$8:$E319)</f>
        <v>312</v>
      </c>
      <c r="B319" s="556">
        <v>45658</v>
      </c>
      <c r="C319" s="344" t="s">
        <v>837</v>
      </c>
      <c r="D319" s="344" t="str">
        <f>+VLOOKUP(C319,'Visual chart Edit'!$B$7:$C$491,2,FALSE)</f>
        <v>DA+3</v>
      </c>
      <c r="E319" s="563" t="s">
        <v>276</v>
      </c>
      <c r="F319" s="552">
        <v>45669</v>
      </c>
      <c r="G319" s="552">
        <v>45670</v>
      </c>
      <c r="H319" s="561" t="s">
        <v>1016</v>
      </c>
      <c r="I319" s="554" t="s">
        <v>1022</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1019</v>
      </c>
      <c r="I320" s="554" t="s">
        <v>222</v>
      </c>
      <c r="J320" s="555">
        <f t="shared" si="4"/>
        <v>6</v>
      </c>
    </row>
    <row r="321" spans="1:10" x14ac:dyDescent="0.2">
      <c r="A321" s="344">
        <f>+SUBTOTAL(3,$E$8:$E321)</f>
        <v>314</v>
      </c>
      <c r="B321" s="556">
        <v>45658</v>
      </c>
      <c r="C321" s="344" t="s">
        <v>838</v>
      </c>
      <c r="D321" s="344" t="str">
        <f>+VLOOKUP(C321,'Visual chart Edit'!$B$7:$C$491,2,FALSE)</f>
        <v>DA+3</v>
      </c>
      <c r="E321" s="563" t="s">
        <v>276</v>
      </c>
      <c r="F321" s="552">
        <v>45670</v>
      </c>
      <c r="G321" s="552">
        <v>45672</v>
      </c>
      <c r="H321" s="561" t="s">
        <v>1016</v>
      </c>
      <c r="I321" s="554" t="s">
        <v>1022</v>
      </c>
      <c r="J321" s="555">
        <f t="shared" si="4"/>
        <v>2</v>
      </c>
    </row>
    <row r="322" spans="1:10" x14ac:dyDescent="0.2">
      <c r="A322" s="344">
        <f>+SUBTOTAL(3,$E$8:$E322)</f>
        <v>315</v>
      </c>
      <c r="B322" s="556">
        <v>45658</v>
      </c>
      <c r="C322" s="344" t="s">
        <v>727</v>
      </c>
      <c r="D322" s="344" t="str">
        <f>+VLOOKUP(C322,'Visual chart Edit'!$B$7:$C$491,2,FALSE)</f>
        <v>DA+6</v>
      </c>
      <c r="E322" s="563" t="s">
        <v>143</v>
      </c>
      <c r="F322" s="552">
        <v>45668</v>
      </c>
      <c r="G322" s="552">
        <v>45672</v>
      </c>
      <c r="H322" s="561" t="s">
        <v>1016</v>
      </c>
      <c r="I322" s="554" t="s">
        <v>1025</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624</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879</v>
      </c>
      <c r="I324" s="554" t="s">
        <v>1021</v>
      </c>
      <c r="J324" s="555">
        <f t="shared" si="4"/>
        <v>4</v>
      </c>
    </row>
    <row r="325" spans="1:10" x14ac:dyDescent="0.2">
      <c r="A325" s="344">
        <f>+SUBTOTAL(3,$E$8:$E325)</f>
        <v>318</v>
      </c>
      <c r="B325" s="556">
        <v>45658</v>
      </c>
      <c r="C325" s="344" t="s">
        <v>628</v>
      </c>
      <c r="D325" s="344" t="str">
        <f>+VLOOKUP(C325,'Visual chart Edit'!$B$7:$C$491,2,FALSE)</f>
        <v>DA+6</v>
      </c>
      <c r="E325" s="563" t="s">
        <v>32</v>
      </c>
      <c r="F325" s="552">
        <v>45668</v>
      </c>
      <c r="G325" s="552">
        <v>45675</v>
      </c>
      <c r="H325" s="561" t="s">
        <v>1018</v>
      </c>
      <c r="I325" s="554" t="s">
        <v>661</v>
      </c>
      <c r="J325" s="555">
        <f t="shared" si="4"/>
        <v>7</v>
      </c>
    </row>
    <row r="326" spans="1:10" x14ac:dyDescent="0.2">
      <c r="A326" s="344">
        <f>+SUBTOTAL(3,$E$8:$E326)</f>
        <v>319</v>
      </c>
      <c r="B326" s="556">
        <v>45658</v>
      </c>
      <c r="C326" s="344" t="s">
        <v>728</v>
      </c>
      <c r="D326" s="344" t="str">
        <f>+VLOOKUP(C326,'Visual chart Edit'!$B$7:$C$491,2,FALSE)</f>
        <v>DA+0</v>
      </c>
      <c r="E326" s="563" t="s">
        <v>143</v>
      </c>
      <c r="F326" s="552">
        <v>45671</v>
      </c>
      <c r="G326" s="552">
        <v>45675</v>
      </c>
      <c r="H326" s="561" t="s">
        <v>1016</v>
      </c>
      <c r="I326" s="554" t="s">
        <v>1025</v>
      </c>
      <c r="J326" s="555">
        <f t="shared" si="4"/>
        <v>4</v>
      </c>
    </row>
    <row r="327" spans="1:10" x14ac:dyDescent="0.2">
      <c r="A327" s="344">
        <f>+SUBTOTAL(3,$E$8:$E327)</f>
        <v>320</v>
      </c>
      <c r="B327" s="556">
        <v>45658</v>
      </c>
      <c r="C327" s="344" t="s">
        <v>713</v>
      </c>
      <c r="D327" s="344" t="str">
        <f>+VLOOKUP(C327,'Visual chart Edit'!$B$7:$C$491,2,FALSE)</f>
        <v>DC2+0</v>
      </c>
      <c r="E327" s="563" t="s">
        <v>143</v>
      </c>
      <c r="F327" s="552">
        <v>45668</v>
      </c>
      <c r="G327" s="552">
        <v>45675</v>
      </c>
      <c r="H327" s="561" t="s">
        <v>883</v>
      </c>
      <c r="I327" s="554" t="s">
        <v>1025</v>
      </c>
      <c r="J327" s="555">
        <f t="shared" si="4"/>
        <v>7</v>
      </c>
    </row>
    <row r="328" spans="1:10" x14ac:dyDescent="0.2">
      <c r="A328" s="344">
        <f>+SUBTOTAL(3,$E$8:$E328)</f>
        <v>321</v>
      </c>
      <c r="B328" s="556">
        <v>45658</v>
      </c>
      <c r="C328" s="344" t="s">
        <v>672</v>
      </c>
      <c r="D328" s="344" t="str">
        <f>+VLOOKUP(C328,'Visual chart Edit'!$B$7:$C$491,2,FALSE)</f>
        <v>DA+9</v>
      </c>
      <c r="E328" s="563" t="s">
        <v>143</v>
      </c>
      <c r="F328" s="552">
        <v>45670</v>
      </c>
      <c r="G328" s="552">
        <v>45676</v>
      </c>
      <c r="H328" s="561" t="s">
        <v>883</v>
      </c>
      <c r="I328" s="554" t="s">
        <v>1025</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661</v>
      </c>
      <c r="J329" s="555">
        <f t="shared" ref="J329:J392" si="5">G329-F329</f>
        <v>16</v>
      </c>
    </row>
    <row r="330" spans="1:10" x14ac:dyDescent="0.2">
      <c r="A330" s="344">
        <f>+SUBTOTAL(3,$E$8:$E330)</f>
        <v>323</v>
      </c>
      <c r="B330" s="556">
        <v>45658</v>
      </c>
      <c r="C330" s="344" t="s">
        <v>676</v>
      </c>
      <c r="D330" s="344" t="str">
        <f>+VLOOKUP(C330,'Visual chart Edit'!$B$7:$C$491,2,FALSE)</f>
        <v>DA+9</v>
      </c>
      <c r="E330" s="563" t="s">
        <v>143</v>
      </c>
      <c r="F330" s="552">
        <v>45672</v>
      </c>
      <c r="G330" s="552">
        <v>45677</v>
      </c>
      <c r="H330" s="561" t="s">
        <v>885</v>
      </c>
      <c r="I330" s="554" t="s">
        <v>1025</v>
      </c>
      <c r="J330" s="555">
        <f t="shared" si="5"/>
        <v>5</v>
      </c>
    </row>
    <row r="331" spans="1:10" x14ac:dyDescent="0.2">
      <c r="A331" s="344">
        <f>+SUBTOTAL(3,$E$8:$E331)</f>
        <v>324</v>
      </c>
      <c r="B331" s="556">
        <v>45658</v>
      </c>
      <c r="C331" s="344" t="s">
        <v>834</v>
      </c>
      <c r="D331" s="344" t="str">
        <f>+VLOOKUP(C331,'Visual chart Edit'!$B$7:$C$491,2,FALSE)</f>
        <v>DA+3</v>
      </c>
      <c r="E331" s="563" t="s">
        <v>276</v>
      </c>
      <c r="F331" s="552">
        <v>45674</v>
      </c>
      <c r="G331" s="552">
        <v>45678</v>
      </c>
      <c r="H331" s="561" t="s">
        <v>1016</v>
      </c>
      <c r="I331" s="554" t="s">
        <v>1022</v>
      </c>
      <c r="J331" s="555">
        <f t="shared" si="5"/>
        <v>4</v>
      </c>
    </row>
    <row r="332" spans="1:10" x14ac:dyDescent="0.2">
      <c r="A332" s="344">
        <f>+SUBTOTAL(3,$E$8:$E332)</f>
        <v>325</v>
      </c>
      <c r="B332" s="556">
        <v>45658</v>
      </c>
      <c r="C332" s="344" t="s">
        <v>835</v>
      </c>
      <c r="D332" s="344" t="str">
        <f>+VLOOKUP(C332,'Visual chart Edit'!$B$7:$C$491,2,FALSE)</f>
        <v>DA+3</v>
      </c>
      <c r="E332" s="563" t="s">
        <v>276</v>
      </c>
      <c r="F332" s="552">
        <v>45677</v>
      </c>
      <c r="G332" s="552">
        <v>45678</v>
      </c>
      <c r="H332" s="561" t="s">
        <v>879</v>
      </c>
      <c r="I332" s="554" t="s">
        <v>1022</v>
      </c>
      <c r="J332" s="555">
        <f t="shared" si="5"/>
        <v>1</v>
      </c>
    </row>
    <row r="333" spans="1:10" x14ac:dyDescent="0.2">
      <c r="A333" s="344">
        <f>+SUBTOTAL(3,$E$8:$E333)</f>
        <v>326</v>
      </c>
      <c r="B333" s="556">
        <v>45658</v>
      </c>
      <c r="C333" s="344" t="s">
        <v>673</v>
      </c>
      <c r="D333" s="344" t="str">
        <f>+VLOOKUP(C333,'Visual chart Edit'!$B$7:$C$491,2,FALSE)</f>
        <v>DB1+3</v>
      </c>
      <c r="E333" s="563" t="s">
        <v>143</v>
      </c>
      <c r="F333" s="552">
        <v>45676</v>
      </c>
      <c r="G333" s="552">
        <v>45678</v>
      </c>
      <c r="H333" s="561" t="s">
        <v>883</v>
      </c>
      <c r="I333" s="554" t="s">
        <v>1025</v>
      </c>
      <c r="J333" s="555">
        <f t="shared" si="5"/>
        <v>2</v>
      </c>
    </row>
    <row r="334" spans="1:10" x14ac:dyDescent="0.2">
      <c r="A334" s="344">
        <f>+SUBTOTAL(3,$E$8:$E334)</f>
        <v>327</v>
      </c>
      <c r="B334" s="556">
        <v>45658</v>
      </c>
      <c r="C334" s="344" t="s">
        <v>741</v>
      </c>
      <c r="D334" s="344" t="str">
        <f>+VLOOKUP(C334,'Visual chart Edit'!$B$7:$C$491,2,FALSE)</f>
        <v>DA+0</v>
      </c>
      <c r="E334" s="563" t="s">
        <v>873</v>
      </c>
      <c r="F334" s="552">
        <v>45675</v>
      </c>
      <c r="G334" s="552">
        <v>45679</v>
      </c>
      <c r="H334" s="561" t="s">
        <v>1016</v>
      </c>
      <c r="I334" s="554" t="s">
        <v>1025</v>
      </c>
      <c r="J334" s="555">
        <f t="shared" si="5"/>
        <v>4</v>
      </c>
    </row>
    <row r="335" spans="1:10" x14ac:dyDescent="0.2">
      <c r="A335" s="344">
        <f>+SUBTOTAL(3,$E$8:$E335)</f>
        <v>328</v>
      </c>
      <c r="B335" s="556">
        <v>45658</v>
      </c>
      <c r="C335" s="344" t="s">
        <v>684</v>
      </c>
      <c r="D335" s="344" t="str">
        <f>+VLOOKUP(C335,'Visual chart Edit'!$B$7:$C$491,2,FALSE)</f>
        <v>DA+3</v>
      </c>
      <c r="E335" s="563" t="s">
        <v>143</v>
      </c>
      <c r="F335" s="552">
        <v>45676</v>
      </c>
      <c r="G335" s="552">
        <v>45680</v>
      </c>
      <c r="H335" s="561" t="s">
        <v>883</v>
      </c>
      <c r="I335" s="554" t="s">
        <v>1025</v>
      </c>
      <c r="J335" s="555">
        <f t="shared" si="5"/>
        <v>4</v>
      </c>
    </row>
    <row r="336" spans="1:10" x14ac:dyDescent="0.2">
      <c r="A336" s="344">
        <f>+SUBTOTAL(3,$E$8:$E336)</f>
        <v>329</v>
      </c>
      <c r="B336" s="556">
        <v>45658</v>
      </c>
      <c r="C336" s="344" t="s">
        <v>704</v>
      </c>
      <c r="D336" s="344" t="str">
        <f>+VLOOKUP(C336,'Visual chart Edit'!$B$7:$C$491,2,FALSE)</f>
        <v>DA+9</v>
      </c>
      <c r="E336" s="563" t="s">
        <v>143</v>
      </c>
      <c r="F336" s="552">
        <v>45673</v>
      </c>
      <c r="G336" s="552">
        <v>45680</v>
      </c>
      <c r="H336" s="561" t="s">
        <v>1010</v>
      </c>
      <c r="I336" s="554" t="s">
        <v>1025</v>
      </c>
      <c r="J336" s="555">
        <f t="shared" si="5"/>
        <v>7</v>
      </c>
    </row>
    <row r="337" spans="1:10" x14ac:dyDescent="0.2">
      <c r="A337" s="344">
        <f>+SUBTOTAL(3,$E$8:$E337)</f>
        <v>330</v>
      </c>
      <c r="B337" s="556">
        <v>45658</v>
      </c>
      <c r="C337" s="344" t="s">
        <v>631</v>
      </c>
      <c r="D337" s="344" t="str">
        <f>+VLOOKUP(C337,'Visual chart Edit'!$B$7:$C$491,2,FALSE)</f>
        <v>DA+3</v>
      </c>
      <c r="E337" s="563" t="s">
        <v>32</v>
      </c>
      <c r="F337" s="552">
        <v>45677</v>
      </c>
      <c r="G337" s="552">
        <v>45682</v>
      </c>
      <c r="H337" s="561" t="s">
        <v>659</v>
      </c>
      <c r="I337" s="554" t="s">
        <v>660</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648</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1016</v>
      </c>
      <c r="I339" s="554" t="s">
        <v>1021</v>
      </c>
      <c r="J339" s="555">
        <f t="shared" si="5"/>
        <v>5</v>
      </c>
    </row>
    <row r="340" spans="1:10" x14ac:dyDescent="0.2">
      <c r="A340" s="344">
        <f>+SUBTOTAL(3,$E$8:$E340)</f>
        <v>333</v>
      </c>
      <c r="B340" s="556">
        <v>45658</v>
      </c>
      <c r="C340" s="344" t="s">
        <v>674</v>
      </c>
      <c r="D340" s="344" t="str">
        <f>+VLOOKUP(C340,'Visual chart Edit'!$B$7:$C$491,2,FALSE)</f>
        <v>DA+9</v>
      </c>
      <c r="E340" s="563" t="s">
        <v>143</v>
      </c>
      <c r="F340" s="552">
        <v>45680</v>
      </c>
      <c r="G340" s="552">
        <v>45682</v>
      </c>
      <c r="H340" s="561" t="s">
        <v>885</v>
      </c>
      <c r="I340" s="554" t="s">
        <v>1025</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1019</v>
      </c>
      <c r="I341" s="554" t="s">
        <v>222</v>
      </c>
      <c r="J341" s="555">
        <f t="shared" si="5"/>
        <v>7</v>
      </c>
    </row>
    <row r="342" spans="1:10" x14ac:dyDescent="0.2">
      <c r="A342" s="344">
        <f>+SUBTOTAL(3,$E$8:$E342)</f>
        <v>335</v>
      </c>
      <c r="B342" s="556">
        <v>45658</v>
      </c>
      <c r="C342" s="344" t="s">
        <v>829</v>
      </c>
      <c r="D342" s="344" t="str">
        <f>+VLOOKUP(C342,'Visual chart Edit'!$B$7:$C$491,2,FALSE)</f>
        <v>DA+0</v>
      </c>
      <c r="E342" s="563" t="s">
        <v>276</v>
      </c>
      <c r="F342" s="552">
        <v>45681</v>
      </c>
      <c r="G342" s="552">
        <v>45684</v>
      </c>
      <c r="H342" s="561" t="s">
        <v>879</v>
      </c>
      <c r="I342" s="554" t="s">
        <v>1022</v>
      </c>
      <c r="J342" s="555">
        <f t="shared" si="5"/>
        <v>3</v>
      </c>
    </row>
    <row r="343" spans="1:10" x14ac:dyDescent="0.2">
      <c r="A343" s="344">
        <f>+SUBTOTAL(3,$E$8:$E343)</f>
        <v>336</v>
      </c>
      <c r="B343" s="556">
        <v>45658</v>
      </c>
      <c r="C343" s="344" t="s">
        <v>748</v>
      </c>
      <c r="D343" s="344" t="str">
        <f>+VLOOKUP(C343,'Visual chart Edit'!$B$7:$C$491,2,FALSE)</f>
        <v>DA+0</v>
      </c>
      <c r="E343" s="563" t="s">
        <v>143</v>
      </c>
      <c r="F343" s="552">
        <v>45681</v>
      </c>
      <c r="G343" s="552">
        <v>45684</v>
      </c>
      <c r="H343" s="561" t="s">
        <v>1016</v>
      </c>
      <c r="I343" s="554" t="s">
        <v>1025</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648</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624</v>
      </c>
      <c r="I345" s="554" t="s">
        <v>222</v>
      </c>
      <c r="J345" s="555">
        <f t="shared" si="5"/>
        <v>10</v>
      </c>
    </row>
    <row r="346" spans="1:10" x14ac:dyDescent="0.2">
      <c r="A346" s="344">
        <f>+SUBTOTAL(3,$E$8:$E346)</f>
        <v>339</v>
      </c>
      <c r="B346" s="556">
        <v>45658</v>
      </c>
      <c r="C346" s="344" t="s">
        <v>670</v>
      </c>
      <c r="D346" s="344" t="str">
        <f>+VLOOKUP(C346,'Visual chart Edit'!$B$7:$C$491,2,FALSE)</f>
        <v>DA+0</v>
      </c>
      <c r="E346" s="563" t="s">
        <v>143</v>
      </c>
      <c r="F346" s="552">
        <v>45681</v>
      </c>
      <c r="G346" s="552">
        <v>45685</v>
      </c>
      <c r="H346" s="561" t="s">
        <v>883</v>
      </c>
      <c r="I346" s="554" t="s">
        <v>1025</v>
      </c>
      <c r="J346" s="555">
        <f t="shared" si="5"/>
        <v>4</v>
      </c>
    </row>
    <row r="347" spans="1:10" x14ac:dyDescent="0.2">
      <c r="A347" s="344">
        <f>+SUBTOTAL(3,$E$8:$E347)</f>
        <v>340</v>
      </c>
      <c r="B347" s="556">
        <v>45658</v>
      </c>
      <c r="C347" s="344" t="s">
        <v>630</v>
      </c>
      <c r="D347" s="344" t="str">
        <f>+VLOOKUP(C347,'Visual chart Edit'!$B$7:$C$491,2,FALSE)</f>
        <v>DA+0</v>
      </c>
      <c r="E347" s="563" t="s">
        <v>276</v>
      </c>
      <c r="F347" s="552">
        <v>45678</v>
      </c>
      <c r="G347" s="552">
        <v>45686</v>
      </c>
      <c r="H347" s="561" t="s">
        <v>1018</v>
      </c>
      <c r="I347" s="554" t="s">
        <v>660</v>
      </c>
      <c r="J347" s="555">
        <f t="shared" si="5"/>
        <v>8</v>
      </c>
    </row>
    <row r="348" spans="1:10" x14ac:dyDescent="0.2">
      <c r="A348" s="344">
        <f>+SUBTOTAL(3,$E$8:$E348)</f>
        <v>341</v>
      </c>
      <c r="B348" s="556">
        <v>45658</v>
      </c>
      <c r="C348" s="344" t="s">
        <v>747</v>
      </c>
      <c r="D348" s="344" t="str">
        <f>+VLOOKUP(C348,'Visual chart Edit'!$B$7:$C$491,2,FALSE)</f>
        <v>DA+6</v>
      </c>
      <c r="E348" s="563" t="s">
        <v>143</v>
      </c>
      <c r="F348" s="552">
        <v>45685</v>
      </c>
      <c r="G348" s="552">
        <v>45687</v>
      </c>
      <c r="H348" s="561" t="s">
        <v>1016</v>
      </c>
      <c r="I348" s="554" t="s">
        <v>1025</v>
      </c>
      <c r="J348" s="555">
        <f t="shared" si="5"/>
        <v>2</v>
      </c>
    </row>
    <row r="349" spans="1:10" x14ac:dyDescent="0.2">
      <c r="A349" s="344">
        <f>+SUBTOTAL(3,$E$8:$E349)</f>
        <v>342</v>
      </c>
      <c r="B349" s="556">
        <v>45658</v>
      </c>
      <c r="C349" s="344" t="s">
        <v>629</v>
      </c>
      <c r="D349" s="344" t="str">
        <f>+VLOOKUP(C349,'Visual chart Edit'!$B$7:$C$491,2,FALSE)</f>
        <v>DA+0</v>
      </c>
      <c r="E349" s="563" t="s">
        <v>276</v>
      </c>
      <c r="F349" s="552">
        <v>45683</v>
      </c>
      <c r="G349" s="552">
        <v>45688</v>
      </c>
      <c r="H349" s="561" t="s">
        <v>1018</v>
      </c>
      <c r="I349" s="554" t="s">
        <v>660</v>
      </c>
      <c r="J349" s="555">
        <f t="shared" si="5"/>
        <v>5</v>
      </c>
    </row>
    <row r="350" spans="1:10" x14ac:dyDescent="0.2">
      <c r="A350" s="344">
        <f>+SUBTOTAL(3,$E$8:$E350)</f>
        <v>343</v>
      </c>
      <c r="B350" s="556">
        <v>45658</v>
      </c>
      <c r="C350" s="344" t="s">
        <v>675</v>
      </c>
      <c r="D350" s="344" t="str">
        <f>+VLOOKUP(C350,'Visual chart Edit'!$B$7:$C$491,2,FALSE)</f>
        <v>DCT+0</v>
      </c>
      <c r="E350" s="563" t="s">
        <v>143</v>
      </c>
      <c r="F350" s="552">
        <v>45684</v>
      </c>
      <c r="G350" s="552">
        <v>45688</v>
      </c>
      <c r="H350" s="561" t="s">
        <v>885</v>
      </c>
      <c r="I350" s="554" t="s">
        <v>1025</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1019</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648</v>
      </c>
      <c r="I352" s="554" t="s">
        <v>222</v>
      </c>
      <c r="J352" s="555">
        <f t="shared" si="5"/>
        <v>7</v>
      </c>
    </row>
    <row r="353" spans="1:10" x14ac:dyDescent="0.2">
      <c r="A353" s="344">
        <f>+SUBTOTAL(3,$E$8:$E353)</f>
        <v>346</v>
      </c>
      <c r="B353" s="564">
        <v>45689</v>
      </c>
      <c r="C353" s="344" t="s">
        <v>681</v>
      </c>
      <c r="D353" s="344" t="str">
        <f>+VLOOKUP(C353,'Visual chart Edit'!$B$7:$C$491,2,FALSE)</f>
        <v>DA+3</v>
      </c>
      <c r="E353" s="563" t="s">
        <v>143</v>
      </c>
      <c r="F353" s="552">
        <v>45682</v>
      </c>
      <c r="G353" s="552">
        <v>45689</v>
      </c>
      <c r="H353" s="561" t="s">
        <v>883</v>
      </c>
      <c r="I353" s="554" t="s">
        <v>1025</v>
      </c>
      <c r="J353" s="555">
        <f t="shared" si="5"/>
        <v>7</v>
      </c>
    </row>
    <row r="354" spans="1:10" x14ac:dyDescent="0.2">
      <c r="A354" s="344">
        <f>+SUBTOTAL(3,$E$8:$E354)</f>
        <v>347</v>
      </c>
      <c r="B354" s="564">
        <v>45689</v>
      </c>
      <c r="C354" s="344" t="s">
        <v>632</v>
      </c>
      <c r="D354" s="344" t="str">
        <f>+VLOOKUP(C354,'Visual chart Edit'!$B$7:$C$491,2,FALSE)</f>
        <v>DA+0</v>
      </c>
      <c r="E354" s="563" t="s">
        <v>276</v>
      </c>
      <c r="F354" s="552">
        <v>45684</v>
      </c>
      <c r="G354" s="552">
        <v>45690</v>
      </c>
      <c r="H354" s="561" t="s">
        <v>1018</v>
      </c>
      <c r="I354" s="554" t="s">
        <v>660</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648</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1019</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648</v>
      </c>
      <c r="I357" s="554" t="s">
        <v>222</v>
      </c>
      <c r="J357" s="555">
        <f t="shared" si="5"/>
        <v>5</v>
      </c>
    </row>
    <row r="358" spans="1:10" x14ac:dyDescent="0.2">
      <c r="A358" s="344">
        <f>+SUBTOTAL(3,$E$8:$E358)</f>
        <v>351</v>
      </c>
      <c r="B358" s="564">
        <v>45689</v>
      </c>
      <c r="C358" s="344" t="s">
        <v>633</v>
      </c>
      <c r="D358" s="344" t="str">
        <f>+VLOOKUP(C358,'Visual chart Edit'!$B$7:$C$491,2,FALSE)</f>
        <v>DA+0</v>
      </c>
      <c r="E358" s="563" t="s">
        <v>143</v>
      </c>
      <c r="F358" s="552">
        <v>45688</v>
      </c>
      <c r="G358" s="552">
        <v>45695</v>
      </c>
      <c r="H358" s="561" t="s">
        <v>1018</v>
      </c>
      <c r="I358" s="554" t="s">
        <v>660</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624</v>
      </c>
      <c r="I359" s="554" t="s">
        <v>222</v>
      </c>
      <c r="J359" s="555">
        <f t="shared" si="5"/>
        <v>8</v>
      </c>
    </row>
    <row r="360" spans="1:10" x14ac:dyDescent="0.2">
      <c r="A360" s="344">
        <f>+SUBTOTAL(3,$E$8:$E360)</f>
        <v>353</v>
      </c>
      <c r="B360" s="564">
        <v>45689</v>
      </c>
      <c r="C360" s="344" t="s">
        <v>680</v>
      </c>
      <c r="D360" s="344" t="str">
        <f>+VLOOKUP(C360,'Visual chart Edit'!$B$7:$C$491,2,FALSE)</f>
        <v>DA+9</v>
      </c>
      <c r="E360" s="563" t="s">
        <v>143</v>
      </c>
      <c r="F360" s="552">
        <v>45689</v>
      </c>
      <c r="G360" s="552">
        <v>45697</v>
      </c>
      <c r="H360" s="561" t="s">
        <v>883</v>
      </c>
      <c r="I360" s="554" t="s">
        <v>1025</v>
      </c>
      <c r="J360" s="555">
        <f t="shared" si="5"/>
        <v>8</v>
      </c>
    </row>
    <row r="361" spans="1:10" x14ac:dyDescent="0.2">
      <c r="A361" s="344">
        <f>+SUBTOTAL(3,$E$8:$E361)</f>
        <v>354</v>
      </c>
      <c r="B361" s="564">
        <v>45689</v>
      </c>
      <c r="C361" s="344" t="s">
        <v>738</v>
      </c>
      <c r="D361" s="344" t="str">
        <f>+VLOOKUP(C361,'Visual chart Edit'!$B$7:$C$491,2,FALSE)</f>
        <v>DA+9</v>
      </c>
      <c r="E361" s="563" t="s">
        <v>143</v>
      </c>
      <c r="F361" s="552">
        <v>45694</v>
      </c>
      <c r="G361" s="552">
        <v>45698</v>
      </c>
      <c r="H361" s="561" t="s">
        <v>1016</v>
      </c>
      <c r="I361" s="554" t="s">
        <v>1025</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1019</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648</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1019</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648</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1019</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648</v>
      </c>
      <c r="I367" s="554" t="s">
        <v>222</v>
      </c>
      <c r="J367" s="555">
        <f t="shared" si="5"/>
        <v>4</v>
      </c>
    </row>
    <row r="368" spans="1:10" x14ac:dyDescent="0.2">
      <c r="A368" s="344">
        <f>+SUBTOTAL(3,$E$8:$E368)</f>
        <v>361</v>
      </c>
      <c r="B368" s="564">
        <v>45689</v>
      </c>
      <c r="C368" s="344" t="s">
        <v>739</v>
      </c>
      <c r="D368" s="344" t="str">
        <f>+VLOOKUP(C368,'Visual chart Edit'!$B$7:$C$491,2,FALSE)</f>
        <v>DB1+6</v>
      </c>
      <c r="E368" s="563" t="s">
        <v>143</v>
      </c>
      <c r="F368" s="552">
        <v>45699</v>
      </c>
      <c r="G368" s="552">
        <v>45704</v>
      </c>
      <c r="H368" s="561" t="s">
        <v>1016</v>
      </c>
      <c r="I368" s="554" t="s">
        <v>1025</v>
      </c>
      <c r="J368" s="555">
        <f t="shared" si="5"/>
        <v>5</v>
      </c>
    </row>
    <row r="369" spans="1:10" x14ac:dyDescent="0.2">
      <c r="A369" s="344">
        <f>+SUBTOTAL(3,$E$8:$E369)</f>
        <v>362</v>
      </c>
      <c r="B369" s="564">
        <v>45689</v>
      </c>
      <c r="C369" s="344" t="s">
        <v>667</v>
      </c>
      <c r="D369" s="344" t="str">
        <f>+VLOOKUP(C369,'Visual chart Edit'!$B$7:$C$491,2,FALSE)</f>
        <v>DB1+3</v>
      </c>
      <c r="E369" s="563" t="s">
        <v>143</v>
      </c>
      <c r="F369" s="552">
        <v>45698</v>
      </c>
      <c r="G369" s="552">
        <v>45704</v>
      </c>
      <c r="H369" s="561" t="s">
        <v>1010</v>
      </c>
      <c r="I369" s="554" t="s">
        <v>1025</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648</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1019</v>
      </c>
      <c r="I371" s="554" t="s">
        <v>222</v>
      </c>
      <c r="J371" s="555">
        <f t="shared" si="5"/>
        <v>6</v>
      </c>
    </row>
    <row r="372" spans="1:10" x14ac:dyDescent="0.2">
      <c r="A372" s="344">
        <f>+SUBTOTAL(3,$E$8:$E372)</f>
        <v>365</v>
      </c>
      <c r="B372" s="564">
        <v>45689</v>
      </c>
      <c r="C372" s="344" t="s">
        <v>627</v>
      </c>
      <c r="D372" s="344" t="str">
        <f>+VLOOKUP(C372,'Visual chart Edit'!$B$7:$C$491,2,FALSE)</f>
        <v>DD60+0</v>
      </c>
      <c r="E372" s="563" t="s">
        <v>276</v>
      </c>
      <c r="F372" s="552">
        <v>45694</v>
      </c>
      <c r="G372" s="552">
        <v>45708</v>
      </c>
      <c r="H372" s="561" t="s">
        <v>1018</v>
      </c>
      <c r="I372" s="554" t="s">
        <v>660</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648</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1010</v>
      </c>
      <c r="I374" s="554" t="s">
        <v>1025</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648</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648</v>
      </c>
      <c r="I376" s="554" t="s">
        <v>222</v>
      </c>
      <c r="J376" s="555">
        <f t="shared" si="5"/>
        <v>4</v>
      </c>
    </row>
    <row r="377" spans="1:10" x14ac:dyDescent="0.2">
      <c r="A377" s="344">
        <f>+SUBTOTAL(3,$E$8:$E377)</f>
        <v>370</v>
      </c>
      <c r="B377" s="564">
        <v>45689</v>
      </c>
      <c r="C377" s="344" t="s">
        <v>740</v>
      </c>
      <c r="D377" s="344" t="str">
        <f>+VLOOKUP(C377,'Visual chart Edit'!$B$7:$C$491,2,FALSE)</f>
        <v>DA+0</v>
      </c>
      <c r="E377" s="563" t="s">
        <v>873</v>
      </c>
      <c r="F377" s="552">
        <v>45709</v>
      </c>
      <c r="G377" s="552">
        <v>45716</v>
      </c>
      <c r="H377" s="561" t="s">
        <v>886</v>
      </c>
      <c r="I377" s="554" t="s">
        <v>1025</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624</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1020</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648</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648</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1018</v>
      </c>
      <c r="I382" s="554" t="s">
        <v>660</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1020</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648</v>
      </c>
      <c r="I384" s="554" t="s">
        <v>222</v>
      </c>
      <c r="J384" s="555">
        <f t="shared" si="5"/>
        <v>5</v>
      </c>
    </row>
    <row r="385" spans="1:10" x14ac:dyDescent="0.2">
      <c r="A385" s="344">
        <f>+SUBTOTAL(3,$E$8:$E385)</f>
        <v>378</v>
      </c>
      <c r="B385" s="564">
        <v>45717</v>
      </c>
      <c r="C385" s="344" t="s">
        <v>634</v>
      </c>
      <c r="D385" s="344" t="str">
        <f>+VLOOKUP(C385,'Visual chart Edit'!$B$7:$C$491,2,FALSE)</f>
        <v>DA+3</v>
      </c>
      <c r="E385" s="563" t="s">
        <v>143</v>
      </c>
      <c r="F385" s="552">
        <v>45717</v>
      </c>
      <c r="G385" s="552">
        <v>45724</v>
      </c>
      <c r="H385" s="561" t="s">
        <v>1018</v>
      </c>
      <c r="I385" s="554" t="s">
        <v>660</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648</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1020</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1020</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1018</v>
      </c>
      <c r="I389" s="554" t="s">
        <v>660</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1020</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1018</v>
      </c>
      <c r="I391" s="554" t="s">
        <v>583</v>
      </c>
      <c r="J391" s="555">
        <f t="shared" si="5"/>
        <v>6</v>
      </c>
    </row>
    <row r="392" spans="1:10" x14ac:dyDescent="0.2">
      <c r="A392" s="344">
        <f>+SUBTOTAL(3,$E$8:$E392)</f>
        <v>385</v>
      </c>
      <c r="B392" s="564">
        <v>45717</v>
      </c>
      <c r="C392" s="344" t="s">
        <v>666</v>
      </c>
      <c r="D392" s="344" t="str">
        <f>+VLOOKUP(C392,'Visual chart Edit'!$B$7:$C$491,2,FALSE)</f>
        <v>DA+0</v>
      </c>
      <c r="E392" s="563" t="s">
        <v>143</v>
      </c>
      <c r="F392" s="552">
        <v>45738</v>
      </c>
      <c r="G392" s="552">
        <v>45746</v>
      </c>
      <c r="H392" s="561" t="s">
        <v>648</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1020</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886</v>
      </c>
      <c r="I394" s="554" t="s">
        <v>1025</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1020</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1010</v>
      </c>
      <c r="I396" s="554" t="s">
        <v>1025</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648</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886</v>
      </c>
      <c r="I398" s="554" t="s">
        <v>1025</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648</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1265</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1010</v>
      </c>
      <c r="I401" s="554" t="s">
        <v>1025</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1018</v>
      </c>
      <c r="I402" s="554" t="s">
        <v>660</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648</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1265</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648</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648</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648</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648</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648</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1265</v>
      </c>
      <c r="I410" s="554" t="s">
        <v>222</v>
      </c>
      <c r="J410" s="555">
        <f t="shared" si="6"/>
        <v>5</v>
      </c>
    </row>
    <row r="411" spans="1:10" x14ac:dyDescent="0.2">
      <c r="A411" s="344">
        <f>+SUBTOTAL(3,$E$8:$E411)</f>
        <v>404</v>
      </c>
      <c r="B411" s="564">
        <v>45778</v>
      </c>
      <c r="C411" s="346" t="s">
        <v>635</v>
      </c>
      <c r="D411" s="344" t="str">
        <f>+VLOOKUP(C411,'Visual chart Edit'!$B$7:$C$491,2,FALSE)</f>
        <v>DA+0</v>
      </c>
      <c r="E411" s="563" t="s">
        <v>143</v>
      </c>
      <c r="F411" s="552">
        <v>45776</v>
      </c>
      <c r="G411" s="552">
        <v>45793</v>
      </c>
      <c r="H411" s="561" t="s">
        <v>1018</v>
      </c>
      <c r="I411" s="554" t="s">
        <v>660</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1265</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648</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648</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648</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1351</v>
      </c>
      <c r="I416" s="554" t="s">
        <v>1274</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1265</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1389</v>
      </c>
      <c r="I418" s="554" t="s">
        <v>660</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1018</v>
      </c>
      <c r="I419" s="554" t="s">
        <v>660</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1372</v>
      </c>
      <c r="I420" s="554" t="s">
        <v>660</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648</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1384</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1351</v>
      </c>
      <c r="I423" s="554" t="s">
        <v>1274</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1390</v>
      </c>
      <c r="I424" s="554" t="s">
        <v>1274</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648</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1265</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1384</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1018</v>
      </c>
      <c r="I428" s="554" t="s">
        <v>660</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1392</v>
      </c>
      <c r="I429" s="554" t="s">
        <v>660</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648</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648</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1372</v>
      </c>
      <c r="I432" s="554" t="s">
        <v>660</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1018</v>
      </c>
      <c r="I433" s="554" t="s">
        <v>660</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1351</v>
      </c>
      <c r="I434" s="554" t="s">
        <v>1274</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648</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1265</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1018</v>
      </c>
      <c r="I437" s="554" t="s">
        <v>660</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648</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1351</v>
      </c>
      <c r="I439" s="554" t="s">
        <v>1274</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1265</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1420</v>
      </c>
      <c r="I441" s="554" t="s">
        <v>660</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1018</v>
      </c>
      <c r="I442" s="554" t="s">
        <v>660</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1424</v>
      </c>
      <c r="I443" s="554" t="s">
        <v>660</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1351</v>
      </c>
      <c r="I444" s="554" t="s">
        <v>1274</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1018</v>
      </c>
      <c r="I445" s="554" t="s">
        <v>660</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1427</v>
      </c>
      <c r="I446" s="554" t="s">
        <v>660</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648</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1427</v>
      </c>
      <c r="I448" s="554" t="s">
        <v>660</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648</v>
      </c>
      <c r="I449" s="554" t="s">
        <v>1274</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1265</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648</v>
      </c>
      <c r="I451" s="554" t="s">
        <v>1274</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1018</v>
      </c>
      <c r="I452" s="554" t="s">
        <v>660</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1443</v>
      </c>
      <c r="I453" s="554" t="s">
        <v>660</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648</v>
      </c>
      <c r="I454" s="554" t="s">
        <v>1274</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648</v>
      </c>
      <c r="I455" s="554" t="s">
        <v>1274</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1265</v>
      </c>
      <c r="I456" s="554" t="s">
        <v>1436</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648</v>
      </c>
      <c r="I457" s="554" t="s">
        <v>1274</v>
      </c>
      <c r="J457" s="555">
        <f t="shared" ref="J457:J488"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648</v>
      </c>
      <c r="I458" s="554" t="s">
        <v>1274</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1427</v>
      </c>
      <c r="I459" s="554" t="s">
        <v>660</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1018</v>
      </c>
      <c r="I460" s="554" t="s">
        <v>660</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1265</v>
      </c>
      <c r="I461" s="554" t="s">
        <v>1436</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1392</v>
      </c>
      <c r="I462" s="554" t="s">
        <v>1274</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1265</v>
      </c>
      <c r="I463" s="554" t="s">
        <v>1436</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1018</v>
      </c>
      <c r="I464" s="554" t="s">
        <v>660</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1505</v>
      </c>
      <c r="I465" s="554" t="s">
        <v>660</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1265</v>
      </c>
      <c r="I466" s="554" t="s">
        <v>1436</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1505</v>
      </c>
      <c r="I467" s="554" t="s">
        <v>660</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1265</v>
      </c>
      <c r="I468" s="554" t="s">
        <v>1436</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1018</v>
      </c>
      <c r="I469" s="554" t="s">
        <v>660</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648</v>
      </c>
      <c r="I470" s="554" t="s">
        <v>1274</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1427</v>
      </c>
      <c r="I471" s="554" t="s">
        <v>660</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1427</v>
      </c>
      <c r="I472" s="554" t="s">
        <v>660</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1018</v>
      </c>
      <c r="I473" s="554" t="s">
        <v>660</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1505</v>
      </c>
      <c r="I474" s="554" t="s">
        <v>660</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648</v>
      </c>
      <c r="I475" s="554" t="s">
        <v>1274</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1018</v>
      </c>
      <c r="I476" s="554" t="s">
        <v>660</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1505</v>
      </c>
      <c r="I477" s="554" t="s">
        <v>660</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1427</v>
      </c>
      <c r="I478" s="554" t="s">
        <v>660</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1018</v>
      </c>
      <c r="I479" s="554" t="s">
        <v>660</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1505</v>
      </c>
      <c r="I480" s="554" t="s">
        <v>660</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648</v>
      </c>
      <c r="I481" s="554" t="s">
        <v>1274</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1505</v>
      </c>
      <c r="I482" s="554" t="s">
        <v>660</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1018</v>
      </c>
      <c r="I483" s="554" t="s">
        <v>660</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648</v>
      </c>
      <c r="I484" s="554" t="s">
        <v>1274</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648</v>
      </c>
      <c r="I485" s="554" t="s">
        <v>1274</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648</v>
      </c>
      <c r="I486" s="554" t="s">
        <v>1274</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648</v>
      </c>
      <c r="I487" s="554" t="s">
        <v>1274</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648</v>
      </c>
      <c r="I488" s="554" t="s">
        <v>1274</v>
      </c>
      <c r="J488" s="555">
        <f t="shared" si="7"/>
        <v>156</v>
      </c>
    </row>
    <row r="489" spans="1:12" outlineLevel="1" x14ac:dyDescent="0.2">
      <c r="A489" s="344"/>
      <c r="B489" s="564"/>
      <c r="C489" s="346"/>
      <c r="D489" s="344"/>
      <c r="E489" s="563"/>
      <c r="F489" s="552"/>
      <c r="G489" s="552"/>
      <c r="H489" s="561"/>
      <c r="I489" s="554"/>
    </row>
    <row r="490" spans="1:12" outlineLevel="1" x14ac:dyDescent="0.2">
      <c r="A490" s="344"/>
      <c r="B490" s="564"/>
      <c r="C490" s="346"/>
      <c r="D490" s="344"/>
      <c r="E490" s="563"/>
      <c r="F490" s="552"/>
      <c r="G490" s="552"/>
      <c r="H490" s="561"/>
      <c r="I490" s="554"/>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1373</v>
      </c>
      <c r="D494" s="594" t="s">
        <v>138</v>
      </c>
      <c r="E494" s="594" t="s">
        <v>1374</v>
      </c>
      <c r="F494" s="595" t="s">
        <v>122</v>
      </c>
      <c r="G494" s="595" t="s">
        <v>6</v>
      </c>
      <c r="H494" s="594" t="s">
        <v>7</v>
      </c>
      <c r="I494" s="596" t="s">
        <v>1275</v>
      </c>
      <c r="J494" s="597" t="s">
        <v>1212</v>
      </c>
      <c r="K494" s="609" t="s">
        <v>1419</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1509</v>
      </c>
      <c r="I496" s="697" t="s">
        <v>1274</v>
      </c>
      <c r="J496" s="700" t="s">
        <v>1632</v>
      </c>
      <c r="K496" s="700"/>
      <c r="L496" s="341" t="s">
        <v>1653</v>
      </c>
    </row>
    <row r="497" spans="1:11" x14ac:dyDescent="0.2">
      <c r="A497" s="700"/>
      <c r="B497" s="700"/>
      <c r="C497" s="698" t="s">
        <v>151</v>
      </c>
      <c r="D497" s="699" t="str">
        <f>+VLOOKUP(C497,'Visual chart Edit'!$B$7:$C$491,2,FALSE)</f>
        <v>DA+3</v>
      </c>
      <c r="E497" s="697" t="s">
        <v>129</v>
      </c>
      <c r="F497" s="700"/>
      <c r="G497" s="701" t="s">
        <v>1640</v>
      </c>
      <c r="H497" s="697"/>
      <c r="I497" s="697" t="s">
        <v>660</v>
      </c>
      <c r="J497" s="700"/>
      <c r="K497" s="700"/>
    </row>
    <row r="498" spans="1:11" x14ac:dyDescent="0.2">
      <c r="A498" s="700"/>
      <c r="B498" s="700"/>
      <c r="C498" s="698" t="s">
        <v>153</v>
      </c>
      <c r="D498" s="699" t="str">
        <f>+VLOOKUP(C498,'Visual chart Edit'!$B$7:$C$491,2,FALSE)</f>
        <v>DA+6</v>
      </c>
      <c r="E498" s="697" t="s">
        <v>129</v>
      </c>
      <c r="F498" s="700"/>
      <c r="G498" s="701" t="s">
        <v>1640</v>
      </c>
      <c r="H498" s="697"/>
      <c r="I498" s="697" t="s">
        <v>660</v>
      </c>
      <c r="J498" s="700"/>
      <c r="K498" s="700"/>
    </row>
    <row r="499" spans="1:11" ht="25.5" x14ac:dyDescent="0.2">
      <c r="A499" s="700"/>
      <c r="B499" s="700"/>
      <c r="C499" s="698" t="s">
        <v>468</v>
      </c>
      <c r="D499" s="699" t="str">
        <f>+VLOOKUP(C499,'Visual chart Edit'!$B$7:$C$491,2,FALSE)</f>
        <v>DA+0</v>
      </c>
      <c r="E499" s="697" t="s">
        <v>124</v>
      </c>
      <c r="F499" s="700"/>
      <c r="G499" s="701">
        <v>46055</v>
      </c>
      <c r="H499" s="697" t="s">
        <v>1750</v>
      </c>
      <c r="I499" s="697" t="s">
        <v>660</v>
      </c>
      <c r="J499" s="807" t="s">
        <v>1751</v>
      </c>
      <c r="K499" s="700"/>
    </row>
    <row r="503" spans="1:11" x14ac:dyDescent="0.2">
      <c r="G503" s="341" t="s">
        <v>1740</v>
      </c>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1264</v>
      </c>
    </row>
    <row r="2" spans="1:39" x14ac:dyDescent="0.25">
      <c r="A2" s="342" t="s">
        <v>1230</v>
      </c>
    </row>
    <row r="3" spans="1:39" x14ac:dyDescent="0.25">
      <c r="A3" s="342" t="s">
        <v>149</v>
      </c>
    </row>
    <row r="4" spans="1:39" ht="6.75" customHeight="1" x14ac:dyDescent="0.25"/>
    <row r="5" spans="1:39" ht="15" customHeight="1" x14ac:dyDescent="0.25">
      <c r="A5" s="896" t="s">
        <v>121</v>
      </c>
      <c r="B5" s="896"/>
      <c r="C5" s="896"/>
      <c r="D5" s="896"/>
      <c r="E5" s="896"/>
      <c r="F5" s="896"/>
      <c r="G5" s="896"/>
      <c r="H5" s="896"/>
      <c r="I5" s="896"/>
    </row>
    <row r="6" spans="1:39" ht="15" customHeight="1" x14ac:dyDescent="0.2">
      <c r="A6" s="352" t="s">
        <v>2</v>
      </c>
      <c r="B6" s="352" t="s">
        <v>1023</v>
      </c>
      <c r="C6" s="353" t="s">
        <v>3</v>
      </c>
      <c r="D6" s="352" t="s">
        <v>4</v>
      </c>
      <c r="E6" s="354" t="s">
        <v>122</v>
      </c>
      <c r="F6" s="352" t="s">
        <v>123</v>
      </c>
      <c r="G6" s="352" t="s">
        <v>5</v>
      </c>
      <c r="H6" s="352" t="s">
        <v>7</v>
      </c>
      <c r="I6" s="352" t="s">
        <v>1270</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1426</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1428</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1024</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0</v>
      </c>
      <c r="C488" s="355">
        <f>Foundation!C489</f>
        <v>0</v>
      </c>
      <c r="D488" s="355">
        <f>Foundation!D489</f>
        <v>0</v>
      </c>
      <c r="E488" s="355">
        <f>Foundation!E489</f>
        <v>0</v>
      </c>
      <c r="F488" s="355" t="str">
        <f t="shared" si="9"/>
        <v/>
      </c>
      <c r="G488" s="356"/>
      <c r="H488" s="357">
        <f>Foundation!H489</f>
        <v>0</v>
      </c>
      <c r="I488" s="355"/>
    </row>
    <row r="489" spans="1:9" s="266" customFormat="1" x14ac:dyDescent="0.25">
      <c r="A489" s="344">
        <f>+SUBTOTAL(3,$G$7:$G489)</f>
        <v>451</v>
      </c>
      <c r="B489" s="345">
        <f>Foundation!B490</f>
        <v>0</v>
      </c>
      <c r="C489" s="355">
        <f>Foundation!C490</f>
        <v>0</v>
      </c>
      <c r="D489" s="355">
        <f>Foundation!D490</f>
        <v>0</v>
      </c>
      <c r="E489" s="355">
        <f>Foundation!E490</f>
        <v>0</v>
      </c>
      <c r="F489" s="355" t="str">
        <f t="shared" si="9"/>
        <v/>
      </c>
      <c r="G489" s="356"/>
      <c r="H489" s="357">
        <f>Foundation!H490</f>
        <v>0</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5" t="s">
        <v>1353</v>
      </c>
      <c r="B1" s="905" t="s">
        <v>1354</v>
      </c>
      <c r="C1" s="905" t="s">
        <v>1355</v>
      </c>
      <c r="D1" s="536" t="s">
        <v>1356</v>
      </c>
      <c r="E1" s="536" t="s">
        <v>1357</v>
      </c>
      <c r="F1" s="536" t="s">
        <v>1358</v>
      </c>
      <c r="G1" s="907" t="s">
        <v>1459</v>
      </c>
      <c r="H1" s="907"/>
      <c r="I1" s="907"/>
      <c r="J1" s="905" t="s">
        <v>1359</v>
      </c>
      <c r="BS1" s="481"/>
    </row>
    <row r="2" spans="1:71" x14ac:dyDescent="0.25">
      <c r="A2" s="906"/>
      <c r="B2" s="906"/>
      <c r="C2" s="906"/>
      <c r="D2" s="536" t="s">
        <v>1360</v>
      </c>
      <c r="E2" s="536" t="s">
        <v>1575</v>
      </c>
      <c r="F2" s="536" t="s">
        <v>1458</v>
      </c>
      <c r="G2" s="536" t="s">
        <v>1361</v>
      </c>
      <c r="H2" s="536" t="s">
        <v>124</v>
      </c>
      <c r="I2" s="536" t="s">
        <v>951</v>
      </c>
      <c r="J2" s="906"/>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908" t="s">
        <v>1543</v>
      </c>
      <c r="B7" s="909"/>
      <c r="C7" s="909"/>
      <c r="D7" s="909"/>
      <c r="E7" s="909"/>
      <c r="F7" s="909"/>
      <c r="G7" s="909"/>
      <c r="H7" s="909"/>
      <c r="I7" s="909"/>
      <c r="J7" s="909"/>
      <c r="K7" s="909"/>
      <c r="L7" s="909"/>
      <c r="M7" s="909"/>
      <c r="N7" s="909"/>
      <c r="O7" s="909"/>
      <c r="P7" s="909"/>
      <c r="Q7" s="909"/>
      <c r="R7" s="909"/>
      <c r="S7" s="909"/>
      <c r="T7" s="909"/>
      <c r="U7" s="909"/>
      <c r="V7" s="909"/>
      <c r="W7" s="909"/>
      <c r="X7" s="909"/>
      <c r="Y7" s="909"/>
      <c r="Z7" s="909"/>
      <c r="AA7" s="909"/>
      <c r="AB7" s="909"/>
      <c r="AC7" s="909"/>
      <c r="AD7" s="909"/>
      <c r="AE7" s="909"/>
      <c r="AF7" s="909"/>
      <c r="AG7" s="909"/>
      <c r="AH7" s="909"/>
      <c r="AI7" s="909"/>
      <c r="AJ7" s="909"/>
      <c r="AK7" s="909"/>
      <c r="AL7" s="909"/>
      <c r="AM7" s="909"/>
      <c r="AN7" s="909"/>
      <c r="AO7" s="909"/>
      <c r="AP7" s="909"/>
      <c r="AQ7" s="909"/>
      <c r="AR7" s="909"/>
      <c r="AS7" s="909"/>
      <c r="AT7" s="909"/>
      <c r="AU7" s="909"/>
      <c r="AV7" s="909"/>
      <c r="AW7" s="909"/>
      <c r="AX7" s="909"/>
      <c r="AY7" s="909"/>
      <c r="AZ7" s="909"/>
      <c r="BA7" s="909"/>
      <c r="BB7" s="909"/>
      <c r="BC7" s="909"/>
      <c r="BD7" s="909"/>
      <c r="BE7" s="909"/>
      <c r="BF7" s="909"/>
      <c r="BG7" s="909"/>
      <c r="BH7" s="909"/>
      <c r="BI7" s="909"/>
      <c r="BJ7" s="909"/>
      <c r="BK7" s="909"/>
      <c r="BL7" s="909"/>
      <c r="BM7" s="909"/>
      <c r="BN7" s="909"/>
      <c r="BO7" s="909"/>
      <c r="BP7" s="909"/>
      <c r="BQ7" s="909"/>
      <c r="BR7" s="909"/>
      <c r="BS7" s="909"/>
    </row>
    <row r="8" spans="1:71" ht="30.75" customHeight="1" x14ac:dyDescent="0.25">
      <c r="A8" s="897" t="s">
        <v>303</v>
      </c>
      <c r="B8" s="897" t="s">
        <v>1362</v>
      </c>
      <c r="C8" s="900" t="s">
        <v>124</v>
      </c>
      <c r="D8" s="901"/>
      <c r="E8" s="902"/>
      <c r="F8" s="903" t="s">
        <v>6</v>
      </c>
      <c r="G8" s="903" t="s">
        <v>1363</v>
      </c>
      <c r="H8" s="897" t="s">
        <v>1460</v>
      </c>
      <c r="I8" s="897" t="s">
        <v>1461</v>
      </c>
      <c r="J8" s="897" t="s">
        <v>1462</v>
      </c>
      <c r="K8" s="897" t="s">
        <v>1463</v>
      </c>
      <c r="L8" s="897" t="s">
        <v>1464</v>
      </c>
      <c r="M8" s="897" t="s">
        <v>1499</v>
      </c>
      <c r="N8" s="897" t="s">
        <v>1682</v>
      </c>
      <c r="O8" s="897" t="s">
        <v>1465</v>
      </c>
      <c r="P8" s="897" t="s">
        <v>1466</v>
      </c>
      <c r="Q8" s="897" t="s">
        <v>1467</v>
      </c>
      <c r="R8" s="897" t="s">
        <v>1468</v>
      </c>
      <c r="S8" s="897" t="s">
        <v>1469</v>
      </c>
      <c r="T8" s="897" t="s">
        <v>1470</v>
      </c>
      <c r="U8" s="897" t="s">
        <v>1471</v>
      </c>
      <c r="V8" s="897" t="s">
        <v>1472</v>
      </c>
      <c r="W8" s="897" t="s">
        <v>1473</v>
      </c>
      <c r="X8" s="897" t="s">
        <v>1474</v>
      </c>
      <c r="Y8" s="897" t="s">
        <v>1475</v>
      </c>
      <c r="Z8" s="897" t="s">
        <v>1476</v>
      </c>
      <c r="AA8" s="897" t="s">
        <v>1477</v>
      </c>
      <c r="AB8" s="897" t="s">
        <v>1478</v>
      </c>
      <c r="AC8" s="897" t="s">
        <v>1479</v>
      </c>
      <c r="AD8" s="897" t="s">
        <v>1480</v>
      </c>
      <c r="AE8" s="897" t="s">
        <v>1481</v>
      </c>
      <c r="AF8" s="897" t="s">
        <v>1482</v>
      </c>
      <c r="AG8" s="897" t="s">
        <v>1483</v>
      </c>
      <c r="AH8" s="897" t="s">
        <v>1484</v>
      </c>
      <c r="AI8" s="897" t="s">
        <v>1485</v>
      </c>
      <c r="AJ8" s="897" t="s">
        <v>1486</v>
      </c>
      <c r="AK8" s="897" t="s">
        <v>1487</v>
      </c>
      <c r="AL8" s="897" t="s">
        <v>1535</v>
      </c>
      <c r="AM8" s="897" t="s">
        <v>1544</v>
      </c>
      <c r="AN8" s="897" t="s">
        <v>1545</v>
      </c>
      <c r="AO8" s="897" t="s">
        <v>1546</v>
      </c>
      <c r="AP8" s="897" t="s">
        <v>1547</v>
      </c>
      <c r="AQ8" s="897" t="s">
        <v>1548</v>
      </c>
      <c r="AR8" s="897" t="s">
        <v>1549</v>
      </c>
      <c r="AS8" s="897" t="s">
        <v>1550</v>
      </c>
      <c r="AT8" s="897" t="s">
        <v>1574</v>
      </c>
      <c r="AU8" s="897" t="s">
        <v>1551</v>
      </c>
      <c r="AV8" s="897" t="s">
        <v>1552</v>
      </c>
      <c r="AW8" s="897" t="s">
        <v>1553</v>
      </c>
      <c r="AX8" s="897" t="s">
        <v>1554</v>
      </c>
      <c r="AY8" s="897" t="s">
        <v>1555</v>
      </c>
      <c r="AZ8" s="897" t="s">
        <v>1556</v>
      </c>
      <c r="BA8" s="897" t="s">
        <v>1557</v>
      </c>
      <c r="BB8" s="897" t="s">
        <v>1558</v>
      </c>
      <c r="BC8" s="897" t="s">
        <v>1559</v>
      </c>
      <c r="BD8" s="897" t="s">
        <v>1560</v>
      </c>
      <c r="BE8" s="897" t="s">
        <v>1561</v>
      </c>
      <c r="BF8" s="897" t="s">
        <v>1562</v>
      </c>
      <c r="BG8" s="897" t="s">
        <v>1563</v>
      </c>
      <c r="BH8" s="897" t="s">
        <v>1564</v>
      </c>
      <c r="BI8" s="897" t="s">
        <v>1565</v>
      </c>
      <c r="BJ8" s="897" t="s">
        <v>1566</v>
      </c>
      <c r="BK8" s="897" t="s">
        <v>1567</v>
      </c>
      <c r="BL8" s="897" t="s">
        <v>1568</v>
      </c>
      <c r="BM8" s="897" t="s">
        <v>1569</v>
      </c>
      <c r="BN8" s="897" t="s">
        <v>1570</v>
      </c>
      <c r="BO8" s="897" t="s">
        <v>1571</v>
      </c>
      <c r="BP8" s="897" t="s">
        <v>1572</v>
      </c>
      <c r="BQ8" s="897" t="s">
        <v>1573</v>
      </c>
      <c r="BR8" s="897" t="s">
        <v>1364</v>
      </c>
      <c r="BS8" s="897" t="s">
        <v>1171</v>
      </c>
    </row>
    <row r="9" spans="1:71" ht="25.5" x14ac:dyDescent="0.25">
      <c r="A9" s="898"/>
      <c r="B9" s="898"/>
      <c r="C9" s="484" t="s">
        <v>115</v>
      </c>
      <c r="D9" s="484" t="s">
        <v>134</v>
      </c>
      <c r="E9" s="484" t="s">
        <v>1365</v>
      </c>
      <c r="F9" s="904"/>
      <c r="G9" s="904"/>
      <c r="H9" s="898"/>
      <c r="I9" s="898"/>
      <c r="J9" s="898"/>
      <c r="K9" s="898"/>
      <c r="L9" s="898"/>
      <c r="M9" s="898"/>
      <c r="N9" s="898"/>
      <c r="O9" s="898"/>
      <c r="P9" s="898"/>
      <c r="Q9" s="898"/>
      <c r="R9" s="898"/>
      <c r="S9" s="898"/>
      <c r="T9" s="898"/>
      <c r="U9" s="898"/>
      <c r="V9" s="898"/>
      <c r="W9" s="898"/>
      <c r="X9" s="898"/>
      <c r="Y9" s="898"/>
      <c r="Z9" s="898"/>
      <c r="AA9" s="898"/>
      <c r="AB9" s="898"/>
      <c r="AC9" s="898"/>
      <c r="AD9" s="898"/>
      <c r="AE9" s="898"/>
      <c r="AF9" s="898"/>
      <c r="AG9" s="898"/>
      <c r="AH9" s="898"/>
      <c r="AI9" s="898"/>
      <c r="AJ9" s="898"/>
      <c r="AK9" s="898"/>
      <c r="AL9" s="898"/>
      <c r="AM9" s="898"/>
      <c r="AN9" s="898"/>
      <c r="AO9" s="898"/>
      <c r="AP9" s="898"/>
      <c r="AQ9" s="898"/>
      <c r="AR9" s="898"/>
      <c r="AS9" s="898"/>
      <c r="AT9" s="898"/>
      <c r="AU9" s="898"/>
      <c r="AV9" s="898"/>
      <c r="AW9" s="898"/>
      <c r="AX9" s="898"/>
      <c r="AY9" s="898"/>
      <c r="AZ9" s="898"/>
      <c r="BA9" s="898"/>
      <c r="BB9" s="898"/>
      <c r="BC9" s="898"/>
      <c r="BD9" s="898"/>
      <c r="BE9" s="898"/>
      <c r="BF9" s="898"/>
      <c r="BG9" s="898"/>
      <c r="BH9" s="898"/>
      <c r="BI9" s="898"/>
      <c r="BJ9" s="898"/>
      <c r="BK9" s="898"/>
      <c r="BL9" s="898"/>
      <c r="BM9" s="898"/>
      <c r="BN9" s="898"/>
      <c r="BO9" s="898"/>
      <c r="BP9" s="898"/>
      <c r="BQ9" s="898"/>
      <c r="BR9" s="898"/>
      <c r="BS9" s="898"/>
    </row>
    <row r="10" spans="1:71" x14ac:dyDescent="0.25">
      <c r="A10" s="485">
        <v>1</v>
      </c>
      <c r="B10" s="622" t="s">
        <v>1435</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1448</v>
      </c>
      <c r="C11" s="628" t="s">
        <v>674</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1442</v>
      </c>
      <c r="C12" s="628" t="s">
        <v>667</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1398</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1448</v>
      </c>
      <c r="C14" s="628" t="s">
        <v>687</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1457</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1454</v>
      </c>
      <c r="C16" s="628" t="s">
        <v>677</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1456</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1375</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1455</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1445</v>
      </c>
      <c r="C20" s="628" t="s">
        <v>672</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1398</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1398</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1457</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1492</v>
      </c>
      <c r="C24" s="628" t="s">
        <v>747</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1448</v>
      </c>
      <c r="C25" s="628" t="s">
        <v>682</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1493</v>
      </c>
      <c r="C26" s="628" t="s">
        <v>673</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1488</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1454</v>
      </c>
      <c r="C28" s="628" t="s">
        <v>679</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1456</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1498</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1500</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887</v>
      </c>
      <c r="C32" s="628" t="s">
        <v>746</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1503</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1506</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1489</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1398</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1375</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1501</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1375</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1448</v>
      </c>
      <c r="C40" s="628" t="s">
        <v>684</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1493</v>
      </c>
      <c r="C41" s="628" t="s">
        <v>676</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1456</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1398</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1494</v>
      </c>
      <c r="C44" s="628" t="s">
        <v>683</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1500</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1504</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1507</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894</v>
      </c>
      <c r="C48" s="628" t="s">
        <v>716</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1383</v>
      </c>
      <c r="C49" s="628" t="s">
        <v>740</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893</v>
      </c>
      <c r="C50" s="628" t="s">
        <v>678</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1508</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887</v>
      </c>
      <c r="C52" s="628" t="s">
        <v>749</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748</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738</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680</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686</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737</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681</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717</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736</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715</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734</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685</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735</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714</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733</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1492</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1589</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1577</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1537</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1587</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899" t="s">
        <v>19</v>
      </c>
      <c r="B119" s="899"/>
      <c r="C119" s="899"/>
      <c r="D119" s="899"/>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3" customWidth="1"/>
    <col min="2" max="2" width="5.140625" style="793" bestFit="1" customWidth="1"/>
    <col min="3" max="3" width="7.5703125" style="793" bestFit="1" customWidth="1"/>
    <col min="4" max="4" width="11.140625" style="793" bestFit="1" customWidth="1"/>
    <col min="5" max="5" width="14.28515625" style="793" customWidth="1"/>
    <col min="6" max="6" width="11.7109375" style="793" bestFit="1" customWidth="1"/>
    <col min="7" max="7" width="8.42578125" style="793" bestFit="1" customWidth="1"/>
    <col min="8" max="8" width="27.5703125" style="793" bestFit="1" customWidth="1"/>
    <col min="9" max="9" width="11.85546875" style="801" bestFit="1" customWidth="1"/>
    <col min="10" max="10" width="11.42578125" style="793" bestFit="1" customWidth="1"/>
    <col min="11" max="11" width="15.7109375" style="793" bestFit="1" customWidth="1"/>
    <col min="12" max="12" width="11.7109375" style="793" bestFit="1" customWidth="1"/>
    <col min="13" max="13" width="8.42578125" style="793" bestFit="1" customWidth="1"/>
    <col min="14" max="14" width="11.85546875" style="793" bestFit="1" customWidth="1"/>
    <col min="15" max="15" width="27.5703125" style="793" bestFit="1" customWidth="1"/>
    <col min="16" max="16" width="4.7109375" style="793" bestFit="1" customWidth="1"/>
    <col min="17" max="16384" width="9.140625" style="793"/>
  </cols>
  <sheetData>
    <row r="4" spans="1:16" ht="15.75" x14ac:dyDescent="0.25">
      <c r="A4" s="914" t="s">
        <v>1402</v>
      </c>
      <c r="B4" s="914" t="s">
        <v>1403</v>
      </c>
      <c r="C4" s="914" t="s">
        <v>138</v>
      </c>
      <c r="D4" s="914" t="s">
        <v>1404</v>
      </c>
      <c r="E4" s="914"/>
      <c r="F4" s="914"/>
      <c r="G4" s="914"/>
      <c r="H4" s="914"/>
      <c r="I4" s="914"/>
      <c r="J4" s="911" t="s">
        <v>1405</v>
      </c>
      <c r="K4" s="912"/>
      <c r="L4" s="912"/>
      <c r="M4" s="912"/>
      <c r="N4" s="912"/>
      <c r="O4" s="913"/>
    </row>
    <row r="5" spans="1:16" s="794" customFormat="1" ht="31.5" x14ac:dyDescent="0.25">
      <c r="A5" s="914"/>
      <c r="B5" s="914"/>
      <c r="C5" s="914"/>
      <c r="D5" s="792" t="s">
        <v>6</v>
      </c>
      <c r="E5" s="792" t="s">
        <v>1407</v>
      </c>
      <c r="F5" s="792" t="s">
        <v>1408</v>
      </c>
      <c r="G5" s="792" t="s">
        <v>1294</v>
      </c>
      <c r="H5" s="792" t="s">
        <v>1409</v>
      </c>
      <c r="I5" s="792" t="s">
        <v>1410</v>
      </c>
      <c r="J5" s="792" t="s">
        <v>6</v>
      </c>
      <c r="K5" s="792" t="s">
        <v>1407</v>
      </c>
      <c r="L5" s="792" t="s">
        <v>1408</v>
      </c>
      <c r="M5" s="792" t="s">
        <v>1294</v>
      </c>
      <c r="N5" s="792" t="s">
        <v>1410</v>
      </c>
      <c r="O5" s="792" t="s">
        <v>1406</v>
      </c>
    </row>
    <row r="6" spans="1:16" x14ac:dyDescent="0.25">
      <c r="A6" s="795">
        <v>1</v>
      </c>
      <c r="B6" s="795" t="s">
        <v>631</v>
      </c>
      <c r="C6" s="795" t="s">
        <v>20</v>
      </c>
      <c r="D6" s="796">
        <v>45787</v>
      </c>
      <c r="E6" s="796">
        <v>45791</v>
      </c>
      <c r="F6" s="795">
        <f>+_xlfn.DAYS(E6,D6)+1</f>
        <v>5</v>
      </c>
      <c r="G6" s="797">
        <v>14.78</v>
      </c>
      <c r="H6" s="798" t="s">
        <v>1413</v>
      </c>
      <c r="I6" s="795">
        <v>42</v>
      </c>
      <c r="J6" s="799">
        <v>45812</v>
      </c>
      <c r="K6" s="799">
        <v>45819</v>
      </c>
      <c r="L6" s="795">
        <f t="shared" ref="L6:L13" si="0">(K6-J6)+1</f>
        <v>8</v>
      </c>
      <c r="M6" s="797">
        <f>P6-G6</f>
        <v>24.067605999999991</v>
      </c>
      <c r="N6" s="795">
        <v>30</v>
      </c>
      <c r="O6" s="798" t="s">
        <v>1413</v>
      </c>
      <c r="P6" s="800">
        <v>38.847605999999992</v>
      </c>
    </row>
    <row r="7" spans="1:16" x14ac:dyDescent="0.25">
      <c r="A7" s="795">
        <v>2</v>
      </c>
      <c r="B7" s="795" t="s">
        <v>633</v>
      </c>
      <c r="C7" s="795" t="s">
        <v>231</v>
      </c>
      <c r="D7" s="796">
        <v>45805</v>
      </c>
      <c r="E7" s="796">
        <v>45808</v>
      </c>
      <c r="F7" s="795">
        <f t="shared" ref="F7:F13" si="1">+_xlfn.DAYS(E7,D7)+1</f>
        <v>4</v>
      </c>
      <c r="G7" s="797">
        <v>14.875</v>
      </c>
      <c r="H7" s="798" t="s">
        <v>1413</v>
      </c>
      <c r="I7" s="795">
        <v>42</v>
      </c>
      <c r="J7" s="799">
        <v>45820</v>
      </c>
      <c r="K7" s="799">
        <v>45828</v>
      </c>
      <c r="L7" s="795">
        <f t="shared" si="0"/>
        <v>9</v>
      </c>
      <c r="M7" s="797">
        <f t="shared" ref="M7:M13" si="2">P7-G7</f>
        <v>22.629372000000004</v>
      </c>
      <c r="N7" s="795">
        <v>30</v>
      </c>
      <c r="O7" s="798" t="s">
        <v>1413</v>
      </c>
      <c r="P7" s="800">
        <v>37.504372000000004</v>
      </c>
    </row>
    <row r="8" spans="1:16" x14ac:dyDescent="0.25">
      <c r="A8" s="795">
        <v>3</v>
      </c>
      <c r="B8" s="795" t="s">
        <v>634</v>
      </c>
      <c r="C8" s="795" t="s">
        <v>20</v>
      </c>
      <c r="D8" s="796">
        <v>45813</v>
      </c>
      <c r="E8" s="796">
        <v>45816</v>
      </c>
      <c r="F8" s="795">
        <f t="shared" si="1"/>
        <v>4</v>
      </c>
      <c r="G8" s="797">
        <v>14.78</v>
      </c>
      <c r="H8" s="798" t="s">
        <v>1394</v>
      </c>
      <c r="I8" s="795">
        <v>42</v>
      </c>
      <c r="J8" s="799">
        <v>45831</v>
      </c>
      <c r="K8" s="799">
        <v>45838</v>
      </c>
      <c r="L8" s="795">
        <f t="shared" si="0"/>
        <v>8</v>
      </c>
      <c r="M8" s="797">
        <f t="shared" si="2"/>
        <v>24.067999999999998</v>
      </c>
      <c r="N8" s="795">
        <v>30</v>
      </c>
      <c r="O8" s="798" t="s">
        <v>1417</v>
      </c>
      <c r="P8" s="800">
        <v>38.847999999999999</v>
      </c>
    </row>
    <row r="9" spans="1:16" x14ac:dyDescent="0.25">
      <c r="A9" s="795">
        <v>4</v>
      </c>
      <c r="B9" s="795" t="s">
        <v>635</v>
      </c>
      <c r="C9" s="795" t="s">
        <v>231</v>
      </c>
      <c r="D9" s="796">
        <v>45820</v>
      </c>
      <c r="E9" s="796">
        <v>45824</v>
      </c>
      <c r="F9" s="795">
        <f t="shared" si="1"/>
        <v>5</v>
      </c>
      <c r="G9" s="797">
        <v>14.875</v>
      </c>
      <c r="H9" s="798" t="s">
        <v>1394</v>
      </c>
      <c r="I9" s="795">
        <v>42</v>
      </c>
      <c r="J9" s="799">
        <v>45847</v>
      </c>
      <c r="K9" s="799">
        <v>45853</v>
      </c>
      <c r="L9" s="795">
        <f t="shared" si="0"/>
        <v>7</v>
      </c>
      <c r="M9" s="797">
        <f t="shared" si="2"/>
        <v>22.625</v>
      </c>
      <c r="N9" s="795">
        <v>20</v>
      </c>
      <c r="O9" s="798" t="s">
        <v>1417</v>
      </c>
      <c r="P9" s="800">
        <v>37.5</v>
      </c>
    </row>
    <row r="10" spans="1:16" x14ac:dyDescent="0.25">
      <c r="A10" s="795">
        <v>5</v>
      </c>
      <c r="B10" s="798" t="s">
        <v>627</v>
      </c>
      <c r="C10" s="798" t="s">
        <v>238</v>
      </c>
      <c r="D10" s="796">
        <v>45839</v>
      </c>
      <c r="E10" s="796">
        <v>45845</v>
      </c>
      <c r="F10" s="795">
        <f t="shared" si="1"/>
        <v>7</v>
      </c>
      <c r="G10" s="797">
        <v>41.773000000000003</v>
      </c>
      <c r="H10" s="798" t="s">
        <v>1413</v>
      </c>
      <c r="I10" s="795"/>
      <c r="J10" s="799">
        <v>45861</v>
      </c>
      <c r="K10" s="799">
        <v>45867</v>
      </c>
      <c r="L10" s="795">
        <f t="shared" si="0"/>
        <v>7</v>
      </c>
      <c r="M10" s="797">
        <f t="shared" si="2"/>
        <v>44.356278999999994</v>
      </c>
      <c r="N10" s="795">
        <v>28</v>
      </c>
      <c r="O10" s="798" t="s">
        <v>1497</v>
      </c>
      <c r="P10" s="801">
        <v>86.129278999999997</v>
      </c>
    </row>
    <row r="11" spans="1:16" x14ac:dyDescent="0.25">
      <c r="A11" s="795">
        <v>6</v>
      </c>
      <c r="B11" s="798" t="s">
        <v>445</v>
      </c>
      <c r="C11" s="798" t="s">
        <v>238</v>
      </c>
      <c r="D11" s="799">
        <v>45845</v>
      </c>
      <c r="E11" s="796">
        <v>45849</v>
      </c>
      <c r="F11" s="795">
        <f t="shared" si="1"/>
        <v>5</v>
      </c>
      <c r="G11" s="797">
        <v>41.773000000000003</v>
      </c>
      <c r="H11" s="798" t="s">
        <v>1413</v>
      </c>
      <c r="I11" s="795"/>
      <c r="J11" s="799">
        <v>45871</v>
      </c>
      <c r="K11" s="799">
        <v>45889</v>
      </c>
      <c r="L11" s="795">
        <f t="shared" si="0"/>
        <v>19</v>
      </c>
      <c r="M11" s="797">
        <f t="shared" si="2"/>
        <v>44.356278999999994</v>
      </c>
      <c r="N11" s="795">
        <v>28</v>
      </c>
      <c r="O11" s="798" t="s">
        <v>1417</v>
      </c>
      <c r="P11" s="801">
        <v>86.129278999999997</v>
      </c>
    </row>
    <row r="12" spans="1:16" x14ac:dyDescent="0.25">
      <c r="A12" s="795">
        <v>7</v>
      </c>
      <c r="B12" s="802" t="s">
        <v>632</v>
      </c>
      <c r="C12" s="795" t="s">
        <v>231</v>
      </c>
      <c r="D12" s="799">
        <v>45848</v>
      </c>
      <c r="E12" s="798"/>
      <c r="F12" s="798"/>
      <c r="G12" s="797">
        <v>14.875</v>
      </c>
      <c r="H12" s="798" t="s">
        <v>1413</v>
      </c>
      <c r="I12" s="795">
        <v>38</v>
      </c>
      <c r="J12" s="799">
        <v>45854</v>
      </c>
      <c r="K12" s="799">
        <v>45864</v>
      </c>
      <c r="L12" s="795">
        <f t="shared" si="0"/>
        <v>11</v>
      </c>
      <c r="M12" s="797">
        <f t="shared" si="2"/>
        <v>22.625</v>
      </c>
      <c r="N12" s="795">
        <v>20</v>
      </c>
      <c r="O12" s="798" t="s">
        <v>1417</v>
      </c>
      <c r="P12" s="800">
        <v>37.5</v>
      </c>
    </row>
    <row r="13" spans="1:16" x14ac:dyDescent="0.25">
      <c r="A13" s="795">
        <v>8</v>
      </c>
      <c r="B13" s="802" t="s">
        <v>456</v>
      </c>
      <c r="C13" s="795" t="s">
        <v>231</v>
      </c>
      <c r="D13" s="799">
        <v>45863</v>
      </c>
      <c r="E13" s="799">
        <v>45867</v>
      </c>
      <c r="F13" s="795">
        <f t="shared" si="1"/>
        <v>5</v>
      </c>
      <c r="G13" s="797">
        <v>14.875</v>
      </c>
      <c r="H13" s="798" t="s">
        <v>1413</v>
      </c>
      <c r="I13" s="795"/>
      <c r="J13" s="799">
        <v>45875</v>
      </c>
      <c r="K13" s="799">
        <v>45878</v>
      </c>
      <c r="L13" s="795">
        <f t="shared" si="0"/>
        <v>4</v>
      </c>
      <c r="M13" s="797">
        <f t="shared" si="2"/>
        <v>22.625</v>
      </c>
      <c r="N13" s="795">
        <v>30</v>
      </c>
      <c r="O13" s="798" t="s">
        <v>1413</v>
      </c>
      <c r="P13" s="800">
        <v>37.5</v>
      </c>
    </row>
    <row r="14" spans="1:16" x14ac:dyDescent="0.25">
      <c r="A14" s="795">
        <v>9</v>
      </c>
      <c r="B14" s="802" t="s">
        <v>457</v>
      </c>
      <c r="C14" s="795" t="s">
        <v>231</v>
      </c>
      <c r="D14" s="799">
        <v>45868</v>
      </c>
      <c r="E14" s="799"/>
      <c r="F14" s="795"/>
      <c r="G14" s="797"/>
      <c r="H14" s="798"/>
      <c r="I14" s="795"/>
      <c r="J14" s="798"/>
      <c r="K14" s="798"/>
      <c r="L14" s="798"/>
      <c r="M14" s="798"/>
      <c r="N14" s="798"/>
      <c r="O14" s="798"/>
    </row>
    <row r="15" spans="1:16" x14ac:dyDescent="0.25">
      <c r="A15" s="798"/>
      <c r="B15" s="798"/>
      <c r="C15" s="798"/>
      <c r="D15" s="798"/>
      <c r="E15" s="798"/>
      <c r="F15" s="798"/>
      <c r="G15" s="798"/>
      <c r="H15" s="798"/>
      <c r="I15" s="795"/>
      <c r="J15" s="798"/>
      <c r="K15" s="798"/>
      <c r="L15" s="798"/>
      <c r="M15" s="798"/>
      <c r="N15" s="798"/>
      <c r="O15" s="798"/>
    </row>
    <row r="16" spans="1:16" ht="15.75" x14ac:dyDescent="0.25">
      <c r="A16" s="910" t="s">
        <v>1411</v>
      </c>
      <c r="B16" s="910"/>
      <c r="C16" s="910"/>
      <c r="D16" s="910"/>
      <c r="E16" s="910"/>
      <c r="F16" s="803">
        <f>SUM(F6:F15)</f>
        <v>35</v>
      </c>
      <c r="G16" s="804">
        <f>SUM(G6:G15)</f>
        <v>172.60599999999999</v>
      </c>
      <c r="H16" s="804"/>
      <c r="I16" s="804"/>
      <c r="J16" s="803"/>
      <c r="K16" s="803"/>
      <c r="L16" s="803">
        <f>SUM(L6:L15)</f>
        <v>73</v>
      </c>
      <c r="M16" s="804">
        <f>SUM(M6:M15)</f>
        <v>227.35253599999999</v>
      </c>
      <c r="N16" s="804"/>
      <c r="O16" s="798"/>
    </row>
    <row r="17" spans="1:15" ht="15.75" x14ac:dyDescent="0.25">
      <c r="A17" s="910" t="s">
        <v>1412</v>
      </c>
      <c r="B17" s="910"/>
      <c r="C17" s="910"/>
      <c r="D17" s="910"/>
      <c r="E17" s="910"/>
      <c r="F17" s="598"/>
      <c r="G17" s="599">
        <f>G16/F16</f>
        <v>4.9315999999999995</v>
      </c>
      <c r="H17" s="599"/>
      <c r="I17" s="599"/>
      <c r="J17" s="598"/>
      <c r="K17" s="598"/>
      <c r="L17" s="598"/>
      <c r="M17" s="599">
        <f>M16/L16</f>
        <v>3.114418301369863</v>
      </c>
      <c r="N17" s="599"/>
      <c r="O17" s="805"/>
    </row>
    <row r="19" spans="1:15" x14ac:dyDescent="0.25">
      <c r="F19" s="806"/>
      <c r="M19" s="793">
        <v>113.7</v>
      </c>
    </row>
    <row r="20" spans="1:15" x14ac:dyDescent="0.25">
      <c r="M20" s="79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8"/>
  <sheetViews>
    <sheetView zoomScale="88" workbookViewId="0">
      <pane ySplit="4" topLeftCell="A449" activePane="bottomLeft" state="frozen"/>
      <selection activeCell="N8" sqref="N8"/>
      <selection pane="bottomLeft" activeCell="C467" sqref="C467"/>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1264</v>
      </c>
      <c r="I1" s="733" t="s">
        <v>1295</v>
      </c>
      <c r="J1" s="732">
        <v>22212.28</v>
      </c>
    </row>
    <row r="2" spans="1:40" ht="25.5" x14ac:dyDescent="0.2">
      <c r="A2" s="342" t="s">
        <v>1230</v>
      </c>
      <c r="B2" s="343"/>
      <c r="C2" s="343"/>
      <c r="D2" s="343"/>
      <c r="E2" s="343"/>
      <c r="F2" s="343"/>
      <c r="G2" s="343"/>
      <c r="H2" s="363"/>
      <c r="I2" s="364" t="s">
        <v>1296</v>
      </c>
      <c r="J2" s="731">
        <f>+SUM(J7:J1048576)</f>
        <v>20851.822086999906</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1360.457913000093</v>
      </c>
      <c r="K3" s="734">
        <f>J3/46</f>
        <v>29.57517202174115</v>
      </c>
      <c r="L3" s="361"/>
      <c r="M3" s="343"/>
      <c r="N3" s="361"/>
      <c r="O3" s="361"/>
      <c r="P3" s="361"/>
      <c r="Q3" s="361"/>
      <c r="R3" s="361"/>
      <c r="S3" s="361"/>
      <c r="T3" s="361"/>
      <c r="U3" s="362"/>
    </row>
    <row r="4" spans="1:40" ht="25.5" x14ac:dyDescent="0.2">
      <c r="A4" s="691" t="s">
        <v>2</v>
      </c>
      <c r="B4" s="692" t="s">
        <v>114</v>
      </c>
      <c r="C4" s="689" t="s">
        <v>3</v>
      </c>
      <c r="D4" s="689" t="s">
        <v>4</v>
      </c>
      <c r="E4" s="689" t="s">
        <v>122</v>
      </c>
      <c r="F4" s="693" t="s">
        <v>1605</v>
      </c>
      <c r="G4" s="689" t="s">
        <v>140</v>
      </c>
      <c r="H4" s="690" t="s">
        <v>7</v>
      </c>
      <c r="I4" s="688" t="s">
        <v>1606</v>
      </c>
      <c r="J4" s="688" t="s">
        <v>1365</v>
      </c>
      <c r="K4" s="690" t="s">
        <v>1171</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775</v>
      </c>
      <c r="D7" s="368" t="str">
        <f>+VLOOKUP(C7,Foundation!$C$8:$D$531,2,FALSE)</f>
        <v>DA+3</v>
      </c>
      <c r="E7" s="368" t="str">
        <f>+VLOOKUP(C7,Foundation!$C$8:$E$495,3,FALSE)</f>
        <v>DRY</v>
      </c>
      <c r="F7" s="350">
        <v>45319</v>
      </c>
      <c r="G7" s="350">
        <v>45326</v>
      </c>
      <c r="H7" s="370" t="s">
        <v>889</v>
      </c>
      <c r="I7" s="373"/>
      <c r="J7" s="696">
        <f>+VLOOKUP(D7,$AB$7:$AC$35,2,FALSE)</f>
        <v>38.847605999999992</v>
      </c>
      <c r="K7" s="370"/>
      <c r="M7" s="648">
        <f>G7-F7</f>
        <v>7</v>
      </c>
      <c r="AB7" s="358" t="s">
        <v>231</v>
      </c>
      <c r="AC7" s="473">
        <v>37.504372000000004</v>
      </c>
    </row>
    <row r="8" spans="1:40" x14ac:dyDescent="0.2">
      <c r="A8" s="372">
        <f>+SUBTOTAL(3,$G$7:$G8)</f>
        <v>2</v>
      </c>
      <c r="B8" s="366">
        <v>45323</v>
      </c>
      <c r="C8" s="367" t="s">
        <v>765</v>
      </c>
      <c r="D8" s="368" t="str">
        <f>+VLOOKUP(C8,Foundation!$C$8:$D$531,2,FALSE)</f>
        <v>DA+3</v>
      </c>
      <c r="E8" s="368" t="str">
        <f>+VLOOKUP(C8,Foundation!$C$8:$E$495,3,FALSE)</f>
        <v>DRY</v>
      </c>
      <c r="F8" s="350">
        <v>45323</v>
      </c>
      <c r="G8" s="350">
        <v>45329</v>
      </c>
      <c r="H8" s="370" t="s">
        <v>893</v>
      </c>
      <c r="I8" s="373"/>
      <c r="J8" s="696">
        <f t="shared" ref="J8:J71" si="0">+VLOOKUP(D8,$AB$7:$AC$35,2,FALSE)</f>
        <v>38.847605999999992</v>
      </c>
      <c r="K8" s="370"/>
      <c r="M8" s="648">
        <f t="shared" ref="M8:M71" si="1">G8-F8</f>
        <v>6</v>
      </c>
      <c r="N8" s="769"/>
      <c r="AB8" s="358" t="s">
        <v>20</v>
      </c>
      <c r="AC8" s="473">
        <v>38.847605999999992</v>
      </c>
    </row>
    <row r="9" spans="1:40" x14ac:dyDescent="0.2">
      <c r="A9" s="372">
        <f>+SUBTOTAL(3,$G$7:$G9)</f>
        <v>3</v>
      </c>
      <c r="B9" s="366">
        <v>45323</v>
      </c>
      <c r="C9" s="348" t="s">
        <v>806</v>
      </c>
      <c r="D9" s="368" t="str">
        <f>+VLOOKUP(C9,Foundation!$C$8:$D$531,2,FALSE)</f>
        <v>DA+3</v>
      </c>
      <c r="E9" s="368" t="str">
        <f>+VLOOKUP(C9,Foundation!$C$8:$E$495,3,FALSE)</f>
        <v>DRY</v>
      </c>
      <c r="F9" s="350">
        <v>45325</v>
      </c>
      <c r="G9" s="350">
        <v>45332</v>
      </c>
      <c r="H9" s="370" t="s">
        <v>898</v>
      </c>
      <c r="I9" s="373"/>
      <c r="J9" s="696">
        <f t="shared" si="0"/>
        <v>38.847605999999992</v>
      </c>
      <c r="K9" s="370"/>
      <c r="M9" s="648">
        <f t="shared" si="1"/>
        <v>7</v>
      </c>
      <c r="AB9" s="358" t="s">
        <v>232</v>
      </c>
      <c r="AC9" s="473">
        <v>45.413028000000004</v>
      </c>
    </row>
    <row r="10" spans="1:40" x14ac:dyDescent="0.2">
      <c r="A10" s="372">
        <f>+SUBTOTAL(3,$G$7:$G10)</f>
        <v>4</v>
      </c>
      <c r="B10" s="366">
        <v>45323</v>
      </c>
      <c r="C10" s="348" t="s">
        <v>757</v>
      </c>
      <c r="D10" s="368" t="str">
        <f>+VLOOKUP(C10,Foundation!$C$8:$D$531,2,FALSE)</f>
        <v>DA+3</v>
      </c>
      <c r="E10" s="368" t="str">
        <f>+VLOOKUP(C10,Foundation!$C$8:$E$495,3,FALSE)</f>
        <v>DFR</v>
      </c>
      <c r="F10" s="350">
        <v>45327</v>
      </c>
      <c r="G10" s="350">
        <v>45333</v>
      </c>
      <c r="H10" s="370" t="s">
        <v>899</v>
      </c>
      <c r="I10" s="373"/>
      <c r="J10" s="696">
        <f t="shared" si="0"/>
        <v>38.847605999999992</v>
      </c>
      <c r="K10" s="370"/>
      <c r="M10" s="648">
        <f t="shared" si="1"/>
        <v>6</v>
      </c>
      <c r="AB10" s="358" t="s">
        <v>233</v>
      </c>
      <c r="AC10" s="473">
        <v>47.184350000000002</v>
      </c>
      <c r="AN10" s="358" t="s">
        <v>1426</v>
      </c>
    </row>
    <row r="11" spans="1:40" x14ac:dyDescent="0.2">
      <c r="A11" s="372">
        <f>+SUBTOTAL(3,$G$7:$G11)</f>
        <v>5</v>
      </c>
      <c r="B11" s="366">
        <v>45323</v>
      </c>
      <c r="C11" s="348" t="s">
        <v>766</v>
      </c>
      <c r="D11" s="368" t="str">
        <f>+VLOOKUP(C11,Foundation!$C$8:$D$531,2,FALSE)</f>
        <v>DA+6</v>
      </c>
      <c r="E11" s="368" t="str">
        <f>+VLOOKUP(C11,Foundation!$C$8:$E$495,3,FALSE)</f>
        <v>DRY</v>
      </c>
      <c r="F11" s="350">
        <v>45330</v>
      </c>
      <c r="G11" s="350">
        <v>45335</v>
      </c>
      <c r="H11" s="370" t="s">
        <v>893</v>
      </c>
      <c r="I11" s="373"/>
      <c r="J11" s="696">
        <f t="shared" si="0"/>
        <v>45.413028000000004</v>
      </c>
      <c r="K11" s="370"/>
      <c r="M11" s="648">
        <f t="shared" si="1"/>
        <v>5</v>
      </c>
      <c r="AB11" s="358" t="s">
        <v>242</v>
      </c>
      <c r="AC11" s="473">
        <v>57.597240999999997</v>
      </c>
    </row>
    <row r="12" spans="1:40" x14ac:dyDescent="0.2">
      <c r="A12" s="372">
        <f>+SUBTOTAL(3,$G$7:$G12)</f>
        <v>6</v>
      </c>
      <c r="B12" s="366">
        <v>45323</v>
      </c>
      <c r="C12" s="348" t="s">
        <v>776</v>
      </c>
      <c r="D12" s="368" t="str">
        <f>+VLOOKUP(C12,Foundation!$C$8:$D$531,2,FALSE)</f>
        <v>DA+0</v>
      </c>
      <c r="E12" s="368" t="str">
        <f>+VLOOKUP(C12,Foundation!$C$8:$E$495,3,FALSE)</f>
        <v>DRY</v>
      </c>
      <c r="F12" s="350">
        <v>45331</v>
      </c>
      <c r="G12" s="350">
        <v>45337</v>
      </c>
      <c r="H12" s="370" t="s">
        <v>889</v>
      </c>
      <c r="I12" s="373"/>
      <c r="J12" s="696">
        <f t="shared" si="0"/>
        <v>37.504372000000004</v>
      </c>
      <c r="K12" s="370"/>
      <c r="M12" s="648">
        <f t="shared" si="1"/>
        <v>6</v>
      </c>
      <c r="AB12" s="358" t="s">
        <v>243</v>
      </c>
      <c r="AC12" s="473">
        <v>60.096777000000003</v>
      </c>
    </row>
    <row r="13" spans="1:40" x14ac:dyDescent="0.2">
      <c r="A13" s="372">
        <f>+SUBTOTAL(3,$G$7:$G13)</f>
        <v>7</v>
      </c>
      <c r="B13" s="366">
        <v>45323</v>
      </c>
      <c r="C13" s="348" t="s">
        <v>807</v>
      </c>
      <c r="D13" s="368" t="str">
        <f>+VLOOKUP(C13,Foundation!$C$8:$D$531,2,FALSE)</f>
        <v>DA+3</v>
      </c>
      <c r="E13" s="368" t="str">
        <f>+VLOOKUP(C13,Foundation!$C$8:$E$495,3,FALSE)</f>
        <v>DRY</v>
      </c>
      <c r="F13" s="350">
        <v>45333</v>
      </c>
      <c r="G13" s="350">
        <v>45337</v>
      </c>
      <c r="H13" s="370" t="s">
        <v>898</v>
      </c>
      <c r="I13" s="373"/>
      <c r="J13" s="696">
        <f t="shared" si="0"/>
        <v>38.847605999999992</v>
      </c>
      <c r="K13" s="370"/>
      <c r="M13" s="648">
        <f t="shared" si="1"/>
        <v>4</v>
      </c>
      <c r="AB13" s="358" t="s">
        <v>246</v>
      </c>
      <c r="AC13" s="473">
        <v>67.873650999999995</v>
      </c>
    </row>
    <row r="14" spans="1:40" x14ac:dyDescent="0.2">
      <c r="A14" s="372">
        <f>+SUBTOTAL(3,$G$7:$G14)</f>
        <v>8</v>
      </c>
      <c r="B14" s="366">
        <v>45323</v>
      </c>
      <c r="C14" s="348" t="s">
        <v>758</v>
      </c>
      <c r="D14" s="368" t="str">
        <f>+VLOOKUP(C14,Foundation!$C$8:$D$531,2,FALSE)</f>
        <v>DA+3</v>
      </c>
      <c r="E14" s="368" t="str">
        <f>+VLOOKUP(C14,Foundation!$C$8:$E$495,3,FALSE)</f>
        <v>DFR</v>
      </c>
      <c r="F14" s="350">
        <v>45334</v>
      </c>
      <c r="G14" s="350">
        <v>45340</v>
      </c>
      <c r="H14" s="370" t="s">
        <v>899</v>
      </c>
      <c r="I14" s="373"/>
      <c r="J14" s="696">
        <f t="shared" si="0"/>
        <v>38.847605999999992</v>
      </c>
      <c r="K14" s="370"/>
      <c r="M14" s="648">
        <f t="shared" si="1"/>
        <v>6</v>
      </c>
      <c r="AB14" s="358" t="s">
        <v>240</v>
      </c>
      <c r="AC14" s="473">
        <v>70.701702999999995</v>
      </c>
    </row>
    <row r="15" spans="1:40" x14ac:dyDescent="0.2">
      <c r="A15" s="372">
        <f>+SUBTOTAL(3,$G$7:$G15)</f>
        <v>9</v>
      </c>
      <c r="B15" s="366">
        <v>45323</v>
      </c>
      <c r="C15" s="348" t="s">
        <v>764</v>
      </c>
      <c r="D15" s="368" t="str">
        <f>+VLOOKUP(C15,Foundation!$C$8:$D$531,2,FALSE)</f>
        <v>DA+6</v>
      </c>
      <c r="E15" s="368" t="str">
        <f>+VLOOKUP(C15,Foundation!$C$8:$E$495,3,FALSE)</f>
        <v>DFR</v>
      </c>
      <c r="F15" s="350">
        <v>45335</v>
      </c>
      <c r="G15" s="350">
        <v>45342</v>
      </c>
      <c r="H15" s="370" t="s">
        <v>893</v>
      </c>
      <c r="I15" s="373"/>
      <c r="J15" s="696">
        <f t="shared" si="0"/>
        <v>45.413028000000004</v>
      </c>
      <c r="K15" s="370"/>
      <c r="M15" s="648">
        <f t="shared" si="1"/>
        <v>7</v>
      </c>
      <c r="AB15" s="358" t="s">
        <v>245</v>
      </c>
      <c r="AC15" s="473">
        <v>57.597240999999997</v>
      </c>
    </row>
    <row r="16" spans="1:40" x14ac:dyDescent="0.2">
      <c r="A16" s="372">
        <f>+SUBTOTAL(3,$G$7:$G16)</f>
        <v>10</v>
      </c>
      <c r="B16" s="366">
        <v>45323</v>
      </c>
      <c r="C16" s="348" t="s">
        <v>808</v>
      </c>
      <c r="D16" s="368" t="str">
        <f>+VLOOKUP(C16,Foundation!$C$8:$D$531,2,FALSE)</f>
        <v>DA+3</v>
      </c>
      <c r="E16" s="368" t="str">
        <f>+VLOOKUP(C16,Foundation!$C$8:$E$495,3,FALSE)</f>
        <v>DRY</v>
      </c>
      <c r="F16" s="350">
        <v>45337</v>
      </c>
      <c r="G16" s="350">
        <v>45342</v>
      </c>
      <c r="H16" s="370" t="s">
        <v>898</v>
      </c>
      <c r="I16" s="373"/>
      <c r="J16" s="696">
        <f t="shared" si="0"/>
        <v>38.847605999999992</v>
      </c>
      <c r="K16" s="370"/>
      <c r="M16" s="648">
        <f t="shared" si="1"/>
        <v>5</v>
      </c>
      <c r="AB16" s="358" t="s">
        <v>249</v>
      </c>
      <c r="AC16" s="473">
        <v>60.096777000000003</v>
      </c>
    </row>
    <row r="17" spans="1:29" x14ac:dyDescent="0.2">
      <c r="A17" s="372">
        <f>+SUBTOTAL(3,$G$7:$G17)</f>
        <v>11</v>
      </c>
      <c r="B17" s="366">
        <v>45323</v>
      </c>
      <c r="C17" s="348" t="s">
        <v>778</v>
      </c>
      <c r="D17" s="368" t="str">
        <f>+VLOOKUP(C17,Foundation!$C$8:$D$531,2,FALSE)</f>
        <v>DA+0</v>
      </c>
      <c r="E17" s="368" t="str">
        <f>+VLOOKUP(C17,Foundation!$C$8:$E$495,3,FALSE)</f>
        <v>DFR</v>
      </c>
      <c r="F17" s="350">
        <v>45337</v>
      </c>
      <c r="G17" s="350">
        <v>45343</v>
      </c>
      <c r="H17" s="370" t="s">
        <v>889</v>
      </c>
      <c r="I17" s="373"/>
      <c r="J17" s="696">
        <f t="shared" si="0"/>
        <v>37.504372000000004</v>
      </c>
      <c r="K17" s="370"/>
      <c r="M17" s="648">
        <f t="shared" si="1"/>
        <v>6</v>
      </c>
      <c r="AB17" s="358" t="s">
        <v>234</v>
      </c>
      <c r="AC17" s="473">
        <v>67.873650999999995</v>
      </c>
    </row>
    <row r="18" spans="1:29" x14ac:dyDescent="0.2">
      <c r="A18" s="372">
        <f>+SUBTOTAL(3,$G$7:$G18)</f>
        <v>12</v>
      </c>
      <c r="B18" s="366">
        <v>45323</v>
      </c>
      <c r="C18" s="367" t="s">
        <v>794</v>
      </c>
      <c r="D18" s="368" t="str">
        <f>+VLOOKUP(C18,Foundation!$C$8:$D$531,2,FALSE)</f>
        <v>DA+0</v>
      </c>
      <c r="E18" s="368" t="str">
        <f>+VLOOKUP(C18,Foundation!$C$8:$E$495,3,FALSE)</f>
        <v>DRY</v>
      </c>
      <c r="F18" s="350">
        <v>45339</v>
      </c>
      <c r="G18" s="350">
        <v>45344</v>
      </c>
      <c r="H18" s="370" t="s">
        <v>887</v>
      </c>
      <c r="I18" s="373"/>
      <c r="J18" s="696">
        <f t="shared" si="0"/>
        <v>37.504372000000004</v>
      </c>
      <c r="K18" s="370"/>
      <c r="M18" s="648">
        <f t="shared" si="1"/>
        <v>5</v>
      </c>
      <c r="AB18" s="358" t="s">
        <v>241</v>
      </c>
      <c r="AC18" s="473">
        <v>70.701702999999995</v>
      </c>
    </row>
    <row r="19" spans="1:29" x14ac:dyDescent="0.2">
      <c r="A19" s="372">
        <f>+SUBTOTAL(3,$G$7:$G19)</f>
        <v>13</v>
      </c>
      <c r="B19" s="366">
        <v>45323</v>
      </c>
      <c r="C19" s="348" t="s">
        <v>759</v>
      </c>
      <c r="D19" s="368" t="str">
        <f>+VLOOKUP(C19,Foundation!$C$8:$D$531,2,FALSE)</f>
        <v>DA+3</v>
      </c>
      <c r="E19" s="368" t="str">
        <f>+VLOOKUP(C19,Foundation!$C$8:$E$495,3,FALSE)</f>
        <v>DRY</v>
      </c>
      <c r="F19" s="350">
        <v>45340</v>
      </c>
      <c r="G19" s="350">
        <v>45346</v>
      </c>
      <c r="H19" s="370" t="s">
        <v>899</v>
      </c>
      <c r="I19" s="373"/>
      <c r="J19" s="696">
        <f t="shared" si="0"/>
        <v>38.847605999999992</v>
      </c>
      <c r="K19" s="370"/>
      <c r="M19" s="648">
        <f t="shared" si="1"/>
        <v>6</v>
      </c>
      <c r="AB19" s="358" t="s">
        <v>239</v>
      </c>
      <c r="AC19" s="473">
        <v>66.381106999999986</v>
      </c>
    </row>
    <row r="20" spans="1:29" x14ac:dyDescent="0.2">
      <c r="A20" s="372">
        <f>+SUBTOTAL(3,$G$7:$G20)</f>
        <v>14</v>
      </c>
      <c r="B20" s="366">
        <v>45323</v>
      </c>
      <c r="C20" s="348" t="s">
        <v>762</v>
      </c>
      <c r="D20" s="368" t="str">
        <f>+VLOOKUP(C20,Foundation!$C$8:$D$531,2,FALSE)</f>
        <v>DA+0</v>
      </c>
      <c r="E20" s="368" t="str">
        <f>+VLOOKUP(C20,Foundation!$C$8:$E$495,3,FALSE)</f>
        <v>DRY</v>
      </c>
      <c r="F20" s="350">
        <v>45342</v>
      </c>
      <c r="G20" s="350">
        <v>45346</v>
      </c>
      <c r="H20" s="370" t="s">
        <v>893</v>
      </c>
      <c r="I20" s="373"/>
      <c r="J20" s="696">
        <f t="shared" si="0"/>
        <v>37.504372000000004</v>
      </c>
      <c r="K20" s="370"/>
      <c r="M20" s="648">
        <f t="shared" si="1"/>
        <v>4</v>
      </c>
      <c r="AB20" s="358" t="s">
        <v>867</v>
      </c>
      <c r="AC20" s="473">
        <v>94.219902999999988</v>
      </c>
    </row>
    <row r="21" spans="1:29" x14ac:dyDescent="0.2">
      <c r="A21" s="372">
        <f>+SUBTOTAL(3,$G$7:$G21)</f>
        <v>15</v>
      </c>
      <c r="B21" s="366">
        <v>45323</v>
      </c>
      <c r="C21" s="348" t="s">
        <v>810</v>
      </c>
      <c r="D21" s="368" t="str">
        <f>+VLOOKUP(C21,Foundation!$C$8:$D$531,2,FALSE)</f>
        <v>DA+0</v>
      </c>
      <c r="E21" s="368" t="str">
        <f>+VLOOKUP(C21,Foundation!$C$8:$E$495,3,FALSE)</f>
        <v>DRY</v>
      </c>
      <c r="F21" s="350">
        <v>45342</v>
      </c>
      <c r="G21" s="350">
        <v>45346</v>
      </c>
      <c r="H21" s="370" t="s">
        <v>898</v>
      </c>
      <c r="I21" s="373"/>
      <c r="J21" s="696">
        <f t="shared" si="0"/>
        <v>37.504372000000004</v>
      </c>
      <c r="K21" s="370"/>
      <c r="M21" s="648">
        <f t="shared" si="1"/>
        <v>4</v>
      </c>
      <c r="AB21" s="358" t="s">
        <v>869</v>
      </c>
      <c r="AC21" s="473">
        <v>69.228687000000008</v>
      </c>
    </row>
    <row r="22" spans="1:29" x14ac:dyDescent="0.2">
      <c r="A22" s="372">
        <f>+SUBTOTAL(3,$G$7:$G22)</f>
        <v>16</v>
      </c>
      <c r="B22" s="366">
        <v>45323</v>
      </c>
      <c r="C22" s="348" t="s">
        <v>779</v>
      </c>
      <c r="D22" s="368" t="str">
        <f>+VLOOKUP(C22,Foundation!$C$8:$D$531,2,FALSE)</f>
        <v>DA+3</v>
      </c>
      <c r="E22" s="368" t="str">
        <f>+VLOOKUP(C22,Foundation!$C$8:$E$495,3,FALSE)</f>
        <v>DRY</v>
      </c>
      <c r="F22" s="350">
        <v>45343</v>
      </c>
      <c r="G22" s="350">
        <v>45348</v>
      </c>
      <c r="H22" s="370" t="s">
        <v>889</v>
      </c>
      <c r="I22" s="373"/>
      <c r="J22" s="696">
        <f t="shared" si="0"/>
        <v>38.847605999999992</v>
      </c>
      <c r="K22" s="370"/>
      <c r="M22" s="648">
        <f t="shared" si="1"/>
        <v>5</v>
      </c>
      <c r="AB22" s="358" t="s">
        <v>361</v>
      </c>
      <c r="AC22" s="473">
        <v>78.132046999999986</v>
      </c>
    </row>
    <row r="23" spans="1:29" x14ac:dyDescent="0.2">
      <c r="A23" s="372">
        <f>+SUBTOTAL(3,$G$7:$G23)</f>
        <v>17</v>
      </c>
      <c r="B23" s="366">
        <v>45323</v>
      </c>
      <c r="C23" s="348" t="s">
        <v>793</v>
      </c>
      <c r="D23" s="368" t="str">
        <f>+VLOOKUP(C23,Foundation!$C$8:$D$531,2,FALSE)</f>
        <v>DA+3</v>
      </c>
      <c r="E23" s="368" t="str">
        <f>+VLOOKUP(C23,Foundation!$C$8:$E$495,3,FALSE)</f>
        <v>DRY</v>
      </c>
      <c r="F23" s="350">
        <v>45344</v>
      </c>
      <c r="G23" s="350">
        <v>45348</v>
      </c>
      <c r="H23" s="370" t="s">
        <v>887</v>
      </c>
      <c r="I23" s="373"/>
      <c r="J23" s="696">
        <f t="shared" si="0"/>
        <v>38.847605999999992</v>
      </c>
      <c r="K23" s="370"/>
      <c r="M23" s="648">
        <f t="shared" si="1"/>
        <v>4</v>
      </c>
      <c r="AB23" s="358" t="s">
        <v>871</v>
      </c>
      <c r="AC23" s="473">
        <v>81.494626999999994</v>
      </c>
    </row>
    <row r="24" spans="1:29" x14ac:dyDescent="0.2">
      <c r="A24" s="372">
        <f>+SUBTOTAL(3,$G$7:$G24)</f>
        <v>18</v>
      </c>
      <c r="B24" s="366">
        <v>45323</v>
      </c>
      <c r="C24" s="348" t="s">
        <v>761</v>
      </c>
      <c r="D24" s="368" t="str">
        <f>+VLOOKUP(C24,Foundation!$C$8:$D$531,2,FALSE)</f>
        <v>DA+3</v>
      </c>
      <c r="E24" s="368" t="str">
        <f>+VLOOKUP(C24,Foundation!$C$8:$E$495,3,FALSE)</f>
        <v>DRY</v>
      </c>
      <c r="F24" s="350">
        <v>45346</v>
      </c>
      <c r="G24" s="350">
        <v>45350</v>
      </c>
      <c r="H24" s="370" t="s">
        <v>893</v>
      </c>
      <c r="I24" s="373"/>
      <c r="J24" s="696">
        <f t="shared" si="0"/>
        <v>38.847605999999992</v>
      </c>
      <c r="K24" s="370"/>
      <c r="M24" s="648">
        <f t="shared" si="1"/>
        <v>4</v>
      </c>
      <c r="AB24" s="358" t="s">
        <v>244</v>
      </c>
      <c r="AC24" s="473">
        <v>66.381106999999986</v>
      </c>
    </row>
    <row r="25" spans="1:29" x14ac:dyDescent="0.2">
      <c r="A25" s="372">
        <f>+SUBTOTAL(3,$G$7:$G25)</f>
        <v>19</v>
      </c>
      <c r="B25" s="366">
        <v>45323</v>
      </c>
      <c r="C25" s="367" t="s">
        <v>792</v>
      </c>
      <c r="D25" s="368" t="str">
        <f>+VLOOKUP(C25,Foundation!$C$8:$D$531,2,FALSE)</f>
        <v>DA+0</v>
      </c>
      <c r="E25" s="368" t="str">
        <f>+VLOOKUP(C25,Foundation!$C$8:$E$495,3,FALSE)</f>
        <v>DRY</v>
      </c>
      <c r="F25" s="350">
        <v>45348</v>
      </c>
      <c r="G25" s="350">
        <v>45350</v>
      </c>
      <c r="H25" s="370" t="s">
        <v>887</v>
      </c>
      <c r="I25" s="373"/>
      <c r="J25" s="696">
        <f t="shared" si="0"/>
        <v>37.504372000000004</v>
      </c>
      <c r="K25" s="370"/>
      <c r="M25" s="648">
        <f t="shared" si="1"/>
        <v>2</v>
      </c>
      <c r="AB25" s="358" t="s">
        <v>906</v>
      </c>
      <c r="AC25" s="473">
        <v>69.228687000000008</v>
      </c>
    </row>
    <row r="26" spans="1:29" x14ac:dyDescent="0.2">
      <c r="A26" s="372">
        <f>+SUBTOTAL(3,$G$7:$G26)</f>
        <v>20</v>
      </c>
      <c r="B26" s="366">
        <v>45323</v>
      </c>
      <c r="C26" s="348" t="s">
        <v>760</v>
      </c>
      <c r="D26" s="368" t="str">
        <f>+VLOOKUP(C26,Foundation!$C$8:$D$531,2,FALSE)</f>
        <v>DB1+3</v>
      </c>
      <c r="E26" s="368" t="str">
        <f>+VLOOKUP(C26,Foundation!$C$8:$E$495,3,FALSE)</f>
        <v>DRY</v>
      </c>
      <c r="F26" s="350">
        <v>45346</v>
      </c>
      <c r="G26" s="350">
        <v>45351</v>
      </c>
      <c r="H26" s="370" t="s">
        <v>899</v>
      </c>
      <c r="I26" s="373"/>
      <c r="J26" s="696">
        <f t="shared" si="0"/>
        <v>60.096777000000003</v>
      </c>
      <c r="K26" s="370"/>
      <c r="M26" s="648">
        <f t="shared" si="1"/>
        <v>5</v>
      </c>
      <c r="AB26" s="358" t="s">
        <v>870</v>
      </c>
      <c r="AC26" s="473">
        <v>78.132046999999986</v>
      </c>
    </row>
    <row r="27" spans="1:29" x14ac:dyDescent="0.2">
      <c r="A27" s="372">
        <f>+SUBTOTAL(3,$G$7:$G27)</f>
        <v>21</v>
      </c>
      <c r="B27" s="366">
        <v>45323</v>
      </c>
      <c r="C27" s="348" t="s">
        <v>813</v>
      </c>
      <c r="D27" s="368" t="str">
        <f>+VLOOKUP(C27,Foundation!$C$8:$D$531,2,FALSE)</f>
        <v>DA+3</v>
      </c>
      <c r="E27" s="368" t="str">
        <f>+VLOOKUP(C27,Foundation!$C$8:$E$495,3,FALSE)</f>
        <v>DRY</v>
      </c>
      <c r="F27" s="350">
        <v>45346</v>
      </c>
      <c r="G27" s="350">
        <v>45351</v>
      </c>
      <c r="H27" s="370" t="s">
        <v>898</v>
      </c>
      <c r="I27" s="373"/>
      <c r="J27" s="696">
        <f t="shared" si="0"/>
        <v>38.847605999999992</v>
      </c>
      <c r="K27" s="370"/>
      <c r="M27" s="648">
        <f t="shared" si="1"/>
        <v>5</v>
      </c>
      <c r="AB27" s="358" t="s">
        <v>248</v>
      </c>
      <c r="AC27" s="473">
        <v>81.494626999999994</v>
      </c>
    </row>
    <row r="28" spans="1:29" x14ac:dyDescent="0.2">
      <c r="A28" s="372">
        <f>+SUBTOTAL(3,$G$7:$G28)</f>
        <v>22</v>
      </c>
      <c r="B28" s="366">
        <v>45323</v>
      </c>
      <c r="C28" s="367" t="s">
        <v>774</v>
      </c>
      <c r="D28" s="368" t="str">
        <f>+VLOOKUP(C28,Foundation!$C$8:$D$531,2,FALSE)</f>
        <v>DA+0</v>
      </c>
      <c r="E28" s="368" t="str">
        <f>+VLOOKUP(C28,Foundation!$C$8:$E$495,3,FALSE)</f>
        <v>DRY</v>
      </c>
      <c r="F28" s="350">
        <v>45348</v>
      </c>
      <c r="G28" s="350">
        <v>45351</v>
      </c>
      <c r="H28" s="370" t="s">
        <v>889</v>
      </c>
      <c r="I28" s="373"/>
      <c r="J28" s="696">
        <f t="shared" si="0"/>
        <v>37.504372000000004</v>
      </c>
      <c r="K28" s="370"/>
      <c r="M28" s="648">
        <f t="shared" si="1"/>
        <v>3</v>
      </c>
      <c r="AB28" s="358" t="s">
        <v>868</v>
      </c>
      <c r="AC28" s="473">
        <v>86.129278999999997</v>
      </c>
    </row>
    <row r="29" spans="1:29" x14ac:dyDescent="0.2">
      <c r="A29" s="372">
        <f>+SUBTOTAL(3,$G$7:$G29)</f>
        <v>23</v>
      </c>
      <c r="B29" s="366">
        <v>45352</v>
      </c>
      <c r="C29" s="367" t="s">
        <v>791</v>
      </c>
      <c r="D29" s="368" t="str">
        <f>+VLOOKUP(C29,Foundation!$C$8:$D$531,2,FALSE)</f>
        <v>DA+3</v>
      </c>
      <c r="E29" s="368" t="str">
        <f>+VLOOKUP(C29,Foundation!$C$8:$E$495,3,FALSE)</f>
        <v>DRY</v>
      </c>
      <c r="F29" s="350">
        <v>45351</v>
      </c>
      <c r="G29" s="350">
        <v>45354</v>
      </c>
      <c r="H29" s="370" t="s">
        <v>887</v>
      </c>
      <c r="I29" s="373"/>
      <c r="J29" s="696">
        <f t="shared" si="0"/>
        <v>38.847605999999992</v>
      </c>
      <c r="K29" s="370"/>
      <c r="M29" s="648">
        <f t="shared" si="1"/>
        <v>3</v>
      </c>
      <c r="AB29" s="358" t="s">
        <v>247</v>
      </c>
      <c r="AC29" s="473">
        <v>89.909625000000005</v>
      </c>
    </row>
    <row r="30" spans="1:29" x14ac:dyDescent="0.2">
      <c r="A30" s="372">
        <f>+SUBTOTAL(3,$G$7:$G30)</f>
        <v>24</v>
      </c>
      <c r="B30" s="366">
        <v>45352</v>
      </c>
      <c r="C30" s="367" t="s">
        <v>814</v>
      </c>
      <c r="D30" s="368" t="str">
        <f>+VLOOKUP(C30,Foundation!$C$8:$D$531,2,FALSE)</f>
        <v>DA+3</v>
      </c>
      <c r="E30" s="368" t="str">
        <f>+VLOOKUP(C30,Foundation!$C$8:$E$495,3,FALSE)</f>
        <v>DRY</v>
      </c>
      <c r="F30" s="350">
        <v>45351</v>
      </c>
      <c r="G30" s="350">
        <v>45355</v>
      </c>
      <c r="H30" s="370" t="s">
        <v>898</v>
      </c>
      <c r="I30" s="373"/>
      <c r="J30" s="696">
        <f t="shared" si="0"/>
        <v>38.847605999999992</v>
      </c>
      <c r="K30" s="370"/>
      <c r="M30" s="648">
        <f t="shared" si="1"/>
        <v>4</v>
      </c>
      <c r="AB30" s="358" t="s">
        <v>238</v>
      </c>
      <c r="AC30" s="473">
        <v>86.129278999999997</v>
      </c>
    </row>
    <row r="31" spans="1:29" x14ac:dyDescent="0.2">
      <c r="A31" s="372">
        <f>+SUBTOTAL(3,$G$7:$G31)</f>
        <v>25</v>
      </c>
      <c r="B31" s="366">
        <v>45352</v>
      </c>
      <c r="C31" s="367" t="s">
        <v>823</v>
      </c>
      <c r="D31" s="368" t="str">
        <f>+VLOOKUP(C31,Foundation!$C$8:$D$531,2,FALSE)</f>
        <v>DA+0</v>
      </c>
      <c r="E31" s="368" t="str">
        <f>+VLOOKUP(C31,Foundation!$C$8:$E$495,3,FALSE)</f>
        <v>DRY</v>
      </c>
      <c r="F31" s="350">
        <v>45351</v>
      </c>
      <c r="G31" s="350">
        <v>45357</v>
      </c>
      <c r="H31" s="370" t="s">
        <v>893</v>
      </c>
      <c r="I31" s="373"/>
      <c r="J31" s="696">
        <f t="shared" si="0"/>
        <v>37.504372000000004</v>
      </c>
      <c r="K31" s="370"/>
      <c r="M31" s="648">
        <f t="shared" si="1"/>
        <v>6</v>
      </c>
      <c r="AB31" s="358" t="s">
        <v>362</v>
      </c>
      <c r="AC31" s="473">
        <v>89.909625000000005</v>
      </c>
    </row>
    <row r="32" spans="1:29" x14ac:dyDescent="0.2">
      <c r="A32" s="372">
        <f>+SUBTOTAL(3,$G$7:$G32)</f>
        <v>26</v>
      </c>
      <c r="B32" s="366">
        <v>45352</v>
      </c>
      <c r="C32" s="367" t="s">
        <v>796</v>
      </c>
      <c r="D32" s="368" t="str">
        <f>+VLOOKUP(C32,Foundation!$C$8:$D$531,2,FALSE)</f>
        <v>DA+3</v>
      </c>
      <c r="E32" s="368" t="str">
        <f>+VLOOKUP(C32,Foundation!$C$8:$E$495,3,FALSE)</f>
        <v>DRY</v>
      </c>
      <c r="F32" s="350">
        <v>45355</v>
      </c>
      <c r="G32" s="350">
        <v>45358</v>
      </c>
      <c r="H32" s="370" t="s">
        <v>887</v>
      </c>
      <c r="I32" s="373"/>
      <c r="J32" s="696">
        <f t="shared" si="0"/>
        <v>38.847605999999992</v>
      </c>
      <c r="K32" s="370"/>
      <c r="M32" s="648">
        <f t="shared" si="1"/>
        <v>3</v>
      </c>
      <c r="AB32" s="358" t="s">
        <v>652</v>
      </c>
      <c r="AC32" s="473">
        <v>100.96800900000001</v>
      </c>
    </row>
    <row r="33" spans="1:29" x14ac:dyDescent="0.2">
      <c r="A33" s="372">
        <f>+SUBTOTAL(3,$G$7:$G33)</f>
        <v>27</v>
      </c>
      <c r="B33" s="366">
        <v>45352</v>
      </c>
      <c r="C33" s="367" t="s">
        <v>768</v>
      </c>
      <c r="D33" s="368" t="str">
        <f>+VLOOKUP(C33,Foundation!$C$8:$D$531,2,FALSE)</f>
        <v>DA+9</v>
      </c>
      <c r="E33" s="368" t="str">
        <f>+VLOOKUP(C33,Foundation!$C$8:$E$495,3,FALSE)</f>
        <v>Dry</v>
      </c>
      <c r="F33" s="350">
        <v>45351</v>
      </c>
      <c r="G33" s="350">
        <v>45362</v>
      </c>
      <c r="H33" s="370" t="s">
        <v>890</v>
      </c>
      <c r="I33" s="373"/>
      <c r="J33" s="696">
        <f t="shared" si="0"/>
        <v>47.184350000000002</v>
      </c>
      <c r="K33" s="370"/>
      <c r="M33" s="648">
        <f t="shared" si="1"/>
        <v>11</v>
      </c>
      <c r="AB33" s="358" t="s">
        <v>357</v>
      </c>
      <c r="AC33" s="473">
        <v>105.06815699999999</v>
      </c>
    </row>
    <row r="34" spans="1:29" x14ac:dyDescent="0.2">
      <c r="A34" s="372">
        <f>+SUBTOTAL(3,$G$7:$G34)</f>
        <v>28</v>
      </c>
      <c r="B34" s="366">
        <v>45352</v>
      </c>
      <c r="C34" s="367" t="s">
        <v>825</v>
      </c>
      <c r="D34" s="368" t="str">
        <f>+VLOOKUP(C34,Foundation!$C$8:$D$531,2,FALSE)</f>
        <v>DA+0</v>
      </c>
      <c r="E34" s="368" t="str">
        <f>+VLOOKUP(C34,Foundation!$C$8:$E$495,3,FALSE)</f>
        <v>DRY</v>
      </c>
      <c r="F34" s="350">
        <v>45357</v>
      </c>
      <c r="G34" s="350">
        <v>45362</v>
      </c>
      <c r="H34" s="370" t="s">
        <v>893</v>
      </c>
      <c r="I34" s="373"/>
      <c r="J34" s="696">
        <f t="shared" si="0"/>
        <v>37.504372000000004</v>
      </c>
      <c r="K34" s="370"/>
      <c r="M34" s="648">
        <f t="shared" si="1"/>
        <v>5</v>
      </c>
      <c r="AB34" s="358" t="s">
        <v>653</v>
      </c>
      <c r="AC34" s="473">
        <v>129.110961</v>
      </c>
    </row>
    <row r="35" spans="1:29" x14ac:dyDescent="0.2">
      <c r="A35" s="372">
        <f>+SUBTOTAL(3,$G$7:$G35)</f>
        <v>29</v>
      </c>
      <c r="B35" s="366">
        <v>45352</v>
      </c>
      <c r="C35" s="367" t="s">
        <v>797</v>
      </c>
      <c r="D35" s="368" t="str">
        <f>+VLOOKUP(C35,Foundation!$C$8:$D$531,2,FALSE)</f>
        <v>DA+0</v>
      </c>
      <c r="E35" s="368" t="str">
        <f>+VLOOKUP(C35,Foundation!$C$8:$E$495,3,FALSE)</f>
        <v>DFR</v>
      </c>
      <c r="F35" s="350">
        <v>45358</v>
      </c>
      <c r="G35" s="350">
        <v>45362</v>
      </c>
      <c r="H35" s="370" t="s">
        <v>887</v>
      </c>
      <c r="I35" s="373"/>
      <c r="J35" s="696">
        <f t="shared" si="0"/>
        <v>37.504372000000004</v>
      </c>
      <c r="K35" s="370"/>
      <c r="M35" s="648">
        <f t="shared" si="1"/>
        <v>4</v>
      </c>
      <c r="AB35" s="358" t="s">
        <v>654</v>
      </c>
      <c r="AC35" s="473">
        <v>143.60187300000001</v>
      </c>
    </row>
    <row r="36" spans="1:29" x14ac:dyDescent="0.2">
      <c r="A36" s="372">
        <f>+SUBTOTAL(3,$G$7:$G36)</f>
        <v>30</v>
      </c>
      <c r="B36" s="366">
        <v>45352</v>
      </c>
      <c r="C36" s="367" t="s">
        <v>798</v>
      </c>
      <c r="D36" s="368" t="str">
        <f>+VLOOKUP(C36,Foundation!$C$8:$D$531,2,FALSE)</f>
        <v>DA+3</v>
      </c>
      <c r="E36" s="368" t="str">
        <f>+VLOOKUP(C36,Foundation!$C$8:$E$495,3,FALSE)</f>
        <v>DFR</v>
      </c>
      <c r="F36" s="350">
        <v>45362</v>
      </c>
      <c r="G36" s="350">
        <v>45366</v>
      </c>
      <c r="H36" s="370" t="s">
        <v>887</v>
      </c>
      <c r="I36" s="373"/>
      <c r="J36" s="696">
        <f t="shared" si="0"/>
        <v>38.847605999999992</v>
      </c>
      <c r="K36" s="370"/>
      <c r="M36" s="648">
        <f t="shared" si="1"/>
        <v>4</v>
      </c>
    </row>
    <row r="37" spans="1:29" x14ac:dyDescent="0.2">
      <c r="A37" s="372">
        <f>+SUBTOTAL(3,$G$7:$G37)</f>
        <v>31</v>
      </c>
      <c r="B37" s="366">
        <v>45352</v>
      </c>
      <c r="C37" s="367" t="s">
        <v>824</v>
      </c>
      <c r="D37" s="368" t="str">
        <f>+VLOOKUP(C37,Foundation!$C$8:$D$531,2,FALSE)</f>
        <v>DA+3</v>
      </c>
      <c r="E37" s="368" t="str">
        <f>+VLOOKUP(C37,Foundation!$C$8:$E$495,3,FALSE)</f>
        <v>DRY</v>
      </c>
      <c r="F37" s="350">
        <v>45362</v>
      </c>
      <c r="G37" s="350">
        <v>45367</v>
      </c>
      <c r="H37" s="370" t="s">
        <v>893</v>
      </c>
      <c r="I37" s="373"/>
      <c r="J37" s="696">
        <f t="shared" si="0"/>
        <v>38.847605999999992</v>
      </c>
      <c r="K37" s="370"/>
      <c r="M37" s="648">
        <f t="shared" si="1"/>
        <v>5</v>
      </c>
    </row>
    <row r="38" spans="1:29" x14ac:dyDescent="0.2">
      <c r="A38" s="372">
        <f>+SUBTOTAL(3,$G$7:$G38)</f>
        <v>32</v>
      </c>
      <c r="B38" s="366">
        <v>45352</v>
      </c>
      <c r="C38" s="367" t="s">
        <v>773</v>
      </c>
      <c r="D38" s="368" t="str">
        <f>+VLOOKUP(C38,Foundation!$C$8:$D$531,2,FALSE)</f>
        <v>DA+3</v>
      </c>
      <c r="E38" s="368" t="str">
        <f>+VLOOKUP(C38,Foundation!$C$8:$E$495,3,FALSE)</f>
        <v>DRY</v>
      </c>
      <c r="F38" s="350">
        <v>45362</v>
      </c>
      <c r="G38" s="350">
        <v>45368</v>
      </c>
      <c r="H38" s="370" t="s">
        <v>890</v>
      </c>
      <c r="I38" s="373"/>
      <c r="J38" s="696">
        <f t="shared" si="0"/>
        <v>38.847605999999992</v>
      </c>
      <c r="K38" s="370"/>
      <c r="M38" s="648">
        <f t="shared" si="1"/>
        <v>6</v>
      </c>
    </row>
    <row r="39" spans="1:29" x14ac:dyDescent="0.2">
      <c r="A39" s="372">
        <f>+SUBTOTAL(3,$G$7:$G39)</f>
        <v>33</v>
      </c>
      <c r="B39" s="366">
        <v>45352</v>
      </c>
      <c r="C39" s="367" t="s">
        <v>799</v>
      </c>
      <c r="D39" s="368" t="str">
        <f>+VLOOKUP(C39,Foundation!$C$8:$D$531,2,FALSE)</f>
        <v>DA+0</v>
      </c>
      <c r="E39" s="368" t="str">
        <f>+VLOOKUP(C39,Foundation!$C$8:$E$495,3,FALSE)</f>
        <v>DFR</v>
      </c>
      <c r="F39" s="350">
        <v>45366</v>
      </c>
      <c r="G39" s="350">
        <v>45369</v>
      </c>
      <c r="H39" s="370" t="s">
        <v>887</v>
      </c>
      <c r="I39" s="373"/>
      <c r="J39" s="696">
        <f t="shared" si="0"/>
        <v>37.504372000000004</v>
      </c>
      <c r="K39" s="370"/>
      <c r="M39" s="648">
        <f t="shared" si="1"/>
        <v>3</v>
      </c>
    </row>
    <row r="40" spans="1:29" x14ac:dyDescent="0.2">
      <c r="A40" s="372">
        <f>+SUBTOTAL(3,$G$7:$G40)</f>
        <v>34</v>
      </c>
      <c r="B40" s="366">
        <v>45352</v>
      </c>
      <c r="C40" s="367" t="s">
        <v>826</v>
      </c>
      <c r="D40" s="368" t="str">
        <f>+VLOOKUP(C40,Foundation!$C$8:$D$531,2,FALSE)</f>
        <v>DA+0</v>
      </c>
      <c r="E40" s="368" t="str">
        <f>+VLOOKUP(C40,Foundation!$C$8:$E$495,3,FALSE)</f>
        <v>DRY</v>
      </c>
      <c r="F40" s="350">
        <v>45367</v>
      </c>
      <c r="G40" s="350">
        <v>45371</v>
      </c>
      <c r="H40" s="370" t="s">
        <v>893</v>
      </c>
      <c r="I40" s="373"/>
      <c r="J40" s="696">
        <f t="shared" si="0"/>
        <v>37.504372000000004</v>
      </c>
      <c r="K40" s="370"/>
      <c r="M40" s="648">
        <f t="shared" si="1"/>
        <v>4</v>
      </c>
    </row>
    <row r="41" spans="1:29" x14ac:dyDescent="0.2">
      <c r="A41" s="372">
        <f>+SUBTOTAL(3,$G$7:$G41)</f>
        <v>35</v>
      </c>
      <c r="B41" s="366">
        <v>45352</v>
      </c>
      <c r="C41" s="367" t="s">
        <v>785</v>
      </c>
      <c r="D41" s="368" t="str">
        <f>+VLOOKUP(C41,Foundation!$C$8:$D$531,2,FALSE)</f>
        <v>DA+3</v>
      </c>
      <c r="E41" s="368" t="str">
        <f>+VLOOKUP(C41,Foundation!$C$8:$E$495,3,FALSE)</f>
        <v>DRY</v>
      </c>
      <c r="F41" s="350">
        <v>45369</v>
      </c>
      <c r="G41" s="350">
        <v>45373</v>
      </c>
      <c r="H41" s="370" t="s">
        <v>887</v>
      </c>
      <c r="I41" s="373"/>
      <c r="J41" s="696">
        <f t="shared" si="0"/>
        <v>38.847605999999992</v>
      </c>
      <c r="K41" s="370"/>
      <c r="M41" s="648">
        <f t="shared" si="1"/>
        <v>4</v>
      </c>
    </row>
    <row r="42" spans="1:29" x14ac:dyDescent="0.2">
      <c r="A42" s="372">
        <f>+SUBTOTAL(3,$G$7:$G42)</f>
        <v>36</v>
      </c>
      <c r="B42" s="366">
        <v>45352</v>
      </c>
      <c r="C42" s="367" t="s">
        <v>772</v>
      </c>
      <c r="D42" s="368" t="str">
        <f>+VLOOKUP(C42,Foundation!$C$8:$D$531,2,FALSE)</f>
        <v>DA+3</v>
      </c>
      <c r="E42" s="368" t="str">
        <f>+VLOOKUP(C42,Foundation!$C$8:$E$495,3,FALSE)</f>
        <v>DFR</v>
      </c>
      <c r="F42" s="350">
        <v>45369</v>
      </c>
      <c r="G42" s="350">
        <v>45374</v>
      </c>
      <c r="H42" s="370" t="s">
        <v>890</v>
      </c>
      <c r="I42" s="373"/>
      <c r="J42" s="696">
        <f t="shared" si="0"/>
        <v>38.847605999999992</v>
      </c>
      <c r="K42" s="370"/>
      <c r="M42" s="648">
        <f t="shared" si="1"/>
        <v>5</v>
      </c>
    </row>
    <row r="43" spans="1:29" x14ac:dyDescent="0.2">
      <c r="A43" s="372">
        <f>+SUBTOTAL(3,$G$7:$G43)</f>
        <v>37</v>
      </c>
      <c r="B43" s="366">
        <v>45352</v>
      </c>
      <c r="C43" s="367" t="s">
        <v>827</v>
      </c>
      <c r="D43" s="368" t="str">
        <f>+VLOOKUP(C43,Foundation!$C$8:$D$531,2,FALSE)</f>
        <v>DA+0</v>
      </c>
      <c r="E43" s="368" t="str">
        <f>+VLOOKUP(C43,Foundation!$C$8:$E$495,3,FALSE)</f>
        <v>DRY</v>
      </c>
      <c r="F43" s="350">
        <v>45371</v>
      </c>
      <c r="G43" s="350">
        <v>45377</v>
      </c>
      <c r="H43" s="370" t="s">
        <v>893</v>
      </c>
      <c r="I43" s="373"/>
      <c r="J43" s="696">
        <f t="shared" si="0"/>
        <v>37.504372000000004</v>
      </c>
      <c r="K43" s="370"/>
      <c r="M43" s="648">
        <f t="shared" si="1"/>
        <v>6</v>
      </c>
    </row>
    <row r="44" spans="1:29" x14ac:dyDescent="0.2">
      <c r="A44" s="372">
        <f>+SUBTOTAL(3,$G$7:$G44)</f>
        <v>38</v>
      </c>
      <c r="B44" s="366">
        <v>45352</v>
      </c>
      <c r="C44" s="367" t="s">
        <v>815</v>
      </c>
      <c r="D44" s="368" t="str">
        <f>+VLOOKUP(C44,Foundation!$C$8:$D$531,2,FALSE)</f>
        <v>DA+0</v>
      </c>
      <c r="E44" s="368" t="str">
        <f>+VLOOKUP(C44,Foundation!$C$8:$E$495,3,FALSE)</f>
        <v>DRY</v>
      </c>
      <c r="F44" s="350">
        <v>45372</v>
      </c>
      <c r="G44" s="350">
        <v>45377</v>
      </c>
      <c r="H44" s="370" t="s">
        <v>898</v>
      </c>
      <c r="I44" s="373"/>
      <c r="J44" s="696">
        <f t="shared" si="0"/>
        <v>37.504372000000004</v>
      </c>
      <c r="K44" s="370"/>
      <c r="M44" s="648">
        <f t="shared" si="1"/>
        <v>5</v>
      </c>
    </row>
    <row r="45" spans="1:29" x14ac:dyDescent="0.2">
      <c r="A45" s="372">
        <f>+SUBTOTAL(3,$G$7:$G45)</f>
        <v>39</v>
      </c>
      <c r="B45" s="366">
        <v>45352</v>
      </c>
      <c r="C45" s="367" t="s">
        <v>786</v>
      </c>
      <c r="D45" s="368" t="str">
        <f>+VLOOKUP(C45,Foundation!$C$8:$D$531,2,FALSE)</f>
        <v>DA+9</v>
      </c>
      <c r="E45" s="368" t="str">
        <f>+VLOOKUP(C45,Foundation!$C$8:$E$495,3,FALSE)</f>
        <v>Dry</v>
      </c>
      <c r="F45" s="350">
        <v>45373</v>
      </c>
      <c r="G45" s="350">
        <v>45379</v>
      </c>
      <c r="H45" s="370" t="s">
        <v>887</v>
      </c>
      <c r="I45" s="373"/>
      <c r="J45" s="696">
        <f t="shared" si="0"/>
        <v>47.184350000000002</v>
      </c>
      <c r="K45" s="370"/>
      <c r="M45" s="648">
        <f t="shared" si="1"/>
        <v>6</v>
      </c>
    </row>
    <row r="46" spans="1:29" x14ac:dyDescent="0.2">
      <c r="A46" s="372">
        <f>+SUBTOTAL(3,$G$7:$G46)</f>
        <v>40</v>
      </c>
      <c r="B46" s="366">
        <v>45352</v>
      </c>
      <c r="C46" s="367" t="s">
        <v>816</v>
      </c>
      <c r="D46" s="368" t="str">
        <f>+VLOOKUP(C46,Foundation!$C$8:$D$531,2,FALSE)</f>
        <v>DA+3</v>
      </c>
      <c r="E46" s="368" t="str">
        <f>+VLOOKUP(C46,Foundation!$C$8:$E$495,3,FALSE)</f>
        <v>DRY</v>
      </c>
      <c r="F46" s="350">
        <v>45377</v>
      </c>
      <c r="G46" s="350">
        <v>45381</v>
      </c>
      <c r="H46" s="370" t="s">
        <v>898</v>
      </c>
      <c r="I46" s="373"/>
      <c r="J46" s="696">
        <f t="shared" si="0"/>
        <v>38.847605999999992</v>
      </c>
      <c r="K46" s="370"/>
      <c r="M46" s="648">
        <f t="shared" si="1"/>
        <v>4</v>
      </c>
    </row>
    <row r="47" spans="1:29" x14ac:dyDescent="0.2">
      <c r="A47" s="372">
        <f>+SUBTOTAL(3,$G$7:$G47)</f>
        <v>41</v>
      </c>
      <c r="B47" s="366">
        <v>45352</v>
      </c>
      <c r="C47" s="367" t="s">
        <v>771</v>
      </c>
      <c r="D47" s="368" t="str">
        <f>+VLOOKUP(C47,Foundation!$C$8:$D$531,2,FALSE)</f>
        <v>DA+3</v>
      </c>
      <c r="E47" s="368" t="str">
        <f>+VLOOKUP(C47,Foundation!$C$8:$E$495,3,FALSE)</f>
        <v>DFR</v>
      </c>
      <c r="F47" s="350">
        <v>45374</v>
      </c>
      <c r="G47" s="350">
        <v>45382</v>
      </c>
      <c r="H47" s="370" t="s">
        <v>890</v>
      </c>
      <c r="I47" s="373"/>
      <c r="J47" s="696">
        <f t="shared" si="0"/>
        <v>38.847605999999992</v>
      </c>
      <c r="K47" s="370"/>
      <c r="M47" s="648">
        <f t="shared" si="1"/>
        <v>8</v>
      </c>
    </row>
    <row r="48" spans="1:29" x14ac:dyDescent="0.2">
      <c r="A48" s="372">
        <f>+SUBTOTAL(3,$G$7:$G48)</f>
        <v>42</v>
      </c>
      <c r="B48" s="366">
        <v>45352</v>
      </c>
      <c r="C48" s="367" t="s">
        <v>828</v>
      </c>
      <c r="D48" s="368" t="str">
        <f>+VLOOKUP(C48,Foundation!$C$8:$D$531,2,FALSE)</f>
        <v>DA+0</v>
      </c>
      <c r="E48" s="368" t="str">
        <f>+VLOOKUP(C48,Foundation!$C$8:$E$495,3,FALSE)</f>
        <v>DRY</v>
      </c>
      <c r="F48" s="350">
        <v>45377</v>
      </c>
      <c r="G48" s="350">
        <v>45382</v>
      </c>
      <c r="H48" s="370" t="s">
        <v>893</v>
      </c>
      <c r="I48" s="373"/>
      <c r="J48" s="696">
        <f t="shared" si="0"/>
        <v>37.504372000000004</v>
      </c>
      <c r="K48" s="370"/>
      <c r="M48" s="648">
        <f t="shared" si="1"/>
        <v>5</v>
      </c>
    </row>
    <row r="49" spans="1:13" x14ac:dyDescent="0.2">
      <c r="A49" s="372">
        <f>+SUBTOTAL(3,$G$7:$G49)</f>
        <v>43</v>
      </c>
      <c r="B49" s="366">
        <v>45383</v>
      </c>
      <c r="C49" s="348" t="s">
        <v>817</v>
      </c>
      <c r="D49" s="368" t="str">
        <f>+VLOOKUP(C49,Foundation!$C$8:$D$531,2,FALSE)</f>
        <v>DA+3</v>
      </c>
      <c r="E49" s="368" t="str">
        <f>+VLOOKUP(C49,Foundation!$C$8:$E$495,3,FALSE)</f>
        <v>DRY</v>
      </c>
      <c r="F49" s="350">
        <v>45381</v>
      </c>
      <c r="G49" s="350">
        <v>45385</v>
      </c>
      <c r="H49" s="370" t="s">
        <v>898</v>
      </c>
      <c r="I49" s="373"/>
      <c r="J49" s="696">
        <f t="shared" si="0"/>
        <v>38.847605999999992</v>
      </c>
      <c r="K49" s="370"/>
      <c r="M49" s="648">
        <f t="shared" si="1"/>
        <v>4</v>
      </c>
    </row>
    <row r="50" spans="1:13" x14ac:dyDescent="0.2">
      <c r="A50" s="372">
        <f>+SUBTOTAL(3,$G$7:$G50)</f>
        <v>44</v>
      </c>
      <c r="B50" s="366">
        <v>45383</v>
      </c>
      <c r="C50" s="348" t="s">
        <v>830</v>
      </c>
      <c r="D50" s="368" t="str">
        <f>+VLOOKUP(C50,Foundation!$C$8:$D$531,2,FALSE)</f>
        <v>DA+0</v>
      </c>
      <c r="E50" s="368" t="str">
        <f>+VLOOKUP(C50,Foundation!$C$8:$E$495,3,FALSE)</f>
        <v>DRY</v>
      </c>
      <c r="F50" s="350">
        <v>45382</v>
      </c>
      <c r="G50" s="350">
        <v>45386</v>
      </c>
      <c r="H50" s="370" t="s">
        <v>893</v>
      </c>
      <c r="I50" s="373"/>
      <c r="J50" s="696">
        <f t="shared" si="0"/>
        <v>37.504372000000004</v>
      </c>
      <c r="K50" s="370"/>
      <c r="M50" s="648">
        <f t="shared" si="1"/>
        <v>4</v>
      </c>
    </row>
    <row r="51" spans="1:13" x14ac:dyDescent="0.2">
      <c r="A51" s="372">
        <f>+SUBTOTAL(3,$G$7:$G51)</f>
        <v>45</v>
      </c>
      <c r="B51" s="366">
        <v>45383</v>
      </c>
      <c r="C51" s="348" t="s">
        <v>770</v>
      </c>
      <c r="D51" s="368" t="str">
        <f>+VLOOKUP(C51,Foundation!$C$8:$D$531,2,FALSE)</f>
        <v>DA+3</v>
      </c>
      <c r="E51" s="368" t="str">
        <f>+VLOOKUP(C51,Foundation!$C$8:$E$495,3,FALSE)</f>
        <v>DFR</v>
      </c>
      <c r="F51" s="350">
        <v>45382</v>
      </c>
      <c r="G51" s="350">
        <v>45389</v>
      </c>
      <c r="H51" s="370" t="s">
        <v>890</v>
      </c>
      <c r="I51" s="373"/>
      <c r="J51" s="696">
        <f t="shared" si="0"/>
        <v>38.847605999999992</v>
      </c>
      <c r="K51" s="370"/>
      <c r="M51" s="648">
        <f t="shared" si="1"/>
        <v>7</v>
      </c>
    </row>
    <row r="52" spans="1:13" x14ac:dyDescent="0.2">
      <c r="A52" s="372">
        <f>+SUBTOTAL(3,$G$7:$G52)</f>
        <v>46</v>
      </c>
      <c r="B52" s="366">
        <v>45383</v>
      </c>
      <c r="C52" s="348" t="s">
        <v>805</v>
      </c>
      <c r="D52" s="368" t="str">
        <f>+VLOOKUP(C52,Foundation!$C$8:$D$531,2,FALSE)</f>
        <v>DA+3</v>
      </c>
      <c r="E52" s="368" t="str">
        <f>+VLOOKUP(C52,Foundation!$C$8:$E$495,3,FALSE)</f>
        <v>DFR</v>
      </c>
      <c r="F52" s="350">
        <v>45383</v>
      </c>
      <c r="G52" s="350">
        <v>45389</v>
      </c>
      <c r="H52" s="370" t="s">
        <v>900</v>
      </c>
      <c r="I52" s="373"/>
      <c r="J52" s="696">
        <f t="shared" si="0"/>
        <v>38.847605999999992</v>
      </c>
      <c r="K52" s="370"/>
      <c r="M52" s="648">
        <f t="shared" si="1"/>
        <v>6</v>
      </c>
    </row>
    <row r="53" spans="1:13" x14ac:dyDescent="0.2">
      <c r="A53" s="372">
        <f>+SUBTOTAL(3,$G$7:$G53)</f>
        <v>47</v>
      </c>
      <c r="B53" s="366">
        <v>45383</v>
      </c>
      <c r="C53" s="348" t="s">
        <v>818</v>
      </c>
      <c r="D53" s="368" t="str">
        <f>+VLOOKUP(C53,Foundation!$C$8:$D$531,2,FALSE)</f>
        <v>DA+3</v>
      </c>
      <c r="E53" s="368" t="str">
        <f>+VLOOKUP(C53,Foundation!$C$8:$E$495,3,FALSE)</f>
        <v>DRY</v>
      </c>
      <c r="F53" s="350">
        <v>45385</v>
      </c>
      <c r="G53" s="350">
        <v>45390</v>
      </c>
      <c r="H53" s="370" t="s">
        <v>898</v>
      </c>
      <c r="I53" s="373"/>
      <c r="J53" s="696">
        <f t="shared" si="0"/>
        <v>38.847605999999992</v>
      </c>
      <c r="K53" s="370"/>
      <c r="M53" s="648">
        <f t="shared" si="1"/>
        <v>5</v>
      </c>
    </row>
    <row r="54" spans="1:13" x14ac:dyDescent="0.2">
      <c r="A54" s="372">
        <f>+SUBTOTAL(3,$G$7:$G54)</f>
        <v>48</v>
      </c>
      <c r="B54" s="366">
        <v>45383</v>
      </c>
      <c r="C54" s="348" t="s">
        <v>831</v>
      </c>
      <c r="D54" s="368" t="str">
        <f>+VLOOKUP(C54,Foundation!$C$8:$D$531,2,FALSE)</f>
        <v>DA+0</v>
      </c>
      <c r="E54" s="368" t="str">
        <f>+VLOOKUP(C54,Foundation!$C$8:$E$495,3,FALSE)</f>
        <v>DRY</v>
      </c>
      <c r="F54" s="350">
        <v>45388</v>
      </c>
      <c r="G54" s="350">
        <v>45392</v>
      </c>
      <c r="H54" s="370" t="s">
        <v>893</v>
      </c>
      <c r="I54" s="373"/>
      <c r="J54" s="696">
        <f t="shared" si="0"/>
        <v>37.504372000000004</v>
      </c>
      <c r="K54" s="370"/>
      <c r="M54" s="648">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887</v>
      </c>
      <c r="I55" s="373"/>
      <c r="J55" s="696">
        <f t="shared" si="0"/>
        <v>57.597240999999997</v>
      </c>
      <c r="K55" s="370"/>
      <c r="M55" s="648">
        <f t="shared" si="1"/>
        <v>5</v>
      </c>
    </row>
    <row r="56" spans="1:13" x14ac:dyDescent="0.2">
      <c r="A56" s="372">
        <f>+SUBTOTAL(3,$G$7:$G56)</f>
        <v>50</v>
      </c>
      <c r="B56" s="366">
        <v>45383</v>
      </c>
      <c r="C56" s="367" t="s">
        <v>804</v>
      </c>
      <c r="D56" s="368" t="str">
        <f>+VLOOKUP(C56,Foundation!$C$8:$D$531,2,FALSE)</f>
        <v>DA+0</v>
      </c>
      <c r="E56" s="368" t="str">
        <f>+VLOOKUP(C56,Foundation!$C$8:$E$495,3,FALSE)</f>
        <v>DRY</v>
      </c>
      <c r="F56" s="350">
        <v>45389</v>
      </c>
      <c r="G56" s="350">
        <v>45395</v>
      </c>
      <c r="H56" s="370" t="s">
        <v>900</v>
      </c>
      <c r="I56" s="373"/>
      <c r="J56" s="696">
        <f t="shared" si="0"/>
        <v>37.504372000000004</v>
      </c>
      <c r="K56" s="370"/>
      <c r="M56" s="648">
        <f t="shared" si="1"/>
        <v>6</v>
      </c>
    </row>
    <row r="57" spans="1:13" x14ac:dyDescent="0.2">
      <c r="A57" s="372">
        <f>+SUBTOTAL(3,$G$7:$G57)</f>
        <v>51</v>
      </c>
      <c r="B57" s="366">
        <v>45383</v>
      </c>
      <c r="C57" s="367" t="s">
        <v>832</v>
      </c>
      <c r="D57" s="368" t="str">
        <f>+VLOOKUP(C57,Foundation!$C$8:$D$531,2,FALSE)</f>
        <v>DA+0</v>
      </c>
      <c r="E57" s="368" t="str">
        <f>+VLOOKUP(C57,Foundation!$C$8:$E$495,3,FALSE)</f>
        <v>DRY</v>
      </c>
      <c r="F57" s="350">
        <v>45392</v>
      </c>
      <c r="G57" s="350">
        <v>45397</v>
      </c>
      <c r="H57" s="370" t="s">
        <v>893</v>
      </c>
      <c r="I57" s="373"/>
      <c r="J57" s="696">
        <f t="shared" si="0"/>
        <v>37.504372000000004</v>
      </c>
      <c r="K57" s="370"/>
      <c r="M57" s="648">
        <f t="shared" si="1"/>
        <v>5</v>
      </c>
    </row>
    <row r="58" spans="1:13" x14ac:dyDescent="0.2">
      <c r="A58" s="372">
        <f>+SUBTOTAL(3,$G$7:$G58)</f>
        <v>52</v>
      </c>
      <c r="B58" s="366">
        <v>45383</v>
      </c>
      <c r="C58" s="348" t="s">
        <v>803</v>
      </c>
      <c r="D58" s="368" t="str">
        <f>+VLOOKUP(C58,Foundation!$C$8:$D$531,2,FALSE)</f>
        <v>DA+3</v>
      </c>
      <c r="E58" s="368" t="str">
        <f>+VLOOKUP(C58,Foundation!$C$8:$E$495,3,FALSE)</f>
        <v>DFR</v>
      </c>
      <c r="F58" s="350">
        <v>45395</v>
      </c>
      <c r="G58" s="350">
        <v>45399</v>
      </c>
      <c r="H58" s="370" t="s">
        <v>900</v>
      </c>
      <c r="I58" s="373"/>
      <c r="J58" s="696">
        <f t="shared" si="0"/>
        <v>38.847605999999992</v>
      </c>
      <c r="K58" s="370"/>
      <c r="M58" s="648">
        <f t="shared" si="1"/>
        <v>4</v>
      </c>
    </row>
    <row r="59" spans="1:13" x14ac:dyDescent="0.2">
      <c r="A59" s="372">
        <f>+SUBTOTAL(3,$G$7:$G59)</f>
        <v>53</v>
      </c>
      <c r="B59" s="366">
        <v>45383</v>
      </c>
      <c r="C59" s="368" t="s">
        <v>819</v>
      </c>
      <c r="D59" s="368" t="str">
        <f>+VLOOKUP(C59,Foundation!$C$8:$D$531,2,FALSE)</f>
        <v>DA+3</v>
      </c>
      <c r="E59" s="368" t="str">
        <f>+VLOOKUP(C59,Foundation!$C$8:$E$495,3,FALSE)</f>
        <v>DRY</v>
      </c>
      <c r="F59" s="350">
        <v>45397</v>
      </c>
      <c r="G59" s="350">
        <v>45402</v>
      </c>
      <c r="H59" s="370" t="s">
        <v>893</v>
      </c>
      <c r="I59" s="373"/>
      <c r="J59" s="696">
        <f t="shared" si="0"/>
        <v>38.847605999999992</v>
      </c>
      <c r="K59" s="370"/>
      <c r="M59" s="648">
        <f t="shared" si="1"/>
        <v>5</v>
      </c>
    </row>
    <row r="60" spans="1:13" x14ac:dyDescent="0.2">
      <c r="A60" s="372">
        <f>+SUBTOTAL(3,$G$7:$G60)</f>
        <v>54</v>
      </c>
      <c r="B60" s="366">
        <v>45383</v>
      </c>
      <c r="C60" s="368" t="s">
        <v>811</v>
      </c>
      <c r="D60" s="368" t="str">
        <f>+VLOOKUP(C60,Foundation!$C$8:$D$531,2,FALSE)</f>
        <v>DA+3</v>
      </c>
      <c r="E60" s="368" t="str">
        <f>+VLOOKUP(C60,Foundation!$C$8:$E$495,3,FALSE)</f>
        <v>DRY</v>
      </c>
      <c r="F60" s="350">
        <v>45398</v>
      </c>
      <c r="G60" s="350">
        <v>45403</v>
      </c>
      <c r="H60" s="370" t="s">
        <v>898</v>
      </c>
      <c r="I60" s="373"/>
      <c r="J60" s="696">
        <f t="shared" si="0"/>
        <v>38.847605999999992</v>
      </c>
      <c r="K60" s="370"/>
      <c r="M60" s="648">
        <f t="shared" si="1"/>
        <v>5</v>
      </c>
    </row>
    <row r="61" spans="1:13" x14ac:dyDescent="0.2">
      <c r="A61" s="372">
        <f>+SUBTOTAL(3,$G$7:$G61)</f>
        <v>55</v>
      </c>
      <c r="B61" s="366">
        <v>45383</v>
      </c>
      <c r="C61" s="368" t="s">
        <v>781</v>
      </c>
      <c r="D61" s="368" t="str">
        <f>+VLOOKUP(C61,Foundation!$C$8:$D$531,2,FALSE)</f>
        <v>DA+6</v>
      </c>
      <c r="E61" s="368" t="str">
        <f>+VLOOKUP(C61,Foundation!$C$8:$E$495,3,FALSE)</f>
        <v>DFR</v>
      </c>
      <c r="F61" s="350">
        <v>45398</v>
      </c>
      <c r="G61" s="350">
        <v>45404</v>
      </c>
      <c r="H61" s="370" t="s">
        <v>887</v>
      </c>
      <c r="I61" s="373"/>
      <c r="J61" s="696">
        <f t="shared" si="0"/>
        <v>45.413028000000004</v>
      </c>
      <c r="K61" s="370"/>
      <c r="M61" s="648">
        <f t="shared" si="1"/>
        <v>6</v>
      </c>
    </row>
    <row r="62" spans="1:13" x14ac:dyDescent="0.2">
      <c r="A62" s="372">
        <f>+SUBTOTAL(3,$G$7:$G62)</f>
        <v>56</v>
      </c>
      <c r="B62" s="366">
        <v>45383</v>
      </c>
      <c r="C62" s="348" t="s">
        <v>802</v>
      </c>
      <c r="D62" s="368" t="str">
        <f>+VLOOKUP(C62,Foundation!$C$8:$D$531,2,FALSE)</f>
        <v>DA+0</v>
      </c>
      <c r="E62" s="368" t="str">
        <f>+VLOOKUP(C62,Foundation!$C$8:$E$495,3,FALSE)</f>
        <v>DFR</v>
      </c>
      <c r="F62" s="350">
        <v>45399</v>
      </c>
      <c r="G62" s="350">
        <v>45404</v>
      </c>
      <c r="H62" s="370" t="s">
        <v>889</v>
      </c>
      <c r="I62" s="373"/>
      <c r="J62" s="696">
        <f t="shared" si="0"/>
        <v>37.504372000000004</v>
      </c>
      <c r="K62" s="370"/>
      <c r="M62" s="648">
        <f t="shared" si="1"/>
        <v>5</v>
      </c>
    </row>
    <row r="63" spans="1:13" x14ac:dyDescent="0.2">
      <c r="A63" s="372">
        <f>+SUBTOTAL(3,$G$7:$G63)</f>
        <v>57</v>
      </c>
      <c r="B63" s="366">
        <v>45383</v>
      </c>
      <c r="C63" s="367" t="s">
        <v>769</v>
      </c>
      <c r="D63" s="368" t="str">
        <f>+VLOOKUP(C63,Foundation!$C$8:$D$531,2,FALSE)</f>
        <v>DA+6</v>
      </c>
      <c r="E63" s="368" t="str">
        <f>+VLOOKUP(C63,Foundation!$C$8:$E$495,3,FALSE)</f>
        <v>DRY</v>
      </c>
      <c r="F63" s="350">
        <v>45400</v>
      </c>
      <c r="G63" s="350">
        <v>45407</v>
      </c>
      <c r="H63" s="370" t="s">
        <v>890</v>
      </c>
      <c r="I63" s="373"/>
      <c r="J63" s="696">
        <f t="shared" si="0"/>
        <v>45.413028000000004</v>
      </c>
      <c r="K63" s="370"/>
      <c r="M63" s="648">
        <f t="shared" si="1"/>
        <v>7</v>
      </c>
    </row>
    <row r="64" spans="1:13" x14ac:dyDescent="0.2">
      <c r="A64" s="372">
        <f>+SUBTOTAL(3,$G$7:$G64)</f>
        <v>58</v>
      </c>
      <c r="B64" s="366">
        <v>45383</v>
      </c>
      <c r="C64" s="348" t="s">
        <v>812</v>
      </c>
      <c r="D64" s="368" t="str">
        <f>+VLOOKUP(C64,Foundation!$C$8:$D$531,2,FALSE)</f>
        <v>DA+0</v>
      </c>
      <c r="E64" s="368" t="str">
        <f>+VLOOKUP(C64,Foundation!$C$8:$E$495,3,FALSE)</f>
        <v>DRY</v>
      </c>
      <c r="F64" s="350">
        <v>45403</v>
      </c>
      <c r="G64" s="350">
        <v>45408</v>
      </c>
      <c r="H64" s="370" t="s">
        <v>898</v>
      </c>
      <c r="I64" s="373"/>
      <c r="J64" s="696">
        <f t="shared" si="0"/>
        <v>37.504372000000004</v>
      </c>
      <c r="K64" s="370"/>
      <c r="M64" s="648">
        <f t="shared" si="1"/>
        <v>5</v>
      </c>
    </row>
    <row r="65" spans="1:13" x14ac:dyDescent="0.2">
      <c r="A65" s="372">
        <f>+SUBTOTAL(3,$G$7:$G65)</f>
        <v>59</v>
      </c>
      <c r="B65" s="366">
        <v>45383</v>
      </c>
      <c r="C65" s="348" t="s">
        <v>821</v>
      </c>
      <c r="D65" s="368" t="str">
        <f>+VLOOKUP(C65,Foundation!$C$8:$D$531,2,FALSE)</f>
        <v>DB1+0</v>
      </c>
      <c r="E65" s="368" t="str">
        <f>+VLOOKUP(C65,Foundation!$C$8:$E$495,3,FALSE)</f>
        <v>DRY</v>
      </c>
      <c r="F65" s="350">
        <v>45403</v>
      </c>
      <c r="G65" s="350">
        <v>45409</v>
      </c>
      <c r="H65" s="370" t="s">
        <v>893</v>
      </c>
      <c r="I65" s="373"/>
      <c r="J65" s="696">
        <f t="shared" si="0"/>
        <v>57.597240999999997</v>
      </c>
      <c r="K65" s="370"/>
      <c r="M65" s="648">
        <f t="shared" si="1"/>
        <v>6</v>
      </c>
    </row>
    <row r="66" spans="1:13" x14ac:dyDescent="0.2">
      <c r="A66" s="372">
        <f>+SUBTOTAL(3,$G$7:$G66)</f>
        <v>60</v>
      </c>
      <c r="B66" s="366">
        <v>45383</v>
      </c>
      <c r="C66" s="374" t="s">
        <v>801</v>
      </c>
      <c r="D66" s="368" t="str">
        <f>+VLOOKUP(C66,Foundation!$C$8:$D$531,2,FALSE)</f>
        <v>DA+3</v>
      </c>
      <c r="E66" s="368" t="str">
        <f>+VLOOKUP(C66,Foundation!$C$8:$E$495,3,FALSE)</f>
        <v>DFR</v>
      </c>
      <c r="F66" s="350">
        <v>45404</v>
      </c>
      <c r="G66" s="350">
        <v>45409</v>
      </c>
      <c r="H66" s="370" t="s">
        <v>889</v>
      </c>
      <c r="I66" s="373"/>
      <c r="J66" s="696">
        <f t="shared" si="0"/>
        <v>38.847605999999992</v>
      </c>
      <c r="K66" s="370"/>
      <c r="M66" s="648">
        <f t="shared" si="1"/>
        <v>5</v>
      </c>
    </row>
    <row r="67" spans="1:13" x14ac:dyDescent="0.2">
      <c r="A67" s="372">
        <f>+SUBTOTAL(3,$G$7:$G67)</f>
        <v>61</v>
      </c>
      <c r="B67" s="366">
        <v>45383</v>
      </c>
      <c r="C67" s="374" t="s">
        <v>780</v>
      </c>
      <c r="D67" s="368" t="str">
        <f>+VLOOKUP(C67,Foundation!$C$8:$D$531,2,FALSE)</f>
        <v>DA+6</v>
      </c>
      <c r="E67" s="368" t="str">
        <f>+VLOOKUP(C67,Foundation!$C$8:$E$495,3,FALSE)</f>
        <v>DFR</v>
      </c>
      <c r="F67" s="350">
        <v>45404</v>
      </c>
      <c r="G67" s="350">
        <v>45411</v>
      </c>
      <c r="H67" s="370" t="s">
        <v>887</v>
      </c>
      <c r="I67" s="373"/>
      <c r="J67" s="696">
        <f t="shared" si="0"/>
        <v>45.413028000000004</v>
      </c>
      <c r="K67" s="370"/>
      <c r="M67" s="648">
        <f t="shared" si="1"/>
        <v>7</v>
      </c>
    </row>
    <row r="68" spans="1:13" x14ac:dyDescent="0.2">
      <c r="A68" s="372">
        <f>+SUBTOTAL(3,$G$7:$G68)</f>
        <v>62</v>
      </c>
      <c r="B68" s="366">
        <v>45413</v>
      </c>
      <c r="C68" s="368" t="s">
        <v>822</v>
      </c>
      <c r="D68" s="368" t="str">
        <f>+VLOOKUP(C68,Foundation!$C$8:$D$531,2,FALSE)</f>
        <v>DA+0</v>
      </c>
      <c r="E68" s="368" t="str">
        <f>+VLOOKUP(C68,Foundation!$C$8:$E$495,3,FALSE)</f>
        <v>DRY</v>
      </c>
      <c r="F68" s="350">
        <v>45409</v>
      </c>
      <c r="G68" s="350">
        <v>45415</v>
      </c>
      <c r="H68" s="370" t="s">
        <v>893</v>
      </c>
      <c r="I68" s="373"/>
      <c r="J68" s="696">
        <f t="shared" si="0"/>
        <v>37.504372000000004</v>
      </c>
      <c r="K68" s="370"/>
      <c r="M68" s="648">
        <f t="shared" si="1"/>
        <v>6</v>
      </c>
    </row>
    <row r="69" spans="1:13" x14ac:dyDescent="0.2">
      <c r="A69" s="372">
        <f>+SUBTOTAL(3,$G$7:$G69)</f>
        <v>63</v>
      </c>
      <c r="B69" s="366">
        <v>45413</v>
      </c>
      <c r="C69" s="348" t="s">
        <v>800</v>
      </c>
      <c r="D69" s="368" t="str">
        <f>+VLOOKUP(C69,Foundation!$C$8:$D$531,2,FALSE)</f>
        <v>DA+3</v>
      </c>
      <c r="E69" s="368" t="str">
        <f>+VLOOKUP(C69,Foundation!$C$8:$E$495,3,FALSE)</f>
        <v>DRY</v>
      </c>
      <c r="F69" s="350">
        <v>45409</v>
      </c>
      <c r="G69" s="350">
        <v>45415</v>
      </c>
      <c r="H69" s="370" t="s">
        <v>889</v>
      </c>
      <c r="I69" s="373"/>
      <c r="J69" s="696">
        <f t="shared" si="0"/>
        <v>38.847605999999992</v>
      </c>
      <c r="K69" s="370"/>
      <c r="M69" s="648">
        <f t="shared" si="1"/>
        <v>6</v>
      </c>
    </row>
    <row r="70" spans="1:13" x14ac:dyDescent="0.2">
      <c r="A70" s="372">
        <f>+SUBTOTAL(3,$G$7:$G70)</f>
        <v>64</v>
      </c>
      <c r="B70" s="366">
        <v>45413</v>
      </c>
      <c r="C70" s="348" t="s">
        <v>809</v>
      </c>
      <c r="D70" s="368" t="str">
        <f>+VLOOKUP(C70,Foundation!$C$8:$D$531,2,FALSE)</f>
        <v>DB2+0</v>
      </c>
      <c r="E70" s="368" t="str">
        <f>+VLOOKUP(C70,Foundation!$C$8:$E$495,3,FALSE)</f>
        <v>DRY</v>
      </c>
      <c r="F70" s="350">
        <v>45409</v>
      </c>
      <c r="G70" s="350">
        <v>45417</v>
      </c>
      <c r="H70" s="370" t="s">
        <v>898</v>
      </c>
      <c r="I70" s="373"/>
      <c r="J70" s="696">
        <f t="shared" si="0"/>
        <v>57.597240999999997</v>
      </c>
      <c r="K70" s="370"/>
      <c r="M70" s="648">
        <f t="shared" si="1"/>
        <v>8</v>
      </c>
    </row>
    <row r="71" spans="1:13" x14ac:dyDescent="0.2">
      <c r="A71" s="372">
        <f>+SUBTOTAL(3,$G$7:$G71)</f>
        <v>65</v>
      </c>
      <c r="B71" s="366">
        <v>45413</v>
      </c>
      <c r="C71" s="348" t="s">
        <v>777</v>
      </c>
      <c r="D71" s="368" t="str">
        <f>+VLOOKUP(C71,Foundation!$C$8:$D$531,2,FALSE)</f>
        <v>DA+3</v>
      </c>
      <c r="E71" s="368" t="str">
        <f>+VLOOKUP(C71,Foundation!$C$8:$E$495,3,FALSE)</f>
        <v>DRY</v>
      </c>
      <c r="F71" s="350">
        <v>45411</v>
      </c>
      <c r="G71" s="350">
        <v>45417</v>
      </c>
      <c r="H71" s="370" t="s">
        <v>887</v>
      </c>
      <c r="I71" s="373"/>
      <c r="J71" s="696">
        <f t="shared" si="0"/>
        <v>38.847605999999992</v>
      </c>
      <c r="K71" s="370"/>
      <c r="M71" s="648">
        <f t="shared" si="1"/>
        <v>6</v>
      </c>
    </row>
    <row r="72" spans="1:13" x14ac:dyDescent="0.2">
      <c r="A72" s="372">
        <f>+SUBTOTAL(3,$G$7:$G72)</f>
        <v>66</v>
      </c>
      <c r="B72" s="366">
        <v>45413</v>
      </c>
      <c r="C72" s="348" t="s">
        <v>782</v>
      </c>
      <c r="D72" s="368" t="str">
        <f>+VLOOKUP(C72,Foundation!$C$8:$D$531,2,FALSE)</f>
        <v>DA+6</v>
      </c>
      <c r="E72" s="368" t="str">
        <f>+VLOOKUP(C72,Foundation!$C$8:$E$495,3,FALSE)</f>
        <v>DRY</v>
      </c>
      <c r="F72" s="350">
        <v>45417</v>
      </c>
      <c r="G72" s="350">
        <v>45423</v>
      </c>
      <c r="H72" s="370" t="s">
        <v>887</v>
      </c>
      <c r="I72" s="373"/>
      <c r="J72" s="696">
        <f t="shared" ref="J72:J135" si="2">+VLOOKUP(D72,$AB$7:$AC$35,2,FALSE)</f>
        <v>45.413028000000004</v>
      </c>
      <c r="K72" s="370"/>
      <c r="M72" s="648">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889</v>
      </c>
      <c r="I73" s="373"/>
      <c r="J73" s="696">
        <f t="shared" si="2"/>
        <v>66.381106999999986</v>
      </c>
      <c r="K73" s="370"/>
      <c r="M73" s="648">
        <f t="shared" si="3"/>
        <v>9</v>
      </c>
    </row>
    <row r="74" spans="1:13" x14ac:dyDescent="0.2">
      <c r="A74" s="372">
        <f>+SUBTOTAL(3,$G$7:$G74)</f>
        <v>68</v>
      </c>
      <c r="B74" s="366">
        <v>45413</v>
      </c>
      <c r="C74" s="348" t="s">
        <v>783</v>
      </c>
      <c r="D74" s="368" t="str">
        <f>+VLOOKUP(C74,Foundation!$C$8:$D$531,2,FALSE)</f>
        <v>DA+3</v>
      </c>
      <c r="E74" s="368" t="str">
        <f>+VLOOKUP(C74,Foundation!$C$8:$E$495,3,FALSE)</f>
        <v>DRY</v>
      </c>
      <c r="F74" s="350">
        <v>45423</v>
      </c>
      <c r="G74" s="350">
        <v>45428</v>
      </c>
      <c r="H74" s="370" t="s">
        <v>887</v>
      </c>
      <c r="I74" s="373"/>
      <c r="J74" s="696">
        <f t="shared" si="2"/>
        <v>38.847605999999992</v>
      </c>
      <c r="K74" s="370"/>
      <c r="M74" s="648">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901</v>
      </c>
      <c r="I75" s="373"/>
      <c r="J75" s="696">
        <f t="shared" si="2"/>
        <v>66.381106999999986</v>
      </c>
      <c r="K75" s="370"/>
      <c r="M75" s="648">
        <f t="shared" si="3"/>
        <v>13</v>
      </c>
    </row>
    <row r="76" spans="1:13" x14ac:dyDescent="0.2">
      <c r="A76" s="372">
        <f>+SUBTOTAL(3,$G$7:$G76)</f>
        <v>70</v>
      </c>
      <c r="B76" s="366">
        <v>45413</v>
      </c>
      <c r="C76" s="348" t="s">
        <v>789</v>
      </c>
      <c r="D76" s="368" t="str">
        <f>+VLOOKUP(C76,Foundation!$C$8:$D$531,2,FALSE)</f>
        <v>DA+9</v>
      </c>
      <c r="E76" s="368" t="str">
        <f>+VLOOKUP(C76,Foundation!$C$8:$E$495,3,FALSE)</f>
        <v>DRY</v>
      </c>
      <c r="F76" s="350">
        <v>45424</v>
      </c>
      <c r="G76" s="350">
        <v>45431</v>
      </c>
      <c r="H76" s="370" t="s">
        <v>889</v>
      </c>
      <c r="I76" s="373"/>
      <c r="J76" s="696">
        <f t="shared" si="2"/>
        <v>47.184350000000002</v>
      </c>
      <c r="K76" s="370"/>
      <c r="M76" s="648">
        <f t="shared" si="3"/>
        <v>7</v>
      </c>
    </row>
    <row r="77" spans="1:13" x14ac:dyDescent="0.2">
      <c r="A77" s="372">
        <f>+SUBTOTAL(3,$G$7:$G77)</f>
        <v>71</v>
      </c>
      <c r="B77" s="366">
        <v>45413</v>
      </c>
      <c r="C77" s="368" t="s">
        <v>784</v>
      </c>
      <c r="D77" s="368" t="str">
        <f>+VLOOKUP(C77,Foundation!$C$8:$D$531,2,FALSE)</f>
        <v>DA+3</v>
      </c>
      <c r="E77" s="368" t="str">
        <f>+VLOOKUP(C77,Foundation!$C$8:$E$495,3,FALSE)</f>
        <v>DRY</v>
      </c>
      <c r="F77" s="350">
        <v>45428</v>
      </c>
      <c r="G77" s="350">
        <v>45434</v>
      </c>
      <c r="H77" s="370" t="s">
        <v>887</v>
      </c>
      <c r="I77" s="373"/>
      <c r="J77" s="696">
        <f t="shared" si="2"/>
        <v>38.847605999999992</v>
      </c>
      <c r="K77" s="370"/>
      <c r="M77" s="648">
        <f t="shared" si="3"/>
        <v>6</v>
      </c>
    </row>
    <row r="78" spans="1:13" x14ac:dyDescent="0.2">
      <c r="A78" s="372">
        <f>+SUBTOTAL(3,$G$7:$G78)</f>
        <v>72</v>
      </c>
      <c r="B78" s="366">
        <v>45413</v>
      </c>
      <c r="C78" s="344" t="s">
        <v>788</v>
      </c>
      <c r="D78" s="368" t="str">
        <f>+VLOOKUP(C78,Foundation!$C$8:$D$531,2,FALSE)</f>
        <v>DA+0</v>
      </c>
      <c r="E78" s="368" t="str">
        <f>+VLOOKUP(C78,Foundation!$C$8:$E$495,3,FALSE)</f>
        <v>Dry</v>
      </c>
      <c r="F78" s="350">
        <v>45431</v>
      </c>
      <c r="G78" s="350">
        <v>45435</v>
      </c>
      <c r="H78" s="370" t="s">
        <v>889</v>
      </c>
      <c r="I78" s="373"/>
      <c r="J78" s="696">
        <f t="shared" si="2"/>
        <v>37.504372000000004</v>
      </c>
      <c r="K78" s="370"/>
      <c r="M78" s="648">
        <f t="shared" si="3"/>
        <v>4</v>
      </c>
    </row>
    <row r="79" spans="1:13" x14ac:dyDescent="0.2">
      <c r="A79" s="372">
        <f>+SUBTOTAL(3,$G$7:$G79)</f>
        <v>73</v>
      </c>
      <c r="B79" s="366">
        <v>45413</v>
      </c>
      <c r="C79" s="344" t="s">
        <v>767</v>
      </c>
      <c r="D79" s="368" t="str">
        <f>+VLOOKUP(C79,Foundation!$C$8:$D$531,2,FALSE)</f>
        <v>DA+6</v>
      </c>
      <c r="E79" s="368" t="str">
        <f>+VLOOKUP(C79,Foundation!$C$8:$E$495,3,FALSE)</f>
        <v>DRY</v>
      </c>
      <c r="F79" s="350">
        <v>45430</v>
      </c>
      <c r="G79" s="350">
        <v>45442</v>
      </c>
      <c r="H79" s="370" t="s">
        <v>901</v>
      </c>
      <c r="I79" s="373"/>
      <c r="J79" s="696">
        <f t="shared" si="2"/>
        <v>45.413028000000004</v>
      </c>
      <c r="K79" s="370"/>
      <c r="M79" s="648">
        <f t="shared" si="3"/>
        <v>12</v>
      </c>
    </row>
    <row r="80" spans="1:13" x14ac:dyDescent="0.2">
      <c r="A80" s="372">
        <f>+SUBTOTAL(3,$G$7:$G80)</f>
        <v>74</v>
      </c>
      <c r="B80" s="366">
        <v>45413</v>
      </c>
      <c r="C80" s="368" t="s">
        <v>787</v>
      </c>
      <c r="D80" s="368" t="str">
        <f>+VLOOKUP(C80,Foundation!$C$8:$D$531,2,FALSE)</f>
        <v>DA+6</v>
      </c>
      <c r="E80" s="368" t="str">
        <f>+VLOOKUP(C80,Foundation!$C$8:$E$495,3,FALSE)</f>
        <v>DRY</v>
      </c>
      <c r="F80" s="350">
        <v>45435</v>
      </c>
      <c r="G80" s="350">
        <v>45442</v>
      </c>
      <c r="H80" s="370" t="s">
        <v>889</v>
      </c>
      <c r="I80" s="373"/>
      <c r="J80" s="696">
        <f t="shared" si="2"/>
        <v>45.413028000000004</v>
      </c>
      <c r="K80" s="370"/>
      <c r="M80" s="648">
        <f t="shared" si="3"/>
        <v>7</v>
      </c>
    </row>
    <row r="81" spans="1:13" x14ac:dyDescent="0.2">
      <c r="A81" s="372">
        <f>+SUBTOTAL(3,$G$7:$G81)</f>
        <v>75</v>
      </c>
      <c r="B81" s="366">
        <v>45413</v>
      </c>
      <c r="C81" s="368" t="s">
        <v>742</v>
      </c>
      <c r="D81" s="368" t="str">
        <f>+VLOOKUP(C81,Foundation!$C$8:$D$531,2,FALSE)</f>
        <v>DA+0</v>
      </c>
      <c r="E81" s="368" t="str">
        <f>+VLOOKUP(C81,Foundation!$C$8:$E$495,3,FALSE)</f>
        <v>Sandy</v>
      </c>
      <c r="F81" s="350">
        <v>45424</v>
      </c>
      <c r="G81" s="350">
        <v>45443</v>
      </c>
      <c r="H81" s="370" t="s">
        <v>902</v>
      </c>
      <c r="I81" s="373"/>
      <c r="J81" s="696">
        <f t="shared" si="2"/>
        <v>37.504372000000004</v>
      </c>
      <c r="K81" s="370"/>
      <c r="M81" s="648">
        <f t="shared" si="3"/>
        <v>19</v>
      </c>
    </row>
    <row r="82" spans="1:13" x14ac:dyDescent="0.2">
      <c r="A82" s="372">
        <f>+SUBTOTAL(3,$G$7:$G82)</f>
        <v>76</v>
      </c>
      <c r="B82" s="366">
        <v>45444</v>
      </c>
      <c r="C82" s="368" t="s">
        <v>750</v>
      </c>
      <c r="D82" s="368" t="str">
        <f>+VLOOKUP(C82,Foundation!$C$8:$D$531,2,FALSE)</f>
        <v>DA+0</v>
      </c>
      <c r="E82" s="368" t="str">
        <f>+VLOOKUP(C82,Foundation!$C$8:$E$495,3,FALSE)</f>
        <v>DRY</v>
      </c>
      <c r="F82" s="350">
        <v>45441</v>
      </c>
      <c r="G82" s="350">
        <v>45454</v>
      </c>
      <c r="H82" s="370" t="s">
        <v>903</v>
      </c>
      <c r="I82" s="373"/>
      <c r="J82" s="696">
        <f t="shared" si="2"/>
        <v>37.504372000000004</v>
      </c>
      <c r="K82" s="370"/>
      <c r="M82" s="648">
        <f t="shared" si="3"/>
        <v>13</v>
      </c>
    </row>
    <row r="83" spans="1:13" x14ac:dyDescent="0.2">
      <c r="A83" s="372">
        <f>+SUBTOTAL(3,$G$7:$G83)</f>
        <v>77</v>
      </c>
      <c r="B83" s="366">
        <v>45444</v>
      </c>
      <c r="C83" s="368" t="s">
        <v>743</v>
      </c>
      <c r="D83" s="368" t="str">
        <f>+VLOOKUP(C83,Foundation!$C$8:$D$531,2,FALSE)</f>
        <v>DA+0</v>
      </c>
      <c r="E83" s="368" t="str">
        <f>+VLOOKUP(C83,Foundation!$C$8:$E$495,3,FALSE)</f>
        <v>Sandy</v>
      </c>
      <c r="F83" s="350">
        <v>45444</v>
      </c>
      <c r="G83" s="350">
        <v>45462</v>
      </c>
      <c r="H83" s="370" t="s">
        <v>902</v>
      </c>
      <c r="I83" s="373"/>
      <c r="J83" s="696">
        <f t="shared" si="2"/>
        <v>37.504372000000004</v>
      </c>
      <c r="K83" s="370"/>
      <c r="M83" s="648">
        <f t="shared" si="3"/>
        <v>18</v>
      </c>
    </row>
    <row r="84" spans="1:13" x14ac:dyDescent="0.2">
      <c r="A84" s="372">
        <f>+SUBTOTAL(3,$G$7:$G84)</f>
        <v>78</v>
      </c>
      <c r="B84" s="366">
        <v>45444</v>
      </c>
      <c r="C84" s="368" t="s">
        <v>751</v>
      </c>
      <c r="D84" s="368" t="str">
        <f>+VLOOKUP(C84,Foundation!$C$8:$D$531,2,FALSE)</f>
        <v>DA+0</v>
      </c>
      <c r="E84" s="368" t="str">
        <f>+VLOOKUP(C84,Foundation!$C$8:$E$495,3,FALSE)</f>
        <v>Sandy</v>
      </c>
      <c r="F84" s="350">
        <v>45455</v>
      </c>
      <c r="G84" s="350">
        <v>45470</v>
      </c>
      <c r="H84" s="370" t="s">
        <v>903</v>
      </c>
      <c r="I84" s="373"/>
      <c r="J84" s="696">
        <f t="shared" si="2"/>
        <v>37.504372000000004</v>
      </c>
      <c r="K84" s="370"/>
      <c r="M84" s="648">
        <f t="shared" si="3"/>
        <v>15</v>
      </c>
    </row>
    <row r="85" spans="1:13" x14ac:dyDescent="0.2">
      <c r="A85" s="372">
        <f>+SUBTOTAL(3,$G$7:$G85)</f>
        <v>79</v>
      </c>
      <c r="B85" s="366">
        <v>45474</v>
      </c>
      <c r="C85" s="368" t="s">
        <v>790</v>
      </c>
      <c r="D85" s="368" t="str">
        <f>+VLOOKUP(C85,Foundation!$C$8:$D$531,2,FALSE)</f>
        <v>DA+3</v>
      </c>
      <c r="E85" s="368" t="str">
        <f>+VLOOKUP(C85,Foundation!$C$8:$E$495,3,FALSE)</f>
        <v>Sandy</v>
      </c>
      <c r="F85" s="350">
        <v>45477</v>
      </c>
      <c r="G85" s="350">
        <v>45485</v>
      </c>
      <c r="H85" s="370" t="s">
        <v>903</v>
      </c>
      <c r="I85" s="373"/>
      <c r="J85" s="696">
        <f t="shared" si="2"/>
        <v>38.847605999999992</v>
      </c>
      <c r="K85" s="370"/>
      <c r="M85" s="648">
        <f t="shared" si="3"/>
        <v>8</v>
      </c>
    </row>
    <row r="86" spans="1:13" x14ac:dyDescent="0.2">
      <c r="A86" s="372">
        <f>+SUBTOTAL(3,$G$7:$G86)</f>
        <v>80</v>
      </c>
      <c r="B86" s="366">
        <v>45474</v>
      </c>
      <c r="C86" s="368" t="s">
        <v>795</v>
      </c>
      <c r="D86" s="368" t="str">
        <f>+VLOOKUP(C86,Foundation!$C$8:$D$531,2,FALSE)</f>
        <v>DA+3</v>
      </c>
      <c r="E86" s="368" t="str">
        <f>+VLOOKUP(C86,Foundation!$C$8:$E$495,3,FALSE)</f>
        <v>DRY</v>
      </c>
      <c r="F86" s="350">
        <v>45488</v>
      </c>
      <c r="G86" s="350">
        <v>45499</v>
      </c>
      <c r="H86" s="370" t="s">
        <v>903</v>
      </c>
      <c r="I86" s="373"/>
      <c r="J86" s="696">
        <f t="shared" si="2"/>
        <v>38.847605999999992</v>
      </c>
      <c r="K86" s="370"/>
      <c r="M86" s="648">
        <f t="shared" si="3"/>
        <v>11</v>
      </c>
    </row>
    <row r="87" spans="1:13" x14ac:dyDescent="0.2">
      <c r="A87" s="372">
        <f>+SUBTOTAL(3,$G$7:$G87)</f>
        <v>81</v>
      </c>
      <c r="B87" s="366">
        <v>45505</v>
      </c>
      <c r="C87" s="368" t="s">
        <v>753</v>
      </c>
      <c r="D87" s="368" t="str">
        <f>+VLOOKUP(C87,Foundation!$C$8:$D$531,2,FALSE)</f>
        <v>DA+3</v>
      </c>
      <c r="E87" s="368" t="str">
        <f>+VLOOKUP(C87,Foundation!$C$8:$E$495,3,FALSE)</f>
        <v>Sandy</v>
      </c>
      <c r="F87" s="350">
        <v>45517</v>
      </c>
      <c r="G87" s="350">
        <v>45524</v>
      </c>
      <c r="H87" s="370" t="s">
        <v>892</v>
      </c>
      <c r="I87" s="373"/>
      <c r="J87" s="696">
        <f t="shared" si="2"/>
        <v>38.847605999999992</v>
      </c>
      <c r="K87" s="370"/>
      <c r="M87" s="648">
        <f t="shared" si="3"/>
        <v>7</v>
      </c>
    </row>
    <row r="88" spans="1:13" x14ac:dyDescent="0.2">
      <c r="A88" s="372">
        <f>+SUBTOTAL(3,$G$7:$G88)</f>
        <v>82</v>
      </c>
      <c r="B88" s="366">
        <v>45505</v>
      </c>
      <c r="C88" s="368" t="s">
        <v>752</v>
      </c>
      <c r="D88" s="368" t="str">
        <f>+VLOOKUP(C88,Foundation!$C$8:$D$531,2,FALSE)</f>
        <v>DA+3</v>
      </c>
      <c r="E88" s="368" t="str">
        <f>+VLOOKUP(C88,Foundation!$C$8:$E$495,3,FALSE)</f>
        <v>Sandy</v>
      </c>
      <c r="F88" s="350">
        <v>45524</v>
      </c>
      <c r="G88" s="350">
        <v>45530</v>
      </c>
      <c r="H88" s="370" t="s">
        <v>892</v>
      </c>
      <c r="I88" s="373"/>
      <c r="J88" s="696">
        <f t="shared" si="2"/>
        <v>38.847605999999992</v>
      </c>
      <c r="K88" s="370"/>
      <c r="M88" s="648">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892</v>
      </c>
      <c r="I92" s="373"/>
      <c r="J92" s="696">
        <f t="shared" si="2"/>
        <v>57.597240999999997</v>
      </c>
      <c r="K92" s="370"/>
      <c r="M92" s="648">
        <f t="shared" si="3"/>
        <v>8</v>
      </c>
    </row>
    <row r="93" spans="1:13" x14ac:dyDescent="0.2">
      <c r="A93" s="372">
        <f>+SUBTOTAL(3,$G$7:$G93)</f>
        <v>87</v>
      </c>
      <c r="B93" s="366">
        <v>45536</v>
      </c>
      <c r="C93" s="368" t="s">
        <v>708</v>
      </c>
      <c r="D93" s="368" t="str">
        <f>+VLOOKUP(C93,Foundation!$C$8:$D$531,2,FALSE)</f>
        <v>DA+0</v>
      </c>
      <c r="E93" s="368" t="str">
        <f>+VLOOKUP(C93,Foundation!$C$8:$E$495,3,FALSE)</f>
        <v>Sandy</v>
      </c>
      <c r="F93" s="350">
        <v>45532</v>
      </c>
      <c r="G93" s="350">
        <v>45544</v>
      </c>
      <c r="H93" s="370" t="s">
        <v>904</v>
      </c>
      <c r="I93" s="373"/>
      <c r="J93" s="696">
        <f t="shared" si="2"/>
        <v>37.504372000000004</v>
      </c>
      <c r="K93" s="370"/>
      <c r="M93" s="648">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x14ac:dyDescent="0.2">
      <c r="A96" s="372">
        <f>+SUBTOTAL(3,$G$7:$G96)</f>
        <v>90</v>
      </c>
      <c r="B96" s="366">
        <v>45536</v>
      </c>
      <c r="C96" s="368" t="s">
        <v>718</v>
      </c>
      <c r="D96" s="368" t="str">
        <f>+VLOOKUP(C96,Foundation!$C$8:$D$531,2,FALSE)</f>
        <v>DA+9</v>
      </c>
      <c r="E96" s="368" t="str">
        <f>+VLOOKUP(C96,Foundation!$C$8:$E$495,3,FALSE)</f>
        <v>Sandy</v>
      </c>
      <c r="F96" s="350">
        <v>45531</v>
      </c>
      <c r="G96" s="350">
        <v>45554</v>
      </c>
      <c r="H96" s="370" t="s">
        <v>896</v>
      </c>
      <c r="I96" s="373"/>
      <c r="J96" s="696">
        <f t="shared" si="2"/>
        <v>47.184350000000002</v>
      </c>
      <c r="K96" s="370"/>
      <c r="M96" s="648">
        <f t="shared" si="3"/>
        <v>23</v>
      </c>
    </row>
    <row r="97" spans="1:13" x14ac:dyDescent="0.2">
      <c r="A97" s="372">
        <f>+SUBTOTAL(3,$G$7:$G97)</f>
        <v>91</v>
      </c>
      <c r="B97" s="366">
        <v>45536</v>
      </c>
      <c r="C97" s="368" t="s">
        <v>709</v>
      </c>
      <c r="D97" s="368" t="str">
        <f>+VLOOKUP(C97,Foundation!$C$8:$D$531,2,FALSE)</f>
        <v>DA+0</v>
      </c>
      <c r="E97" s="368" t="str">
        <f>+VLOOKUP(C97,Foundation!$C$8:$E$495,3,FALSE)</f>
        <v>Sandy</v>
      </c>
      <c r="F97" s="350">
        <v>45545</v>
      </c>
      <c r="G97" s="350">
        <v>45554</v>
      </c>
      <c r="H97" s="370" t="s">
        <v>904</v>
      </c>
      <c r="I97" s="373"/>
      <c r="J97" s="696">
        <f t="shared" si="2"/>
        <v>37.504372000000004</v>
      </c>
      <c r="K97" s="370"/>
      <c r="M97" s="648">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x14ac:dyDescent="0.2">
      <c r="A100" s="372">
        <f>+SUBTOTAL(3,$G$7:$G100)</f>
        <v>94</v>
      </c>
      <c r="B100" s="366">
        <v>45536</v>
      </c>
      <c r="C100" s="368" t="s">
        <v>692</v>
      </c>
      <c r="D100" s="368" t="str">
        <f>+VLOOKUP(C100,Foundation!$C$8:$D$531,2,FALSE)</f>
        <v>DA+9</v>
      </c>
      <c r="E100" s="368" t="str">
        <f>+VLOOKUP(C100,Foundation!$C$8:$E$495,3,FALSE)</f>
        <v>Sandy</v>
      </c>
      <c r="F100" s="350">
        <v>45543</v>
      </c>
      <c r="G100" s="350">
        <v>45560</v>
      </c>
      <c r="H100" s="370" t="s">
        <v>905</v>
      </c>
      <c r="I100" s="373"/>
      <c r="J100" s="696">
        <f t="shared" si="2"/>
        <v>47.184350000000002</v>
      </c>
      <c r="K100" s="370"/>
      <c r="M100" s="648">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x14ac:dyDescent="0.2">
      <c r="A102" s="372">
        <f>+SUBTOTAL(3,$G$7:$G102)</f>
        <v>96</v>
      </c>
      <c r="B102" s="366">
        <v>45536</v>
      </c>
      <c r="C102" s="367" t="s">
        <v>711</v>
      </c>
      <c r="D102" s="368" t="str">
        <f>+VLOOKUP(C102,Foundation!$C$8:$D$531,2,FALSE)</f>
        <v>DA+0</v>
      </c>
      <c r="E102" s="368" t="str">
        <f>+VLOOKUP(C102,Foundation!$C$8:$E$495,3,FALSE)</f>
        <v>Sandy</v>
      </c>
      <c r="F102" s="350">
        <v>45554</v>
      </c>
      <c r="G102" s="350">
        <v>45561</v>
      </c>
      <c r="H102" s="370" t="s">
        <v>904</v>
      </c>
      <c r="I102" s="373"/>
      <c r="J102" s="696">
        <f t="shared" si="2"/>
        <v>37.504372000000004</v>
      </c>
      <c r="K102" s="370"/>
      <c r="M102" s="648">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x14ac:dyDescent="0.2">
      <c r="A105" s="372">
        <f>+SUBTOTAL(3,$G$7:$G105)</f>
        <v>99</v>
      </c>
      <c r="B105" s="366">
        <v>45536</v>
      </c>
      <c r="C105" s="367" t="s">
        <v>719</v>
      </c>
      <c r="D105" s="368" t="str">
        <f>+VLOOKUP(C105,Foundation!$C$8:$D$531,2,FALSE)</f>
        <v>DA+6</v>
      </c>
      <c r="E105" s="368" t="str">
        <f>+VLOOKUP(C105,Foundation!$C$8:$E$495,3,FALSE)</f>
        <v>Sandy</v>
      </c>
      <c r="F105" s="350">
        <v>45554</v>
      </c>
      <c r="G105" s="350">
        <v>45565</v>
      </c>
      <c r="H105" s="370" t="s">
        <v>896</v>
      </c>
      <c r="I105" s="373"/>
      <c r="J105" s="696">
        <f t="shared" si="2"/>
        <v>45.413028000000004</v>
      </c>
      <c r="K105" s="370"/>
      <c r="M105" s="648">
        <f t="shared" si="3"/>
        <v>11</v>
      </c>
    </row>
    <row r="106" spans="1:13" x14ac:dyDescent="0.2">
      <c r="A106" s="372">
        <f>+SUBTOTAL(3,$G$7:$G106)</f>
        <v>100</v>
      </c>
      <c r="B106" s="366">
        <v>45566</v>
      </c>
      <c r="C106" s="367" t="s">
        <v>754</v>
      </c>
      <c r="D106" s="368" t="str">
        <f>+VLOOKUP(C106,Foundation!$C$8:$D$531,2,FALSE)</f>
        <v>DA+3</v>
      </c>
      <c r="E106" s="368" t="str">
        <f>+VLOOKUP(C106,Foundation!$C$8:$E$495,3,FALSE)</f>
        <v>DFR</v>
      </c>
      <c r="F106" s="350">
        <v>45562</v>
      </c>
      <c r="G106" s="350">
        <v>45566</v>
      </c>
      <c r="H106" s="370" t="s">
        <v>892</v>
      </c>
      <c r="I106" s="373"/>
      <c r="J106" s="696">
        <f t="shared" si="2"/>
        <v>38.847605999999992</v>
      </c>
      <c r="K106" s="370"/>
      <c r="M106" s="648">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x14ac:dyDescent="0.2">
      <c r="A109" s="372">
        <f>+SUBTOTAL(3,$G$7:$G109)</f>
        <v>103</v>
      </c>
      <c r="B109" s="366">
        <v>45566</v>
      </c>
      <c r="C109" s="368" t="s">
        <v>712</v>
      </c>
      <c r="D109" s="368" t="str">
        <f>+VLOOKUP(C109,Foundation!$C$8:$D$531,2,FALSE)</f>
        <v>DA+0</v>
      </c>
      <c r="E109" s="368" t="str">
        <f>+VLOOKUP(C109,Foundation!$C$8:$E$495,3,FALSE)</f>
        <v>Sandy</v>
      </c>
      <c r="F109" s="350">
        <v>45561</v>
      </c>
      <c r="G109" s="350">
        <v>45569</v>
      </c>
      <c r="H109" s="370" t="s">
        <v>904</v>
      </c>
      <c r="I109" s="373"/>
      <c r="J109" s="696">
        <f t="shared" si="2"/>
        <v>37.504372000000004</v>
      </c>
      <c r="K109" s="370"/>
      <c r="M109" s="648">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892</v>
      </c>
      <c r="I112" s="373"/>
      <c r="J112" s="696">
        <f t="shared" si="2"/>
        <v>57.597240999999997</v>
      </c>
      <c r="K112" s="370"/>
      <c r="M112" s="648">
        <f t="shared" si="3"/>
        <v>5</v>
      </c>
    </row>
    <row r="113" spans="1:13" x14ac:dyDescent="0.2">
      <c r="A113" s="372">
        <f>+SUBTOTAL(3,$G$7:$G113)</f>
        <v>107</v>
      </c>
      <c r="B113" s="366">
        <v>45566</v>
      </c>
      <c r="C113" s="348" t="s">
        <v>720</v>
      </c>
      <c r="D113" s="368" t="str">
        <f>+VLOOKUP(C113,Foundation!$C$8:$D$531,2,FALSE)</f>
        <v>DA+3</v>
      </c>
      <c r="E113" s="368" t="str">
        <f>+VLOOKUP(C113,Foundation!$C$8:$E$495,3,FALSE)</f>
        <v>Sandy</v>
      </c>
      <c r="F113" s="350">
        <v>45566</v>
      </c>
      <c r="G113" s="350">
        <v>45572</v>
      </c>
      <c r="H113" s="370" t="s">
        <v>896</v>
      </c>
      <c r="I113" s="373"/>
      <c r="J113" s="696">
        <f t="shared" si="2"/>
        <v>38.847605999999992</v>
      </c>
      <c r="K113" s="370"/>
      <c r="M113" s="648">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x14ac:dyDescent="0.2">
      <c r="A118" s="372">
        <f>+SUBTOTAL(3,$G$7:$G118)</f>
        <v>112</v>
      </c>
      <c r="B118" s="366">
        <v>45566</v>
      </c>
      <c r="C118" s="374" t="s">
        <v>700</v>
      </c>
      <c r="D118" s="368" t="str">
        <f>+VLOOKUP(C118,Foundation!$C$8:$D$531,2,FALSE)</f>
        <v>DA+6</v>
      </c>
      <c r="E118" s="368" t="str">
        <f>+VLOOKUP(C118,Foundation!$C$8:$E$495,3,FALSE)</f>
        <v>Sandy</v>
      </c>
      <c r="F118" s="350">
        <v>45572</v>
      </c>
      <c r="G118" s="350">
        <v>45580</v>
      </c>
      <c r="H118" s="370" t="s">
        <v>887</v>
      </c>
      <c r="I118" s="373"/>
      <c r="J118" s="696">
        <f t="shared" si="2"/>
        <v>45.413028000000004</v>
      </c>
      <c r="K118" s="370"/>
      <c r="M118" s="648">
        <f t="shared" si="3"/>
        <v>8</v>
      </c>
    </row>
    <row r="119" spans="1:13" x14ac:dyDescent="0.2">
      <c r="A119" s="372">
        <f>+SUBTOTAL(3,$G$7:$G119)</f>
        <v>113</v>
      </c>
      <c r="B119" s="366">
        <v>45566</v>
      </c>
      <c r="C119" s="374" t="s">
        <v>707</v>
      </c>
      <c r="D119" s="368" t="str">
        <f>+VLOOKUP(C119,Foundation!$C$8:$D$531,2,FALSE)</f>
        <v>DA+9</v>
      </c>
      <c r="E119" s="368" t="str">
        <f>+VLOOKUP(C119,Foundation!$C$8:$E$495,3,FALSE)</f>
        <v>Sandy</v>
      </c>
      <c r="F119" s="350">
        <v>45572</v>
      </c>
      <c r="G119" s="350">
        <v>45581</v>
      </c>
      <c r="H119" s="370" t="s">
        <v>904</v>
      </c>
      <c r="I119" s="373"/>
      <c r="J119" s="696">
        <f t="shared" si="2"/>
        <v>47.184350000000002</v>
      </c>
      <c r="K119" s="370"/>
      <c r="M119" s="648">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x14ac:dyDescent="0.2">
      <c r="A121" s="372">
        <f>+SUBTOTAL(3,$G$7:$G121)</f>
        <v>115</v>
      </c>
      <c r="B121" s="366">
        <v>45566</v>
      </c>
      <c r="C121" s="375" t="s">
        <v>702</v>
      </c>
      <c r="D121" s="368" t="str">
        <f>+VLOOKUP(C121,Foundation!$C$8:$D$531,2,FALSE)</f>
        <v>DA+6</v>
      </c>
      <c r="E121" s="368" t="str">
        <f>+VLOOKUP(C121,Foundation!$C$8:$E$495,3,FALSE)</f>
        <v>Sandy</v>
      </c>
      <c r="F121" s="350">
        <v>45578</v>
      </c>
      <c r="G121" s="350">
        <v>45583</v>
      </c>
      <c r="H121" s="370" t="s">
        <v>887</v>
      </c>
      <c r="I121" s="373"/>
      <c r="J121" s="696">
        <f t="shared" si="2"/>
        <v>45.413028000000004</v>
      </c>
      <c r="K121" s="370"/>
      <c r="M121" s="648">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x14ac:dyDescent="0.2">
      <c r="A123" s="372">
        <f>+SUBTOTAL(3,$G$7:$G123)</f>
        <v>117</v>
      </c>
      <c r="B123" s="366">
        <v>45566</v>
      </c>
      <c r="C123" s="374" t="s">
        <v>691</v>
      </c>
      <c r="D123" s="368" t="str">
        <f>+VLOOKUP(C123,Foundation!$C$8:$D$531,2,FALSE)</f>
        <v>DC2+0</v>
      </c>
      <c r="E123" s="368" t="str">
        <f>+VLOOKUP(C123,Foundation!$C$8:$E$495,3,FALSE)</f>
        <v>Sandy</v>
      </c>
      <c r="F123" s="350">
        <v>45563</v>
      </c>
      <c r="G123" s="350">
        <v>45584</v>
      </c>
      <c r="H123" s="370" t="s">
        <v>905</v>
      </c>
      <c r="I123" s="373"/>
      <c r="J123" s="696">
        <f t="shared" si="2"/>
        <v>66.381106999999986</v>
      </c>
      <c r="K123" s="370"/>
      <c r="M123" s="648">
        <f t="shared" si="3"/>
        <v>21</v>
      </c>
    </row>
    <row r="124" spans="1:13" x14ac:dyDescent="0.2">
      <c r="A124" s="372">
        <f>+SUBTOTAL(3,$G$7:$G124)</f>
        <v>118</v>
      </c>
      <c r="B124" s="366">
        <v>45566</v>
      </c>
      <c r="C124" s="374" t="s">
        <v>721</v>
      </c>
      <c r="D124" s="368" t="str">
        <f>+VLOOKUP(C124,Foundation!$C$8:$D$531,2,FALSE)</f>
        <v>DA+6</v>
      </c>
      <c r="E124" s="368" t="str">
        <f>+VLOOKUP(C124,Foundation!$C$8:$E$495,3,FALSE)</f>
        <v>Sandy</v>
      </c>
      <c r="F124" s="350">
        <v>45573</v>
      </c>
      <c r="G124" s="350">
        <v>45584</v>
      </c>
      <c r="H124" s="370" t="s">
        <v>896</v>
      </c>
      <c r="I124" s="373"/>
      <c r="J124" s="696">
        <f t="shared" si="2"/>
        <v>45.413028000000004</v>
      </c>
      <c r="K124" s="370"/>
      <c r="M124" s="648">
        <f t="shared" si="3"/>
        <v>11</v>
      </c>
    </row>
    <row r="125" spans="1:13" x14ac:dyDescent="0.2">
      <c r="A125" s="372">
        <f>+SUBTOTAL(3,$G$7:$G125)</f>
        <v>119</v>
      </c>
      <c r="B125" s="366">
        <v>45566</v>
      </c>
      <c r="C125" s="374" t="s">
        <v>858</v>
      </c>
      <c r="D125" s="368" t="str">
        <f>+VLOOKUP(C125,Foundation!$C$8:$D$531,2,FALSE)</f>
        <v>DA+0</v>
      </c>
      <c r="E125" s="368" t="str">
        <f>+VLOOKUP(C125,Foundation!$C$8:$E$495,3,FALSE)</f>
        <v>DRY</v>
      </c>
      <c r="F125" s="350">
        <v>45575</v>
      </c>
      <c r="G125" s="350">
        <v>45585</v>
      </c>
      <c r="H125" s="370" t="s">
        <v>895</v>
      </c>
      <c r="I125" s="373"/>
      <c r="J125" s="696">
        <f t="shared" si="2"/>
        <v>37.504372000000004</v>
      </c>
      <c r="K125" s="370"/>
      <c r="M125" s="648">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x14ac:dyDescent="0.2">
      <c r="A127" s="372">
        <f>+SUBTOTAL(3,$G$7:$G127)</f>
        <v>121</v>
      </c>
      <c r="B127" s="366">
        <v>45566</v>
      </c>
      <c r="C127" s="374" t="s">
        <v>701</v>
      </c>
      <c r="D127" s="368" t="str">
        <f>+VLOOKUP(C127,Foundation!$C$8:$D$531,2,FALSE)</f>
        <v>DA+9</v>
      </c>
      <c r="E127" s="368" t="str">
        <f>+VLOOKUP(C127,Foundation!$C$8:$E$495,3,FALSE)</f>
        <v>Sandy</v>
      </c>
      <c r="F127" s="350">
        <v>45583</v>
      </c>
      <c r="G127" s="350">
        <v>45589</v>
      </c>
      <c r="H127" s="370" t="s">
        <v>887</v>
      </c>
      <c r="I127" s="373"/>
      <c r="J127" s="696">
        <f t="shared" si="2"/>
        <v>47.184350000000002</v>
      </c>
      <c r="K127" s="370"/>
      <c r="M127" s="648">
        <f t="shared" si="3"/>
        <v>6</v>
      </c>
    </row>
    <row r="128" spans="1:13" x14ac:dyDescent="0.2">
      <c r="A128" s="372">
        <f>+SUBTOTAL(3,$G$7:$G128)</f>
        <v>122</v>
      </c>
      <c r="B128" s="366">
        <v>45566</v>
      </c>
      <c r="C128" s="374" t="s">
        <v>820</v>
      </c>
      <c r="D128" s="368" t="str">
        <f>+VLOOKUP(C128,Foundation!$C$8:$D$531,2,FALSE)</f>
        <v>DA+3</v>
      </c>
      <c r="E128" s="368" t="str">
        <f>+VLOOKUP(C128,Foundation!$C$8:$E$495,3,FALSE)</f>
        <v>DRY</v>
      </c>
      <c r="F128" s="350">
        <v>45585</v>
      </c>
      <c r="G128" s="350">
        <v>45589</v>
      </c>
      <c r="H128" s="370" t="s">
        <v>891</v>
      </c>
      <c r="I128" s="373"/>
      <c r="J128" s="696">
        <f t="shared" si="2"/>
        <v>38.847605999999992</v>
      </c>
      <c r="K128" s="370"/>
      <c r="M128" s="648">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x14ac:dyDescent="0.2">
      <c r="A131" s="372">
        <f>+SUBTOTAL(3,$G$7:$G131)</f>
        <v>125</v>
      </c>
      <c r="B131" s="366">
        <v>45566</v>
      </c>
      <c r="C131" s="374" t="s">
        <v>763</v>
      </c>
      <c r="D131" s="368" t="str">
        <f>+VLOOKUP(C131,Foundation!$C$8:$D$531,2,FALSE)</f>
        <v>DA+6</v>
      </c>
      <c r="E131" s="368" t="str">
        <f>+VLOOKUP(C131,Foundation!$C$8:$E$495,3,FALSE)</f>
        <v>DFR</v>
      </c>
      <c r="F131" s="350">
        <v>45582</v>
      </c>
      <c r="G131" s="350">
        <v>45591</v>
      </c>
      <c r="H131" s="370" t="s">
        <v>904</v>
      </c>
      <c r="I131" s="373"/>
      <c r="J131" s="696">
        <f t="shared" si="2"/>
        <v>45.413028000000004</v>
      </c>
      <c r="K131" s="370"/>
      <c r="M131" s="648">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x14ac:dyDescent="0.2">
      <c r="A134" s="372">
        <f>+SUBTOTAL(3,$G$7:$G134)</f>
        <v>128</v>
      </c>
      <c r="B134" s="366">
        <v>45566</v>
      </c>
      <c r="C134" s="374" t="s">
        <v>857</v>
      </c>
      <c r="D134" s="368" t="str">
        <f>+VLOOKUP(C134,Foundation!$C$8:$D$531,2,FALSE)</f>
        <v>DA+0</v>
      </c>
      <c r="E134" s="368" t="str">
        <f>+VLOOKUP(C134,Foundation!$C$8:$E$495,3,FALSE)</f>
        <v>DRY</v>
      </c>
      <c r="F134" s="350">
        <v>45586</v>
      </c>
      <c r="G134" s="350">
        <v>45594</v>
      </c>
      <c r="H134" s="370" t="s">
        <v>895</v>
      </c>
      <c r="I134" s="373"/>
      <c r="J134" s="696">
        <f t="shared" si="2"/>
        <v>37.504372000000004</v>
      </c>
      <c r="K134" s="370"/>
      <c r="M134" s="648">
        <f t="shared" si="3"/>
        <v>8</v>
      </c>
    </row>
    <row r="135" spans="1:13" x14ac:dyDescent="0.2">
      <c r="A135" s="372">
        <f>+SUBTOTAL(3,$G$7:$G135)</f>
        <v>129</v>
      </c>
      <c r="B135" s="366">
        <v>45566</v>
      </c>
      <c r="C135" s="374" t="s">
        <v>703</v>
      </c>
      <c r="D135" s="368" t="str">
        <f>+VLOOKUP(C135,Foundation!$C$8:$D$531,2,FALSE)</f>
        <v>DA+9</v>
      </c>
      <c r="E135" s="368" t="str">
        <f>+VLOOKUP(C135,Foundation!$C$8:$E$495,3,FALSE)</f>
        <v>Sandy</v>
      </c>
      <c r="F135" s="350">
        <v>45589</v>
      </c>
      <c r="G135" s="350">
        <v>45595</v>
      </c>
      <c r="H135" s="370" t="s">
        <v>887</v>
      </c>
      <c r="I135" s="373"/>
      <c r="J135" s="696">
        <f t="shared" si="2"/>
        <v>47.184350000000002</v>
      </c>
      <c r="K135" s="370"/>
      <c r="M135" s="648">
        <f t="shared" si="3"/>
        <v>6</v>
      </c>
    </row>
    <row r="136" spans="1:13" s="377" customFormat="1" x14ac:dyDescent="0.2">
      <c r="A136" s="372">
        <f>+SUBTOTAL(3,$G$7:$G136)</f>
        <v>130</v>
      </c>
      <c r="B136" s="366">
        <v>45597</v>
      </c>
      <c r="C136" s="376" t="s">
        <v>745</v>
      </c>
      <c r="D136" s="368" t="str">
        <f>+VLOOKUP(C136,Foundation!$C$8:$D$531,2,FALSE)</f>
        <v>DA+0</v>
      </c>
      <c r="E136" s="368" t="str">
        <f>+VLOOKUP(C136,Foundation!$C$8:$E$495,3,FALSE)</f>
        <v>Sandy</v>
      </c>
      <c r="F136" s="350">
        <v>45588</v>
      </c>
      <c r="G136" s="350">
        <v>45597</v>
      </c>
      <c r="H136" s="370" t="s">
        <v>894</v>
      </c>
      <c r="I136" s="373"/>
      <c r="J136" s="696">
        <f t="shared" ref="J136:J199" si="4">+VLOOKUP(D136,$AB$7:$AC$35,2,FALSE)</f>
        <v>37.504372000000004</v>
      </c>
      <c r="K136" s="370"/>
      <c r="L136" s="358"/>
      <c r="M136" s="648">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904</v>
      </c>
      <c r="I138" s="373"/>
      <c r="J138" s="696">
        <f t="shared" si="4"/>
        <v>38.847605999999992</v>
      </c>
      <c r="K138" s="370"/>
      <c r="M138" s="648">
        <f t="shared" si="5"/>
        <v>6</v>
      </c>
    </row>
    <row r="139" spans="1:13" x14ac:dyDescent="0.2">
      <c r="A139" s="372">
        <f>+SUBTOTAL(3,$G$7:$G139)</f>
        <v>133</v>
      </c>
      <c r="B139" s="366">
        <v>45597</v>
      </c>
      <c r="C139" s="374" t="s">
        <v>706</v>
      </c>
      <c r="D139" s="368" t="str">
        <f>+VLOOKUP(C139,Foundation!$C$8:$D$531,2,FALSE)</f>
        <v>DA+0</v>
      </c>
      <c r="E139" s="368" t="str">
        <f>+VLOOKUP(C139,Foundation!$C$8:$E$495,3,FALSE)</f>
        <v>Sandy</v>
      </c>
      <c r="F139" s="350">
        <v>45597</v>
      </c>
      <c r="G139" s="350">
        <v>45600</v>
      </c>
      <c r="H139" s="370" t="s">
        <v>887</v>
      </c>
      <c r="I139" s="373"/>
      <c r="J139" s="696">
        <f t="shared" si="4"/>
        <v>37.504372000000004</v>
      </c>
      <c r="K139" s="370"/>
      <c r="M139" s="648">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x14ac:dyDescent="0.2">
      <c r="A144" s="372">
        <f>+SUBTOTAL(3,$G$7:$G144)</f>
        <v>138</v>
      </c>
      <c r="B144" s="366">
        <v>45597</v>
      </c>
      <c r="C144" s="374" t="s">
        <v>756</v>
      </c>
      <c r="D144" s="368" t="str">
        <f>+VLOOKUP(C144,Foundation!$C$8:$D$531,2,FALSE)</f>
        <v>DA+3</v>
      </c>
      <c r="E144" s="368" t="str">
        <f>+VLOOKUP(C144,Foundation!$C$8:$E$495,3,FALSE)</f>
        <v>DFR</v>
      </c>
      <c r="F144" s="350">
        <v>45597</v>
      </c>
      <c r="G144" s="350">
        <v>45605</v>
      </c>
      <c r="H144" s="370" t="s">
        <v>904</v>
      </c>
      <c r="I144" s="373"/>
      <c r="J144" s="696">
        <f t="shared" si="4"/>
        <v>38.847605999999992</v>
      </c>
      <c r="K144" s="370"/>
      <c r="M144" s="648">
        <f t="shared" si="5"/>
        <v>8</v>
      </c>
    </row>
    <row r="145" spans="1:13" x14ac:dyDescent="0.2">
      <c r="A145" s="372">
        <f>+SUBTOTAL(3,$G$7:$G145)</f>
        <v>139</v>
      </c>
      <c r="B145" s="366">
        <v>45597</v>
      </c>
      <c r="C145" s="374" t="s">
        <v>705</v>
      </c>
      <c r="D145" s="368" t="str">
        <f>+VLOOKUP(C145,Foundation!$C$8:$D$531,2,FALSE)</f>
        <v>DA+9</v>
      </c>
      <c r="E145" s="368" t="str">
        <f>+VLOOKUP(C145,Foundation!$C$8:$E$495,3,FALSE)</f>
        <v>Sandy</v>
      </c>
      <c r="F145" s="350">
        <v>45600</v>
      </c>
      <c r="G145" s="350">
        <v>45606</v>
      </c>
      <c r="H145" s="370" t="s">
        <v>887</v>
      </c>
      <c r="I145" s="373"/>
      <c r="J145" s="696">
        <f t="shared" si="4"/>
        <v>47.184350000000002</v>
      </c>
      <c r="K145" s="370"/>
      <c r="M145" s="648">
        <f t="shared" si="5"/>
        <v>6</v>
      </c>
    </row>
    <row r="146" spans="1:13" x14ac:dyDescent="0.2">
      <c r="A146" s="372">
        <f>+SUBTOTAL(3,$G$7:$G146)</f>
        <v>140</v>
      </c>
      <c r="B146" s="366">
        <v>45597</v>
      </c>
      <c r="C146" s="374" t="s">
        <v>744</v>
      </c>
      <c r="D146" s="368" t="str">
        <f>+VLOOKUP(C146,Foundation!$C$8:$D$531,2,FALSE)</f>
        <v>DA+0</v>
      </c>
      <c r="E146" s="368" t="str">
        <f>+VLOOKUP(C146,Foundation!$C$8:$E$495,3,FALSE)</f>
        <v>Sandy</v>
      </c>
      <c r="F146" s="350">
        <v>45597</v>
      </c>
      <c r="G146" s="350">
        <v>45608</v>
      </c>
      <c r="H146" s="370" t="s">
        <v>894</v>
      </c>
      <c r="I146" s="373"/>
      <c r="J146" s="696">
        <f t="shared" si="4"/>
        <v>37.504372000000004</v>
      </c>
      <c r="K146" s="370"/>
      <c r="M146" s="648">
        <f t="shared" si="5"/>
        <v>11</v>
      </c>
    </row>
    <row r="147" spans="1:13" x14ac:dyDescent="0.2">
      <c r="A147" s="372">
        <f>+SUBTOTAL(3,$G$7:$G147)</f>
        <v>141</v>
      </c>
      <c r="B147" s="366">
        <v>45597</v>
      </c>
      <c r="C147" s="367" t="s">
        <v>865</v>
      </c>
      <c r="D147" s="368" t="str">
        <f>+VLOOKUP(C147,Foundation!$C$8:$D$531,2,FALSE)</f>
        <v>DA+0</v>
      </c>
      <c r="E147" s="368" t="str">
        <f>+VLOOKUP(C147,Foundation!$C$8:$E$495,3,FALSE)</f>
        <v>DRY</v>
      </c>
      <c r="F147" s="350">
        <v>45605</v>
      </c>
      <c r="G147" s="350">
        <v>45609</v>
      </c>
      <c r="H147" s="370" t="s">
        <v>891</v>
      </c>
      <c r="I147" s="373"/>
      <c r="J147" s="696">
        <f t="shared" si="4"/>
        <v>37.504372000000004</v>
      </c>
      <c r="K147" s="370"/>
      <c r="M147" s="648">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x14ac:dyDescent="0.2">
      <c r="A149" s="372">
        <f>+SUBTOTAL(3,$G$7:$G149)</f>
        <v>143</v>
      </c>
      <c r="B149" s="366">
        <v>45597</v>
      </c>
      <c r="C149" s="374" t="s">
        <v>699</v>
      </c>
      <c r="D149" s="368" t="str">
        <f>+VLOOKUP(C149,Foundation!$C$8:$D$531,2,FALSE)</f>
        <v>DA+0</v>
      </c>
      <c r="E149" s="368" t="str">
        <f>+VLOOKUP(C149,Foundation!$C$8:$E$495,3,FALSE)</f>
        <v>Sandy</v>
      </c>
      <c r="F149" s="350">
        <v>45607</v>
      </c>
      <c r="G149" s="350">
        <v>45610</v>
      </c>
      <c r="H149" s="370" t="s">
        <v>887</v>
      </c>
      <c r="I149" s="373"/>
      <c r="J149" s="696">
        <f t="shared" si="4"/>
        <v>37.504372000000004</v>
      </c>
      <c r="K149" s="370"/>
      <c r="L149" s="358"/>
      <c r="M149" s="648">
        <f t="shared" si="5"/>
        <v>3</v>
      </c>
    </row>
    <row r="150" spans="1:13" x14ac:dyDescent="0.2">
      <c r="A150" s="372">
        <f>+SUBTOTAL(3,$G$7:$G150)</f>
        <v>144</v>
      </c>
      <c r="B150" s="366">
        <v>45597</v>
      </c>
      <c r="C150" s="367" t="s">
        <v>864</v>
      </c>
      <c r="D150" s="368" t="str">
        <f>+VLOOKUP(C150,Foundation!$C$8:$D$531,2,FALSE)</f>
        <v>DA+3</v>
      </c>
      <c r="E150" s="368" t="str">
        <f>+VLOOKUP(C150,Foundation!$C$8:$E$495,3,FALSE)</f>
        <v>DRY</v>
      </c>
      <c r="F150" s="350">
        <v>45609</v>
      </c>
      <c r="G150" s="350">
        <v>45613</v>
      </c>
      <c r="H150" s="370" t="s">
        <v>891</v>
      </c>
      <c r="I150" s="373"/>
      <c r="J150" s="696">
        <f t="shared" si="4"/>
        <v>38.847605999999992</v>
      </c>
      <c r="K150" s="370"/>
      <c r="M150" s="648">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x14ac:dyDescent="0.2">
      <c r="A154" s="372">
        <f>+SUBTOTAL(3,$G$7:$G154)</f>
        <v>148</v>
      </c>
      <c r="B154" s="366">
        <v>45597</v>
      </c>
      <c r="C154" s="367" t="s">
        <v>698</v>
      </c>
      <c r="D154" s="368" t="str">
        <f>+VLOOKUP(C154,Foundation!$C$8:$D$531,2,FALSE)</f>
        <v>DA+0</v>
      </c>
      <c r="E154" s="368" t="str">
        <f>+VLOOKUP(C154,Foundation!$C$8:$E$495,3,FALSE)</f>
        <v>Sandy</v>
      </c>
      <c r="F154" s="350">
        <v>45611</v>
      </c>
      <c r="G154" s="350">
        <v>45614</v>
      </c>
      <c r="H154" s="370" t="s">
        <v>887</v>
      </c>
      <c r="I154" s="373"/>
      <c r="J154" s="696">
        <f t="shared" si="4"/>
        <v>37.504372000000004</v>
      </c>
      <c r="K154" s="370"/>
      <c r="M154" s="648">
        <f t="shared" si="5"/>
        <v>3</v>
      </c>
    </row>
    <row r="155" spans="1:13" x14ac:dyDescent="0.2">
      <c r="A155" s="372">
        <f>+SUBTOTAL(3,$G$7:$G155)</f>
        <v>149</v>
      </c>
      <c r="B155" s="366">
        <v>45597</v>
      </c>
      <c r="C155" s="378" t="s">
        <v>862</v>
      </c>
      <c r="D155" s="368" t="str">
        <f>+VLOOKUP(C155,Foundation!$C$8:$D$531,2,FALSE)</f>
        <v>DA+0</v>
      </c>
      <c r="E155" s="368" t="str">
        <f>+VLOOKUP(C155,Foundation!$C$8:$E$495,3,FALSE)</f>
        <v>DRY</v>
      </c>
      <c r="F155" s="350">
        <v>45613</v>
      </c>
      <c r="G155" s="350">
        <v>45616</v>
      </c>
      <c r="H155" s="370" t="s">
        <v>891</v>
      </c>
      <c r="I155" s="373"/>
      <c r="J155" s="696">
        <f t="shared" si="4"/>
        <v>37.504372000000004</v>
      </c>
      <c r="K155" s="370"/>
      <c r="M155" s="648">
        <f t="shared" si="5"/>
        <v>3</v>
      </c>
    </row>
    <row r="156" spans="1:13" x14ac:dyDescent="0.2">
      <c r="A156" s="372">
        <f>+SUBTOTAL(3,$G$7:$G156)</f>
        <v>150</v>
      </c>
      <c r="B156" s="366">
        <v>45597</v>
      </c>
      <c r="C156" s="378" t="s">
        <v>690</v>
      </c>
      <c r="D156" s="368" t="str">
        <f>+VLOOKUP(C156,Foundation!$C$8:$D$531,2,FALSE)</f>
        <v>DA+6</v>
      </c>
      <c r="E156" s="368" t="str">
        <f>+VLOOKUP(C156,Foundation!$C$8:$E$495,3,FALSE)</f>
        <v>Sandy</v>
      </c>
      <c r="F156" s="350">
        <v>45598</v>
      </c>
      <c r="G156" s="350">
        <v>45618</v>
      </c>
      <c r="H156" s="370" t="s">
        <v>905</v>
      </c>
      <c r="I156" s="373"/>
      <c r="J156" s="696">
        <f t="shared" si="4"/>
        <v>45.413028000000004</v>
      </c>
      <c r="K156" s="370"/>
      <c r="M156" s="648">
        <f t="shared" si="5"/>
        <v>20</v>
      </c>
    </row>
    <row r="157" spans="1:13" x14ac:dyDescent="0.2">
      <c r="A157" s="372">
        <f>+SUBTOTAL(3,$G$7:$G157)</f>
        <v>151</v>
      </c>
      <c r="B157" s="366">
        <v>45597</v>
      </c>
      <c r="C157" s="378" t="s">
        <v>696</v>
      </c>
      <c r="D157" s="368" t="str">
        <f>+VLOOKUP(C157,Foundation!$C$8:$D$531,2,FALSE)</f>
        <v>DA+3</v>
      </c>
      <c r="E157" s="368" t="str">
        <f>+VLOOKUP(C157,Foundation!$C$8:$E$495,3,FALSE)</f>
        <v>Sandy</v>
      </c>
      <c r="F157" s="350">
        <v>45614</v>
      </c>
      <c r="G157" s="350">
        <v>45618</v>
      </c>
      <c r="H157" s="370" t="s">
        <v>887</v>
      </c>
      <c r="I157" s="373"/>
      <c r="J157" s="696">
        <f t="shared" si="4"/>
        <v>38.847605999999992</v>
      </c>
      <c r="K157" s="370"/>
      <c r="M157" s="648">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894</v>
      </c>
      <c r="I158" s="373"/>
      <c r="J158" s="696">
        <f t="shared" si="4"/>
        <v>38.847605999999992</v>
      </c>
      <c r="K158" s="370"/>
      <c r="M158" s="648">
        <f t="shared" si="5"/>
        <v>12</v>
      </c>
    </row>
    <row r="159" spans="1:13" x14ac:dyDescent="0.2">
      <c r="A159" s="372">
        <f>+SUBTOTAL(3,$G$7:$G159)</f>
        <v>153</v>
      </c>
      <c r="B159" s="366">
        <v>45597</v>
      </c>
      <c r="C159" s="367" t="s">
        <v>723</v>
      </c>
      <c r="D159" s="368" t="str">
        <f>+VLOOKUP(C159,Foundation!$C$8:$D$531,2,FALSE)</f>
        <v>DA+9</v>
      </c>
      <c r="E159" s="368" t="str">
        <f>+VLOOKUP(C159,Foundation!$C$8:$E$495,3,FALSE)</f>
        <v>Sandy</v>
      </c>
      <c r="F159" s="350">
        <v>45609</v>
      </c>
      <c r="G159" s="350">
        <v>45621</v>
      </c>
      <c r="H159" s="370" t="s">
        <v>896</v>
      </c>
      <c r="I159" s="373"/>
      <c r="J159" s="696">
        <f t="shared" si="4"/>
        <v>47.184350000000002</v>
      </c>
      <c r="K159" s="370"/>
      <c r="M159" s="648">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x14ac:dyDescent="0.2">
      <c r="A161" s="372">
        <f>+SUBTOTAL(3,$G$7:$G161)</f>
        <v>155</v>
      </c>
      <c r="B161" s="366">
        <v>45597</v>
      </c>
      <c r="C161" s="367" t="s">
        <v>697</v>
      </c>
      <c r="D161" s="368" t="str">
        <f>+VLOOKUP(C161,Foundation!$C$8:$D$531,2,FALSE)</f>
        <v>DA+3</v>
      </c>
      <c r="E161" s="368" t="str">
        <f>+VLOOKUP(C161,Foundation!$C$8:$E$495,3,FALSE)</f>
        <v>Sandy</v>
      </c>
      <c r="F161" s="350">
        <v>45619</v>
      </c>
      <c r="G161" s="350">
        <v>45623</v>
      </c>
      <c r="H161" s="370" t="s">
        <v>887</v>
      </c>
      <c r="I161" s="373"/>
      <c r="J161" s="696">
        <f t="shared" si="4"/>
        <v>38.847605999999992</v>
      </c>
      <c r="K161" s="370"/>
      <c r="M161" s="648">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x14ac:dyDescent="0.2">
      <c r="A164" s="372">
        <f>+SUBTOTAL(3,$G$7:$G164)</f>
        <v>158</v>
      </c>
      <c r="B164" s="366">
        <v>45597</v>
      </c>
      <c r="C164" s="367" t="s">
        <v>694</v>
      </c>
      <c r="D164" s="368" t="str">
        <f>+VLOOKUP(C164,Foundation!$C$8:$D$531,2,FALSE)</f>
        <v>DA+3</v>
      </c>
      <c r="E164" s="368" t="str">
        <f>+VLOOKUP(C164,Foundation!$C$8:$E$495,3,FALSE)</f>
        <v>Sandy</v>
      </c>
      <c r="F164" s="350">
        <v>45623</v>
      </c>
      <c r="G164" s="350">
        <v>45626</v>
      </c>
      <c r="H164" s="370" t="s">
        <v>887</v>
      </c>
      <c r="I164" s="373"/>
      <c r="J164" s="696">
        <f t="shared" si="4"/>
        <v>38.847605999999992</v>
      </c>
      <c r="K164" s="370"/>
      <c r="M164" s="648">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895</v>
      </c>
      <c r="I165" s="373"/>
      <c r="J165" s="696">
        <f t="shared" si="4"/>
        <v>38.847605999999992</v>
      </c>
      <c r="K165" s="370"/>
      <c r="M165" s="648">
        <f t="shared" si="5"/>
        <v>6</v>
      </c>
    </row>
    <row r="166" spans="1:13" x14ac:dyDescent="0.2">
      <c r="A166" s="372">
        <f>+SUBTOTAL(3,$G$7:$G166)</f>
        <v>160</v>
      </c>
      <c r="B166" s="366">
        <v>45627</v>
      </c>
      <c r="C166" s="379" t="s">
        <v>755</v>
      </c>
      <c r="D166" s="368" t="str">
        <f>+VLOOKUP(C166,Foundation!$C$8:$D$531,2,FALSE)</f>
        <v>DA+3</v>
      </c>
      <c r="E166" s="368" t="str">
        <f>+VLOOKUP(C166,Foundation!$C$8:$E$495,3,FALSE)</f>
        <v>DRY</v>
      </c>
      <c r="F166" s="350">
        <v>45621</v>
      </c>
      <c r="G166" s="350">
        <v>45629</v>
      </c>
      <c r="H166" s="370" t="s">
        <v>894</v>
      </c>
      <c r="I166" s="373"/>
      <c r="J166" s="696">
        <f t="shared" si="4"/>
        <v>38.847605999999992</v>
      </c>
      <c r="K166" s="370"/>
      <c r="M166" s="648">
        <f t="shared" si="5"/>
        <v>8</v>
      </c>
    </row>
    <row r="167" spans="1:13" x14ac:dyDescent="0.2">
      <c r="A167" s="372">
        <f>+SUBTOTAL(3,$G$7:$G167)</f>
        <v>161</v>
      </c>
      <c r="B167" s="366">
        <v>45627</v>
      </c>
      <c r="C167" s="379" t="s">
        <v>722</v>
      </c>
      <c r="D167" s="368" t="str">
        <f>+VLOOKUP(C167,Foundation!$C$8:$D$531,2,FALSE)</f>
        <v>DA+3</v>
      </c>
      <c r="E167" s="368" t="str">
        <f>+VLOOKUP(C167,Foundation!$C$8:$E$495,3,FALSE)</f>
        <v>Sandy</v>
      </c>
      <c r="F167" s="350">
        <v>45622</v>
      </c>
      <c r="G167" s="350">
        <v>45631</v>
      </c>
      <c r="H167" s="370" t="s">
        <v>896</v>
      </c>
      <c r="I167" s="373"/>
      <c r="J167" s="696">
        <f t="shared" si="4"/>
        <v>38.847605999999992</v>
      </c>
      <c r="K167" s="370"/>
      <c r="M167" s="648">
        <f t="shared" si="5"/>
        <v>9</v>
      </c>
    </row>
    <row r="168" spans="1:13" x14ac:dyDescent="0.2">
      <c r="A168" s="372">
        <f>+SUBTOTAL(3,$G$7:$G168)</f>
        <v>162</v>
      </c>
      <c r="B168" s="366">
        <v>45627</v>
      </c>
      <c r="C168" s="379" t="s">
        <v>695</v>
      </c>
      <c r="D168" s="368" t="str">
        <f>+VLOOKUP(C168,Foundation!$C$8:$D$531,2,FALSE)</f>
        <v>DA+3</v>
      </c>
      <c r="E168" s="368" t="str">
        <f>+VLOOKUP(C168,Foundation!$C$8:$E$495,3,FALSE)</f>
        <v>Sandy</v>
      </c>
      <c r="F168" s="350">
        <v>45628</v>
      </c>
      <c r="G168" s="350">
        <v>45631</v>
      </c>
      <c r="H168" s="370" t="s">
        <v>887</v>
      </c>
      <c r="I168" s="373"/>
      <c r="J168" s="696">
        <f t="shared" si="4"/>
        <v>38.847605999999992</v>
      </c>
      <c r="K168" s="370"/>
      <c r="M168" s="648">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x14ac:dyDescent="0.2">
      <c r="A171" s="372">
        <f>+SUBTOTAL(3,$G$7:$G171)</f>
        <v>165</v>
      </c>
      <c r="B171" s="366">
        <v>45627</v>
      </c>
      <c r="C171" s="379" t="s">
        <v>693</v>
      </c>
      <c r="D171" s="368" t="str">
        <f>+VLOOKUP(C171,Foundation!$C$8:$D$531,2,FALSE)</f>
        <v>DA+0</v>
      </c>
      <c r="E171" s="368" t="str">
        <f>+VLOOKUP(C171,Foundation!$C$8:$E$495,3,FALSE)</f>
        <v>Sandy</v>
      </c>
      <c r="F171" s="350">
        <v>45632</v>
      </c>
      <c r="G171" s="350">
        <v>45635</v>
      </c>
      <c r="H171" s="370" t="s">
        <v>887</v>
      </c>
      <c r="I171" s="373"/>
      <c r="J171" s="696">
        <f t="shared" si="4"/>
        <v>37.504372000000004</v>
      </c>
      <c r="K171" s="370"/>
      <c r="M171" s="648">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x14ac:dyDescent="0.2">
      <c r="A173" s="372">
        <f>+SUBTOTAL(3,$G$7:$G173)</f>
        <v>167</v>
      </c>
      <c r="B173" s="366">
        <v>45627</v>
      </c>
      <c r="C173" s="379" t="s">
        <v>859</v>
      </c>
      <c r="D173" s="368" t="str">
        <f>+VLOOKUP(C173,Foundation!$C$8:$D$531,2,FALSE)</f>
        <v>DA+0</v>
      </c>
      <c r="E173" s="368" t="str">
        <f>+VLOOKUP(C173,Foundation!$C$8:$E$495,3,FALSE)</f>
        <v>DRY</v>
      </c>
      <c r="F173" s="350">
        <v>45635</v>
      </c>
      <c r="G173" s="350">
        <v>45639</v>
      </c>
      <c r="H173" s="370" t="s">
        <v>891</v>
      </c>
      <c r="I173" s="373"/>
      <c r="J173" s="696">
        <f t="shared" si="4"/>
        <v>37.504372000000004</v>
      </c>
      <c r="K173" s="370"/>
      <c r="M173" s="648">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894</v>
      </c>
      <c r="I175" s="373"/>
      <c r="J175" s="696">
        <f t="shared" si="4"/>
        <v>66.381106999999986</v>
      </c>
      <c r="K175" s="370"/>
      <c r="M175" s="648">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895</v>
      </c>
      <c r="I176" s="373"/>
      <c r="J176" s="696">
        <f t="shared" si="4"/>
        <v>37.504372000000004</v>
      </c>
      <c r="K176" s="370"/>
      <c r="M176" s="648">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895</v>
      </c>
      <c r="I178" s="373"/>
      <c r="J178" s="696">
        <f t="shared" si="4"/>
        <v>37.504372000000004</v>
      </c>
      <c r="K178" s="370"/>
      <c r="M178" s="648">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x14ac:dyDescent="0.2">
      <c r="A180" s="372">
        <f>+SUBTOTAL(3,$G$7:$G180)</f>
        <v>174</v>
      </c>
      <c r="B180" s="366">
        <v>45658</v>
      </c>
      <c r="C180" s="367" t="s">
        <v>856</v>
      </c>
      <c r="D180" s="368" t="str">
        <f>+VLOOKUP(C180,Foundation!$C$8:$D$531,2,FALSE)</f>
        <v>DB2+0</v>
      </c>
      <c r="E180" s="368" t="str">
        <f>+VLOOKUP(C180,Foundation!$C$8:$E$495,3,FALSE)</f>
        <v>DRY</v>
      </c>
      <c r="F180" s="350">
        <v>45660</v>
      </c>
      <c r="G180" s="350">
        <v>45666</v>
      </c>
      <c r="H180" s="370" t="s">
        <v>891</v>
      </c>
      <c r="I180" s="373"/>
      <c r="J180" s="696">
        <f t="shared" si="4"/>
        <v>57.597240999999997</v>
      </c>
      <c r="K180" s="370"/>
      <c r="M180" s="648">
        <f t="shared" si="5"/>
        <v>6</v>
      </c>
    </row>
    <row r="181" spans="1:13" x14ac:dyDescent="0.2">
      <c r="A181" s="372">
        <f>+SUBTOTAL(3,$G$7:$G181)</f>
        <v>175</v>
      </c>
      <c r="B181" s="366">
        <v>45658</v>
      </c>
      <c r="C181" s="367" t="s">
        <v>732</v>
      </c>
      <c r="D181" s="368" t="str">
        <f>+VLOOKUP(C181,Foundation!$C$8:$D$531,2,FALSE)</f>
        <v>DA+3</v>
      </c>
      <c r="E181" s="368" t="str">
        <f>+VLOOKUP(C181,Foundation!$C$8:$E$495,3,FALSE)</f>
        <v>Sandy</v>
      </c>
      <c r="F181" s="350">
        <v>45661</v>
      </c>
      <c r="G181" s="350">
        <v>45666</v>
      </c>
      <c r="H181" s="370" t="s">
        <v>896</v>
      </c>
      <c r="I181" s="373"/>
      <c r="J181" s="696">
        <f t="shared" si="4"/>
        <v>38.847605999999992</v>
      </c>
      <c r="K181" s="370"/>
      <c r="M181" s="648">
        <f t="shared" si="5"/>
        <v>5</v>
      </c>
    </row>
    <row r="182" spans="1:13" x14ac:dyDescent="0.2">
      <c r="A182" s="372">
        <f>+SUBTOTAL(3,$G$7:$G182)</f>
        <v>176</v>
      </c>
      <c r="B182" s="366">
        <v>45658</v>
      </c>
      <c r="C182" s="379" t="s">
        <v>866</v>
      </c>
      <c r="D182" s="368" t="str">
        <f>+VLOOKUP(C182,Foundation!$C$8:$D$531,2,FALSE)</f>
        <v>DB2+0</v>
      </c>
      <c r="E182" s="368" t="str">
        <f>+VLOOKUP(C182,Foundation!$C$8:$E$495,3,FALSE)</f>
        <v>Sandy</v>
      </c>
      <c r="F182" s="350">
        <v>45662</v>
      </c>
      <c r="G182" s="350">
        <v>45670</v>
      </c>
      <c r="H182" s="370" t="s">
        <v>888</v>
      </c>
      <c r="I182" s="373"/>
      <c r="J182" s="696">
        <f t="shared" si="4"/>
        <v>57.597240999999997</v>
      </c>
      <c r="K182" s="370"/>
      <c r="M182" s="648">
        <f t="shared" si="5"/>
        <v>8</v>
      </c>
    </row>
    <row r="183" spans="1:13" x14ac:dyDescent="0.2">
      <c r="A183" s="372">
        <f>+SUBTOTAL(3,$G$7:$G183)</f>
        <v>177</v>
      </c>
      <c r="B183" s="366">
        <v>45658</v>
      </c>
      <c r="C183" s="379" t="s">
        <v>860</v>
      </c>
      <c r="D183" s="368" t="str">
        <f>+VLOOKUP(C183,Foundation!$C$8:$D$531,2,FALSE)</f>
        <v>DA+0</v>
      </c>
      <c r="E183" s="368" t="str">
        <f>+VLOOKUP(C183,Foundation!$C$8:$E$495,3,FALSE)</f>
        <v>DRY</v>
      </c>
      <c r="F183" s="350">
        <v>45667</v>
      </c>
      <c r="G183" s="350">
        <v>45671</v>
      </c>
      <c r="H183" s="370" t="s">
        <v>891</v>
      </c>
      <c r="I183" s="373"/>
      <c r="J183" s="696">
        <f t="shared" si="4"/>
        <v>37.504372000000004</v>
      </c>
      <c r="K183" s="370"/>
      <c r="M183" s="648">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x14ac:dyDescent="0.2">
      <c r="A186" s="372">
        <f>+SUBTOTAL(3,$G$7:$G186)</f>
        <v>180</v>
      </c>
      <c r="B186" s="366">
        <v>45658</v>
      </c>
      <c r="C186" s="367" t="s">
        <v>731</v>
      </c>
      <c r="D186" s="368" t="str">
        <f>+VLOOKUP(C186,Foundation!$C$8:$D$531,2,FALSE)</f>
        <v>DA+3</v>
      </c>
      <c r="E186" s="368" t="str">
        <f>+VLOOKUP(C186,Foundation!$C$8:$E$495,3,FALSE)</f>
        <v>Sandy</v>
      </c>
      <c r="F186" s="350">
        <v>45667</v>
      </c>
      <c r="G186" s="350">
        <v>45675</v>
      </c>
      <c r="H186" s="370" t="s">
        <v>896</v>
      </c>
      <c r="I186" s="373"/>
      <c r="J186" s="696">
        <f t="shared" si="4"/>
        <v>38.847605999999992</v>
      </c>
      <c r="K186" s="370"/>
      <c r="M186" s="648">
        <f t="shared" si="5"/>
        <v>8</v>
      </c>
    </row>
    <row r="187" spans="1:13" x14ac:dyDescent="0.2">
      <c r="A187" s="372">
        <f>+SUBTOTAL(3,$G$7:$G187)</f>
        <v>181</v>
      </c>
      <c r="B187" s="366">
        <v>45658</v>
      </c>
      <c r="C187" s="367" t="s">
        <v>861</v>
      </c>
      <c r="D187" s="368" t="str">
        <f>+VLOOKUP(C187,Foundation!$C$8:$D$531,2,FALSE)</f>
        <v>DA+0</v>
      </c>
      <c r="E187" s="368" t="str">
        <f>+VLOOKUP(C187,Foundation!$C$8:$E$495,3,FALSE)</f>
        <v>DRY</v>
      </c>
      <c r="F187" s="350">
        <v>45672</v>
      </c>
      <c r="G187" s="350">
        <v>45676</v>
      </c>
      <c r="H187" s="370" t="s">
        <v>891</v>
      </c>
      <c r="I187" s="373"/>
      <c r="J187" s="696">
        <f t="shared" si="4"/>
        <v>37.504372000000004</v>
      </c>
      <c r="K187" s="370"/>
      <c r="M187" s="648">
        <f t="shared" si="5"/>
        <v>4</v>
      </c>
    </row>
    <row r="188" spans="1:13" x14ac:dyDescent="0.2">
      <c r="A188" s="372">
        <f>+SUBTOTAL(3,$G$7:$G188)</f>
        <v>182</v>
      </c>
      <c r="B188" s="366">
        <v>45658</v>
      </c>
      <c r="C188" s="379" t="s">
        <v>863</v>
      </c>
      <c r="D188" s="368" t="str">
        <f>+VLOOKUP(C188,Foundation!$C$8:$D$531,2,FALSE)</f>
        <v>DA+0</v>
      </c>
      <c r="E188" s="368" t="str">
        <f>+VLOOKUP(C188,Foundation!$C$8:$E$495,3,FALSE)</f>
        <v>DRY</v>
      </c>
      <c r="F188" s="350">
        <v>45671</v>
      </c>
      <c r="G188" s="350">
        <v>45676</v>
      </c>
      <c r="H188" s="370" t="s">
        <v>888</v>
      </c>
      <c r="I188" s="373"/>
      <c r="J188" s="696">
        <f t="shared" si="4"/>
        <v>37.504372000000004</v>
      </c>
      <c r="K188" s="370"/>
      <c r="M188" s="648">
        <f t="shared" si="5"/>
        <v>5</v>
      </c>
    </row>
    <row r="189" spans="1:13" x14ac:dyDescent="0.2">
      <c r="A189" s="372">
        <f>+SUBTOTAL(3,$G$7:$G189)</f>
        <v>183</v>
      </c>
      <c r="B189" s="366">
        <v>45658</v>
      </c>
      <c r="C189" s="379" t="s">
        <v>853</v>
      </c>
      <c r="D189" s="368" t="str">
        <f>+VLOOKUP(C189,Foundation!$C$8:$D$531,2,FALSE)</f>
        <v>DB2+3</v>
      </c>
      <c r="E189" s="368" t="str">
        <f>+VLOOKUP(C189,Foundation!$C$8:$E$495,3,FALSE)</f>
        <v>DRY</v>
      </c>
      <c r="F189" s="350">
        <v>45678</v>
      </c>
      <c r="G189" s="350">
        <v>45684</v>
      </c>
      <c r="H189" s="370" t="s">
        <v>893</v>
      </c>
      <c r="I189" s="373"/>
      <c r="J189" s="696">
        <f t="shared" si="4"/>
        <v>60.096777000000003</v>
      </c>
      <c r="K189" s="370"/>
      <c r="M189" s="648">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895</v>
      </c>
      <c r="I191" s="373"/>
      <c r="J191" s="696">
        <f t="shared" si="4"/>
        <v>78.132046999999986</v>
      </c>
      <c r="K191" s="370"/>
      <c r="M191" s="648">
        <f t="shared" si="5"/>
        <v>18</v>
      </c>
    </row>
    <row r="192" spans="1:13" x14ac:dyDescent="0.2">
      <c r="A192" s="372">
        <f>+SUBTOTAL(3,$G$7:$G192)</f>
        <v>186</v>
      </c>
      <c r="B192" s="366">
        <v>45658</v>
      </c>
      <c r="C192" s="379" t="s">
        <v>730</v>
      </c>
      <c r="D192" s="368" t="str">
        <f>+VLOOKUP(C192,Foundation!$C$8:$D$531,2,FALSE)</f>
        <v>DA+6</v>
      </c>
      <c r="E192" s="368" t="str">
        <f>+VLOOKUP(C192,Foundation!$C$8:$E$495,3,FALSE)</f>
        <v>Sandy</v>
      </c>
      <c r="F192" s="350">
        <v>45676</v>
      </c>
      <c r="G192" s="350">
        <v>45687</v>
      </c>
      <c r="H192" s="370" t="s">
        <v>896</v>
      </c>
      <c r="I192" s="373"/>
      <c r="J192" s="696">
        <f t="shared" si="4"/>
        <v>45.413028000000004</v>
      </c>
      <c r="K192" s="370"/>
      <c r="M192" s="648">
        <f t="shared" si="5"/>
        <v>11</v>
      </c>
    </row>
    <row r="193" spans="1:13" x14ac:dyDescent="0.2">
      <c r="A193" s="372">
        <f>+SUBTOTAL(3,$G$7:$G193)</f>
        <v>187</v>
      </c>
      <c r="B193" s="366">
        <v>45689</v>
      </c>
      <c r="C193" s="379" t="s">
        <v>854</v>
      </c>
      <c r="D193" s="368" t="str">
        <f>+VLOOKUP(C193,Foundation!$C$8:$D$531,2,FALSE)</f>
        <v>DA+3</v>
      </c>
      <c r="E193" s="368" t="str">
        <f>+VLOOKUP(C193,Foundation!$C$8:$E$495,3,FALSE)</f>
        <v>DRY</v>
      </c>
      <c r="F193" s="350">
        <v>45685</v>
      </c>
      <c r="G193" s="350">
        <v>45690</v>
      </c>
      <c r="H193" s="370" t="s">
        <v>893</v>
      </c>
      <c r="I193" s="373"/>
      <c r="J193" s="696">
        <f t="shared" si="4"/>
        <v>38.847605999999992</v>
      </c>
      <c r="K193" s="370"/>
      <c r="M193" s="648">
        <f t="shared" si="5"/>
        <v>5</v>
      </c>
    </row>
    <row r="194" spans="1:13" x14ac:dyDescent="0.2">
      <c r="A194" s="372">
        <f>+SUBTOTAL(3,$G$7:$G194)</f>
        <v>188</v>
      </c>
      <c r="B194" s="366">
        <v>45689</v>
      </c>
      <c r="C194" s="379" t="s">
        <v>829</v>
      </c>
      <c r="D194" s="368" t="str">
        <f>+VLOOKUP(C194,Foundation!$C$8:$D$531,2,FALSE)</f>
        <v>DA+0</v>
      </c>
      <c r="E194" s="368" t="str">
        <f>+VLOOKUP(C194,Foundation!$C$8:$E$495,3,FALSE)</f>
        <v>DRY</v>
      </c>
      <c r="F194" s="350">
        <v>45686</v>
      </c>
      <c r="G194" s="350">
        <v>45694</v>
      </c>
      <c r="H194" s="370" t="s">
        <v>895</v>
      </c>
      <c r="I194" s="373"/>
      <c r="J194" s="696">
        <f t="shared" si="4"/>
        <v>37.504372000000004</v>
      </c>
      <c r="K194" s="370"/>
      <c r="M194" s="648">
        <f t="shared" si="5"/>
        <v>8</v>
      </c>
    </row>
    <row r="195" spans="1:13" x14ac:dyDescent="0.2">
      <c r="A195" s="372">
        <f>+SUBTOTAL(3,$G$7:$G195)</f>
        <v>189</v>
      </c>
      <c r="B195" s="366">
        <v>45689</v>
      </c>
      <c r="C195" s="379" t="s">
        <v>855</v>
      </c>
      <c r="D195" s="368" t="str">
        <f>+VLOOKUP(C195,Foundation!$C$8:$D$531,2,FALSE)</f>
        <v>DA+0</v>
      </c>
      <c r="E195" s="368" t="str">
        <f>+VLOOKUP(C195,Foundation!$C$8:$E$495,3,FALSE)</f>
        <v>DRY</v>
      </c>
      <c r="F195" s="350">
        <v>45690</v>
      </c>
      <c r="G195" s="350">
        <v>45694</v>
      </c>
      <c r="H195" s="370" t="s">
        <v>893</v>
      </c>
      <c r="I195" s="373"/>
      <c r="J195" s="696">
        <f t="shared" si="4"/>
        <v>37.504372000000004</v>
      </c>
      <c r="K195" s="370"/>
      <c r="M195" s="648">
        <f t="shared" si="5"/>
        <v>4</v>
      </c>
    </row>
    <row r="196" spans="1:13" x14ac:dyDescent="0.2">
      <c r="A196" s="372">
        <f>+SUBTOTAL(3,$G$7:$G196)</f>
        <v>190</v>
      </c>
      <c r="B196" s="366">
        <v>45689</v>
      </c>
      <c r="C196" s="379" t="s">
        <v>710</v>
      </c>
      <c r="D196" s="368" t="str">
        <f>+VLOOKUP(C196,Foundation!$C$8:$D$531,2,FALSE)</f>
        <v>DC2+0</v>
      </c>
      <c r="E196" s="368" t="str">
        <f>+VLOOKUP(C196,Foundation!$C$8:$E$495,3,FALSE)</f>
        <v>Sandy</v>
      </c>
      <c r="F196" s="350">
        <v>45688</v>
      </c>
      <c r="G196" s="350">
        <v>45695</v>
      </c>
      <c r="H196" s="370" t="s">
        <v>898</v>
      </c>
      <c r="I196" s="373"/>
      <c r="J196" s="696">
        <f t="shared" si="4"/>
        <v>66.381106999999986</v>
      </c>
      <c r="K196" s="370"/>
      <c r="M196" s="648">
        <f t="shared" si="5"/>
        <v>7</v>
      </c>
    </row>
    <row r="197" spans="1:13" x14ac:dyDescent="0.2">
      <c r="A197" s="372">
        <f>+SUBTOTAL(3,$G$7:$G197)</f>
        <v>191</v>
      </c>
      <c r="B197" s="366">
        <v>45689</v>
      </c>
      <c r="C197" s="379" t="s">
        <v>628</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x14ac:dyDescent="0.2">
      <c r="A198" s="372">
        <f>+SUBTOTAL(3,$G$7:$G198)</f>
        <v>192</v>
      </c>
      <c r="B198" s="366">
        <v>45689</v>
      </c>
      <c r="C198" s="379" t="s">
        <v>852</v>
      </c>
      <c r="D198" s="368" t="str">
        <f>+VLOOKUP(C198,Foundation!$C$8:$D$531,2,FALSE)</f>
        <v>DA+3</v>
      </c>
      <c r="E198" s="368" t="str">
        <f>+VLOOKUP(C198,Foundation!$C$8:$E$495,3,FALSE)</f>
        <v>DRY</v>
      </c>
      <c r="F198" s="350">
        <v>45695</v>
      </c>
      <c r="G198" s="350">
        <v>45698</v>
      </c>
      <c r="H198" s="370" t="s">
        <v>893</v>
      </c>
      <c r="I198" s="373"/>
      <c r="J198" s="696">
        <f t="shared" si="4"/>
        <v>38.847605999999992</v>
      </c>
      <c r="K198" s="370"/>
      <c r="M198" s="648">
        <f t="shared" si="5"/>
        <v>3</v>
      </c>
    </row>
    <row r="199" spans="1:13" x14ac:dyDescent="0.2">
      <c r="A199" s="372">
        <f>+SUBTOTAL(3,$G$7:$G199)</f>
        <v>193</v>
      </c>
      <c r="B199" s="366">
        <v>45689</v>
      </c>
      <c r="C199" s="379" t="s">
        <v>713</v>
      </c>
      <c r="D199" s="368" t="str">
        <f>+VLOOKUP(C199,Foundation!$C$8:$D$531,2,FALSE)</f>
        <v>DC2+0</v>
      </c>
      <c r="E199" s="368" t="str">
        <f>+VLOOKUP(C199,Foundation!$C$8:$E$495,3,FALSE)</f>
        <v>Sandy</v>
      </c>
      <c r="F199" s="350">
        <v>45696</v>
      </c>
      <c r="G199" s="350">
        <v>45702</v>
      </c>
      <c r="H199" s="370" t="s">
        <v>898</v>
      </c>
      <c r="I199" s="373"/>
      <c r="J199" s="696">
        <f t="shared" si="4"/>
        <v>66.381106999999986</v>
      </c>
      <c r="K199" s="370"/>
      <c r="M199" s="648">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887</v>
      </c>
      <c r="I200" s="373"/>
      <c r="J200" s="696">
        <f t="shared" ref="J200:J234" si="6">+VLOOKUP(D200,$AB$7:$AC$35,2,FALSE)</f>
        <v>86.129278999999997</v>
      </c>
      <c r="K200" s="370"/>
      <c r="M200" s="648">
        <f t="shared" ref="M200:M263" si="7">G200-F200</f>
        <v>9</v>
      </c>
    </row>
    <row r="201" spans="1:13" x14ac:dyDescent="0.2">
      <c r="A201" s="372">
        <f>+SUBTOTAL(3,$G$7:$G201)</f>
        <v>195</v>
      </c>
      <c r="B201" s="366">
        <v>45689</v>
      </c>
      <c r="C201" s="379" t="s">
        <v>851</v>
      </c>
      <c r="D201" s="368" t="str">
        <f>+VLOOKUP(C201,Foundation!$C$8:$D$531,2,FALSE)</f>
        <v>DA+3</v>
      </c>
      <c r="E201" s="368" t="str">
        <f>+VLOOKUP(C201,Foundation!$C$8:$E$495,3,FALSE)</f>
        <v>DRY</v>
      </c>
      <c r="F201" s="350">
        <v>45699</v>
      </c>
      <c r="G201" s="350">
        <v>45703</v>
      </c>
      <c r="H201" s="370" t="s">
        <v>893</v>
      </c>
      <c r="I201" s="373"/>
      <c r="J201" s="696">
        <f t="shared" si="6"/>
        <v>38.847605999999992</v>
      </c>
      <c r="K201" s="370"/>
      <c r="M201" s="648">
        <f t="shared" si="7"/>
        <v>4</v>
      </c>
    </row>
    <row r="202" spans="1:13" x14ac:dyDescent="0.2">
      <c r="A202" s="372">
        <f>+SUBTOTAL(3,$G$7:$G202)</f>
        <v>196</v>
      </c>
      <c r="B202" s="366">
        <v>45689</v>
      </c>
      <c r="C202" s="379" t="s">
        <v>629</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x14ac:dyDescent="0.2">
      <c r="A203" s="372">
        <f>+SUBTOTAL(3,$G$7:$G203)</f>
        <v>197</v>
      </c>
      <c r="B203" s="366">
        <v>45689</v>
      </c>
      <c r="C203" s="379" t="s">
        <v>850</v>
      </c>
      <c r="D203" s="368" t="str">
        <f>+VLOOKUP(C203,Foundation!$C$8:$D$531,2,FALSE)</f>
        <v>DA+0</v>
      </c>
      <c r="E203" s="368" t="str">
        <f>+VLOOKUP(C203,Foundation!$C$8:$E$495,3,FALSE)</f>
        <v>DRY</v>
      </c>
      <c r="F203" s="350">
        <v>45704</v>
      </c>
      <c r="G203" s="350">
        <v>45707</v>
      </c>
      <c r="H203" s="370" t="s">
        <v>893</v>
      </c>
      <c r="I203" s="373"/>
      <c r="J203" s="696">
        <f t="shared" si="6"/>
        <v>37.504372000000004</v>
      </c>
      <c r="K203" s="370"/>
      <c r="M203" s="648">
        <f t="shared" si="7"/>
        <v>3</v>
      </c>
    </row>
    <row r="204" spans="1:13" x14ac:dyDescent="0.2">
      <c r="A204" s="372">
        <f>+SUBTOTAL(3,$G$7:$G204)</f>
        <v>198</v>
      </c>
      <c r="B204" s="366">
        <v>45689</v>
      </c>
      <c r="C204" s="379" t="s">
        <v>704</v>
      </c>
      <c r="D204" s="368" t="str">
        <f>+VLOOKUP(C204,Foundation!$C$8:$D$531,2,FALSE)</f>
        <v>DA+9</v>
      </c>
      <c r="E204" s="368" t="str">
        <f>+VLOOKUP(C204,Foundation!$C$8:$E$495,3,FALSE)</f>
        <v>Sandy</v>
      </c>
      <c r="F204" s="350">
        <v>45703</v>
      </c>
      <c r="G204" s="350">
        <v>45708</v>
      </c>
      <c r="H204" s="370" t="s">
        <v>887</v>
      </c>
      <c r="I204" s="373"/>
      <c r="J204" s="696">
        <f t="shared" si="6"/>
        <v>47.184350000000002</v>
      </c>
      <c r="K204" s="370"/>
      <c r="M204" s="648">
        <f t="shared" si="7"/>
        <v>5</v>
      </c>
    </row>
    <row r="205" spans="1:13" x14ac:dyDescent="0.2">
      <c r="A205" s="372">
        <f>+SUBTOTAL(3,$G$7:$G205)</f>
        <v>199</v>
      </c>
      <c r="B205" s="366">
        <v>45689</v>
      </c>
      <c r="C205" s="379" t="s">
        <v>849</v>
      </c>
      <c r="D205" s="368" t="str">
        <f>+VLOOKUP(C205,Foundation!$C$8:$D$531,2,FALSE)</f>
        <v>DA+3</v>
      </c>
      <c r="E205" s="368" t="str">
        <f>+VLOOKUP(C205,Foundation!$C$8:$E$495,3,FALSE)</f>
        <v>DRY</v>
      </c>
      <c r="F205" s="350">
        <v>45708</v>
      </c>
      <c r="G205" s="350">
        <v>45712</v>
      </c>
      <c r="H205" s="370" t="s">
        <v>893</v>
      </c>
      <c r="I205" s="373"/>
      <c r="J205" s="696">
        <f t="shared" si="6"/>
        <v>38.847605999999992</v>
      </c>
      <c r="K205" s="370"/>
      <c r="M205" s="648">
        <f t="shared" si="7"/>
        <v>4</v>
      </c>
    </row>
    <row r="206" spans="1:13" x14ac:dyDescent="0.2">
      <c r="A206" s="372">
        <f>+SUBTOTAL(3,$G$7:$G206)</f>
        <v>200</v>
      </c>
      <c r="B206" s="366">
        <v>45689</v>
      </c>
      <c r="C206" s="379" t="s">
        <v>630</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x14ac:dyDescent="0.2">
      <c r="A207" s="372">
        <f>+SUBTOTAL(3,$G$7:$G207)</f>
        <v>201</v>
      </c>
      <c r="B207" s="366">
        <v>45717</v>
      </c>
      <c r="C207" s="379" t="s">
        <v>848</v>
      </c>
      <c r="D207" s="368" t="str">
        <f>+VLOOKUP(C207,Foundation!$C$8:$D$531,2,FALSE)</f>
        <v>DA+3</v>
      </c>
      <c r="E207" s="368" t="str">
        <f>+VLOOKUP(C207,Foundation!$C$8:$E$495,3,FALSE)</f>
        <v>DRY</v>
      </c>
      <c r="F207" s="350">
        <v>45713</v>
      </c>
      <c r="G207" s="350">
        <v>45717</v>
      </c>
      <c r="H207" s="370" t="s">
        <v>893</v>
      </c>
      <c r="I207" s="373"/>
      <c r="J207" s="696">
        <f t="shared" si="6"/>
        <v>38.847605999999992</v>
      </c>
      <c r="K207" s="370"/>
      <c r="M207" s="648">
        <f t="shared" si="7"/>
        <v>4</v>
      </c>
    </row>
    <row r="208" spans="1:13" x14ac:dyDescent="0.2">
      <c r="A208" s="372">
        <f>+SUBTOTAL(3,$G$7:$G208)</f>
        <v>202</v>
      </c>
      <c r="B208" s="366">
        <v>45717</v>
      </c>
      <c r="C208" s="379" t="s">
        <v>729</v>
      </c>
      <c r="D208" s="368" t="str">
        <f>+VLOOKUP(C208,Foundation!$C$8:$D$531,2,FALSE)</f>
        <v>DA+3</v>
      </c>
      <c r="E208" s="368" t="str">
        <f>+VLOOKUP(C208,Foundation!$C$8:$E$495,3,FALSE)</f>
        <v>Sandy</v>
      </c>
      <c r="F208" s="350">
        <v>45717</v>
      </c>
      <c r="G208" s="350">
        <v>45723</v>
      </c>
      <c r="H208" s="370" t="s">
        <v>896</v>
      </c>
      <c r="I208" s="373"/>
      <c r="J208" s="696">
        <f t="shared" si="6"/>
        <v>38.847605999999992</v>
      </c>
      <c r="K208" s="370"/>
      <c r="M208" s="648">
        <f t="shared" si="7"/>
        <v>6</v>
      </c>
    </row>
    <row r="209" spans="1:13" x14ac:dyDescent="0.2">
      <c r="A209" s="372">
        <f>+SUBTOTAL(3,$G$7:$G209)</f>
        <v>203</v>
      </c>
      <c r="B209" s="366">
        <v>45717</v>
      </c>
      <c r="C209" s="367" t="s">
        <v>847</v>
      </c>
      <c r="D209" s="368" t="str">
        <f>+VLOOKUP(C209,Foundation!$C$8:$D$531,2,FALSE)</f>
        <v>DA+6</v>
      </c>
      <c r="E209" s="368" t="str">
        <f>+VLOOKUP(C209,Foundation!$C$8:$E$495,3,FALSE)</f>
        <v>DRY</v>
      </c>
      <c r="F209" s="350">
        <v>45718</v>
      </c>
      <c r="G209" s="350">
        <v>45723</v>
      </c>
      <c r="H209" s="370" t="s">
        <v>893</v>
      </c>
      <c r="I209" s="373"/>
      <c r="J209" s="696">
        <f t="shared" si="6"/>
        <v>45.413028000000004</v>
      </c>
      <c r="K209" s="370"/>
      <c r="M209" s="648">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894</v>
      </c>
      <c r="I210" s="373"/>
      <c r="J210" s="696">
        <f t="shared" si="6"/>
        <v>69.228687000000008</v>
      </c>
      <c r="K210" s="370"/>
      <c r="M210" s="648">
        <f t="shared" si="7"/>
        <v>12</v>
      </c>
    </row>
    <row r="211" spans="1:13" x14ac:dyDescent="0.2">
      <c r="A211" s="372">
        <f>+SUBTOTAL(3,$G$7:$G211)</f>
        <v>205</v>
      </c>
      <c r="B211" s="366">
        <v>45717</v>
      </c>
      <c r="C211" s="367" t="s">
        <v>846</v>
      </c>
      <c r="D211" s="368" t="str">
        <f>+VLOOKUP(C211,Foundation!$C$8:$D$531,2,FALSE)</f>
        <v>DA+3</v>
      </c>
      <c r="E211" s="368" t="str">
        <f>+VLOOKUP(C211,Foundation!$C$8:$E$495,3,FALSE)</f>
        <v>DRY</v>
      </c>
      <c r="F211" s="350">
        <v>45724</v>
      </c>
      <c r="G211" s="350">
        <v>45728</v>
      </c>
      <c r="H211" s="370" t="s">
        <v>893</v>
      </c>
      <c r="I211" s="373"/>
      <c r="J211" s="696">
        <f t="shared" si="6"/>
        <v>38.847605999999992</v>
      </c>
      <c r="K211" s="370"/>
      <c r="M211" s="648">
        <f t="shared" si="7"/>
        <v>4</v>
      </c>
    </row>
    <row r="212" spans="1:13" x14ac:dyDescent="0.2">
      <c r="A212" s="372">
        <f>+SUBTOTAL(3,$G$7:$G212)</f>
        <v>206</v>
      </c>
      <c r="B212" s="366">
        <v>45717</v>
      </c>
      <c r="C212" s="367" t="s">
        <v>836</v>
      </c>
      <c r="D212" s="368" t="str">
        <f>+VLOOKUP(C212,Foundation!$C$8:$D$531,2,FALSE)</f>
        <v>DA+3</v>
      </c>
      <c r="E212" s="368" t="str">
        <f>+VLOOKUP(C212,Foundation!$C$8:$E$495,3,FALSE)</f>
        <v>DRY</v>
      </c>
      <c r="F212" s="350">
        <v>45724</v>
      </c>
      <c r="G212" s="350">
        <v>45732</v>
      </c>
      <c r="H212" s="370" t="s">
        <v>897</v>
      </c>
      <c r="I212" s="373"/>
      <c r="J212" s="696">
        <f t="shared" si="6"/>
        <v>38.847605999999992</v>
      </c>
      <c r="K212" s="370"/>
      <c r="M212" s="648">
        <f t="shared" si="7"/>
        <v>8</v>
      </c>
    </row>
    <row r="213" spans="1:13" x14ac:dyDescent="0.2">
      <c r="A213" s="372">
        <f>+SUBTOTAL(3,$G$7:$G213)</f>
        <v>207</v>
      </c>
      <c r="B213" s="366">
        <v>45717</v>
      </c>
      <c r="C213" s="367" t="s">
        <v>728</v>
      </c>
      <c r="D213" s="368" t="str">
        <f>+VLOOKUP(C213,Foundation!$C$8:$D$531,2,FALSE)</f>
        <v>DA+0</v>
      </c>
      <c r="E213" s="368" t="str">
        <f>+VLOOKUP(C213,Foundation!$C$8:$E$495,3,FALSE)</f>
        <v>Sandy</v>
      </c>
      <c r="F213" s="350">
        <v>45725</v>
      </c>
      <c r="G213" s="350">
        <v>45733</v>
      </c>
      <c r="H213" s="370" t="s">
        <v>896</v>
      </c>
      <c r="I213" s="373"/>
      <c r="J213" s="696">
        <f t="shared" si="6"/>
        <v>37.504372000000004</v>
      </c>
      <c r="K213" s="370"/>
      <c r="M213" s="648">
        <f t="shared" si="7"/>
        <v>8</v>
      </c>
    </row>
    <row r="214" spans="1:13" x14ac:dyDescent="0.2">
      <c r="A214" s="372">
        <f>+SUBTOTAL(3,$G$7:$G214)</f>
        <v>208</v>
      </c>
      <c r="B214" s="366">
        <v>45717</v>
      </c>
      <c r="C214" s="367" t="s">
        <v>845</v>
      </c>
      <c r="D214" s="368" t="str">
        <f>+VLOOKUP(C214,Foundation!$C$8:$D$531,2,FALSE)</f>
        <v>DA+3</v>
      </c>
      <c r="E214" s="368" t="str">
        <f>+VLOOKUP(C214,Foundation!$C$8:$E$495,3,FALSE)</f>
        <v>DRY</v>
      </c>
      <c r="F214" s="350">
        <v>45729</v>
      </c>
      <c r="G214" s="350">
        <v>45734</v>
      </c>
      <c r="H214" s="370" t="s">
        <v>893</v>
      </c>
      <c r="I214" s="373"/>
      <c r="J214" s="696">
        <f t="shared" si="6"/>
        <v>38.847605999999992</v>
      </c>
      <c r="K214" s="370"/>
      <c r="M214" s="648">
        <f t="shared" si="7"/>
        <v>5</v>
      </c>
    </row>
    <row r="215" spans="1:13" x14ac:dyDescent="0.2">
      <c r="A215" s="372">
        <f>+SUBTOTAL(3,$G$7:$G215)</f>
        <v>209</v>
      </c>
      <c r="B215" s="366">
        <v>45717</v>
      </c>
      <c r="C215" s="367" t="s">
        <v>727</v>
      </c>
      <c r="D215" s="368" t="str">
        <f>+VLOOKUP(C215,Foundation!$C$8:$D$531,2,FALSE)</f>
        <v>DA+6</v>
      </c>
      <c r="E215" s="368" t="str">
        <f>+VLOOKUP(C215,Foundation!$C$8:$E$495,3,FALSE)</f>
        <v>Sandy</v>
      </c>
      <c r="F215" s="350">
        <v>45734</v>
      </c>
      <c r="G215" s="350">
        <v>45741</v>
      </c>
      <c r="H215" s="370" t="s">
        <v>896</v>
      </c>
      <c r="I215" s="373"/>
      <c r="J215" s="696">
        <f t="shared" si="6"/>
        <v>45.413028000000004</v>
      </c>
      <c r="K215" s="370"/>
      <c r="M215" s="648">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893</v>
      </c>
      <c r="I216" s="373"/>
      <c r="J216" s="696">
        <f t="shared" si="6"/>
        <v>60.096777000000003</v>
      </c>
      <c r="K216" s="370"/>
      <c r="M216" s="648">
        <f t="shared" si="7"/>
        <v>6</v>
      </c>
    </row>
    <row r="217" spans="1:13" x14ac:dyDescent="0.2">
      <c r="A217" s="372">
        <f>+SUBTOTAL(3,$G$7:$G217)</f>
        <v>211</v>
      </c>
      <c r="B217" s="366">
        <v>45717</v>
      </c>
      <c r="C217" s="367" t="s">
        <v>838</v>
      </c>
      <c r="D217" s="368" t="str">
        <f>+VLOOKUP(C217,Foundation!$C$8:$D$531,2,FALSE)</f>
        <v>DA+3</v>
      </c>
      <c r="E217" s="368" t="str">
        <f>+VLOOKUP(C217,Foundation!$C$8:$E$495,3,FALSE)</f>
        <v>DRY</v>
      </c>
      <c r="F217" s="350">
        <v>45736</v>
      </c>
      <c r="G217" s="350">
        <v>45745</v>
      </c>
      <c r="H217" s="370" t="s">
        <v>897</v>
      </c>
      <c r="I217" s="373"/>
      <c r="J217" s="696">
        <f t="shared" si="6"/>
        <v>38.847605999999992</v>
      </c>
      <c r="K217" s="370"/>
      <c r="M217" s="648">
        <f t="shared" si="7"/>
        <v>9</v>
      </c>
    </row>
    <row r="218" spans="1:13" x14ac:dyDescent="0.2">
      <c r="A218" s="372">
        <f>+SUBTOTAL(3,$G$7:$G218)</f>
        <v>212</v>
      </c>
      <c r="B218" s="366">
        <v>45717</v>
      </c>
      <c r="C218" s="367" t="s">
        <v>726</v>
      </c>
      <c r="D218" s="368" t="str">
        <f>+VLOOKUP(C218,Foundation!$C$8:$D$531,2,FALSE)</f>
        <v>DA+0</v>
      </c>
      <c r="E218" s="368" t="str">
        <f>+VLOOKUP(C218,Foundation!$C$8:$E$495,3,FALSE)</f>
        <v>Sandy</v>
      </c>
      <c r="F218" s="350">
        <v>45742</v>
      </c>
      <c r="G218" s="350">
        <v>45747</v>
      </c>
      <c r="H218" s="370" t="s">
        <v>896</v>
      </c>
      <c r="I218" s="373"/>
      <c r="J218" s="696">
        <f t="shared" si="6"/>
        <v>37.504372000000004</v>
      </c>
      <c r="K218" s="370"/>
      <c r="M218" s="648">
        <f t="shared" si="7"/>
        <v>5</v>
      </c>
    </row>
    <row r="219" spans="1:13" x14ac:dyDescent="0.2">
      <c r="A219" s="372">
        <f>+SUBTOTAL(3,$G$7:$G219)</f>
        <v>213</v>
      </c>
      <c r="B219" s="366">
        <v>45717</v>
      </c>
      <c r="C219" s="367" t="s">
        <v>844</v>
      </c>
      <c r="D219" s="368" t="str">
        <f>+VLOOKUP(C219,Foundation!$C$8:$D$531,2,FALSE)</f>
        <v>DA+3</v>
      </c>
      <c r="E219" s="368" t="str">
        <f>+VLOOKUP(C219,Foundation!$C$8:$E$495,3,FALSE)</f>
        <v>DRY</v>
      </c>
      <c r="F219" s="350">
        <v>45742</v>
      </c>
      <c r="G219" s="350">
        <v>45747</v>
      </c>
      <c r="H219" s="370" t="s">
        <v>893</v>
      </c>
      <c r="I219" s="373"/>
      <c r="J219" s="696">
        <f t="shared" si="6"/>
        <v>38.847605999999992</v>
      </c>
      <c r="K219" s="370"/>
      <c r="M219" s="648">
        <f t="shared" si="7"/>
        <v>5</v>
      </c>
    </row>
    <row r="220" spans="1:13" x14ac:dyDescent="0.2">
      <c r="A220" s="372">
        <f>+SUBTOTAL(3,$G$7:$G220)</f>
        <v>214</v>
      </c>
      <c r="B220" s="366">
        <v>45748</v>
      </c>
      <c r="C220" s="367" t="s">
        <v>689</v>
      </c>
      <c r="D220" s="368" t="str">
        <f>+VLOOKUP(C220,Foundation!$C$8:$D$531,2,FALSE)</f>
        <v>DA+3</v>
      </c>
      <c r="E220" s="368" t="str">
        <f>+VLOOKUP(C220,Foundation!$C$8:$E$495,3,FALSE)</f>
        <v>Sandy</v>
      </c>
      <c r="F220" s="350">
        <v>45747</v>
      </c>
      <c r="G220" s="350">
        <v>45749</v>
      </c>
      <c r="H220" s="370" t="s">
        <v>887</v>
      </c>
      <c r="I220" s="373"/>
      <c r="J220" s="696">
        <f t="shared" si="6"/>
        <v>38.847605999999992</v>
      </c>
      <c r="K220" s="370"/>
      <c r="M220" s="648">
        <f t="shared" si="7"/>
        <v>2</v>
      </c>
    </row>
    <row r="221" spans="1:13" x14ac:dyDescent="0.2">
      <c r="A221" s="372">
        <f>+SUBTOTAL(3,$G$7:$G221)</f>
        <v>215</v>
      </c>
      <c r="B221" s="366">
        <v>45748</v>
      </c>
      <c r="C221" s="380" t="s">
        <v>843</v>
      </c>
      <c r="D221" s="368" t="str">
        <f>+VLOOKUP(C221,Foundation!$C$8:$D$531,2,FALSE)</f>
        <v>DA+3</v>
      </c>
      <c r="E221" s="368" t="str">
        <f>+VLOOKUP(C221,Foundation!$C$8:$E$495,3,FALSE)</f>
        <v>DRY</v>
      </c>
      <c r="F221" s="350">
        <v>45747</v>
      </c>
      <c r="G221" s="350">
        <v>45751</v>
      </c>
      <c r="H221" s="370" t="s">
        <v>893</v>
      </c>
      <c r="I221" s="373"/>
      <c r="J221" s="696">
        <f t="shared" si="6"/>
        <v>38.847605999999992</v>
      </c>
      <c r="K221" s="370"/>
      <c r="M221" s="648">
        <f t="shared" si="7"/>
        <v>4</v>
      </c>
    </row>
    <row r="222" spans="1:13" x14ac:dyDescent="0.2">
      <c r="A222" s="372">
        <f>+SUBTOTAL(3,$G$7:$G222)</f>
        <v>216</v>
      </c>
      <c r="B222" s="366">
        <v>45748</v>
      </c>
      <c r="C222" s="367" t="s">
        <v>688</v>
      </c>
      <c r="D222" s="368" t="str">
        <f>+VLOOKUP(C222,Foundation!$C$8:$D$531,2,FALSE)</f>
        <v>DA+0</v>
      </c>
      <c r="E222" s="368" t="str">
        <f>+VLOOKUP(C222,Foundation!$C$8:$E$495,3,FALSE)</f>
        <v>Sandy</v>
      </c>
      <c r="F222" s="350">
        <v>45750</v>
      </c>
      <c r="G222" s="350">
        <v>45753</v>
      </c>
      <c r="H222" s="370" t="s">
        <v>887</v>
      </c>
      <c r="I222" s="373"/>
      <c r="J222" s="696">
        <f t="shared" si="6"/>
        <v>37.504372000000004</v>
      </c>
      <c r="K222" s="370"/>
      <c r="M222" s="648">
        <f t="shared" si="7"/>
        <v>3</v>
      </c>
    </row>
    <row r="223" spans="1:13" x14ac:dyDescent="0.2">
      <c r="A223" s="372">
        <f>+SUBTOTAL(3,$G$7:$G223)</f>
        <v>217</v>
      </c>
      <c r="B223" s="366">
        <v>45748</v>
      </c>
      <c r="C223" s="367" t="s">
        <v>842</v>
      </c>
      <c r="D223" s="368" t="str">
        <f>+VLOOKUP(C223,Foundation!$C$8:$D$531,2,FALSE)</f>
        <v>DA+3</v>
      </c>
      <c r="E223" s="368" t="str">
        <f>+VLOOKUP(C223,Foundation!$C$8:$E$495,3,FALSE)</f>
        <v>DRY</v>
      </c>
      <c r="F223" s="350">
        <v>45753</v>
      </c>
      <c r="G223" s="350">
        <v>45756</v>
      </c>
      <c r="H223" s="373" t="s">
        <v>893</v>
      </c>
      <c r="I223" s="381"/>
      <c r="J223" s="696">
        <f t="shared" si="6"/>
        <v>38.847605999999992</v>
      </c>
      <c r="K223" s="373"/>
      <c r="M223" s="648">
        <f t="shared" si="7"/>
        <v>3</v>
      </c>
    </row>
    <row r="224" spans="1:13" x14ac:dyDescent="0.2">
      <c r="A224" s="372">
        <f>+SUBTOTAL(3,$G$7:$G224)</f>
        <v>218</v>
      </c>
      <c r="B224" s="366">
        <v>45748</v>
      </c>
      <c r="C224" s="367" t="s">
        <v>725</v>
      </c>
      <c r="D224" s="368" t="str">
        <f>+VLOOKUP(C224,Foundation!$C$8:$D$531,2,FALSE)</f>
        <v>DA+9</v>
      </c>
      <c r="E224" s="368" t="str">
        <f>+VLOOKUP(C224,Foundation!$C$8:$E$495,3,FALSE)</f>
        <v>Sandy</v>
      </c>
      <c r="F224" s="350">
        <v>45749</v>
      </c>
      <c r="G224" s="350">
        <v>45758</v>
      </c>
      <c r="H224" s="370" t="s">
        <v>896</v>
      </c>
      <c r="I224" s="381"/>
      <c r="J224" s="696">
        <f t="shared" si="6"/>
        <v>47.184350000000002</v>
      </c>
      <c r="K224" s="370"/>
      <c r="M224" s="648">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898</v>
      </c>
      <c r="I225" s="381"/>
      <c r="J225" s="696">
        <f t="shared" si="6"/>
        <v>86.129278999999997</v>
      </c>
      <c r="K225" s="373"/>
      <c r="M225" s="648">
        <f t="shared" si="7"/>
        <v>32</v>
      </c>
    </row>
    <row r="226" spans="1:13" x14ac:dyDescent="0.2">
      <c r="A226" s="372">
        <f>+SUBTOTAL(3,$G$7:$G226)</f>
        <v>220</v>
      </c>
      <c r="B226" s="366">
        <v>45748</v>
      </c>
      <c r="C226" s="367" t="s">
        <v>724</v>
      </c>
      <c r="D226" s="368" t="str">
        <f>+VLOOKUP(C226,Foundation!$C$8:$D$531,2,FALSE)</f>
        <v>DB2+9</v>
      </c>
      <c r="E226" s="368" t="str">
        <f>+VLOOKUP(C226,Foundation!$C$8:$E$495,3,FALSE)</f>
        <v>Sandy</v>
      </c>
      <c r="F226" s="350">
        <v>45759</v>
      </c>
      <c r="G226" s="350">
        <v>45775</v>
      </c>
      <c r="H226" s="370" t="s">
        <v>896</v>
      </c>
      <c r="I226" s="381"/>
      <c r="J226" s="696">
        <f t="shared" si="6"/>
        <v>70.701702999999995</v>
      </c>
      <c r="K226" s="370"/>
      <c r="M226" s="648">
        <f t="shared" si="7"/>
        <v>16</v>
      </c>
    </row>
    <row r="227" spans="1:13" x14ac:dyDescent="0.2">
      <c r="A227" s="372">
        <f>+SUBTOTAL(3,$G$7:$G227)</f>
        <v>221</v>
      </c>
      <c r="B227" s="366">
        <v>45778</v>
      </c>
      <c r="C227" s="367" t="s">
        <v>837</v>
      </c>
      <c r="D227" s="368" t="str">
        <f>+VLOOKUP(C227,Foundation!$C$8:$D$531,2,FALSE)</f>
        <v>DA+3</v>
      </c>
      <c r="E227" s="368" t="str">
        <f>+VLOOKUP(C227,Foundation!$C$8:$E$495,3,FALSE)</f>
        <v>DRY</v>
      </c>
      <c r="F227" s="350">
        <v>45774</v>
      </c>
      <c r="G227" s="350">
        <v>45779</v>
      </c>
      <c r="H227" s="370" t="s">
        <v>891</v>
      </c>
      <c r="I227" s="381"/>
      <c r="J227" s="696">
        <f t="shared" si="6"/>
        <v>38.847605999999992</v>
      </c>
      <c r="K227" s="370"/>
      <c r="M227" s="648">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1383</v>
      </c>
      <c r="I228" s="381"/>
      <c r="J228" s="696">
        <f t="shared" si="6"/>
        <v>81.494626999999994</v>
      </c>
      <c r="K228" s="373"/>
      <c r="M228" s="648">
        <f t="shared" si="7"/>
        <v>9</v>
      </c>
    </row>
    <row r="229" spans="1:13" x14ac:dyDescent="0.2">
      <c r="A229" s="372">
        <f>+SUBTOTAL(3,$G$7:$G229)</f>
        <v>223</v>
      </c>
      <c r="B229" s="366">
        <v>45809</v>
      </c>
      <c r="C229" s="367" t="s">
        <v>631</v>
      </c>
      <c r="D229" s="368" t="str">
        <f>+VLOOKUP(C229,Foundation!$C$8:$D$531,2,FALSE)</f>
        <v>DA+3</v>
      </c>
      <c r="E229" s="368" t="str">
        <f>+VLOOKUP(C229,Foundation!$C$8:$E$495,3,FALSE)</f>
        <v>DFR</v>
      </c>
      <c r="F229" s="350">
        <v>45787</v>
      </c>
      <c r="G229" s="350">
        <v>45819</v>
      </c>
      <c r="H229" s="373" t="s">
        <v>1375</v>
      </c>
      <c r="I229" s="381"/>
      <c r="J229" s="696">
        <f t="shared" si="6"/>
        <v>38.847605999999992</v>
      </c>
      <c r="K229" s="373" t="s">
        <v>1393</v>
      </c>
      <c r="M229" s="648">
        <f t="shared" si="7"/>
        <v>32</v>
      </c>
    </row>
    <row r="230" spans="1:13" x14ac:dyDescent="0.2">
      <c r="A230" s="372">
        <f>+SUBTOTAL(3,$G$7:$G230)</f>
        <v>224</v>
      </c>
      <c r="B230" s="366">
        <v>45809</v>
      </c>
      <c r="C230" s="348" t="s">
        <v>633</v>
      </c>
      <c r="D230" s="368" t="str">
        <f>+VLOOKUP(C230,Foundation!$C$8:$D$531,2,FALSE)</f>
        <v>DA+0</v>
      </c>
      <c r="E230" s="368" t="str">
        <f>+VLOOKUP(C230,Foundation!$C$8:$E$495,3,FALSE)</f>
        <v>Sandy</v>
      </c>
      <c r="F230" s="350">
        <v>45819</v>
      </c>
      <c r="G230" s="350">
        <v>45828</v>
      </c>
      <c r="H230" s="373" t="s">
        <v>1375</v>
      </c>
      <c r="I230" s="381"/>
      <c r="J230" s="696">
        <f t="shared" si="6"/>
        <v>37.504372000000004</v>
      </c>
      <c r="K230" s="373" t="s">
        <v>1393</v>
      </c>
      <c r="M230" s="648">
        <f t="shared" si="7"/>
        <v>9</v>
      </c>
    </row>
    <row r="231" spans="1:13" x14ac:dyDescent="0.2">
      <c r="A231" s="372">
        <f>+SUBTOTAL(3,$G$7:$G231)</f>
        <v>225</v>
      </c>
      <c r="B231" s="366">
        <v>45809</v>
      </c>
      <c r="C231" s="348" t="s">
        <v>840</v>
      </c>
      <c r="D231" s="368" t="str">
        <f>+VLOOKUP(C231,Foundation!$C$8:$D$531,2,FALSE)</f>
        <v>DA+3</v>
      </c>
      <c r="E231" s="368" t="str">
        <f>+VLOOKUP(C231,Foundation!$C$8:$E$495,3,FALSE)</f>
        <v>DRY</v>
      </c>
      <c r="F231" s="350">
        <v>45825</v>
      </c>
      <c r="G231" s="350">
        <v>45830</v>
      </c>
      <c r="H231" s="373" t="s">
        <v>1398</v>
      </c>
      <c r="I231" s="381"/>
      <c r="J231" s="696">
        <f t="shared" si="6"/>
        <v>38.847605999999992</v>
      </c>
      <c r="K231" s="373" t="s">
        <v>1399</v>
      </c>
      <c r="M231" s="648">
        <f t="shared" si="7"/>
        <v>5</v>
      </c>
    </row>
    <row r="232" spans="1:13" x14ac:dyDescent="0.2">
      <c r="A232" s="372">
        <f>+SUBTOTAL(3,$G$7:$G232)</f>
        <v>226</v>
      </c>
      <c r="B232" s="366">
        <v>45809</v>
      </c>
      <c r="C232" s="367" t="s">
        <v>839</v>
      </c>
      <c r="D232" s="368" t="str">
        <f>+VLOOKUP(C232,Foundation!$C$8:$D$531,2,FALSE)</f>
        <v>DA+3</v>
      </c>
      <c r="E232" s="368" t="str">
        <f>+VLOOKUP(C232,Foundation!$C$8:$E$495,3,FALSE)</f>
        <v>DRY</v>
      </c>
      <c r="F232" s="350">
        <v>45796</v>
      </c>
      <c r="G232" s="350">
        <v>45836</v>
      </c>
      <c r="H232" s="373" t="s">
        <v>1400</v>
      </c>
      <c r="I232" s="381"/>
      <c r="J232" s="696">
        <f t="shared" si="6"/>
        <v>38.847605999999992</v>
      </c>
      <c r="K232" s="373" t="s">
        <v>1399</v>
      </c>
      <c r="M232" s="648">
        <f t="shared" si="7"/>
        <v>40</v>
      </c>
    </row>
    <row r="233" spans="1:13" x14ac:dyDescent="0.2">
      <c r="A233" s="372">
        <f>+SUBTOTAL(3,$G$7:$G233)</f>
        <v>227</v>
      </c>
      <c r="B233" s="366">
        <v>45809</v>
      </c>
      <c r="C233" s="367" t="s">
        <v>634</v>
      </c>
      <c r="D233" s="368" t="str">
        <f>+VLOOKUP(C233,Foundation!$C$8:$D$531,2,FALSE)</f>
        <v>DA+3</v>
      </c>
      <c r="E233" s="368" t="str">
        <f>+VLOOKUP(C233,Foundation!$C$8:$E$495,3,FALSE)</f>
        <v>Sandy</v>
      </c>
      <c r="F233" s="350">
        <v>45812</v>
      </c>
      <c r="G233" s="350">
        <v>45838</v>
      </c>
      <c r="H233" s="373" t="s">
        <v>1418</v>
      </c>
      <c r="I233" s="381"/>
      <c r="J233" s="696">
        <f t="shared" si="6"/>
        <v>38.847605999999992</v>
      </c>
      <c r="K233" s="373" t="s">
        <v>1393</v>
      </c>
      <c r="M233" s="648">
        <f t="shared" si="7"/>
        <v>26</v>
      </c>
    </row>
    <row r="234" spans="1:13" x14ac:dyDescent="0.2">
      <c r="A234" s="372">
        <f>+SUBTOTAL(3,$G$7:$G234)</f>
        <v>228</v>
      </c>
      <c r="B234" s="366">
        <v>45809</v>
      </c>
      <c r="C234" s="367" t="s">
        <v>835</v>
      </c>
      <c r="D234" s="368" t="str">
        <f>+VLOOKUP(C234,Foundation!$C$8:$D$531,2,FALSE)</f>
        <v>DA+3</v>
      </c>
      <c r="E234" s="368" t="str">
        <f>+VLOOKUP(C234,Foundation!$C$8:$E$495,3,FALSE)</f>
        <v>DRY</v>
      </c>
      <c r="F234" s="350">
        <v>45830</v>
      </c>
      <c r="G234" s="350">
        <v>45838</v>
      </c>
      <c r="H234" s="373" t="s">
        <v>1416</v>
      </c>
      <c r="I234" s="381"/>
      <c r="J234" s="696">
        <f t="shared" si="6"/>
        <v>38.847605999999992</v>
      </c>
      <c r="K234" s="373" t="s">
        <v>1399</v>
      </c>
      <c r="M234" s="648">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1398</v>
      </c>
      <c r="I235" s="381"/>
      <c r="J235" s="696">
        <f t="shared" ref="J235" si="8">+VLOOKUP(D235,$AB$7:$AC$35,2,FALSE)</f>
        <v>38.847605999999992</v>
      </c>
      <c r="K235" s="373" t="s">
        <v>1399</v>
      </c>
      <c r="M235" s="648">
        <f t="shared" si="7"/>
        <v>4</v>
      </c>
    </row>
    <row r="236" spans="1:13" x14ac:dyDescent="0.2">
      <c r="A236" s="372">
        <f>+SUBTOTAL(3,$G$7:$G236)</f>
        <v>230</v>
      </c>
      <c r="B236" s="366">
        <v>45839</v>
      </c>
      <c r="C236" s="367" t="s">
        <v>833</v>
      </c>
      <c r="D236" s="368" t="str">
        <f>+VLOOKUP(C236,Foundation!$C$8:$D$531,2,FALSE)</f>
        <v>DA+3</v>
      </c>
      <c r="E236" s="368" t="str">
        <f>+VLOOKUP(C236,Foundation!$C$8:$E$495,3,FALSE)</f>
        <v>DRY</v>
      </c>
      <c r="F236" s="350">
        <v>45836</v>
      </c>
      <c r="G236" s="350">
        <v>45841</v>
      </c>
      <c r="H236" s="373" t="s">
        <v>1421</v>
      </c>
      <c r="I236" s="381"/>
      <c r="J236" s="696">
        <f t="shared" ref="J236:J246" si="9">+VLOOKUP(D236,$AB$7:$AC$35,2,FALSE)</f>
        <v>38.847605999999992</v>
      </c>
      <c r="K236" s="373" t="s">
        <v>1399</v>
      </c>
      <c r="M236" s="648">
        <f t="shared" si="7"/>
        <v>5</v>
      </c>
    </row>
    <row r="237" spans="1:13" x14ac:dyDescent="0.2">
      <c r="A237" s="372">
        <f>+SUBTOTAL(3,$G$7:$G237)</f>
        <v>231</v>
      </c>
      <c r="B237" s="366">
        <v>45839</v>
      </c>
      <c r="C237" s="367" t="s">
        <v>834</v>
      </c>
      <c r="D237" s="368" t="str">
        <f>+VLOOKUP(C237,Foundation!$C$8:$D$531,2,FALSE)</f>
        <v>DA+3</v>
      </c>
      <c r="E237" s="368" t="str">
        <f>+VLOOKUP(C237,Foundation!$C$8:$E$495,3,FALSE)</f>
        <v>DRY</v>
      </c>
      <c r="F237" s="350">
        <v>45839</v>
      </c>
      <c r="G237" s="350">
        <v>45846</v>
      </c>
      <c r="H237" s="373" t="s">
        <v>1416</v>
      </c>
      <c r="I237" s="381"/>
      <c r="J237" s="696">
        <f t="shared" ref="J237" si="10">+VLOOKUP(D237,$AB$7:$AC$35,2,FALSE)</f>
        <v>38.847605999999992</v>
      </c>
      <c r="K237" s="373" t="s">
        <v>1399</v>
      </c>
      <c r="M237" s="648">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1398</v>
      </c>
      <c r="I238" s="381"/>
      <c r="J238" s="696">
        <f t="shared" ref="J238:J242" si="11">+VLOOKUP(D238,$AB$7:$AC$35,2,FALSE)</f>
        <v>38.847605999999992</v>
      </c>
      <c r="K238" s="373" t="s">
        <v>1399</v>
      </c>
      <c r="M238" s="648">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1421</v>
      </c>
      <c r="I239" s="381"/>
      <c r="J239" s="696">
        <f t="shared" si="11"/>
        <v>66.381106999999986</v>
      </c>
      <c r="K239" s="373" t="s">
        <v>1399</v>
      </c>
      <c r="M239" s="648">
        <f t="shared" si="7"/>
        <v>11</v>
      </c>
    </row>
    <row r="240" spans="1:13" x14ac:dyDescent="0.2">
      <c r="A240" s="372">
        <f>+SUBTOTAL(3,$G$7:$G240)</f>
        <v>234</v>
      </c>
      <c r="B240" s="366">
        <v>45839</v>
      </c>
      <c r="C240" s="367" t="s">
        <v>841</v>
      </c>
      <c r="D240" s="368" t="str">
        <f>+VLOOKUP(C240,Foundation!$C$8:$D$531,2,FALSE)</f>
        <v>DA+3</v>
      </c>
      <c r="E240" s="368" t="str">
        <f>+VLOOKUP(C240,Foundation!$C$8:$E$495,3,FALSE)</f>
        <v>DRY</v>
      </c>
      <c r="F240" s="350">
        <v>45846</v>
      </c>
      <c r="G240" s="350">
        <v>45852</v>
      </c>
      <c r="H240" s="373" t="s">
        <v>1416</v>
      </c>
      <c r="I240" s="381"/>
      <c r="J240" s="696">
        <f t="shared" si="11"/>
        <v>38.847605999999992</v>
      </c>
      <c r="K240" s="373" t="s">
        <v>1399</v>
      </c>
      <c r="M240" s="648">
        <f t="shared" si="7"/>
        <v>6</v>
      </c>
    </row>
    <row r="241" spans="1:13" x14ac:dyDescent="0.2">
      <c r="A241" s="372">
        <f>+SUBTOTAL(3,$G$7:$G241)</f>
        <v>235</v>
      </c>
      <c r="B241" s="366">
        <v>45839</v>
      </c>
      <c r="C241" s="367" t="s">
        <v>635</v>
      </c>
      <c r="D241" s="368" t="str">
        <f>+VLOOKUP(C241,Foundation!$C$8:$D$531,2,FALSE)</f>
        <v>DA+0</v>
      </c>
      <c r="E241" s="368" t="str">
        <f>+VLOOKUP(C241,Foundation!$C$8:$E$495,3,FALSE)</f>
        <v>Sandy</v>
      </c>
      <c r="F241" s="350">
        <v>45819</v>
      </c>
      <c r="G241" s="350">
        <v>45853</v>
      </c>
      <c r="H241" s="373" t="s">
        <v>1418</v>
      </c>
      <c r="I241" s="381"/>
      <c r="J241" s="696">
        <f t="shared" si="11"/>
        <v>37.504372000000004</v>
      </c>
      <c r="K241" s="373" t="s">
        <v>1393</v>
      </c>
      <c r="M241" s="648">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1435</v>
      </c>
      <c r="I242" s="381"/>
      <c r="J242" s="696">
        <f t="shared" si="11"/>
        <v>37.504372000000004</v>
      </c>
      <c r="K242" s="373" t="s">
        <v>1399</v>
      </c>
      <c r="M242" s="648">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2">
        <v>45852</v>
      </c>
      <c r="G243" s="602">
        <v>45859</v>
      </c>
      <c r="H243" s="373" t="s">
        <v>1421</v>
      </c>
      <c r="I243" s="603"/>
      <c r="J243" s="696">
        <f t="shared" si="9"/>
        <v>57.597240999999997</v>
      </c>
      <c r="K243" s="373" t="s">
        <v>1399</v>
      </c>
      <c r="M243" s="648">
        <f t="shared" si="7"/>
        <v>7</v>
      </c>
    </row>
    <row r="244" spans="1:13" x14ac:dyDescent="0.2">
      <c r="A244" s="372">
        <f>+SUBTOTAL(3,$G$7:$G244)</f>
        <v>238</v>
      </c>
      <c r="B244" s="366">
        <v>45839</v>
      </c>
      <c r="C244" s="367" t="s">
        <v>670</v>
      </c>
      <c r="D244" s="368" t="str">
        <f>+VLOOKUP(C244,Foundation!$C$8:$D$531,2,FALSE)</f>
        <v>DA+0</v>
      </c>
      <c r="E244" s="368" t="str">
        <f>+VLOOKUP(C244,Foundation!$C$8:$E$495,3,FALSE)</f>
        <v>Sandy</v>
      </c>
      <c r="F244" s="602">
        <v>45857</v>
      </c>
      <c r="G244" s="602">
        <v>45860</v>
      </c>
      <c r="H244" s="373" t="s">
        <v>1493</v>
      </c>
      <c r="I244" s="603"/>
      <c r="J244" s="696">
        <f t="shared" si="9"/>
        <v>37.504372000000004</v>
      </c>
      <c r="K244" s="373" t="s">
        <v>1399</v>
      </c>
      <c r="M244" s="648">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1435</v>
      </c>
      <c r="I245" s="381"/>
      <c r="J245" s="696">
        <f t="shared" si="9"/>
        <v>37.504372000000004</v>
      </c>
      <c r="K245" s="373" t="s">
        <v>1399</v>
      </c>
      <c r="M245" s="648">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1438</v>
      </c>
      <c r="I246" s="381"/>
      <c r="J246" s="696">
        <f t="shared" si="9"/>
        <v>37.504372000000004</v>
      </c>
      <c r="K246" s="373" t="s">
        <v>1399</v>
      </c>
      <c r="M246" s="648">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1444</v>
      </c>
      <c r="I247" s="381"/>
      <c r="J247" s="696">
        <f t="shared" ref="J247" si="12">+VLOOKUP(D247,$AB$7:$AC$35,2,FALSE)</f>
        <v>38.847605999999992</v>
      </c>
      <c r="K247" s="373" t="s">
        <v>1399</v>
      </c>
      <c r="M247" s="648">
        <f t="shared" si="7"/>
        <v>3</v>
      </c>
    </row>
    <row r="248" spans="1:13" x14ac:dyDescent="0.2">
      <c r="A248" s="372">
        <f>+SUBTOTAL(3,$G$7:$G248)</f>
        <v>242</v>
      </c>
      <c r="B248" s="366">
        <v>45839</v>
      </c>
      <c r="C248" s="367" t="s">
        <v>632</v>
      </c>
      <c r="D248" s="368" t="str">
        <f>+VLOOKUP(C248,Foundation!$C$8:$D$531,2,FALSE)</f>
        <v>DA+0</v>
      </c>
      <c r="E248" s="368" t="str">
        <f>+VLOOKUP(C248,Foundation!$C$8:$E$495,3,FALSE)</f>
        <v>DRY</v>
      </c>
      <c r="F248" s="602">
        <v>45848</v>
      </c>
      <c r="G248" s="350">
        <v>45864</v>
      </c>
      <c r="H248" s="637" t="s">
        <v>1440</v>
      </c>
      <c r="I248" s="381"/>
      <c r="J248" s="696">
        <f t="shared" ref="J248" si="13">+VLOOKUP(D248,$AB$7:$AC$35,2,FALSE)</f>
        <v>37.504372000000004</v>
      </c>
      <c r="K248" s="637" t="s">
        <v>1399</v>
      </c>
      <c r="M248" s="648">
        <f t="shared" si="7"/>
        <v>16</v>
      </c>
    </row>
    <row r="249" spans="1:13" x14ac:dyDescent="0.2">
      <c r="A249" s="372">
        <f>+SUBTOTAL(3,$G$7:$G249)</f>
        <v>243</v>
      </c>
      <c r="B249" s="366">
        <v>45839</v>
      </c>
      <c r="C249" s="367" t="s">
        <v>669</v>
      </c>
      <c r="D249" s="368" t="str">
        <f>+VLOOKUP(C249,Foundation!$C$8:$D$531,2,FALSE)</f>
        <v>DA+0</v>
      </c>
      <c r="E249" s="368" t="str">
        <f>+VLOOKUP(C249,Foundation!$C$8:$E$495,3,FALSE)</f>
        <v>Sandy</v>
      </c>
      <c r="F249" s="350">
        <v>45861</v>
      </c>
      <c r="G249" s="350">
        <v>45864</v>
      </c>
      <c r="H249" s="373" t="s">
        <v>1493</v>
      </c>
      <c r="I249" s="381"/>
      <c r="J249" s="696">
        <f t="shared" ref="J249:J250" si="14">+VLOOKUP(D249,$AB$7:$AC$35,2,FALSE)</f>
        <v>37.504372000000004</v>
      </c>
      <c r="K249" s="373" t="s">
        <v>1399</v>
      </c>
      <c r="M249" s="648">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2">
        <v>45863</v>
      </c>
      <c r="G250" s="350">
        <v>45866</v>
      </c>
      <c r="H250" s="637" t="s">
        <v>1444</v>
      </c>
      <c r="I250" s="381"/>
      <c r="J250" s="696">
        <f t="shared" si="14"/>
        <v>37.504372000000004</v>
      </c>
      <c r="K250" s="637" t="s">
        <v>1399</v>
      </c>
      <c r="M250" s="648">
        <f t="shared" si="7"/>
        <v>3</v>
      </c>
    </row>
    <row r="251" spans="1:13" x14ac:dyDescent="0.2">
      <c r="A251" s="372">
        <f>+SUBTOTAL(3,$G$7:$G251)</f>
        <v>245</v>
      </c>
      <c r="B251" s="366">
        <v>45839</v>
      </c>
      <c r="C251" s="367" t="s">
        <v>671</v>
      </c>
      <c r="D251" s="368" t="str">
        <f>+VLOOKUP(C251,Foundation!$C$8:$D$531,2,FALSE)</f>
        <v>DA+9</v>
      </c>
      <c r="E251" s="368" t="str">
        <f>+VLOOKUP(C251,Foundation!$C$8:$E$495,3,FALSE)</f>
        <v>Sandy</v>
      </c>
      <c r="F251" s="350">
        <v>45861</v>
      </c>
      <c r="G251" s="350">
        <v>45866</v>
      </c>
      <c r="H251" s="373" t="s">
        <v>1493</v>
      </c>
      <c r="I251" s="381"/>
      <c r="J251" s="696">
        <f t="shared" ref="J251:J252" si="15">+VLOOKUP(D251,$AB$7:$AC$35,2,FALSE)</f>
        <v>47.184350000000002</v>
      </c>
      <c r="K251" s="373" t="s">
        <v>1399</v>
      </c>
      <c r="M251" s="648">
        <f t="shared" si="7"/>
        <v>5</v>
      </c>
    </row>
    <row r="252" spans="1:13" x14ac:dyDescent="0.2">
      <c r="A252" s="372">
        <f>+SUBTOTAL(3,$G$7:$G252)</f>
        <v>246</v>
      </c>
      <c r="B252" s="366">
        <v>45839</v>
      </c>
      <c r="C252" s="367" t="s">
        <v>668</v>
      </c>
      <c r="D252" s="368" t="str">
        <f>+VLOOKUP(C252,Foundation!$C$8:$D$531,2,FALSE)</f>
        <v>DA+0</v>
      </c>
      <c r="E252" s="368" t="str">
        <f>+VLOOKUP(C252,Foundation!$C$8:$E$495,3,FALSE)</f>
        <v>Sandy</v>
      </c>
      <c r="F252" s="350">
        <v>45864</v>
      </c>
      <c r="G252" s="350">
        <v>45867</v>
      </c>
      <c r="H252" s="373" t="s">
        <v>1493</v>
      </c>
      <c r="I252" s="381"/>
      <c r="J252" s="696">
        <f t="shared" si="15"/>
        <v>37.504372000000004</v>
      </c>
      <c r="K252" s="373" t="s">
        <v>1399</v>
      </c>
      <c r="M252" s="648">
        <f t="shared" si="7"/>
        <v>3</v>
      </c>
    </row>
    <row r="253" spans="1:13" x14ac:dyDescent="0.2">
      <c r="A253" s="372">
        <f>+SUBTOTAL(3,$G$7:$G253)</f>
        <v>247</v>
      </c>
      <c r="B253" s="366">
        <v>45839</v>
      </c>
      <c r="C253" s="367" t="s">
        <v>627</v>
      </c>
      <c r="D253" s="368" t="str">
        <f>+VLOOKUP(C253,Foundation!$C$8:$D$531,2,FALSE)</f>
        <v>DD60+0</v>
      </c>
      <c r="E253" s="368" t="str">
        <f>+VLOOKUP(C253,Foundation!$C$8:$E$495,3,FALSE)</f>
        <v>DRY</v>
      </c>
      <c r="F253" s="350">
        <v>45839</v>
      </c>
      <c r="G253" s="350">
        <v>45867</v>
      </c>
      <c r="H253" s="373" t="s">
        <v>1496</v>
      </c>
      <c r="I253" s="381"/>
      <c r="J253" s="696">
        <f t="shared" ref="J253:J254" si="16">+VLOOKUP(D253,$AB$7:$AC$35,2,FALSE)</f>
        <v>86.129278999999997</v>
      </c>
      <c r="K253" s="373" t="s">
        <v>1439</v>
      </c>
      <c r="M253" s="648">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2">
        <v>45861</v>
      </c>
      <c r="G254" s="350">
        <v>45868</v>
      </c>
      <c r="H254" s="637" t="s">
        <v>1435</v>
      </c>
      <c r="I254" s="381"/>
      <c r="J254" s="696">
        <f t="shared" si="16"/>
        <v>38.847605999999992</v>
      </c>
      <c r="K254" s="637" t="s">
        <v>1399</v>
      </c>
      <c r="M254" s="648">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2">
        <v>45865</v>
      </c>
      <c r="G255" s="350">
        <v>45869</v>
      </c>
      <c r="H255" s="637" t="s">
        <v>1455</v>
      </c>
      <c r="I255" s="381"/>
      <c r="J255" s="696">
        <f t="shared" ref="J255" si="17">+VLOOKUP(D255,$AB$7:$AC$35,2,FALSE)</f>
        <v>37.504372000000004</v>
      </c>
      <c r="K255" s="637" t="s">
        <v>1399</v>
      </c>
      <c r="M255" s="648">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2">
        <v>45859</v>
      </c>
      <c r="G256" s="350">
        <v>45869</v>
      </c>
      <c r="H256" s="637" t="s">
        <v>1495</v>
      </c>
      <c r="I256" s="381"/>
      <c r="J256" s="696">
        <f t="shared" ref="J256" si="18">+VLOOKUP(D256,$AB$7:$AC$35,2,FALSE)</f>
        <v>38.847605999999992</v>
      </c>
      <c r="K256" s="637" t="s">
        <v>1399</v>
      </c>
      <c r="M256" s="648">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2">
        <v>45865</v>
      </c>
      <c r="G257" s="350">
        <v>45869</v>
      </c>
      <c r="H257" s="637" t="s">
        <v>1456</v>
      </c>
      <c r="I257" s="381"/>
      <c r="J257" s="696">
        <f t="shared" ref="J257" si="19">+VLOOKUP(D257,$AB$7:$AC$35,2,FALSE)</f>
        <v>38.847605999999992</v>
      </c>
      <c r="K257" s="637" t="s">
        <v>1399</v>
      </c>
      <c r="M257" s="648">
        <f t="shared" si="7"/>
        <v>4</v>
      </c>
    </row>
    <row r="258" spans="1:13" x14ac:dyDescent="0.2">
      <c r="A258" s="372">
        <f>+SUBTOTAL(3,$G$7:$G258)</f>
        <v>252</v>
      </c>
      <c r="B258" s="366">
        <v>45870</v>
      </c>
      <c r="C258" s="367" t="s">
        <v>667</v>
      </c>
      <c r="D258" s="368" t="str">
        <f>+VLOOKUP(C258,Foundation!$C$8:$D$531,2,FALSE)</f>
        <v>DB1+3</v>
      </c>
      <c r="E258" s="368" t="str">
        <f>+VLOOKUP(C258,Foundation!$C$8:$E$495,3,FALSE)</f>
        <v>Sandy</v>
      </c>
      <c r="F258" s="350">
        <v>45867</v>
      </c>
      <c r="G258" s="350">
        <v>45872</v>
      </c>
      <c r="H258" s="373" t="s">
        <v>1493</v>
      </c>
      <c r="I258" s="381"/>
      <c r="J258" s="696">
        <f t="shared" ref="J258" si="20">+VLOOKUP(D258,$AB$7:$AC$35,2,FALSE)</f>
        <v>60.096777000000003</v>
      </c>
      <c r="K258" s="373" t="s">
        <v>1399</v>
      </c>
      <c r="M258" s="648">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1446</v>
      </c>
      <c r="I259" s="381"/>
      <c r="J259" s="696">
        <f t="shared" ref="J259:J260" si="21">+VLOOKUP(D259,$AB$7:$AC$35,2,FALSE)</f>
        <v>86.129278999999997</v>
      </c>
      <c r="K259" s="373" t="s">
        <v>1399</v>
      </c>
      <c r="M259" s="648">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1398</v>
      </c>
      <c r="I260" s="381"/>
      <c r="J260" s="696">
        <f t="shared" si="21"/>
        <v>38.847605999999992</v>
      </c>
      <c r="K260" s="373" t="s">
        <v>1399</v>
      </c>
      <c r="M260" s="648">
        <f t="shared" si="7"/>
        <v>5</v>
      </c>
    </row>
    <row r="261" spans="1:13" x14ac:dyDescent="0.2">
      <c r="A261" s="372">
        <f>+SUBTOTAL(3,$G$7:$G261)</f>
        <v>255</v>
      </c>
      <c r="B261" s="366">
        <v>45870</v>
      </c>
      <c r="C261" s="367" t="s">
        <v>674</v>
      </c>
      <c r="D261" s="368" t="str">
        <f>+VLOOKUP(C261,Foundation!$C$8:$D$531,2,FALSE)</f>
        <v>DA+9</v>
      </c>
      <c r="E261" s="368" t="str">
        <f>+VLOOKUP(C261,Foundation!$C$8:$E$495,3,FALSE)</f>
        <v>Sandy</v>
      </c>
      <c r="F261" s="350">
        <v>45866</v>
      </c>
      <c r="G261" s="350">
        <v>45872</v>
      </c>
      <c r="H261" s="373" t="s">
        <v>1493</v>
      </c>
      <c r="I261" s="381"/>
      <c r="J261" s="696">
        <f t="shared" ref="J261" si="22">+VLOOKUP(D261,$AB$7:$AC$35,2,FALSE)</f>
        <v>47.184350000000002</v>
      </c>
      <c r="K261" s="373" t="s">
        <v>1399</v>
      </c>
      <c r="M261" s="648">
        <f t="shared" si="7"/>
        <v>6</v>
      </c>
    </row>
    <row r="262" spans="1:13" x14ac:dyDescent="0.2">
      <c r="A262" s="372">
        <f>+SUBTOTAL(3,$G$7:$G262)</f>
        <v>256</v>
      </c>
      <c r="B262" s="366">
        <v>45870</v>
      </c>
      <c r="C262" s="367" t="s">
        <v>687</v>
      </c>
      <c r="D262" s="368" t="str">
        <f>+VLOOKUP(C262,Foundation!$C$8:$D$531,2,FALSE)</f>
        <v>DA+3</v>
      </c>
      <c r="E262" s="368" t="str">
        <f>+VLOOKUP(C262,Foundation!$C$8:$E$495,3,FALSE)</f>
        <v>Sandy</v>
      </c>
      <c r="F262" s="350">
        <v>45864</v>
      </c>
      <c r="G262" s="350">
        <v>45874</v>
      </c>
      <c r="H262" s="373" t="s">
        <v>1494</v>
      </c>
      <c r="I262" s="381"/>
      <c r="J262" s="696">
        <f t="shared" ref="J262" si="23">+VLOOKUP(D262,$AB$7:$AC$35,2,FALSE)</f>
        <v>38.847605999999992</v>
      </c>
      <c r="K262" s="373" t="s">
        <v>1399</v>
      </c>
      <c r="M262" s="648">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2">
        <v>45870</v>
      </c>
      <c r="G263" s="350">
        <v>45874</v>
      </c>
      <c r="H263" s="637" t="s">
        <v>1457</v>
      </c>
      <c r="I263" s="381"/>
      <c r="J263" s="696">
        <f t="shared" ref="J263" si="24">+VLOOKUP(D263,$AB$7:$AC$35,2,FALSE)</f>
        <v>37.504372000000004</v>
      </c>
      <c r="K263" s="637" t="s">
        <v>1399</v>
      </c>
      <c r="M263" s="648">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1456</v>
      </c>
      <c r="I264" s="381"/>
      <c r="J264" s="696">
        <f t="shared" ref="J264:J265" si="25">+VLOOKUP(D264,$AB$7:$AC$35,2,FALSE)</f>
        <v>38.847605999999992</v>
      </c>
      <c r="K264" s="373" t="s">
        <v>1399</v>
      </c>
      <c r="M264" s="648">
        <f t="shared" ref="M264:M327" si="26">G264-F264</f>
        <v>5</v>
      </c>
    </row>
    <row r="265" spans="1:13" x14ac:dyDescent="0.2">
      <c r="A265" s="372">
        <f>+SUBTOTAL(3,$G$7:$G265)</f>
        <v>259</v>
      </c>
      <c r="B265" s="366">
        <v>45870</v>
      </c>
      <c r="C265" s="367" t="s">
        <v>677</v>
      </c>
      <c r="D265" s="368" t="str">
        <f>+VLOOKUP(C265,Foundation!$C$8:$D$531,2,FALSE)</f>
        <v>DB1+9</v>
      </c>
      <c r="E265" s="368" t="str">
        <f>+VLOOKUP(C265,Foundation!$C$8:$E$495,3,FALSE)</f>
        <v>Sandy</v>
      </c>
      <c r="F265" s="350">
        <v>45866</v>
      </c>
      <c r="G265" s="350">
        <v>45875</v>
      </c>
      <c r="H265" s="373" t="s">
        <v>1493</v>
      </c>
      <c r="I265" s="381"/>
      <c r="J265" s="696">
        <f t="shared" si="25"/>
        <v>70.701702999999995</v>
      </c>
      <c r="K265" s="373" t="s">
        <v>1399</v>
      </c>
      <c r="M265" s="648">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1455</v>
      </c>
      <c r="I266" s="381"/>
      <c r="J266" s="696">
        <f t="shared" ref="J266:J267" si="27">+VLOOKUP(D266,$AB$7:$AC$35,2,FALSE)</f>
        <v>37.504372000000004</v>
      </c>
      <c r="K266" s="373" t="s">
        <v>1399</v>
      </c>
      <c r="M266" s="648">
        <f t="shared" si="26"/>
        <v>9</v>
      </c>
    </row>
    <row r="267" spans="1:13" x14ac:dyDescent="0.2">
      <c r="A267" s="372">
        <f>+SUBTOTAL(3,$G$7:$G267)</f>
        <v>261</v>
      </c>
      <c r="B267" s="366">
        <v>45870</v>
      </c>
      <c r="C267" s="367" t="s">
        <v>672</v>
      </c>
      <c r="D267" s="368" t="str">
        <f>+VLOOKUP(C267,Foundation!$C$8:$D$531,2,FALSE)</f>
        <v>DA+9</v>
      </c>
      <c r="E267" s="368" t="str">
        <f>+VLOOKUP(C267,Foundation!$C$8:$E$495,3,FALSE)</f>
        <v>Sandy</v>
      </c>
      <c r="F267" s="350">
        <v>45873</v>
      </c>
      <c r="G267" s="350">
        <v>45878</v>
      </c>
      <c r="H267" s="373" t="s">
        <v>1493</v>
      </c>
      <c r="I267" s="381"/>
      <c r="J267" s="696">
        <f t="shared" si="27"/>
        <v>47.184350000000002</v>
      </c>
      <c r="K267" s="373" t="s">
        <v>1399</v>
      </c>
      <c r="M267" s="648">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1375</v>
      </c>
      <c r="I268" s="381"/>
      <c r="J268" s="696">
        <f t="shared" ref="J268:J269" si="28">+VLOOKUP(D268,$AB$7:$AC$35,2,FALSE)</f>
        <v>37.504372000000004</v>
      </c>
      <c r="K268" s="373" t="s">
        <v>1399</v>
      </c>
      <c r="M268" s="648">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1398</v>
      </c>
      <c r="I269" s="381"/>
      <c r="J269" s="696">
        <f t="shared" si="28"/>
        <v>37.504372000000004</v>
      </c>
      <c r="K269" s="373" t="s">
        <v>1399</v>
      </c>
      <c r="M269" s="648">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1398</v>
      </c>
      <c r="I270" s="381"/>
      <c r="J270" s="696">
        <f t="shared" ref="J270" si="29">+VLOOKUP(D270,$AB$7:$AC$35,2,FALSE)</f>
        <v>57.597240999999997</v>
      </c>
      <c r="K270" s="373" t="s">
        <v>1399</v>
      </c>
      <c r="M270" s="648">
        <f t="shared" si="26"/>
        <v>13</v>
      </c>
    </row>
    <row r="271" spans="1:13" x14ac:dyDescent="0.2">
      <c r="A271" s="372">
        <f>+SUBTOTAL(3,$G$7:$G271)</f>
        <v>265</v>
      </c>
      <c r="B271" s="366">
        <v>45870</v>
      </c>
      <c r="C271" s="367" t="s">
        <v>747</v>
      </c>
      <c r="D271" s="368" t="str">
        <f>+VLOOKUP(C271,Foundation!$C$8:$D$531,2,FALSE)</f>
        <v>DA+6</v>
      </c>
      <c r="E271" s="368" t="str">
        <f>+VLOOKUP(C271,Foundation!$C$8:$E$495,3,FALSE)</f>
        <v>Sandy</v>
      </c>
      <c r="F271" s="350">
        <v>45876</v>
      </c>
      <c r="G271" s="350">
        <v>45882</v>
      </c>
      <c r="H271" s="382" t="s">
        <v>1492</v>
      </c>
      <c r="I271" s="381"/>
      <c r="J271" s="696">
        <f t="shared" ref="J271" si="30">+VLOOKUP(D271,$AB$7:$AC$35,2,FALSE)</f>
        <v>45.413028000000004</v>
      </c>
      <c r="K271" s="382" t="s">
        <v>1399</v>
      </c>
      <c r="M271" s="648">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1497</v>
      </c>
      <c r="I272" s="381"/>
      <c r="J272" s="696">
        <f t="shared" ref="J272" si="31">+VLOOKUP(D272,$AB$7:$AC$35,2,FALSE)</f>
        <v>66.381106999999986</v>
      </c>
      <c r="K272" s="382" t="s">
        <v>1399</v>
      </c>
      <c r="M272" s="648">
        <f t="shared" si="26"/>
        <v>15</v>
      </c>
    </row>
    <row r="273" spans="1:13" x14ac:dyDescent="0.2">
      <c r="A273" s="372">
        <f>+SUBTOTAL(3,$G$7:$G273)</f>
        <v>267</v>
      </c>
      <c r="B273" s="366">
        <v>45870</v>
      </c>
      <c r="C273" s="367" t="s">
        <v>673</v>
      </c>
      <c r="D273" s="368" t="str">
        <f>+VLOOKUP(C273,Foundation!$C$8:$D$531,2,FALSE)</f>
        <v>DB1+3</v>
      </c>
      <c r="E273" s="368" t="str">
        <f>+VLOOKUP(C273,Foundation!$C$8:$E$495,3,FALSE)</f>
        <v>Sandy</v>
      </c>
      <c r="F273" s="350">
        <v>45878</v>
      </c>
      <c r="G273" s="350">
        <v>45885</v>
      </c>
      <c r="H273" s="382" t="s">
        <v>1493</v>
      </c>
      <c r="I273" s="381"/>
      <c r="J273" s="696">
        <f t="shared" ref="J273:J277" si="32">+VLOOKUP(D273,$AB$7:$AC$35,2,FALSE)</f>
        <v>60.096777000000003</v>
      </c>
      <c r="K273" s="382" t="s">
        <v>1399</v>
      </c>
      <c r="M273" s="648">
        <f t="shared" si="26"/>
        <v>7</v>
      </c>
    </row>
    <row r="274" spans="1:13" x14ac:dyDescent="0.2">
      <c r="A274" s="372">
        <f>+SUBTOTAL(3,$G$7:$G274)</f>
        <v>268</v>
      </c>
      <c r="B274" s="366">
        <v>45870</v>
      </c>
      <c r="C274" s="367" t="s">
        <v>682</v>
      </c>
      <c r="D274" s="368" t="str">
        <f>+VLOOKUP(C274,Foundation!$C$8:$D$531,2,FALSE)</f>
        <v>DA+9</v>
      </c>
      <c r="E274" s="368" t="str">
        <f>+VLOOKUP(C274,Foundation!$C$8:$E$495,3,FALSE)</f>
        <v>Sandy</v>
      </c>
      <c r="F274" s="350">
        <v>45873</v>
      </c>
      <c r="G274" s="350">
        <v>45885</v>
      </c>
      <c r="H274" s="382" t="s">
        <v>1494</v>
      </c>
      <c r="I274" s="381"/>
      <c r="J274" s="696">
        <f t="shared" si="32"/>
        <v>47.184350000000002</v>
      </c>
      <c r="K274" s="382" t="s">
        <v>1399</v>
      </c>
      <c r="M274" s="648">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1500</v>
      </c>
      <c r="I275" s="381"/>
      <c r="J275" s="696">
        <f t="shared" si="32"/>
        <v>38.847605999999992</v>
      </c>
      <c r="K275" s="382" t="s">
        <v>1399</v>
      </c>
      <c r="M275" s="648">
        <f t="shared" si="26"/>
        <v>7</v>
      </c>
    </row>
    <row r="276" spans="1:13" x14ac:dyDescent="0.2">
      <c r="A276" s="372">
        <f>+SUBTOTAL(3,$G$7:$G276)</f>
        <v>270</v>
      </c>
      <c r="B276" s="366">
        <v>45870</v>
      </c>
      <c r="C276" s="367" t="s">
        <v>679</v>
      </c>
      <c r="D276" s="368" t="str">
        <f>+VLOOKUP(C276,Foundation!$C$8:$D$531,2,FALSE)</f>
        <v>DC2+0</v>
      </c>
      <c r="E276" s="368" t="str">
        <f>+VLOOKUP(C276,Foundation!$C$8:$E$495,3,FALSE)</f>
        <v>Sandy</v>
      </c>
      <c r="F276" s="350">
        <v>45875</v>
      </c>
      <c r="G276" s="350">
        <v>45886</v>
      </c>
      <c r="H276" s="382" t="s">
        <v>1454</v>
      </c>
      <c r="I276" s="381"/>
      <c r="J276" s="696">
        <f t="shared" si="32"/>
        <v>66.381106999999986</v>
      </c>
      <c r="K276" s="382" t="s">
        <v>1399</v>
      </c>
      <c r="M276" s="648">
        <f t="shared" si="26"/>
        <v>11</v>
      </c>
    </row>
    <row r="277" spans="1:13" x14ac:dyDescent="0.2">
      <c r="A277" s="372">
        <f>+SUBTOTAL(3,$G$7:$G277)</f>
        <v>271</v>
      </c>
      <c r="B277" s="366">
        <v>45870</v>
      </c>
      <c r="C277" s="367" t="s">
        <v>746</v>
      </c>
      <c r="D277" s="368" t="str">
        <f>+VLOOKUP(C277,Foundation!$C$8:$D$531,2,FALSE)</f>
        <v>DA+0</v>
      </c>
      <c r="E277" s="368" t="str">
        <f>+VLOOKUP(C277,Foundation!$C$8:$E$495,3,FALSE)</f>
        <v>Sandy</v>
      </c>
      <c r="F277" s="350">
        <v>45882</v>
      </c>
      <c r="G277" s="350">
        <v>45886</v>
      </c>
      <c r="H277" s="382" t="s">
        <v>1492</v>
      </c>
      <c r="I277" s="381"/>
      <c r="J277" s="696">
        <f t="shared" si="32"/>
        <v>37.504372000000004</v>
      </c>
      <c r="K277" s="382" t="s">
        <v>1399</v>
      </c>
      <c r="M277" s="648">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1488</v>
      </c>
      <c r="I278" s="381"/>
      <c r="J278" s="696">
        <f t="shared" ref="J278" si="33">+VLOOKUP(D278,$AB$7:$AC$35,2,FALSE)</f>
        <v>38.847605999999992</v>
      </c>
      <c r="K278" s="382" t="s">
        <v>1399</v>
      </c>
      <c r="M278" s="648">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1456</v>
      </c>
      <c r="I279" s="381"/>
      <c r="J279" s="696">
        <f t="shared" ref="J279" si="34">+VLOOKUP(D279,$AB$7:$AC$35,2,FALSE)</f>
        <v>38.847605999999992</v>
      </c>
      <c r="K279" s="382" t="s">
        <v>1399</v>
      </c>
      <c r="M279" s="648">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1498</v>
      </c>
      <c r="I280" s="381"/>
      <c r="J280" s="696">
        <f t="shared" ref="J280" si="35">+VLOOKUP(D280,$AB$7:$AC$35,2,FALSE)</f>
        <v>38.847605999999992</v>
      </c>
      <c r="K280" s="382" t="s">
        <v>1399</v>
      </c>
      <c r="M280" s="648">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1503</v>
      </c>
      <c r="I281" s="381"/>
      <c r="J281" s="696">
        <f t="shared" ref="J281:J282" si="36">+VLOOKUP(D281,$AB$7:$AC$35,2,FALSE)</f>
        <v>38.847605999999992</v>
      </c>
      <c r="K281" s="382" t="s">
        <v>1399</v>
      </c>
      <c r="M281" s="648">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1506</v>
      </c>
      <c r="I282" s="381"/>
      <c r="J282" s="696">
        <f t="shared" si="36"/>
        <v>38.847605999999992</v>
      </c>
      <c r="K282" s="382" t="s">
        <v>1399</v>
      </c>
      <c r="M282" s="648">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1398</v>
      </c>
      <c r="I283" s="381"/>
      <c r="J283" s="696">
        <f t="shared" ref="J283" si="37">+VLOOKUP(D283,$AB$7:$AC$35,2,FALSE)</f>
        <v>47.184350000000002</v>
      </c>
      <c r="K283" s="382" t="s">
        <v>1399</v>
      </c>
      <c r="M283" s="648">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1489</v>
      </c>
      <c r="I284" s="381"/>
      <c r="J284" s="696">
        <f t="shared" ref="J284" si="38">+VLOOKUP(D284,$AB$7:$AC$35,2,FALSE)</f>
        <v>38.847605999999992</v>
      </c>
      <c r="K284" s="382" t="s">
        <v>1399</v>
      </c>
      <c r="M284" s="648">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1440</v>
      </c>
      <c r="I285" s="381"/>
      <c r="J285" s="696">
        <f t="shared" ref="J285" si="39">+VLOOKUP(D285,$AB$7:$AC$35,2,FALSE)</f>
        <v>86.129278999999997</v>
      </c>
      <c r="K285" s="382" t="s">
        <v>1399</v>
      </c>
      <c r="M285" s="648">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1501</v>
      </c>
      <c r="I286" s="381"/>
      <c r="J286" s="696">
        <f t="shared" ref="J286" si="40">+VLOOKUP(D286,$AB$7:$AC$35,2,FALSE)</f>
        <v>70.701702999999995</v>
      </c>
      <c r="K286" s="382" t="s">
        <v>1399</v>
      </c>
      <c r="M286" s="648">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1456</v>
      </c>
      <c r="I287" s="381"/>
      <c r="J287" s="696">
        <f t="shared" ref="J287" si="41">+VLOOKUP(D287,$AB$7:$AC$35,2,FALSE)</f>
        <v>37.504372000000004</v>
      </c>
      <c r="K287" s="382" t="s">
        <v>1399</v>
      </c>
      <c r="M287" s="648">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1375</v>
      </c>
      <c r="I288" s="381"/>
      <c r="J288" s="696">
        <f t="shared" ref="J288" si="42">+VLOOKUP(D288,$AB$7:$AC$35,2,FALSE)</f>
        <v>37.504372000000004</v>
      </c>
      <c r="K288" s="382" t="s">
        <v>1399</v>
      </c>
      <c r="M288" s="648">
        <f t="shared" si="26"/>
        <v>23</v>
      </c>
    </row>
    <row r="289" spans="1:13" x14ac:dyDescent="0.2">
      <c r="A289" s="372">
        <f>+SUBTOTAL(3,$G$7:$G289)</f>
        <v>283</v>
      </c>
      <c r="B289" s="366">
        <v>45870</v>
      </c>
      <c r="C289" s="367" t="s">
        <v>684</v>
      </c>
      <c r="D289" s="368" t="str">
        <f>+VLOOKUP(C289,Foundation!$C$8:$D$531,2,FALSE)</f>
        <v>DA+3</v>
      </c>
      <c r="E289" s="368" t="str">
        <f>+VLOOKUP(C289,Foundation!$C$8:$E$495,3,FALSE)</f>
        <v>Sandy</v>
      </c>
      <c r="F289" s="350">
        <v>45875</v>
      </c>
      <c r="G289" s="350">
        <v>45891</v>
      </c>
      <c r="H289" s="382" t="s">
        <v>1494</v>
      </c>
      <c r="I289" s="381"/>
      <c r="J289" s="696">
        <f t="shared" ref="J289" si="43">+VLOOKUP(D289,$AB$7:$AC$35,2,FALSE)</f>
        <v>38.847605999999992</v>
      </c>
      <c r="K289" s="382" t="s">
        <v>1399</v>
      </c>
      <c r="M289" s="648">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1507</v>
      </c>
      <c r="I290" s="381"/>
      <c r="J290" s="696">
        <f t="shared" ref="J290" si="44">+VLOOKUP(D290,$AB$7:$AC$35,2,FALSE)</f>
        <v>38.847605999999992</v>
      </c>
      <c r="K290" s="382" t="s">
        <v>1399</v>
      </c>
      <c r="M290" s="648">
        <f t="shared" si="26"/>
        <v>7</v>
      </c>
    </row>
    <row r="291" spans="1:13" x14ac:dyDescent="0.2">
      <c r="A291" s="372">
        <f>+SUBTOTAL(3,$G$7:$G291)</f>
        <v>285</v>
      </c>
      <c r="B291" s="366">
        <v>45870</v>
      </c>
      <c r="C291" s="367" t="s">
        <v>676</v>
      </c>
      <c r="D291" s="368" t="str">
        <f>+VLOOKUP(C291,Foundation!$C$8:$D$531,2,FALSE)</f>
        <v>DA+9</v>
      </c>
      <c r="E291" s="368" t="str">
        <f>+VLOOKUP(C291,Foundation!$C$8:$E$495,3,FALSE)</f>
        <v>Sandy</v>
      </c>
      <c r="F291" s="350">
        <v>45886</v>
      </c>
      <c r="G291" s="350">
        <v>45893</v>
      </c>
      <c r="H291" s="382" t="s">
        <v>1493</v>
      </c>
      <c r="I291" s="381"/>
      <c r="J291" s="696">
        <f t="shared" ref="J291:J293" si="45">+VLOOKUP(D291,$AB$7:$AC$35,2,FALSE)</f>
        <v>47.184350000000002</v>
      </c>
      <c r="K291" s="382" t="s">
        <v>1399</v>
      </c>
      <c r="M291" s="648">
        <f t="shared" si="26"/>
        <v>7</v>
      </c>
    </row>
    <row r="292" spans="1:13" x14ac:dyDescent="0.2">
      <c r="A292" s="372">
        <f>+SUBTOTAL(3,$G$7:$G292)</f>
        <v>286</v>
      </c>
      <c r="B292" s="366">
        <v>45870</v>
      </c>
      <c r="C292" s="367" t="s">
        <v>740</v>
      </c>
      <c r="D292" s="368" t="str">
        <f>+VLOOKUP(C292,Foundation!$C$8:$D$531,2,FALSE)</f>
        <v>DA+0</v>
      </c>
      <c r="E292" s="368" t="str">
        <f>+VLOOKUP(C292,Foundation!$C$8:$E$495,3,FALSE)</f>
        <v>WFR</v>
      </c>
      <c r="F292" s="350">
        <v>45886</v>
      </c>
      <c r="G292" s="350">
        <v>45893</v>
      </c>
      <c r="H292" s="382" t="s">
        <v>1383</v>
      </c>
      <c r="I292" s="381"/>
      <c r="J292" s="696">
        <f t="shared" si="45"/>
        <v>37.504372000000004</v>
      </c>
      <c r="K292" s="382" t="s">
        <v>1399</v>
      </c>
      <c r="M292" s="648">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1500</v>
      </c>
      <c r="I293" s="381"/>
      <c r="J293" s="696">
        <f t="shared" si="45"/>
        <v>38.847605999999992</v>
      </c>
      <c r="K293" s="373" t="s">
        <v>1399</v>
      </c>
      <c r="M293" s="648">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1398</v>
      </c>
      <c r="I294" s="381"/>
      <c r="J294" s="696">
        <f t="shared" ref="J294" si="46">+VLOOKUP(D294,$AB$7:$AC$35,2,FALSE)</f>
        <v>37.504372000000004</v>
      </c>
      <c r="K294" s="373" t="s">
        <v>1399</v>
      </c>
      <c r="M294" s="648">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1504</v>
      </c>
      <c r="I295" s="381"/>
      <c r="J295" s="696">
        <f t="shared" ref="J295" si="47">+VLOOKUP(D295,$AB$7:$AC$35,2,FALSE)</f>
        <v>66.381106999999986</v>
      </c>
      <c r="K295" s="373" t="s">
        <v>1399</v>
      </c>
      <c r="M295" s="648">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1508</v>
      </c>
      <c r="I296" s="381"/>
      <c r="J296" s="696">
        <f t="shared" ref="J296" si="48">+VLOOKUP(D296,$AB$7:$AC$35,2,FALSE)</f>
        <v>37.504372000000004</v>
      </c>
      <c r="K296" s="373" t="s">
        <v>1399</v>
      </c>
      <c r="M296" s="648">
        <f t="shared" si="26"/>
        <v>5</v>
      </c>
    </row>
    <row r="297" spans="1:13" x14ac:dyDescent="0.2">
      <c r="A297" s="372">
        <f>+SUBTOTAL(3,$G$7:$G297)</f>
        <v>291</v>
      </c>
      <c r="B297" s="366">
        <v>45870</v>
      </c>
      <c r="C297" s="367" t="s">
        <v>749</v>
      </c>
      <c r="D297" s="368" t="str">
        <f>+VLOOKUP(C297,Foundation!$C$8:$D$531,2,FALSE)</f>
        <v>DA+3</v>
      </c>
      <c r="E297" s="368" t="str">
        <f>+VLOOKUP(C297,Foundation!$C$8:$E$495,3,FALSE)</f>
        <v>DRY</v>
      </c>
      <c r="F297" s="350">
        <v>45890</v>
      </c>
      <c r="G297" s="350">
        <v>45894</v>
      </c>
      <c r="H297" s="373" t="s">
        <v>887</v>
      </c>
      <c r="I297" s="381"/>
      <c r="J297" s="696">
        <f t="shared" ref="J297" si="49">+VLOOKUP(D297,$AB$7:$AC$35,2,FALSE)</f>
        <v>38.847605999999992</v>
      </c>
      <c r="K297" s="373" t="s">
        <v>1399</v>
      </c>
      <c r="M297" s="648">
        <f t="shared" si="26"/>
        <v>4</v>
      </c>
    </row>
    <row r="298" spans="1:13" x14ac:dyDescent="0.2">
      <c r="A298" s="372">
        <f>+SUBTOTAL(3,$G$7:$G298)</f>
        <v>292</v>
      </c>
      <c r="B298" s="366">
        <v>45870</v>
      </c>
      <c r="C298" s="367" t="s">
        <v>678</v>
      </c>
      <c r="D298" s="368" t="str">
        <f>+VLOOKUP(C298,Foundation!$C$8:$D$531,2,FALSE)</f>
        <v>DA+0</v>
      </c>
      <c r="E298" s="368" t="str">
        <f>+VLOOKUP(C298,Foundation!$C$8:$E$495,3,FALSE)</f>
        <v>Sandy</v>
      </c>
      <c r="F298" s="350">
        <v>45888</v>
      </c>
      <c r="G298" s="350">
        <v>45894</v>
      </c>
      <c r="H298" s="373" t="s">
        <v>893</v>
      </c>
      <c r="I298" s="381"/>
      <c r="J298" s="696">
        <f t="shared" ref="J298" si="50">+VLOOKUP(D298,$AB$7:$AC$35,2,FALSE)</f>
        <v>37.504372000000004</v>
      </c>
      <c r="K298" s="373" t="s">
        <v>1399</v>
      </c>
      <c r="M298" s="648">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1456</v>
      </c>
      <c r="I299" s="381"/>
      <c r="J299" s="696">
        <f t="shared" ref="J299" si="51">+VLOOKUP(D299,$AB$7:$AC$35,2,FALSE)</f>
        <v>37.504372000000004</v>
      </c>
      <c r="K299" s="373" t="s">
        <v>1399</v>
      </c>
      <c r="M299" s="648">
        <f t="shared" si="26"/>
        <v>4</v>
      </c>
    </row>
    <row r="300" spans="1:13" x14ac:dyDescent="0.2">
      <c r="A300" s="372">
        <f>+SUBTOTAL(3,$G$7:$G300)</f>
        <v>294</v>
      </c>
      <c r="B300" s="366">
        <v>45870</v>
      </c>
      <c r="C300" s="367" t="s">
        <v>683</v>
      </c>
      <c r="D300" s="368" t="str">
        <f>+VLOOKUP(C300,Foundation!$C$8:$D$531,2,FALSE)</f>
        <v>DA+9</v>
      </c>
      <c r="E300" s="368" t="str">
        <f>+VLOOKUP(C300,Foundation!$C$8:$E$495,3,FALSE)</f>
        <v>Sandy</v>
      </c>
      <c r="F300" s="350">
        <v>45886</v>
      </c>
      <c r="G300" s="350">
        <v>45898</v>
      </c>
      <c r="H300" s="373" t="s">
        <v>1494</v>
      </c>
      <c r="I300" s="381"/>
      <c r="J300" s="696">
        <f t="shared" ref="J300:J301" si="52">+VLOOKUP(D300,$AB$7:$AC$35,2,FALSE)</f>
        <v>47.184350000000002</v>
      </c>
      <c r="K300" s="373" t="s">
        <v>1399</v>
      </c>
      <c r="M300" s="648">
        <f t="shared" si="26"/>
        <v>12</v>
      </c>
    </row>
    <row r="301" spans="1:13" x14ac:dyDescent="0.2">
      <c r="A301" s="372">
        <f>+SUBTOTAL(3,$G$7:$G301)</f>
        <v>295</v>
      </c>
      <c r="B301" s="366">
        <v>45870</v>
      </c>
      <c r="C301" s="367" t="s">
        <v>748</v>
      </c>
      <c r="D301" s="368" t="str">
        <f>+VLOOKUP(C301,Foundation!$C$8:$D$531,2,FALSE)</f>
        <v>DA+0</v>
      </c>
      <c r="E301" s="368" t="str">
        <f>+VLOOKUP(C301,Foundation!$C$8:$E$495,3,FALSE)</f>
        <v>Sandy</v>
      </c>
      <c r="F301" s="350">
        <v>45890</v>
      </c>
      <c r="G301" s="350">
        <v>45898</v>
      </c>
      <c r="H301" s="373" t="s">
        <v>887</v>
      </c>
      <c r="I301" s="381"/>
      <c r="J301" s="696">
        <f t="shared" si="52"/>
        <v>37.504372000000004</v>
      </c>
      <c r="K301" s="373" t="s">
        <v>1399</v>
      </c>
      <c r="M301" s="648">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1511</v>
      </c>
      <c r="I302" s="381"/>
      <c r="J302" s="696">
        <f t="shared" ref="J302" si="53">+VLOOKUP(D302,$AB$7:$AC$35,2,FALSE)</f>
        <v>37.504372000000004</v>
      </c>
      <c r="K302" s="373" t="s">
        <v>1399</v>
      </c>
      <c r="M302" s="648">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1513</v>
      </c>
      <c r="I303" s="381"/>
      <c r="J303" s="696">
        <f t="shared" ref="J303" si="54">+VLOOKUP(D303,$AB$7:$AC$35,2,FALSE)</f>
        <v>38.847605999999992</v>
      </c>
      <c r="K303" s="373" t="s">
        <v>1399</v>
      </c>
      <c r="M303" s="648">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896</v>
      </c>
      <c r="I304" s="381"/>
      <c r="J304" s="696">
        <f t="shared" ref="J304" si="55">+VLOOKUP(D304,$AB$7:$AC$35,2,FALSE)</f>
        <v>37.504372000000004</v>
      </c>
      <c r="K304" s="373" t="s">
        <v>1399</v>
      </c>
      <c r="M304" s="648">
        <f t="shared" si="26"/>
        <v>8</v>
      </c>
    </row>
    <row r="305" spans="1:13" x14ac:dyDescent="0.2">
      <c r="A305" s="372">
        <f>+SUBTOTAL(3,$G$7:$G305)</f>
        <v>299</v>
      </c>
      <c r="B305" s="366">
        <v>45870</v>
      </c>
      <c r="C305" s="367" t="s">
        <v>716</v>
      </c>
      <c r="D305" s="368" t="str">
        <f>+VLOOKUP(C305,Foundation!$C$8:$D$531,2,FALSE)</f>
        <v>DA+9</v>
      </c>
      <c r="E305" s="368" t="str">
        <f>+VLOOKUP(C305,Foundation!$C$8:$E$495,3,FALSE)</f>
        <v>Sandy</v>
      </c>
      <c r="F305" s="350">
        <v>45886</v>
      </c>
      <c r="G305" s="350">
        <v>45899</v>
      </c>
      <c r="H305" s="373" t="s">
        <v>894</v>
      </c>
      <c r="I305" s="381"/>
      <c r="J305" s="696">
        <f t="shared" ref="J305" si="56">+VLOOKUP(D305,$AB$7:$AC$35,2,FALSE)</f>
        <v>47.184350000000002</v>
      </c>
      <c r="K305" s="373" t="s">
        <v>1399</v>
      </c>
      <c r="M305" s="648">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1375</v>
      </c>
      <c r="I306" s="381"/>
      <c r="J306" s="696">
        <f t="shared" ref="J306" si="57">+VLOOKUP(D306,$AB$7:$AC$35,2,FALSE)</f>
        <v>38.847605999999992</v>
      </c>
      <c r="K306" s="373" t="s">
        <v>1399</v>
      </c>
      <c r="M306" s="648">
        <f t="shared" si="26"/>
        <v>8</v>
      </c>
    </row>
    <row r="307" spans="1:13" x14ac:dyDescent="0.2">
      <c r="A307" s="372">
        <f>+SUBTOTAL(3,$G$7:$G307)</f>
        <v>301</v>
      </c>
      <c r="B307" s="366">
        <v>45870</v>
      </c>
      <c r="C307" s="367" t="s">
        <v>738</v>
      </c>
      <c r="D307" s="368" t="str">
        <f>+VLOOKUP(C307,Foundation!$C$8:$D$531,2,FALSE)</f>
        <v>DA+9</v>
      </c>
      <c r="E307" s="368" t="str">
        <f>+VLOOKUP(C307,Foundation!$C$8:$E$495,3,FALSE)</f>
        <v>Sandy</v>
      </c>
      <c r="F307" s="350">
        <v>45886</v>
      </c>
      <c r="G307" s="350">
        <v>45900</v>
      </c>
      <c r="H307" s="373" t="s">
        <v>1383</v>
      </c>
      <c r="I307" s="381"/>
      <c r="J307" s="696">
        <f t="shared" ref="J307:J309" si="58">+VLOOKUP(D307,$AB$7:$AC$35,2,FALSE)</f>
        <v>47.184350000000002</v>
      </c>
      <c r="K307" s="373" t="s">
        <v>1399</v>
      </c>
      <c r="M307" s="648">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1508</v>
      </c>
      <c r="I308" s="381"/>
      <c r="J308" s="696">
        <f t="shared" si="58"/>
        <v>37.504372000000004</v>
      </c>
      <c r="K308" s="373" t="s">
        <v>1399</v>
      </c>
      <c r="M308" s="648">
        <f t="shared" si="26"/>
        <v>2</v>
      </c>
    </row>
    <row r="309" spans="1:13" x14ac:dyDescent="0.2">
      <c r="A309" s="372">
        <f>+SUBTOTAL(3,$G$7:$G309)</f>
        <v>303</v>
      </c>
      <c r="B309" s="366">
        <v>45870</v>
      </c>
      <c r="C309" s="367" t="s">
        <v>680</v>
      </c>
      <c r="D309" s="368" t="str">
        <f>+VLOOKUP(C309,Foundation!$C$8:$D$531,2,FALSE)</f>
        <v>DA+9</v>
      </c>
      <c r="E309" s="368" t="str">
        <f>+VLOOKUP(C309,Foundation!$C$8:$E$495,3,FALSE)</f>
        <v>Sandy</v>
      </c>
      <c r="F309" s="350">
        <v>45894</v>
      </c>
      <c r="G309" s="350">
        <v>45900</v>
      </c>
      <c r="H309" s="373" t="s">
        <v>893</v>
      </c>
      <c r="I309" s="381"/>
      <c r="J309" s="696">
        <f t="shared" si="58"/>
        <v>47.184350000000002</v>
      </c>
      <c r="K309" s="373" t="s">
        <v>1399</v>
      </c>
      <c r="M309" s="648">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1532</v>
      </c>
      <c r="I310" s="381"/>
      <c r="J310" s="696">
        <f t="shared" ref="J310:J314" si="59">+VLOOKUP(D310,$AB$7:$AC$35,2,FALSE)</f>
        <v>66.381106999999986</v>
      </c>
      <c r="K310" s="373" t="s">
        <v>1399</v>
      </c>
      <c r="M310" s="648">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1515</v>
      </c>
      <c r="I311" s="381"/>
      <c r="J311" s="696">
        <f t="shared" si="59"/>
        <v>37.504372000000004</v>
      </c>
      <c r="K311" s="373" t="s">
        <v>1399</v>
      </c>
      <c r="M311" s="648">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1456</v>
      </c>
      <c r="I312" s="381"/>
      <c r="J312" s="696">
        <f t="shared" si="59"/>
        <v>37.504372000000004</v>
      </c>
      <c r="K312" s="373" t="s">
        <v>1399</v>
      </c>
      <c r="M312" s="648">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1507</v>
      </c>
      <c r="I313" s="381"/>
      <c r="J313" s="696">
        <f t="shared" si="59"/>
        <v>66.381106999999986</v>
      </c>
      <c r="K313" s="373" t="s">
        <v>1399</v>
      </c>
      <c r="M313" s="648">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1531</v>
      </c>
      <c r="I314" s="381"/>
      <c r="J314" s="696">
        <f t="shared" si="59"/>
        <v>38.847605999999992</v>
      </c>
      <c r="K314" s="373" t="s">
        <v>1399</v>
      </c>
      <c r="M314" s="648">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1398</v>
      </c>
      <c r="I315" s="381"/>
      <c r="J315" s="696">
        <f t="shared" ref="J315" si="60">+VLOOKUP(D315,$AB$7:$AC$35,2,FALSE)</f>
        <v>38.847605999999992</v>
      </c>
      <c r="K315" s="373" t="s">
        <v>1399</v>
      </c>
      <c r="M315" s="648">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1539</v>
      </c>
      <c r="I316" s="381"/>
      <c r="J316" s="696">
        <f t="shared" ref="J316" si="61">+VLOOKUP(D316,$AB$7:$AC$35,2,FALSE)</f>
        <v>57.597240999999997</v>
      </c>
      <c r="K316" s="373" t="s">
        <v>1399</v>
      </c>
      <c r="M316" s="648">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896</v>
      </c>
      <c r="I317" s="381"/>
      <c r="J317" s="696">
        <f t="shared" ref="J317:J319" si="62">+VLOOKUP(D317,$AB$7:$AC$35,2,FALSE)</f>
        <v>37.504372000000004</v>
      </c>
      <c r="K317" s="373" t="s">
        <v>1399</v>
      </c>
      <c r="M317" s="648">
        <f t="shared" si="26"/>
        <v>7</v>
      </c>
    </row>
    <row r="318" spans="1:13" x14ac:dyDescent="0.2">
      <c r="A318" s="372">
        <f>+SUBTOTAL(3,$G$7:$G318)</f>
        <v>312</v>
      </c>
      <c r="B318" s="366">
        <v>45901</v>
      </c>
      <c r="C318" s="367" t="s">
        <v>686</v>
      </c>
      <c r="D318" s="368" t="str">
        <f>+VLOOKUP(C318,Foundation!$C$8:$D$531,2,FALSE)</f>
        <v>DA+3</v>
      </c>
      <c r="E318" s="368" t="str">
        <f>+VLOOKUP(C318,Foundation!$C$8:$E$495,3,FALSE)</f>
        <v>Sandy</v>
      </c>
      <c r="F318" s="350">
        <v>45891</v>
      </c>
      <c r="G318" s="350">
        <v>45906</v>
      </c>
      <c r="H318" s="373" t="s">
        <v>1494</v>
      </c>
      <c r="I318" s="381"/>
      <c r="J318" s="696">
        <f t="shared" si="62"/>
        <v>38.847605999999992</v>
      </c>
      <c r="K318" s="373" t="s">
        <v>1399</v>
      </c>
      <c r="M318" s="648">
        <f t="shared" si="26"/>
        <v>15</v>
      </c>
    </row>
    <row r="319" spans="1:13" x14ac:dyDescent="0.2">
      <c r="A319" s="372">
        <f>+SUBTOTAL(3,$G$7:$G319)</f>
        <v>313</v>
      </c>
      <c r="B319" s="366">
        <v>45901</v>
      </c>
      <c r="C319" s="367" t="s">
        <v>737</v>
      </c>
      <c r="D319" s="368" t="str">
        <f>+VLOOKUP(C319,Foundation!$C$8:$D$531,2,FALSE)</f>
        <v>DA+9</v>
      </c>
      <c r="E319" s="368" t="str">
        <f>+VLOOKUP(C319,Foundation!$C$8:$E$495,3,FALSE)</f>
        <v>Sandy</v>
      </c>
      <c r="F319" s="350">
        <v>45901</v>
      </c>
      <c r="G319" s="350">
        <v>45906</v>
      </c>
      <c r="H319" s="373" t="s">
        <v>1383</v>
      </c>
      <c r="I319" s="381"/>
      <c r="J319" s="696">
        <f t="shared" si="62"/>
        <v>47.184350000000002</v>
      </c>
      <c r="K319" s="373" t="s">
        <v>1399</v>
      </c>
      <c r="M319" s="648">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1517</v>
      </c>
      <c r="I320" s="381"/>
      <c r="J320" s="696">
        <f t="shared" ref="J320:J321" si="63">+VLOOKUP(D320,$AB$7:$AC$35,2,FALSE)</f>
        <v>57.597240999999997</v>
      </c>
      <c r="K320" s="373" t="s">
        <v>1399</v>
      </c>
      <c r="M320" s="648">
        <f t="shared" si="26"/>
        <v>11</v>
      </c>
    </row>
    <row r="321" spans="1:13" x14ac:dyDescent="0.2">
      <c r="A321" s="372">
        <f>+SUBTOTAL(3,$G$7:$G321)</f>
        <v>315</v>
      </c>
      <c r="B321" s="366">
        <v>45901</v>
      </c>
      <c r="C321" s="367" t="s">
        <v>681</v>
      </c>
      <c r="D321" s="368" t="str">
        <f>+VLOOKUP(C321,Foundation!$C$8:$D$531,2,FALSE)</f>
        <v>DA+3</v>
      </c>
      <c r="E321" s="368" t="str">
        <f>+VLOOKUP(C321,Foundation!$C$8:$E$495,3,FALSE)</f>
        <v>Sandy</v>
      </c>
      <c r="F321" s="350">
        <v>45901</v>
      </c>
      <c r="G321" s="350">
        <v>45907</v>
      </c>
      <c r="H321" s="373" t="s">
        <v>893</v>
      </c>
      <c r="I321" s="381"/>
      <c r="J321" s="696">
        <f t="shared" si="63"/>
        <v>38.847605999999992</v>
      </c>
      <c r="K321" s="373" t="s">
        <v>1399</v>
      </c>
      <c r="M321" s="648">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1542</v>
      </c>
      <c r="I322" s="381"/>
      <c r="J322" s="696">
        <f t="shared" ref="J322" si="64">+VLOOKUP(D322,$AB$7:$AC$35,2,FALSE)</f>
        <v>37.504372000000004</v>
      </c>
      <c r="K322" s="373" t="s">
        <v>1399</v>
      </c>
      <c r="M322" s="648">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1516</v>
      </c>
      <c r="I323" s="381"/>
      <c r="J323" s="696">
        <f t="shared" ref="J323" si="65">+VLOOKUP(D323,$AB$7:$AC$35,2,FALSE)</f>
        <v>89.909625000000005</v>
      </c>
      <c r="K323" s="373" t="s">
        <v>1399</v>
      </c>
      <c r="M323" s="648">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1538</v>
      </c>
      <c r="I324" s="381"/>
      <c r="J324" s="696">
        <f t="shared" ref="J324" si="66">+VLOOKUP(D324,$AB$7:$AC$35,2,FALSE)</f>
        <v>38.847605999999992</v>
      </c>
      <c r="K324" s="373" t="s">
        <v>1399</v>
      </c>
      <c r="M324" s="648">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1512</v>
      </c>
      <c r="I325" s="381"/>
      <c r="J325" s="696">
        <f t="shared" ref="J325" si="67">+VLOOKUP(D325,$AB$7:$AC$35,2,FALSE)</f>
        <v>38.847605999999992</v>
      </c>
      <c r="K325" s="373" t="s">
        <v>1399</v>
      </c>
      <c r="M325" s="648">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1456</v>
      </c>
      <c r="I326" s="381"/>
      <c r="J326" s="696">
        <f t="shared" ref="J326" si="68">+VLOOKUP(D326,$AB$7:$AC$35,2,FALSE)</f>
        <v>38.847605999999992</v>
      </c>
      <c r="K326" s="373" t="s">
        <v>1399</v>
      </c>
      <c r="M326" s="648">
        <f t="shared" si="26"/>
        <v>7</v>
      </c>
    </row>
    <row r="327" spans="1:13" x14ac:dyDescent="0.2">
      <c r="A327" s="372">
        <f>+SUBTOTAL(3,$G$7:$G327)</f>
        <v>321</v>
      </c>
      <c r="B327" s="366">
        <v>45901</v>
      </c>
      <c r="C327" s="367" t="s">
        <v>717</v>
      </c>
      <c r="D327" s="368" t="str">
        <f>+VLOOKUP(C327,Foundation!$C$8:$D$531,2,FALSE)</f>
        <v>DA+9</v>
      </c>
      <c r="E327" s="368" t="str">
        <f>+VLOOKUP(C327,Foundation!$C$8:$E$495,3,FALSE)</f>
        <v>Sandy</v>
      </c>
      <c r="F327" s="350">
        <v>45901</v>
      </c>
      <c r="G327" s="350">
        <v>45910</v>
      </c>
      <c r="H327" s="373" t="s">
        <v>894</v>
      </c>
      <c r="I327" s="381"/>
      <c r="J327" s="696">
        <f t="shared" ref="J327" si="69">+VLOOKUP(D327,$AB$7:$AC$35,2,FALSE)</f>
        <v>47.184350000000002</v>
      </c>
      <c r="K327" s="373" t="s">
        <v>1399</v>
      </c>
      <c r="M327" s="648">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1416</v>
      </c>
      <c r="I328" s="381"/>
      <c r="J328" s="696">
        <f t="shared" ref="J328:J330" si="70">+VLOOKUP(D328,$AB$7:$AC$35,2,FALSE)</f>
        <v>37.504372000000004</v>
      </c>
      <c r="K328" s="373" t="s">
        <v>1399</v>
      </c>
      <c r="M328" s="648">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1542</v>
      </c>
      <c r="I329" s="381"/>
      <c r="J329" s="696">
        <f t="shared" si="70"/>
        <v>38.847605999999992</v>
      </c>
      <c r="K329" s="373" t="s">
        <v>1399</v>
      </c>
      <c r="M329" s="648">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1540</v>
      </c>
      <c r="I330" s="381"/>
      <c r="J330" s="696">
        <f t="shared" si="70"/>
        <v>57.597240999999997</v>
      </c>
      <c r="K330" s="373" t="s">
        <v>1399</v>
      </c>
      <c r="M330" s="648">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1489</v>
      </c>
      <c r="I331" s="381"/>
      <c r="J331" s="696">
        <f t="shared" ref="J331" si="72">+VLOOKUP(D331,$AB$7:$AC$35,2,FALSE)</f>
        <v>37.504372000000004</v>
      </c>
      <c r="K331" s="373" t="s">
        <v>1399</v>
      </c>
      <c r="M331" s="648">
        <f t="shared" si="71"/>
        <v>7</v>
      </c>
    </row>
    <row r="332" spans="1:13" x14ac:dyDescent="0.2">
      <c r="A332" s="372">
        <f>+SUBTOTAL(3,$G$7:$G332)</f>
        <v>326</v>
      </c>
      <c r="B332" s="366">
        <v>45901</v>
      </c>
      <c r="C332" s="367" t="s">
        <v>736</v>
      </c>
      <c r="D332" s="368" t="str">
        <f>+VLOOKUP(C332,Foundation!$C$8:$D$531,2,FALSE)</f>
        <v>DA+6</v>
      </c>
      <c r="E332" s="368" t="str">
        <f>+VLOOKUP(C332,Foundation!$C$8:$E$495,3,FALSE)</f>
        <v>Sandy</v>
      </c>
      <c r="F332" s="350">
        <v>45907</v>
      </c>
      <c r="G332" s="350">
        <v>45912</v>
      </c>
      <c r="H332" s="373" t="s">
        <v>1383</v>
      </c>
      <c r="I332" s="381"/>
      <c r="J332" s="696">
        <f t="shared" ref="J332" si="73">+VLOOKUP(D332,$AB$7:$AC$35,2,FALSE)</f>
        <v>45.413028000000004</v>
      </c>
      <c r="K332" s="373" t="s">
        <v>1399</v>
      </c>
      <c r="M332" s="648">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1537</v>
      </c>
      <c r="I333" s="381"/>
      <c r="J333" s="696">
        <f t="shared" ref="J333" si="74">+VLOOKUP(D333,$AB$7:$AC$35,2,FALSE)</f>
        <v>38.847605999999992</v>
      </c>
      <c r="K333" s="373" t="s">
        <v>1399</v>
      </c>
      <c r="M333" s="648">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1492</v>
      </c>
      <c r="I334" s="381"/>
      <c r="J334" s="696">
        <f t="shared" ref="J334" si="75">+VLOOKUP(D334,$AB$7:$AC$35,2,FALSE)</f>
        <v>143.60187300000001</v>
      </c>
      <c r="K334" s="373" t="s">
        <v>1594</v>
      </c>
      <c r="M334" s="648">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1517</v>
      </c>
      <c r="I335" s="381"/>
      <c r="J335" s="696">
        <f t="shared" ref="J335:J337" si="76">+VLOOKUP(D335,$AB$7:$AC$35,2,FALSE)</f>
        <v>37.504372000000004</v>
      </c>
      <c r="K335" s="373" t="s">
        <v>1399</v>
      </c>
      <c r="M335" s="648">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1399</v>
      </c>
      <c r="M336" s="648">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896</v>
      </c>
      <c r="I337" s="381"/>
      <c r="J337" s="696">
        <f t="shared" si="76"/>
        <v>45.413028000000004</v>
      </c>
      <c r="K337" s="373" t="s">
        <v>1399</v>
      </c>
      <c r="M337" s="648">
        <f t="shared" si="71"/>
        <v>9</v>
      </c>
    </row>
    <row r="338" spans="1:13" x14ac:dyDescent="0.2">
      <c r="A338" s="372">
        <f>+SUBTOTAL(3,$G$7:$G338)</f>
        <v>332</v>
      </c>
      <c r="B338" s="366">
        <v>45901</v>
      </c>
      <c r="C338" s="367" t="s">
        <v>734</v>
      </c>
      <c r="D338" s="368" t="str">
        <f>+VLOOKUP(C338,Foundation!$C$8:$D$531,2,FALSE)</f>
        <v>DA+3</v>
      </c>
      <c r="E338" s="368" t="str">
        <f>+VLOOKUP(C338,Foundation!$C$8:$E$495,3,FALSE)</f>
        <v>Sandy</v>
      </c>
      <c r="F338" s="350">
        <v>45913</v>
      </c>
      <c r="G338" s="350">
        <v>45918</v>
      </c>
      <c r="H338" s="373" t="s">
        <v>1383</v>
      </c>
      <c r="I338" s="381"/>
      <c r="J338" s="696">
        <f t="shared" ref="J338" si="77">+VLOOKUP(D338,$AB$7:$AC$35,2,FALSE)</f>
        <v>38.847605999999992</v>
      </c>
      <c r="K338" s="373" t="s">
        <v>1399</v>
      </c>
      <c r="M338" s="648">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1586</v>
      </c>
      <c r="I339" s="381"/>
      <c r="J339" s="696">
        <f t="shared" ref="J339" si="78">+VLOOKUP(D339,$AB$7:$AC$35,2,FALSE)</f>
        <v>38.847605999999992</v>
      </c>
      <c r="K339" s="373" t="s">
        <v>1399</v>
      </c>
      <c r="M339" s="648">
        <f t="shared" si="71"/>
        <v>6</v>
      </c>
    </row>
    <row r="340" spans="1:13" x14ac:dyDescent="0.2">
      <c r="A340" s="372">
        <f>+SUBTOTAL(3,$G$7:$G340)</f>
        <v>334</v>
      </c>
      <c r="B340" s="366">
        <v>45901</v>
      </c>
      <c r="C340" s="367" t="s">
        <v>715</v>
      </c>
      <c r="D340" s="368" t="str">
        <f>+VLOOKUP(C340,Foundation!$C$8:$D$531,2,FALSE)</f>
        <v>DA+6</v>
      </c>
      <c r="E340" s="368" t="str">
        <f>+VLOOKUP(C340,Foundation!$C$8:$E$495,3,FALSE)</f>
        <v>Sandy</v>
      </c>
      <c r="F340" s="350">
        <v>45910</v>
      </c>
      <c r="G340" s="350">
        <v>45920</v>
      </c>
      <c r="H340" s="373" t="s">
        <v>894</v>
      </c>
      <c r="I340" s="381"/>
      <c r="J340" s="696">
        <f t="shared" ref="J340:J343" si="79">+VLOOKUP(D340,$AB$7:$AC$35,2,FALSE)</f>
        <v>45.413028000000004</v>
      </c>
      <c r="K340" s="373" t="s">
        <v>1399</v>
      </c>
      <c r="M340" s="648">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1497</v>
      </c>
      <c r="I341" s="381"/>
      <c r="J341" s="696">
        <f t="shared" si="79"/>
        <v>38.847605999999992</v>
      </c>
      <c r="K341" s="373" t="s">
        <v>1399</v>
      </c>
      <c r="M341" s="648">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1542</v>
      </c>
      <c r="I342" s="381"/>
      <c r="J342" s="696">
        <f t="shared" si="79"/>
        <v>45.413028000000004</v>
      </c>
      <c r="K342" s="373" t="s">
        <v>1399</v>
      </c>
      <c r="M342" s="648">
        <f t="shared" si="71"/>
        <v>3</v>
      </c>
    </row>
    <row r="343" spans="1:13" x14ac:dyDescent="0.2">
      <c r="A343" s="372">
        <f>+SUBTOTAL(3,$G$7:$G343)</f>
        <v>337</v>
      </c>
      <c r="B343" s="366">
        <v>45901</v>
      </c>
      <c r="C343" s="367" t="s">
        <v>735</v>
      </c>
      <c r="D343" s="368" t="str">
        <f>+VLOOKUP(C343,Foundation!$C$8:$D$531,2,FALSE)</f>
        <v>DA+3</v>
      </c>
      <c r="E343" s="368" t="str">
        <f>+VLOOKUP(C343,Foundation!$C$8:$E$495,3,FALSE)</f>
        <v>Sandy</v>
      </c>
      <c r="F343" s="350">
        <v>45919</v>
      </c>
      <c r="G343" s="350">
        <v>45922</v>
      </c>
      <c r="H343" s="373" t="s">
        <v>1383</v>
      </c>
      <c r="I343" s="381"/>
      <c r="J343" s="696">
        <f t="shared" si="79"/>
        <v>38.847605999999992</v>
      </c>
      <c r="K343" s="373" t="s">
        <v>1399</v>
      </c>
      <c r="M343" s="648">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1577</v>
      </c>
      <c r="I344" s="381"/>
      <c r="J344" s="696">
        <f t="shared" ref="J344" si="80">+VLOOKUP(D344,$AB$7:$AC$35,2,FALSE)</f>
        <v>37.504372000000004</v>
      </c>
      <c r="K344" s="373" t="s">
        <v>1399</v>
      </c>
      <c r="M344" s="648">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1540</v>
      </c>
      <c r="I345" s="381"/>
      <c r="J345" s="696">
        <f t="shared" ref="J345" si="81">+VLOOKUP(D345,$AB$7:$AC$35,2,FALSE)</f>
        <v>37.504372000000004</v>
      </c>
      <c r="K345" s="373" t="s">
        <v>1399</v>
      </c>
      <c r="M345" s="648">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1375</v>
      </c>
      <c r="I346" s="381"/>
      <c r="J346" s="696">
        <f t="shared" ref="J346" si="82">+VLOOKUP(D346,$AB$7:$AC$35,2,FALSE)</f>
        <v>38.847605999999992</v>
      </c>
      <c r="K346" s="373" t="s">
        <v>1399</v>
      </c>
      <c r="M346" s="648">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893</v>
      </c>
      <c r="I347" s="381"/>
      <c r="J347" s="696">
        <f t="shared" ref="J347" si="83">+VLOOKUP(D347,$AB$7:$AC$35,2,FALSE)</f>
        <v>143.60187300000001</v>
      </c>
      <c r="K347" s="373" t="s">
        <v>1594</v>
      </c>
      <c r="M347" s="648">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1498</v>
      </c>
      <c r="I348" s="381"/>
      <c r="J348" s="696">
        <f t="shared" ref="J348" si="84">+VLOOKUP(D348,$AB$7:$AC$35,2,FALSE)</f>
        <v>38.847605999999992</v>
      </c>
      <c r="K348" s="373" t="s">
        <v>1399</v>
      </c>
      <c r="M348" s="648">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1399</v>
      </c>
      <c r="M349" s="648">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896</v>
      </c>
      <c r="I350" s="381"/>
      <c r="J350" s="696">
        <f t="shared" si="85"/>
        <v>57.597240999999997</v>
      </c>
      <c r="K350" s="373" t="s">
        <v>1399</v>
      </c>
      <c r="M350" s="648">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1587</v>
      </c>
      <c r="I351" s="381"/>
      <c r="J351" s="696">
        <f t="shared" ref="J351" si="86">+VLOOKUP(D351,$AB$7:$AC$35,2,FALSE)</f>
        <v>57.597240999999997</v>
      </c>
      <c r="K351" s="373" t="s">
        <v>1399</v>
      </c>
      <c r="M351" s="648">
        <f t="shared" si="71"/>
        <v>9</v>
      </c>
    </row>
    <row r="352" spans="1:13" x14ac:dyDescent="0.2">
      <c r="A352" s="372">
        <f>+SUBTOTAL(3,$G$7:$G352)</f>
        <v>346</v>
      </c>
      <c r="B352" s="366">
        <v>45901</v>
      </c>
      <c r="C352" s="367" t="s">
        <v>685</v>
      </c>
      <c r="D352" s="368" t="str">
        <f>+VLOOKUP(C352,Foundation!$C$8:$D$531,2,FALSE)</f>
        <v>DA+0</v>
      </c>
      <c r="E352" s="368" t="str">
        <f>+VLOOKUP(C352,Foundation!$C$8:$E$495,3,FALSE)</f>
        <v>Sandy</v>
      </c>
      <c r="F352" s="350">
        <v>45907</v>
      </c>
      <c r="G352" s="350">
        <v>45929</v>
      </c>
      <c r="H352" s="373" t="s">
        <v>1589</v>
      </c>
      <c r="I352" s="381"/>
      <c r="J352" s="696">
        <f t="shared" ref="J352:J353" si="87">+VLOOKUP(D352,$AB$7:$AC$35,2,FALSE)</f>
        <v>37.504372000000004</v>
      </c>
      <c r="K352" s="373" t="s">
        <v>1399</v>
      </c>
      <c r="M352" s="648">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1492</v>
      </c>
      <c r="I353" s="381"/>
      <c r="J353" s="696">
        <f t="shared" si="87"/>
        <v>143.60187300000001</v>
      </c>
      <c r="K353" s="373" t="s">
        <v>1594</v>
      </c>
      <c r="M353" s="648">
        <f t="shared" si="71"/>
        <v>14</v>
      </c>
    </row>
    <row r="354" spans="1:13" x14ac:dyDescent="0.2">
      <c r="A354" s="372">
        <f>+SUBTOTAL(3,$G$7:$G354)</f>
        <v>348</v>
      </c>
      <c r="B354" s="366">
        <v>45901</v>
      </c>
      <c r="C354" s="367" t="s">
        <v>714</v>
      </c>
      <c r="D354" s="368" t="str">
        <f>+VLOOKUP(C354,Foundation!$C$8:$D$531,2,FALSE)</f>
        <v>DA+6</v>
      </c>
      <c r="E354" s="368" t="str">
        <f>+VLOOKUP(C354,Foundation!$C$8:$E$495,3,FALSE)</f>
        <v>Sandy</v>
      </c>
      <c r="F354" s="350">
        <v>45920</v>
      </c>
      <c r="G354" s="350">
        <v>45930</v>
      </c>
      <c r="H354" s="373" t="s">
        <v>894</v>
      </c>
      <c r="I354" s="381"/>
      <c r="J354" s="696">
        <f t="shared" ref="J354:J356" si="88">+VLOOKUP(D354,$AB$7:$AC$35,2,FALSE)</f>
        <v>45.413028000000004</v>
      </c>
      <c r="K354" s="373" t="s">
        <v>1399</v>
      </c>
      <c r="M354" s="648">
        <f t="shared" si="71"/>
        <v>10</v>
      </c>
    </row>
    <row r="355" spans="1:13" x14ac:dyDescent="0.2">
      <c r="A355" s="372">
        <f>+SUBTOTAL(3,$G$7:$G355)</f>
        <v>349</v>
      </c>
      <c r="B355" s="366">
        <v>45901</v>
      </c>
      <c r="C355" s="367" t="s">
        <v>733</v>
      </c>
      <c r="D355" s="368" t="str">
        <f>+VLOOKUP(C355,Foundation!$C$8:$D$531,2,FALSE)</f>
        <v>DB1+6</v>
      </c>
      <c r="E355" s="368" t="str">
        <f>+VLOOKUP(C355,Foundation!$C$8:$E$495,3,FALSE)</f>
        <v>Sandy</v>
      </c>
      <c r="F355" s="350">
        <v>45922</v>
      </c>
      <c r="G355" s="350">
        <v>45930</v>
      </c>
      <c r="H355" s="373" t="s">
        <v>1383</v>
      </c>
      <c r="I355" s="381"/>
      <c r="J355" s="696">
        <f t="shared" si="88"/>
        <v>67.873650999999995</v>
      </c>
      <c r="K355" s="373" t="s">
        <v>1399</v>
      </c>
      <c r="M355" s="648">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1579</v>
      </c>
      <c r="I356" s="381"/>
      <c r="J356" s="696">
        <f t="shared" si="88"/>
        <v>45.413028000000004</v>
      </c>
      <c r="K356" s="373" t="s">
        <v>1399</v>
      </c>
      <c r="M356" s="648">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1537</v>
      </c>
      <c r="I357" s="381"/>
      <c r="J357" s="696">
        <f t="shared" ref="J357" si="89">+VLOOKUP(D357,$AB$7:$AC$35,2,FALSE)</f>
        <v>37.504372000000004</v>
      </c>
      <c r="K357" s="373" t="s">
        <v>1399</v>
      </c>
      <c r="M357" s="648">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1399</v>
      </c>
      <c r="M358" s="648">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1577</v>
      </c>
      <c r="I359" s="381"/>
      <c r="J359" s="696">
        <f t="shared" ref="J359" si="91">+VLOOKUP(D359,$AB$7:$AC$35,2,FALSE)</f>
        <v>37.504372000000004</v>
      </c>
      <c r="K359" s="373" t="s">
        <v>1399</v>
      </c>
      <c r="M359" s="648">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1492</v>
      </c>
      <c r="I360" s="381"/>
      <c r="J360" s="696">
        <f t="shared" ref="J360" si="92">+VLOOKUP(D360,$AB$7:$AC$35,2,FALSE)</f>
        <v>66.381106999999986</v>
      </c>
      <c r="K360" s="373" t="s">
        <v>1399</v>
      </c>
      <c r="M360" s="648">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1497</v>
      </c>
      <c r="I361" s="381"/>
      <c r="J361" s="696">
        <f t="shared" ref="J361" si="93">+VLOOKUP(D361,$AB$7:$AC$35,2,FALSE)</f>
        <v>37.504372000000004</v>
      </c>
      <c r="K361" s="373" t="s">
        <v>1399</v>
      </c>
      <c r="M361" s="648">
        <f t="shared" si="71"/>
        <v>7</v>
      </c>
    </row>
    <row r="362" spans="1:13" x14ac:dyDescent="0.2">
      <c r="A362" s="372">
        <f>+SUBTOTAL(3,$G$7:$G362)</f>
        <v>356</v>
      </c>
      <c r="B362" s="366">
        <v>45931</v>
      </c>
      <c r="C362" s="367" t="s">
        <v>739</v>
      </c>
      <c r="D362" s="368" t="str">
        <f>+VLOOKUP(C362,Foundation!$C$8:$D$531,2,FALSE)</f>
        <v>DB1+6</v>
      </c>
      <c r="E362" s="368" t="str">
        <f>+VLOOKUP(C362,Foundation!$C$8:$E$495,3,FALSE)</f>
        <v>Sandy</v>
      </c>
      <c r="F362" s="350">
        <v>45930</v>
      </c>
      <c r="G362" s="350">
        <v>45941</v>
      </c>
      <c r="H362" s="373" t="s">
        <v>1383</v>
      </c>
      <c r="I362" s="381"/>
      <c r="J362" s="696">
        <f t="shared" ref="J362" si="94">+VLOOKUP(D362,$AB$7:$AC$35,2,FALSE)</f>
        <v>67.873650999999995</v>
      </c>
      <c r="K362" s="373" t="s">
        <v>1399</v>
      </c>
      <c r="M362" s="648">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894</v>
      </c>
      <c r="I363" s="381"/>
      <c r="J363" s="696">
        <f t="shared" ref="J363" si="95">+VLOOKUP(D363,$AB$7:$AC$35,2,FALSE)</f>
        <v>37.504372000000004</v>
      </c>
      <c r="K363" s="373" t="s">
        <v>1399</v>
      </c>
      <c r="M363" s="648">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1399</v>
      </c>
      <c r="M364" s="648">
        <f t="shared" si="71"/>
        <v>6</v>
      </c>
    </row>
    <row r="365" spans="1:13" x14ac:dyDescent="0.2">
      <c r="A365" s="372">
        <f>+SUBTOTAL(3,$G$7:$G365)</f>
        <v>359</v>
      </c>
      <c r="B365" s="366">
        <v>45931</v>
      </c>
      <c r="C365" s="367" t="s">
        <v>741</v>
      </c>
      <c r="D365" s="368" t="str">
        <f>+VLOOKUP(C365,Foundation!$C$8:$D$531,2,FALSE)</f>
        <v>DA+0</v>
      </c>
      <c r="E365" s="368" t="str">
        <f>+VLOOKUP(C365,Foundation!$C$8:$E$495,3,FALSE)</f>
        <v>WFR</v>
      </c>
      <c r="F365" s="350">
        <v>45942</v>
      </c>
      <c r="G365" s="350">
        <v>45944</v>
      </c>
      <c r="H365" s="373" t="s">
        <v>1383</v>
      </c>
      <c r="I365" s="381"/>
      <c r="J365" s="696">
        <f t="shared" ref="J365" si="97">+VLOOKUP(D365,$AB$7:$AC$35,2,FALSE)</f>
        <v>37.504372000000004</v>
      </c>
      <c r="K365" s="373" t="s">
        <v>1399</v>
      </c>
      <c r="M365" s="648">
        <f t="shared" si="71"/>
        <v>2</v>
      </c>
    </row>
    <row r="366" spans="1:13" s="341" customFormat="1" x14ac:dyDescent="0.2">
      <c r="A366" s="711">
        <f>+SUBTOTAL(3,$G$7:$G366)</f>
        <v>360</v>
      </c>
      <c r="B366" s="556">
        <v>45931</v>
      </c>
      <c r="C366" s="347" t="s">
        <v>534</v>
      </c>
      <c r="D366" s="344" t="str">
        <f>+VLOOKUP(C366,Foundation!$C$8:$D$531,2,FALSE)</f>
        <v>DA+9</v>
      </c>
      <c r="E366" s="344" t="str">
        <f>+VLOOKUP(C366,Foundation!$C$8:$E$495,3,FALSE)</f>
        <v>Sandy</v>
      </c>
      <c r="F366" s="602">
        <v>45940</v>
      </c>
      <c r="G366" s="602">
        <v>45947</v>
      </c>
      <c r="H366" s="637" t="s">
        <v>896</v>
      </c>
      <c r="I366" s="603"/>
      <c r="J366" s="712">
        <f t="shared" ref="J366" si="98">+VLOOKUP(D366,$AB$7:$AC$35,2,FALSE)</f>
        <v>47.184350000000002</v>
      </c>
      <c r="K366" s="637" t="s">
        <v>1399</v>
      </c>
      <c r="M366" s="648">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1492</v>
      </c>
      <c r="I367" s="381"/>
      <c r="J367" s="696">
        <f t="shared" ref="J367:J368" si="99">+VLOOKUP(D367,$AB$7:$AC$35,2,FALSE)</f>
        <v>67.873650999999995</v>
      </c>
      <c r="K367" s="373" t="s">
        <v>1399</v>
      </c>
      <c r="M367" s="648">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893</v>
      </c>
      <c r="I368" s="381"/>
      <c r="J368" s="696">
        <f t="shared" si="99"/>
        <v>143.60187300000001</v>
      </c>
      <c r="K368" s="373" t="s">
        <v>1399</v>
      </c>
      <c r="M368" s="648">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1399</v>
      </c>
      <c r="M369" s="648">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1492</v>
      </c>
      <c r="I370" s="381"/>
      <c r="J370" s="696">
        <f t="shared" si="100"/>
        <v>37.504372000000004</v>
      </c>
      <c r="K370" s="373" t="s">
        <v>1399</v>
      </c>
      <c r="M370" s="648">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894</v>
      </c>
      <c r="I371" s="381"/>
      <c r="J371" s="696">
        <f t="shared" ref="J371" si="101">+VLOOKUP(D371,$AB$7:$AC$35,2,FALSE)</f>
        <v>45.413028000000004</v>
      </c>
      <c r="K371" s="373" t="s">
        <v>1399</v>
      </c>
      <c r="M371" s="648">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896</v>
      </c>
      <c r="I372" s="381"/>
      <c r="J372" s="696">
        <f t="shared" ref="J372:J373" si="102">+VLOOKUP(D372,$AB$7:$AC$35,2,FALSE)</f>
        <v>38.847605999999992</v>
      </c>
      <c r="K372" s="373" t="s">
        <v>1399</v>
      </c>
      <c r="M372" s="648">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1610</v>
      </c>
      <c r="I373" s="381"/>
      <c r="J373" s="696">
        <f t="shared" si="102"/>
        <v>37.504372000000004</v>
      </c>
      <c r="K373" s="373" t="s">
        <v>1399</v>
      </c>
      <c r="M373" s="648">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895</v>
      </c>
      <c r="I374" s="381"/>
      <c r="J374" s="696">
        <f t="shared" ref="J374:J376" si="103">+VLOOKUP(D374,$AB$7:$AC$35,2,FALSE)</f>
        <v>67.873650999999995</v>
      </c>
      <c r="K374" s="373" t="s">
        <v>1399</v>
      </c>
      <c r="M374" s="648">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1492</v>
      </c>
      <c r="I375" s="381"/>
      <c r="J375" s="696">
        <f t="shared" si="103"/>
        <v>47.184350000000002</v>
      </c>
      <c r="K375" s="373" t="s">
        <v>1399</v>
      </c>
      <c r="M375" s="648">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1494</v>
      </c>
      <c r="I376" s="381"/>
      <c r="J376" s="696">
        <f t="shared" si="103"/>
        <v>37.504372000000004</v>
      </c>
      <c r="K376" s="373" t="s">
        <v>1399</v>
      </c>
      <c r="M376" s="648">
        <f t="shared" si="71"/>
        <v>17</v>
      </c>
    </row>
    <row r="377" spans="1:13" x14ac:dyDescent="0.2">
      <c r="A377" s="372">
        <f>+SUBTOTAL(3,$G$7:$G377)</f>
        <v>371</v>
      </c>
      <c r="B377" s="366">
        <v>45931</v>
      </c>
      <c r="C377" s="367" t="s">
        <v>666</v>
      </c>
      <c r="D377" s="368" t="str">
        <f>+VLOOKUP(C377,Foundation!$C$8:$D$531,2,FALSE)</f>
        <v>DA+0</v>
      </c>
      <c r="E377" s="368" t="str">
        <f>+VLOOKUP(C377,Foundation!$C$8:$E$495,3,FALSE)</f>
        <v>Sandy</v>
      </c>
      <c r="F377" s="350">
        <v>45955</v>
      </c>
      <c r="G377" s="350">
        <v>45960</v>
      </c>
      <c r="H377" s="373" t="s">
        <v>896</v>
      </c>
      <c r="I377" s="381"/>
      <c r="J377" s="696">
        <f t="shared" ref="J377" si="104">+VLOOKUP(D377,$AB$7:$AC$35,2,FALSE)</f>
        <v>37.504372000000004</v>
      </c>
      <c r="K377" s="373" t="s">
        <v>1399</v>
      </c>
      <c r="M377" s="648">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1399</v>
      </c>
      <c r="M378" s="648">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1579</v>
      </c>
      <c r="I379" s="381"/>
      <c r="J379" s="696">
        <f t="shared" si="105"/>
        <v>37.504372000000004</v>
      </c>
      <c r="K379" s="373" t="s">
        <v>1399</v>
      </c>
      <c r="M379" s="648">
        <f t="shared" si="71"/>
        <v>11</v>
      </c>
    </row>
    <row r="380" spans="1:13" x14ac:dyDescent="0.2">
      <c r="A380" s="372">
        <f>+SUBTOTAL(3,$G$7:$G380)</f>
        <v>374</v>
      </c>
      <c r="B380" s="366">
        <v>45931</v>
      </c>
      <c r="C380" s="367" t="s">
        <v>675</v>
      </c>
      <c r="D380" s="368" t="str">
        <f>+VLOOKUP(C380,Foundation!$C$8:$D$531,2,FALSE)</f>
        <v>DCT+0</v>
      </c>
      <c r="E380" s="368" t="str">
        <f>+VLOOKUP(C380,Foundation!$C$8:$E$495,3,FALSE)</f>
        <v>Sandy</v>
      </c>
      <c r="F380" s="350">
        <v>45948</v>
      </c>
      <c r="G380" s="350">
        <v>45961</v>
      </c>
      <c r="H380" s="373" t="s">
        <v>893</v>
      </c>
      <c r="I380" s="381"/>
      <c r="J380" s="696">
        <f t="shared" ref="J380:J381" si="106">+VLOOKUP(D380,$AB$7:$AC$35,2,FALSE)</f>
        <v>94.219902999999988</v>
      </c>
      <c r="K380" s="373" t="s">
        <v>1399</v>
      </c>
      <c r="M380" s="648">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1492</v>
      </c>
      <c r="I381" s="381"/>
      <c r="J381" s="696">
        <f t="shared" si="106"/>
        <v>67.873650999999995</v>
      </c>
      <c r="K381" s="373" t="s">
        <v>1399</v>
      </c>
      <c r="M381" s="648">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895</v>
      </c>
      <c r="I382" s="381"/>
      <c r="J382" s="696">
        <f t="shared" ref="J382" si="107">+VLOOKUP(D382,$AB$7:$AC$35,2,FALSE)</f>
        <v>37.504372000000004</v>
      </c>
      <c r="K382" s="373" t="s">
        <v>1399</v>
      </c>
      <c r="M382" s="648">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1492</v>
      </c>
      <c r="I383" s="381"/>
      <c r="J383" s="696">
        <f t="shared" ref="J383" si="108">+VLOOKUP(D383,$AB$7:$AC$35,2,FALSE)</f>
        <v>45.413028000000004</v>
      </c>
      <c r="K383" s="373" t="s">
        <v>1399</v>
      </c>
      <c r="M383" s="648">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1492</v>
      </c>
      <c r="I384" s="381"/>
      <c r="J384" s="696">
        <f t="shared" ref="J384" si="109">+VLOOKUP(D384,$AB$7:$AC$35,2,FALSE)</f>
        <v>47.184350000000002</v>
      </c>
      <c r="K384" s="373" t="s">
        <v>1399</v>
      </c>
      <c r="M384" s="648">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1399</v>
      </c>
      <c r="M385" s="648">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896</v>
      </c>
      <c r="I386" s="381"/>
      <c r="J386" s="696">
        <f t="shared" si="110"/>
        <v>37.504372000000004</v>
      </c>
      <c r="K386" s="373" t="s">
        <v>1399</v>
      </c>
      <c r="M386" s="648">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1610</v>
      </c>
      <c r="I387" s="381"/>
      <c r="J387" s="696">
        <f t="shared" ref="J387" si="111">+VLOOKUP(D387,$AB$7:$AC$35,2,FALSE)</f>
        <v>100.96800900000001</v>
      </c>
      <c r="K387" s="373" t="s">
        <v>1399</v>
      </c>
      <c r="M387" s="648">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1609</v>
      </c>
      <c r="I388" s="381"/>
      <c r="J388" s="696">
        <f t="shared" ref="J388" si="112">+VLOOKUP(D388,$AB$7:$AC$35,2,FALSE)</f>
        <v>66.381106999999986</v>
      </c>
      <c r="K388" s="373" t="s">
        <v>1399</v>
      </c>
      <c r="M388" s="648">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893</v>
      </c>
      <c r="I389" s="381"/>
      <c r="J389" s="696">
        <f t="shared" ref="J389:J390" si="113">+VLOOKUP(D389,$AB$7:$AC$35,2,FALSE)</f>
        <v>66.381106999999986</v>
      </c>
      <c r="K389" s="373" t="s">
        <v>1399</v>
      </c>
      <c r="M389" s="648">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1494</v>
      </c>
      <c r="I390" s="381"/>
      <c r="J390" s="696">
        <f t="shared" si="113"/>
        <v>45.413028000000004</v>
      </c>
      <c r="K390" s="373" t="s">
        <v>1399</v>
      </c>
      <c r="M390" s="648">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1600</v>
      </c>
      <c r="I391" s="381"/>
      <c r="J391" s="696">
        <f t="shared" ref="J391:J392" si="114">+VLOOKUP(D391,$AB$7:$AC$35,2,FALSE)</f>
        <v>100.96800900000001</v>
      </c>
      <c r="K391" s="373" t="s">
        <v>1399</v>
      </c>
      <c r="M391" s="648">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895</v>
      </c>
      <c r="I392" s="381"/>
      <c r="J392" s="696">
        <f t="shared" si="114"/>
        <v>37.504372000000004</v>
      </c>
      <c r="K392" s="373" t="s">
        <v>1399</v>
      </c>
      <c r="M392" s="648">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896</v>
      </c>
      <c r="I393" s="381"/>
      <c r="J393" s="696">
        <f t="shared" ref="J393" si="116">+VLOOKUP(D393,$AB$7:$AC$35,2,FALSE)</f>
        <v>38.847605999999992</v>
      </c>
      <c r="K393" s="373" t="s">
        <v>1399</v>
      </c>
      <c r="M393" s="648">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893</v>
      </c>
      <c r="I394" s="381"/>
      <c r="J394" s="696">
        <f t="shared" ref="J394" si="117">+VLOOKUP(D394,$AB$7:$AC$35,2,FALSE)</f>
        <v>38.847605999999992</v>
      </c>
      <c r="K394" s="373" t="s">
        <v>1399</v>
      </c>
      <c r="M394" s="648">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1492</v>
      </c>
      <c r="I395" s="381"/>
      <c r="J395" s="696">
        <f t="shared" ref="J395" si="118">+VLOOKUP(D395,$AB$7:$AC$35,2,FALSE)</f>
        <v>37.504372000000004</v>
      </c>
      <c r="K395" s="373" t="s">
        <v>1399</v>
      </c>
      <c r="M395" s="648">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1614</v>
      </c>
      <c r="I396" s="381"/>
      <c r="J396" s="696">
        <f t="shared" ref="J396" si="119">+VLOOKUP(D396,$AB$7:$AC$35,2,FALSE)</f>
        <v>70.701702999999995</v>
      </c>
      <c r="K396" s="373" t="s">
        <v>1399</v>
      </c>
      <c r="M396" s="648">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887</v>
      </c>
      <c r="I397" s="381"/>
      <c r="J397" s="696">
        <f t="shared" ref="J397" si="120">+VLOOKUP(D397,$AB$7:$AC$35,2,FALSE)</f>
        <v>37.504372000000004</v>
      </c>
      <c r="K397" s="373" t="s">
        <v>1399</v>
      </c>
      <c r="M397" s="648">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893</v>
      </c>
      <c r="I398" s="381"/>
      <c r="J398" s="696">
        <f t="shared" ref="J398" si="121">+VLOOKUP(D398,$AB$7:$AC$35,2,FALSE)</f>
        <v>37.504372000000004</v>
      </c>
      <c r="K398" s="373" t="s">
        <v>1399</v>
      </c>
      <c r="M398" s="648">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1610</v>
      </c>
      <c r="I399" s="381"/>
      <c r="J399" s="696">
        <f t="shared" ref="J399" si="122">+VLOOKUP(D399,$AB$7:$AC$35,2,FALSE)</f>
        <v>57.597240999999997</v>
      </c>
      <c r="K399" s="373" t="s">
        <v>1399</v>
      </c>
      <c r="M399" s="648">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1609</v>
      </c>
      <c r="I400" s="381"/>
      <c r="J400" s="696">
        <f t="shared" ref="J400" si="123">+VLOOKUP(D400,$AB$7:$AC$35,2,FALSE)</f>
        <v>37.504372000000004</v>
      </c>
      <c r="K400" s="373" t="s">
        <v>1399</v>
      </c>
      <c r="M400" s="648">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894</v>
      </c>
      <c r="I401" s="381"/>
      <c r="J401" s="696">
        <f t="shared" ref="J401" si="124">+VLOOKUP(D401,$AB$7:$AC$35,2,FALSE)</f>
        <v>66.381106999999986</v>
      </c>
      <c r="K401" s="373" t="s">
        <v>1399</v>
      </c>
      <c r="M401" s="648">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895</v>
      </c>
      <c r="I402" s="381"/>
      <c r="J402" s="696">
        <f t="shared" ref="J402" si="125">+VLOOKUP(D402,$AB$7:$AC$35,2,FALSE)</f>
        <v>45.413028000000004</v>
      </c>
      <c r="K402" s="373" t="s">
        <v>1399</v>
      </c>
      <c r="M402" s="648">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1494</v>
      </c>
      <c r="I403" s="381"/>
      <c r="J403" s="696">
        <f t="shared" ref="J403" si="126">+VLOOKUP(D403,$AB$7:$AC$35,2,FALSE)</f>
        <v>45.413028000000004</v>
      </c>
      <c r="K403" s="373" t="s">
        <v>1399</v>
      </c>
      <c r="M403" s="648">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1492</v>
      </c>
      <c r="I404" s="381"/>
      <c r="J404" s="696">
        <f t="shared" ref="J404" si="127">+VLOOKUP(D404,$AB$7:$AC$35,2,FALSE)</f>
        <v>45.413028000000004</v>
      </c>
      <c r="K404" s="373" t="s">
        <v>1399</v>
      </c>
      <c r="M404" s="648">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894</v>
      </c>
      <c r="I405" s="381"/>
      <c r="J405" s="696">
        <f t="shared" ref="J405:J408" si="128">+VLOOKUP(D405,$AB$7:$AC$35,2,FALSE)</f>
        <v>37.504372000000004</v>
      </c>
      <c r="K405" s="373" t="s">
        <v>1399</v>
      </c>
      <c r="M405" s="648">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896</v>
      </c>
      <c r="I406" s="381"/>
      <c r="J406" s="696">
        <f t="shared" si="128"/>
        <v>66.381106999999986</v>
      </c>
      <c r="K406" s="373" t="s">
        <v>1399</v>
      </c>
      <c r="M406" s="648">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893</v>
      </c>
      <c r="I407" s="381"/>
      <c r="J407" s="696">
        <f t="shared" si="128"/>
        <v>45.413028000000004</v>
      </c>
      <c r="K407" s="373" t="s">
        <v>1399</v>
      </c>
      <c r="M407" s="648">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1457</v>
      </c>
      <c r="I408" s="381"/>
      <c r="J408" s="696">
        <f t="shared" si="128"/>
        <v>37.504372000000004</v>
      </c>
      <c r="K408" s="373" t="s">
        <v>1399</v>
      </c>
      <c r="M408" s="648">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1610</v>
      </c>
      <c r="I409" s="381"/>
      <c r="J409" s="696">
        <f t="shared" ref="J409" si="129">+VLOOKUP(D409,$AB$7:$AC$35,2,FALSE)</f>
        <v>57.597240999999997</v>
      </c>
      <c r="K409" s="373" t="s">
        <v>1399</v>
      </c>
      <c r="M409" s="648">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1637</v>
      </c>
      <c r="I410" s="381"/>
      <c r="J410" s="696">
        <f t="shared" ref="J410:J412" si="130">+VLOOKUP(D410,$AB$7:$AC$35,2,FALSE)</f>
        <v>37.504372000000004</v>
      </c>
      <c r="K410" s="373" t="s">
        <v>1399</v>
      </c>
      <c r="M410" s="648">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1492</v>
      </c>
      <c r="I411" s="381"/>
      <c r="J411" s="696">
        <f t="shared" si="130"/>
        <v>78.132046999999986</v>
      </c>
      <c r="K411" s="373" t="s">
        <v>1399</v>
      </c>
      <c r="M411" s="648">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1494</v>
      </c>
      <c r="I412" s="381"/>
      <c r="J412" s="696">
        <f t="shared" si="130"/>
        <v>37.504372000000004</v>
      </c>
      <c r="K412" s="373" t="s">
        <v>1399</v>
      </c>
      <c r="M412" s="648">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1614</v>
      </c>
      <c r="I413" s="381"/>
      <c r="J413" s="696">
        <f t="shared" ref="J413:J414" si="131">+VLOOKUP(D413,$AB$7:$AC$35,2,FALSE)</f>
        <v>38.847605999999992</v>
      </c>
      <c r="K413" s="373" t="s">
        <v>1399</v>
      </c>
      <c r="M413" s="648">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896</v>
      </c>
      <c r="I414" s="381"/>
      <c r="J414" s="696">
        <f t="shared" si="131"/>
        <v>45.413028000000004</v>
      </c>
      <c r="K414" s="373" t="s">
        <v>1399</v>
      </c>
      <c r="M414" s="648">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894</v>
      </c>
      <c r="I415" s="381"/>
      <c r="J415" s="696">
        <f t="shared" ref="J415" si="132">+VLOOKUP(D415,$AB$7:$AC$35,2,FALSE)</f>
        <v>38.847605999999992</v>
      </c>
      <c r="K415" s="373" t="s">
        <v>1399</v>
      </c>
      <c r="M415" s="648">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895</v>
      </c>
      <c r="I416" s="381"/>
      <c r="J416" s="696">
        <f t="shared" ref="J416" si="133">+VLOOKUP(D416,$AB$7:$AC$35,2,FALSE)</f>
        <v>57.597240999999997</v>
      </c>
      <c r="K416" s="373" t="s">
        <v>1399</v>
      </c>
      <c r="M416" s="648">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1492</v>
      </c>
      <c r="I417" s="381"/>
      <c r="J417" s="696">
        <f t="shared" ref="J417" si="134">+VLOOKUP(D417,$AB$7:$AC$35,2,FALSE)</f>
        <v>47.184350000000002</v>
      </c>
      <c r="K417" s="373" t="s">
        <v>1399</v>
      </c>
      <c r="M417" s="648">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1457</v>
      </c>
      <c r="I418" s="381"/>
      <c r="J418" s="696">
        <f t="shared" ref="J418" si="135">+VLOOKUP(D418,$AB$7:$AC$35,2,FALSE)</f>
        <v>38.847605999999992</v>
      </c>
      <c r="K418" s="373" t="s">
        <v>1399</v>
      </c>
      <c r="M418" s="648">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1600</v>
      </c>
      <c r="I419" s="381"/>
      <c r="J419" s="696">
        <f t="shared" ref="J419" si="136">+VLOOKUP(D419,$AB$7:$AC$35,2,FALSE)</f>
        <v>70.701702999999995</v>
      </c>
      <c r="K419" s="373" t="s">
        <v>1399</v>
      </c>
      <c r="M419" s="648">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1494</v>
      </c>
      <c r="I420" s="381"/>
      <c r="J420" s="696">
        <f t="shared" ref="J420" si="137">+VLOOKUP(D420,$AB$7:$AC$35,2,FALSE)</f>
        <v>38.847605999999992</v>
      </c>
      <c r="K420" s="373" t="s">
        <v>1399</v>
      </c>
      <c r="M420" s="648">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1639</v>
      </c>
      <c r="I421" s="381"/>
      <c r="J421" s="696">
        <f t="shared" ref="J421" si="138">+VLOOKUP(D421,$AB$7:$AC$35,2,FALSE)</f>
        <v>37.504372000000004</v>
      </c>
      <c r="K421" s="373" t="s">
        <v>1399</v>
      </c>
      <c r="M421" s="648">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893</v>
      </c>
      <c r="I422" s="381"/>
      <c r="J422" s="696">
        <f t="shared" ref="J422" si="139">+VLOOKUP(D422,$AB$7:$AC$35,2,FALSE)</f>
        <v>37.504372000000004</v>
      </c>
      <c r="K422" s="373" t="s">
        <v>1399</v>
      </c>
      <c r="M422" s="648">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1492</v>
      </c>
      <c r="I423" s="381"/>
      <c r="J423" s="696">
        <f t="shared" ref="J423" si="140">+VLOOKUP(D423,$AB$7:$AC$35,2,FALSE)</f>
        <v>37.504372000000004</v>
      </c>
      <c r="K423" s="373" t="s">
        <v>1399</v>
      </c>
      <c r="M423" s="648">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1399</v>
      </c>
      <c r="M424" s="648">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1457</v>
      </c>
      <c r="I425" s="381"/>
      <c r="J425" s="696">
        <f t="shared" ref="J425:J426" si="142">+VLOOKUP(D425,$AB$7:$AC$35,2,FALSE)</f>
        <v>38.847605999999992</v>
      </c>
      <c r="K425" s="373" t="s">
        <v>1399</v>
      </c>
      <c r="M425" s="648">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1614</v>
      </c>
      <c r="I426" s="381"/>
      <c r="J426" s="696">
        <f t="shared" si="142"/>
        <v>38.847605999999992</v>
      </c>
      <c r="K426" s="373" t="s">
        <v>1399</v>
      </c>
      <c r="M426" s="648">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1488</v>
      </c>
      <c r="I427" s="381"/>
      <c r="J427" s="696">
        <f t="shared" ref="J427" si="143">+VLOOKUP(D427,$AB$7:$AC$35,2,FALSE)</f>
        <v>45.413028000000004</v>
      </c>
      <c r="K427" s="373" t="s">
        <v>1399</v>
      </c>
      <c r="M427" s="648">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1639</v>
      </c>
      <c r="I428" s="381"/>
      <c r="J428" s="696">
        <f t="shared" ref="J428" si="144">+VLOOKUP(D428,$AB$7:$AC$35,2,FALSE)</f>
        <v>37.504372000000004</v>
      </c>
      <c r="K428" s="373" t="s">
        <v>1399</v>
      </c>
      <c r="M428" s="648">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1399</v>
      </c>
      <c r="M429" s="648">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1644</v>
      </c>
      <c r="I430" s="381"/>
      <c r="J430" s="696">
        <f t="shared" si="145"/>
        <v>47.184350000000002</v>
      </c>
      <c r="K430" s="373" t="s">
        <v>1399</v>
      </c>
      <c r="M430" s="648">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896</v>
      </c>
      <c r="I431" s="381"/>
      <c r="J431" s="696">
        <f t="shared" ref="J431:J432" si="146">+VLOOKUP(D431,$AB$7:$AC$35,2,FALSE)</f>
        <v>37.504372000000004</v>
      </c>
      <c r="K431" s="373" t="s">
        <v>1399</v>
      </c>
      <c r="M431" s="648">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1492</v>
      </c>
      <c r="I432" s="381"/>
      <c r="J432" s="696">
        <f t="shared" si="146"/>
        <v>67.873650999999995</v>
      </c>
      <c r="K432" s="373" t="s">
        <v>1399</v>
      </c>
      <c r="M432" s="648">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893</v>
      </c>
      <c r="I433" s="381"/>
      <c r="J433" s="696">
        <f t="shared" ref="J433" si="147">+VLOOKUP(D433,$AB$7:$AC$35,2,FALSE)</f>
        <v>57.597240999999997</v>
      </c>
      <c r="K433" s="373" t="s">
        <v>1399</v>
      </c>
      <c r="M433" s="648">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1600</v>
      </c>
      <c r="I434" s="381"/>
      <c r="J434" s="696">
        <f t="shared" ref="J434:J435" si="148">+VLOOKUP(D434,$AB$7:$AC$35,2,FALSE)</f>
        <v>38.847605999999992</v>
      </c>
      <c r="K434" s="373" t="s">
        <v>1399</v>
      </c>
      <c r="M434" s="648">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894</v>
      </c>
      <c r="I435" s="381"/>
      <c r="J435" s="696">
        <f t="shared" si="148"/>
        <v>57.597240999999997</v>
      </c>
      <c r="K435" s="373" t="s">
        <v>1399</v>
      </c>
      <c r="M435" s="648">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1383</v>
      </c>
      <c r="I436" s="381"/>
      <c r="J436" s="696">
        <f t="shared" ref="J436" si="149">+VLOOKUP(D436,$AB$7:$AC$35,2,FALSE)</f>
        <v>37.504372000000004</v>
      </c>
      <c r="K436" s="373" t="s">
        <v>1399</v>
      </c>
      <c r="M436" s="648">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1610</v>
      </c>
      <c r="I437" s="381"/>
      <c r="J437" s="696">
        <f t="shared" ref="J437" si="150">+VLOOKUP(D437,$AB$7:$AC$35,2,FALSE)</f>
        <v>129.110961</v>
      </c>
      <c r="K437" s="373" t="s">
        <v>1399</v>
      </c>
      <c r="M437" s="648">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1577</v>
      </c>
      <c r="I438" s="381"/>
      <c r="J438" s="696">
        <f t="shared" ref="J438" si="151">+VLOOKUP(D438,$AB$7:$AC$35,2,FALSE)</f>
        <v>38.847605999999992</v>
      </c>
      <c r="K438" s="373" t="s">
        <v>1399</v>
      </c>
      <c r="M438" s="648">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1639</v>
      </c>
      <c r="I439" s="381"/>
      <c r="J439" s="696">
        <f t="shared" ref="J439" si="152">+VLOOKUP(D439,$AB$7:$AC$35,2,FALSE)</f>
        <v>37.504372000000004</v>
      </c>
      <c r="K439" s="373" t="s">
        <v>1399</v>
      </c>
      <c r="M439" s="648">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893</v>
      </c>
      <c r="I440" s="381"/>
      <c r="J440" s="696">
        <f t="shared" ref="J440" si="153">+VLOOKUP(D440,$AB$7:$AC$35,2,FALSE)</f>
        <v>37.504372000000004</v>
      </c>
      <c r="K440" s="373" t="s">
        <v>1399</v>
      </c>
      <c r="M440" s="648">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1399</v>
      </c>
      <c r="M441" s="648">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1383</v>
      </c>
      <c r="I442" s="381"/>
      <c r="J442" s="696">
        <f t="shared" ref="J442" si="155">+VLOOKUP(D442,$AB$7:$AC$35,2,FALSE)</f>
        <v>37.504372000000004</v>
      </c>
      <c r="K442" s="373" t="s">
        <v>1399</v>
      </c>
      <c r="M442" s="648">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896</v>
      </c>
      <c r="I443" s="381"/>
      <c r="J443" s="696">
        <f t="shared" ref="J443" si="156">+VLOOKUP(D443,$AB$7:$AC$35,2,FALSE)</f>
        <v>37.504372000000004</v>
      </c>
      <c r="K443" s="373" t="s">
        <v>1399</v>
      </c>
      <c r="M443" s="648">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1614</v>
      </c>
      <c r="I444" s="381"/>
      <c r="J444" s="696">
        <f t="shared" ref="J444" si="157">+VLOOKUP(D444,$AB$7:$AC$35,2,FALSE)</f>
        <v>38.847605999999992</v>
      </c>
      <c r="K444" s="373" t="s">
        <v>1399</v>
      </c>
      <c r="M444" s="648">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1600</v>
      </c>
      <c r="I445" s="381"/>
      <c r="J445" s="696">
        <f t="shared" ref="J445" si="158">+VLOOKUP(D445,$AB$7:$AC$35,2,FALSE)</f>
        <v>38.847605999999992</v>
      </c>
      <c r="K445" s="373" t="s">
        <v>1399</v>
      </c>
      <c r="M445" s="648">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1577</v>
      </c>
      <c r="I446" s="381"/>
      <c r="J446" s="696">
        <f t="shared" ref="J446:J448" si="159">+VLOOKUP(D446,$AB$7:$AC$35,2,FALSE)</f>
        <v>38.847605999999992</v>
      </c>
      <c r="K446" s="373" t="s">
        <v>1399</v>
      </c>
      <c r="M446" s="648">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1639</v>
      </c>
      <c r="I447" s="381"/>
      <c r="J447" s="696">
        <f t="shared" si="159"/>
        <v>37.504372000000004</v>
      </c>
      <c r="K447" s="373" t="s">
        <v>1399</v>
      </c>
      <c r="M447" s="648">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893</v>
      </c>
      <c r="I448" s="381"/>
      <c r="J448" s="696">
        <f t="shared" si="159"/>
        <v>38.847605999999992</v>
      </c>
      <c r="K448" s="373" t="s">
        <v>1399</v>
      </c>
      <c r="M448" s="648">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1610</v>
      </c>
      <c r="I449" s="381"/>
      <c r="J449" s="696">
        <f t="shared" ref="J449:J451" si="160">+VLOOKUP(D449,$AB$7:$AC$35,2,FALSE)</f>
        <v>38.847605999999992</v>
      </c>
      <c r="K449" s="373" t="s">
        <v>1399</v>
      </c>
      <c r="M449" s="648">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1488</v>
      </c>
      <c r="I450" s="381"/>
      <c r="J450" s="696">
        <f t="shared" si="160"/>
        <v>66.381106999999986</v>
      </c>
      <c r="K450" s="373" t="s">
        <v>1399</v>
      </c>
      <c r="M450" s="648">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1448</v>
      </c>
      <c r="I451" s="381"/>
      <c r="J451" s="696">
        <f t="shared" si="160"/>
        <v>45.413028000000004</v>
      </c>
      <c r="K451" s="373" t="s">
        <v>1399</v>
      </c>
      <c r="M451" s="648">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1492</v>
      </c>
      <c r="I452" s="381"/>
      <c r="J452" s="696">
        <f t="shared" ref="J452" si="161">+VLOOKUP(D452,$AB$7:$AC$35,2,FALSE)</f>
        <v>45.413028000000004</v>
      </c>
      <c r="K452" s="373" t="s">
        <v>1399</v>
      </c>
      <c r="M452" s="648">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1383</v>
      </c>
      <c r="I453" s="381"/>
      <c r="J453" s="696">
        <f t="shared" ref="J453" si="162">+VLOOKUP(D453,$AB$7:$AC$35,2,FALSE)</f>
        <v>47.184350000000002</v>
      </c>
      <c r="K453" s="373" t="s">
        <v>1399</v>
      </c>
      <c r="M453" s="648">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1399</v>
      </c>
      <c r="M454" s="648">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1637</v>
      </c>
      <c r="I455" s="381"/>
      <c r="J455" s="696">
        <f t="shared" ref="J455" si="164">+VLOOKUP(D455,$AB$7:$AC$35,2,FALSE)</f>
        <v>37.504372000000004</v>
      </c>
      <c r="K455" s="373" t="s">
        <v>1399</v>
      </c>
      <c r="M455" s="648">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1639</v>
      </c>
      <c r="I456" s="381"/>
      <c r="J456" s="696">
        <f t="shared" ref="J456:J457" si="165">+VLOOKUP(D456,$AB$7:$AC$35,2,FALSE)</f>
        <v>37.504372000000004</v>
      </c>
      <c r="K456" s="373" t="s">
        <v>1399</v>
      </c>
      <c r="M456" s="648">
        <f t="shared" ref="M456:M465"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896</v>
      </c>
      <c r="I457" s="381"/>
      <c r="J457" s="696">
        <f t="shared" si="165"/>
        <v>38.847605999999992</v>
      </c>
      <c r="K457" s="373" t="s">
        <v>1399</v>
      </c>
      <c r="M457" s="648">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894</v>
      </c>
      <c r="I458" s="381"/>
      <c r="J458" s="696">
        <f t="shared" ref="J458" si="167">+VLOOKUP(D458,$AB$7:$AC$35,2,FALSE)</f>
        <v>45.413028000000004</v>
      </c>
      <c r="K458" s="373" t="s">
        <v>1399</v>
      </c>
      <c r="M458" s="648">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1383</v>
      </c>
      <c r="I459" s="381"/>
      <c r="J459" s="696">
        <f t="shared" ref="J459:J460" si="168">+VLOOKUP(D459,$AB$7:$AC$35,2,FALSE)</f>
        <v>47.184350000000002</v>
      </c>
      <c r="K459" s="373" t="s">
        <v>1399</v>
      </c>
      <c r="M459" s="648">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1492</v>
      </c>
      <c r="I460" s="381"/>
      <c r="J460" s="696">
        <f t="shared" si="168"/>
        <v>45.413028000000004</v>
      </c>
      <c r="K460" s="373" t="s">
        <v>1399</v>
      </c>
      <c r="M460" s="648">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893</v>
      </c>
      <c r="I461" s="381"/>
      <c r="J461" s="696">
        <f t="shared" ref="J461" si="169">+VLOOKUP(D461,$AB$7:$AC$35,2,FALSE)</f>
        <v>45.413028000000004</v>
      </c>
      <c r="K461" s="373" t="s">
        <v>1399</v>
      </c>
      <c r="M461" s="648">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893</v>
      </c>
      <c r="I462" s="381"/>
      <c r="J462" s="696">
        <f t="shared" ref="J462" si="170">+VLOOKUP(D462,$AB$7:$AC$35,2,FALSE)</f>
        <v>37.504372000000004</v>
      </c>
      <c r="K462" s="373" t="s">
        <v>1399</v>
      </c>
      <c r="M462" s="648">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1488</v>
      </c>
      <c r="I463" s="381"/>
      <c r="J463" s="696">
        <f t="shared" ref="J463" si="171">+VLOOKUP(D463,$AB$7:$AC$35,2,FALSE)</f>
        <v>37.504372000000004</v>
      </c>
      <c r="K463" s="373" t="s">
        <v>1399</v>
      </c>
      <c r="M463" s="648">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893</v>
      </c>
      <c r="I464" s="381"/>
      <c r="J464" s="696">
        <f t="shared" ref="J464" si="172">+VLOOKUP(D464,$AB$7:$AC$35,2,FALSE)</f>
        <v>38.847605999999992</v>
      </c>
      <c r="K464" s="373" t="s">
        <v>1399</v>
      </c>
      <c r="M464" s="648">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893</v>
      </c>
      <c r="I465" s="381"/>
      <c r="J465" s="696">
        <f t="shared" ref="J465" si="173">+VLOOKUP(D465,$AB$7:$AC$35,2,FALSE)</f>
        <v>78.132046999999986</v>
      </c>
      <c r="K465" s="373" t="s">
        <v>1399</v>
      </c>
      <c r="M465" s="648">
        <f t="shared" si="166"/>
        <v>8</v>
      </c>
    </row>
    <row r="466" spans="1:13" x14ac:dyDescent="0.2">
      <c r="A466" s="372"/>
      <c r="B466" s="366"/>
      <c r="C466" s="367"/>
      <c r="D466" s="368"/>
      <c r="E466" s="368"/>
      <c r="F466" s="350"/>
      <c r="G466" s="350"/>
      <c r="H466" s="373"/>
      <c r="I466" s="381"/>
      <c r="J466" s="696"/>
      <c r="K466" s="373"/>
    </row>
    <row r="467" spans="1:13" s="646" customFormat="1" x14ac:dyDescent="0.2">
      <c r="A467" s="655"/>
      <c r="B467" s="656"/>
      <c r="C467" s="657"/>
      <c r="D467" s="658" t="s">
        <v>1195</v>
      </c>
      <c r="E467" s="658"/>
      <c r="F467" s="659" t="s">
        <v>6</v>
      </c>
      <c r="G467" s="659" t="s">
        <v>1171</v>
      </c>
      <c r="H467" s="660" t="s">
        <v>7</v>
      </c>
      <c r="I467" s="660"/>
      <c r="J467" s="660"/>
      <c r="K467" s="660" t="s">
        <v>1631</v>
      </c>
      <c r="L467" s="646" t="s">
        <v>1171</v>
      </c>
      <c r="M467" s="661" t="s">
        <v>1410</v>
      </c>
    </row>
    <row r="468" spans="1:13" s="743" customFormat="1" x14ac:dyDescent="0.2">
      <c r="A468" s="736"/>
      <c r="B468" s="737"/>
      <c r="C468" s="738"/>
      <c r="D468" s="744" t="s">
        <v>176</v>
      </c>
      <c r="E468" s="737"/>
      <c r="F468" s="739">
        <v>46051</v>
      </c>
      <c r="G468" s="737"/>
      <c r="H468" s="740" t="s">
        <v>1488</v>
      </c>
      <c r="I468" s="741"/>
      <c r="J468" s="741"/>
      <c r="K468" s="740" t="s">
        <v>1399</v>
      </c>
      <c r="L468" s="743" t="s">
        <v>1748</v>
      </c>
      <c r="M468" s="742">
        <v>29</v>
      </c>
    </row>
    <row r="469" spans="1:13" s="754" customFormat="1" x14ac:dyDescent="0.2">
      <c r="A469" s="747"/>
      <c r="B469" s="748"/>
      <c r="C469" s="749"/>
      <c r="D469" s="750" t="s">
        <v>61</v>
      </c>
      <c r="E469" s="748"/>
      <c r="F469" s="751">
        <v>46052</v>
      </c>
      <c r="G469" s="748"/>
      <c r="H469" s="752" t="s">
        <v>893</v>
      </c>
      <c r="I469" s="753"/>
      <c r="J469" s="753"/>
      <c r="K469" s="752" t="s">
        <v>1399</v>
      </c>
      <c r="L469" s="754" t="s">
        <v>124</v>
      </c>
      <c r="M469" s="755">
        <v>42</v>
      </c>
    </row>
    <row r="470" spans="1:13" x14ac:dyDescent="0.2">
      <c r="A470" s="384"/>
      <c r="B470" s="383"/>
      <c r="C470" s="380"/>
      <c r="D470" s="383"/>
      <c r="E470" s="383"/>
      <c r="F470" s="383"/>
      <c r="G470" s="383"/>
      <c r="H470" s="382"/>
      <c r="I470" s="385"/>
      <c r="J470" s="385"/>
      <c r="K470" s="382"/>
    </row>
    <row r="471" spans="1:13" x14ac:dyDescent="0.2">
      <c r="A471" s="384"/>
      <c r="B471" s="383"/>
      <c r="C471" s="380"/>
      <c r="D471" s="383"/>
      <c r="E471" s="383"/>
      <c r="F471" s="383"/>
      <c r="G471" s="383"/>
      <c r="H471" s="382"/>
      <c r="I471" s="385"/>
      <c r="J471" s="385"/>
      <c r="K471" s="382"/>
    </row>
    <row r="472" spans="1:13" x14ac:dyDescent="0.2">
      <c r="A472" s="384"/>
      <c r="B472" s="383"/>
      <c r="C472" s="380"/>
      <c r="D472" s="383"/>
      <c r="E472" s="383"/>
      <c r="F472" s="383"/>
      <c r="G472" s="383"/>
      <c r="H472" s="382"/>
      <c r="I472" s="385"/>
      <c r="J472" s="385"/>
      <c r="K472" s="382"/>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ht="13.5" thickBot="1" x14ac:dyDescent="0.25">
      <c r="A637" s="386"/>
      <c r="B637" s="387"/>
      <c r="C637" s="388"/>
      <c r="D637" s="389"/>
      <c r="E637" s="389"/>
      <c r="F637" s="389"/>
      <c r="G637" s="389"/>
      <c r="H637" s="390"/>
      <c r="I637" s="391"/>
      <c r="J637" s="391"/>
      <c r="K637" s="390"/>
    </row>
    <row r="638" spans="1:11" ht="13.5" thickTop="1" x14ac:dyDescent="0.2"/>
  </sheetData>
  <autoFilter ref="A4:U467" xr:uid="{B2F43F34-D5BF-47F4-AA9C-4A420D7D6691}"/>
  <conditionalFormatting sqref="C1:C1048576">
    <cfRule type="duplicateValues" dxfId="166" priority="3"/>
    <cfRule type="duplicateValues" dxfId="165" priority="4"/>
  </conditionalFormatting>
  <conditionalFormatting sqref="H468:H469">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07"/>
  <sheetViews>
    <sheetView view="pageBreakPreview" zoomScale="90" zoomScaleNormal="100" zoomScaleSheetLayoutView="90" workbookViewId="0">
      <pane ySplit="5" topLeftCell="A285" activePane="bottomLeft" state="frozen"/>
      <selection activeCell="N8" sqref="N8"/>
      <selection pane="bottomLeft" activeCell="A300" sqref="A300:A304"/>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1264</v>
      </c>
    </row>
    <row r="2" spans="1:14" x14ac:dyDescent="0.25">
      <c r="A2" s="342" t="s">
        <v>1230</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1192</v>
      </c>
      <c r="H5" s="395" t="s">
        <v>1193</v>
      </c>
    </row>
    <row r="6" spans="1:14" x14ac:dyDescent="0.25">
      <c r="A6" s="344">
        <f>+SUBTOTAL(3,$E$6:$E6)</f>
        <v>1</v>
      </c>
      <c r="B6" s="346" t="s">
        <v>765</v>
      </c>
      <c r="C6" s="344" t="str">
        <f>+VLOOKUP(B6,'Erection Compiled'!$C$7:$D$650,2,FALSE)</f>
        <v>DA+3</v>
      </c>
      <c r="D6" s="350">
        <v>45342</v>
      </c>
      <c r="E6" s="350">
        <v>45342</v>
      </c>
      <c r="F6" s="344" t="s">
        <v>1026</v>
      </c>
      <c r="G6" s="344" t="s">
        <v>1028</v>
      </c>
      <c r="H6" s="344" t="s">
        <v>1028</v>
      </c>
    </row>
    <row r="7" spans="1:14" x14ac:dyDescent="0.25">
      <c r="A7" s="344">
        <f>+SUBTOTAL(3,$E$6:$E7)</f>
        <v>2</v>
      </c>
      <c r="B7" s="346" t="s">
        <v>766</v>
      </c>
      <c r="C7" s="344" t="str">
        <f>+VLOOKUP(B7,'Erection Compiled'!$C$7:$D$650,2,FALSE)</f>
        <v>DA+6</v>
      </c>
      <c r="D7" s="350">
        <v>45344</v>
      </c>
      <c r="E7" s="350">
        <v>45344</v>
      </c>
      <c r="F7" s="344" t="s">
        <v>1026</v>
      </c>
      <c r="G7" s="344" t="s">
        <v>1028</v>
      </c>
      <c r="H7" s="344" t="s">
        <v>1028</v>
      </c>
    </row>
    <row r="8" spans="1:14" x14ac:dyDescent="0.25">
      <c r="A8" s="344">
        <f>+SUBTOTAL(3,$E$6:$E8)</f>
        <v>3</v>
      </c>
      <c r="B8" s="346" t="s">
        <v>794</v>
      </c>
      <c r="C8" s="344" t="str">
        <f>+VLOOKUP(B8,'Erection Compiled'!$C$7:$D$650,2,FALSE)</f>
        <v>DA+0</v>
      </c>
      <c r="D8" s="350">
        <v>45349</v>
      </c>
      <c r="E8" s="350">
        <v>45349</v>
      </c>
      <c r="F8" s="344" t="s">
        <v>1026</v>
      </c>
      <c r="G8" s="344" t="s">
        <v>1028</v>
      </c>
      <c r="H8" s="344" t="s">
        <v>1028</v>
      </c>
      <c r="N8" s="768"/>
    </row>
    <row r="9" spans="1:14" x14ac:dyDescent="0.25">
      <c r="A9" s="344">
        <f>+SUBTOTAL(3,$E$6:$E9)</f>
        <v>4</v>
      </c>
      <c r="B9" s="346" t="s">
        <v>806</v>
      </c>
      <c r="C9" s="344" t="str">
        <f>+VLOOKUP(B9,'Erection Compiled'!$C$7:$D$650,2,FALSE)</f>
        <v>DA+3</v>
      </c>
      <c r="D9" s="350">
        <v>45350</v>
      </c>
      <c r="E9" s="350">
        <v>45350</v>
      </c>
      <c r="F9" s="344" t="s">
        <v>1026</v>
      </c>
      <c r="G9" s="344" t="s">
        <v>1028</v>
      </c>
      <c r="H9" s="344" t="s">
        <v>1028</v>
      </c>
    </row>
    <row r="10" spans="1:14" x14ac:dyDescent="0.25">
      <c r="A10" s="344">
        <f>+SUBTOTAL(3,$E$6:$E10)</f>
        <v>5</v>
      </c>
      <c r="B10" s="346" t="s">
        <v>808</v>
      </c>
      <c r="C10" s="344" t="str">
        <f>+VLOOKUP(B10,'Erection Compiled'!$C$7:$D$650,2,FALSE)</f>
        <v>DA+3</v>
      </c>
      <c r="D10" s="350">
        <v>45352</v>
      </c>
      <c r="E10" s="350">
        <v>45353</v>
      </c>
      <c r="F10" s="344" t="s">
        <v>1026</v>
      </c>
      <c r="G10" s="344" t="s">
        <v>1028</v>
      </c>
      <c r="H10" s="344" t="s">
        <v>1028</v>
      </c>
    </row>
    <row r="11" spans="1:14" x14ac:dyDescent="0.25">
      <c r="A11" s="344">
        <f>+SUBTOTAL(3,$E$6:$E11)</f>
        <v>6</v>
      </c>
      <c r="B11" s="346" t="s">
        <v>792</v>
      </c>
      <c r="C11" s="344" t="str">
        <f>+VLOOKUP(B11,'Erection Compiled'!$C$7:$D$650,2,FALSE)</f>
        <v>DA+0</v>
      </c>
      <c r="D11" s="350">
        <v>45325</v>
      </c>
      <c r="E11" s="350">
        <v>45325</v>
      </c>
      <c r="F11" s="344" t="s">
        <v>1026</v>
      </c>
      <c r="G11" s="344" t="s">
        <v>1028</v>
      </c>
      <c r="H11" s="344" t="s">
        <v>1028</v>
      </c>
    </row>
    <row r="12" spans="1:14" x14ac:dyDescent="0.25">
      <c r="A12" s="344">
        <f>+SUBTOTAL(3,$E$6:$E12)</f>
        <v>7</v>
      </c>
      <c r="B12" s="346" t="s">
        <v>793</v>
      </c>
      <c r="C12" s="344" t="str">
        <f>+VLOOKUP(B12,'Erection Compiled'!$C$7:$D$650,2,FALSE)</f>
        <v>DA+3</v>
      </c>
      <c r="D12" s="350">
        <v>45355</v>
      </c>
      <c r="E12" s="350">
        <v>45355</v>
      </c>
      <c r="F12" s="344" t="s">
        <v>1026</v>
      </c>
      <c r="G12" s="344" t="s">
        <v>1028</v>
      </c>
      <c r="H12" s="344" t="s">
        <v>1028</v>
      </c>
    </row>
    <row r="13" spans="1:14" x14ac:dyDescent="0.25">
      <c r="A13" s="344">
        <f>+SUBTOTAL(3,$E$6:$E13)</f>
        <v>8</v>
      </c>
      <c r="B13" s="346" t="s">
        <v>764</v>
      </c>
      <c r="C13" s="344" t="str">
        <f>+VLOOKUP(B13,'Erection Compiled'!$C$7:$D$650,2,FALSE)</f>
        <v>DA+6</v>
      </c>
      <c r="D13" s="350">
        <v>45356</v>
      </c>
      <c r="E13" s="350">
        <v>45356</v>
      </c>
      <c r="F13" s="344" t="s">
        <v>1026</v>
      </c>
      <c r="G13" s="344" t="s">
        <v>1028</v>
      </c>
      <c r="H13" s="344" t="s">
        <v>1028</v>
      </c>
    </row>
    <row r="14" spans="1:14" x14ac:dyDescent="0.25">
      <c r="A14" s="344">
        <f>+SUBTOTAL(3,$E$6:$E14)</f>
        <v>9</v>
      </c>
      <c r="B14" s="346" t="s">
        <v>762</v>
      </c>
      <c r="C14" s="344" t="str">
        <f>+VLOOKUP(B14,'Erection Compiled'!$C$7:$D$650,2,FALSE)</f>
        <v>DA+0</v>
      </c>
      <c r="D14" s="350">
        <v>45357</v>
      </c>
      <c r="E14" s="350">
        <v>45357</v>
      </c>
      <c r="F14" s="344" t="s">
        <v>1026</v>
      </c>
      <c r="G14" s="344" t="s">
        <v>1028</v>
      </c>
      <c r="H14" s="344" t="s">
        <v>1028</v>
      </c>
    </row>
    <row r="15" spans="1:14" x14ac:dyDescent="0.25">
      <c r="A15" s="344">
        <f>+SUBTOTAL(3,$E$6:$E15)</f>
        <v>10</v>
      </c>
      <c r="B15" s="346" t="s">
        <v>761</v>
      </c>
      <c r="C15" s="344" t="str">
        <f>+VLOOKUP(B15,'Erection Compiled'!$C$7:$D$650,2,FALSE)</f>
        <v>DA+3</v>
      </c>
      <c r="D15" s="350">
        <v>45358</v>
      </c>
      <c r="E15" s="350">
        <v>45358</v>
      </c>
      <c r="F15" s="344" t="s">
        <v>1026</v>
      </c>
      <c r="G15" s="344" t="s">
        <v>1028</v>
      </c>
      <c r="H15" s="344" t="s">
        <v>1028</v>
      </c>
    </row>
    <row r="16" spans="1:14" x14ac:dyDescent="0.25">
      <c r="A16" s="344">
        <f>+SUBTOTAL(3,$E$6:$E16)</f>
        <v>11</v>
      </c>
      <c r="B16" s="346" t="s">
        <v>775</v>
      </c>
      <c r="C16" s="344" t="str">
        <f>+VLOOKUP(B16,'Erection Compiled'!$C$7:$D$650,2,FALSE)</f>
        <v>DA+3</v>
      </c>
      <c r="D16" s="350">
        <v>45360</v>
      </c>
      <c r="E16" s="350">
        <v>45360</v>
      </c>
      <c r="F16" s="344" t="s">
        <v>1026</v>
      </c>
      <c r="G16" s="344" t="s">
        <v>1028</v>
      </c>
      <c r="H16" s="344" t="s">
        <v>1028</v>
      </c>
    </row>
    <row r="17" spans="1:8" x14ac:dyDescent="0.25">
      <c r="A17" s="344">
        <f>+SUBTOTAL(3,$E$6:$E17)</f>
        <v>12</v>
      </c>
      <c r="B17" s="344" t="s">
        <v>791</v>
      </c>
      <c r="C17" s="344" t="str">
        <f>+VLOOKUP(B17,'Erection Compiled'!$C$7:$D$650,2,FALSE)</f>
        <v>DA+3</v>
      </c>
      <c r="D17" s="350">
        <v>45361</v>
      </c>
      <c r="E17" s="350">
        <v>45361</v>
      </c>
      <c r="F17" s="344" t="s">
        <v>1026</v>
      </c>
      <c r="G17" s="344" t="s">
        <v>1028</v>
      </c>
      <c r="H17" s="344" t="s">
        <v>1028</v>
      </c>
    </row>
    <row r="18" spans="1:8" x14ac:dyDescent="0.25">
      <c r="A18" s="344">
        <f>+SUBTOTAL(3,$E$6:$E18)</f>
        <v>13</v>
      </c>
      <c r="B18" s="344" t="s">
        <v>796</v>
      </c>
      <c r="C18" s="344" t="str">
        <f>+VLOOKUP(B18,'Erection Compiled'!$C$7:$D$650,2,FALSE)</f>
        <v>DA+3</v>
      </c>
      <c r="D18" s="350">
        <v>45362</v>
      </c>
      <c r="E18" s="350">
        <v>45362</v>
      </c>
      <c r="F18" s="344" t="s">
        <v>1026</v>
      </c>
      <c r="G18" s="344" t="s">
        <v>1028</v>
      </c>
      <c r="H18" s="344" t="s">
        <v>1028</v>
      </c>
    </row>
    <row r="19" spans="1:8" x14ac:dyDescent="0.25">
      <c r="A19" s="344">
        <f>+SUBTOTAL(3,$E$6:$E19)</f>
        <v>14</v>
      </c>
      <c r="B19" s="344" t="s">
        <v>810</v>
      </c>
      <c r="C19" s="344" t="str">
        <f>+VLOOKUP(B19,'Erection Compiled'!$C$7:$D$650,2,FALSE)</f>
        <v>DA+0</v>
      </c>
      <c r="D19" s="350">
        <v>45363</v>
      </c>
      <c r="E19" s="350">
        <v>45363</v>
      </c>
      <c r="F19" s="344" t="s">
        <v>1026</v>
      </c>
      <c r="G19" s="344" t="s">
        <v>1028</v>
      </c>
      <c r="H19" s="344" t="s">
        <v>1028</v>
      </c>
    </row>
    <row r="20" spans="1:8" x14ac:dyDescent="0.25">
      <c r="A20" s="344">
        <f>+SUBTOTAL(3,$E$6:$E20)</f>
        <v>15</v>
      </c>
      <c r="B20" s="344" t="s">
        <v>759</v>
      </c>
      <c r="C20" s="344" t="str">
        <f>+VLOOKUP(B20,'Erection Compiled'!$C$7:$D$650,2,FALSE)</f>
        <v>DA+3</v>
      </c>
      <c r="D20" s="350">
        <v>45363</v>
      </c>
      <c r="E20" s="350">
        <v>45363</v>
      </c>
      <c r="F20" s="344" t="s">
        <v>1027</v>
      </c>
      <c r="G20" s="344" t="s">
        <v>1028</v>
      </c>
      <c r="H20" s="344" t="s">
        <v>1028</v>
      </c>
    </row>
    <row r="21" spans="1:8" x14ac:dyDescent="0.25">
      <c r="A21" s="344">
        <f>+SUBTOTAL(3,$E$6:$E21)</f>
        <v>16</v>
      </c>
      <c r="B21" s="344" t="s">
        <v>813</v>
      </c>
      <c r="C21" s="344" t="str">
        <f>+VLOOKUP(B21,'Erection Compiled'!$C$7:$D$650,2,FALSE)</f>
        <v>DA+3</v>
      </c>
      <c r="D21" s="350">
        <v>45364</v>
      </c>
      <c r="E21" s="350">
        <v>45364</v>
      </c>
      <c r="F21" s="344" t="s">
        <v>1026</v>
      </c>
      <c r="G21" s="344" t="s">
        <v>1028</v>
      </c>
      <c r="H21" s="344" t="s">
        <v>1028</v>
      </c>
    </row>
    <row r="22" spans="1:8" x14ac:dyDescent="0.25">
      <c r="A22" s="344">
        <f>+SUBTOTAL(3,$E$6:$E22)</f>
        <v>17</v>
      </c>
      <c r="B22" s="344" t="s">
        <v>779</v>
      </c>
      <c r="C22" s="344" t="str">
        <f>+VLOOKUP(B22,'Erection Compiled'!$C$7:$D$650,2,FALSE)</f>
        <v>DA+3</v>
      </c>
      <c r="D22" s="350">
        <v>45366</v>
      </c>
      <c r="E22" s="350">
        <v>45366</v>
      </c>
      <c r="F22" s="344" t="s">
        <v>1027</v>
      </c>
      <c r="G22" s="344" t="s">
        <v>1028</v>
      </c>
      <c r="H22" s="344" t="s">
        <v>1028</v>
      </c>
    </row>
    <row r="23" spans="1:8" x14ac:dyDescent="0.25">
      <c r="A23" s="344">
        <f>+SUBTOTAL(3,$E$6:$E23)</f>
        <v>18</v>
      </c>
      <c r="B23" s="344" t="s">
        <v>797</v>
      </c>
      <c r="C23" s="344" t="str">
        <f>+VLOOKUP(B23,'Erection Compiled'!$C$7:$D$650,2,FALSE)</f>
        <v>DA+0</v>
      </c>
      <c r="D23" s="350">
        <v>45366</v>
      </c>
      <c r="E23" s="350">
        <v>45366</v>
      </c>
      <c r="F23" s="344" t="s">
        <v>1026</v>
      </c>
      <c r="G23" s="344" t="s">
        <v>1028</v>
      </c>
      <c r="H23" s="344" t="s">
        <v>1028</v>
      </c>
    </row>
    <row r="24" spans="1:8" x14ac:dyDescent="0.25">
      <c r="A24" s="344">
        <f>+SUBTOTAL(3,$E$6:$E24)</f>
        <v>19</v>
      </c>
      <c r="B24" s="344" t="s">
        <v>823</v>
      </c>
      <c r="C24" s="344" t="str">
        <f>+VLOOKUP(B24,'Erection Compiled'!$C$7:$D$650,2,FALSE)</f>
        <v>DA+0</v>
      </c>
      <c r="D24" s="350">
        <v>45367</v>
      </c>
      <c r="E24" s="350">
        <v>45367</v>
      </c>
      <c r="F24" s="344" t="s">
        <v>1026</v>
      </c>
      <c r="G24" s="344" t="s">
        <v>1028</v>
      </c>
      <c r="H24" s="344" t="s">
        <v>1028</v>
      </c>
    </row>
    <row r="25" spans="1:8" x14ac:dyDescent="0.25">
      <c r="A25" s="344">
        <f>+SUBTOTAL(3,$E$6:$E25)</f>
        <v>20</v>
      </c>
      <c r="B25" s="344" t="s">
        <v>774</v>
      </c>
      <c r="C25" s="344" t="str">
        <f>+VLOOKUP(B25,'Erection Compiled'!$C$7:$D$650,2,FALSE)</f>
        <v>DA+0</v>
      </c>
      <c r="D25" s="350">
        <v>45367</v>
      </c>
      <c r="E25" s="350">
        <v>45367</v>
      </c>
      <c r="F25" s="344" t="s">
        <v>1027</v>
      </c>
      <c r="G25" s="344" t="s">
        <v>1028</v>
      </c>
      <c r="H25" s="344" t="s">
        <v>1028</v>
      </c>
    </row>
    <row r="26" spans="1:8" x14ac:dyDescent="0.25">
      <c r="A26" s="344">
        <f>+SUBTOTAL(3,$E$6:$E26)</f>
        <v>21</v>
      </c>
      <c r="B26" s="344" t="s">
        <v>825</v>
      </c>
      <c r="C26" s="344" t="str">
        <f>+VLOOKUP(B26,'Erection Compiled'!$C$7:$D$650,2,FALSE)</f>
        <v>DA+0</v>
      </c>
      <c r="D26" s="350">
        <v>45368</v>
      </c>
      <c r="E26" s="350">
        <v>45368</v>
      </c>
      <c r="F26" s="344" t="s">
        <v>1026</v>
      </c>
      <c r="G26" s="344" t="s">
        <v>1028</v>
      </c>
      <c r="H26" s="344" t="s">
        <v>1028</v>
      </c>
    </row>
    <row r="27" spans="1:8" x14ac:dyDescent="0.25">
      <c r="A27" s="344">
        <f>+SUBTOTAL(3,$E$6:$E27)</f>
        <v>22</v>
      </c>
      <c r="B27" s="344" t="s">
        <v>814</v>
      </c>
      <c r="C27" s="344" t="str">
        <f>+VLOOKUP(B27,'Erection Compiled'!$C$7:$D$650,2,FALSE)</f>
        <v>DA+3</v>
      </c>
      <c r="D27" s="350">
        <v>45369</v>
      </c>
      <c r="E27" s="350">
        <v>45369</v>
      </c>
      <c r="F27" s="344" t="s">
        <v>1026</v>
      </c>
      <c r="G27" s="344" t="s">
        <v>1028</v>
      </c>
      <c r="H27" s="344" t="s">
        <v>1028</v>
      </c>
    </row>
    <row r="28" spans="1:8" x14ac:dyDescent="0.25">
      <c r="A28" s="344">
        <f>+SUBTOTAL(3,$E$6:$E28)</f>
        <v>23</v>
      </c>
      <c r="B28" s="344" t="s">
        <v>798</v>
      </c>
      <c r="C28" s="344" t="str">
        <f>+VLOOKUP(B28,'Erection Compiled'!$C$7:$D$650,2,FALSE)</f>
        <v>DA+3</v>
      </c>
      <c r="D28" s="350">
        <v>45370</v>
      </c>
      <c r="E28" s="350">
        <v>45370</v>
      </c>
      <c r="F28" s="344" t="s">
        <v>1026</v>
      </c>
      <c r="G28" s="344" t="s">
        <v>1028</v>
      </c>
      <c r="H28" s="344" t="s">
        <v>1028</v>
      </c>
    </row>
    <row r="29" spans="1:8" x14ac:dyDescent="0.25">
      <c r="A29" s="344">
        <f>+SUBTOTAL(3,$E$6:$E29)</f>
        <v>24</v>
      </c>
      <c r="B29" s="344" t="s">
        <v>776</v>
      </c>
      <c r="C29" s="344" t="str">
        <f>+VLOOKUP(B29,'Erection Compiled'!$C$7:$D$650,2,FALSE)</f>
        <v>DA+0</v>
      </c>
      <c r="D29" s="350">
        <v>45370</v>
      </c>
      <c r="E29" s="350">
        <v>45370</v>
      </c>
      <c r="F29" s="344" t="s">
        <v>1027</v>
      </c>
      <c r="G29" s="344" t="s">
        <v>1028</v>
      </c>
      <c r="H29" s="344" t="s">
        <v>1028</v>
      </c>
    </row>
    <row r="30" spans="1:8" x14ac:dyDescent="0.25">
      <c r="A30" s="344">
        <f>+SUBTOTAL(3,$E$6:$E30)</f>
        <v>25</v>
      </c>
      <c r="B30" s="344" t="s">
        <v>799</v>
      </c>
      <c r="C30" s="344" t="str">
        <f>+VLOOKUP(B30,'Erection Compiled'!$C$7:$D$650,2,FALSE)</f>
        <v>DA+0</v>
      </c>
      <c r="D30" s="350">
        <v>45372</v>
      </c>
      <c r="E30" s="350">
        <v>45372</v>
      </c>
      <c r="F30" s="344" t="s">
        <v>1026</v>
      </c>
      <c r="G30" s="344" t="s">
        <v>1028</v>
      </c>
      <c r="H30" s="344" t="s">
        <v>1028</v>
      </c>
    </row>
    <row r="31" spans="1:8" x14ac:dyDescent="0.25">
      <c r="A31" s="344">
        <f>+SUBTOTAL(3,$E$6:$E31)</f>
        <v>26</v>
      </c>
      <c r="B31" s="344" t="s">
        <v>824</v>
      </c>
      <c r="C31" s="344" t="str">
        <f>+VLOOKUP(B31,'Erection Compiled'!$C$7:$D$650,2,FALSE)</f>
        <v>DA+3</v>
      </c>
      <c r="D31" s="350">
        <v>45373</v>
      </c>
      <c r="E31" s="350">
        <v>45373</v>
      </c>
      <c r="F31" s="344" t="s">
        <v>1026</v>
      </c>
      <c r="G31" s="344" t="s">
        <v>1028</v>
      </c>
      <c r="H31" s="344" t="s">
        <v>1028</v>
      </c>
    </row>
    <row r="32" spans="1:8" x14ac:dyDescent="0.25">
      <c r="A32" s="344">
        <f>+SUBTOTAL(3,$E$6:$E32)</f>
        <v>27</v>
      </c>
      <c r="B32" s="344" t="s">
        <v>758</v>
      </c>
      <c r="C32" s="344" t="str">
        <f>+VLOOKUP(B32,'Erection Compiled'!$C$7:$D$650,2,FALSE)</f>
        <v>DA+3</v>
      </c>
      <c r="D32" s="350">
        <v>45373</v>
      </c>
      <c r="E32" s="350">
        <v>45373</v>
      </c>
      <c r="F32" s="344" t="s">
        <v>1027</v>
      </c>
      <c r="G32" s="344" t="s">
        <v>1028</v>
      </c>
      <c r="H32" s="344" t="s">
        <v>1028</v>
      </c>
    </row>
    <row r="33" spans="1:8" x14ac:dyDescent="0.25">
      <c r="A33" s="344">
        <f>+SUBTOTAL(3,$E$6:$E33)</f>
        <v>28</v>
      </c>
      <c r="B33" s="344" t="s">
        <v>778</v>
      </c>
      <c r="C33" s="344" t="str">
        <f>+VLOOKUP(B33,'Erection Compiled'!$C$7:$D$650,2,FALSE)</f>
        <v>DA+0</v>
      </c>
      <c r="D33" s="350">
        <v>45375</v>
      </c>
      <c r="E33" s="350">
        <v>45375</v>
      </c>
      <c r="F33" s="344" t="s">
        <v>1026</v>
      </c>
      <c r="G33" s="344" t="s">
        <v>1028</v>
      </c>
      <c r="H33" s="344" t="s">
        <v>1028</v>
      </c>
    </row>
    <row r="34" spans="1:8" x14ac:dyDescent="0.25">
      <c r="A34" s="344">
        <f>+SUBTOTAL(3,$E$6:$E34)</f>
        <v>29</v>
      </c>
      <c r="B34" s="344" t="s">
        <v>785</v>
      </c>
      <c r="C34" s="344" t="str">
        <f>+VLOOKUP(B34,'Erection Compiled'!$C$7:$D$650,2,FALSE)</f>
        <v>DA+3</v>
      </c>
      <c r="D34" s="350">
        <v>45379</v>
      </c>
      <c r="E34" s="350">
        <v>45379</v>
      </c>
      <c r="F34" s="344" t="s">
        <v>1026</v>
      </c>
      <c r="G34" s="344" t="s">
        <v>1028</v>
      </c>
      <c r="H34" s="344" t="s">
        <v>1028</v>
      </c>
    </row>
    <row r="35" spans="1:8" x14ac:dyDescent="0.25">
      <c r="A35" s="344">
        <f>+SUBTOTAL(3,$E$6:$E35)</f>
        <v>30</v>
      </c>
      <c r="B35" s="344" t="s">
        <v>826</v>
      </c>
      <c r="C35" s="344" t="str">
        <f>+VLOOKUP(B35,'Erection Compiled'!$C$7:$D$650,2,FALSE)</f>
        <v>DA+0</v>
      </c>
      <c r="D35" s="350">
        <v>45380</v>
      </c>
      <c r="E35" s="350">
        <v>45380</v>
      </c>
      <c r="F35" s="344" t="s">
        <v>1026</v>
      </c>
      <c r="G35" s="344" t="s">
        <v>1028</v>
      </c>
      <c r="H35" s="344" t="s">
        <v>1028</v>
      </c>
    </row>
    <row r="36" spans="1:8" x14ac:dyDescent="0.25">
      <c r="A36" s="344">
        <f>+SUBTOTAL(3,$E$6:$E36)</f>
        <v>31</v>
      </c>
      <c r="B36" s="344" t="s">
        <v>815</v>
      </c>
      <c r="C36" s="344" t="str">
        <f>+VLOOKUP(B36,'Erection Compiled'!$C$7:$D$650,2,FALSE)</f>
        <v>DA+0</v>
      </c>
      <c r="D36" s="350">
        <v>45383</v>
      </c>
      <c r="E36" s="350">
        <v>45383</v>
      </c>
      <c r="F36" s="344" t="s">
        <v>1026</v>
      </c>
      <c r="G36" s="344" t="s">
        <v>1028</v>
      </c>
      <c r="H36" s="344" t="s">
        <v>1028</v>
      </c>
    </row>
    <row r="37" spans="1:8" x14ac:dyDescent="0.25">
      <c r="A37" s="344">
        <f>+SUBTOTAL(3,$E$6:$E37)</f>
        <v>32</v>
      </c>
      <c r="B37" s="344" t="s">
        <v>786</v>
      </c>
      <c r="C37" s="344" t="str">
        <f>+VLOOKUP(B37,'Erection Compiled'!$C$7:$D$650,2,FALSE)</f>
        <v>DA+9</v>
      </c>
      <c r="D37" s="350">
        <v>45385</v>
      </c>
      <c r="E37" s="350">
        <v>45385</v>
      </c>
      <c r="F37" s="344" t="s">
        <v>1026</v>
      </c>
      <c r="G37" s="344" t="s">
        <v>1028</v>
      </c>
      <c r="H37" s="344" t="s">
        <v>1028</v>
      </c>
    </row>
    <row r="38" spans="1:8" x14ac:dyDescent="0.25">
      <c r="A38" s="344">
        <f>+SUBTOTAL(3,$E$6:$E38)</f>
        <v>33</v>
      </c>
      <c r="B38" s="344" t="s">
        <v>827</v>
      </c>
      <c r="C38" s="344" t="str">
        <f>+VLOOKUP(B38,'Erection Compiled'!$C$7:$D$650,2,FALSE)</f>
        <v>DA+0</v>
      </c>
      <c r="D38" s="350">
        <v>45386</v>
      </c>
      <c r="E38" s="350">
        <v>45386</v>
      </c>
      <c r="F38" s="344" t="s">
        <v>1026</v>
      </c>
      <c r="G38" s="344" t="s">
        <v>1028</v>
      </c>
      <c r="H38" s="344" t="s">
        <v>1028</v>
      </c>
    </row>
    <row r="39" spans="1:8" x14ac:dyDescent="0.25">
      <c r="A39" s="344">
        <f>+SUBTOTAL(3,$E$6:$E39)</f>
        <v>34</v>
      </c>
      <c r="B39" s="344" t="s">
        <v>816</v>
      </c>
      <c r="C39" s="344" t="str">
        <f>+VLOOKUP(B39,'Erection Compiled'!$C$7:$D$650,2,FALSE)</f>
        <v>DA+3</v>
      </c>
      <c r="D39" s="350">
        <v>45388</v>
      </c>
      <c r="E39" s="350">
        <v>45388</v>
      </c>
      <c r="F39" s="344" t="s">
        <v>1026</v>
      </c>
      <c r="G39" s="344" t="s">
        <v>1028</v>
      </c>
      <c r="H39" s="344" t="s">
        <v>1028</v>
      </c>
    </row>
    <row r="40" spans="1:8" x14ac:dyDescent="0.25">
      <c r="A40" s="344">
        <f>+SUBTOTAL(3,$E$6:$E40)</f>
        <v>35</v>
      </c>
      <c r="B40" s="344" t="s">
        <v>807</v>
      </c>
      <c r="C40" s="344" t="str">
        <f>+VLOOKUP(B40,'Erection Compiled'!$C$7:$D$650,2,FALSE)</f>
        <v>DA+3</v>
      </c>
      <c r="D40" s="350">
        <v>45403</v>
      </c>
      <c r="E40" s="350">
        <v>45404</v>
      </c>
      <c r="F40" s="344" t="s">
        <v>1026</v>
      </c>
      <c r="G40" s="344" t="s">
        <v>1028</v>
      </c>
      <c r="H40" s="344" t="s">
        <v>1028</v>
      </c>
    </row>
    <row r="41" spans="1:8" x14ac:dyDescent="0.25">
      <c r="A41" s="344">
        <f>+SUBTOTAL(3,$E$6:$E41)</f>
        <v>36</v>
      </c>
      <c r="B41" s="344" t="s">
        <v>818</v>
      </c>
      <c r="C41" s="344" t="str">
        <f>+VLOOKUP(B41,'Erection Compiled'!$C$7:$D$650,2,FALSE)</f>
        <v>DA+3</v>
      </c>
      <c r="D41" s="350">
        <v>45406</v>
      </c>
      <c r="E41" s="350">
        <v>45406</v>
      </c>
      <c r="F41" s="344" t="s">
        <v>1026</v>
      </c>
      <c r="G41" s="344" t="s">
        <v>1028</v>
      </c>
      <c r="H41" s="344" t="s">
        <v>1028</v>
      </c>
    </row>
    <row r="42" spans="1:8" x14ac:dyDescent="0.25">
      <c r="A42" s="344">
        <f>+SUBTOTAL(3,$E$6:$E42)</f>
        <v>37</v>
      </c>
      <c r="B42" s="344" t="s">
        <v>98</v>
      </c>
      <c r="C42" s="344" t="str">
        <f>+VLOOKUP(B42,'Erection Compiled'!$C$7:$D$650,2,FALSE)</f>
        <v>DB2+0</v>
      </c>
      <c r="D42" s="350">
        <v>45407</v>
      </c>
      <c r="E42" s="350">
        <v>45407</v>
      </c>
      <c r="F42" s="344" t="s">
        <v>1027</v>
      </c>
      <c r="G42" s="344" t="s">
        <v>1028</v>
      </c>
      <c r="H42" s="344" t="s">
        <v>1028</v>
      </c>
    </row>
    <row r="43" spans="1:8" x14ac:dyDescent="0.25">
      <c r="A43" s="344">
        <f>+SUBTOTAL(3,$E$6:$E43)</f>
        <v>38</v>
      </c>
      <c r="B43" s="344" t="s">
        <v>828</v>
      </c>
      <c r="C43" s="344" t="str">
        <f>+VLOOKUP(B43,'Erection Compiled'!$C$7:$D$650,2,FALSE)</f>
        <v>DA+0</v>
      </c>
      <c r="D43" s="350">
        <v>45409</v>
      </c>
      <c r="E43" s="350">
        <v>45409</v>
      </c>
      <c r="F43" s="344" t="s">
        <v>1026</v>
      </c>
      <c r="G43" s="344" t="s">
        <v>1028</v>
      </c>
      <c r="H43" s="344" t="s">
        <v>1028</v>
      </c>
    </row>
    <row r="44" spans="1:8" x14ac:dyDescent="0.25">
      <c r="A44" s="344">
        <f>+SUBTOTAL(3,$E$6:$E44)</f>
        <v>39</v>
      </c>
      <c r="B44" s="344" t="s">
        <v>830</v>
      </c>
      <c r="C44" s="344" t="str">
        <f>+VLOOKUP(B44,'Erection Compiled'!$C$7:$D$650,2,FALSE)</f>
        <v>DA+0</v>
      </c>
      <c r="D44" s="350">
        <v>45410</v>
      </c>
      <c r="E44" s="350">
        <v>45410</v>
      </c>
      <c r="F44" s="344" t="s">
        <v>1026</v>
      </c>
      <c r="G44" s="344" t="s">
        <v>1028</v>
      </c>
      <c r="H44" s="344" t="s">
        <v>1028</v>
      </c>
    </row>
    <row r="45" spans="1:8" x14ac:dyDescent="0.25">
      <c r="A45" s="344">
        <f>+SUBTOTAL(3,$E$6:$E45)</f>
        <v>40</v>
      </c>
      <c r="B45" s="344" t="s">
        <v>832</v>
      </c>
      <c r="C45" s="344" t="str">
        <f>+VLOOKUP(B45,'Erection Compiled'!$C$7:$D$650,2,FALSE)</f>
        <v>DA+0</v>
      </c>
      <c r="D45" s="350">
        <v>45411</v>
      </c>
      <c r="E45" s="350">
        <v>45411</v>
      </c>
      <c r="F45" s="344" t="s">
        <v>1026</v>
      </c>
      <c r="G45" s="344" t="s">
        <v>1028</v>
      </c>
      <c r="H45" s="344" t="s">
        <v>1028</v>
      </c>
    </row>
    <row r="46" spans="1:8" x14ac:dyDescent="0.25">
      <c r="A46" s="344">
        <f>+SUBTOTAL(3,$E$6:$E46)</f>
        <v>41</v>
      </c>
      <c r="B46" s="344" t="s">
        <v>781</v>
      </c>
      <c r="C46" s="344" t="str">
        <f>+VLOOKUP(B46,'Erection Compiled'!$C$7:$D$650,2,FALSE)</f>
        <v>DA+6</v>
      </c>
      <c r="D46" s="350">
        <v>45411</v>
      </c>
      <c r="E46" s="350">
        <v>45412</v>
      </c>
      <c r="F46" s="344" t="s">
        <v>1027</v>
      </c>
      <c r="G46" s="344" t="s">
        <v>1028</v>
      </c>
      <c r="H46" s="344" t="s">
        <v>1028</v>
      </c>
    </row>
    <row r="47" spans="1:8" x14ac:dyDescent="0.25">
      <c r="A47" s="344">
        <f>+SUBTOTAL(3,$E$6:$E47)</f>
        <v>42</v>
      </c>
      <c r="B47" s="344" t="s">
        <v>819</v>
      </c>
      <c r="C47" s="344" t="str">
        <f>+VLOOKUP(B47,'Erection Compiled'!$C$7:$D$650,2,FALSE)</f>
        <v>DA+3</v>
      </c>
      <c r="D47" s="350">
        <v>45417</v>
      </c>
      <c r="E47" s="350">
        <v>45417</v>
      </c>
      <c r="F47" s="344" t="s">
        <v>1026</v>
      </c>
      <c r="G47" s="344" t="s">
        <v>1028</v>
      </c>
      <c r="H47" s="344" t="s">
        <v>1028</v>
      </c>
    </row>
    <row r="48" spans="1:8" x14ac:dyDescent="0.25">
      <c r="A48" s="344">
        <f>+SUBTOTAL(3,$E$6:$E48)</f>
        <v>43</v>
      </c>
      <c r="B48" s="344" t="s">
        <v>831</v>
      </c>
      <c r="C48" s="344" t="str">
        <f>+VLOOKUP(B48,'Erection Compiled'!$C$7:$D$650,2,FALSE)</f>
        <v>DA+0</v>
      </c>
      <c r="D48" s="350">
        <v>45419</v>
      </c>
      <c r="E48" s="350">
        <v>45419</v>
      </c>
      <c r="F48" s="344" t="s">
        <v>1026</v>
      </c>
      <c r="G48" s="344" t="s">
        <v>1028</v>
      </c>
      <c r="H48" s="344" t="s">
        <v>1028</v>
      </c>
    </row>
    <row r="49" spans="1:8" x14ac:dyDescent="0.25">
      <c r="A49" s="344">
        <f>+SUBTOTAL(3,$E$6:$E49)</f>
        <v>44</v>
      </c>
      <c r="B49" s="344" t="s">
        <v>817</v>
      </c>
      <c r="C49" s="344" t="str">
        <f>+VLOOKUP(B49,'Erection Compiled'!$C$7:$D$650,2,FALSE)</f>
        <v>DA+3</v>
      </c>
      <c r="D49" s="350">
        <v>45421</v>
      </c>
      <c r="E49" s="350">
        <v>45421</v>
      </c>
      <c r="F49" s="344" t="s">
        <v>1026</v>
      </c>
      <c r="G49" s="344" t="s">
        <v>1028</v>
      </c>
      <c r="H49" s="344" t="s">
        <v>1028</v>
      </c>
    </row>
    <row r="50" spans="1:8" x14ac:dyDescent="0.25">
      <c r="A50" s="344">
        <f>+SUBTOTAL(3,$E$6:$E50)</f>
        <v>45</v>
      </c>
      <c r="B50" s="344" t="s">
        <v>822</v>
      </c>
      <c r="C50" s="344" t="str">
        <f>+VLOOKUP(B50,'Erection Compiled'!$C$7:$D$650,2,FALSE)</f>
        <v>DA+0</v>
      </c>
      <c r="D50" s="350">
        <v>45422</v>
      </c>
      <c r="E50" s="350">
        <v>45422</v>
      </c>
      <c r="F50" s="344" t="s">
        <v>1026</v>
      </c>
      <c r="G50" s="344" t="s">
        <v>1028</v>
      </c>
      <c r="H50" s="344" t="s">
        <v>1028</v>
      </c>
    </row>
    <row r="51" spans="1:8" x14ac:dyDescent="0.25">
      <c r="A51" s="344">
        <f>+SUBTOTAL(3,$E$6:$E51)</f>
        <v>46</v>
      </c>
      <c r="B51" s="344" t="s">
        <v>821</v>
      </c>
      <c r="C51" s="344" t="str">
        <f>+VLOOKUP(B51,'Erection Compiled'!$C$7:$D$650,2,FALSE)</f>
        <v>DB1+0</v>
      </c>
      <c r="D51" s="350">
        <v>45422</v>
      </c>
      <c r="E51" s="350">
        <v>45422</v>
      </c>
      <c r="F51" s="344" t="s">
        <v>1026</v>
      </c>
      <c r="G51" s="344" t="s">
        <v>1028</v>
      </c>
      <c r="H51" s="344" t="s">
        <v>1028</v>
      </c>
    </row>
    <row r="52" spans="1:8" x14ac:dyDescent="0.25">
      <c r="A52" s="344">
        <f>+SUBTOTAL(3,$E$6:$E52)</f>
        <v>47</v>
      </c>
      <c r="B52" s="344" t="s">
        <v>780</v>
      </c>
      <c r="C52" s="344" t="str">
        <f>+VLOOKUP(B52,'Erection Compiled'!$C$7:$D$650,2,FALSE)</f>
        <v>DA+6</v>
      </c>
      <c r="D52" s="350">
        <v>45422</v>
      </c>
      <c r="E52" s="350">
        <v>45422</v>
      </c>
      <c r="F52" s="344" t="s">
        <v>1027</v>
      </c>
      <c r="G52" s="344" t="s">
        <v>1028</v>
      </c>
      <c r="H52" s="344" t="s">
        <v>1028</v>
      </c>
    </row>
    <row r="53" spans="1:8" x14ac:dyDescent="0.25">
      <c r="A53" s="344">
        <f>+SUBTOTAL(3,$E$6:$E53)</f>
        <v>48</v>
      </c>
      <c r="B53" s="344" t="s">
        <v>777</v>
      </c>
      <c r="C53" s="344" t="str">
        <f>+VLOOKUP(B53,'Erection Compiled'!$C$7:$D$650,2,FALSE)</f>
        <v>DA+3</v>
      </c>
      <c r="D53" s="350">
        <v>45423</v>
      </c>
      <c r="E53" s="350">
        <v>45423</v>
      </c>
      <c r="F53" s="344" t="s">
        <v>1027</v>
      </c>
      <c r="G53" s="344" t="s">
        <v>1028</v>
      </c>
      <c r="H53" s="344" t="s">
        <v>1028</v>
      </c>
    </row>
    <row r="54" spans="1:8" x14ac:dyDescent="0.25">
      <c r="A54" s="344">
        <f>+SUBTOTAL(3,$E$6:$E54)</f>
        <v>49</v>
      </c>
      <c r="B54" s="344" t="s">
        <v>804</v>
      </c>
      <c r="C54" s="344" t="str">
        <f>+VLOOKUP(B54,'Erection Compiled'!$C$7:$D$650,2,FALSE)</f>
        <v>DA+0</v>
      </c>
      <c r="D54" s="350">
        <v>45426</v>
      </c>
      <c r="E54" s="350">
        <v>45426</v>
      </c>
      <c r="F54" s="344" t="s">
        <v>1026</v>
      </c>
      <c r="G54" s="344" t="s">
        <v>1028</v>
      </c>
      <c r="H54" s="344" t="s">
        <v>1028</v>
      </c>
    </row>
    <row r="55" spans="1:8" x14ac:dyDescent="0.25">
      <c r="A55" s="344">
        <f>+SUBTOTAL(3,$E$6:$E55)</f>
        <v>50</v>
      </c>
      <c r="B55" s="344" t="s">
        <v>803</v>
      </c>
      <c r="C55" s="344" t="str">
        <f>+VLOOKUP(B55,'Erection Compiled'!$C$7:$D$650,2,FALSE)</f>
        <v>DA+3</v>
      </c>
      <c r="D55" s="350">
        <v>45427</v>
      </c>
      <c r="E55" s="350">
        <v>45427</v>
      </c>
      <c r="F55" s="344" t="s">
        <v>1026</v>
      </c>
      <c r="G55" s="344" t="s">
        <v>1028</v>
      </c>
      <c r="H55" s="344" t="s">
        <v>1028</v>
      </c>
    </row>
    <row r="56" spans="1:8" x14ac:dyDescent="0.25">
      <c r="A56" s="344">
        <f>+SUBTOTAL(3,$E$6:$E56)</f>
        <v>51</v>
      </c>
      <c r="B56" s="344" t="s">
        <v>805</v>
      </c>
      <c r="C56" s="344" t="str">
        <f>+VLOOKUP(B56,'Erection Compiled'!$C$7:$D$650,2,FALSE)</f>
        <v>DA+3</v>
      </c>
      <c r="D56" s="350">
        <v>45428</v>
      </c>
      <c r="E56" s="350">
        <v>45428</v>
      </c>
      <c r="F56" s="344" t="s">
        <v>1026</v>
      </c>
      <c r="G56" s="344" t="s">
        <v>1028</v>
      </c>
      <c r="H56" s="344" t="s">
        <v>1028</v>
      </c>
    </row>
    <row r="57" spans="1:8" x14ac:dyDescent="0.25">
      <c r="A57" s="344">
        <f>+SUBTOTAL(3,$E$6:$E57)</f>
        <v>52</v>
      </c>
      <c r="B57" s="344" t="s">
        <v>782</v>
      </c>
      <c r="C57" s="344" t="str">
        <f>+VLOOKUP(B57,'Erection Compiled'!$C$7:$D$650,2,FALSE)</f>
        <v>DA+6</v>
      </c>
      <c r="D57" s="350">
        <v>45429</v>
      </c>
      <c r="E57" s="350">
        <v>45429</v>
      </c>
      <c r="F57" s="344" t="s">
        <v>1027</v>
      </c>
      <c r="G57" s="344" t="s">
        <v>1028</v>
      </c>
      <c r="H57" s="344" t="s">
        <v>1028</v>
      </c>
    </row>
    <row r="58" spans="1:8" x14ac:dyDescent="0.25">
      <c r="A58" s="344">
        <f>+SUBTOTAL(3,$E$6:$E58)</f>
        <v>53</v>
      </c>
      <c r="B58" s="344" t="s">
        <v>800</v>
      </c>
      <c r="C58" s="344" t="str">
        <f>+VLOOKUP(B58,'Erection Compiled'!$C$7:$D$650,2,FALSE)</f>
        <v>DA+3</v>
      </c>
      <c r="D58" s="350">
        <v>45431</v>
      </c>
      <c r="E58" s="350">
        <v>45431</v>
      </c>
      <c r="F58" s="344" t="s">
        <v>1026</v>
      </c>
      <c r="G58" s="344" t="s">
        <v>1028</v>
      </c>
      <c r="H58" s="344" t="s">
        <v>1028</v>
      </c>
    </row>
    <row r="59" spans="1:8" x14ac:dyDescent="0.25">
      <c r="A59" s="344">
        <f>+SUBTOTAL(3,$E$6:$E59)</f>
        <v>54</v>
      </c>
      <c r="B59" s="344" t="s">
        <v>783</v>
      </c>
      <c r="C59" s="344" t="str">
        <f>+VLOOKUP(B59,'Erection Compiled'!$C$7:$D$650,2,FALSE)</f>
        <v>DA+3</v>
      </c>
      <c r="D59" s="350">
        <v>45435</v>
      </c>
      <c r="E59" s="350">
        <v>45435</v>
      </c>
      <c r="F59" s="344" t="s">
        <v>1026</v>
      </c>
      <c r="G59" s="344" t="s">
        <v>1028</v>
      </c>
      <c r="H59" s="344" t="s">
        <v>1028</v>
      </c>
    </row>
    <row r="60" spans="1:8" x14ac:dyDescent="0.25">
      <c r="A60" s="344">
        <f>+SUBTOTAL(3,$E$6:$E60)</f>
        <v>55</v>
      </c>
      <c r="B60" s="344" t="s">
        <v>784</v>
      </c>
      <c r="C60" s="344" t="str">
        <f>+VLOOKUP(B60,'Erection Compiled'!$C$7:$D$650,2,FALSE)</f>
        <v>DA+3</v>
      </c>
      <c r="D60" s="350">
        <v>45437</v>
      </c>
      <c r="E60" s="350">
        <v>45437</v>
      </c>
      <c r="F60" s="344" t="s">
        <v>1026</v>
      </c>
      <c r="G60" s="344" t="s">
        <v>1028</v>
      </c>
      <c r="H60" s="344" t="s">
        <v>1028</v>
      </c>
    </row>
    <row r="61" spans="1:8" x14ac:dyDescent="0.25">
      <c r="A61" s="344">
        <f>+SUBTOTAL(3,$E$6:$E61)</f>
        <v>56</v>
      </c>
      <c r="B61" s="344" t="s">
        <v>811</v>
      </c>
      <c r="C61" s="344" t="str">
        <f>+VLOOKUP(B61,'Erection Compiled'!$C$7:$D$650,2,FALSE)</f>
        <v>DA+3</v>
      </c>
      <c r="D61" s="350">
        <v>45446</v>
      </c>
      <c r="E61" s="350">
        <v>45446</v>
      </c>
      <c r="F61" s="344" t="s">
        <v>1026</v>
      </c>
      <c r="G61" s="344" t="s">
        <v>1028</v>
      </c>
      <c r="H61" s="344" t="s">
        <v>1028</v>
      </c>
    </row>
    <row r="62" spans="1:8" x14ac:dyDescent="0.25">
      <c r="A62" s="344">
        <f>+SUBTOTAL(3,$E$6:$E62)</f>
        <v>57</v>
      </c>
      <c r="B62" s="344" t="s">
        <v>812</v>
      </c>
      <c r="C62" s="344" t="str">
        <f>+VLOOKUP(B62,'Erection Compiled'!$C$7:$D$650,2,FALSE)</f>
        <v>DA+0</v>
      </c>
      <c r="D62" s="350">
        <v>45449</v>
      </c>
      <c r="E62" s="350">
        <v>45449</v>
      </c>
      <c r="F62" s="344" t="s">
        <v>1026</v>
      </c>
      <c r="G62" s="344" t="s">
        <v>1028</v>
      </c>
      <c r="H62" s="344" t="s">
        <v>1028</v>
      </c>
    </row>
    <row r="63" spans="1:8" x14ac:dyDescent="0.25">
      <c r="A63" s="344">
        <f>+SUBTOTAL(3,$E$6:$E63)</f>
        <v>58</v>
      </c>
      <c r="B63" s="344" t="s">
        <v>809</v>
      </c>
      <c r="C63" s="344" t="str">
        <f>+VLOOKUP(B63,'Erection Compiled'!$C$7:$D$650,2,FALSE)</f>
        <v>DB2+0</v>
      </c>
      <c r="D63" s="350">
        <v>45449</v>
      </c>
      <c r="E63" s="350">
        <v>45449</v>
      </c>
      <c r="F63" s="344" t="s">
        <v>1026</v>
      </c>
      <c r="G63" s="344" t="s">
        <v>1028</v>
      </c>
      <c r="H63" s="344" t="s">
        <v>1028</v>
      </c>
    </row>
    <row r="64" spans="1:8" x14ac:dyDescent="0.25">
      <c r="A64" s="344">
        <f>+SUBTOTAL(3,$E$6:$E64)</f>
        <v>59</v>
      </c>
      <c r="B64" s="344" t="s">
        <v>789</v>
      </c>
      <c r="C64" s="344" t="str">
        <f>+VLOOKUP(B64,'Erection Compiled'!$C$7:$D$650,2,FALSE)</f>
        <v>DA+9</v>
      </c>
      <c r="D64" s="350">
        <v>45450</v>
      </c>
      <c r="E64" s="350">
        <v>45450</v>
      </c>
      <c r="F64" s="344" t="s">
        <v>1026</v>
      </c>
      <c r="G64" s="344" t="s">
        <v>1028</v>
      </c>
      <c r="H64" s="344" t="s">
        <v>1028</v>
      </c>
    </row>
    <row r="65" spans="1:8" x14ac:dyDescent="0.25">
      <c r="A65" s="344">
        <f>+SUBTOTAL(3,$E$6:$E65)</f>
        <v>60</v>
      </c>
      <c r="B65" s="344" t="s">
        <v>787</v>
      </c>
      <c r="C65" s="344" t="str">
        <f>+VLOOKUP(B65,'Erection Compiled'!$C$7:$D$650,2,FALSE)</f>
        <v>DA+6</v>
      </c>
      <c r="D65" s="350">
        <v>45451</v>
      </c>
      <c r="E65" s="350">
        <v>45451</v>
      </c>
      <c r="F65" s="344" t="s">
        <v>1027</v>
      </c>
      <c r="G65" s="344" t="s">
        <v>1028</v>
      </c>
      <c r="H65" s="344" t="s">
        <v>1028</v>
      </c>
    </row>
    <row r="66" spans="1:8" x14ac:dyDescent="0.25">
      <c r="A66" s="344">
        <f>+SUBTOTAL(3,$E$6:$E66)</f>
        <v>61</v>
      </c>
      <c r="B66" s="344" t="s">
        <v>802</v>
      </c>
      <c r="C66" s="344" t="str">
        <f>+VLOOKUP(B66,'Erection Compiled'!$C$7:$D$650,2,FALSE)</f>
        <v>DA+0</v>
      </c>
      <c r="D66" s="350">
        <v>45451</v>
      </c>
      <c r="E66" s="350">
        <v>45451</v>
      </c>
      <c r="F66" s="344" t="s">
        <v>1026</v>
      </c>
      <c r="G66" s="344" t="s">
        <v>1028</v>
      </c>
      <c r="H66" s="344" t="s">
        <v>1028</v>
      </c>
    </row>
    <row r="67" spans="1:8" x14ac:dyDescent="0.25">
      <c r="A67" s="344">
        <f>+SUBTOTAL(3,$E$6:$E67)</f>
        <v>62</v>
      </c>
      <c r="B67" s="344" t="s">
        <v>788</v>
      </c>
      <c r="C67" s="344" t="str">
        <f>+VLOOKUP(B67,'Erection Compiled'!$C$7:$D$650,2,FALSE)</f>
        <v>DA+0</v>
      </c>
      <c r="D67" s="350">
        <v>45452</v>
      </c>
      <c r="E67" s="350">
        <v>45452</v>
      </c>
      <c r="F67" s="344" t="s">
        <v>1027</v>
      </c>
      <c r="G67" s="344" t="s">
        <v>1028</v>
      </c>
      <c r="H67" s="344" t="s">
        <v>1028</v>
      </c>
    </row>
    <row r="68" spans="1:8" x14ac:dyDescent="0.25">
      <c r="A68" s="344">
        <f>+SUBTOTAL(3,$E$6:$E68)</f>
        <v>63</v>
      </c>
      <c r="B68" s="344" t="s">
        <v>801</v>
      </c>
      <c r="C68" s="344" t="str">
        <f>+VLOOKUP(B68,'Erection Compiled'!$C$7:$D$650,2,FALSE)</f>
        <v>DA+3</v>
      </c>
      <c r="D68" s="350">
        <v>45452</v>
      </c>
      <c r="E68" s="350">
        <v>45452</v>
      </c>
      <c r="F68" s="344" t="s">
        <v>1026</v>
      </c>
      <c r="G68" s="344" t="s">
        <v>1028</v>
      </c>
      <c r="H68" s="344" t="s">
        <v>1028</v>
      </c>
    </row>
    <row r="69" spans="1:8" x14ac:dyDescent="0.25">
      <c r="A69" s="344">
        <f>+SUBTOTAL(3,$E$6:$E69)</f>
        <v>64</v>
      </c>
      <c r="B69" s="344" t="s">
        <v>757</v>
      </c>
      <c r="C69" s="344" t="str">
        <f>+VLOOKUP(B69,'Erection Compiled'!$C$7:$D$650,2,FALSE)</f>
        <v>DA+3</v>
      </c>
      <c r="D69" s="350">
        <v>45453</v>
      </c>
      <c r="E69" s="350">
        <v>45453</v>
      </c>
      <c r="F69" s="344" t="s">
        <v>1027</v>
      </c>
      <c r="G69" s="344" t="s">
        <v>1028</v>
      </c>
      <c r="H69" s="344" t="s">
        <v>1028</v>
      </c>
    </row>
    <row r="70" spans="1:8" x14ac:dyDescent="0.25">
      <c r="A70" s="344">
        <f>+SUBTOTAL(3,$E$6:$E70)</f>
        <v>65</v>
      </c>
      <c r="B70" s="344" t="s">
        <v>100</v>
      </c>
      <c r="C70" s="344" t="str">
        <f>+VLOOKUP(B70,'Erection Compiled'!$C$7:$D$650,2,FALSE)</f>
        <v>DC1+0</v>
      </c>
      <c r="D70" s="350">
        <v>45453</v>
      </c>
      <c r="E70" s="350">
        <v>45454</v>
      </c>
      <c r="F70" s="344" t="s">
        <v>1026</v>
      </c>
      <c r="G70" s="344" t="s">
        <v>1028</v>
      </c>
      <c r="H70" s="344" t="s">
        <v>1028</v>
      </c>
    </row>
    <row r="71" spans="1:8" x14ac:dyDescent="0.25">
      <c r="A71" s="344">
        <f>+SUBTOTAL(3,$E$6:$E71)</f>
        <v>66</v>
      </c>
      <c r="B71" s="344" t="s">
        <v>773</v>
      </c>
      <c r="C71" s="344" t="str">
        <f>+VLOOKUP(B71,'Erection Compiled'!$C$7:$D$650,2,FALSE)</f>
        <v>DA+3</v>
      </c>
      <c r="D71" s="350">
        <v>45454</v>
      </c>
      <c r="E71" s="350">
        <v>45454</v>
      </c>
      <c r="F71" s="344" t="s">
        <v>1027</v>
      </c>
      <c r="G71" s="344" t="s">
        <v>1028</v>
      </c>
      <c r="H71" s="344" t="s">
        <v>1028</v>
      </c>
    </row>
    <row r="72" spans="1:8" x14ac:dyDescent="0.25">
      <c r="A72" s="344">
        <f>+SUBTOTAL(3,$E$6:$E72)</f>
        <v>67</v>
      </c>
      <c r="B72" s="344" t="s">
        <v>772</v>
      </c>
      <c r="C72" s="344" t="str">
        <f>+VLOOKUP(B72,'Erection Compiled'!$C$7:$D$650,2,FALSE)</f>
        <v>DA+3</v>
      </c>
      <c r="D72" s="350">
        <v>45456</v>
      </c>
      <c r="E72" s="350">
        <v>45456</v>
      </c>
      <c r="F72" s="344" t="s">
        <v>1027</v>
      </c>
      <c r="G72" s="344" t="s">
        <v>1028</v>
      </c>
      <c r="H72" s="344" t="s">
        <v>1028</v>
      </c>
    </row>
    <row r="73" spans="1:8" x14ac:dyDescent="0.25">
      <c r="A73" s="344">
        <f>+SUBTOTAL(3,$E$6:$E73)</f>
        <v>68</v>
      </c>
      <c r="B73" s="344" t="s">
        <v>771</v>
      </c>
      <c r="C73" s="344" t="str">
        <f>+VLOOKUP(B73,'Erection Compiled'!$C$7:$D$650,2,FALSE)</f>
        <v>DA+3</v>
      </c>
      <c r="D73" s="350">
        <v>45466</v>
      </c>
      <c r="E73" s="350">
        <v>45466</v>
      </c>
      <c r="F73" s="344" t="s">
        <v>1027</v>
      </c>
      <c r="G73" s="344" t="s">
        <v>1028</v>
      </c>
      <c r="H73" s="344" t="s">
        <v>1028</v>
      </c>
    </row>
    <row r="74" spans="1:8" x14ac:dyDescent="0.25">
      <c r="A74" s="344">
        <f>+SUBTOTAL(3,$E$6:$E74)</f>
        <v>69</v>
      </c>
      <c r="B74" s="344" t="s">
        <v>770</v>
      </c>
      <c r="C74" s="344" t="str">
        <f>+VLOOKUP(B74,'Erection Compiled'!$C$7:$D$650,2,FALSE)</f>
        <v>DA+3</v>
      </c>
      <c r="D74" s="350">
        <v>45468</v>
      </c>
      <c r="E74" s="350">
        <v>45468</v>
      </c>
      <c r="F74" s="344" t="s">
        <v>1027</v>
      </c>
      <c r="G74" s="344" t="s">
        <v>1028</v>
      </c>
      <c r="H74" s="344" t="s">
        <v>1028</v>
      </c>
    </row>
    <row r="75" spans="1:8" x14ac:dyDescent="0.25">
      <c r="A75" s="344">
        <f>+SUBTOTAL(3,$E$6:$E75)</f>
        <v>70</v>
      </c>
      <c r="B75" s="344" t="s">
        <v>769</v>
      </c>
      <c r="C75" s="344" t="str">
        <f>+VLOOKUP(B75,'Erection Compiled'!$C$7:$D$650,2,FALSE)</f>
        <v>DA+6</v>
      </c>
      <c r="D75" s="350">
        <v>45473</v>
      </c>
      <c r="E75" s="350">
        <v>45473</v>
      </c>
      <c r="F75" s="344" t="s">
        <v>1027</v>
      </c>
      <c r="G75" s="344" t="s">
        <v>1028</v>
      </c>
      <c r="H75" s="344" t="s">
        <v>1028</v>
      </c>
    </row>
    <row r="76" spans="1:8" x14ac:dyDescent="0.25">
      <c r="A76" s="344">
        <f>+SUBTOTAL(3,$E$6:$E76)</f>
        <v>71</v>
      </c>
      <c r="B76" s="344" t="s">
        <v>768</v>
      </c>
      <c r="C76" s="344" t="str">
        <f>+VLOOKUP(B76,'Erection Compiled'!$C$7:$D$650,2,FALSE)</f>
        <v>DA+9</v>
      </c>
      <c r="D76" s="350">
        <v>45474</v>
      </c>
      <c r="E76" s="350">
        <v>45474</v>
      </c>
      <c r="F76" s="344" t="s">
        <v>1026</v>
      </c>
      <c r="G76" s="344" t="s">
        <v>1028</v>
      </c>
      <c r="H76" s="344" t="s">
        <v>1028</v>
      </c>
    </row>
    <row r="77" spans="1:8" x14ac:dyDescent="0.25">
      <c r="A77" s="344">
        <f>+SUBTOTAL(3,$E$6:$E77)</f>
        <v>72</v>
      </c>
      <c r="B77" s="344" t="s">
        <v>767</v>
      </c>
      <c r="C77" s="344" t="str">
        <f>+VLOOKUP(B77,'Erection Compiled'!$C$7:$D$650,2,FALSE)</f>
        <v>DA+6</v>
      </c>
      <c r="D77" s="350">
        <v>45475</v>
      </c>
      <c r="E77" s="350">
        <v>45475</v>
      </c>
      <c r="F77" s="344" t="s">
        <v>1026</v>
      </c>
      <c r="G77" s="344" t="s">
        <v>1028</v>
      </c>
      <c r="H77" s="344" t="s">
        <v>1028</v>
      </c>
    </row>
    <row r="78" spans="1:8" x14ac:dyDescent="0.25">
      <c r="A78" s="344">
        <f>+SUBTOTAL(3,$E$6:$E78)</f>
        <v>73</v>
      </c>
      <c r="B78" s="344" t="s">
        <v>97</v>
      </c>
      <c r="C78" s="344" t="str">
        <f>+VLOOKUP(B78,'Erection Compiled'!$C$7:$D$650,2,FALSE)</f>
        <v>DC1+0</v>
      </c>
      <c r="D78" s="350">
        <v>45497</v>
      </c>
      <c r="E78" s="350">
        <v>45497</v>
      </c>
      <c r="F78" s="344" t="s">
        <v>1026</v>
      </c>
      <c r="G78" s="344" t="s">
        <v>1028</v>
      </c>
      <c r="H78" s="344" t="s">
        <v>1028</v>
      </c>
    </row>
    <row r="79" spans="1:8" x14ac:dyDescent="0.25">
      <c r="A79" s="344">
        <f>+SUBTOTAL(3,$E$6:$E79)</f>
        <v>74</v>
      </c>
      <c r="B79" s="344" t="s">
        <v>760</v>
      </c>
      <c r="C79" s="344" t="str">
        <f>+VLOOKUP(B79,'Erection Compiled'!$C$7:$D$650,2,FALSE)</f>
        <v>DB1+3</v>
      </c>
      <c r="D79" s="350">
        <v>45500</v>
      </c>
      <c r="E79" s="350">
        <v>45500</v>
      </c>
      <c r="F79" s="344" t="s">
        <v>1026</v>
      </c>
      <c r="G79" s="344" t="s">
        <v>1028</v>
      </c>
      <c r="H79" s="344" t="s">
        <v>1028</v>
      </c>
    </row>
    <row r="80" spans="1:8" x14ac:dyDescent="0.25">
      <c r="A80" s="344">
        <f>+SUBTOTAL(3,$E$6:$E80)</f>
        <v>75</v>
      </c>
      <c r="B80" s="344" t="s">
        <v>742</v>
      </c>
      <c r="C80" s="344" t="str">
        <f>+VLOOKUP(B80,'Erection Compiled'!$C$7:$D$650,2,FALSE)</f>
        <v>DA+0</v>
      </c>
      <c r="D80" s="350">
        <v>45527</v>
      </c>
      <c r="E80" s="350">
        <v>45527</v>
      </c>
      <c r="F80" s="344" t="s">
        <v>1026</v>
      </c>
      <c r="G80" s="344" t="s">
        <v>1028</v>
      </c>
      <c r="H80" s="344" t="s">
        <v>1028</v>
      </c>
    </row>
    <row r="81" spans="1:8" x14ac:dyDescent="0.25">
      <c r="A81" s="344">
        <f>+SUBTOTAL(3,$E$6:$E81)</f>
        <v>76</v>
      </c>
      <c r="B81" s="344" t="s">
        <v>743</v>
      </c>
      <c r="C81" s="344" t="str">
        <f>+VLOOKUP(B81,'Erection Compiled'!$C$7:$D$650,2,FALSE)</f>
        <v>DA+0</v>
      </c>
      <c r="D81" s="350">
        <v>45528</v>
      </c>
      <c r="E81" s="350">
        <v>45528</v>
      </c>
      <c r="F81" s="344" t="s">
        <v>1026</v>
      </c>
      <c r="G81" s="344" t="s">
        <v>1028</v>
      </c>
      <c r="H81" s="344" t="s">
        <v>1028</v>
      </c>
    </row>
    <row r="82" spans="1:8" x14ac:dyDescent="0.25">
      <c r="A82" s="344">
        <f>+SUBTOTAL(3,$E$6:$E82)</f>
        <v>77</v>
      </c>
      <c r="B82" s="344" t="s">
        <v>753</v>
      </c>
      <c r="C82" s="344" t="str">
        <f>+VLOOKUP(B82,'Erection Compiled'!$C$7:$D$650,2,FALSE)</f>
        <v>DA+3</v>
      </c>
      <c r="D82" s="350">
        <v>45531</v>
      </c>
      <c r="E82" s="350">
        <v>45531</v>
      </c>
      <c r="F82" s="344" t="s">
        <v>1026</v>
      </c>
      <c r="G82" s="344" t="s">
        <v>1028</v>
      </c>
      <c r="H82" s="344" t="s">
        <v>1028</v>
      </c>
    </row>
    <row r="83" spans="1:8" x14ac:dyDescent="0.25">
      <c r="A83" s="344">
        <f>+SUBTOTAL(3,$E$6:$E83)</f>
        <v>78</v>
      </c>
      <c r="B83" s="344" t="s">
        <v>750</v>
      </c>
      <c r="C83" s="344" t="str">
        <f>+VLOOKUP(B83,'Erection Compiled'!$C$7:$D$650,2,FALSE)</f>
        <v>DA+0</v>
      </c>
      <c r="D83" s="350">
        <v>45532</v>
      </c>
      <c r="E83" s="350">
        <v>45532</v>
      </c>
      <c r="F83" s="344" t="s">
        <v>1026</v>
      </c>
      <c r="G83" s="344" t="s">
        <v>1028</v>
      </c>
      <c r="H83" s="344" t="s">
        <v>1028</v>
      </c>
    </row>
    <row r="84" spans="1:8" x14ac:dyDescent="0.25">
      <c r="A84" s="344">
        <f>+SUBTOTAL(3,$E$6:$E84)</f>
        <v>79</v>
      </c>
      <c r="B84" s="344" t="s">
        <v>751</v>
      </c>
      <c r="C84" s="344" t="str">
        <f>+VLOOKUP(B84,'Erection Compiled'!$C$7:$D$650,2,FALSE)</f>
        <v>DA+0</v>
      </c>
      <c r="D84" s="350">
        <v>45534</v>
      </c>
      <c r="E84" s="350">
        <v>45534</v>
      </c>
      <c r="F84" s="344" t="s">
        <v>1026</v>
      </c>
      <c r="G84" s="344" t="s">
        <v>1028</v>
      </c>
      <c r="H84" s="344" t="s">
        <v>1028</v>
      </c>
    </row>
    <row r="85" spans="1:8" x14ac:dyDescent="0.25">
      <c r="A85" s="344">
        <f>+SUBTOTAL(3,$E$6:$E85)</f>
        <v>80</v>
      </c>
      <c r="B85" s="344" t="s">
        <v>752</v>
      </c>
      <c r="C85" s="344" t="str">
        <f>+VLOOKUP(B85,'Erection Compiled'!$C$7:$D$650,2,FALSE)</f>
        <v>DA+3</v>
      </c>
      <c r="D85" s="350">
        <v>45534</v>
      </c>
      <c r="E85" s="350">
        <v>45534</v>
      </c>
      <c r="F85" s="344" t="s">
        <v>1026</v>
      </c>
      <c r="G85" s="344" t="s">
        <v>1028</v>
      </c>
      <c r="H85" s="344" t="s">
        <v>1028</v>
      </c>
    </row>
    <row r="86" spans="1:8" x14ac:dyDescent="0.25">
      <c r="A86" s="344">
        <f>+SUBTOTAL(3,$E$6:$E86)</f>
        <v>81</v>
      </c>
      <c r="B86" s="344" t="s">
        <v>99</v>
      </c>
      <c r="C86" s="344" t="str">
        <f>+VLOOKUP(B86,'Erection Compiled'!$C$7:$D$650,2,FALSE)</f>
        <v>DB2+0</v>
      </c>
      <c r="D86" s="350">
        <v>45550</v>
      </c>
      <c r="E86" s="350">
        <v>45550</v>
      </c>
      <c r="F86" s="344" t="s">
        <v>1026</v>
      </c>
      <c r="G86" s="344" t="s">
        <v>1028</v>
      </c>
      <c r="H86" s="344" t="s">
        <v>1028</v>
      </c>
    </row>
    <row r="87" spans="1:8" x14ac:dyDescent="0.25">
      <c r="A87" s="344">
        <f>+SUBTOTAL(3,$E$6:$E87)</f>
        <v>82</v>
      </c>
      <c r="B87" s="344" t="s">
        <v>790</v>
      </c>
      <c r="C87" s="344" t="str">
        <f>+VLOOKUP(B87,'Erection Compiled'!$C$7:$D$650,2,FALSE)</f>
        <v>DA+3</v>
      </c>
      <c r="D87" s="350">
        <v>45558</v>
      </c>
      <c r="E87" s="350">
        <v>45559</v>
      </c>
      <c r="F87" s="344" t="s">
        <v>1026</v>
      </c>
      <c r="G87" s="344" t="s">
        <v>1028</v>
      </c>
      <c r="H87" s="344" t="s">
        <v>1028</v>
      </c>
    </row>
    <row r="88" spans="1:8" x14ac:dyDescent="0.25">
      <c r="A88" s="344">
        <f>+SUBTOTAL(3,$E$6:$E88)</f>
        <v>83</v>
      </c>
      <c r="B88" s="344" t="s">
        <v>795</v>
      </c>
      <c r="C88" s="344" t="str">
        <f>+VLOOKUP(B88,'Erection Compiled'!$C$7:$D$650,2,FALSE)</f>
        <v>DA+3</v>
      </c>
      <c r="D88" s="350">
        <v>45560</v>
      </c>
      <c r="E88" s="350">
        <v>45561</v>
      </c>
      <c r="F88" s="344" t="s">
        <v>1026</v>
      </c>
      <c r="G88" s="344" t="s">
        <v>1028</v>
      </c>
      <c r="H88" s="344" t="s">
        <v>1028</v>
      </c>
    </row>
    <row r="89" spans="1:8" x14ac:dyDescent="0.25">
      <c r="A89" s="344">
        <f>+SUBTOTAL(3,$E$6:$E89)</f>
        <v>84</v>
      </c>
      <c r="B89" s="344" t="s">
        <v>754</v>
      </c>
      <c r="C89" s="344" t="str">
        <f>+VLOOKUP(B89,'Erection Compiled'!$C$7:$D$650,2,FALSE)</f>
        <v>DA+3</v>
      </c>
      <c r="D89" s="350">
        <v>45570</v>
      </c>
      <c r="E89" s="350">
        <v>45571</v>
      </c>
      <c r="F89" s="344" t="s">
        <v>1026</v>
      </c>
      <c r="G89" s="344" t="s">
        <v>1028</v>
      </c>
      <c r="H89" s="344" t="s">
        <v>1028</v>
      </c>
    </row>
    <row r="90" spans="1:8" x14ac:dyDescent="0.25">
      <c r="A90" s="344">
        <f>+SUBTOTAL(3,$E$6:$E90)</f>
        <v>85</v>
      </c>
      <c r="B90" s="344" t="s">
        <v>708</v>
      </c>
      <c r="C90" s="344" t="str">
        <f>+VLOOKUP(B90,'Erection Compiled'!$C$7:$D$650,2,FALSE)</f>
        <v>DA+0</v>
      </c>
      <c r="D90" s="350">
        <v>45571</v>
      </c>
      <c r="E90" s="350">
        <v>45572</v>
      </c>
      <c r="F90" s="344" t="s">
        <v>1026</v>
      </c>
      <c r="G90" s="344" t="s">
        <v>1028</v>
      </c>
      <c r="H90" s="344" t="s">
        <v>1028</v>
      </c>
    </row>
    <row r="91" spans="1:8" x14ac:dyDescent="0.25">
      <c r="A91" s="344">
        <f>+SUBTOTAL(3,$E$6:$E91)</f>
        <v>86</v>
      </c>
      <c r="B91" s="344" t="s">
        <v>709</v>
      </c>
      <c r="C91" s="344" t="str">
        <f>+VLOOKUP(B91,'Erection Compiled'!$C$7:$D$650,2,FALSE)</f>
        <v>DA+0</v>
      </c>
      <c r="D91" s="350">
        <v>45574</v>
      </c>
      <c r="E91" s="350">
        <v>45574</v>
      </c>
      <c r="F91" s="344" t="s">
        <v>1026</v>
      </c>
      <c r="G91" s="344" t="s">
        <v>1028</v>
      </c>
      <c r="H91" s="344" t="s">
        <v>1028</v>
      </c>
    </row>
    <row r="92" spans="1:8" x14ac:dyDescent="0.25">
      <c r="A92" s="344">
        <f>+SUBTOTAL(3,$E$6:$E92)</f>
        <v>87</v>
      </c>
      <c r="B92" s="344" t="s">
        <v>92</v>
      </c>
      <c r="C92" s="344" t="str">
        <f>+VLOOKUP(B92,'Erection Compiled'!$C$7:$D$650,2,FALSE)</f>
        <v>DB2+0</v>
      </c>
      <c r="D92" s="350">
        <v>45575</v>
      </c>
      <c r="E92" s="350">
        <v>45575</v>
      </c>
      <c r="F92" s="344" t="s">
        <v>1026</v>
      </c>
      <c r="G92" s="344" t="s">
        <v>1028</v>
      </c>
      <c r="H92" s="344" t="s">
        <v>1028</v>
      </c>
    </row>
    <row r="93" spans="1:8" x14ac:dyDescent="0.25">
      <c r="A93" s="344">
        <f>+SUBTOTAL(3,$E$6:$E93)</f>
        <v>88</v>
      </c>
      <c r="B93" s="344" t="s">
        <v>702</v>
      </c>
      <c r="C93" s="344" t="str">
        <f>+VLOOKUP(B93,'Erection Compiled'!$C$7:$D$650,2,FALSE)</f>
        <v>DA+6</v>
      </c>
      <c r="D93" s="350">
        <v>45589</v>
      </c>
      <c r="E93" s="350">
        <v>45589</v>
      </c>
      <c r="F93" s="344" t="s">
        <v>1026</v>
      </c>
      <c r="G93" s="344" t="s">
        <v>1028</v>
      </c>
      <c r="H93" s="344" t="s">
        <v>1028</v>
      </c>
    </row>
    <row r="94" spans="1:8" x14ac:dyDescent="0.25">
      <c r="A94" s="344">
        <f>+SUBTOTAL(3,$E$6:$E94)</f>
        <v>89</v>
      </c>
      <c r="B94" s="344" t="s">
        <v>700</v>
      </c>
      <c r="C94" s="344" t="str">
        <f>+VLOOKUP(B94,'Erection Compiled'!$C$7:$D$650,2,FALSE)</f>
        <v>DA+6</v>
      </c>
      <c r="D94" s="350">
        <v>45590</v>
      </c>
      <c r="E94" s="350">
        <v>45590</v>
      </c>
      <c r="F94" s="344" t="s">
        <v>1026</v>
      </c>
      <c r="G94" s="344" t="s">
        <v>1028</v>
      </c>
      <c r="H94" s="344" t="s">
        <v>1028</v>
      </c>
    </row>
    <row r="95" spans="1:8" x14ac:dyDescent="0.25">
      <c r="A95" s="344">
        <f>+SUBTOTAL(3,$E$6:$E95)</f>
        <v>90</v>
      </c>
      <c r="B95" s="344" t="s">
        <v>711</v>
      </c>
      <c r="C95" s="344" t="str">
        <f>+VLOOKUP(B95,'Erection Compiled'!$C$7:$D$650,2,FALSE)</f>
        <v>DA+0</v>
      </c>
      <c r="D95" s="350">
        <v>45590</v>
      </c>
      <c r="E95" s="350">
        <v>45590</v>
      </c>
      <c r="F95" s="344" t="s">
        <v>1026</v>
      </c>
      <c r="G95" s="344" t="s">
        <v>1028</v>
      </c>
      <c r="H95" s="344" t="s">
        <v>1028</v>
      </c>
    </row>
    <row r="96" spans="1:8" x14ac:dyDescent="0.25">
      <c r="A96" s="344">
        <f>+SUBTOTAL(3,$E$6:$E96)</f>
        <v>91</v>
      </c>
      <c r="B96" s="346" t="s">
        <v>173</v>
      </c>
      <c r="C96" s="344" t="str">
        <f>+VLOOKUP(B96,'Erection Compiled'!$C$7:$D$650,2,FALSE)</f>
        <v>DA+3</v>
      </c>
      <c r="D96" s="350">
        <v>45591</v>
      </c>
      <c r="E96" s="350">
        <v>45591</v>
      </c>
      <c r="F96" s="344" t="s">
        <v>1029</v>
      </c>
      <c r="G96" s="344" t="s">
        <v>1028</v>
      </c>
      <c r="H96" s="344"/>
    </row>
    <row r="97" spans="1:8" x14ac:dyDescent="0.25">
      <c r="A97" s="344">
        <f>+SUBTOTAL(3,$E$6:$E97)</f>
        <v>92</v>
      </c>
      <c r="B97" s="346" t="s">
        <v>701</v>
      </c>
      <c r="C97" s="344" t="str">
        <f>+VLOOKUP(B97,'Erection Compiled'!$C$7:$D$650,2,FALSE)</f>
        <v>DA+9</v>
      </c>
      <c r="D97" s="350">
        <v>45593</v>
      </c>
      <c r="E97" s="350">
        <v>45593</v>
      </c>
      <c r="F97" s="344" t="s">
        <v>1026</v>
      </c>
      <c r="G97" s="344" t="s">
        <v>1028</v>
      </c>
      <c r="H97" s="344" t="s">
        <v>1028</v>
      </c>
    </row>
    <row r="98" spans="1:8" x14ac:dyDescent="0.25">
      <c r="A98" s="344">
        <f>+SUBTOTAL(3,$E$6:$E98)</f>
        <v>93</v>
      </c>
      <c r="B98" s="346" t="s">
        <v>820</v>
      </c>
      <c r="C98" s="344" t="str">
        <f>+VLOOKUP(B98,'Erection Compiled'!$C$7:$D$650,2,FALSE)</f>
        <v>DA+3</v>
      </c>
      <c r="D98" s="350">
        <v>45594</v>
      </c>
      <c r="E98" s="350">
        <v>45594</v>
      </c>
      <c r="F98" s="344" t="s">
        <v>1026</v>
      </c>
      <c r="G98" s="344" t="s">
        <v>1028</v>
      </c>
      <c r="H98" s="344" t="s">
        <v>1028</v>
      </c>
    </row>
    <row r="99" spans="1:8" x14ac:dyDescent="0.25">
      <c r="A99" s="344">
        <f>+SUBTOTAL(3,$E$6:$E99)</f>
        <v>94</v>
      </c>
      <c r="B99" s="346" t="s">
        <v>498</v>
      </c>
      <c r="C99" s="344" t="str">
        <f>+VLOOKUP(B99,'Erection Compiled'!$C$7:$D$650,2,FALSE)</f>
        <v>DA+3</v>
      </c>
      <c r="D99" s="350">
        <v>45591</v>
      </c>
      <c r="E99" s="350">
        <v>45594</v>
      </c>
      <c r="F99" s="344" t="s">
        <v>615</v>
      </c>
      <c r="G99" s="344" t="s">
        <v>1028</v>
      </c>
      <c r="H99" s="344"/>
    </row>
    <row r="100" spans="1:8" x14ac:dyDescent="0.25">
      <c r="A100" s="344">
        <f>+SUBTOTAL(3,$E$6:$E100)</f>
        <v>95</v>
      </c>
      <c r="B100" s="346" t="s">
        <v>174</v>
      </c>
      <c r="C100" s="344" t="str">
        <f>+VLOOKUP(B100,'Erection Compiled'!$C$7:$D$650,2,FALSE)</f>
        <v>DA+0</v>
      </c>
      <c r="D100" s="350">
        <v>45606</v>
      </c>
      <c r="E100" s="350">
        <v>45606</v>
      </c>
      <c r="F100" s="344" t="s">
        <v>615</v>
      </c>
      <c r="G100" s="344" t="s">
        <v>1028</v>
      </c>
      <c r="H100" s="344"/>
    </row>
    <row r="101" spans="1:8" x14ac:dyDescent="0.25">
      <c r="A101" s="344">
        <f>+SUBTOTAL(3,$E$6:$E101)</f>
        <v>96</v>
      </c>
      <c r="B101" s="344" t="s">
        <v>763</v>
      </c>
      <c r="C101" s="344" t="str">
        <f>+VLOOKUP(B101,'Erection Compiled'!$C$7:$D$650,2,FALSE)</f>
        <v>DA+6</v>
      </c>
      <c r="D101" s="350">
        <v>45607</v>
      </c>
      <c r="E101" s="350">
        <v>45607</v>
      </c>
      <c r="F101" s="344" t="s">
        <v>1026</v>
      </c>
      <c r="G101" s="344" t="s">
        <v>1028</v>
      </c>
      <c r="H101" s="344" t="s">
        <v>1028</v>
      </c>
    </row>
    <row r="102" spans="1:8" x14ac:dyDescent="0.25">
      <c r="A102" s="344">
        <f>+SUBTOTAL(3,$E$6:$E102)</f>
        <v>97</v>
      </c>
      <c r="B102" s="346" t="s">
        <v>510</v>
      </c>
      <c r="C102" s="344" t="str">
        <f>+VLOOKUP(B102,'Erection Compiled'!$C$7:$D$650,2,FALSE)</f>
        <v>DA+0</v>
      </c>
      <c r="D102" s="350">
        <v>45608</v>
      </c>
      <c r="E102" s="350">
        <v>45608</v>
      </c>
      <c r="F102" s="344" t="s">
        <v>615</v>
      </c>
      <c r="G102" s="344" t="s">
        <v>1028</v>
      </c>
      <c r="H102" s="344"/>
    </row>
    <row r="103" spans="1:8" x14ac:dyDescent="0.25">
      <c r="A103" s="344">
        <f>+SUBTOTAL(3,$E$6:$E103)</f>
        <v>98</v>
      </c>
      <c r="B103" s="344" t="s">
        <v>706</v>
      </c>
      <c r="C103" s="344" t="str">
        <f>+VLOOKUP(B103,'Erection Compiled'!$C$7:$D$650,2,FALSE)</f>
        <v>DA+0</v>
      </c>
      <c r="D103" s="350">
        <v>45610</v>
      </c>
      <c r="E103" s="350">
        <v>45610</v>
      </c>
      <c r="F103" s="344" t="s">
        <v>1026</v>
      </c>
      <c r="G103" s="344" t="s">
        <v>1028</v>
      </c>
      <c r="H103" s="344" t="s">
        <v>1028</v>
      </c>
    </row>
    <row r="104" spans="1:8" x14ac:dyDescent="0.25">
      <c r="A104" s="344">
        <f>+SUBTOTAL(3,$E$6:$E104)</f>
        <v>99</v>
      </c>
      <c r="B104" s="344" t="s">
        <v>857</v>
      </c>
      <c r="C104" s="344" t="str">
        <f>+VLOOKUP(B104,'Erection Compiled'!$C$7:$D$650,2,FALSE)</f>
        <v>DA+0</v>
      </c>
      <c r="D104" s="350">
        <v>45610</v>
      </c>
      <c r="E104" s="350">
        <v>45610</v>
      </c>
      <c r="F104" s="344" t="s">
        <v>1026</v>
      </c>
      <c r="G104" s="344" t="s">
        <v>1028</v>
      </c>
      <c r="H104" s="344" t="s">
        <v>1028</v>
      </c>
    </row>
    <row r="105" spans="1:8" x14ac:dyDescent="0.25">
      <c r="A105" s="344">
        <f>+SUBTOTAL(3,$E$6:$E105)</f>
        <v>100</v>
      </c>
      <c r="B105" s="344" t="s">
        <v>858</v>
      </c>
      <c r="C105" s="344" t="str">
        <f>+VLOOKUP(B105,'Erection Compiled'!$C$7:$D$650,2,FALSE)</f>
        <v>DA+0</v>
      </c>
      <c r="D105" s="350">
        <v>45615</v>
      </c>
      <c r="E105" s="350">
        <v>45615</v>
      </c>
      <c r="F105" s="344" t="s">
        <v>1026</v>
      </c>
      <c r="G105" s="344" t="s">
        <v>1028</v>
      </c>
      <c r="H105" s="344" t="s">
        <v>1028</v>
      </c>
    </row>
    <row r="106" spans="1:8" x14ac:dyDescent="0.25">
      <c r="A106" s="344">
        <f>+SUBTOTAL(3,$E$6:$E106)</f>
        <v>101</v>
      </c>
      <c r="B106" s="344" t="s">
        <v>865</v>
      </c>
      <c r="C106" s="344" t="str">
        <f>+VLOOKUP(B106,'Erection Compiled'!$C$7:$D$650,2,FALSE)</f>
        <v>DA+0</v>
      </c>
      <c r="D106" s="350">
        <v>45616</v>
      </c>
      <c r="E106" s="350">
        <v>45616</v>
      </c>
      <c r="F106" s="344" t="s">
        <v>1026</v>
      </c>
      <c r="G106" s="344" t="s">
        <v>1028</v>
      </c>
      <c r="H106" s="344" t="s">
        <v>1028</v>
      </c>
    </row>
    <row r="107" spans="1:8" x14ac:dyDescent="0.25">
      <c r="A107" s="344">
        <f>+SUBTOTAL(3,$E$6:$E107)</f>
        <v>102</v>
      </c>
      <c r="B107" s="344" t="s">
        <v>720</v>
      </c>
      <c r="C107" s="344" t="str">
        <f>+VLOOKUP(B107,'Erection Compiled'!$C$7:$D$650,2,FALSE)</f>
        <v>DA+3</v>
      </c>
      <c r="D107" s="350">
        <v>45621</v>
      </c>
      <c r="E107" s="350">
        <v>45621</v>
      </c>
      <c r="F107" s="344" t="s">
        <v>1026</v>
      </c>
      <c r="G107" s="344" t="s">
        <v>1028</v>
      </c>
      <c r="H107" s="344" t="s">
        <v>1028</v>
      </c>
    </row>
    <row r="108" spans="1:8" x14ac:dyDescent="0.25">
      <c r="A108" s="344">
        <f>+SUBTOTAL(3,$E$6:$E108)</f>
        <v>103</v>
      </c>
      <c r="B108" s="344" t="s">
        <v>719</v>
      </c>
      <c r="C108" s="344" t="str">
        <f>+VLOOKUP(B108,'Erection Compiled'!$C$7:$D$650,2,FALSE)</f>
        <v>DA+6</v>
      </c>
      <c r="D108" s="350">
        <v>45621</v>
      </c>
      <c r="E108" s="350">
        <v>45621</v>
      </c>
      <c r="F108" s="344" t="s">
        <v>1026</v>
      </c>
      <c r="G108" s="344" t="s">
        <v>1028</v>
      </c>
      <c r="H108" s="344" t="s">
        <v>1028</v>
      </c>
    </row>
    <row r="109" spans="1:8" x14ac:dyDescent="0.25">
      <c r="A109" s="344">
        <f>+SUBTOTAL(3,$E$6:$E109)</f>
        <v>104</v>
      </c>
      <c r="B109" s="344" t="s">
        <v>721</v>
      </c>
      <c r="C109" s="344" t="str">
        <f>+VLOOKUP(B109,'Erection Compiled'!$C$7:$D$650,2,FALSE)</f>
        <v>DA+6</v>
      </c>
      <c r="D109" s="350">
        <v>45622</v>
      </c>
      <c r="E109" s="350">
        <v>45622</v>
      </c>
      <c r="F109" s="344" t="s">
        <v>1026</v>
      </c>
      <c r="G109" s="344" t="s">
        <v>1028</v>
      </c>
      <c r="H109" s="344" t="s">
        <v>1028</v>
      </c>
    </row>
    <row r="110" spans="1:8" x14ac:dyDescent="0.25">
      <c r="A110" s="344">
        <f>+SUBTOTAL(3,$E$6:$E110)</f>
        <v>105</v>
      </c>
      <c r="B110" s="344" t="s">
        <v>691</v>
      </c>
      <c r="C110" s="344" t="str">
        <f>+VLOOKUP(B110,'Erection Compiled'!$C$7:$D$650,2,FALSE)</f>
        <v>DC2+0</v>
      </c>
      <c r="D110" s="350">
        <v>45623</v>
      </c>
      <c r="E110" s="350">
        <v>45623</v>
      </c>
      <c r="F110" s="344" t="s">
        <v>1026</v>
      </c>
      <c r="G110" s="344" t="s">
        <v>1028</v>
      </c>
      <c r="H110" s="344" t="s">
        <v>1028</v>
      </c>
    </row>
    <row r="111" spans="1:8" x14ac:dyDescent="0.25">
      <c r="A111" s="344">
        <f>+SUBTOTAL(3,$E$6:$E111)</f>
        <v>106</v>
      </c>
      <c r="B111" s="344" t="s">
        <v>696</v>
      </c>
      <c r="C111" s="344" t="str">
        <f>+VLOOKUP(B111,'Erection Compiled'!$C$7:$D$650,2,FALSE)</f>
        <v>DA+3</v>
      </c>
      <c r="D111" s="350">
        <v>45623</v>
      </c>
      <c r="E111" s="350">
        <v>45623</v>
      </c>
      <c r="F111" s="344" t="s">
        <v>1026</v>
      </c>
      <c r="G111" s="344" t="s">
        <v>1028</v>
      </c>
      <c r="H111" s="344" t="s">
        <v>1028</v>
      </c>
    </row>
    <row r="112" spans="1:8" x14ac:dyDescent="0.25">
      <c r="A112" s="344">
        <f>+SUBTOTAL(3,$E$6:$E112)</f>
        <v>107</v>
      </c>
      <c r="B112" s="344" t="s">
        <v>692</v>
      </c>
      <c r="C112" s="344" t="str">
        <f>+VLOOKUP(B112,'Erection Compiled'!$C$7:$D$650,2,FALSE)</f>
        <v>DA+9</v>
      </c>
      <c r="D112" s="350">
        <v>45625</v>
      </c>
      <c r="E112" s="350">
        <v>45625</v>
      </c>
      <c r="F112" s="344" t="s">
        <v>1026</v>
      </c>
      <c r="G112" s="344" t="s">
        <v>1028</v>
      </c>
      <c r="H112" s="344" t="s">
        <v>1028</v>
      </c>
    </row>
    <row r="113" spans="1:8" x14ac:dyDescent="0.25">
      <c r="A113" s="344">
        <f>+SUBTOTAL(3,$E$6:$E113)</f>
        <v>108</v>
      </c>
      <c r="B113" s="344" t="s">
        <v>690</v>
      </c>
      <c r="C113" s="344" t="str">
        <f>+VLOOKUP(B113,'Erection Compiled'!$C$7:$D$650,2,FALSE)</f>
        <v>DA+6</v>
      </c>
      <c r="D113" s="350">
        <v>45625</v>
      </c>
      <c r="E113" s="350">
        <v>45625</v>
      </c>
      <c r="F113" s="344" t="s">
        <v>1026</v>
      </c>
      <c r="G113" s="344" t="s">
        <v>1028</v>
      </c>
      <c r="H113" s="344" t="s">
        <v>1028</v>
      </c>
    </row>
    <row r="114" spans="1:8" x14ac:dyDescent="0.25">
      <c r="A114" s="344">
        <f>+SUBTOTAL(3,$E$6:$E114)</f>
        <v>109</v>
      </c>
      <c r="B114" s="344" t="s">
        <v>699</v>
      </c>
      <c r="C114" s="344" t="str">
        <f>+VLOOKUP(B114,'Erection Compiled'!$C$7:$D$650,2,FALSE)</f>
        <v>DA+0</v>
      </c>
      <c r="D114" s="350">
        <v>45628</v>
      </c>
      <c r="E114" s="350">
        <v>45628</v>
      </c>
      <c r="F114" s="344" t="s">
        <v>1026</v>
      </c>
      <c r="G114" s="344" t="s">
        <v>1028</v>
      </c>
      <c r="H114" s="344" t="s">
        <v>1028</v>
      </c>
    </row>
    <row r="115" spans="1:8" x14ac:dyDescent="0.25">
      <c r="A115" s="344">
        <f>+SUBTOTAL(3,$E$6:$E115)</f>
        <v>110</v>
      </c>
      <c r="B115" s="344" t="s">
        <v>698</v>
      </c>
      <c r="C115" s="344" t="str">
        <f>+VLOOKUP(B115,'Erection Compiled'!$C$7:$D$650,2,FALSE)</f>
        <v>DA+0</v>
      </c>
      <c r="D115" s="350">
        <v>45629</v>
      </c>
      <c r="E115" s="350">
        <v>45629</v>
      </c>
      <c r="F115" s="344" t="s">
        <v>1026</v>
      </c>
      <c r="G115" s="344" t="s">
        <v>1028</v>
      </c>
      <c r="H115" s="344" t="s">
        <v>1028</v>
      </c>
    </row>
    <row r="116" spans="1:8" x14ac:dyDescent="0.25">
      <c r="A116" s="344">
        <f>+SUBTOTAL(3,$E$6:$E116)</f>
        <v>111</v>
      </c>
      <c r="B116" s="344" t="s">
        <v>697</v>
      </c>
      <c r="C116" s="344" t="str">
        <f>+VLOOKUP(B116,'Erection Compiled'!$C$7:$D$650,2,FALSE)</f>
        <v>DA+3</v>
      </c>
      <c r="D116" s="350">
        <v>45630</v>
      </c>
      <c r="E116" s="350">
        <v>45630</v>
      </c>
      <c r="F116" s="344" t="s">
        <v>1026</v>
      </c>
      <c r="G116" s="344" t="s">
        <v>1028</v>
      </c>
      <c r="H116" s="344" t="s">
        <v>1028</v>
      </c>
    </row>
    <row r="117" spans="1:8" x14ac:dyDescent="0.25">
      <c r="A117" s="344">
        <f>+SUBTOTAL(3,$E$6:$E117)</f>
        <v>112</v>
      </c>
      <c r="B117" s="344" t="s">
        <v>218</v>
      </c>
      <c r="C117" s="344" t="str">
        <f>+VLOOKUP(B117,'Erection Compiled'!$C$7:$D$650,2,FALSE)</f>
        <v>DA+3</v>
      </c>
      <c r="D117" s="350">
        <v>45631</v>
      </c>
      <c r="E117" s="350">
        <v>45631</v>
      </c>
      <c r="F117" s="344" t="s">
        <v>1026</v>
      </c>
      <c r="G117" s="344" t="s">
        <v>1028</v>
      </c>
      <c r="H117" s="344" t="s">
        <v>1028</v>
      </c>
    </row>
    <row r="118" spans="1:8" x14ac:dyDescent="0.25">
      <c r="A118" s="344">
        <f>+SUBTOTAL(3,$E$6:$E118)</f>
        <v>113</v>
      </c>
      <c r="B118" s="344" t="s">
        <v>756</v>
      </c>
      <c r="C118" s="344" t="str">
        <f>+VLOOKUP(B118,'Erection Compiled'!$C$7:$D$650,2,FALSE)</f>
        <v>DA+3</v>
      </c>
      <c r="D118" s="350">
        <v>45632</v>
      </c>
      <c r="E118" s="350">
        <v>45632</v>
      </c>
      <c r="F118" s="344" t="s">
        <v>1026</v>
      </c>
      <c r="G118" s="344" t="s">
        <v>1028</v>
      </c>
      <c r="H118" s="344" t="s">
        <v>1028</v>
      </c>
    </row>
    <row r="119" spans="1:8" x14ac:dyDescent="0.25">
      <c r="A119" s="344">
        <f>+SUBTOTAL(3,$E$6:$E119)</f>
        <v>114</v>
      </c>
      <c r="B119" s="344" t="s">
        <v>862</v>
      </c>
      <c r="C119" s="344" t="str">
        <f>+VLOOKUP(B119,'Erection Compiled'!$C$7:$D$650,2,FALSE)</f>
        <v>DA+0</v>
      </c>
      <c r="D119" s="350">
        <v>45639</v>
      </c>
      <c r="E119" s="350">
        <v>45639</v>
      </c>
      <c r="F119" s="344" t="s">
        <v>1026</v>
      </c>
      <c r="G119" s="344" t="s">
        <v>1028</v>
      </c>
      <c r="H119" s="344" t="s">
        <v>1028</v>
      </c>
    </row>
    <row r="120" spans="1:8" x14ac:dyDescent="0.25">
      <c r="A120" s="344">
        <f>+SUBTOTAL(3,$E$6:$E120)</f>
        <v>115</v>
      </c>
      <c r="B120" s="344" t="s">
        <v>221</v>
      </c>
      <c r="C120" s="344" t="str">
        <f>+VLOOKUP(B120,'Erection Compiled'!$C$7:$D$650,2,FALSE)</f>
        <v>DA+3</v>
      </c>
      <c r="D120" s="350">
        <v>45643</v>
      </c>
      <c r="E120" s="350">
        <v>45643</v>
      </c>
      <c r="F120" s="344" t="s">
        <v>1026</v>
      </c>
      <c r="G120" s="344" t="s">
        <v>1028</v>
      </c>
      <c r="H120" s="344" t="s">
        <v>1028</v>
      </c>
    </row>
    <row r="121" spans="1:8" x14ac:dyDescent="0.25">
      <c r="A121" s="344">
        <f>+SUBTOTAL(3,$E$6:$E121)</f>
        <v>116</v>
      </c>
      <c r="B121" s="344" t="s">
        <v>755</v>
      </c>
      <c r="C121" s="344" t="str">
        <f>+VLOOKUP(B121,'Erection Compiled'!$C$7:$D$650,2,FALSE)</f>
        <v>DA+3</v>
      </c>
      <c r="D121" s="350">
        <v>45644</v>
      </c>
      <c r="E121" s="350">
        <v>45644</v>
      </c>
      <c r="F121" s="344" t="s">
        <v>1026</v>
      </c>
      <c r="G121" s="344" t="s">
        <v>1028</v>
      </c>
      <c r="H121" s="344" t="s">
        <v>1028</v>
      </c>
    </row>
    <row r="122" spans="1:8" x14ac:dyDescent="0.25">
      <c r="A122" s="344">
        <f>+SUBTOTAL(3,$E$6:$E122)</f>
        <v>117</v>
      </c>
      <c r="B122" s="344" t="s">
        <v>96</v>
      </c>
      <c r="C122" s="344" t="str">
        <f>+VLOOKUP(B122,'Erection Compiled'!$C$7:$D$650,2,FALSE)</f>
        <v>DA+3</v>
      </c>
      <c r="D122" s="350">
        <v>45646</v>
      </c>
      <c r="E122" s="350">
        <v>45646</v>
      </c>
      <c r="F122" s="344" t="s">
        <v>1026</v>
      </c>
      <c r="G122" s="344" t="s">
        <v>1028</v>
      </c>
      <c r="H122" s="344" t="s">
        <v>1028</v>
      </c>
    </row>
    <row r="123" spans="1:8" x14ac:dyDescent="0.25">
      <c r="A123" s="344">
        <f>+SUBTOTAL(3,$E$6:$E123)</f>
        <v>118</v>
      </c>
      <c r="B123" s="344" t="s">
        <v>707</v>
      </c>
      <c r="C123" s="344" t="str">
        <f>+VLOOKUP(B123,'Erection Compiled'!$C$7:$D$650,2,FALSE)</f>
        <v>DA+9</v>
      </c>
      <c r="D123" s="350">
        <v>45649</v>
      </c>
      <c r="E123" s="350">
        <v>45649</v>
      </c>
      <c r="F123" s="344" t="s">
        <v>1026</v>
      </c>
      <c r="G123" s="344" t="s">
        <v>1028</v>
      </c>
      <c r="H123" s="344" t="s">
        <v>1028</v>
      </c>
    </row>
    <row r="124" spans="1:8" x14ac:dyDescent="0.25">
      <c r="A124" s="344">
        <f>+SUBTOTAL(3,$E$6:$E124)</f>
        <v>119</v>
      </c>
      <c r="B124" s="344" t="s">
        <v>864</v>
      </c>
      <c r="C124" s="344" t="str">
        <f>+VLOOKUP(B124,'Erection Compiled'!$C$7:$D$650,2,FALSE)</f>
        <v>DA+3</v>
      </c>
      <c r="D124" s="350">
        <v>45651</v>
      </c>
      <c r="E124" s="350">
        <v>45651</v>
      </c>
      <c r="F124" s="344" t="s">
        <v>1026</v>
      </c>
      <c r="G124" s="344" t="s">
        <v>1028</v>
      </c>
      <c r="H124" s="344" t="s">
        <v>1028</v>
      </c>
    </row>
    <row r="125" spans="1:8" x14ac:dyDescent="0.25">
      <c r="A125" s="344">
        <f>+SUBTOTAL(3,$E$6:$E125)</f>
        <v>120</v>
      </c>
      <c r="B125" s="344" t="s">
        <v>712</v>
      </c>
      <c r="C125" s="344" t="str">
        <f>+VLOOKUP(B125,'Erection Compiled'!$C$7:$D$650,2,FALSE)</f>
        <v>DA+0</v>
      </c>
      <c r="D125" s="350">
        <v>45652</v>
      </c>
      <c r="E125" s="350">
        <v>45652</v>
      </c>
      <c r="F125" s="344" t="s">
        <v>1026</v>
      </c>
      <c r="G125" s="344" t="s">
        <v>1028</v>
      </c>
      <c r="H125" s="344" t="s">
        <v>1028</v>
      </c>
    </row>
    <row r="126" spans="1:8" x14ac:dyDescent="0.25">
      <c r="A126" s="344">
        <f>+SUBTOTAL(3,$E$6:$E126)</f>
        <v>121</v>
      </c>
      <c r="B126" s="344" t="s">
        <v>694</v>
      </c>
      <c r="C126" s="344" t="str">
        <f>+VLOOKUP(B126,'Erection Compiled'!$C$7:$D$650,2,FALSE)</f>
        <v>DA+3</v>
      </c>
      <c r="D126" s="350">
        <v>45652</v>
      </c>
      <c r="E126" s="350">
        <v>45652</v>
      </c>
      <c r="F126" s="344" t="s">
        <v>1026</v>
      </c>
      <c r="G126" s="344" t="s">
        <v>1028</v>
      </c>
      <c r="H126" s="344" t="s">
        <v>1028</v>
      </c>
    </row>
    <row r="127" spans="1:8" x14ac:dyDescent="0.25">
      <c r="A127" s="344">
        <f>+SUBTOTAL(3,$E$6:$E127)</f>
        <v>122</v>
      </c>
      <c r="B127" s="344" t="s">
        <v>695</v>
      </c>
      <c r="C127" s="344" t="str">
        <f>+VLOOKUP(B127,'Erection Compiled'!$C$7:$D$650,2,FALSE)</f>
        <v>DA+3</v>
      </c>
      <c r="D127" s="350">
        <v>45652</v>
      </c>
      <c r="E127" s="350">
        <v>45652</v>
      </c>
      <c r="F127" s="344" t="s">
        <v>1026</v>
      </c>
      <c r="G127" s="344" t="s">
        <v>1028</v>
      </c>
      <c r="H127" s="344" t="s">
        <v>1028</v>
      </c>
    </row>
    <row r="128" spans="1:8" x14ac:dyDescent="0.25">
      <c r="A128" s="344">
        <f>+SUBTOTAL(3,$E$6:$E128)</f>
        <v>123</v>
      </c>
      <c r="B128" s="344" t="s">
        <v>693</v>
      </c>
      <c r="C128" s="344" t="str">
        <f>+VLOOKUP(B128,'Erection Compiled'!$C$7:$D$650,2,FALSE)</f>
        <v>DA+0</v>
      </c>
      <c r="D128" s="350">
        <v>45654</v>
      </c>
      <c r="E128" s="350">
        <v>45654</v>
      </c>
      <c r="F128" s="344" t="s">
        <v>1026</v>
      </c>
      <c r="G128" s="344" t="s">
        <v>1028</v>
      </c>
      <c r="H128" s="344" t="s">
        <v>1028</v>
      </c>
    </row>
    <row r="129" spans="1:8" x14ac:dyDescent="0.25">
      <c r="A129" s="344">
        <f>+SUBTOTAL(3,$E$6:$E129)</f>
        <v>124</v>
      </c>
      <c r="B129" s="344" t="s">
        <v>703</v>
      </c>
      <c r="C129" s="344" t="str">
        <f>+VLOOKUP(B129,'Erection Compiled'!$C$7:$D$650,2,FALSE)</f>
        <v>DA+9</v>
      </c>
      <c r="D129" s="350">
        <v>45663</v>
      </c>
      <c r="E129" s="350">
        <v>45663</v>
      </c>
      <c r="F129" s="344" t="s">
        <v>1026</v>
      </c>
      <c r="G129" s="344" t="s">
        <v>1028</v>
      </c>
      <c r="H129" s="344" t="s">
        <v>1028</v>
      </c>
    </row>
    <row r="130" spans="1:8" x14ac:dyDescent="0.25">
      <c r="A130" s="344">
        <f>+SUBTOTAL(3,$E$6:$E130)</f>
        <v>125</v>
      </c>
      <c r="B130" s="344" t="s">
        <v>35</v>
      </c>
      <c r="C130" s="344" t="str">
        <f>+VLOOKUP(B130,'Erection Compiled'!$C$7:$D$650,2,FALSE)</f>
        <v>DC2+0</v>
      </c>
      <c r="D130" s="350">
        <v>45664</v>
      </c>
      <c r="E130" s="350">
        <v>45664</v>
      </c>
      <c r="F130" s="344" t="s">
        <v>1026</v>
      </c>
      <c r="G130" s="344" t="s">
        <v>1028</v>
      </c>
      <c r="H130" s="344" t="s">
        <v>1028</v>
      </c>
    </row>
    <row r="131" spans="1:8" x14ac:dyDescent="0.25">
      <c r="A131" s="344">
        <f>+SUBTOTAL(3,$E$6:$E131)</f>
        <v>126</v>
      </c>
      <c r="B131" s="344" t="s">
        <v>705</v>
      </c>
      <c r="C131" s="344" t="str">
        <f>+VLOOKUP(B131,'Erection Compiled'!$C$7:$D$650,2,FALSE)</f>
        <v>DA+9</v>
      </c>
      <c r="D131" s="350">
        <v>45669</v>
      </c>
      <c r="E131" s="350">
        <v>45669</v>
      </c>
      <c r="F131" s="344" t="s">
        <v>1026</v>
      </c>
      <c r="G131" s="344" t="s">
        <v>1028</v>
      </c>
      <c r="H131" s="344" t="s">
        <v>1028</v>
      </c>
    </row>
    <row r="132" spans="1:8" x14ac:dyDescent="0.25">
      <c r="A132" s="344">
        <f>+SUBTOTAL(3,$E$6:$E132)</f>
        <v>127</v>
      </c>
      <c r="B132" s="344" t="s">
        <v>219</v>
      </c>
      <c r="C132" s="344" t="str">
        <f>+VLOOKUP(B132,'Erection Compiled'!$C$7:$D$650,2,FALSE)</f>
        <v>DA+0</v>
      </c>
      <c r="D132" s="350">
        <v>45674</v>
      </c>
      <c r="E132" s="350">
        <v>45674</v>
      </c>
      <c r="F132" s="344" t="s">
        <v>1026</v>
      </c>
      <c r="G132" s="344" t="s">
        <v>1028</v>
      </c>
      <c r="H132" s="344" t="s">
        <v>1028</v>
      </c>
    </row>
    <row r="133" spans="1:8" x14ac:dyDescent="0.25">
      <c r="A133" s="344">
        <f>+SUBTOTAL(3,$E$6:$E133)</f>
        <v>128</v>
      </c>
      <c r="B133" s="344" t="s">
        <v>220</v>
      </c>
      <c r="C133" s="344" t="str">
        <f>+VLOOKUP(B133,'Erection Compiled'!$C$7:$D$650,2,FALSE)</f>
        <v>DA+0</v>
      </c>
      <c r="D133" s="350">
        <v>45675</v>
      </c>
      <c r="E133" s="350">
        <v>45675</v>
      </c>
      <c r="F133" s="344" t="s">
        <v>1026</v>
      </c>
      <c r="G133" s="344" t="s">
        <v>1028</v>
      </c>
      <c r="H133" s="344" t="s">
        <v>1028</v>
      </c>
    </row>
    <row r="134" spans="1:8" x14ac:dyDescent="0.25">
      <c r="A134" s="344">
        <f>+SUBTOTAL(3,$E$6:$E134)</f>
        <v>129</v>
      </c>
      <c r="B134" s="344" t="s">
        <v>859</v>
      </c>
      <c r="C134" s="344" t="str">
        <f>+VLOOKUP(B134,'Erection Compiled'!$C$7:$D$650,2,FALSE)</f>
        <v>DA+0</v>
      </c>
      <c r="D134" s="350">
        <v>45684</v>
      </c>
      <c r="E134" s="350">
        <v>45684</v>
      </c>
      <c r="F134" s="344" t="s">
        <v>1026</v>
      </c>
      <c r="G134" s="344" t="s">
        <v>1028</v>
      </c>
      <c r="H134" s="344" t="s">
        <v>1028</v>
      </c>
    </row>
    <row r="135" spans="1:8" x14ac:dyDescent="0.25">
      <c r="A135" s="344">
        <f>+SUBTOTAL(3,$E$6:$E135)</f>
        <v>130</v>
      </c>
      <c r="B135" s="344" t="s">
        <v>860</v>
      </c>
      <c r="C135" s="344" t="str">
        <f>+VLOOKUP(B135,'Erection Compiled'!$C$7:$D$650,2,FALSE)</f>
        <v>DA+0</v>
      </c>
      <c r="D135" s="350">
        <v>45685</v>
      </c>
      <c r="E135" s="350">
        <v>45686</v>
      </c>
      <c r="F135" s="344" t="s">
        <v>1026</v>
      </c>
      <c r="G135" s="344" t="s">
        <v>1028</v>
      </c>
      <c r="H135" s="344" t="s">
        <v>1028</v>
      </c>
    </row>
    <row r="136" spans="1:8" x14ac:dyDescent="0.25">
      <c r="A136" s="344">
        <f>+SUBTOTAL(3,$E$6:$E136)</f>
        <v>131</v>
      </c>
      <c r="B136" s="344" t="s">
        <v>863</v>
      </c>
      <c r="C136" s="344" t="str">
        <f>+VLOOKUP(B136,'Erection Compiled'!$C$7:$D$650,2,FALSE)</f>
        <v>DA+0</v>
      </c>
      <c r="D136" s="350">
        <v>45701</v>
      </c>
      <c r="E136" s="350">
        <v>45701</v>
      </c>
      <c r="F136" s="344" t="s">
        <v>1026</v>
      </c>
      <c r="G136" s="344" t="s">
        <v>1028</v>
      </c>
      <c r="H136" s="344" t="s">
        <v>1028</v>
      </c>
    </row>
    <row r="137" spans="1:8" x14ac:dyDescent="0.25">
      <c r="A137" s="344">
        <f>+SUBTOTAL(3,$E$6:$E137)</f>
        <v>132</v>
      </c>
      <c r="B137" s="344" t="s">
        <v>866</v>
      </c>
      <c r="C137" s="344" t="str">
        <f>+VLOOKUP(B137,'Erection Compiled'!$C$7:$D$650,2,FALSE)</f>
        <v>DB2+0</v>
      </c>
      <c r="D137" s="350">
        <v>45702</v>
      </c>
      <c r="E137" s="350">
        <v>45702</v>
      </c>
      <c r="F137" s="344" t="s">
        <v>1026</v>
      </c>
      <c r="G137" s="344" t="s">
        <v>1028</v>
      </c>
      <c r="H137" s="344" t="s">
        <v>1028</v>
      </c>
    </row>
    <row r="138" spans="1:8" x14ac:dyDescent="0.25">
      <c r="A138" s="344">
        <f>+SUBTOTAL(3,$E$6:$E138)</f>
        <v>133</v>
      </c>
      <c r="B138" s="344" t="s">
        <v>861</v>
      </c>
      <c r="C138" s="344" t="str">
        <f>+VLOOKUP(B138,'Erection Compiled'!$C$7:$D$650,2,FALSE)</f>
        <v>DA+0</v>
      </c>
      <c r="D138" s="350">
        <v>45703</v>
      </c>
      <c r="E138" s="350">
        <v>45703</v>
      </c>
      <c r="F138" s="344" t="s">
        <v>1026</v>
      </c>
      <c r="G138" s="344" t="s">
        <v>1028</v>
      </c>
      <c r="H138" s="344" t="s">
        <v>1028</v>
      </c>
    </row>
    <row r="139" spans="1:8" x14ac:dyDescent="0.25">
      <c r="A139" s="344">
        <f>+SUBTOTAL(3,$E$6:$E139)</f>
        <v>134</v>
      </c>
      <c r="B139" s="344" t="s">
        <v>829</v>
      </c>
      <c r="C139" s="344" t="str">
        <f>+VLOOKUP(B139,'Erection Compiled'!$C$7:$D$650,2,FALSE)</f>
        <v>DA+0</v>
      </c>
      <c r="D139" s="350">
        <v>45705</v>
      </c>
      <c r="E139" s="350">
        <v>45705</v>
      </c>
      <c r="F139" s="344" t="s">
        <v>1026</v>
      </c>
      <c r="G139" s="344" t="s">
        <v>1028</v>
      </c>
      <c r="H139" s="344" t="s">
        <v>1028</v>
      </c>
    </row>
    <row r="140" spans="1:8" x14ac:dyDescent="0.25">
      <c r="A140" s="344">
        <f>+SUBTOTAL(3,$E$6:$E140)</f>
        <v>135</v>
      </c>
      <c r="B140" s="344" t="s">
        <v>101</v>
      </c>
      <c r="C140" s="344" t="str">
        <f>+VLOOKUP(B140,'Erection Compiled'!$C$7:$D$650,2,FALSE)</f>
        <v>DC2+6</v>
      </c>
      <c r="D140" s="350">
        <v>45707</v>
      </c>
      <c r="E140" s="350">
        <v>45707</v>
      </c>
      <c r="F140" s="344" t="s">
        <v>1026</v>
      </c>
      <c r="G140" s="344" t="s">
        <v>1028</v>
      </c>
      <c r="H140" s="344" t="s">
        <v>1028</v>
      </c>
    </row>
    <row r="141" spans="1:8" x14ac:dyDescent="0.25">
      <c r="A141" s="344">
        <f>+SUBTOTAL(3,$E$6:$E141)</f>
        <v>136</v>
      </c>
      <c r="B141" s="344" t="s">
        <v>710</v>
      </c>
      <c r="C141" s="344" t="str">
        <f>+VLOOKUP(B141,'Erection Compiled'!$C$7:$D$650,2,FALSE)</f>
        <v>DC2+0</v>
      </c>
      <c r="D141" s="350">
        <v>45714</v>
      </c>
      <c r="E141" s="350">
        <v>45714</v>
      </c>
      <c r="F141" s="344" t="s">
        <v>1026</v>
      </c>
      <c r="G141" s="344" t="s">
        <v>1028</v>
      </c>
      <c r="H141" s="344" t="s">
        <v>1028</v>
      </c>
    </row>
    <row r="142" spans="1:8" x14ac:dyDescent="0.25">
      <c r="A142" s="344">
        <f>+SUBTOTAL(3,$E$6:$E142)</f>
        <v>137</v>
      </c>
      <c r="B142" s="344" t="s">
        <v>704</v>
      </c>
      <c r="C142" s="344" t="str">
        <f>+VLOOKUP(B142,'Erection Compiled'!$C$7:$D$650,2,FALSE)</f>
        <v>DA+9</v>
      </c>
      <c r="D142" s="350">
        <v>45718</v>
      </c>
      <c r="E142" s="350">
        <v>45718</v>
      </c>
      <c r="F142" s="344" t="s">
        <v>1026</v>
      </c>
      <c r="G142" s="344" t="s">
        <v>1028</v>
      </c>
      <c r="H142" s="344" t="s">
        <v>1028</v>
      </c>
    </row>
    <row r="143" spans="1:8" x14ac:dyDescent="0.25">
      <c r="A143" s="344">
        <f>+SUBTOTAL(3,$E$6:$E143)</f>
        <v>138</v>
      </c>
      <c r="B143" s="344" t="s">
        <v>713</v>
      </c>
      <c r="C143" s="344" t="str">
        <f>+VLOOKUP(B143,'Erection Compiled'!$C$7:$D$650,2,FALSE)</f>
        <v>DC2+0</v>
      </c>
      <c r="D143" s="350">
        <v>45721</v>
      </c>
      <c r="E143" s="350">
        <v>45721</v>
      </c>
      <c r="F143" s="344" t="s">
        <v>1026</v>
      </c>
      <c r="G143" s="344" t="s">
        <v>1028</v>
      </c>
      <c r="H143" s="344" t="s">
        <v>1028</v>
      </c>
    </row>
    <row r="144" spans="1:8" x14ac:dyDescent="0.25">
      <c r="A144" s="344">
        <f>+SUBTOTAL(3,$E$6:$E144)</f>
        <v>139</v>
      </c>
      <c r="B144" s="344" t="s">
        <v>91</v>
      </c>
      <c r="C144" s="344" t="str">
        <f>+VLOOKUP(B144,'Erection Compiled'!$C$7:$D$650,2,FALSE)</f>
        <v>DD45+0</v>
      </c>
      <c r="D144" s="350">
        <v>45726</v>
      </c>
      <c r="E144" s="350">
        <v>45726</v>
      </c>
      <c r="F144" s="344" t="s">
        <v>1026</v>
      </c>
      <c r="G144" s="344" t="s">
        <v>1028</v>
      </c>
      <c r="H144" s="344" t="s">
        <v>1028</v>
      </c>
    </row>
    <row r="145" spans="1:8" x14ac:dyDescent="0.25">
      <c r="A145" s="344">
        <f>+SUBTOTAL(3,$E$6:$E145)</f>
        <v>140</v>
      </c>
      <c r="B145" s="344" t="s">
        <v>722</v>
      </c>
      <c r="C145" s="344" t="str">
        <f>+VLOOKUP(B145,'Erection Compiled'!$C$7:$D$650,2,FALSE)</f>
        <v>DA+3</v>
      </c>
      <c r="D145" s="350">
        <v>45727</v>
      </c>
      <c r="E145" s="350">
        <v>45727</v>
      </c>
      <c r="F145" s="344" t="s">
        <v>1026</v>
      </c>
      <c r="G145" s="344" t="s">
        <v>1028</v>
      </c>
      <c r="H145" s="344" t="s">
        <v>1028</v>
      </c>
    </row>
    <row r="146" spans="1:8" x14ac:dyDescent="0.25">
      <c r="A146" s="344">
        <f>+SUBTOTAL(3,$E$6:$E146)</f>
        <v>141</v>
      </c>
      <c r="B146" s="344" t="s">
        <v>723</v>
      </c>
      <c r="C146" s="344" t="str">
        <f>+VLOOKUP(B146,'Erection Compiled'!$C$7:$D$650,2,FALSE)</f>
        <v>DA+9</v>
      </c>
      <c r="D146" s="350">
        <v>45728</v>
      </c>
      <c r="E146" s="350">
        <v>45728</v>
      </c>
      <c r="F146" s="344" t="s">
        <v>1026</v>
      </c>
      <c r="G146" s="344" t="s">
        <v>1028</v>
      </c>
      <c r="H146" s="344" t="s">
        <v>1028</v>
      </c>
    </row>
    <row r="147" spans="1:8" x14ac:dyDescent="0.25">
      <c r="A147" s="344">
        <f>+SUBTOTAL(3,$E$6:$E147)</f>
        <v>142</v>
      </c>
      <c r="B147" s="344" t="s">
        <v>856</v>
      </c>
      <c r="C147" s="344" t="str">
        <f>+VLOOKUP(B147,'Erection Compiled'!$C$7:$D$650,2,FALSE)</f>
        <v>DB2+0</v>
      </c>
      <c r="D147" s="350">
        <v>45729</v>
      </c>
      <c r="E147" s="350">
        <v>45729</v>
      </c>
      <c r="F147" s="344" t="s">
        <v>1026</v>
      </c>
      <c r="G147" s="344" t="s">
        <v>1028</v>
      </c>
      <c r="H147" s="344" t="s">
        <v>1028</v>
      </c>
    </row>
    <row r="148" spans="1:8" x14ac:dyDescent="0.25">
      <c r="A148" s="344">
        <f>+SUBTOTAL(3,$E$6:$E148)</f>
        <v>143</v>
      </c>
      <c r="B148" s="344" t="s">
        <v>718</v>
      </c>
      <c r="C148" s="344" t="str">
        <f>+VLOOKUP(B148,'Erection Compiled'!$C$7:$D$650,2,FALSE)</f>
        <v>DA+9</v>
      </c>
      <c r="D148" s="350">
        <v>45733</v>
      </c>
      <c r="E148" s="350">
        <v>45733</v>
      </c>
      <c r="F148" s="344" t="s">
        <v>1026</v>
      </c>
      <c r="G148" s="344" t="s">
        <v>1028</v>
      </c>
      <c r="H148" s="344" t="s">
        <v>1028</v>
      </c>
    </row>
    <row r="149" spans="1:8" x14ac:dyDescent="0.25">
      <c r="A149" s="344">
        <f>+SUBTOTAL(3,$E$6:$E149)</f>
        <v>144</v>
      </c>
      <c r="B149" s="346" t="s">
        <v>689</v>
      </c>
      <c r="C149" s="344" t="str">
        <f>+VLOOKUP(B149,'Erection Compiled'!$C$7:$D$650,2,FALSE)</f>
        <v>DA+3</v>
      </c>
      <c r="D149" s="350">
        <v>45763</v>
      </c>
      <c r="E149" s="350">
        <v>45763</v>
      </c>
      <c r="F149" s="344" t="s">
        <v>1026</v>
      </c>
      <c r="G149" s="344" t="s">
        <v>1028</v>
      </c>
      <c r="H149" s="344"/>
    </row>
    <row r="150" spans="1:8" x14ac:dyDescent="0.25">
      <c r="A150" s="344">
        <f>+SUBTOTAL(3,$E$6:$E150)</f>
        <v>145</v>
      </c>
      <c r="B150" s="346" t="s">
        <v>688</v>
      </c>
      <c r="C150" s="344" t="str">
        <f>+VLOOKUP(B150,'Erection Compiled'!$C$7:$D$650,2,FALSE)</f>
        <v>DA+0</v>
      </c>
      <c r="D150" s="350">
        <v>45763</v>
      </c>
      <c r="E150" s="350">
        <v>45763</v>
      </c>
      <c r="F150" s="344" t="s">
        <v>1026</v>
      </c>
      <c r="G150" s="344" t="s">
        <v>1028</v>
      </c>
      <c r="H150" s="344"/>
    </row>
    <row r="151" spans="1:8" x14ac:dyDescent="0.25">
      <c r="A151" s="344">
        <f>+SUBTOTAL(3,$E$6:$E151)</f>
        <v>146</v>
      </c>
      <c r="B151" s="346" t="s">
        <v>95</v>
      </c>
      <c r="C151" s="344" t="str">
        <f>+VLOOKUP(B151,'Erection Compiled'!$C$7:$D$650,2,FALSE)</f>
        <v>DC1+3</v>
      </c>
      <c r="D151" s="350">
        <v>45768</v>
      </c>
      <c r="E151" s="350">
        <v>45768</v>
      </c>
      <c r="F151" s="344" t="s">
        <v>1026</v>
      </c>
      <c r="G151" s="344" t="s">
        <v>1028</v>
      </c>
      <c r="H151" s="344"/>
    </row>
    <row r="152" spans="1:8" x14ac:dyDescent="0.25">
      <c r="A152" s="344">
        <f>+SUBTOTAL(3,$E$6:$E152)</f>
        <v>147</v>
      </c>
      <c r="B152" s="346" t="s">
        <v>855</v>
      </c>
      <c r="C152" s="344" t="str">
        <f>+VLOOKUP(B152,'Erection Compiled'!$C$7:$D$650,2,FALSE)</f>
        <v>DA+0</v>
      </c>
      <c r="D152" s="350">
        <v>45775</v>
      </c>
      <c r="E152" s="350">
        <v>45775</v>
      </c>
      <c r="F152" s="344" t="s">
        <v>1026</v>
      </c>
      <c r="G152" s="344" t="s">
        <v>1028</v>
      </c>
      <c r="H152" s="344" t="s">
        <v>1028</v>
      </c>
    </row>
    <row r="153" spans="1:8" x14ac:dyDescent="0.25">
      <c r="A153" s="344">
        <f>+SUBTOTAL(3,$E$6:$E153)</f>
        <v>148</v>
      </c>
      <c r="B153" s="346" t="s">
        <v>854</v>
      </c>
      <c r="C153" s="344" t="str">
        <f>+VLOOKUP(B153,'Erection Compiled'!$C$7:$D$650,2,FALSE)</f>
        <v>DA+3</v>
      </c>
      <c r="D153" s="350">
        <v>45776</v>
      </c>
      <c r="E153" s="350">
        <v>45776</v>
      </c>
      <c r="F153" s="344" t="s">
        <v>1026</v>
      </c>
      <c r="G153" s="344" t="s">
        <v>1028</v>
      </c>
      <c r="H153" s="344" t="s">
        <v>1028</v>
      </c>
    </row>
    <row r="154" spans="1:8" x14ac:dyDescent="0.25">
      <c r="A154" s="344">
        <f>+SUBTOTAL(3,$E$6:$E154)</f>
        <v>149</v>
      </c>
      <c r="B154" s="346" t="s">
        <v>852</v>
      </c>
      <c r="C154" s="344" t="str">
        <f>+VLOOKUP(B154,'Erection Compiled'!$C$7:$D$650,2,FALSE)</f>
        <v>DA+3</v>
      </c>
      <c r="D154" s="350">
        <v>45777</v>
      </c>
      <c r="E154" s="350">
        <v>45777</v>
      </c>
      <c r="F154" s="344" t="s">
        <v>1026</v>
      </c>
      <c r="G154" s="344" t="s">
        <v>1028</v>
      </c>
      <c r="H154" s="344" t="s">
        <v>1028</v>
      </c>
    </row>
    <row r="155" spans="1:8" x14ac:dyDescent="0.25">
      <c r="A155" s="344">
        <f>+SUBTOTAL(3,$E$6:$E155)</f>
        <v>150</v>
      </c>
      <c r="B155" s="346" t="s">
        <v>851</v>
      </c>
      <c r="C155" s="344" t="str">
        <f>+VLOOKUP(B155,'Erection Compiled'!$C$7:$D$650,2,FALSE)</f>
        <v>DA+3</v>
      </c>
      <c r="D155" s="350">
        <v>45777</v>
      </c>
      <c r="E155" s="350">
        <v>45777</v>
      </c>
      <c r="F155" s="344" t="s">
        <v>1026</v>
      </c>
      <c r="G155" s="344" t="s">
        <v>1028</v>
      </c>
      <c r="H155" s="344" t="s">
        <v>1028</v>
      </c>
    </row>
    <row r="156" spans="1:8" x14ac:dyDescent="0.25">
      <c r="A156" s="344">
        <f>+SUBTOTAL(3,$E$6:$E156)</f>
        <v>151</v>
      </c>
      <c r="B156" s="346" t="s">
        <v>838</v>
      </c>
      <c r="C156" s="344" t="str">
        <f>+VLOOKUP(B156,'Erection Compiled'!$C$7:$D$650,2,FALSE)</f>
        <v>DA+3</v>
      </c>
      <c r="D156" s="350">
        <v>45779</v>
      </c>
      <c r="E156" s="350">
        <v>45779</v>
      </c>
      <c r="F156" s="344" t="s">
        <v>1026</v>
      </c>
      <c r="G156" s="344" t="s">
        <v>1028</v>
      </c>
      <c r="H156" s="344" t="s">
        <v>1028</v>
      </c>
    </row>
    <row r="157" spans="1:8" x14ac:dyDescent="0.25">
      <c r="A157" s="344">
        <f>+SUBTOTAL(3,$E$6:$E157)</f>
        <v>152</v>
      </c>
      <c r="B157" s="346" t="s">
        <v>850</v>
      </c>
      <c r="C157" s="344" t="str">
        <f>+VLOOKUP(B157,'Erection Compiled'!$C$7:$D$650,2,FALSE)</f>
        <v>DA+0</v>
      </c>
      <c r="D157" s="350">
        <v>45779</v>
      </c>
      <c r="E157" s="350">
        <v>45779</v>
      </c>
      <c r="F157" s="344" t="s">
        <v>1026</v>
      </c>
      <c r="G157" s="344" t="s">
        <v>1028</v>
      </c>
      <c r="H157" s="344" t="s">
        <v>1028</v>
      </c>
    </row>
    <row r="158" spans="1:8" x14ac:dyDescent="0.25">
      <c r="A158" s="344">
        <f>+SUBTOTAL(3,$E$6:$E158)</f>
        <v>153</v>
      </c>
      <c r="B158" s="346" t="s">
        <v>836</v>
      </c>
      <c r="C158" s="344" t="str">
        <f>+VLOOKUP(B158,'Erection Compiled'!$C$7:$D$650,2,FALSE)</f>
        <v>DA+3</v>
      </c>
      <c r="D158" s="350">
        <v>45780</v>
      </c>
      <c r="E158" s="350">
        <v>45780</v>
      </c>
      <c r="F158" s="344" t="s">
        <v>1026</v>
      </c>
      <c r="G158" s="344" t="s">
        <v>1028</v>
      </c>
      <c r="H158" s="344" t="s">
        <v>1028</v>
      </c>
    </row>
    <row r="159" spans="1:8" x14ac:dyDescent="0.25">
      <c r="A159" s="344">
        <f>+SUBTOTAL(3,$E$6:$E159)</f>
        <v>154</v>
      </c>
      <c r="B159" s="346" t="s">
        <v>744</v>
      </c>
      <c r="C159" s="344" t="str">
        <f>+VLOOKUP(B159,'Erection Compiled'!$C$7:$D$650,2,FALSE)</f>
        <v>DA+0</v>
      </c>
      <c r="D159" s="350">
        <v>45782</v>
      </c>
      <c r="E159" s="350">
        <v>45782</v>
      </c>
      <c r="F159" s="344" t="s">
        <v>1026</v>
      </c>
      <c r="G159" s="344" t="s">
        <v>1028</v>
      </c>
      <c r="H159" s="344" t="s">
        <v>1028</v>
      </c>
    </row>
    <row r="160" spans="1:8" x14ac:dyDescent="0.25">
      <c r="A160" s="344">
        <f>+SUBTOTAL(3,$E$6:$E160)</f>
        <v>155</v>
      </c>
      <c r="B160" s="346" t="s">
        <v>745</v>
      </c>
      <c r="C160" s="344" t="str">
        <f>+VLOOKUP(B160,'Erection Compiled'!$C$7:$D$650,2,FALSE)</f>
        <v>DA+0</v>
      </c>
      <c r="D160" s="350">
        <v>45783</v>
      </c>
      <c r="E160" s="350">
        <v>45783</v>
      </c>
      <c r="F160" s="344" t="s">
        <v>1026</v>
      </c>
      <c r="G160" s="344" t="s">
        <v>1028</v>
      </c>
      <c r="H160" s="344" t="s">
        <v>1028</v>
      </c>
    </row>
    <row r="161" spans="1:8" x14ac:dyDescent="0.25">
      <c r="A161" s="344">
        <f>+SUBTOTAL(3,$E$6:$E161)</f>
        <v>156</v>
      </c>
      <c r="B161" s="346" t="s">
        <v>849</v>
      </c>
      <c r="C161" s="344" t="str">
        <f>+VLOOKUP(B161,'Erection Compiled'!$C$7:$D$650,2,FALSE)</f>
        <v>DA+3</v>
      </c>
      <c r="D161" s="350">
        <v>45787</v>
      </c>
      <c r="E161" s="350">
        <v>45787</v>
      </c>
      <c r="F161" s="344" t="s">
        <v>1026</v>
      </c>
      <c r="G161" s="344" t="s">
        <v>1028</v>
      </c>
      <c r="H161" s="344" t="s">
        <v>1028</v>
      </c>
    </row>
    <row r="162" spans="1:8" x14ac:dyDescent="0.25">
      <c r="A162" s="344">
        <f>+SUBTOTAL(3,$E$6:$E162)</f>
        <v>157</v>
      </c>
      <c r="B162" s="346" t="s">
        <v>837</v>
      </c>
      <c r="C162" s="344" t="str">
        <f>+VLOOKUP(B162,'Erection Compiled'!$C$7:$D$650,2,FALSE)</f>
        <v>DA+3</v>
      </c>
      <c r="D162" s="350">
        <v>45788</v>
      </c>
      <c r="E162" s="350">
        <v>45788</v>
      </c>
      <c r="F162" s="344" t="s">
        <v>1026</v>
      </c>
      <c r="G162" s="344" t="s">
        <v>1028</v>
      </c>
      <c r="H162" s="344" t="s">
        <v>1028</v>
      </c>
    </row>
    <row r="163" spans="1:8" x14ac:dyDescent="0.25">
      <c r="A163" s="344">
        <f>+SUBTOTAL(3,$E$6:$E163)</f>
        <v>158</v>
      </c>
      <c r="B163" s="344" t="s">
        <v>847</v>
      </c>
      <c r="C163" s="344" t="str">
        <f>+VLOOKUP(B163,'Erection Compiled'!$C$7:$D$650,2,FALSE)</f>
        <v>DA+6</v>
      </c>
      <c r="D163" s="350">
        <v>45793</v>
      </c>
      <c r="E163" s="350">
        <v>45793</v>
      </c>
      <c r="F163" s="344" t="s">
        <v>1026</v>
      </c>
      <c r="G163" s="344" t="s">
        <v>1028</v>
      </c>
      <c r="H163" s="344" t="s">
        <v>1028</v>
      </c>
    </row>
    <row r="164" spans="1:8" x14ac:dyDescent="0.25">
      <c r="A164" s="344">
        <f>+SUBTOTAL(3,$E$6:$E164)</f>
        <v>159</v>
      </c>
      <c r="B164" s="346" t="s">
        <v>848</v>
      </c>
      <c r="C164" s="344" t="str">
        <f>+VLOOKUP(B164,'Erection Compiled'!$C$7:$D$650,2,FALSE)</f>
        <v>DA+3</v>
      </c>
      <c r="D164" s="350">
        <v>45794</v>
      </c>
      <c r="E164" s="350">
        <v>45794</v>
      </c>
      <c r="F164" s="344" t="s">
        <v>1026</v>
      </c>
      <c r="G164" s="344" t="s">
        <v>1028</v>
      </c>
      <c r="H164" s="344" t="s">
        <v>1028</v>
      </c>
    </row>
    <row r="165" spans="1:8" x14ac:dyDescent="0.25">
      <c r="A165" s="344">
        <f>+SUBTOTAL(3,$E$6:$E165)</f>
        <v>160</v>
      </c>
      <c r="B165" s="346" t="s">
        <v>846</v>
      </c>
      <c r="C165" s="344" t="str">
        <f>+VLOOKUP(B165,'Erection Compiled'!$C$7:$D$650,2,FALSE)</f>
        <v>DA+3</v>
      </c>
      <c r="D165" s="350">
        <v>45796</v>
      </c>
      <c r="E165" s="350">
        <v>45796</v>
      </c>
      <c r="F165" s="344" t="s">
        <v>1026</v>
      </c>
      <c r="G165" s="344" t="s">
        <v>1028</v>
      </c>
      <c r="H165" s="344" t="s">
        <v>1028</v>
      </c>
    </row>
    <row r="166" spans="1:8" x14ac:dyDescent="0.25">
      <c r="A166" s="344">
        <f>+SUBTOTAL(3,$E$6:$E166)</f>
        <v>161</v>
      </c>
      <c r="B166" s="346" t="s">
        <v>845</v>
      </c>
      <c r="C166" s="344" t="str">
        <f>+VLOOKUP(B166,'Erection Compiled'!$C$7:$D$650,2,FALSE)</f>
        <v>DA+3</v>
      </c>
      <c r="D166" s="350">
        <v>45797</v>
      </c>
      <c r="E166" s="350">
        <v>45797</v>
      </c>
      <c r="F166" s="344" t="s">
        <v>1026</v>
      </c>
      <c r="G166" s="344" t="s">
        <v>1028</v>
      </c>
      <c r="H166" s="344" t="s">
        <v>1028</v>
      </c>
    </row>
    <row r="167" spans="1:8" x14ac:dyDescent="0.25">
      <c r="A167" s="344">
        <f>+SUBTOTAL(3,$E$6:$E167)</f>
        <v>162</v>
      </c>
      <c r="B167" s="346" t="s">
        <v>844</v>
      </c>
      <c r="C167" s="344" t="str">
        <f>+VLOOKUP(B167,'Erection Compiled'!$C$7:$D$650,2,FALSE)</f>
        <v>DA+3</v>
      </c>
      <c r="D167" s="350">
        <v>45801</v>
      </c>
      <c r="E167" s="350">
        <v>45801</v>
      </c>
      <c r="F167" s="344" t="s">
        <v>1026</v>
      </c>
      <c r="G167" s="344" t="s">
        <v>1028</v>
      </c>
      <c r="H167" s="344" t="s">
        <v>1028</v>
      </c>
    </row>
    <row r="168" spans="1:8" x14ac:dyDescent="0.25">
      <c r="A168" s="344">
        <f>+SUBTOTAL(3,$E$6:$E168)</f>
        <v>163</v>
      </c>
      <c r="B168" s="346" t="s">
        <v>106</v>
      </c>
      <c r="C168" s="344" t="str">
        <f>+VLOOKUP(B168,'Erection Compiled'!$C$7:$D$650,2,FALSE)</f>
        <v>DB2+3</v>
      </c>
      <c r="D168" s="350">
        <v>45803</v>
      </c>
      <c r="E168" s="350">
        <v>45803</v>
      </c>
      <c r="F168" s="344" t="s">
        <v>1026</v>
      </c>
      <c r="G168" s="344" t="s">
        <v>1028</v>
      </c>
      <c r="H168" s="344" t="s">
        <v>1028</v>
      </c>
    </row>
    <row r="169" spans="1:8" x14ac:dyDescent="0.25">
      <c r="A169" s="344">
        <f>+SUBTOTAL(3,$E$6:$E169)</f>
        <v>164</v>
      </c>
      <c r="B169" s="346" t="s">
        <v>842</v>
      </c>
      <c r="C169" s="344" t="str">
        <f>+VLOOKUP(B169,'Erection Compiled'!$C$7:$D$650,2,FALSE)</f>
        <v>DA+3</v>
      </c>
      <c r="D169" s="350">
        <v>45804</v>
      </c>
      <c r="E169" s="350">
        <v>45804</v>
      </c>
      <c r="F169" s="344" t="s">
        <v>1026</v>
      </c>
      <c r="G169" s="344" t="s">
        <v>1028</v>
      </c>
      <c r="H169" s="344" t="s">
        <v>1028</v>
      </c>
    </row>
    <row r="170" spans="1:8" x14ac:dyDescent="0.25">
      <c r="A170" s="344">
        <f>+SUBTOTAL(3,$E$6:$E170)</f>
        <v>165</v>
      </c>
      <c r="B170" s="346" t="s">
        <v>843</v>
      </c>
      <c r="C170" s="344" t="str">
        <f>+VLOOKUP(B170,'Erection Compiled'!$C$7:$D$650,2,FALSE)</f>
        <v>DA+3</v>
      </c>
      <c r="D170" s="350">
        <v>45805</v>
      </c>
      <c r="E170" s="350">
        <v>45805</v>
      </c>
      <c r="F170" s="344" t="s">
        <v>1026</v>
      </c>
      <c r="G170" s="344" t="s">
        <v>1028</v>
      </c>
      <c r="H170" s="344" t="s">
        <v>1028</v>
      </c>
    </row>
    <row r="171" spans="1:8" x14ac:dyDescent="0.25">
      <c r="A171" s="344">
        <f>+SUBTOTAL(3,$E$6:$E171)</f>
        <v>166</v>
      </c>
      <c r="B171" s="346" t="s">
        <v>103</v>
      </c>
      <c r="C171" s="344" t="str">
        <f>+VLOOKUP(B171,'Erection Compiled'!$C$7:$D$650,2,FALSE)</f>
        <v>DD45+0</v>
      </c>
      <c r="D171" s="350">
        <v>45812</v>
      </c>
      <c r="E171" s="350">
        <v>45812</v>
      </c>
      <c r="F171" s="344" t="s">
        <v>1026</v>
      </c>
      <c r="G171" s="344" t="s">
        <v>1028</v>
      </c>
      <c r="H171" s="344" t="s">
        <v>1028</v>
      </c>
    </row>
    <row r="172" spans="1:8" x14ac:dyDescent="0.25">
      <c r="A172" s="344">
        <f>+SUBTOTAL(3,$E$6:$E172)</f>
        <v>167</v>
      </c>
      <c r="B172" s="346" t="s">
        <v>102</v>
      </c>
      <c r="C172" s="344" t="str">
        <f>+VLOOKUP(B172,'Erection Compiled'!$C$7:$D$650,2,FALSE)</f>
        <v>DC1+9</v>
      </c>
      <c r="D172" s="350">
        <v>45818</v>
      </c>
      <c r="E172" s="350">
        <v>45818</v>
      </c>
      <c r="F172" s="344" t="s">
        <v>1026</v>
      </c>
      <c r="G172" s="344" t="s">
        <v>1028</v>
      </c>
      <c r="H172" s="344" t="s">
        <v>1028</v>
      </c>
    </row>
    <row r="173" spans="1:8" x14ac:dyDescent="0.25">
      <c r="A173" s="344">
        <f>+SUBTOTAL(3,$E$6:$E173)</f>
        <v>168</v>
      </c>
      <c r="B173" s="346" t="s">
        <v>501</v>
      </c>
      <c r="C173" s="344" t="str">
        <f>+VLOOKUP(B173,'Erection Compiled'!$C$7:$D$650,2,FALSE)</f>
        <v>DA+0</v>
      </c>
      <c r="D173" s="350">
        <v>45818</v>
      </c>
      <c r="E173" s="350">
        <v>45818</v>
      </c>
      <c r="F173" s="344" t="s">
        <v>1396</v>
      </c>
      <c r="G173" s="344" t="s">
        <v>1028</v>
      </c>
      <c r="H173" s="344"/>
    </row>
    <row r="174" spans="1:8" x14ac:dyDescent="0.25">
      <c r="A174" s="344">
        <f>+SUBTOTAL(3,$E$6:$E174)</f>
        <v>169</v>
      </c>
      <c r="B174" s="346" t="s">
        <v>503</v>
      </c>
      <c r="C174" s="344" t="str">
        <f>+VLOOKUP(B174,'Erection Compiled'!$C$7:$D$650,2,FALSE)</f>
        <v>DB2+3</v>
      </c>
      <c r="D174" s="350">
        <v>45818</v>
      </c>
      <c r="E174" s="350">
        <v>45818</v>
      </c>
      <c r="F174" s="344" t="s">
        <v>1396</v>
      </c>
      <c r="G174" s="344" t="s">
        <v>1028</v>
      </c>
      <c r="H174" s="344"/>
    </row>
    <row r="175" spans="1:8" x14ac:dyDescent="0.25">
      <c r="A175" s="344">
        <f>+SUBTOTAL(3,$E$6:$E175)</f>
        <v>170</v>
      </c>
      <c r="B175" s="346" t="s">
        <v>839</v>
      </c>
      <c r="C175" s="344" t="str">
        <f>+VLOOKUP(B175,'Erection Compiled'!$C$7:$D$650,2,FALSE)</f>
        <v>DA+3</v>
      </c>
      <c r="D175" s="350">
        <v>45851</v>
      </c>
      <c r="E175" s="350">
        <v>45852</v>
      </c>
      <c r="F175" s="344" t="s">
        <v>1026</v>
      </c>
      <c r="G175" s="344" t="s">
        <v>1028</v>
      </c>
      <c r="H175" s="344"/>
    </row>
    <row r="176" spans="1:8" x14ac:dyDescent="0.25">
      <c r="A176" s="344">
        <f>+SUBTOTAL(3,$E$6:$E176)</f>
        <v>171</v>
      </c>
      <c r="B176" s="346" t="s">
        <v>727</v>
      </c>
      <c r="C176" s="344" t="str">
        <f>+VLOOKUP(B176,'Erection Compiled'!$C$7:$D$650,2,FALSE)</f>
        <v>DA+6</v>
      </c>
      <c r="D176" s="350">
        <v>45861</v>
      </c>
      <c r="E176" s="350">
        <v>45861</v>
      </c>
      <c r="F176" s="344" t="s">
        <v>1026</v>
      </c>
      <c r="G176" s="344" t="s">
        <v>1028</v>
      </c>
      <c r="H176" s="344"/>
    </row>
    <row r="177" spans="1:8" x14ac:dyDescent="0.25">
      <c r="A177" s="344">
        <f>+SUBTOTAL(3,$E$6:$E177)</f>
        <v>172</v>
      </c>
      <c r="B177" s="346" t="s">
        <v>853</v>
      </c>
      <c r="C177" s="344" t="str">
        <f>+VLOOKUP(B177,'Erection Compiled'!$C$7:$D$650,2,FALSE)</f>
        <v>DB2+3</v>
      </c>
      <c r="D177" s="350">
        <v>45861</v>
      </c>
      <c r="E177" s="350">
        <v>45861</v>
      </c>
      <c r="F177" s="344" t="s">
        <v>1026</v>
      </c>
      <c r="G177" s="344" t="s">
        <v>1028</v>
      </c>
      <c r="H177" s="344" t="s">
        <v>1028</v>
      </c>
    </row>
    <row r="178" spans="1:8" x14ac:dyDescent="0.25">
      <c r="A178" s="344">
        <f>+SUBTOTAL(3,$E$6:$E178)</f>
        <v>173</v>
      </c>
      <c r="B178" s="346" t="s">
        <v>166</v>
      </c>
      <c r="C178" s="344" t="str">
        <f>+VLOOKUP(B178,'Erection Compiled'!$C$7:$D$650,2,FALSE)</f>
        <v>DA+3</v>
      </c>
      <c r="D178" s="350">
        <v>45861</v>
      </c>
      <c r="E178" s="350">
        <v>45861</v>
      </c>
      <c r="F178" s="344" t="s">
        <v>1615</v>
      </c>
      <c r="G178" s="344" t="s">
        <v>1028</v>
      </c>
      <c r="H178" s="344" t="s">
        <v>1028</v>
      </c>
    </row>
    <row r="179" spans="1:8" x14ac:dyDescent="0.25">
      <c r="A179" s="344">
        <f>+SUBTOTAL(3,$E$6:$E179)</f>
        <v>174</v>
      </c>
      <c r="B179" s="346" t="s">
        <v>746</v>
      </c>
      <c r="C179" s="344" t="str">
        <f>+VLOOKUP(B179,'Erection Compiled'!$C$7:$D$650,2,FALSE)</f>
        <v>DA+0</v>
      </c>
      <c r="D179" s="350">
        <v>45898</v>
      </c>
      <c r="E179" s="350">
        <v>45898</v>
      </c>
      <c r="F179" s="344" t="s">
        <v>1026</v>
      </c>
      <c r="G179" s="344" t="s">
        <v>1028</v>
      </c>
      <c r="H179" s="344" t="s">
        <v>1028</v>
      </c>
    </row>
    <row r="180" spans="1:8" x14ac:dyDescent="0.25">
      <c r="A180" s="344">
        <f>+SUBTOTAL(3,$E$6:$E180)</f>
        <v>175</v>
      </c>
      <c r="B180" s="346" t="s">
        <v>747</v>
      </c>
      <c r="C180" s="344" t="str">
        <f>+VLOOKUP(B180,'Erection Compiled'!$C$7:$D$650,2,FALSE)</f>
        <v>DA+6</v>
      </c>
      <c r="D180" s="350">
        <v>45901</v>
      </c>
      <c r="E180" s="350">
        <v>45901</v>
      </c>
      <c r="F180" s="344" t="s">
        <v>1026</v>
      </c>
      <c r="G180" s="344" t="s">
        <v>1028</v>
      </c>
      <c r="H180" s="344" t="s">
        <v>1028</v>
      </c>
    </row>
    <row r="181" spans="1:8" x14ac:dyDescent="0.25">
      <c r="A181" s="344">
        <f>+SUBTOTAL(3,$E$6:$E181)</f>
        <v>176</v>
      </c>
      <c r="B181" s="346" t="s">
        <v>748</v>
      </c>
      <c r="C181" s="344" t="str">
        <f>+VLOOKUP(B181,'Erection Compiled'!$C$7:$D$650,2,FALSE)</f>
        <v>DA+0</v>
      </c>
      <c r="D181" s="350">
        <v>45902</v>
      </c>
      <c r="E181" s="350">
        <v>45902</v>
      </c>
      <c r="F181" s="344" t="s">
        <v>1026</v>
      </c>
      <c r="G181" s="344" t="s">
        <v>1028</v>
      </c>
      <c r="H181" s="344"/>
    </row>
    <row r="182" spans="1:8" x14ac:dyDescent="0.25">
      <c r="A182" s="344">
        <f>+SUBTOTAL(3,$E$6:$E182)</f>
        <v>177</v>
      </c>
      <c r="B182" s="346" t="s">
        <v>749</v>
      </c>
      <c r="C182" s="344" t="str">
        <f>+VLOOKUP(B182,'Erection Compiled'!$C$7:$D$650,2,FALSE)</f>
        <v>DA+3</v>
      </c>
      <c r="D182" s="350">
        <v>45902</v>
      </c>
      <c r="E182" s="350">
        <v>45902</v>
      </c>
      <c r="F182" s="344" t="s">
        <v>1026</v>
      </c>
      <c r="G182" s="344" t="s">
        <v>1028</v>
      </c>
      <c r="H182" s="344"/>
    </row>
    <row r="183" spans="1:8" x14ac:dyDescent="0.25">
      <c r="A183" s="344">
        <f>+SUBTOTAL(3,$E$6:$E183)</f>
        <v>178</v>
      </c>
      <c r="B183" s="346" t="s">
        <v>740</v>
      </c>
      <c r="C183" s="344" t="str">
        <f>+VLOOKUP(B183,'Erection Compiled'!$C$7:$D$650,2,FALSE)</f>
        <v>DA+0</v>
      </c>
      <c r="D183" s="350">
        <v>45903</v>
      </c>
      <c r="E183" s="350">
        <v>45903</v>
      </c>
      <c r="F183" s="344" t="s">
        <v>1026</v>
      </c>
      <c r="G183" s="344" t="s">
        <v>1028</v>
      </c>
      <c r="H183" s="344" t="s">
        <v>1028</v>
      </c>
    </row>
    <row r="184" spans="1:8" x14ac:dyDescent="0.25">
      <c r="A184" s="344">
        <f>+SUBTOTAL(3,$E$6:$E184)</f>
        <v>179</v>
      </c>
      <c r="B184" s="346" t="s">
        <v>627</v>
      </c>
      <c r="C184" s="344" t="str">
        <f>+VLOOKUP(B184,'Erection Compiled'!$C$7:$D$650,2,FALSE)</f>
        <v>DD60+0</v>
      </c>
      <c r="D184" s="350">
        <v>45902</v>
      </c>
      <c r="E184" s="350">
        <v>45902</v>
      </c>
      <c r="F184" s="344" t="s">
        <v>1578</v>
      </c>
      <c r="G184" s="344" t="s">
        <v>1028</v>
      </c>
      <c r="H184" s="344" t="s">
        <v>1028</v>
      </c>
    </row>
    <row r="185" spans="1:8" x14ac:dyDescent="0.25">
      <c r="A185" s="344">
        <f>+SUBTOTAL(3,$E$6:$E185)</f>
        <v>180</v>
      </c>
      <c r="B185" s="346" t="s">
        <v>628</v>
      </c>
      <c r="C185" s="344" t="str">
        <f>+VLOOKUP(B185,'Erection Compiled'!$C$7:$D$650,2,FALSE)</f>
        <v>DA+6</v>
      </c>
      <c r="D185" s="350">
        <v>45903</v>
      </c>
      <c r="E185" s="350">
        <v>45903</v>
      </c>
      <c r="F185" s="344" t="s">
        <v>1578</v>
      </c>
      <c r="G185" s="344" t="s">
        <v>1028</v>
      </c>
      <c r="H185" s="344" t="s">
        <v>1028</v>
      </c>
    </row>
    <row r="186" spans="1:8" x14ac:dyDescent="0.25">
      <c r="A186" s="344">
        <f>+SUBTOTAL(3,$E$6:$E186)</f>
        <v>181</v>
      </c>
      <c r="B186" s="344" t="s">
        <v>630</v>
      </c>
      <c r="C186" s="344" t="str">
        <f>+VLOOKUP(B186,'Erection Compiled'!$C$7:$D$650,2,FALSE)</f>
        <v>DA+0</v>
      </c>
      <c r="D186" s="350">
        <v>45904</v>
      </c>
      <c r="E186" s="350">
        <v>45904</v>
      </c>
      <c r="F186" s="344" t="s">
        <v>1578</v>
      </c>
      <c r="G186" s="344" t="s">
        <v>1028</v>
      </c>
      <c r="H186" s="344" t="s">
        <v>1028</v>
      </c>
    </row>
    <row r="187" spans="1:8" x14ac:dyDescent="0.25">
      <c r="A187" s="344">
        <f>+SUBTOTAL(3,$E$6:$E187)</f>
        <v>182</v>
      </c>
      <c r="B187" s="344" t="s">
        <v>631</v>
      </c>
      <c r="C187" s="344" t="str">
        <f>+VLOOKUP(B187,'Erection Compiled'!$C$7:$D$650,2,FALSE)</f>
        <v>DA+3</v>
      </c>
      <c r="D187" s="350">
        <v>45905</v>
      </c>
      <c r="E187" s="350">
        <v>45905</v>
      </c>
      <c r="F187" s="344" t="s">
        <v>1578</v>
      </c>
      <c r="G187" s="344" t="s">
        <v>1028</v>
      </c>
      <c r="H187" s="344" t="s">
        <v>1028</v>
      </c>
    </row>
    <row r="188" spans="1:8" x14ac:dyDescent="0.25">
      <c r="A188" s="344">
        <f>+SUBTOTAL(3,$E$6:$E188)</f>
        <v>183</v>
      </c>
      <c r="B188" s="344" t="s">
        <v>632</v>
      </c>
      <c r="C188" s="344" t="str">
        <f>+VLOOKUP(B188,'Erection Compiled'!$C$7:$D$650,2,FALSE)</f>
        <v>DA+0</v>
      </c>
      <c r="D188" s="350">
        <v>45906</v>
      </c>
      <c r="E188" s="350">
        <v>45906</v>
      </c>
      <c r="F188" s="344" t="s">
        <v>1578</v>
      </c>
      <c r="G188" s="344" t="s">
        <v>1028</v>
      </c>
      <c r="H188" s="344" t="s">
        <v>1028</v>
      </c>
    </row>
    <row r="189" spans="1:8" x14ac:dyDescent="0.25">
      <c r="A189" s="344">
        <f>+SUBTOTAL(3,$E$6:$E189)</f>
        <v>184</v>
      </c>
      <c r="B189" s="344" t="s">
        <v>633</v>
      </c>
      <c r="C189" s="344" t="str">
        <f>+VLOOKUP(B189,'Erection Compiled'!$C$7:$D$650,2,FALSE)</f>
        <v>DA+0</v>
      </c>
      <c r="D189" s="350">
        <v>45907</v>
      </c>
      <c r="E189" s="350">
        <v>45907</v>
      </c>
      <c r="F189" s="344" t="s">
        <v>1578</v>
      </c>
      <c r="G189" s="344" t="s">
        <v>1028</v>
      </c>
      <c r="H189" s="344" t="s">
        <v>1028</v>
      </c>
    </row>
    <row r="190" spans="1:8" x14ac:dyDescent="0.25">
      <c r="A190" s="344">
        <f>+SUBTOTAL(3,$E$6:$E190)</f>
        <v>185</v>
      </c>
      <c r="B190" s="344" t="s">
        <v>635</v>
      </c>
      <c r="C190" s="344" t="str">
        <f>+VLOOKUP(B190,'Erection Compiled'!$C$7:$D$650,2,FALSE)</f>
        <v>DA+0</v>
      </c>
      <c r="D190" s="350">
        <v>45908</v>
      </c>
      <c r="E190" s="350">
        <v>45908</v>
      </c>
      <c r="F190" s="344" t="s">
        <v>1578</v>
      </c>
      <c r="G190" s="344" t="s">
        <v>1028</v>
      </c>
      <c r="H190" s="344" t="s">
        <v>1028</v>
      </c>
    </row>
    <row r="191" spans="1:8" x14ac:dyDescent="0.25">
      <c r="A191" s="344">
        <f>+SUBTOTAL(3,$E$6:$E191)</f>
        <v>186</v>
      </c>
      <c r="B191" s="344" t="s">
        <v>446</v>
      </c>
      <c r="C191" s="344" t="str">
        <f>+VLOOKUP(B191,'Erection Compiled'!$C$7:$D$650,2,FALSE)</f>
        <v>DC1+0</v>
      </c>
      <c r="D191" s="350">
        <v>45909</v>
      </c>
      <c r="E191" s="350">
        <v>45909</v>
      </c>
      <c r="F191" s="344" t="s">
        <v>1578</v>
      </c>
      <c r="G191" s="344" t="s">
        <v>1028</v>
      </c>
      <c r="H191" s="344" t="s">
        <v>1028</v>
      </c>
    </row>
    <row r="192" spans="1:8" x14ac:dyDescent="0.25">
      <c r="A192" s="344">
        <f>+SUBTOTAL(3,$E$6:$E192)</f>
        <v>187</v>
      </c>
      <c r="B192" s="346" t="s">
        <v>736</v>
      </c>
      <c r="C192" s="344" t="str">
        <f>+VLOOKUP(B192,'Erection Compiled'!$C$7:$D$650,2,FALSE)</f>
        <v>DA+6</v>
      </c>
      <c r="D192" s="350">
        <v>45924</v>
      </c>
      <c r="E192" s="350">
        <v>45924</v>
      </c>
      <c r="F192" s="344" t="s">
        <v>1026</v>
      </c>
      <c r="G192" s="344" t="s">
        <v>1028</v>
      </c>
      <c r="H192" s="344"/>
    </row>
    <row r="193" spans="1:8" x14ac:dyDescent="0.25">
      <c r="A193" s="344">
        <f>+SUBTOTAL(3,$E$6:$E193)</f>
        <v>188</v>
      </c>
      <c r="B193" s="346" t="s">
        <v>841</v>
      </c>
      <c r="C193" s="344" t="str">
        <f>+VLOOKUP(B193,'Erection Compiled'!$C$7:$D$650,2,FALSE)</f>
        <v>DA+3</v>
      </c>
      <c r="D193" s="350">
        <v>45938</v>
      </c>
      <c r="E193" s="350">
        <v>45938</v>
      </c>
      <c r="F193" s="344" t="s">
        <v>1026</v>
      </c>
      <c r="G193" s="344" t="s">
        <v>1028</v>
      </c>
      <c r="H193" s="344" t="s">
        <v>1028</v>
      </c>
    </row>
    <row r="194" spans="1:8" x14ac:dyDescent="0.25">
      <c r="A194" s="344">
        <f>+SUBTOTAL(3,$E$6:$E194)</f>
        <v>189</v>
      </c>
      <c r="B194" s="346" t="s">
        <v>840</v>
      </c>
      <c r="C194" s="344" t="str">
        <f>+VLOOKUP(B194,'Erection Compiled'!$C$7:$D$650,2,FALSE)</f>
        <v>DA+3</v>
      </c>
      <c r="D194" s="350">
        <v>45944</v>
      </c>
      <c r="E194" s="350">
        <v>45944</v>
      </c>
      <c r="F194" s="344" t="s">
        <v>1026</v>
      </c>
      <c r="G194" s="344" t="s">
        <v>1028</v>
      </c>
      <c r="H194" s="344" t="s">
        <v>1028</v>
      </c>
    </row>
    <row r="195" spans="1:8" x14ac:dyDescent="0.25">
      <c r="A195" s="344">
        <f>+SUBTOTAL(3,$E$6:$E195)</f>
        <v>190</v>
      </c>
      <c r="B195" s="346" t="s">
        <v>737</v>
      </c>
      <c r="C195" s="344" t="str">
        <f>+VLOOKUP(B195,'Erection Compiled'!$C$7:$D$650,2,FALSE)</f>
        <v>DA+9</v>
      </c>
      <c r="D195" s="350">
        <v>45945</v>
      </c>
      <c r="E195" s="350">
        <v>45945</v>
      </c>
      <c r="F195" s="344" t="s">
        <v>1026</v>
      </c>
      <c r="G195" s="344" t="s">
        <v>1028</v>
      </c>
      <c r="H195" s="344" t="s">
        <v>1028</v>
      </c>
    </row>
    <row r="196" spans="1:8" x14ac:dyDescent="0.25">
      <c r="A196" s="344">
        <f>+SUBTOTAL(3,$E$6:$E196)</f>
        <v>191</v>
      </c>
      <c r="B196" s="346" t="s">
        <v>738</v>
      </c>
      <c r="C196" s="344" t="str">
        <f>+VLOOKUP(B196,'Erection Compiled'!$C$7:$D$650,2,FALSE)</f>
        <v>DA+9</v>
      </c>
      <c r="D196" s="350">
        <v>45946</v>
      </c>
      <c r="E196" s="350">
        <v>45946</v>
      </c>
      <c r="F196" s="344" t="s">
        <v>1026</v>
      </c>
      <c r="G196" s="344" t="s">
        <v>1028</v>
      </c>
      <c r="H196" s="344" t="s">
        <v>1028</v>
      </c>
    </row>
    <row r="197" spans="1:8" x14ac:dyDescent="0.25">
      <c r="A197" s="344">
        <f>+SUBTOTAL(3,$E$6:$E197)</f>
        <v>192</v>
      </c>
      <c r="B197" s="346" t="s">
        <v>678</v>
      </c>
      <c r="C197" s="344" t="str">
        <f>+VLOOKUP(B197,'Erection Compiled'!$C$7:$D$650,2,FALSE)</f>
        <v>DA+0</v>
      </c>
      <c r="D197" s="350">
        <v>45947</v>
      </c>
      <c r="E197" s="350">
        <v>45947</v>
      </c>
      <c r="F197" s="344" t="s">
        <v>1026</v>
      </c>
      <c r="G197" s="344" t="s">
        <v>1028</v>
      </c>
      <c r="H197" s="344" t="s">
        <v>1028</v>
      </c>
    </row>
    <row r="198" spans="1:8" x14ac:dyDescent="0.25">
      <c r="A198" s="344">
        <f>+SUBTOTAL(3,$E$6:$E198)</f>
        <v>193</v>
      </c>
      <c r="B198" s="346" t="s">
        <v>680</v>
      </c>
      <c r="C198" s="344" t="str">
        <f>+VLOOKUP(B198,'Erection Compiled'!$C$7:$D$650,2,FALSE)</f>
        <v>DA+9</v>
      </c>
      <c r="D198" s="350">
        <v>45948</v>
      </c>
      <c r="E198" s="350">
        <v>45948</v>
      </c>
      <c r="F198" s="344" t="s">
        <v>1026</v>
      </c>
      <c r="G198" s="344" t="s">
        <v>1028</v>
      </c>
      <c r="H198" s="344" t="s">
        <v>1028</v>
      </c>
    </row>
    <row r="199" spans="1:8" x14ac:dyDescent="0.25">
      <c r="A199" s="344">
        <f>+SUBTOTAL(3,$E$6:$E199)</f>
        <v>194</v>
      </c>
      <c r="B199" s="344" t="s">
        <v>447</v>
      </c>
      <c r="C199" s="344" t="str">
        <f>+VLOOKUP(B199,'Erection Compiled'!$C$7:$D$650,2,FALSE)</f>
        <v>DA+3</v>
      </c>
      <c r="D199" s="350">
        <v>45949</v>
      </c>
      <c r="E199" s="350">
        <v>45949</v>
      </c>
      <c r="F199" s="344" t="s">
        <v>1615</v>
      </c>
      <c r="G199" s="344" t="s">
        <v>1028</v>
      </c>
      <c r="H199" s="344" t="s">
        <v>1028</v>
      </c>
    </row>
    <row r="200" spans="1:8" x14ac:dyDescent="0.25">
      <c r="A200" s="344">
        <f>+SUBTOTAL(3,$E$6:$E200)</f>
        <v>195</v>
      </c>
      <c r="B200" s="344" t="s">
        <v>448</v>
      </c>
      <c r="C200" s="344" t="str">
        <f>+VLOOKUP(B200,'Erection Compiled'!$C$7:$D$650,2,FALSE)</f>
        <v>DA+3</v>
      </c>
      <c r="D200" s="350">
        <v>45952</v>
      </c>
      <c r="E200" s="350">
        <v>45952</v>
      </c>
      <c r="F200" s="344" t="s">
        <v>1615</v>
      </c>
      <c r="G200" s="344" t="s">
        <v>1028</v>
      </c>
      <c r="H200" s="344" t="s">
        <v>1028</v>
      </c>
    </row>
    <row r="201" spans="1:8" x14ac:dyDescent="0.25">
      <c r="A201" s="344">
        <f>+SUBTOTAL(3,$E$6:$E201)</f>
        <v>196</v>
      </c>
      <c r="B201" s="344" t="s">
        <v>449</v>
      </c>
      <c r="C201" s="344" t="str">
        <f>+VLOOKUP(B201,'Erection Compiled'!$C$7:$D$650,2,FALSE)</f>
        <v>DA+3</v>
      </c>
      <c r="D201" s="350">
        <v>45953</v>
      </c>
      <c r="E201" s="350">
        <v>45953</v>
      </c>
      <c r="F201" s="344" t="s">
        <v>1615</v>
      </c>
      <c r="G201" s="344" t="s">
        <v>1028</v>
      </c>
      <c r="H201" s="344" t="s">
        <v>1028</v>
      </c>
    </row>
    <row r="202" spans="1:8" x14ac:dyDescent="0.25">
      <c r="A202" s="344">
        <f>+SUBTOTAL(3,$E$6:$E202)</f>
        <v>197</v>
      </c>
      <c r="B202" s="344" t="s">
        <v>156</v>
      </c>
      <c r="C202" s="344" t="str">
        <f>+VLOOKUP(B202,'Erection Compiled'!$C$7:$D$650,2,FALSE)</f>
        <v>DA+0</v>
      </c>
      <c r="D202" s="350">
        <v>45955</v>
      </c>
      <c r="E202" s="350">
        <v>45955</v>
      </c>
      <c r="F202" s="344" t="s">
        <v>1615</v>
      </c>
      <c r="G202" s="344" t="s">
        <v>1028</v>
      </c>
      <c r="H202" s="344" t="s">
        <v>1028</v>
      </c>
    </row>
    <row r="203" spans="1:8" x14ac:dyDescent="0.25">
      <c r="A203" s="344">
        <f>+SUBTOTAL(3,$E$6:$E203)</f>
        <v>198</v>
      </c>
      <c r="B203" s="344" t="s">
        <v>469</v>
      </c>
      <c r="C203" s="344" t="str">
        <f>+VLOOKUP(B203,'Erection Compiled'!$C$7:$D$650,2,FALSE)</f>
        <v>DA+3</v>
      </c>
      <c r="D203" s="350">
        <v>45956</v>
      </c>
      <c r="E203" s="350">
        <v>45956</v>
      </c>
      <c r="F203" s="344" t="s">
        <v>1615</v>
      </c>
      <c r="G203" s="344" t="s">
        <v>1028</v>
      </c>
      <c r="H203" s="344" t="s">
        <v>1028</v>
      </c>
    </row>
    <row r="204" spans="1:8" x14ac:dyDescent="0.25">
      <c r="A204" s="344">
        <f>+SUBTOTAL(3,$E$6:$E204)</f>
        <v>199</v>
      </c>
      <c r="B204" s="344" t="s">
        <v>158</v>
      </c>
      <c r="C204" s="344" t="str">
        <f>+VLOOKUP(B204,'Erection Compiled'!$C$7:$D$650,2,FALSE)</f>
        <v>DA+0</v>
      </c>
      <c r="D204" s="350">
        <v>45957</v>
      </c>
      <c r="E204" s="350">
        <v>45957</v>
      </c>
      <c r="F204" s="344" t="s">
        <v>1615</v>
      </c>
      <c r="G204" s="344" t="s">
        <v>1028</v>
      </c>
      <c r="H204" s="344" t="s">
        <v>1028</v>
      </c>
    </row>
    <row r="205" spans="1:8" x14ac:dyDescent="0.25">
      <c r="A205" s="344">
        <f>+SUBTOTAL(3,$E$6:$E205)</f>
        <v>200</v>
      </c>
      <c r="B205" s="344" t="s">
        <v>164</v>
      </c>
      <c r="C205" s="344" t="str">
        <f>+VLOOKUP(B205,'Erection Compiled'!$C$7:$D$650,2,FALSE)</f>
        <v>DB1+0</v>
      </c>
      <c r="D205" s="350">
        <v>45958</v>
      </c>
      <c r="E205" s="350">
        <v>45958</v>
      </c>
      <c r="F205" s="344" t="s">
        <v>1615</v>
      </c>
      <c r="G205" s="344" t="s">
        <v>1028</v>
      </c>
      <c r="H205" s="344" t="s">
        <v>1028</v>
      </c>
    </row>
    <row r="206" spans="1:8" x14ac:dyDescent="0.25">
      <c r="A206" s="344">
        <f>+SUBTOTAL(3,$E$6:$E206)</f>
        <v>201</v>
      </c>
      <c r="B206" s="344" t="s">
        <v>170</v>
      </c>
      <c r="C206" s="344" t="str">
        <f>+VLOOKUP(B206,'Erection Compiled'!$C$7:$D$650,2,FALSE)</f>
        <v>DA+0</v>
      </c>
      <c r="D206" s="350">
        <v>45959</v>
      </c>
      <c r="E206" s="350">
        <v>45959</v>
      </c>
      <c r="F206" s="344" t="s">
        <v>1615</v>
      </c>
      <c r="G206" s="344" t="s">
        <v>1028</v>
      </c>
      <c r="H206" s="344" t="s">
        <v>1028</v>
      </c>
    </row>
    <row r="207" spans="1:8" x14ac:dyDescent="0.25">
      <c r="A207" s="344">
        <f>+SUBTOTAL(3,$E$6:$E207)</f>
        <v>202</v>
      </c>
      <c r="B207" s="344" t="s">
        <v>171</v>
      </c>
      <c r="C207" s="344" t="str">
        <f>+VLOOKUP(B207,'Erection Compiled'!$C$7:$D$650,2,FALSE)</f>
        <v>DB1+0</v>
      </c>
      <c r="D207" s="350">
        <v>45960</v>
      </c>
      <c r="E207" s="350">
        <v>45960</v>
      </c>
      <c r="F207" s="344" t="s">
        <v>1615</v>
      </c>
      <c r="G207" s="344" t="s">
        <v>1028</v>
      </c>
      <c r="H207" s="344"/>
    </row>
    <row r="208" spans="1:8" x14ac:dyDescent="0.25">
      <c r="A208" s="344">
        <f>+SUBTOTAL(3,$E$6:$E208)</f>
        <v>203</v>
      </c>
      <c r="B208" s="344" t="s">
        <v>489</v>
      </c>
      <c r="C208" s="344" t="str">
        <f>+VLOOKUP(B208,'Erection Compiled'!$C$7:$D$650,2,FALSE)</f>
        <v>DA+3</v>
      </c>
      <c r="D208" s="350">
        <v>45961</v>
      </c>
      <c r="E208" s="350">
        <v>45961</v>
      </c>
      <c r="F208" s="344" t="s">
        <v>1615</v>
      </c>
      <c r="G208" s="344" t="s">
        <v>1028</v>
      </c>
      <c r="H208" s="344" t="s">
        <v>1028</v>
      </c>
    </row>
    <row r="209" spans="1:8" x14ac:dyDescent="0.25">
      <c r="A209" s="344">
        <f>+SUBTOTAL(3,$E$6:$E209)</f>
        <v>204</v>
      </c>
      <c r="B209" s="346" t="s">
        <v>717</v>
      </c>
      <c r="C209" s="344" t="str">
        <f>+VLOOKUP(B209,'Erection Compiled'!$C$7:$D$650,2,FALSE)</f>
        <v>DA+9</v>
      </c>
      <c r="D209" s="350">
        <v>45968</v>
      </c>
      <c r="E209" s="350">
        <v>45968</v>
      </c>
      <c r="F209" s="344" t="s">
        <v>1026</v>
      </c>
      <c r="G209" s="344" t="s">
        <v>1028</v>
      </c>
      <c r="H209" s="344"/>
    </row>
    <row r="210" spans="1:8" x14ac:dyDescent="0.25">
      <c r="A210" s="344">
        <f>+SUBTOTAL(3,$E$6:$E210)</f>
        <v>205</v>
      </c>
      <c r="B210" s="346" t="s">
        <v>714</v>
      </c>
      <c r="C210" s="344" t="str">
        <f>+VLOOKUP(B210,'Erection Compiled'!$C$7:$D$650,2,FALSE)</f>
        <v>DA+6</v>
      </c>
      <c r="D210" s="350">
        <v>45968</v>
      </c>
      <c r="E210" s="350">
        <v>45968</v>
      </c>
      <c r="F210" s="344" t="s">
        <v>1026</v>
      </c>
      <c r="G210" s="344" t="s">
        <v>1028</v>
      </c>
      <c r="H210" s="344"/>
    </row>
    <row r="211" spans="1:8" x14ac:dyDescent="0.25">
      <c r="A211" s="344">
        <f>+SUBTOTAL(3,$E$6:$E211)</f>
        <v>206</v>
      </c>
      <c r="B211" s="346" t="s">
        <v>715</v>
      </c>
      <c r="C211" s="344" t="str">
        <f>+VLOOKUP(B211,'Erection Compiled'!$C$7:$D$650,2,FALSE)</f>
        <v>DA+6</v>
      </c>
      <c r="D211" s="350">
        <v>45968</v>
      </c>
      <c r="E211" s="350">
        <v>45968</v>
      </c>
      <c r="F211" s="344" t="s">
        <v>1026</v>
      </c>
      <c r="G211" s="344" t="s">
        <v>1028</v>
      </c>
      <c r="H211" s="344"/>
    </row>
    <row r="212" spans="1:8" x14ac:dyDescent="0.25">
      <c r="A212" s="344">
        <f>+SUBTOTAL(3,$E$6:$E212)</f>
        <v>207</v>
      </c>
      <c r="B212" s="346" t="s">
        <v>539</v>
      </c>
      <c r="C212" s="344" t="str">
        <f>+VLOOKUP(B212,'Erection Compiled'!$C$7:$D$650,2,FALSE)</f>
        <v>DA+9</v>
      </c>
      <c r="D212" s="350">
        <v>45973</v>
      </c>
      <c r="E212" s="350">
        <v>45973</v>
      </c>
      <c r="F212" s="344" t="s">
        <v>1026</v>
      </c>
      <c r="G212" s="344" t="s">
        <v>1028</v>
      </c>
      <c r="H212" s="344"/>
    </row>
    <row r="213" spans="1:8" x14ac:dyDescent="0.25">
      <c r="A213" s="344">
        <f>+SUBTOTAL(3,$E$6:$E213)</f>
        <v>208</v>
      </c>
      <c r="B213" s="346" t="s">
        <v>541</v>
      </c>
      <c r="C213" s="344" t="str">
        <f>+VLOOKUP(B213,'Erection Compiled'!$C$7:$D$650,2,FALSE)</f>
        <v>DA+0</v>
      </c>
      <c r="D213" s="350">
        <v>45975</v>
      </c>
      <c r="E213" s="350">
        <v>45975</v>
      </c>
      <c r="F213" s="344" t="s">
        <v>1026</v>
      </c>
      <c r="G213" s="344" t="s">
        <v>1028</v>
      </c>
      <c r="H213" s="344"/>
    </row>
    <row r="214" spans="1:8" x14ac:dyDescent="0.25">
      <c r="A214" s="344">
        <f>+SUBTOTAL(3,$E$6:$E214)</f>
        <v>209</v>
      </c>
      <c r="B214" s="346" t="s">
        <v>542</v>
      </c>
      <c r="C214" s="344" t="str">
        <f>+VLOOKUP(B214,'Erection Compiled'!$C$7:$D$650,2,FALSE)</f>
        <v>DC2+0</v>
      </c>
      <c r="D214" s="350">
        <v>45976</v>
      </c>
      <c r="E214" s="350">
        <v>45976</v>
      </c>
      <c r="F214" s="344" t="s">
        <v>1026</v>
      </c>
      <c r="G214" s="344" t="s">
        <v>1028</v>
      </c>
      <c r="H214" s="344" t="s">
        <v>1028</v>
      </c>
    </row>
    <row r="215" spans="1:8" x14ac:dyDescent="0.25">
      <c r="A215" s="344">
        <f>+SUBTOTAL(3,$E$6:$E215)</f>
        <v>210</v>
      </c>
      <c r="B215" s="346" t="s">
        <v>77</v>
      </c>
      <c r="C215" s="344" t="str">
        <f>+VLOOKUP(B215,'Erection Compiled'!$C$7:$D$650,2,FALSE)</f>
        <v>DA+0</v>
      </c>
      <c r="D215" s="350">
        <v>45977</v>
      </c>
      <c r="E215" s="350">
        <v>45977</v>
      </c>
      <c r="F215" s="344" t="s">
        <v>1633</v>
      </c>
      <c r="G215" s="344" t="s">
        <v>1028</v>
      </c>
      <c r="H215" s="344" t="s">
        <v>1028</v>
      </c>
    </row>
    <row r="216" spans="1:8" x14ac:dyDescent="0.25">
      <c r="A216" s="344">
        <f>+SUBTOTAL(3,$E$6:$E216)</f>
        <v>211</v>
      </c>
      <c r="B216" s="346" t="s">
        <v>198</v>
      </c>
      <c r="C216" s="344" t="str">
        <f>+VLOOKUP(B216,'Erection Compiled'!$C$7:$D$650,2,FALSE)</f>
        <v>DA+6</v>
      </c>
      <c r="D216" s="350">
        <v>45978</v>
      </c>
      <c r="E216" s="350">
        <v>45978</v>
      </c>
      <c r="F216" s="344" t="s">
        <v>1633</v>
      </c>
      <c r="G216" s="344" t="s">
        <v>1028</v>
      </c>
      <c r="H216" s="344" t="s">
        <v>1028</v>
      </c>
    </row>
    <row r="217" spans="1:8" x14ac:dyDescent="0.25">
      <c r="A217" s="344">
        <f>+SUBTOTAL(3,$E$6:$E217)</f>
        <v>212</v>
      </c>
      <c r="B217" s="346" t="s">
        <v>199</v>
      </c>
      <c r="C217" s="344" t="str">
        <f>+VLOOKUP(B217,'Erection Compiled'!$C$7:$D$650,2,FALSE)</f>
        <v>DA+0</v>
      </c>
      <c r="D217" s="350">
        <v>45979</v>
      </c>
      <c r="E217" s="350">
        <v>45979</v>
      </c>
      <c r="F217" s="344" t="s">
        <v>1633</v>
      </c>
      <c r="G217" s="344" t="s">
        <v>1028</v>
      </c>
      <c r="H217" s="344" t="s">
        <v>1028</v>
      </c>
    </row>
    <row r="218" spans="1:8" x14ac:dyDescent="0.25">
      <c r="A218" s="344">
        <f>+SUBTOTAL(3,$E$6:$E218)</f>
        <v>213</v>
      </c>
      <c r="B218" s="346" t="s">
        <v>200</v>
      </c>
      <c r="C218" s="344" t="str">
        <f>+VLOOKUP(B218,'Erection Compiled'!$C$7:$D$650,2,FALSE)</f>
        <v>DA+3</v>
      </c>
      <c r="D218" s="350">
        <v>45979</v>
      </c>
      <c r="E218" s="350">
        <v>45979</v>
      </c>
      <c r="F218" s="344" t="s">
        <v>1633</v>
      </c>
      <c r="G218" s="344" t="s">
        <v>1028</v>
      </c>
      <c r="H218" s="344" t="s">
        <v>1028</v>
      </c>
    </row>
    <row r="219" spans="1:8" x14ac:dyDescent="0.25">
      <c r="A219" s="344">
        <f>+SUBTOTAL(3,$E$6:$E219)</f>
        <v>214</v>
      </c>
      <c r="B219" s="344" t="s">
        <v>202</v>
      </c>
      <c r="C219" s="344" t="str">
        <f>+VLOOKUP(B219,'Erection Compiled'!$C$7:$D$650,2,FALSE)</f>
        <v>DA+3</v>
      </c>
      <c r="D219" s="350">
        <v>45980</v>
      </c>
      <c r="E219" s="350">
        <v>45980</v>
      </c>
      <c r="F219" s="344" t="s">
        <v>1633</v>
      </c>
      <c r="G219" s="344" t="s">
        <v>1028</v>
      </c>
      <c r="H219" s="344" t="s">
        <v>1028</v>
      </c>
    </row>
    <row r="220" spans="1:8" x14ac:dyDescent="0.25">
      <c r="A220" s="344">
        <f>+SUBTOTAL(3,$E$6:$E220)</f>
        <v>215</v>
      </c>
      <c r="B220" s="344" t="s">
        <v>27</v>
      </c>
      <c r="C220" s="344" t="str">
        <f>+VLOOKUP(B220,'Erection Compiled'!$C$7:$D$650,2,FALSE)</f>
        <v>DA+0</v>
      </c>
      <c r="D220" s="350">
        <v>45980</v>
      </c>
      <c r="E220" s="350">
        <v>45980</v>
      </c>
      <c r="F220" s="344" t="s">
        <v>1633</v>
      </c>
      <c r="G220" s="344" t="s">
        <v>1028</v>
      </c>
      <c r="H220" s="344" t="s">
        <v>1028</v>
      </c>
    </row>
    <row r="221" spans="1:8" x14ac:dyDescent="0.25">
      <c r="A221" s="344">
        <f>+SUBTOTAL(3,$E$6:$E221)</f>
        <v>216</v>
      </c>
      <c r="B221" s="344" t="s">
        <v>79</v>
      </c>
      <c r="C221" s="344" t="str">
        <f>+VLOOKUP(B221,'Erection Compiled'!$C$7:$D$650,2,FALSE)</f>
        <v>DA+0</v>
      </c>
      <c r="D221" s="350">
        <v>45980</v>
      </c>
      <c r="E221" s="350">
        <v>45980</v>
      </c>
      <c r="F221" s="344" t="s">
        <v>1633</v>
      </c>
      <c r="G221" s="344" t="s">
        <v>1028</v>
      </c>
      <c r="H221" s="344" t="s">
        <v>1028</v>
      </c>
    </row>
    <row r="222" spans="1:8" x14ac:dyDescent="0.25">
      <c r="A222" s="344">
        <f>+SUBTOTAL(3,$E$6:$E222)</f>
        <v>217</v>
      </c>
      <c r="B222" s="344" t="s">
        <v>81</v>
      </c>
      <c r="C222" s="344" t="str">
        <f>+VLOOKUP(B222,'Erection Compiled'!$C$7:$D$650,2,FALSE)</f>
        <v>DA+3</v>
      </c>
      <c r="D222" s="350">
        <v>45980</v>
      </c>
      <c r="E222" s="350">
        <v>45980</v>
      </c>
      <c r="F222" s="344" t="s">
        <v>1633</v>
      </c>
      <c r="G222" s="344" t="s">
        <v>1028</v>
      </c>
      <c r="H222" s="344" t="s">
        <v>1028</v>
      </c>
    </row>
    <row r="223" spans="1:8" x14ac:dyDescent="0.25">
      <c r="A223" s="344">
        <f>+SUBTOTAL(3,$E$6:$E223)</f>
        <v>218</v>
      </c>
      <c r="B223" s="346" t="s">
        <v>72</v>
      </c>
      <c r="C223" s="344" t="str">
        <f>+VLOOKUP(B223,'Erection Compiled'!$C$7:$D$650,2,FALSE)</f>
        <v>DA+0</v>
      </c>
      <c r="D223" s="350">
        <v>45987</v>
      </c>
      <c r="E223" s="350">
        <v>45987</v>
      </c>
      <c r="F223" s="344" t="s">
        <v>1633</v>
      </c>
      <c r="G223" s="344" t="s">
        <v>1028</v>
      </c>
      <c r="H223" s="344" t="s">
        <v>1028</v>
      </c>
    </row>
    <row r="224" spans="1:8" x14ac:dyDescent="0.25">
      <c r="A224" s="344">
        <f>+SUBTOTAL(3,$E$6:$E224)</f>
        <v>219</v>
      </c>
      <c r="B224" s="346" t="s">
        <v>70</v>
      </c>
      <c r="C224" s="344" t="str">
        <f>+VLOOKUP(B224,'Erection Compiled'!$C$7:$D$650,2,FALSE)</f>
        <v>DB2+0</v>
      </c>
      <c r="D224" s="350">
        <v>45988</v>
      </c>
      <c r="E224" s="350">
        <v>45988</v>
      </c>
      <c r="F224" s="344" t="s">
        <v>1633</v>
      </c>
      <c r="G224" s="344" t="s">
        <v>1028</v>
      </c>
      <c r="H224" s="344" t="s">
        <v>1028</v>
      </c>
    </row>
    <row r="225" spans="1:8" x14ac:dyDescent="0.25">
      <c r="A225" s="344">
        <f>+SUBTOTAL(3,$E$6:$E225)</f>
        <v>220</v>
      </c>
      <c r="B225" s="346" t="s">
        <v>66</v>
      </c>
      <c r="C225" s="344" t="str">
        <f>+VLOOKUP(B225,'Erection Compiled'!$C$7:$D$650,2,FALSE)</f>
        <v>DA+3</v>
      </c>
      <c r="D225" s="350">
        <v>45988</v>
      </c>
      <c r="E225" s="350">
        <v>45988</v>
      </c>
      <c r="F225" s="344" t="s">
        <v>1633</v>
      </c>
      <c r="G225" s="344" t="s">
        <v>1028</v>
      </c>
      <c r="H225" s="344" t="s">
        <v>1028</v>
      </c>
    </row>
    <row r="226" spans="1:8" x14ac:dyDescent="0.25">
      <c r="A226" s="344">
        <f>+SUBTOTAL(3,$E$6:$E226)</f>
        <v>221</v>
      </c>
      <c r="B226" s="346" t="s">
        <v>65</v>
      </c>
      <c r="C226" s="344" t="str">
        <f>+VLOOKUP(B226,'Erection Compiled'!$C$7:$D$650,2,FALSE)</f>
        <v>DA+3</v>
      </c>
      <c r="D226" s="350">
        <v>45988</v>
      </c>
      <c r="E226" s="350">
        <v>45988</v>
      </c>
      <c r="F226" s="344" t="s">
        <v>1633</v>
      </c>
      <c r="G226" s="344" t="s">
        <v>1028</v>
      </c>
      <c r="H226" s="344" t="s">
        <v>1028</v>
      </c>
    </row>
    <row r="227" spans="1:8" x14ac:dyDescent="0.25">
      <c r="A227" s="344">
        <f>+SUBTOTAL(3,$E$6:$E227)</f>
        <v>222</v>
      </c>
      <c r="B227" s="344" t="s">
        <v>105</v>
      </c>
      <c r="C227" s="344" t="str">
        <f>+VLOOKUP(B227,'Erection Compiled'!$C$7:$D$650,2,FALSE)</f>
        <v>DC1+0</v>
      </c>
      <c r="D227" s="350">
        <v>45991</v>
      </c>
      <c r="E227" s="350">
        <v>45991</v>
      </c>
      <c r="F227" s="344" t="s">
        <v>1026</v>
      </c>
      <c r="G227" s="344" t="s">
        <v>1028</v>
      </c>
      <c r="H227" s="344" t="s">
        <v>1028</v>
      </c>
    </row>
    <row r="228" spans="1:8" x14ac:dyDescent="0.25">
      <c r="A228" s="344">
        <f>+SUBTOTAL(3,$E$6:$E228)</f>
        <v>223</v>
      </c>
      <c r="B228" s="346" t="s">
        <v>538</v>
      </c>
      <c r="C228" s="344" t="str">
        <f>+VLOOKUP(B228,'Erection Compiled'!$C$7:$D$650,2,FALSE)</f>
        <v>DA+9</v>
      </c>
      <c r="D228" s="350">
        <v>45995</v>
      </c>
      <c r="E228" s="350">
        <v>45995</v>
      </c>
      <c r="F228" s="344" t="s">
        <v>1026</v>
      </c>
      <c r="G228" s="344" t="s">
        <v>1028</v>
      </c>
      <c r="H228" s="344" t="s">
        <v>1028</v>
      </c>
    </row>
    <row r="229" spans="1:8" x14ac:dyDescent="0.25">
      <c r="A229" s="344">
        <f>+SUBTOTAL(3,$E$6:$E229)</f>
        <v>224</v>
      </c>
      <c r="B229" s="346" t="s">
        <v>75</v>
      </c>
      <c r="C229" s="344" t="str">
        <f>+VLOOKUP(B229,'Erection Compiled'!$C$7:$D$650,2,FALSE)</f>
        <v>DA+9</v>
      </c>
      <c r="D229" s="350">
        <v>45998</v>
      </c>
      <c r="E229" s="350">
        <v>45998</v>
      </c>
      <c r="F229" s="344" t="s">
        <v>1633</v>
      </c>
      <c r="G229" s="344" t="s">
        <v>1028</v>
      </c>
      <c r="H229" s="344" t="s">
        <v>1028</v>
      </c>
    </row>
    <row r="230" spans="1:8" x14ac:dyDescent="0.25">
      <c r="A230" s="344">
        <f>+SUBTOTAL(3,$E$6:$E230)</f>
        <v>225</v>
      </c>
      <c r="B230" s="344" t="s">
        <v>83</v>
      </c>
      <c r="C230" s="344" t="str">
        <f>+VLOOKUP(B230,'Erection Compiled'!$C$7:$D$650,2,FALSE)</f>
        <v>DC1+0</v>
      </c>
      <c r="D230" s="350">
        <v>45999</v>
      </c>
      <c r="E230" s="350">
        <v>45999</v>
      </c>
      <c r="F230" s="344" t="s">
        <v>1026</v>
      </c>
      <c r="G230" s="344" t="s">
        <v>1028</v>
      </c>
      <c r="H230" s="344" t="s">
        <v>1028</v>
      </c>
    </row>
    <row r="231" spans="1:8" x14ac:dyDescent="0.25">
      <c r="A231" s="344">
        <f>+SUBTOTAL(3,$E$6:$E231)</f>
        <v>226</v>
      </c>
      <c r="B231" s="344" t="s">
        <v>230</v>
      </c>
      <c r="C231" s="344" t="str">
        <f>+VLOOKUP(B231,'Erection Compiled'!$C$7:$D$650,2,FALSE)</f>
        <v>DA+0</v>
      </c>
      <c r="D231" s="350">
        <v>45999</v>
      </c>
      <c r="E231" s="350">
        <v>45999</v>
      </c>
      <c r="F231" s="344" t="s">
        <v>1026</v>
      </c>
      <c r="G231" s="344" t="s">
        <v>1028</v>
      </c>
      <c r="H231" s="344" t="s">
        <v>1028</v>
      </c>
    </row>
    <row r="232" spans="1:8" x14ac:dyDescent="0.25">
      <c r="A232" s="344">
        <f>+SUBTOTAL(3,$E$6:$E232)</f>
        <v>227</v>
      </c>
      <c r="B232" s="344" t="s">
        <v>206</v>
      </c>
      <c r="C232" s="344" t="str">
        <f>+VLOOKUP(B232,'Erection Compiled'!$C$7:$D$650,2,FALSE)</f>
        <v>DA+9</v>
      </c>
      <c r="D232" s="350">
        <v>45999</v>
      </c>
      <c r="E232" s="350">
        <v>45999</v>
      </c>
      <c r="F232" s="344" t="s">
        <v>1026</v>
      </c>
      <c r="G232" s="344" t="s">
        <v>1028</v>
      </c>
      <c r="H232" s="344" t="s">
        <v>1028</v>
      </c>
    </row>
    <row r="233" spans="1:8" x14ac:dyDescent="0.25">
      <c r="A233" s="344">
        <f>+SUBTOTAL(3,$E$6:$E233)</f>
        <v>228</v>
      </c>
      <c r="B233" s="344" t="s">
        <v>208</v>
      </c>
      <c r="C233" s="344" t="str">
        <f>+VLOOKUP(B233,'Erection Compiled'!$C$7:$D$650,2,FALSE)</f>
        <v>DA+0</v>
      </c>
      <c r="D233" s="350">
        <v>45999</v>
      </c>
      <c r="E233" s="350">
        <v>45999</v>
      </c>
      <c r="F233" s="344" t="s">
        <v>1026</v>
      </c>
      <c r="G233" s="344" t="s">
        <v>1028</v>
      </c>
      <c r="H233" s="344" t="s">
        <v>1028</v>
      </c>
    </row>
    <row r="234" spans="1:8" x14ac:dyDescent="0.25">
      <c r="A234" s="344">
        <f>+SUBTOTAL(3,$E$6:$E234)</f>
        <v>229</v>
      </c>
      <c r="B234" s="344" t="s">
        <v>29</v>
      </c>
      <c r="C234" s="344" t="str">
        <f>+VLOOKUP(B234,'Erection Compiled'!$C$7:$D$650,2,FALSE)</f>
        <v>DB2+6</v>
      </c>
      <c r="D234" s="350">
        <v>45999</v>
      </c>
      <c r="E234" s="350">
        <v>45999</v>
      </c>
      <c r="F234" s="344" t="s">
        <v>1026</v>
      </c>
      <c r="G234" s="344" t="s">
        <v>1028</v>
      </c>
      <c r="H234" s="344" t="s">
        <v>1028</v>
      </c>
    </row>
    <row r="235" spans="1:8" x14ac:dyDescent="0.25">
      <c r="A235" s="344">
        <f>+SUBTOTAL(3,$E$6:$E235)</f>
        <v>230</v>
      </c>
      <c r="B235" s="344" t="s">
        <v>210</v>
      </c>
      <c r="C235" s="344" t="str">
        <f>+VLOOKUP(B235,'Erection Compiled'!$C$7:$D$650,2,FALSE)</f>
        <v>DA+9</v>
      </c>
      <c r="D235" s="350">
        <v>45999</v>
      </c>
      <c r="E235" s="350">
        <v>45999</v>
      </c>
      <c r="F235" s="344" t="s">
        <v>1026</v>
      </c>
      <c r="G235" s="344" t="s">
        <v>1028</v>
      </c>
      <c r="H235" s="344" t="s">
        <v>1028</v>
      </c>
    </row>
    <row r="236" spans="1:8" x14ac:dyDescent="0.25">
      <c r="A236" s="344">
        <f>+SUBTOTAL(3,$E$6:$E236)</f>
        <v>231</v>
      </c>
      <c r="B236" s="344" t="s">
        <v>211</v>
      </c>
      <c r="C236" s="344" t="str">
        <f>+VLOOKUP(B236,'Erection Compiled'!$C$7:$D$650,2,FALSE)</f>
        <v>DB1+0</v>
      </c>
      <c r="D236" s="350">
        <v>45999</v>
      </c>
      <c r="E236" s="350">
        <v>45999</v>
      </c>
      <c r="F236" s="344" t="s">
        <v>1026</v>
      </c>
      <c r="G236" s="344" t="s">
        <v>1028</v>
      </c>
      <c r="H236" s="344" t="s">
        <v>1028</v>
      </c>
    </row>
    <row r="237" spans="1:8" x14ac:dyDescent="0.25">
      <c r="A237" s="344">
        <f>+SUBTOTAL(3,$E$6:$E237)</f>
        <v>232</v>
      </c>
      <c r="B237" s="344" t="s">
        <v>535</v>
      </c>
      <c r="C237" s="344" t="str">
        <f>+VLOOKUP(B237,'Erection Compiled'!$C$7:$D$650,2,FALSE)</f>
        <v>DB2+6</v>
      </c>
      <c r="D237" s="350">
        <v>45999</v>
      </c>
      <c r="E237" s="350">
        <v>45999</v>
      </c>
      <c r="F237" s="344" t="s">
        <v>1026</v>
      </c>
      <c r="G237" s="344" t="s">
        <v>1028</v>
      </c>
      <c r="H237" s="344" t="s">
        <v>1028</v>
      </c>
    </row>
    <row r="238" spans="1:8" x14ac:dyDescent="0.25">
      <c r="A238" s="344">
        <f>+SUBTOTAL(3,$E$6:$E238)</f>
        <v>233</v>
      </c>
      <c r="B238" s="344" t="s">
        <v>540</v>
      </c>
      <c r="C238" s="344" t="str">
        <f>+VLOOKUP(B238,'Erection Compiled'!$C$7:$D$650,2,FALSE)</f>
        <v>DB2+6</v>
      </c>
      <c r="D238" s="350">
        <v>45999</v>
      </c>
      <c r="E238" s="350">
        <v>45999</v>
      </c>
      <c r="F238" s="344" t="s">
        <v>1026</v>
      </c>
      <c r="G238" s="344" t="s">
        <v>1028</v>
      </c>
      <c r="H238" s="344" t="s">
        <v>1028</v>
      </c>
    </row>
    <row r="239" spans="1:8" x14ac:dyDescent="0.25">
      <c r="A239" s="344">
        <f>+SUBTOTAL(3,$E$6:$E239)</f>
        <v>234</v>
      </c>
      <c r="B239" s="344" t="s">
        <v>555</v>
      </c>
      <c r="C239" s="344" t="str">
        <f>+VLOOKUP(B239,'Erection Compiled'!$C$7:$D$650,2,FALSE)</f>
        <v>DC1+6</v>
      </c>
      <c r="D239" s="350">
        <v>45999</v>
      </c>
      <c r="E239" s="350">
        <v>45999</v>
      </c>
      <c r="F239" s="344" t="s">
        <v>1026</v>
      </c>
      <c r="G239" s="344" t="s">
        <v>1028</v>
      </c>
      <c r="H239" s="344" t="s">
        <v>1028</v>
      </c>
    </row>
    <row r="240" spans="1:8" x14ac:dyDescent="0.25">
      <c r="A240" s="344">
        <f>+SUBTOTAL(3,$E$6:$E240)</f>
        <v>235</v>
      </c>
      <c r="B240" s="344" t="s">
        <v>558</v>
      </c>
      <c r="C240" s="344" t="str">
        <f>+VLOOKUP(B240,'Erection Compiled'!$C$7:$D$650,2,FALSE)</f>
        <v>DC1+0</v>
      </c>
      <c r="D240" s="350">
        <v>45999</v>
      </c>
      <c r="E240" s="350">
        <v>45999</v>
      </c>
      <c r="F240" s="344" t="s">
        <v>1026</v>
      </c>
      <c r="G240" s="344" t="s">
        <v>1028</v>
      </c>
      <c r="H240" s="344" t="s">
        <v>1028</v>
      </c>
    </row>
    <row r="241" spans="1:8" x14ac:dyDescent="0.25">
      <c r="A241" s="344">
        <f>+SUBTOTAL(3,$E$6:$E241)</f>
        <v>236</v>
      </c>
      <c r="B241" s="344" t="s">
        <v>561</v>
      </c>
      <c r="C241" s="344" t="str">
        <f>+VLOOKUP(B241,'Erection Compiled'!$C$7:$D$650,2,FALSE)</f>
        <v>DA+0</v>
      </c>
      <c r="D241" s="350">
        <v>45999</v>
      </c>
      <c r="E241" s="350">
        <v>45999</v>
      </c>
      <c r="F241" s="344" t="s">
        <v>1026</v>
      </c>
      <c r="G241" s="344" t="s">
        <v>1028</v>
      </c>
      <c r="H241" s="344" t="s">
        <v>1028</v>
      </c>
    </row>
    <row r="242" spans="1:8" x14ac:dyDescent="0.25">
      <c r="A242" s="344">
        <f>+SUBTOTAL(3,$E$6:$E242)</f>
        <v>237</v>
      </c>
      <c r="B242" s="344" t="s">
        <v>562</v>
      </c>
      <c r="C242" s="344" t="str">
        <f>+VLOOKUP(B242,'Erection Compiled'!$C$7:$D$650,2,FALSE)</f>
        <v>DA+0</v>
      </c>
      <c r="D242" s="350">
        <v>45999</v>
      </c>
      <c r="E242" s="350">
        <v>45999</v>
      </c>
      <c r="F242" s="344" t="s">
        <v>1026</v>
      </c>
      <c r="G242" s="344" t="s">
        <v>1028</v>
      </c>
      <c r="H242" s="344" t="s">
        <v>1028</v>
      </c>
    </row>
    <row r="243" spans="1:8" x14ac:dyDescent="0.25">
      <c r="A243" s="344">
        <f>+SUBTOTAL(3,$E$6:$E243)</f>
        <v>238</v>
      </c>
      <c r="B243" s="344" t="s">
        <v>563</v>
      </c>
      <c r="C243" s="344" t="str">
        <f>+VLOOKUP(B243,'Erection Compiled'!$C$7:$D$650,2,FALSE)</f>
        <v>DA+9</v>
      </c>
      <c r="D243" s="350">
        <v>45999</v>
      </c>
      <c r="E243" s="350">
        <v>45999</v>
      </c>
      <c r="F243" s="344" t="s">
        <v>1026</v>
      </c>
      <c r="G243" s="344" t="s">
        <v>1028</v>
      </c>
      <c r="H243" s="344" t="s">
        <v>1028</v>
      </c>
    </row>
    <row r="244" spans="1:8" x14ac:dyDescent="0.25">
      <c r="A244" s="344">
        <f>+SUBTOTAL(3,$E$6:$E244)</f>
        <v>239</v>
      </c>
      <c r="B244" s="344" t="s">
        <v>726</v>
      </c>
      <c r="C244" s="344" t="str">
        <f>+VLOOKUP(B244,'Erection Compiled'!$C$7:$D$650,2,FALSE)</f>
        <v>DA+0</v>
      </c>
      <c r="D244" s="350">
        <v>46000</v>
      </c>
      <c r="E244" s="350">
        <v>46000</v>
      </c>
      <c r="F244" s="344" t="s">
        <v>1026</v>
      </c>
      <c r="G244" s="344" t="s">
        <v>1028</v>
      </c>
      <c r="H244" s="344" t="s">
        <v>1028</v>
      </c>
    </row>
    <row r="245" spans="1:8" x14ac:dyDescent="0.25">
      <c r="A245" s="344">
        <f>+SUBTOTAL(3,$E$6:$E245)</f>
        <v>240</v>
      </c>
      <c r="B245" s="344" t="s">
        <v>735</v>
      </c>
      <c r="C245" s="344" t="str">
        <f>+VLOOKUP(B245,'Erection Compiled'!$C$7:$D$650,2,FALSE)</f>
        <v>DA+3</v>
      </c>
      <c r="D245" s="350">
        <v>46001</v>
      </c>
      <c r="E245" s="350">
        <v>46001</v>
      </c>
      <c r="F245" s="344" t="s">
        <v>1026</v>
      </c>
      <c r="G245" s="344" t="s">
        <v>1028</v>
      </c>
      <c r="H245" s="344" t="s">
        <v>1028</v>
      </c>
    </row>
    <row r="246" spans="1:8" x14ac:dyDescent="0.25">
      <c r="A246" s="344">
        <f>+SUBTOTAL(3,$E$6:$E246)</f>
        <v>241</v>
      </c>
      <c r="B246" s="344" t="s">
        <v>104</v>
      </c>
      <c r="C246" s="344" t="str">
        <f>+VLOOKUP(B246,'Erection Compiled'!$C$7:$D$650,2,FALSE)</f>
        <v>DB2+0</v>
      </c>
      <c r="D246" s="350">
        <v>46002</v>
      </c>
      <c r="E246" s="350">
        <v>46002</v>
      </c>
      <c r="F246" s="344" t="s">
        <v>1026</v>
      </c>
      <c r="G246" s="344" t="s">
        <v>1028</v>
      </c>
      <c r="H246" s="344" t="s">
        <v>1028</v>
      </c>
    </row>
    <row r="247" spans="1:8" x14ac:dyDescent="0.25">
      <c r="A247" s="344">
        <f>+SUBTOTAL(3,$E$6:$E247)</f>
        <v>242</v>
      </c>
      <c r="B247" s="344" t="s">
        <v>833</v>
      </c>
      <c r="C247" s="344" t="str">
        <f>+VLOOKUP(B247,'Erection Compiled'!$C$7:$D$650,2,FALSE)</f>
        <v>DA+3</v>
      </c>
      <c r="D247" s="350">
        <v>46003</v>
      </c>
      <c r="E247" s="350">
        <v>46003</v>
      </c>
      <c r="F247" s="344" t="s">
        <v>1026</v>
      </c>
      <c r="G247" s="344" t="s">
        <v>1028</v>
      </c>
      <c r="H247" s="344" t="s">
        <v>1028</v>
      </c>
    </row>
    <row r="248" spans="1:8" x14ac:dyDescent="0.25">
      <c r="A248" s="344">
        <f>+SUBTOTAL(3,$E$6:$E248)</f>
        <v>243</v>
      </c>
      <c r="B248" s="344" t="s">
        <v>834</v>
      </c>
      <c r="C248" s="344" t="str">
        <f>+VLOOKUP(B248,'Erection Compiled'!$C$7:$D$650,2,FALSE)</f>
        <v>DA+3</v>
      </c>
      <c r="D248" s="350">
        <v>46004</v>
      </c>
      <c r="E248" s="350">
        <v>46004</v>
      </c>
      <c r="F248" s="344" t="s">
        <v>1026</v>
      </c>
      <c r="G248" s="344" t="s">
        <v>1028</v>
      </c>
      <c r="H248" s="344" t="s">
        <v>1028</v>
      </c>
    </row>
    <row r="249" spans="1:8" x14ac:dyDescent="0.25">
      <c r="A249" s="344">
        <f>+SUBTOTAL(3,$E$6:$E249)</f>
        <v>244</v>
      </c>
      <c r="B249" s="344" t="s">
        <v>835</v>
      </c>
      <c r="C249" s="344" t="str">
        <f>+VLOOKUP(B249,'Erection Compiled'!$C$7:$D$650,2,FALSE)</f>
        <v>DA+3</v>
      </c>
      <c r="D249" s="350">
        <v>46005</v>
      </c>
      <c r="E249" s="350">
        <v>46005</v>
      </c>
      <c r="F249" s="344" t="s">
        <v>1026</v>
      </c>
      <c r="G249" s="344" t="s">
        <v>1028</v>
      </c>
      <c r="H249" s="344" t="s">
        <v>1028</v>
      </c>
    </row>
    <row r="250" spans="1:8" x14ac:dyDescent="0.25">
      <c r="A250" s="344">
        <f>+SUBTOTAL(3,$E$6:$E250)</f>
        <v>245</v>
      </c>
      <c r="B250" s="344" t="s">
        <v>451</v>
      </c>
      <c r="C250" s="344" t="str">
        <f>+VLOOKUP(B250,'Erection Compiled'!$C$7:$D$650,2,FALSE)</f>
        <v>DA+3</v>
      </c>
      <c r="D250" s="350">
        <v>46006</v>
      </c>
      <c r="E250" s="350">
        <v>46006</v>
      </c>
      <c r="F250" s="344" t="s">
        <v>1615</v>
      </c>
      <c r="G250" s="344" t="s">
        <v>1028</v>
      </c>
      <c r="H250" s="344" t="s">
        <v>1028</v>
      </c>
    </row>
    <row r="251" spans="1:8" x14ac:dyDescent="0.25">
      <c r="A251" s="344">
        <f>+SUBTOTAL(3,$E$6:$E251)</f>
        <v>246</v>
      </c>
      <c r="B251" s="344" t="s">
        <v>452</v>
      </c>
      <c r="C251" s="344" t="str">
        <f>+VLOOKUP(B251,'Erection Compiled'!$C$7:$D$650,2,FALSE)</f>
        <v>DA+3</v>
      </c>
      <c r="D251" s="350">
        <v>46007</v>
      </c>
      <c r="E251" s="350">
        <v>46007</v>
      </c>
      <c r="F251" s="344" t="s">
        <v>1615</v>
      </c>
      <c r="G251" s="344" t="s">
        <v>1028</v>
      </c>
      <c r="H251" s="344" t="s">
        <v>1028</v>
      </c>
    </row>
    <row r="252" spans="1:8" x14ac:dyDescent="0.25">
      <c r="A252" s="344">
        <f>+SUBTOTAL(3,$E$6:$E252)</f>
        <v>247</v>
      </c>
      <c r="B252" s="344" t="s">
        <v>454</v>
      </c>
      <c r="C252" s="344" t="str">
        <f>+VLOOKUP(B252,'Erection Compiled'!$C$7:$D$650,2,FALSE)</f>
        <v>DA+0</v>
      </c>
      <c r="D252" s="350">
        <v>46008</v>
      </c>
      <c r="E252" s="350">
        <v>46008</v>
      </c>
      <c r="F252" s="344" t="s">
        <v>1615</v>
      </c>
      <c r="G252" s="344" t="s">
        <v>1028</v>
      </c>
      <c r="H252" s="344" t="s">
        <v>1028</v>
      </c>
    </row>
    <row r="253" spans="1:8" x14ac:dyDescent="0.25">
      <c r="A253" s="344">
        <f>+SUBTOTAL(3,$E$6:$E253)</f>
        <v>248</v>
      </c>
      <c r="B253" s="344" t="s">
        <v>154</v>
      </c>
      <c r="C253" s="344" t="str">
        <f>+VLOOKUP(B253,'Erection Compiled'!$C$7:$D$650,2,FALSE)</f>
        <v>DA+3</v>
      </c>
      <c r="D253" s="350">
        <v>46009</v>
      </c>
      <c r="E253" s="350">
        <v>46009</v>
      </c>
      <c r="F253" s="344" t="s">
        <v>1633</v>
      </c>
      <c r="G253" s="344" t="s">
        <v>1028</v>
      </c>
      <c r="H253" s="344" t="s">
        <v>1028</v>
      </c>
    </row>
    <row r="254" spans="1:8" x14ac:dyDescent="0.25">
      <c r="A254" s="344">
        <f>+SUBTOTAL(3,$E$6:$E254)</f>
        <v>249</v>
      </c>
      <c r="B254" s="344" t="s">
        <v>502</v>
      </c>
      <c r="C254" s="344" t="str">
        <f>+VLOOKUP(B254,'Erection Compiled'!$C$7:$D$650,2,FALSE)</f>
        <v>DA+3</v>
      </c>
      <c r="D254" s="350">
        <v>46010</v>
      </c>
      <c r="E254" s="350">
        <v>46010</v>
      </c>
      <c r="F254" s="344" t="s">
        <v>1652</v>
      </c>
      <c r="G254" s="344" t="s">
        <v>1028</v>
      </c>
      <c r="H254" s="344" t="s">
        <v>1028</v>
      </c>
    </row>
    <row r="255" spans="1:8" x14ac:dyDescent="0.25">
      <c r="A255" s="344">
        <f>+SUBTOTAL(3,$E$6:$E255)</f>
        <v>250</v>
      </c>
      <c r="B255" s="344" t="s">
        <v>64</v>
      </c>
      <c r="C255" s="344" t="str">
        <f>+VLOOKUP(B255,'Erection Compiled'!$C$7:$D$650,2,FALSE)</f>
        <v>DA+3</v>
      </c>
      <c r="D255" s="350">
        <v>46011</v>
      </c>
      <c r="E255" s="350">
        <v>46011</v>
      </c>
      <c r="F255" s="344" t="s">
        <v>1633</v>
      </c>
      <c r="G255" s="344" t="s">
        <v>1028</v>
      </c>
      <c r="H255" s="344" t="s">
        <v>1028</v>
      </c>
    </row>
    <row r="256" spans="1:8" x14ac:dyDescent="0.25">
      <c r="A256" s="344">
        <f>+SUBTOTAL(3,$E$6:$E256)</f>
        <v>251</v>
      </c>
      <c r="B256" s="344" t="s">
        <v>67</v>
      </c>
      <c r="C256" s="344" t="str">
        <f>+VLOOKUP(B256,'Erection Compiled'!$C$7:$D$650,2,FALSE)</f>
        <v>DA+3</v>
      </c>
      <c r="D256" s="350">
        <v>46012</v>
      </c>
      <c r="E256" s="350">
        <v>46012</v>
      </c>
      <c r="F256" s="344" t="s">
        <v>1633</v>
      </c>
      <c r="G256" s="344" t="s">
        <v>1028</v>
      </c>
      <c r="H256" s="344" t="s">
        <v>1028</v>
      </c>
    </row>
    <row r="257" spans="1:8" x14ac:dyDescent="0.25">
      <c r="A257" s="344">
        <f>+SUBTOTAL(3,$E$6:$E257)</f>
        <v>252</v>
      </c>
      <c r="B257" s="344" t="s">
        <v>187</v>
      </c>
      <c r="C257" s="344" t="str">
        <f>+VLOOKUP(B257,'Erection Compiled'!$C$7:$D$650,2,FALSE)</f>
        <v>DA+0</v>
      </c>
      <c r="D257" s="350">
        <v>46013</v>
      </c>
      <c r="E257" s="350">
        <v>46013</v>
      </c>
      <c r="F257" s="344" t="s">
        <v>1633</v>
      </c>
      <c r="G257" s="344" t="s">
        <v>1028</v>
      </c>
      <c r="H257" s="344" t="s">
        <v>1028</v>
      </c>
    </row>
    <row r="258" spans="1:8" x14ac:dyDescent="0.25">
      <c r="A258" s="344">
        <f>+SUBTOTAL(3,$E$6:$E258)</f>
        <v>253</v>
      </c>
      <c r="B258" s="344" t="s">
        <v>190</v>
      </c>
      <c r="C258" s="344" t="str">
        <f>+VLOOKUP(B258,'Erection Compiled'!$C$7:$D$650,2,FALSE)</f>
        <v>DA+3</v>
      </c>
      <c r="D258" s="350">
        <v>46014</v>
      </c>
      <c r="E258" s="350">
        <v>46014</v>
      </c>
      <c r="F258" s="344" t="s">
        <v>1633</v>
      </c>
      <c r="G258" s="344" t="s">
        <v>1028</v>
      </c>
      <c r="H258" s="344" t="s">
        <v>1028</v>
      </c>
    </row>
    <row r="259" spans="1:8" x14ac:dyDescent="0.25">
      <c r="A259" s="344">
        <f>+SUBTOTAL(3,$E$6:$E259)</f>
        <v>254</v>
      </c>
      <c r="B259" s="344" t="s">
        <v>71</v>
      </c>
      <c r="C259" s="344" t="str">
        <f>+VLOOKUP(B259,'Erection Compiled'!$C$7:$D$650,2,FALSE)</f>
        <v>DA+0</v>
      </c>
      <c r="D259" s="350">
        <v>46015</v>
      </c>
      <c r="E259" s="350">
        <v>46015</v>
      </c>
      <c r="F259" s="344" t="s">
        <v>1633</v>
      </c>
      <c r="G259" s="344" t="s">
        <v>1028</v>
      </c>
      <c r="H259" s="344" t="s">
        <v>1028</v>
      </c>
    </row>
    <row r="260" spans="1:8" x14ac:dyDescent="0.25">
      <c r="A260" s="344">
        <f>+SUBTOTAL(3,$E$6:$E260)</f>
        <v>255</v>
      </c>
      <c r="B260" s="344" t="s">
        <v>80</v>
      </c>
      <c r="C260" s="344" t="str">
        <f>+VLOOKUP(B260,'Erection Compiled'!$C$7:$D$650,2,FALSE)</f>
        <v>DC1+0</v>
      </c>
      <c r="D260" s="350">
        <v>46016</v>
      </c>
      <c r="E260" s="350">
        <v>46016</v>
      </c>
      <c r="F260" s="344" t="s">
        <v>1633</v>
      </c>
      <c r="G260" s="344" t="s">
        <v>1028</v>
      </c>
      <c r="H260" s="344" t="s">
        <v>1028</v>
      </c>
    </row>
    <row r="261" spans="1:8" x14ac:dyDescent="0.25">
      <c r="A261" s="344">
        <f>+SUBTOTAL(3,$E$6:$E261)</f>
        <v>256</v>
      </c>
      <c r="B261" s="344" t="s">
        <v>82</v>
      </c>
      <c r="C261" s="344" t="str">
        <f>+VLOOKUP(B261,'Erection Compiled'!$C$7:$D$650,2,FALSE)</f>
        <v>DA+3</v>
      </c>
      <c r="D261" s="350">
        <v>46017</v>
      </c>
      <c r="E261" s="350">
        <v>46017</v>
      </c>
      <c r="F261" s="344" t="s">
        <v>1633</v>
      </c>
      <c r="G261" s="344" t="s">
        <v>1028</v>
      </c>
      <c r="H261" s="344" t="s">
        <v>1028</v>
      </c>
    </row>
    <row r="262" spans="1:8" x14ac:dyDescent="0.25">
      <c r="A262" s="344">
        <f>+SUBTOTAL(3,$E$6:$E262)</f>
        <v>257</v>
      </c>
      <c r="B262" s="346" t="s">
        <v>196</v>
      </c>
      <c r="C262" s="344" t="str">
        <f>+VLOOKUP(B262,'Erection Compiled'!$C$7:$D$650,2,FALSE)</f>
        <v>DA+3</v>
      </c>
      <c r="D262" s="350">
        <v>46018</v>
      </c>
      <c r="E262" s="350">
        <v>46018</v>
      </c>
      <c r="F262" s="344" t="s">
        <v>1633</v>
      </c>
      <c r="G262" s="344" t="s">
        <v>1028</v>
      </c>
      <c r="H262" s="344" t="s">
        <v>1028</v>
      </c>
    </row>
    <row r="263" spans="1:8" x14ac:dyDescent="0.25">
      <c r="A263" s="344">
        <f>+SUBTOTAL(3,$E$6:$E263)</f>
        <v>258</v>
      </c>
      <c r="B263" s="346" t="s">
        <v>460</v>
      </c>
      <c r="C263" s="344" t="str">
        <f>+VLOOKUP(B263,'Erection Compiled'!$C$7:$D$650,2,FALSE)</f>
        <v>DA+0</v>
      </c>
      <c r="D263" s="350">
        <v>46024</v>
      </c>
      <c r="E263" s="602">
        <v>46024</v>
      </c>
      <c r="F263" s="344" t="s">
        <v>1633</v>
      </c>
      <c r="G263" s="344" t="s">
        <v>1028</v>
      </c>
      <c r="H263" s="344" t="s">
        <v>1028</v>
      </c>
    </row>
    <row r="264" spans="1:8" x14ac:dyDescent="0.25">
      <c r="A264" s="344">
        <f>+SUBTOTAL(3,$E$6:$E264)</f>
        <v>259</v>
      </c>
      <c r="B264" s="346" t="s">
        <v>42</v>
      </c>
      <c r="C264" s="344" t="str">
        <f>+VLOOKUP(B264,'Erection Compiled'!$C$7:$D$650,2,FALSE)</f>
        <v>DA+0</v>
      </c>
      <c r="D264" s="602">
        <v>46024</v>
      </c>
      <c r="E264" s="602">
        <v>46024</v>
      </c>
      <c r="F264" s="344" t="s">
        <v>1633</v>
      </c>
      <c r="G264" s="344" t="s">
        <v>1028</v>
      </c>
      <c r="H264" s="344" t="s">
        <v>1028</v>
      </c>
    </row>
    <row r="265" spans="1:8" x14ac:dyDescent="0.25">
      <c r="A265" s="344">
        <f>+SUBTOTAL(3,$E$6:$E265)</f>
        <v>260</v>
      </c>
      <c r="B265" s="346" t="s">
        <v>40</v>
      </c>
      <c r="C265" s="344" t="str">
        <f>+VLOOKUP(B265,'Erection Compiled'!$C$7:$D$650,2,FALSE)</f>
        <v>DB1+9</v>
      </c>
      <c r="D265" s="602">
        <v>46025</v>
      </c>
      <c r="E265" s="602">
        <v>46025</v>
      </c>
      <c r="F265" s="344" t="s">
        <v>1633</v>
      </c>
      <c r="G265" s="344" t="s">
        <v>1028</v>
      </c>
      <c r="H265" s="344" t="s">
        <v>1028</v>
      </c>
    </row>
    <row r="266" spans="1:8" x14ac:dyDescent="0.25">
      <c r="A266" s="344">
        <f>+SUBTOTAL(3,$E$6:$E266)</f>
        <v>261</v>
      </c>
      <c r="B266" s="346" t="s">
        <v>44</v>
      </c>
      <c r="C266" s="344" t="str">
        <f>+VLOOKUP(B266,'Erection Compiled'!$C$7:$D$650,2,FALSE)</f>
        <v>DB1+0</v>
      </c>
      <c r="D266" s="602">
        <v>46026</v>
      </c>
      <c r="E266" s="602">
        <v>46026</v>
      </c>
      <c r="F266" s="344" t="s">
        <v>1633</v>
      </c>
      <c r="G266" s="344" t="s">
        <v>1028</v>
      </c>
      <c r="H266" s="344" t="s">
        <v>1028</v>
      </c>
    </row>
    <row r="267" spans="1:8" x14ac:dyDescent="0.25">
      <c r="A267" s="344">
        <f>+SUBTOTAL(3,$E$6:$E267)</f>
        <v>262</v>
      </c>
      <c r="B267" s="346" t="s">
        <v>456</v>
      </c>
      <c r="C267" s="344" t="str">
        <f>+VLOOKUP(B267,'Erection Compiled'!$C$7:$D$650,2,FALSE)</f>
        <v>DA+0</v>
      </c>
      <c r="D267" s="602">
        <v>46027</v>
      </c>
      <c r="E267" s="602">
        <v>46027</v>
      </c>
      <c r="F267" s="344" t="s">
        <v>1633</v>
      </c>
      <c r="G267" s="344" t="s">
        <v>1028</v>
      </c>
      <c r="H267" s="344" t="s">
        <v>1028</v>
      </c>
    </row>
    <row r="268" spans="1:8" x14ac:dyDescent="0.25">
      <c r="A268" s="344">
        <f>+SUBTOTAL(3,$E$6:$E268)</f>
        <v>263</v>
      </c>
      <c r="B268" s="346" t="s">
        <v>39</v>
      </c>
      <c r="C268" s="344" t="str">
        <f>+VLOOKUP(B268,'Erection Compiled'!$C$7:$D$650,2,FALSE)</f>
        <v>DD60+6</v>
      </c>
      <c r="D268" s="602">
        <v>46028</v>
      </c>
      <c r="E268" s="602">
        <v>46028</v>
      </c>
      <c r="F268" s="344" t="s">
        <v>1633</v>
      </c>
      <c r="G268" s="344" t="s">
        <v>1028</v>
      </c>
      <c r="H268" s="344" t="s">
        <v>1028</v>
      </c>
    </row>
    <row r="269" spans="1:8" x14ac:dyDescent="0.25">
      <c r="A269" s="344">
        <f>+SUBTOTAL(3,$E$6:$E269)</f>
        <v>264</v>
      </c>
      <c r="B269" s="346" t="s">
        <v>471</v>
      </c>
      <c r="C269" s="344" t="str">
        <f>+VLOOKUP(B269,'Erection Compiled'!$C$7:$D$650,2,FALSE)</f>
        <v>DA+3</v>
      </c>
      <c r="D269" s="602">
        <v>46030</v>
      </c>
      <c r="E269" s="602">
        <v>46030</v>
      </c>
      <c r="F269" s="344" t="s">
        <v>1633</v>
      </c>
      <c r="G269" s="344" t="s">
        <v>1028</v>
      </c>
      <c r="H269" s="344" t="s">
        <v>1028</v>
      </c>
    </row>
    <row r="270" spans="1:8" x14ac:dyDescent="0.25">
      <c r="A270" s="344">
        <f>+SUBTOTAL(3,$E$6:$E270)</f>
        <v>265</v>
      </c>
      <c r="B270" s="344" t="s">
        <v>450</v>
      </c>
      <c r="C270" s="344" t="str">
        <f>+VLOOKUP(B270,'Erection Compiled'!$C$7:$D$650,2,FALSE)</f>
        <v>DA+3</v>
      </c>
      <c r="D270" s="602">
        <v>46030</v>
      </c>
      <c r="E270" s="602">
        <v>46030</v>
      </c>
      <c r="F270" s="344" t="s">
        <v>1615</v>
      </c>
      <c r="G270" s="344" t="s">
        <v>1028</v>
      </c>
      <c r="H270" s="344" t="s">
        <v>1028</v>
      </c>
    </row>
    <row r="271" spans="1:8" x14ac:dyDescent="0.25">
      <c r="A271" s="344">
        <f>+SUBTOTAL(3,$E$6:$E271)</f>
        <v>266</v>
      </c>
      <c r="B271" s="344" t="s">
        <v>453</v>
      </c>
      <c r="C271" s="344" t="str">
        <f>+VLOOKUP(B271,'Erection Compiled'!$C$7:$D$650,2,FALSE)</f>
        <v>DA+3</v>
      </c>
      <c r="D271" s="602">
        <v>46030</v>
      </c>
      <c r="E271" s="602">
        <v>46030</v>
      </c>
      <c r="F271" s="344" t="s">
        <v>1615</v>
      </c>
      <c r="G271" s="344" t="s">
        <v>1028</v>
      </c>
      <c r="H271" s="344"/>
    </row>
    <row r="272" spans="1:8" x14ac:dyDescent="0.25">
      <c r="A272" s="344">
        <f>+SUBTOTAL(3,$E$6:$E272)</f>
        <v>267</v>
      </c>
      <c r="B272" s="344" t="s">
        <v>455</v>
      </c>
      <c r="C272" s="344" t="str">
        <f>+VLOOKUP(B272,'Erection Compiled'!$C$7:$D$650,2,FALSE)</f>
        <v>DA+0</v>
      </c>
      <c r="D272" s="602">
        <v>46030</v>
      </c>
      <c r="E272" s="602">
        <v>46030</v>
      </c>
      <c r="F272" s="344" t="s">
        <v>1615</v>
      </c>
      <c r="G272" s="344" t="s">
        <v>1028</v>
      </c>
      <c r="H272" s="344" t="s">
        <v>1028</v>
      </c>
    </row>
    <row r="273" spans="1:8" x14ac:dyDescent="0.25">
      <c r="A273" s="344">
        <f>+SUBTOTAL(3,$E$6:$E273)</f>
        <v>268</v>
      </c>
      <c r="B273" s="344" t="s">
        <v>160</v>
      </c>
      <c r="C273" s="344" t="str">
        <f>+VLOOKUP(B273,'Erection Compiled'!$C$7:$D$650,2,FALSE)</f>
        <v>DA+3</v>
      </c>
      <c r="D273" s="602">
        <v>46030</v>
      </c>
      <c r="E273" s="602">
        <v>46030</v>
      </c>
      <c r="F273" s="344" t="s">
        <v>1615</v>
      </c>
      <c r="G273" s="344" t="s">
        <v>1028</v>
      </c>
      <c r="H273" s="344"/>
    </row>
    <row r="274" spans="1:8" x14ac:dyDescent="0.25">
      <c r="A274" s="344">
        <f>+SUBTOTAL(3,$E$6:$E274)</f>
        <v>269</v>
      </c>
      <c r="B274" s="344" t="s">
        <v>167</v>
      </c>
      <c r="C274" s="344" t="str">
        <f>+VLOOKUP(B274,'Erection Compiled'!$C$7:$D$650,2,FALSE)</f>
        <v>DA+3</v>
      </c>
      <c r="D274" s="602">
        <v>46030</v>
      </c>
      <c r="E274" s="602">
        <v>46030</v>
      </c>
      <c r="F274" s="344" t="s">
        <v>1633</v>
      </c>
      <c r="G274" s="344" t="s">
        <v>1028</v>
      </c>
      <c r="H274" s="344" t="s">
        <v>1028</v>
      </c>
    </row>
    <row r="275" spans="1:8" x14ac:dyDescent="0.25">
      <c r="A275" s="344">
        <f>+SUBTOTAL(3,$E$6:$E275)</f>
        <v>270</v>
      </c>
      <c r="B275" s="344" t="s">
        <v>168</v>
      </c>
      <c r="C275" s="344" t="str">
        <f>+VLOOKUP(B275,'Erection Compiled'!$C$7:$D$650,2,FALSE)</f>
        <v>DA+3</v>
      </c>
      <c r="D275" s="602">
        <v>46030</v>
      </c>
      <c r="E275" s="602">
        <v>46030</v>
      </c>
      <c r="F275" s="344" t="s">
        <v>1633</v>
      </c>
      <c r="G275" s="344" t="s">
        <v>1028</v>
      </c>
      <c r="H275" s="344" t="s">
        <v>1028</v>
      </c>
    </row>
    <row r="276" spans="1:8" x14ac:dyDescent="0.25">
      <c r="A276" s="344">
        <f>+SUBTOTAL(3,$E$6:$E276)</f>
        <v>271</v>
      </c>
      <c r="B276" s="346" t="s">
        <v>204</v>
      </c>
      <c r="C276" s="344" t="str">
        <f>+VLOOKUP(B276,'Erection Compiled'!$C$7:$D$650,2,FALSE)</f>
        <v>DA+0</v>
      </c>
      <c r="D276" s="602">
        <v>46031</v>
      </c>
      <c r="E276" s="602">
        <v>46031</v>
      </c>
      <c r="F276" s="344" t="s">
        <v>1669</v>
      </c>
      <c r="G276" s="344" t="s">
        <v>1028</v>
      </c>
      <c r="H276" s="344"/>
    </row>
    <row r="277" spans="1:8" x14ac:dyDescent="0.25">
      <c r="A277" s="344">
        <f>+SUBTOTAL(3,$E$6:$E277)</f>
        <v>272</v>
      </c>
      <c r="B277" s="346" t="s">
        <v>205</v>
      </c>
      <c r="C277" s="344" t="str">
        <f>+VLOOKUP(B277,'Erection Compiled'!$C$7:$D$650,2,FALSE)</f>
        <v>DA+0</v>
      </c>
      <c r="D277" s="602">
        <v>46035</v>
      </c>
      <c r="E277" s="602">
        <v>46035</v>
      </c>
      <c r="F277" s="344" t="s">
        <v>1669</v>
      </c>
      <c r="G277" s="344" t="s">
        <v>1028</v>
      </c>
      <c r="H277" s="344"/>
    </row>
    <row r="278" spans="1:8" x14ac:dyDescent="0.25">
      <c r="A278" s="344">
        <f>+SUBTOTAL(3,$E$6:$E278)</f>
        <v>273</v>
      </c>
      <c r="B278" s="346" t="s">
        <v>185</v>
      </c>
      <c r="C278" s="344" t="str">
        <f>+VLOOKUP(B278,'Erection Compiled'!$C$7:$D$650,2,FALSE)</f>
        <v>DA+6</v>
      </c>
      <c r="D278" s="602">
        <v>46038</v>
      </c>
      <c r="E278" s="602">
        <v>46038</v>
      </c>
      <c r="F278" s="344" t="s">
        <v>1669</v>
      </c>
      <c r="G278" s="344" t="s">
        <v>1028</v>
      </c>
      <c r="H278" s="344"/>
    </row>
    <row r="279" spans="1:8" x14ac:dyDescent="0.25">
      <c r="A279" s="344">
        <f>+SUBTOTAL(3,$E$6:$E279)</f>
        <v>274</v>
      </c>
      <c r="B279" s="346" t="s">
        <v>84</v>
      </c>
      <c r="C279" s="344" t="str">
        <f>+VLOOKUP(B279,'Erection Compiled'!$C$7:$D$650,2,FALSE)</f>
        <v>DB2+0</v>
      </c>
      <c r="D279" s="602">
        <v>46028</v>
      </c>
      <c r="E279" s="602">
        <v>46028</v>
      </c>
      <c r="F279" s="344" t="s">
        <v>1026</v>
      </c>
      <c r="G279" s="344" t="s">
        <v>1028</v>
      </c>
      <c r="H279" s="344" t="s">
        <v>1028</v>
      </c>
    </row>
    <row r="280" spans="1:8" x14ac:dyDescent="0.25">
      <c r="A280" s="344">
        <f>+SUBTOTAL(3,$E$6:$E280)</f>
        <v>275</v>
      </c>
      <c r="B280" s="346" t="s">
        <v>207</v>
      </c>
      <c r="C280" s="344" t="str">
        <f>+VLOOKUP(B280,'Erection Compiled'!$C$7:$D$650,2,FALSE)</f>
        <v>DA+6</v>
      </c>
      <c r="D280" s="602">
        <v>46029</v>
      </c>
      <c r="E280" s="602">
        <v>46029</v>
      </c>
      <c r="F280" s="344" t="s">
        <v>1026</v>
      </c>
      <c r="G280" s="344" t="s">
        <v>1028</v>
      </c>
      <c r="H280" s="344" t="s">
        <v>1028</v>
      </c>
    </row>
    <row r="281" spans="1:8" x14ac:dyDescent="0.25">
      <c r="A281" s="344">
        <f>+SUBTOTAL(3,$E$6:$E281)</f>
        <v>276</v>
      </c>
      <c r="B281" s="346" t="s">
        <v>668</v>
      </c>
      <c r="C281" s="344" t="str">
        <f>+VLOOKUP(B281,'Erection Compiled'!$C$7:$D$650,2,FALSE)</f>
        <v>DA+0</v>
      </c>
      <c r="D281" s="602">
        <v>46030</v>
      </c>
      <c r="E281" s="602">
        <v>46030</v>
      </c>
      <c r="F281" s="344" t="s">
        <v>1026</v>
      </c>
      <c r="G281" s="344" t="s">
        <v>1028</v>
      </c>
      <c r="H281" s="344" t="s">
        <v>1028</v>
      </c>
    </row>
    <row r="282" spans="1:8" x14ac:dyDescent="0.25">
      <c r="A282" s="344">
        <f>+SUBTOTAL(3,$E$6:$E282)</f>
        <v>277</v>
      </c>
      <c r="B282" s="346" t="s">
        <v>670</v>
      </c>
      <c r="C282" s="344" t="str">
        <f>+VLOOKUP(B282,'Erection Compiled'!$C$7:$D$650,2,FALSE)</f>
        <v>DA+0</v>
      </c>
      <c r="D282" s="602">
        <v>46031</v>
      </c>
      <c r="E282" s="602">
        <v>46031</v>
      </c>
      <c r="F282" s="344" t="s">
        <v>1026</v>
      </c>
      <c r="G282" s="344" t="s">
        <v>1028</v>
      </c>
      <c r="H282" s="344" t="s">
        <v>1028</v>
      </c>
    </row>
    <row r="283" spans="1:8" x14ac:dyDescent="0.25">
      <c r="A283" s="344">
        <f>+SUBTOTAL(3,$E$6:$E283)</f>
        <v>278</v>
      </c>
      <c r="B283" s="346" t="s">
        <v>671</v>
      </c>
      <c r="C283" s="344" t="str">
        <f>+VLOOKUP(B283,'Erection Compiled'!$C$7:$D$650,2,FALSE)</f>
        <v>DA+9</v>
      </c>
      <c r="D283" s="602">
        <v>46032</v>
      </c>
      <c r="E283" s="602">
        <v>46032</v>
      </c>
      <c r="F283" s="344" t="s">
        <v>1026</v>
      </c>
      <c r="G283" s="344" t="s">
        <v>1028</v>
      </c>
      <c r="H283" s="344" t="s">
        <v>1028</v>
      </c>
    </row>
    <row r="284" spans="1:8" x14ac:dyDescent="0.25">
      <c r="A284" s="344">
        <f>+SUBTOTAL(3,$E$6:$E284)</f>
        <v>279</v>
      </c>
      <c r="B284" s="346" t="s">
        <v>672</v>
      </c>
      <c r="C284" s="344" t="str">
        <f>+VLOOKUP(B284,'Erection Compiled'!$C$7:$D$650,2,FALSE)</f>
        <v>DA+9</v>
      </c>
      <c r="D284" s="602">
        <v>46033</v>
      </c>
      <c r="E284" s="602">
        <v>46033</v>
      </c>
      <c r="F284" s="344" t="s">
        <v>1026</v>
      </c>
      <c r="G284" s="344" t="s">
        <v>1028</v>
      </c>
      <c r="H284" s="344" t="s">
        <v>1028</v>
      </c>
    </row>
    <row r="285" spans="1:8" x14ac:dyDescent="0.25">
      <c r="A285" s="344">
        <f>+SUBTOTAL(3,$E$6:$E285)</f>
        <v>280</v>
      </c>
      <c r="B285" s="346" t="s">
        <v>674</v>
      </c>
      <c r="C285" s="344" t="str">
        <f>+VLOOKUP(B285,'Erection Compiled'!$C$7:$D$650,2,FALSE)</f>
        <v>DA+9</v>
      </c>
      <c r="D285" s="602">
        <v>46034</v>
      </c>
      <c r="E285" s="602">
        <v>46034</v>
      </c>
      <c r="F285" s="344" t="s">
        <v>1026</v>
      </c>
      <c r="G285" s="344" t="s">
        <v>1028</v>
      </c>
      <c r="H285" s="344" t="s">
        <v>1028</v>
      </c>
    </row>
    <row r="286" spans="1:8" x14ac:dyDescent="0.25">
      <c r="A286" s="344">
        <f>+SUBTOTAL(3,$E$6:$E286)</f>
        <v>281</v>
      </c>
      <c r="B286" s="346" t="s">
        <v>89</v>
      </c>
      <c r="C286" s="344" t="str">
        <f>+VLOOKUP(B286,'Erection Compiled'!$C$7:$D$650,2,FALSE)</f>
        <v>DD60+25</v>
      </c>
      <c r="D286" s="602">
        <v>46035</v>
      </c>
      <c r="E286" s="602">
        <v>46035</v>
      </c>
      <c r="F286" s="344" t="s">
        <v>1026</v>
      </c>
      <c r="G286" s="344" t="s">
        <v>1028</v>
      </c>
      <c r="H286" s="344" t="s">
        <v>1028</v>
      </c>
    </row>
    <row r="287" spans="1:8" x14ac:dyDescent="0.25">
      <c r="A287" s="344">
        <f>+SUBTOTAL(3,$E$6:$E287)</f>
        <v>282</v>
      </c>
      <c r="B287" s="346" t="s">
        <v>90</v>
      </c>
      <c r="C287" s="344" t="str">
        <f>+VLOOKUP(B287,'Erection Compiled'!$C$7:$D$650,2,FALSE)</f>
        <v>DD60+25</v>
      </c>
      <c r="D287" s="602">
        <v>46036</v>
      </c>
      <c r="E287" s="602">
        <v>46036</v>
      </c>
      <c r="F287" s="344" t="s">
        <v>1026</v>
      </c>
      <c r="G287" s="344" t="s">
        <v>1028</v>
      </c>
      <c r="H287" s="344" t="s">
        <v>1028</v>
      </c>
    </row>
    <row r="288" spans="1:8" x14ac:dyDescent="0.25">
      <c r="A288" s="344">
        <f>+SUBTOTAL(3,$E$6:$E288)</f>
        <v>283</v>
      </c>
      <c r="B288" s="346" t="s">
        <v>681</v>
      </c>
      <c r="C288" s="344" t="str">
        <f>+VLOOKUP(B288,'Erection Compiled'!$C$7:$D$650,2,FALSE)</f>
        <v>DA+3</v>
      </c>
      <c r="D288" s="602">
        <v>46037</v>
      </c>
      <c r="E288" s="602">
        <v>46037</v>
      </c>
      <c r="F288" s="344" t="s">
        <v>1026</v>
      </c>
      <c r="G288" s="344" t="s">
        <v>1028</v>
      </c>
      <c r="H288" s="344" t="s">
        <v>1028</v>
      </c>
    </row>
    <row r="289" spans="1:8" x14ac:dyDescent="0.25">
      <c r="A289" s="344">
        <f>+SUBTOTAL(3,$E$6:$E289)</f>
        <v>284</v>
      </c>
      <c r="B289" s="346" t="s">
        <v>682</v>
      </c>
      <c r="C289" s="344" t="str">
        <f>+VLOOKUP(B289,'Erection Compiled'!$C$7:$D$650,2,FALSE)</f>
        <v>DA+9</v>
      </c>
      <c r="D289" s="602">
        <v>46038</v>
      </c>
      <c r="E289" s="602">
        <v>46038</v>
      </c>
      <c r="F289" s="344" t="s">
        <v>1026</v>
      </c>
      <c r="G289" s="344" t="s">
        <v>1028</v>
      </c>
      <c r="H289" s="344" t="s">
        <v>1028</v>
      </c>
    </row>
    <row r="290" spans="1:8" x14ac:dyDescent="0.25">
      <c r="A290" s="344">
        <f>+SUBTOTAL(3,$E$6:$E290)</f>
        <v>285</v>
      </c>
      <c r="B290" s="346" t="s">
        <v>683</v>
      </c>
      <c r="C290" s="344" t="str">
        <f>+VLOOKUP(B290,'Erection Compiled'!$C$7:$D$650,2,FALSE)</f>
        <v>DA+9</v>
      </c>
      <c r="D290" s="602">
        <v>46039</v>
      </c>
      <c r="E290" s="602">
        <v>46039</v>
      </c>
      <c r="F290" s="344" t="s">
        <v>1026</v>
      </c>
      <c r="G290" s="344" t="s">
        <v>1028</v>
      </c>
      <c r="H290" s="344" t="s">
        <v>1028</v>
      </c>
    </row>
    <row r="291" spans="1:8" x14ac:dyDescent="0.25">
      <c r="A291" s="344">
        <f>+SUBTOTAL(3,$E$6:$E291)</f>
        <v>286</v>
      </c>
      <c r="B291" s="346" t="s">
        <v>684</v>
      </c>
      <c r="C291" s="344" t="str">
        <f>+VLOOKUP(B291,'Erection Compiled'!$C$7:$D$650,2,FALSE)</f>
        <v>DA+3</v>
      </c>
      <c r="D291" s="602">
        <v>46040</v>
      </c>
      <c r="E291" s="602">
        <v>46040</v>
      </c>
      <c r="F291" s="344" t="s">
        <v>1026</v>
      </c>
      <c r="G291" s="344" t="s">
        <v>1028</v>
      </c>
      <c r="H291" s="344" t="s">
        <v>1028</v>
      </c>
    </row>
    <row r="292" spans="1:8" x14ac:dyDescent="0.25">
      <c r="A292" s="344">
        <f>+SUBTOTAL(3,$E$6:$E292)</f>
        <v>287</v>
      </c>
      <c r="B292" s="346" t="s">
        <v>686</v>
      </c>
      <c r="C292" s="344" t="str">
        <f>+VLOOKUP(B292,'Erection Compiled'!$C$7:$D$650,2,FALSE)</f>
        <v>DA+3</v>
      </c>
      <c r="D292" s="602">
        <v>46041</v>
      </c>
      <c r="E292" s="602">
        <v>46041</v>
      </c>
      <c r="F292" s="344" t="s">
        <v>1026</v>
      </c>
      <c r="G292" s="344" t="s">
        <v>1028</v>
      </c>
      <c r="H292" s="344" t="s">
        <v>1028</v>
      </c>
    </row>
    <row r="293" spans="1:8" x14ac:dyDescent="0.25">
      <c r="A293" s="344">
        <f>+SUBTOTAL(3,$E$6:$E293)</f>
        <v>288</v>
      </c>
      <c r="B293" s="346" t="s">
        <v>687</v>
      </c>
      <c r="C293" s="344" t="str">
        <f>+VLOOKUP(B293,'Erection Compiled'!$C$7:$D$650,2,FALSE)</f>
        <v>DA+3</v>
      </c>
      <c r="D293" s="602">
        <v>46042</v>
      </c>
      <c r="E293" s="602">
        <v>46042</v>
      </c>
      <c r="F293" s="344" t="s">
        <v>1026</v>
      </c>
      <c r="G293" s="344" t="s">
        <v>1028</v>
      </c>
      <c r="H293" s="344" t="s">
        <v>1028</v>
      </c>
    </row>
    <row r="294" spans="1:8" x14ac:dyDescent="0.25">
      <c r="A294" s="344">
        <f>+SUBTOTAL(3,$E$6:$E294)</f>
        <v>289</v>
      </c>
      <c r="B294" s="346" t="s">
        <v>212</v>
      </c>
      <c r="C294" s="344" t="str">
        <f>+VLOOKUP(B294,'Erection Compiled'!$C$7:$D$650,2,FALSE)</f>
        <v>DB1+6</v>
      </c>
      <c r="D294" s="602">
        <v>46043</v>
      </c>
      <c r="E294" s="602">
        <v>46043</v>
      </c>
      <c r="F294" s="344" t="s">
        <v>1026</v>
      </c>
      <c r="G294" s="344" t="s">
        <v>1028</v>
      </c>
      <c r="H294" s="344" t="s">
        <v>1028</v>
      </c>
    </row>
    <row r="295" spans="1:8" x14ac:dyDescent="0.25">
      <c r="A295" s="344">
        <f>+SUBTOTAL(3,$E$6:$E295)</f>
        <v>290</v>
      </c>
      <c r="B295" s="346" t="s">
        <v>213</v>
      </c>
      <c r="C295" s="344" t="str">
        <f>+VLOOKUP(B295,'Erection Compiled'!$C$7:$D$650,2,FALSE)</f>
        <v>DA+0</v>
      </c>
      <c r="D295" s="602">
        <v>46044</v>
      </c>
      <c r="E295" s="602">
        <v>46044</v>
      </c>
      <c r="F295" s="344" t="s">
        <v>1026</v>
      </c>
      <c r="G295" s="344" t="s">
        <v>1028</v>
      </c>
      <c r="H295" s="344" t="s">
        <v>1028</v>
      </c>
    </row>
    <row r="296" spans="1:8" x14ac:dyDescent="0.25">
      <c r="A296" s="344">
        <f>+SUBTOTAL(3,$E$6:$E296)</f>
        <v>291</v>
      </c>
      <c r="B296" s="346" t="s">
        <v>214</v>
      </c>
      <c r="C296" s="344" t="str">
        <f>+VLOOKUP(B296,'Erection Compiled'!$C$7:$D$650,2,FALSE)</f>
        <v>DA+0</v>
      </c>
      <c r="D296" s="602">
        <v>46045</v>
      </c>
      <c r="E296" s="602">
        <v>46045</v>
      </c>
      <c r="F296" s="344" t="s">
        <v>1026</v>
      </c>
      <c r="G296" s="344" t="s">
        <v>1028</v>
      </c>
      <c r="H296" s="344" t="s">
        <v>1028</v>
      </c>
    </row>
    <row r="297" spans="1:8" x14ac:dyDescent="0.25">
      <c r="A297" s="344">
        <f>+SUBTOTAL(3,$E$6:$E297)</f>
        <v>292</v>
      </c>
      <c r="B297" s="346" t="s">
        <v>30</v>
      </c>
      <c r="C297" s="344" t="str">
        <f>+VLOOKUP(B297,'Erection Compiled'!$C$7:$D$650,2,FALSE)</f>
        <v>DB2+0</v>
      </c>
      <c r="D297" s="602">
        <v>46046</v>
      </c>
      <c r="E297" s="602">
        <v>46046</v>
      </c>
      <c r="F297" s="344" t="s">
        <v>1026</v>
      </c>
      <c r="G297" s="344" t="s">
        <v>1028</v>
      </c>
      <c r="H297" s="344" t="s">
        <v>1028</v>
      </c>
    </row>
    <row r="298" spans="1:8" x14ac:dyDescent="0.25">
      <c r="A298" s="344">
        <f>+SUBTOTAL(3,$E$6:$E298)</f>
        <v>293</v>
      </c>
      <c r="B298" s="346" t="s">
        <v>85</v>
      </c>
      <c r="C298" s="344" t="str">
        <f>+VLOOKUP(B298,'Erection Compiled'!$C$7:$D$650,2,FALSE)</f>
        <v>DA+3</v>
      </c>
      <c r="D298" s="602">
        <v>46047</v>
      </c>
      <c r="E298" s="602">
        <v>46047</v>
      </c>
      <c r="F298" s="344" t="s">
        <v>1026</v>
      </c>
      <c r="G298" s="344" t="s">
        <v>1028</v>
      </c>
      <c r="H298" s="344" t="s">
        <v>1028</v>
      </c>
    </row>
    <row r="299" spans="1:8" x14ac:dyDescent="0.25">
      <c r="A299" s="344">
        <f>+SUBTOTAL(3,$E$6:$E299)</f>
        <v>294</v>
      </c>
      <c r="B299" s="346" t="s">
        <v>86</v>
      </c>
      <c r="C299" s="344" t="str">
        <f>+VLOOKUP(B299,'Erection Compiled'!$C$7:$D$650,2,FALSE)</f>
        <v>DA+0</v>
      </c>
      <c r="D299" s="602">
        <v>46049</v>
      </c>
      <c r="E299" s="602">
        <v>46049</v>
      </c>
      <c r="F299" s="344" t="s">
        <v>1026</v>
      </c>
      <c r="G299" s="344" t="s">
        <v>1028</v>
      </c>
      <c r="H299" s="344" t="s">
        <v>1028</v>
      </c>
    </row>
    <row r="300" spans="1:8" x14ac:dyDescent="0.25">
      <c r="A300" s="344">
        <f>+SUBTOTAL(3,$E$6:$E300)</f>
        <v>295</v>
      </c>
      <c r="B300" s="346" t="s">
        <v>553</v>
      </c>
      <c r="C300" s="344" t="str">
        <f>+VLOOKUP(B300,'Erection Compiled'!$C$7:$D$650,2,FALSE)</f>
        <v>DA+3</v>
      </c>
      <c r="D300" s="602">
        <v>46050</v>
      </c>
      <c r="E300" s="602">
        <v>46050</v>
      </c>
      <c r="F300" s="344" t="s">
        <v>1026</v>
      </c>
      <c r="G300" s="344" t="s">
        <v>1028</v>
      </c>
      <c r="H300" s="344" t="s">
        <v>1028</v>
      </c>
    </row>
    <row r="301" spans="1:8" x14ac:dyDescent="0.25">
      <c r="A301" s="344">
        <f>+SUBTOTAL(3,$E$6:$E301)</f>
        <v>296</v>
      </c>
      <c r="B301" s="346" t="s">
        <v>461</v>
      </c>
      <c r="C301" s="344" t="str">
        <f>+VLOOKUP(B301,'Erection Compiled'!$C$7:$D$650,2,FALSE)</f>
        <v>DA+3</v>
      </c>
      <c r="D301" s="602">
        <v>46054</v>
      </c>
      <c r="E301" s="602">
        <v>46054</v>
      </c>
      <c r="F301" s="344" t="s">
        <v>1633</v>
      </c>
      <c r="G301" s="344" t="s">
        <v>1028</v>
      </c>
      <c r="H301" s="344" t="s">
        <v>1028</v>
      </c>
    </row>
    <row r="302" spans="1:8" x14ac:dyDescent="0.25">
      <c r="A302" s="344">
        <f>+SUBTOTAL(3,$E$6:$E302)</f>
        <v>297</v>
      </c>
      <c r="B302" s="346" t="s">
        <v>462</v>
      </c>
      <c r="C302" s="344" t="str">
        <f>+VLOOKUP(B302,'Erection Compiled'!$C$7:$D$650,2,FALSE)</f>
        <v>DA+0</v>
      </c>
      <c r="D302" s="602">
        <v>46055</v>
      </c>
      <c r="E302" s="602">
        <v>46055</v>
      </c>
      <c r="F302" s="344" t="s">
        <v>1633</v>
      </c>
      <c r="G302" s="344" t="s">
        <v>1028</v>
      </c>
      <c r="H302" s="344" t="s">
        <v>1028</v>
      </c>
    </row>
    <row r="303" spans="1:8" x14ac:dyDescent="0.25">
      <c r="A303" s="344">
        <f>+SUBTOTAL(3,$E$6:$E303)</f>
        <v>298</v>
      </c>
      <c r="B303" s="346" t="s">
        <v>181</v>
      </c>
      <c r="C303" s="344" t="str">
        <f>+VLOOKUP(B303,'Erection Compiled'!$C$7:$D$650,2,FALSE)</f>
        <v>DA+0</v>
      </c>
      <c r="D303" s="602">
        <v>46055</v>
      </c>
      <c r="E303" s="602">
        <v>46055</v>
      </c>
      <c r="F303" s="344" t="s">
        <v>1669</v>
      </c>
      <c r="G303" s="344" t="s">
        <v>1028</v>
      </c>
      <c r="H303" s="344"/>
    </row>
    <row r="304" spans="1:8" x14ac:dyDescent="0.25">
      <c r="A304" s="344">
        <f>+SUBTOTAL(3,$E$6:$E304)</f>
        <v>299</v>
      </c>
      <c r="B304" s="346" t="s">
        <v>179</v>
      </c>
      <c r="C304" s="344" t="str">
        <f>+VLOOKUP(B304,'Erection Compiled'!$C$7:$D$650,2,FALSE)</f>
        <v>DA+3</v>
      </c>
      <c r="D304" s="602">
        <v>46055</v>
      </c>
      <c r="E304" s="602">
        <v>46055</v>
      </c>
      <c r="F304" s="344" t="s">
        <v>1669</v>
      </c>
      <c r="G304" s="344" t="s">
        <v>1028</v>
      </c>
      <c r="H304" s="344"/>
    </row>
    <row r="305" spans="1:8" x14ac:dyDescent="0.25">
      <c r="A305" s="344"/>
      <c r="B305" s="346"/>
      <c r="C305" s="344"/>
      <c r="D305" s="602"/>
      <c r="E305" s="602"/>
      <c r="F305" s="344"/>
      <c r="G305" s="344"/>
      <c r="H305" s="344"/>
    </row>
    <row r="306" spans="1:8" x14ac:dyDescent="0.25">
      <c r="A306" s="344"/>
      <c r="B306" s="344"/>
      <c r="C306" s="344"/>
      <c r="D306" s="344"/>
      <c r="E306" s="344"/>
      <c r="F306" s="344"/>
      <c r="G306" s="344"/>
      <c r="H306" s="344"/>
    </row>
    <row r="307" spans="1:8" x14ac:dyDescent="0.25">
      <c r="A307" s="397"/>
      <c r="B307" s="397"/>
      <c r="C307" s="397"/>
      <c r="D307" s="397"/>
      <c r="E307" s="397"/>
      <c r="F307" s="397"/>
      <c r="G307" s="397"/>
      <c r="H307" s="397"/>
    </row>
  </sheetData>
  <autoFilter ref="F1:F307"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0"/>
  <sheetViews>
    <sheetView workbookViewId="0">
      <pane ySplit="5" topLeftCell="A20" activePane="bottomLeft" state="frozen"/>
      <selection activeCell="N9" sqref="N9"/>
      <selection pane="bottomLeft" activeCell="A33" sqref="A33:XFD33"/>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62.42578125" style="398" bestFit="1" customWidth="1"/>
    <col min="14" max="14" width="9.140625" style="398"/>
    <col min="15" max="15" width="3" style="472" bestFit="1" customWidth="1"/>
    <col min="16" max="16384" width="9.140625" style="398"/>
  </cols>
  <sheetData>
    <row r="1" spans="1:14" x14ac:dyDescent="0.25">
      <c r="A1" s="410" t="s">
        <v>1264</v>
      </c>
    </row>
    <row r="2" spans="1:14" x14ac:dyDescent="0.25">
      <c r="A2" s="399" t="s">
        <v>1230</v>
      </c>
    </row>
    <row r="3" spans="1:14" ht="15" customHeight="1" x14ac:dyDescent="0.25">
      <c r="A3" s="918" t="s">
        <v>12</v>
      </c>
      <c r="B3" s="918"/>
      <c r="C3" s="918"/>
      <c r="D3" s="918"/>
      <c r="E3" s="918"/>
      <c r="F3" s="918"/>
      <c r="G3" s="918"/>
      <c r="H3" s="918"/>
      <c r="I3" s="918"/>
      <c r="J3" s="918"/>
      <c r="K3" s="918"/>
      <c r="L3" s="918"/>
      <c r="M3" s="918"/>
      <c r="N3" s="918"/>
    </row>
    <row r="4" spans="1:14" ht="15" customHeight="1" x14ac:dyDescent="0.25">
      <c r="A4" s="922" t="s">
        <v>22</v>
      </c>
      <c r="B4" s="922" t="s">
        <v>13</v>
      </c>
      <c r="C4" s="922"/>
      <c r="D4" s="922" t="s">
        <v>120</v>
      </c>
      <c r="E4" s="922" t="s">
        <v>7</v>
      </c>
      <c r="F4" s="922" t="s">
        <v>14</v>
      </c>
      <c r="G4" s="923" t="s">
        <v>1401</v>
      </c>
      <c r="H4" s="923"/>
      <c r="I4" s="923"/>
      <c r="J4" s="919" t="s">
        <v>11</v>
      </c>
      <c r="K4" s="920"/>
      <c r="L4" s="920"/>
      <c r="M4" s="920"/>
      <c r="N4" s="921"/>
    </row>
    <row r="5" spans="1:14" ht="25.5" x14ac:dyDescent="0.25">
      <c r="A5" s="922"/>
      <c r="B5" s="470" t="s">
        <v>118</v>
      </c>
      <c r="C5" s="469" t="s">
        <v>119</v>
      </c>
      <c r="D5" s="922"/>
      <c r="E5" s="922"/>
      <c r="F5" s="922"/>
      <c r="G5" s="469" t="s">
        <v>14</v>
      </c>
      <c r="H5" s="469" t="s">
        <v>6</v>
      </c>
      <c r="I5" s="469" t="s">
        <v>5</v>
      </c>
      <c r="J5" s="469" t="s">
        <v>14</v>
      </c>
      <c r="K5" s="469" t="s">
        <v>6</v>
      </c>
      <c r="L5" s="469" t="s">
        <v>5</v>
      </c>
      <c r="M5" s="469" t="s">
        <v>9</v>
      </c>
      <c r="N5" s="469" t="s">
        <v>1161</v>
      </c>
    </row>
    <row r="6" spans="1:14" x14ac:dyDescent="0.25">
      <c r="A6" s="400">
        <v>1</v>
      </c>
      <c r="B6" s="400" t="s">
        <v>97</v>
      </c>
      <c r="C6" s="400" t="s">
        <v>98</v>
      </c>
      <c r="D6" s="400" t="s">
        <v>1035</v>
      </c>
      <c r="E6" s="401" t="s">
        <v>1031</v>
      </c>
      <c r="F6" s="762">
        <v>4.8769999999999998</v>
      </c>
      <c r="G6" s="400">
        <f t="shared" ref="G6:G32" si="0">F6</f>
        <v>4.8769999999999998</v>
      </c>
      <c r="H6" s="402">
        <v>45525</v>
      </c>
      <c r="I6" s="402">
        <v>45532</v>
      </c>
      <c r="J6" s="400">
        <f>G6</f>
        <v>4.8769999999999998</v>
      </c>
      <c r="K6" s="402">
        <v>45544</v>
      </c>
      <c r="L6" s="402">
        <v>45551</v>
      </c>
      <c r="M6" s="403" t="s">
        <v>1034</v>
      </c>
      <c r="N6" s="404">
        <v>45536</v>
      </c>
    </row>
    <row r="7" spans="1:14" x14ac:dyDescent="0.25">
      <c r="A7" s="405">
        <v>2</v>
      </c>
      <c r="B7" s="405" t="s">
        <v>98</v>
      </c>
      <c r="C7" s="405" t="s">
        <v>99</v>
      </c>
      <c r="D7" s="405" t="s">
        <v>1035</v>
      </c>
      <c r="E7" s="406" t="s">
        <v>1031</v>
      </c>
      <c r="F7" s="713">
        <v>4.5679999999999996</v>
      </c>
      <c r="G7" s="405">
        <f t="shared" si="0"/>
        <v>4.5679999999999996</v>
      </c>
      <c r="H7" s="407">
        <v>45541</v>
      </c>
      <c r="I7" s="407">
        <v>45551</v>
      </c>
      <c r="J7" s="405">
        <f t="shared" ref="J7:J17" si="1">G7</f>
        <v>4.5679999999999996</v>
      </c>
      <c r="K7" s="407">
        <v>45561</v>
      </c>
      <c r="L7" s="407">
        <v>45568</v>
      </c>
      <c r="M7" s="408" t="s">
        <v>1034</v>
      </c>
      <c r="N7" s="404">
        <v>45566</v>
      </c>
    </row>
    <row r="8" spans="1:14" x14ac:dyDescent="0.25">
      <c r="A8" s="405">
        <v>3</v>
      </c>
      <c r="B8" s="405" t="s">
        <v>99</v>
      </c>
      <c r="C8" s="405" t="s">
        <v>100</v>
      </c>
      <c r="D8" s="405" t="s">
        <v>1035</v>
      </c>
      <c r="E8" s="406" t="s">
        <v>1031</v>
      </c>
      <c r="F8" s="713">
        <v>4.8630000000000004</v>
      </c>
      <c r="G8" s="405">
        <f t="shared" si="0"/>
        <v>4.8630000000000004</v>
      </c>
      <c r="H8" s="407">
        <v>45558</v>
      </c>
      <c r="I8" s="407">
        <v>45567</v>
      </c>
      <c r="J8" s="405">
        <f t="shared" si="1"/>
        <v>4.8630000000000004</v>
      </c>
      <c r="K8" s="407">
        <v>45582</v>
      </c>
      <c r="L8" s="407">
        <v>45587</v>
      </c>
      <c r="M8" s="408" t="s">
        <v>1034</v>
      </c>
      <c r="N8" s="404">
        <v>45566</v>
      </c>
    </row>
    <row r="9" spans="1:14" x14ac:dyDescent="0.25">
      <c r="A9" s="405">
        <v>4</v>
      </c>
      <c r="B9" s="405" t="s">
        <v>100</v>
      </c>
      <c r="C9" s="405" t="s">
        <v>809</v>
      </c>
      <c r="D9" s="405" t="s">
        <v>1035</v>
      </c>
      <c r="E9" s="406" t="s">
        <v>1031</v>
      </c>
      <c r="F9" s="713">
        <v>3.7109999999999999</v>
      </c>
      <c r="G9" s="405">
        <f t="shared" si="0"/>
        <v>3.7109999999999999</v>
      </c>
      <c r="H9" s="407">
        <v>45579</v>
      </c>
      <c r="I9" s="407">
        <v>45586</v>
      </c>
      <c r="J9" s="405">
        <f t="shared" si="1"/>
        <v>3.7109999999999999</v>
      </c>
      <c r="K9" s="407">
        <v>45596</v>
      </c>
      <c r="L9" s="407">
        <v>45602</v>
      </c>
      <c r="M9" s="406" t="s">
        <v>1034</v>
      </c>
      <c r="N9" s="404">
        <v>45597</v>
      </c>
    </row>
    <row r="10" spans="1:14" x14ac:dyDescent="0.25">
      <c r="A10" s="405">
        <v>5</v>
      </c>
      <c r="B10" s="405" t="s">
        <v>809</v>
      </c>
      <c r="C10" s="405" t="s">
        <v>821</v>
      </c>
      <c r="D10" s="405" t="s">
        <v>1035</v>
      </c>
      <c r="E10" s="406" t="s">
        <v>1031</v>
      </c>
      <c r="F10" s="713">
        <v>4.9180000000000001</v>
      </c>
      <c r="G10" s="607">
        <f t="shared" si="0"/>
        <v>4.9180000000000001</v>
      </c>
      <c r="H10" s="407">
        <v>45595</v>
      </c>
      <c r="I10" s="407">
        <v>45601</v>
      </c>
      <c r="J10" s="607">
        <f t="shared" si="1"/>
        <v>4.9180000000000001</v>
      </c>
      <c r="K10" s="407">
        <v>45609</v>
      </c>
      <c r="L10" s="407">
        <v>45612</v>
      </c>
      <c r="M10" s="406" t="s">
        <v>1034</v>
      </c>
      <c r="N10" s="404">
        <v>45597</v>
      </c>
    </row>
    <row r="11" spans="1:14" x14ac:dyDescent="0.25">
      <c r="A11" s="405">
        <v>6</v>
      </c>
      <c r="B11" s="405" t="s">
        <v>760</v>
      </c>
      <c r="C11" s="405" t="s">
        <v>97</v>
      </c>
      <c r="D11" s="405" t="s">
        <v>1035</v>
      </c>
      <c r="E11" s="406" t="s">
        <v>1032</v>
      </c>
      <c r="F11" s="713">
        <v>3.778</v>
      </c>
      <c r="G11" s="607">
        <f t="shared" si="0"/>
        <v>3.778</v>
      </c>
      <c r="H11" s="407">
        <v>45648</v>
      </c>
      <c r="I11" s="407">
        <v>45653</v>
      </c>
      <c r="J11" s="607">
        <f t="shared" si="1"/>
        <v>3.778</v>
      </c>
      <c r="K11" s="407">
        <v>45661</v>
      </c>
      <c r="L11" s="407">
        <v>45666</v>
      </c>
      <c r="M11" s="406" t="s">
        <v>1034</v>
      </c>
      <c r="N11" s="404">
        <v>45658</v>
      </c>
    </row>
    <row r="12" spans="1:14" x14ac:dyDescent="0.25">
      <c r="A12" s="405">
        <v>7</v>
      </c>
      <c r="B12" s="405" t="s">
        <v>35</v>
      </c>
      <c r="C12" s="405" t="s">
        <v>760</v>
      </c>
      <c r="D12" s="405" t="s">
        <v>1035</v>
      </c>
      <c r="E12" s="406" t="s">
        <v>1032</v>
      </c>
      <c r="F12" s="713">
        <v>3.3370000000000002</v>
      </c>
      <c r="G12" s="607">
        <f t="shared" si="0"/>
        <v>3.3370000000000002</v>
      </c>
      <c r="H12" s="407">
        <v>45659</v>
      </c>
      <c r="I12" s="407">
        <v>45665</v>
      </c>
      <c r="J12" s="607">
        <f t="shared" si="1"/>
        <v>3.3370000000000002</v>
      </c>
      <c r="K12" s="407">
        <v>45669</v>
      </c>
      <c r="L12" s="407">
        <v>45672</v>
      </c>
      <c r="M12" s="406" t="s">
        <v>1034</v>
      </c>
      <c r="N12" s="404">
        <v>45658</v>
      </c>
    </row>
    <row r="13" spans="1:14" x14ac:dyDescent="0.25">
      <c r="A13" s="405">
        <v>8</v>
      </c>
      <c r="B13" s="405" t="s">
        <v>821</v>
      </c>
      <c r="C13" s="405" t="s">
        <v>101</v>
      </c>
      <c r="D13" s="405" t="s">
        <v>1035</v>
      </c>
      <c r="E13" s="406" t="s">
        <v>1033</v>
      </c>
      <c r="F13" s="713">
        <v>4.7359999999999998</v>
      </c>
      <c r="G13" s="607">
        <f t="shared" si="0"/>
        <v>4.7359999999999998</v>
      </c>
      <c r="H13" s="407">
        <v>45691</v>
      </c>
      <c r="I13" s="407">
        <v>45738</v>
      </c>
      <c r="J13" s="607">
        <f t="shared" si="1"/>
        <v>4.7359999999999998</v>
      </c>
      <c r="K13" s="407">
        <v>45726</v>
      </c>
      <c r="L13" s="407">
        <v>45739</v>
      </c>
      <c r="M13" s="406" t="s">
        <v>1034</v>
      </c>
      <c r="N13" s="404">
        <v>45717</v>
      </c>
    </row>
    <row r="14" spans="1:14" x14ac:dyDescent="0.25">
      <c r="A14" s="405">
        <v>9</v>
      </c>
      <c r="B14" s="405" t="s">
        <v>1030</v>
      </c>
      <c r="C14" s="405" t="s">
        <v>710</v>
      </c>
      <c r="D14" s="405" t="s">
        <v>1035</v>
      </c>
      <c r="E14" s="406" t="s">
        <v>1032</v>
      </c>
      <c r="F14" s="713">
        <v>4.444</v>
      </c>
      <c r="G14" s="607">
        <f t="shared" si="0"/>
        <v>4.444</v>
      </c>
      <c r="H14" s="407">
        <v>45728</v>
      </c>
      <c r="I14" s="407">
        <v>45739</v>
      </c>
      <c r="J14" s="607">
        <f t="shared" si="1"/>
        <v>4.444</v>
      </c>
      <c r="K14" s="407">
        <v>45733</v>
      </c>
      <c r="L14" s="407">
        <v>45740</v>
      </c>
      <c r="M14" s="406" t="s">
        <v>1034</v>
      </c>
      <c r="N14" s="404">
        <v>45717</v>
      </c>
    </row>
    <row r="15" spans="1:14" x14ac:dyDescent="0.25">
      <c r="A15" s="405">
        <v>10</v>
      </c>
      <c r="B15" s="405" t="s">
        <v>91</v>
      </c>
      <c r="C15" s="405" t="s">
        <v>92</v>
      </c>
      <c r="D15" s="405" t="s">
        <v>1035</v>
      </c>
      <c r="E15" s="406" t="s">
        <v>1032</v>
      </c>
      <c r="F15" s="713">
        <v>3.2269999999999999</v>
      </c>
      <c r="G15" s="607">
        <f t="shared" si="0"/>
        <v>3.2269999999999999</v>
      </c>
      <c r="H15" s="407">
        <v>45694</v>
      </c>
      <c r="I15" s="407">
        <v>45707</v>
      </c>
      <c r="J15" s="607">
        <f t="shared" si="1"/>
        <v>3.2269999999999999</v>
      </c>
      <c r="K15" s="407">
        <v>45778</v>
      </c>
      <c r="L15" s="407">
        <v>45782</v>
      </c>
      <c r="M15" s="406" t="s">
        <v>1034</v>
      </c>
      <c r="N15" s="404">
        <v>45778</v>
      </c>
    </row>
    <row r="16" spans="1:14" x14ac:dyDescent="0.25">
      <c r="A16" s="405">
        <v>11</v>
      </c>
      <c r="B16" s="405" t="s">
        <v>710</v>
      </c>
      <c r="C16" s="405" t="s">
        <v>713</v>
      </c>
      <c r="D16" s="405" t="s">
        <v>1035</v>
      </c>
      <c r="E16" s="406" t="s">
        <v>1032</v>
      </c>
      <c r="F16" s="713">
        <v>1.0489999999999999</v>
      </c>
      <c r="G16" s="607">
        <f t="shared" si="0"/>
        <v>1.0489999999999999</v>
      </c>
      <c r="H16" s="407">
        <v>45749</v>
      </c>
      <c r="I16" s="407">
        <v>45755</v>
      </c>
      <c r="J16" s="607">
        <f t="shared" si="1"/>
        <v>1.0489999999999999</v>
      </c>
      <c r="K16" s="407">
        <v>45751</v>
      </c>
      <c r="L16" s="407">
        <v>45756</v>
      </c>
      <c r="M16" s="406" t="s">
        <v>1034</v>
      </c>
      <c r="N16" s="404">
        <v>45748</v>
      </c>
    </row>
    <row r="17" spans="1:15" ht="14.25" customHeight="1" x14ac:dyDescent="0.25">
      <c r="A17" s="405">
        <v>11</v>
      </c>
      <c r="B17" s="478" t="s">
        <v>856</v>
      </c>
      <c r="C17" s="478" t="s">
        <v>866</v>
      </c>
      <c r="D17" s="405" t="s">
        <v>1035</v>
      </c>
      <c r="E17" s="670" t="s">
        <v>1591</v>
      </c>
      <c r="F17" s="713">
        <v>3.7879999999999998</v>
      </c>
      <c r="G17" s="607">
        <f t="shared" si="0"/>
        <v>3.7879999999999998</v>
      </c>
      <c r="H17" s="407">
        <v>45809</v>
      </c>
      <c r="I17" s="407">
        <v>45829</v>
      </c>
      <c r="J17" s="607">
        <f t="shared" si="1"/>
        <v>3.7879999999999998</v>
      </c>
      <c r="K17" s="407">
        <v>45926</v>
      </c>
      <c r="L17" s="407">
        <v>45930</v>
      </c>
      <c r="M17" s="406" t="s">
        <v>1034</v>
      </c>
      <c r="N17" s="404">
        <v>45901</v>
      </c>
    </row>
    <row r="18" spans="1:15" x14ac:dyDescent="0.25">
      <c r="A18" s="405">
        <v>12</v>
      </c>
      <c r="B18" s="478" t="s">
        <v>853</v>
      </c>
      <c r="C18" s="405" t="s">
        <v>856</v>
      </c>
      <c r="D18" s="405" t="s">
        <v>1035</v>
      </c>
      <c r="E18" s="670" t="s">
        <v>1591</v>
      </c>
      <c r="F18" s="713">
        <v>1.6279999999999999</v>
      </c>
      <c r="G18" s="607">
        <f t="shared" si="0"/>
        <v>1.6279999999999999</v>
      </c>
      <c r="H18" s="407">
        <v>45964</v>
      </c>
      <c r="I18" s="407">
        <v>45969</v>
      </c>
      <c r="J18" s="607">
        <f>G18</f>
        <v>1.6279999999999999</v>
      </c>
      <c r="K18" s="407">
        <v>45982</v>
      </c>
      <c r="L18" s="407">
        <v>45986</v>
      </c>
      <c r="M18" s="670" t="s">
        <v>1636</v>
      </c>
      <c r="N18" s="404">
        <v>45962</v>
      </c>
    </row>
    <row r="19" spans="1:15" x14ac:dyDescent="0.25">
      <c r="A19" s="405">
        <v>13</v>
      </c>
      <c r="B19" s="478" t="s">
        <v>446</v>
      </c>
      <c r="C19" s="478" t="s">
        <v>38</v>
      </c>
      <c r="D19" s="405" t="s">
        <v>1035</v>
      </c>
      <c r="E19" s="406" t="s">
        <v>1624</v>
      </c>
      <c r="F19" s="785">
        <v>3.823</v>
      </c>
      <c r="G19" s="607">
        <f t="shared" si="0"/>
        <v>3.823</v>
      </c>
      <c r="H19" s="407">
        <v>45974</v>
      </c>
      <c r="I19" s="407">
        <v>45979</v>
      </c>
      <c r="J19" s="607">
        <f>G19</f>
        <v>3.823</v>
      </c>
      <c r="K19" s="407">
        <v>46021</v>
      </c>
      <c r="L19" s="407">
        <v>46036</v>
      </c>
      <c r="M19" s="670" t="s">
        <v>1636</v>
      </c>
      <c r="N19" s="404">
        <v>46023</v>
      </c>
      <c r="O19" s="472">
        <v>42</v>
      </c>
    </row>
    <row r="20" spans="1:15" x14ac:dyDescent="0.25">
      <c r="A20" s="405">
        <v>14</v>
      </c>
      <c r="B20" s="478" t="s">
        <v>106</v>
      </c>
      <c r="C20" s="405" t="s">
        <v>853</v>
      </c>
      <c r="D20" s="405" t="s">
        <v>1035</v>
      </c>
      <c r="E20" s="670" t="s">
        <v>1621</v>
      </c>
      <c r="F20" s="713">
        <v>3.6749999999999998</v>
      </c>
      <c r="G20" s="607">
        <f t="shared" si="0"/>
        <v>3.6749999999999998</v>
      </c>
      <c r="H20" s="407">
        <v>45981</v>
      </c>
      <c r="I20" s="407">
        <v>45986</v>
      </c>
      <c r="J20" s="607">
        <f>G20</f>
        <v>3.6749999999999998</v>
      </c>
      <c r="K20" s="407">
        <v>45989</v>
      </c>
      <c r="L20" s="407">
        <v>45991</v>
      </c>
      <c r="M20" s="406" t="s">
        <v>908</v>
      </c>
      <c r="N20" s="404">
        <v>45962</v>
      </c>
      <c r="O20" s="472">
        <v>62</v>
      </c>
    </row>
    <row r="21" spans="1:15" x14ac:dyDescent="0.25">
      <c r="A21" s="405">
        <v>15</v>
      </c>
      <c r="B21" s="478" t="s">
        <v>627</v>
      </c>
      <c r="C21" s="478" t="s">
        <v>446</v>
      </c>
      <c r="D21" s="405" t="s">
        <v>1035</v>
      </c>
      <c r="E21" s="406" t="s">
        <v>1624</v>
      </c>
      <c r="F21" s="713">
        <v>3.4260000000000002</v>
      </c>
      <c r="G21" s="607">
        <f t="shared" si="0"/>
        <v>3.4260000000000002</v>
      </c>
      <c r="H21" s="407">
        <v>45982</v>
      </c>
      <c r="I21" s="407">
        <v>45989</v>
      </c>
      <c r="J21" s="607">
        <f>G21</f>
        <v>3.4260000000000002</v>
      </c>
      <c r="K21" s="407">
        <v>45989</v>
      </c>
      <c r="L21" s="407">
        <v>45991</v>
      </c>
      <c r="M21" s="406" t="s">
        <v>908</v>
      </c>
      <c r="N21" s="404">
        <v>45962</v>
      </c>
      <c r="O21" s="472">
        <v>54</v>
      </c>
    </row>
    <row r="22" spans="1:15" x14ac:dyDescent="0.25">
      <c r="A22" s="405">
        <v>16</v>
      </c>
      <c r="B22" s="405" t="s">
        <v>105</v>
      </c>
      <c r="C22" s="405" t="s">
        <v>106</v>
      </c>
      <c r="D22" s="405" t="s">
        <v>1035</v>
      </c>
      <c r="E22" s="670" t="s">
        <v>1621</v>
      </c>
      <c r="F22" s="713">
        <v>4.9660000000000002</v>
      </c>
      <c r="G22" s="607">
        <f t="shared" si="0"/>
        <v>4.9660000000000002</v>
      </c>
      <c r="H22" s="407">
        <v>45999</v>
      </c>
      <c r="I22" s="407">
        <v>46007</v>
      </c>
      <c r="J22" s="607">
        <f>G22</f>
        <v>4.9660000000000002</v>
      </c>
      <c r="K22" s="777">
        <v>46003</v>
      </c>
      <c r="L22" s="777">
        <v>46008</v>
      </c>
      <c r="M22" s="670" t="s">
        <v>1650</v>
      </c>
      <c r="N22" s="404">
        <v>45992</v>
      </c>
      <c r="O22" s="472">
        <v>62</v>
      </c>
    </row>
    <row r="23" spans="1:15" x14ac:dyDescent="0.25">
      <c r="A23" s="405">
        <v>17</v>
      </c>
      <c r="B23" s="478" t="s">
        <v>93</v>
      </c>
      <c r="C23" s="405" t="s">
        <v>94</v>
      </c>
      <c r="D23" s="405" t="s">
        <v>1635</v>
      </c>
      <c r="E23" s="670" t="s">
        <v>1641</v>
      </c>
      <c r="F23" s="713">
        <v>0.22</v>
      </c>
      <c r="G23" s="607">
        <f t="shared" si="0"/>
        <v>0.22</v>
      </c>
      <c r="H23" s="407">
        <f>I23-6</f>
        <v>45981</v>
      </c>
      <c r="I23" s="407">
        <v>45987</v>
      </c>
      <c r="J23" s="607">
        <f t="shared" ref="J23:J32" si="2">G23</f>
        <v>0.22</v>
      </c>
      <c r="K23" s="407">
        <f>L23-6</f>
        <v>45981</v>
      </c>
      <c r="L23" s="407">
        <v>45987</v>
      </c>
      <c r="M23" s="406" t="s">
        <v>1636</v>
      </c>
      <c r="N23" s="404">
        <v>45962</v>
      </c>
    </row>
    <row r="24" spans="1:15" x14ac:dyDescent="0.25">
      <c r="A24" s="405">
        <v>18</v>
      </c>
      <c r="B24" s="478" t="s">
        <v>89</v>
      </c>
      <c r="C24" s="405" t="s">
        <v>90</v>
      </c>
      <c r="D24" s="405" t="s">
        <v>1635</v>
      </c>
      <c r="E24" s="670" t="s">
        <v>1641</v>
      </c>
      <c r="F24" s="713">
        <v>0.19908000000000001</v>
      </c>
      <c r="G24" s="607">
        <f t="shared" si="0"/>
        <v>0.19908000000000001</v>
      </c>
      <c r="H24" s="407">
        <v>45997</v>
      </c>
      <c r="I24" s="407">
        <v>46002</v>
      </c>
      <c r="J24" s="607">
        <f t="shared" si="2"/>
        <v>0.19908000000000001</v>
      </c>
      <c r="K24" s="407">
        <v>45997</v>
      </c>
      <c r="L24" s="407">
        <v>46002</v>
      </c>
      <c r="M24" s="670" t="s">
        <v>1636</v>
      </c>
      <c r="N24" s="404">
        <v>45992</v>
      </c>
      <c r="O24" s="472">
        <v>18</v>
      </c>
    </row>
    <row r="25" spans="1:15" x14ac:dyDescent="0.25">
      <c r="A25" s="405">
        <v>19</v>
      </c>
      <c r="B25" s="478" t="s">
        <v>104</v>
      </c>
      <c r="C25" s="405" t="s">
        <v>105</v>
      </c>
      <c r="D25" s="405" t="s">
        <v>1035</v>
      </c>
      <c r="E25" s="670" t="s">
        <v>1621</v>
      </c>
      <c r="F25" s="713">
        <v>0.76900000000000002</v>
      </c>
      <c r="G25" s="607">
        <f t="shared" si="0"/>
        <v>0.76900000000000002</v>
      </c>
      <c r="H25" s="407">
        <v>46009</v>
      </c>
      <c r="I25" s="407">
        <v>46015</v>
      </c>
      <c r="J25" s="607">
        <f t="shared" si="2"/>
        <v>0.76900000000000002</v>
      </c>
      <c r="K25" s="407">
        <v>46012</v>
      </c>
      <c r="L25" s="407">
        <v>46016</v>
      </c>
      <c r="M25" s="670" t="s">
        <v>1658</v>
      </c>
      <c r="N25" s="404">
        <v>45992</v>
      </c>
    </row>
    <row r="26" spans="1:15" x14ac:dyDescent="0.25">
      <c r="A26" s="405">
        <v>20</v>
      </c>
      <c r="B26" s="478" t="s">
        <v>102</v>
      </c>
      <c r="C26" s="405" t="s">
        <v>103</v>
      </c>
      <c r="D26" s="405" t="s">
        <v>1035</v>
      </c>
      <c r="E26" s="670" t="s">
        <v>1621</v>
      </c>
      <c r="F26" s="785">
        <v>1.0609999999999999</v>
      </c>
      <c r="G26" s="607">
        <f t="shared" si="0"/>
        <v>1.0609999999999999</v>
      </c>
      <c r="H26" s="407">
        <v>46017</v>
      </c>
      <c r="I26" s="407">
        <v>46019</v>
      </c>
      <c r="J26" s="607">
        <f t="shared" si="2"/>
        <v>1.0609999999999999</v>
      </c>
      <c r="K26" s="407">
        <v>46028</v>
      </c>
      <c r="L26" s="407">
        <v>46030</v>
      </c>
      <c r="M26" s="670" t="s">
        <v>1654</v>
      </c>
      <c r="N26" s="404">
        <v>46023</v>
      </c>
    </row>
    <row r="27" spans="1:15" x14ac:dyDescent="0.25">
      <c r="A27" s="405">
        <v>21</v>
      </c>
      <c r="B27" s="478" t="s">
        <v>103</v>
      </c>
      <c r="C27" s="405" t="s">
        <v>104</v>
      </c>
      <c r="D27" s="405" t="s">
        <v>1635</v>
      </c>
      <c r="E27" s="670" t="s">
        <v>1621</v>
      </c>
      <c r="F27" s="713">
        <v>0.2</v>
      </c>
      <c r="G27" s="607">
        <f t="shared" si="0"/>
        <v>0.2</v>
      </c>
      <c r="H27" s="407">
        <v>46020</v>
      </c>
      <c r="I27" s="407">
        <v>46020</v>
      </c>
      <c r="J27" s="607">
        <f t="shared" si="2"/>
        <v>0.2</v>
      </c>
      <c r="K27" s="407">
        <v>46020</v>
      </c>
      <c r="L27" s="407">
        <v>46020</v>
      </c>
      <c r="M27" s="670" t="s">
        <v>1636</v>
      </c>
      <c r="N27" s="404">
        <v>45992</v>
      </c>
    </row>
    <row r="28" spans="1:15" x14ac:dyDescent="0.25">
      <c r="A28" s="405">
        <v>22</v>
      </c>
      <c r="B28" s="478" t="s">
        <v>101</v>
      </c>
      <c r="C28" s="405" t="s">
        <v>102</v>
      </c>
      <c r="D28" s="405" t="s">
        <v>1635</v>
      </c>
      <c r="E28" s="670" t="s">
        <v>1621</v>
      </c>
      <c r="F28" s="785">
        <v>0.20780000000000001</v>
      </c>
      <c r="G28" s="607">
        <f t="shared" si="0"/>
        <v>0.20780000000000001</v>
      </c>
      <c r="H28" s="407">
        <v>46025</v>
      </c>
      <c r="I28" s="407">
        <v>46025</v>
      </c>
      <c r="J28" s="607">
        <f t="shared" si="2"/>
        <v>0.20780000000000001</v>
      </c>
      <c r="K28" s="407">
        <v>46025</v>
      </c>
      <c r="L28" s="407">
        <v>46025</v>
      </c>
      <c r="M28" s="670" t="s">
        <v>1636</v>
      </c>
      <c r="N28" s="404">
        <v>46023</v>
      </c>
    </row>
    <row r="29" spans="1:15" x14ac:dyDescent="0.25">
      <c r="A29" s="405">
        <v>23</v>
      </c>
      <c r="B29" s="478" t="s">
        <v>38</v>
      </c>
      <c r="C29" s="405" t="s">
        <v>39</v>
      </c>
      <c r="D29" s="405" t="s">
        <v>1635</v>
      </c>
      <c r="E29" s="670" t="s">
        <v>1641</v>
      </c>
      <c r="F29" s="785">
        <v>0.22650000000000001</v>
      </c>
      <c r="G29" s="607">
        <f t="shared" si="0"/>
        <v>0.22650000000000001</v>
      </c>
      <c r="H29" s="407">
        <v>46032</v>
      </c>
      <c r="I29" s="407">
        <v>46038</v>
      </c>
      <c r="J29" s="607">
        <f t="shared" si="2"/>
        <v>0.22650000000000001</v>
      </c>
      <c r="K29" s="407">
        <v>46033</v>
      </c>
      <c r="L29" s="407">
        <v>46038</v>
      </c>
      <c r="M29" s="670" t="s">
        <v>1636</v>
      </c>
      <c r="N29" s="404">
        <v>46023</v>
      </c>
    </row>
    <row r="30" spans="1:15" s="784" customFormat="1" x14ac:dyDescent="0.25">
      <c r="A30" s="778">
        <v>24</v>
      </c>
      <c r="B30" s="779" t="s">
        <v>94</v>
      </c>
      <c r="C30" s="778" t="s">
        <v>95</v>
      </c>
      <c r="D30" s="778" t="s">
        <v>1035</v>
      </c>
      <c r="E30" s="780" t="s">
        <v>1621</v>
      </c>
      <c r="F30" s="781">
        <v>3.2869999999999999</v>
      </c>
      <c r="G30" s="607">
        <f t="shared" si="0"/>
        <v>3.2869999999999999</v>
      </c>
      <c r="H30" s="708">
        <v>46041</v>
      </c>
      <c r="I30" s="708">
        <v>46046</v>
      </c>
      <c r="J30" s="607">
        <f t="shared" si="2"/>
        <v>3.2869999999999999</v>
      </c>
      <c r="K30" s="708">
        <v>46051</v>
      </c>
      <c r="L30" s="708">
        <v>46053</v>
      </c>
      <c r="M30" s="670" t="s">
        <v>1636</v>
      </c>
      <c r="N30" s="404">
        <v>46023</v>
      </c>
      <c r="O30" s="783"/>
    </row>
    <row r="31" spans="1:15" s="784" customFormat="1" x14ac:dyDescent="0.25">
      <c r="A31" s="778">
        <v>25</v>
      </c>
      <c r="B31" s="779" t="s">
        <v>164</v>
      </c>
      <c r="C31" s="779" t="s">
        <v>476</v>
      </c>
      <c r="D31" s="778" t="s">
        <v>1035</v>
      </c>
      <c r="E31" s="780" t="s">
        <v>1660</v>
      </c>
      <c r="F31" s="781">
        <v>4.95</v>
      </c>
      <c r="G31" s="607">
        <f t="shared" si="0"/>
        <v>4.95</v>
      </c>
      <c r="H31" s="708">
        <v>46036</v>
      </c>
      <c r="I31" s="708">
        <v>46044</v>
      </c>
      <c r="J31" s="778"/>
      <c r="K31" s="708"/>
      <c r="L31" s="708"/>
      <c r="M31" s="780" t="s">
        <v>1739</v>
      </c>
      <c r="N31" s="782"/>
      <c r="O31" s="783"/>
    </row>
    <row r="32" spans="1:15" s="784" customFormat="1" x14ac:dyDescent="0.25">
      <c r="A32" s="778">
        <v>26</v>
      </c>
      <c r="B32" s="779" t="s">
        <v>90</v>
      </c>
      <c r="C32" s="778" t="s">
        <v>691</v>
      </c>
      <c r="D32" s="778" t="s">
        <v>1035</v>
      </c>
      <c r="E32" s="780" t="s">
        <v>1680</v>
      </c>
      <c r="F32" s="781">
        <v>4.4770000000000003</v>
      </c>
      <c r="G32" s="607">
        <f t="shared" si="0"/>
        <v>4.4770000000000003</v>
      </c>
      <c r="H32" s="708">
        <v>46048</v>
      </c>
      <c r="I32" s="708">
        <v>46053</v>
      </c>
      <c r="J32" s="607">
        <f t="shared" si="2"/>
        <v>4.4770000000000003</v>
      </c>
      <c r="K32" s="708">
        <v>46050</v>
      </c>
      <c r="L32" s="708">
        <v>46053</v>
      </c>
      <c r="M32" s="670" t="s">
        <v>1636</v>
      </c>
      <c r="N32" s="404">
        <v>46023</v>
      </c>
      <c r="O32" s="783"/>
    </row>
    <row r="33" spans="1:15" s="784" customFormat="1" x14ac:dyDescent="0.25">
      <c r="A33" s="778">
        <v>27</v>
      </c>
      <c r="B33" s="779" t="s">
        <v>739</v>
      </c>
      <c r="C33" s="778" t="s">
        <v>93</v>
      </c>
      <c r="D33" s="778" t="s">
        <v>1035</v>
      </c>
      <c r="E33" s="780" t="s">
        <v>1621</v>
      </c>
      <c r="F33" s="781">
        <v>3.34</v>
      </c>
      <c r="G33" s="714"/>
      <c r="H33" s="708"/>
      <c r="I33" s="708"/>
      <c r="J33" s="778"/>
      <c r="K33" s="708"/>
      <c r="L33" s="708"/>
      <c r="M33" s="780" t="s">
        <v>1683</v>
      </c>
      <c r="N33" s="782"/>
      <c r="O33" s="783"/>
    </row>
    <row r="34" spans="1:15" s="784" customFormat="1" x14ac:dyDescent="0.25">
      <c r="A34" s="778">
        <v>28</v>
      </c>
      <c r="B34" s="779" t="s">
        <v>691</v>
      </c>
      <c r="C34" s="778" t="s">
        <v>91</v>
      </c>
      <c r="D34" s="778" t="s">
        <v>1035</v>
      </c>
      <c r="E34" s="780" t="s">
        <v>1680</v>
      </c>
      <c r="F34" s="781">
        <v>0.83</v>
      </c>
      <c r="G34" s="714">
        <f t="shared" ref="G34:G35" si="3">F34</f>
        <v>0.83</v>
      </c>
      <c r="H34" s="708">
        <v>46039</v>
      </c>
      <c r="I34" s="708">
        <v>46042</v>
      </c>
      <c r="J34" s="714">
        <f t="shared" ref="J34:J35" si="4">G34</f>
        <v>0.83</v>
      </c>
      <c r="K34" s="708">
        <v>46042</v>
      </c>
      <c r="L34" s="708">
        <v>46045</v>
      </c>
      <c r="M34" s="780" t="s">
        <v>1636</v>
      </c>
      <c r="N34" s="782">
        <v>46023</v>
      </c>
      <c r="O34" s="783"/>
    </row>
    <row r="35" spans="1:15" s="784" customFormat="1" x14ac:dyDescent="0.25">
      <c r="A35" s="778">
        <v>29</v>
      </c>
      <c r="B35" s="779" t="s">
        <v>95</v>
      </c>
      <c r="C35" s="779" t="s">
        <v>35</v>
      </c>
      <c r="D35" s="778" t="s">
        <v>1635</v>
      </c>
      <c r="E35" s="780" t="s">
        <v>1621</v>
      </c>
      <c r="F35" s="781">
        <v>0.2389</v>
      </c>
      <c r="G35" s="714">
        <f t="shared" si="3"/>
        <v>0.2389</v>
      </c>
      <c r="H35" s="708">
        <v>46050</v>
      </c>
      <c r="I35" s="708">
        <v>46050</v>
      </c>
      <c r="J35" s="714">
        <f t="shared" si="4"/>
        <v>0.2389</v>
      </c>
      <c r="K35" s="708">
        <v>46050</v>
      </c>
      <c r="L35" s="708">
        <v>46050</v>
      </c>
      <c r="M35" s="780" t="s">
        <v>1636</v>
      </c>
      <c r="N35" s="782">
        <v>46023</v>
      </c>
      <c r="O35" s="783"/>
    </row>
    <row r="36" spans="1:15" x14ac:dyDescent="0.25">
      <c r="A36" s="405"/>
      <c r="B36" s="405"/>
      <c r="C36" s="405"/>
      <c r="D36" s="405"/>
      <c r="E36" s="405"/>
      <c r="F36" s="405"/>
      <c r="G36" s="405"/>
      <c r="H36" s="407"/>
      <c r="I36" s="407"/>
      <c r="J36" s="405"/>
      <c r="K36" s="405"/>
      <c r="L36" s="405"/>
      <c r="M36" s="405"/>
      <c r="N36" s="404"/>
    </row>
    <row r="37" spans="1:15" s="399" customFormat="1" x14ac:dyDescent="0.25">
      <c r="A37" s="915" t="s">
        <v>136</v>
      </c>
      <c r="B37" s="916"/>
      <c r="C37" s="916"/>
      <c r="D37" s="916"/>
      <c r="E37" s="917"/>
      <c r="F37" s="746">
        <f>+SUM(F6:F36)</f>
        <v>84.820280000000011</v>
      </c>
      <c r="G37" s="716">
        <f>+SUM(G6:G36)</f>
        <v>81.480280000000008</v>
      </c>
      <c r="H37" s="716"/>
      <c r="I37" s="716"/>
      <c r="J37" s="761">
        <f>+SUM(J6:J36)</f>
        <v>76.530280000000005</v>
      </c>
      <c r="K37" s="409"/>
      <c r="L37" s="409"/>
      <c r="M37" s="409"/>
      <c r="N37" s="409"/>
      <c r="O37" s="710"/>
    </row>
    <row r="38" spans="1:15" x14ac:dyDescent="0.25">
      <c r="J38" s="790"/>
    </row>
    <row r="39" spans="1:15" ht="17.25" x14ac:dyDescent="0.25">
      <c r="F39" s="398" t="s">
        <v>1638</v>
      </c>
      <c r="G39" s="472">
        <f>F37-G37</f>
        <v>3.3400000000000034</v>
      </c>
      <c r="J39" s="715"/>
    </row>
    <row r="40" spans="1:15" x14ac:dyDescent="0.25">
      <c r="F40" s="398" t="s">
        <v>1634</v>
      </c>
      <c r="G40" s="472">
        <f>G37-J37</f>
        <v>4.9500000000000028</v>
      </c>
      <c r="J40" s="398">
        <f>J37-J39</f>
        <v>76.530280000000005</v>
      </c>
    </row>
  </sheetData>
  <autoFilter ref="A5:N35" xr:uid="{7D901AC7-2B41-4C8E-919F-B6C2B68B5696}"/>
  <mergeCells count="9">
    <mergeCell ref="A37:E37"/>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213" activePane="bottomRight" state="frozen"/>
      <selection activeCell="N9" sqref="N9"/>
      <selection pane="topRight" activeCell="N9" sqref="N9"/>
      <selection pane="bottomLeft" activeCell="N9" sqref="N9"/>
      <selection pane="bottomRight" activeCell="N975" sqref="N975"/>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1264</v>
      </c>
    </row>
    <row r="2" spans="1:27" x14ac:dyDescent="0.25">
      <c r="A2" s="924" t="s">
        <v>1036</v>
      </c>
      <c r="B2" s="924"/>
      <c r="C2" s="924"/>
      <c r="D2" s="924"/>
      <c r="E2" s="924"/>
      <c r="F2" s="924"/>
      <c r="G2" s="924"/>
      <c r="H2" s="924"/>
      <c r="I2" s="924"/>
      <c r="J2" s="924"/>
      <c r="K2" s="924"/>
      <c r="L2" s="924"/>
      <c r="M2" s="924"/>
      <c r="N2" s="924"/>
      <c r="O2" s="924"/>
      <c r="P2" s="924"/>
      <c r="Q2" s="924"/>
      <c r="R2" s="924"/>
      <c r="S2" s="924"/>
      <c r="T2" s="924"/>
      <c r="U2" s="924"/>
      <c r="V2" s="924"/>
      <c r="W2" s="924"/>
      <c r="X2" s="924"/>
      <c r="Y2" s="924"/>
      <c r="Z2" s="924"/>
      <c r="AA2" s="924"/>
    </row>
    <row r="3" spans="1:27" ht="15.75" customHeight="1" x14ac:dyDescent="0.25">
      <c r="A3" s="928" t="s">
        <v>1152</v>
      </c>
      <c r="B3" s="929"/>
      <c r="C3" s="929"/>
      <c r="D3" s="929"/>
      <c r="E3" s="929"/>
      <c r="F3" s="929"/>
      <c r="G3" s="929"/>
      <c r="H3" s="929"/>
      <c r="I3" s="930"/>
      <c r="J3" s="924" t="s">
        <v>1037</v>
      </c>
      <c r="K3" s="924"/>
      <c r="L3" s="928" t="s">
        <v>1038</v>
      </c>
      <c r="M3" s="929"/>
      <c r="N3" s="929"/>
      <c r="O3" s="930"/>
      <c r="P3" s="928" t="s">
        <v>1039</v>
      </c>
      <c r="Q3" s="929"/>
      <c r="R3" s="929"/>
      <c r="S3" s="929"/>
      <c r="T3" s="930"/>
      <c r="U3" s="928" t="s">
        <v>1040</v>
      </c>
      <c r="V3" s="929"/>
      <c r="W3" s="929"/>
      <c r="X3" s="929"/>
      <c r="Y3" s="929"/>
      <c r="Z3" s="930"/>
      <c r="AA3" s="925" t="s">
        <v>9</v>
      </c>
    </row>
    <row r="4" spans="1:27" ht="78.75" x14ac:dyDescent="0.25">
      <c r="A4" s="573" t="s">
        <v>1041</v>
      </c>
      <c r="B4" s="574" t="s">
        <v>1042</v>
      </c>
      <c r="C4" s="573" t="s">
        <v>4</v>
      </c>
      <c r="D4" s="574" t="s">
        <v>1043</v>
      </c>
      <c r="E4" s="573" t="s">
        <v>1044</v>
      </c>
      <c r="F4" s="573"/>
      <c r="G4" s="573" t="s">
        <v>1045</v>
      </c>
      <c r="H4" s="575" t="s">
        <v>1046</v>
      </c>
      <c r="I4" s="575" t="s">
        <v>1047</v>
      </c>
      <c r="J4" s="575" t="s">
        <v>1048</v>
      </c>
      <c r="K4" s="575" t="s">
        <v>1049</v>
      </c>
      <c r="L4" s="575" t="s">
        <v>1050</v>
      </c>
      <c r="M4" s="575" t="s">
        <v>1051</v>
      </c>
      <c r="N4" s="575" t="s">
        <v>1052</v>
      </c>
      <c r="O4" s="575" t="s">
        <v>1053</v>
      </c>
      <c r="P4" s="575" t="s">
        <v>1054</v>
      </c>
      <c r="Q4" s="575" t="s">
        <v>1055</v>
      </c>
      <c r="R4" s="575" t="s">
        <v>1056</v>
      </c>
      <c r="S4" s="575" t="s">
        <v>1057</v>
      </c>
      <c r="T4" s="575" t="s">
        <v>1058</v>
      </c>
      <c r="U4" s="575" t="s">
        <v>1059</v>
      </c>
      <c r="V4" s="575" t="s">
        <v>1060</v>
      </c>
      <c r="W4" s="575" t="s">
        <v>1061</v>
      </c>
      <c r="X4" s="575" t="s">
        <v>1054</v>
      </c>
      <c r="Y4" s="575" t="s">
        <v>1055</v>
      </c>
      <c r="Z4" s="575" t="s">
        <v>1062</v>
      </c>
      <c r="AA4" s="926"/>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1063</v>
      </c>
      <c r="C6" s="573" t="s">
        <v>1064</v>
      </c>
      <c r="D6" s="703" t="s">
        <v>1065</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1066</v>
      </c>
      <c r="D8" s="703" t="s">
        <v>1067</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627</v>
      </c>
      <c r="C10" s="573" t="s">
        <v>238</v>
      </c>
      <c r="D10" s="703" t="s">
        <v>1068</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628</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629</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630</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631</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632</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633</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634</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635</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1069</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652</v>
      </c>
      <c r="D48" s="572" t="s">
        <v>1070</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652</v>
      </c>
      <c r="D50" s="572" t="s">
        <v>1071</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1072</v>
      </c>
      <c r="D60" s="572" t="s">
        <v>1073</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1074</v>
      </c>
      <c r="D62" s="572" t="s">
        <v>1075</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1076</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1077</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1078</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653</v>
      </c>
      <c r="D96" s="572" t="s">
        <v>1079</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654</v>
      </c>
      <c r="D98" s="572" t="s">
        <v>1080</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1078</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1081</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1082</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1083</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1084</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1085</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1086</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1087</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1088</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1089</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1090</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1091</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1092</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1093</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1094</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1078</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1095</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1096</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1097</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1098</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1099</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1100</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1101</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1102</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1103</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1104</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1105</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1106</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1107</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1108</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1109</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1110</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651</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1111</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1112</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1113</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1114</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1115</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1116</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667</v>
      </c>
      <c r="C532" s="584" t="s">
        <v>243</v>
      </c>
      <c r="D532" s="584" t="s">
        <v>1117</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668</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669</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670</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671</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672</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673</v>
      </c>
      <c r="C544" s="584" t="s">
        <v>243</v>
      </c>
      <c r="D544" s="584" t="s">
        <v>1118</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674</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675</v>
      </c>
      <c r="C548" s="584" t="s">
        <v>874</v>
      </c>
      <c r="D548" s="584" t="s">
        <v>1118</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676</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677</v>
      </c>
      <c r="C552" s="584" t="s">
        <v>240</v>
      </c>
      <c r="D552" s="584" t="s">
        <v>1118</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678</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679</v>
      </c>
      <c r="C556" s="584" t="s">
        <v>244</v>
      </c>
      <c r="D556" s="584" t="s">
        <v>1119</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680</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654</v>
      </c>
      <c r="D560" s="584" t="s">
        <v>1120</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654</v>
      </c>
      <c r="D562" s="584" t="s">
        <v>1121</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681</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682</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683</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684</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685</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686</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687</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688</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689</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690</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691</v>
      </c>
      <c r="C584" s="584" t="s">
        <v>244</v>
      </c>
      <c r="D584" s="584" t="s">
        <v>1122</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692</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868</v>
      </c>
      <c r="D588" s="584" t="s">
        <v>1123</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693</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694</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695</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696</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697</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698</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699</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1124</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700</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701</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702</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703</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704</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705</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706</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707</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708</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709</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710</v>
      </c>
      <c r="C626" s="584" t="s">
        <v>244</v>
      </c>
      <c r="D626" s="584" t="s">
        <v>1125</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711</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712</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713</v>
      </c>
      <c r="C632" s="584" t="s">
        <v>244</v>
      </c>
      <c r="D632" s="584" t="s">
        <v>1126</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714</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715</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716</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717</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718</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719</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720</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721</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722</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723</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724</v>
      </c>
      <c r="C654" s="584" t="s">
        <v>241</v>
      </c>
      <c r="D654" s="584" t="s">
        <v>1127</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725</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726</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727</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728</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729</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730</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731</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732</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733</v>
      </c>
      <c r="C672" s="584" t="s">
        <v>246</v>
      </c>
      <c r="D672" s="584" t="s">
        <v>1128</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734</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735</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736</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737</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738</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739</v>
      </c>
      <c r="C684" s="584" t="s">
        <v>246</v>
      </c>
      <c r="D684" s="584" t="s">
        <v>1129</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740</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741</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742</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743</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744</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745</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746</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747</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654</v>
      </c>
      <c r="D702" s="584" t="s">
        <v>1130</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654</v>
      </c>
      <c r="D704" s="584" t="s">
        <v>1131</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748</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749</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750</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751</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752</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753</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754</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869</v>
      </c>
      <c r="D720" s="584" t="s">
        <v>1132</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1133</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755</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756</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757</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758</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759</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760</v>
      </c>
      <c r="C738" s="584" t="s">
        <v>243</v>
      </c>
      <c r="D738" s="584" t="s">
        <v>1134</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761</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762</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763</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764</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765</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766</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767</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768</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1135</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769</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770</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771</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772</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773</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774</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775</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776</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777</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778</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779</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1136</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780</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781</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782</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783</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784</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785</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786</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787</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788</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789</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1137</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790</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791</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792</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793</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794</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795</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796</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797</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798</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799</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800</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1138</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801</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802</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803</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804</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805</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806</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807</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808</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809</v>
      </c>
      <c r="C844" s="584" t="s">
        <v>245</v>
      </c>
      <c r="D844" s="584" t="s">
        <v>1139</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810</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811</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812</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813</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814</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815</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816</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817</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818</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819</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820</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821</v>
      </c>
      <c r="C868" s="584" t="s">
        <v>242</v>
      </c>
      <c r="D868" s="584" t="s">
        <v>1140</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822</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823</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824</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825</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826</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827</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828</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829</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830</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870</v>
      </c>
      <c r="D892" s="584" t="s">
        <v>1141</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871</v>
      </c>
      <c r="D894" s="584" t="s">
        <v>1142</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831</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832</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868</v>
      </c>
      <c r="D900" s="584" t="s">
        <v>1143</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1144</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833</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1145</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834</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835</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836</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837</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838</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839</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840</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841</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842</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843</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844</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1146</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845</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846</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847</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848</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849</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850</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851</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852</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853</v>
      </c>
      <c r="C948" s="584" t="s">
        <v>249</v>
      </c>
      <c r="D948" s="584" t="s">
        <v>1147</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854</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855</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856</v>
      </c>
      <c r="C956" s="584" t="s">
        <v>245</v>
      </c>
      <c r="D956" s="584" t="s">
        <v>1148</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857</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858</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859</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860</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861</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862</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863</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864</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865</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866</v>
      </c>
      <c r="C976" s="584" t="s">
        <v>245</v>
      </c>
      <c r="D976" s="584" t="s">
        <v>1149</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27" t="s">
        <v>1150</v>
      </c>
      <c r="B980" s="927"/>
      <c r="C980" s="927"/>
      <c r="D980" s="927"/>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27" t="s">
        <v>1151</v>
      </c>
      <c r="B981" s="927"/>
      <c r="C981" s="927"/>
      <c r="D981" s="927"/>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1743</v>
      </c>
      <c r="E982" s="570">
        <f>202*36*100.75%</f>
        <v>7326.5400000000009</v>
      </c>
      <c r="H982" s="570">
        <f>H981/1000</f>
        <v>6992.6746499999999</v>
      </c>
      <c r="I982" s="570">
        <f>E982+H982</f>
        <v>14319.214650000002</v>
      </c>
    </row>
    <row r="983" spans="1:27" x14ac:dyDescent="0.25">
      <c r="D983" s="570" t="s">
        <v>1744</v>
      </c>
      <c r="E983" s="570">
        <v>9284.3289999999997</v>
      </c>
      <c r="H983" s="570">
        <v>5383</v>
      </c>
      <c r="J983" s="570">
        <v>2137.404</v>
      </c>
    </row>
    <row r="984" spans="1:27" x14ac:dyDescent="0.25">
      <c r="H984" s="570">
        <f>SUM(H982:H983)</f>
        <v>12375.674650000001</v>
      </c>
      <c r="J984" s="570">
        <v>3246.3289999999997</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1366</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1367</v>
      </c>
      <c r="AP1" s="500">
        <f ca="1">+TODAY()</f>
        <v>46055</v>
      </c>
    </row>
    <row r="2" spans="1:42" s="349" customFormat="1" ht="12.75" customHeight="1" x14ac:dyDescent="0.25">
      <c r="A2" s="935" t="s">
        <v>303</v>
      </c>
      <c r="B2" s="935" t="s">
        <v>1362</v>
      </c>
      <c r="C2" s="939" t="s">
        <v>1368</v>
      </c>
      <c r="D2" s="940"/>
      <c r="E2" s="941"/>
      <c r="F2" s="939" t="s">
        <v>15</v>
      </c>
      <c r="G2" s="940"/>
      <c r="H2" s="940"/>
      <c r="I2" s="940"/>
      <c r="J2" s="940"/>
      <c r="K2" s="940"/>
      <c r="L2" s="940"/>
      <c r="M2" s="940"/>
      <c r="N2" s="940"/>
      <c r="O2" s="940"/>
      <c r="P2" s="940"/>
      <c r="Q2" s="940"/>
      <c r="R2" s="940"/>
      <c r="S2" s="940"/>
      <c r="T2" s="940"/>
      <c r="U2" s="940"/>
      <c r="V2" s="940"/>
      <c r="W2" s="940"/>
      <c r="X2" s="940"/>
      <c r="Y2" s="940"/>
      <c r="Z2" s="940"/>
      <c r="AA2" s="940"/>
      <c r="AB2" s="940"/>
      <c r="AC2" s="940"/>
      <c r="AD2" s="940"/>
      <c r="AE2" s="940"/>
      <c r="AF2" s="940"/>
      <c r="AG2" s="940"/>
      <c r="AH2" s="940"/>
      <c r="AI2" s="940"/>
      <c r="AJ2" s="940"/>
      <c r="AK2" s="935" t="s">
        <v>1371</v>
      </c>
      <c r="AL2" s="935" t="s">
        <v>1369</v>
      </c>
      <c r="AM2" s="933" t="s">
        <v>6</v>
      </c>
      <c r="AN2" s="935" t="s">
        <v>1363</v>
      </c>
      <c r="AO2" s="937" t="s">
        <v>1171</v>
      </c>
      <c r="AP2" s="935" t="s">
        <v>1370</v>
      </c>
    </row>
    <row r="3" spans="1:42" ht="53.25" x14ac:dyDescent="0.2">
      <c r="A3" s="936"/>
      <c r="B3" s="936"/>
      <c r="C3" s="487" t="s">
        <v>1170</v>
      </c>
      <c r="D3" s="487" t="s">
        <v>119</v>
      </c>
      <c r="E3" s="487" t="s">
        <v>1287</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6"/>
      <c r="AL3" s="936"/>
      <c r="AM3" s="934"/>
      <c r="AN3" s="936"/>
      <c r="AO3" s="938"/>
      <c r="AP3" s="936"/>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31"/>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32"/>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3" activePane="bottomLeft" state="frozen"/>
      <selection activeCell="N9" sqref="N9"/>
      <selection pane="bottomLeft" activeCell="A21" sqref="A21:N23"/>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1264</v>
      </c>
    </row>
    <row r="2" spans="1:16" x14ac:dyDescent="0.25">
      <c r="A2" s="349" t="s">
        <v>1230</v>
      </c>
    </row>
    <row r="3" spans="1:16" ht="15" customHeight="1" x14ac:dyDescent="0.25">
      <c r="A3" s="944" t="s">
        <v>1153</v>
      </c>
      <c r="B3" s="944"/>
      <c r="C3" s="944"/>
      <c r="D3" s="944"/>
      <c r="E3" s="944"/>
      <c r="F3" s="944"/>
      <c r="G3" s="944"/>
      <c r="H3" s="944"/>
      <c r="I3" s="944"/>
      <c r="J3" s="944"/>
      <c r="K3" s="944"/>
      <c r="L3" s="944"/>
      <c r="M3" s="944"/>
      <c r="N3" s="944"/>
      <c r="O3" s="944"/>
      <c r="P3" s="944"/>
    </row>
    <row r="4" spans="1:16" x14ac:dyDescent="0.25">
      <c r="A4" s="944" t="s">
        <v>22</v>
      </c>
      <c r="B4" s="944" t="s">
        <v>13</v>
      </c>
      <c r="C4" s="944"/>
      <c r="D4" s="944" t="s">
        <v>7</v>
      </c>
      <c r="E4" s="944" t="s">
        <v>14</v>
      </c>
      <c r="F4" s="943" t="s">
        <v>1154</v>
      </c>
      <c r="G4" s="943"/>
      <c r="H4" s="943"/>
      <c r="I4" s="943"/>
      <c r="J4" s="944" t="s">
        <v>11</v>
      </c>
      <c r="K4" s="944"/>
      <c r="L4" s="944"/>
      <c r="M4" s="944"/>
      <c r="N4" s="945" t="s">
        <v>1161</v>
      </c>
      <c r="O4" s="945" t="s">
        <v>1155</v>
      </c>
      <c r="P4" s="945" t="s">
        <v>1156</v>
      </c>
    </row>
    <row r="5" spans="1:16" ht="38.25" x14ac:dyDescent="0.25">
      <c r="A5" s="944"/>
      <c r="B5" s="412" t="s">
        <v>118</v>
      </c>
      <c r="C5" s="411" t="s">
        <v>119</v>
      </c>
      <c r="D5" s="944"/>
      <c r="E5" s="944"/>
      <c r="F5" s="411" t="s">
        <v>14</v>
      </c>
      <c r="G5" s="411" t="s">
        <v>6</v>
      </c>
      <c r="H5" s="411" t="s">
        <v>5</v>
      </c>
      <c r="I5" s="411" t="s">
        <v>9</v>
      </c>
      <c r="J5" s="411" t="s">
        <v>14</v>
      </c>
      <c r="K5" s="411" t="s">
        <v>6</v>
      </c>
      <c r="L5" s="411" t="s">
        <v>5</v>
      </c>
      <c r="M5" s="411" t="s">
        <v>9</v>
      </c>
      <c r="N5" s="946"/>
      <c r="O5" s="946"/>
      <c r="P5" s="946"/>
    </row>
    <row r="6" spans="1:16" x14ac:dyDescent="0.25">
      <c r="A6" s="413">
        <v>1</v>
      </c>
      <c r="B6" s="413" t="s">
        <v>35</v>
      </c>
      <c r="C6" s="413" t="s">
        <v>760</v>
      </c>
      <c r="D6" s="414" t="s">
        <v>1158</v>
      </c>
      <c r="E6" s="776">
        <v>3.3370000000000002</v>
      </c>
      <c r="F6" s="776">
        <f>E6</f>
        <v>3.3370000000000002</v>
      </c>
      <c r="G6" s="415">
        <v>45698</v>
      </c>
      <c r="H6" s="415">
        <v>45699</v>
      </c>
      <c r="I6" s="415"/>
      <c r="J6" s="776">
        <f>E6</f>
        <v>3.3370000000000002</v>
      </c>
      <c r="K6" s="415">
        <f>G6</f>
        <v>45698</v>
      </c>
      <c r="L6" s="415">
        <f>H6</f>
        <v>45699</v>
      </c>
      <c r="M6" s="416" t="s">
        <v>1034</v>
      </c>
      <c r="N6" s="766">
        <v>45689</v>
      </c>
      <c r="O6" s="418">
        <v>45721</v>
      </c>
      <c r="P6" s="419" t="s">
        <v>1157</v>
      </c>
    </row>
    <row r="7" spans="1:16" x14ac:dyDescent="0.25">
      <c r="A7" s="413">
        <v>2</v>
      </c>
      <c r="B7" s="413" t="s">
        <v>760</v>
      </c>
      <c r="C7" s="413" t="s">
        <v>97</v>
      </c>
      <c r="D7" s="414" t="s">
        <v>1158</v>
      </c>
      <c r="E7" s="776">
        <v>3.778</v>
      </c>
      <c r="F7" s="776">
        <f t="shared" ref="F7:F23" si="0">E7</f>
        <v>3.778</v>
      </c>
      <c r="G7" s="415">
        <v>45700</v>
      </c>
      <c r="H7" s="415">
        <v>45701</v>
      </c>
      <c r="I7" s="415"/>
      <c r="J7" s="776">
        <f t="shared" ref="J7:J23" si="1">E7</f>
        <v>3.778</v>
      </c>
      <c r="K7" s="415">
        <f t="shared" ref="K7:K17" si="2">G7</f>
        <v>45700</v>
      </c>
      <c r="L7" s="415">
        <f t="shared" ref="L7:L16" si="3">H7</f>
        <v>45701</v>
      </c>
      <c r="M7" s="420" t="s">
        <v>1034</v>
      </c>
      <c r="N7" s="766">
        <v>45689</v>
      </c>
      <c r="O7" s="418">
        <v>45714</v>
      </c>
      <c r="P7" s="419" t="s">
        <v>1157</v>
      </c>
    </row>
    <row r="8" spans="1:16" x14ac:dyDescent="0.25">
      <c r="A8" s="413">
        <v>3</v>
      </c>
      <c r="B8" s="413" t="s">
        <v>97</v>
      </c>
      <c r="C8" s="413" t="s">
        <v>98</v>
      </c>
      <c r="D8" s="414" t="s">
        <v>1158</v>
      </c>
      <c r="E8" s="776">
        <v>4.8769999999999998</v>
      </c>
      <c r="F8" s="776">
        <f t="shared" si="0"/>
        <v>4.8769999999999998</v>
      </c>
      <c r="G8" s="415">
        <v>45703</v>
      </c>
      <c r="H8" s="415">
        <v>45704</v>
      </c>
      <c r="I8" s="415"/>
      <c r="J8" s="776">
        <f t="shared" si="1"/>
        <v>4.8769999999999998</v>
      </c>
      <c r="K8" s="415">
        <f t="shared" si="2"/>
        <v>45703</v>
      </c>
      <c r="L8" s="415">
        <f t="shared" si="3"/>
        <v>45704</v>
      </c>
      <c r="M8" s="420" t="s">
        <v>1034</v>
      </c>
      <c r="N8" s="766">
        <v>45689</v>
      </c>
      <c r="O8" s="421"/>
      <c r="P8" s="419"/>
    </row>
    <row r="9" spans="1:16" x14ac:dyDescent="0.25">
      <c r="A9" s="413">
        <v>4</v>
      </c>
      <c r="B9" s="413" t="s">
        <v>98</v>
      </c>
      <c r="C9" s="413" t="s">
        <v>99</v>
      </c>
      <c r="D9" s="414" t="s">
        <v>1158</v>
      </c>
      <c r="E9" s="776">
        <v>4.5679999999999996</v>
      </c>
      <c r="F9" s="776">
        <f t="shared" si="0"/>
        <v>4.5679999999999996</v>
      </c>
      <c r="G9" s="415">
        <v>45707</v>
      </c>
      <c r="H9" s="415">
        <v>45707</v>
      </c>
      <c r="I9" s="413"/>
      <c r="J9" s="776">
        <f t="shared" si="1"/>
        <v>4.5679999999999996</v>
      </c>
      <c r="K9" s="415">
        <f t="shared" si="2"/>
        <v>45707</v>
      </c>
      <c r="L9" s="415">
        <f t="shared" si="3"/>
        <v>45707</v>
      </c>
      <c r="M9" s="416" t="s">
        <v>1034</v>
      </c>
      <c r="N9" s="766">
        <v>45689</v>
      </c>
      <c r="O9" s="418">
        <v>45715</v>
      </c>
      <c r="P9" s="419" t="s">
        <v>1157</v>
      </c>
    </row>
    <row r="10" spans="1:16" x14ac:dyDescent="0.25">
      <c r="A10" s="413">
        <v>5</v>
      </c>
      <c r="B10" s="413" t="s">
        <v>99</v>
      </c>
      <c r="C10" s="413" t="s">
        <v>100</v>
      </c>
      <c r="D10" s="414" t="s">
        <v>1158</v>
      </c>
      <c r="E10" s="776">
        <v>4.8630000000000004</v>
      </c>
      <c r="F10" s="776">
        <f t="shared" si="0"/>
        <v>4.8630000000000004</v>
      </c>
      <c r="G10" s="415">
        <v>45711</v>
      </c>
      <c r="H10" s="415">
        <v>45712</v>
      </c>
      <c r="I10" s="413"/>
      <c r="J10" s="776">
        <f t="shared" si="1"/>
        <v>4.8630000000000004</v>
      </c>
      <c r="K10" s="415">
        <f t="shared" si="2"/>
        <v>45711</v>
      </c>
      <c r="L10" s="415">
        <f t="shared" si="3"/>
        <v>45712</v>
      </c>
      <c r="M10" s="416" t="s">
        <v>1034</v>
      </c>
      <c r="N10" s="766">
        <v>45689</v>
      </c>
      <c r="O10" s="421"/>
      <c r="P10" s="419"/>
    </row>
    <row r="11" spans="1:16" x14ac:dyDescent="0.25">
      <c r="A11" s="413">
        <v>6</v>
      </c>
      <c r="B11" s="413" t="s">
        <v>100</v>
      </c>
      <c r="C11" s="413" t="s">
        <v>809</v>
      </c>
      <c r="D11" s="414" t="s">
        <v>1158</v>
      </c>
      <c r="E11" s="776">
        <v>3.7109999999999999</v>
      </c>
      <c r="F11" s="776">
        <f t="shared" si="0"/>
        <v>3.7109999999999999</v>
      </c>
      <c r="G11" s="415">
        <v>45717</v>
      </c>
      <c r="H11" s="415">
        <v>45718</v>
      </c>
      <c r="I11" s="413"/>
      <c r="J11" s="776">
        <f t="shared" si="1"/>
        <v>3.7109999999999999</v>
      </c>
      <c r="K11" s="415">
        <f t="shared" si="2"/>
        <v>45717</v>
      </c>
      <c r="L11" s="415">
        <f t="shared" si="3"/>
        <v>45718</v>
      </c>
      <c r="M11" s="416" t="s">
        <v>1034</v>
      </c>
      <c r="N11" s="417">
        <v>45717</v>
      </c>
      <c r="O11" s="421"/>
      <c r="P11" s="419"/>
    </row>
    <row r="12" spans="1:16" x14ac:dyDescent="0.25">
      <c r="A12" s="413">
        <v>7</v>
      </c>
      <c r="B12" s="413" t="s">
        <v>809</v>
      </c>
      <c r="C12" s="413" t="s">
        <v>821</v>
      </c>
      <c r="D12" s="414" t="s">
        <v>1158</v>
      </c>
      <c r="E12" s="776">
        <v>4.9180000000000001</v>
      </c>
      <c r="F12" s="776">
        <f t="shared" si="0"/>
        <v>4.9180000000000001</v>
      </c>
      <c r="G12" s="415">
        <v>45719</v>
      </c>
      <c r="H12" s="415">
        <v>45719</v>
      </c>
      <c r="I12" s="413"/>
      <c r="J12" s="776">
        <f t="shared" si="1"/>
        <v>4.9180000000000001</v>
      </c>
      <c r="K12" s="415">
        <f t="shared" si="2"/>
        <v>45719</v>
      </c>
      <c r="L12" s="415">
        <f t="shared" si="3"/>
        <v>45719</v>
      </c>
      <c r="M12" s="416" t="s">
        <v>1034</v>
      </c>
      <c r="N12" s="417">
        <v>45717</v>
      </c>
      <c r="O12" s="421"/>
      <c r="P12" s="419"/>
    </row>
    <row r="13" spans="1:16" x14ac:dyDescent="0.25">
      <c r="A13" s="413">
        <v>8</v>
      </c>
      <c r="B13" s="413" t="s">
        <v>710</v>
      </c>
      <c r="C13" s="413" t="s">
        <v>713</v>
      </c>
      <c r="D13" s="414" t="s">
        <v>1158</v>
      </c>
      <c r="E13" s="776">
        <v>1.0489999999999999</v>
      </c>
      <c r="F13" s="776">
        <f t="shared" si="0"/>
        <v>1.0489999999999999</v>
      </c>
      <c r="G13" s="415">
        <v>45861</v>
      </c>
      <c r="H13" s="415">
        <v>45862</v>
      </c>
      <c r="I13" s="413"/>
      <c r="J13" s="776">
        <f t="shared" si="1"/>
        <v>1.0489999999999999</v>
      </c>
      <c r="K13" s="415">
        <f t="shared" si="2"/>
        <v>45861</v>
      </c>
      <c r="L13" s="415">
        <f t="shared" si="3"/>
        <v>45862</v>
      </c>
      <c r="M13" s="416" t="s">
        <v>1034</v>
      </c>
      <c r="N13" s="417">
        <v>45839</v>
      </c>
      <c r="O13" s="416"/>
      <c r="P13" s="416"/>
    </row>
    <row r="14" spans="1:16" x14ac:dyDescent="0.25">
      <c r="A14" s="413">
        <v>9</v>
      </c>
      <c r="B14" s="638" t="s">
        <v>92</v>
      </c>
      <c r="C14" s="413" t="s">
        <v>710</v>
      </c>
      <c r="D14" s="414" t="s">
        <v>1158</v>
      </c>
      <c r="E14" s="776">
        <v>4.444</v>
      </c>
      <c r="F14" s="776">
        <f t="shared" si="0"/>
        <v>4.444</v>
      </c>
      <c r="G14" s="415">
        <v>45864</v>
      </c>
      <c r="H14" s="415">
        <v>45864</v>
      </c>
      <c r="I14" s="413"/>
      <c r="J14" s="776">
        <f t="shared" si="1"/>
        <v>4.444</v>
      </c>
      <c r="K14" s="415">
        <f t="shared" si="2"/>
        <v>45864</v>
      </c>
      <c r="L14" s="415">
        <f t="shared" si="3"/>
        <v>45864</v>
      </c>
      <c r="M14" s="416" t="s">
        <v>1034</v>
      </c>
      <c r="N14" s="417">
        <v>45839</v>
      </c>
      <c r="O14" s="416"/>
      <c r="P14" s="416"/>
    </row>
    <row r="15" spans="1:16" x14ac:dyDescent="0.25">
      <c r="A15" s="413">
        <v>10</v>
      </c>
      <c r="B15" s="638" t="s">
        <v>691</v>
      </c>
      <c r="C15" s="638" t="s">
        <v>91</v>
      </c>
      <c r="D15" s="414" t="s">
        <v>1158</v>
      </c>
      <c r="E15" s="776">
        <v>0.83099999999999996</v>
      </c>
      <c r="F15" s="776">
        <f t="shared" si="0"/>
        <v>0.83099999999999996</v>
      </c>
      <c r="G15" s="415">
        <v>45871</v>
      </c>
      <c r="H15" s="415">
        <v>45874</v>
      </c>
      <c r="I15" s="413"/>
      <c r="J15" s="776">
        <f t="shared" si="1"/>
        <v>0.83099999999999996</v>
      </c>
      <c r="K15" s="415">
        <f t="shared" si="2"/>
        <v>45871</v>
      </c>
      <c r="L15" s="415">
        <f t="shared" si="3"/>
        <v>45874</v>
      </c>
      <c r="M15" s="416" t="s">
        <v>1034</v>
      </c>
      <c r="N15" s="417">
        <v>45870</v>
      </c>
      <c r="O15" s="416"/>
      <c r="P15" s="416"/>
    </row>
    <row r="16" spans="1:16" x14ac:dyDescent="0.25">
      <c r="A16" s="413">
        <v>11</v>
      </c>
      <c r="B16" s="638" t="s">
        <v>91</v>
      </c>
      <c r="C16" s="413" t="s">
        <v>92</v>
      </c>
      <c r="D16" s="414" t="s">
        <v>1158</v>
      </c>
      <c r="E16" s="776">
        <v>3.2269999999999999</v>
      </c>
      <c r="F16" s="776">
        <f t="shared" si="0"/>
        <v>3.2269999999999999</v>
      </c>
      <c r="G16" s="415">
        <v>45879</v>
      </c>
      <c r="H16" s="415">
        <v>45883</v>
      </c>
      <c r="I16" s="413"/>
      <c r="J16" s="776">
        <f t="shared" si="1"/>
        <v>3.2269999999999999</v>
      </c>
      <c r="K16" s="415">
        <f t="shared" si="2"/>
        <v>45879</v>
      </c>
      <c r="L16" s="415">
        <f t="shared" si="3"/>
        <v>45883</v>
      </c>
      <c r="M16" s="416" t="s">
        <v>1034</v>
      </c>
      <c r="N16" s="417">
        <v>45870</v>
      </c>
      <c r="O16" s="416"/>
      <c r="P16" s="416"/>
    </row>
    <row r="17" spans="1:16" x14ac:dyDescent="0.25">
      <c r="A17" s="413">
        <v>12</v>
      </c>
      <c r="B17" s="413" t="s">
        <v>105</v>
      </c>
      <c r="C17" s="413" t="s">
        <v>106</v>
      </c>
      <c r="D17" s="414" t="s">
        <v>1158</v>
      </c>
      <c r="E17" s="776">
        <v>4.9660000000000002</v>
      </c>
      <c r="F17" s="776">
        <f t="shared" si="0"/>
        <v>4.9660000000000002</v>
      </c>
      <c r="G17" s="415">
        <v>46008</v>
      </c>
      <c r="H17" s="415">
        <v>46008</v>
      </c>
      <c r="I17" s="413"/>
      <c r="J17" s="776">
        <f t="shared" si="1"/>
        <v>4.9660000000000002</v>
      </c>
      <c r="K17" s="415">
        <f t="shared" si="2"/>
        <v>46008</v>
      </c>
      <c r="L17" s="415">
        <v>46009</v>
      </c>
      <c r="M17" s="416" t="s">
        <v>1034</v>
      </c>
      <c r="N17" s="417">
        <v>45992</v>
      </c>
      <c r="O17" s="416"/>
      <c r="P17" s="416"/>
    </row>
    <row r="18" spans="1:16" x14ac:dyDescent="0.25">
      <c r="A18" s="413">
        <v>13</v>
      </c>
      <c r="B18" s="638" t="s">
        <v>106</v>
      </c>
      <c r="C18" s="413" t="s">
        <v>853</v>
      </c>
      <c r="D18" s="414" t="s">
        <v>1158</v>
      </c>
      <c r="E18" s="776">
        <v>3.6749999999999998</v>
      </c>
      <c r="F18" s="776">
        <f t="shared" si="0"/>
        <v>3.6749999999999998</v>
      </c>
      <c r="G18" s="415">
        <v>46011</v>
      </c>
      <c r="H18" s="415">
        <v>46011</v>
      </c>
      <c r="I18" s="413"/>
      <c r="J18" s="776">
        <f t="shared" si="1"/>
        <v>3.6749999999999998</v>
      </c>
      <c r="K18" s="415">
        <v>46012</v>
      </c>
      <c r="L18" s="415">
        <v>46012</v>
      </c>
      <c r="M18" s="416" t="s">
        <v>1034</v>
      </c>
      <c r="N18" s="417">
        <v>45992</v>
      </c>
      <c r="O18" s="416"/>
      <c r="P18" s="416"/>
    </row>
    <row r="19" spans="1:16" x14ac:dyDescent="0.25">
      <c r="A19" s="413">
        <v>14</v>
      </c>
      <c r="B19" s="413" t="s">
        <v>853</v>
      </c>
      <c r="C19" s="413" t="s">
        <v>856</v>
      </c>
      <c r="D19" s="414" t="s">
        <v>1158</v>
      </c>
      <c r="E19" s="776">
        <v>1.6279999999999999</v>
      </c>
      <c r="F19" s="776">
        <f t="shared" si="0"/>
        <v>1.6279999999999999</v>
      </c>
      <c r="G19" s="415">
        <v>46014</v>
      </c>
      <c r="H19" s="415">
        <v>46014</v>
      </c>
      <c r="I19" s="413"/>
      <c r="J19" s="776">
        <f t="shared" si="1"/>
        <v>1.6279999999999999</v>
      </c>
      <c r="K19" s="415">
        <v>46015</v>
      </c>
      <c r="L19" s="415">
        <v>46015</v>
      </c>
      <c r="M19" s="416" t="s">
        <v>1034</v>
      </c>
      <c r="N19" s="417">
        <v>45992</v>
      </c>
      <c r="O19" s="416"/>
      <c r="P19" s="416"/>
    </row>
    <row r="20" spans="1:16" x14ac:dyDescent="0.25">
      <c r="A20" s="413">
        <v>15</v>
      </c>
      <c r="B20" s="413" t="s">
        <v>856</v>
      </c>
      <c r="C20" s="413" t="s">
        <v>866</v>
      </c>
      <c r="D20" s="414" t="s">
        <v>1158</v>
      </c>
      <c r="E20" s="776">
        <v>3.7879999999999998</v>
      </c>
      <c r="F20" s="776">
        <f t="shared" si="0"/>
        <v>3.7879999999999998</v>
      </c>
      <c r="G20" s="415">
        <v>46015</v>
      </c>
      <c r="H20" s="415">
        <v>46015</v>
      </c>
      <c r="I20" s="413"/>
      <c r="J20" s="776">
        <f t="shared" si="1"/>
        <v>3.7879999999999998</v>
      </c>
      <c r="K20" s="415">
        <v>46015</v>
      </c>
      <c r="L20" s="415">
        <v>46015</v>
      </c>
      <c r="M20" s="416" t="s">
        <v>1034</v>
      </c>
      <c r="N20" s="417">
        <v>45992</v>
      </c>
      <c r="O20" s="416"/>
      <c r="P20" s="416"/>
    </row>
    <row r="21" spans="1:16" x14ac:dyDescent="0.25">
      <c r="A21" s="413">
        <v>16</v>
      </c>
      <c r="B21" s="413" t="s">
        <v>821</v>
      </c>
      <c r="C21" s="413" t="s">
        <v>101</v>
      </c>
      <c r="D21" s="414" t="s">
        <v>1158</v>
      </c>
      <c r="E21" s="776">
        <v>4.7358000000000002</v>
      </c>
      <c r="F21" s="776">
        <f t="shared" si="0"/>
        <v>4.7358000000000002</v>
      </c>
      <c r="G21" s="415">
        <v>46026</v>
      </c>
      <c r="H21" s="415">
        <v>46026</v>
      </c>
      <c r="I21" s="413"/>
      <c r="J21" s="776">
        <f t="shared" si="1"/>
        <v>4.7358000000000002</v>
      </c>
      <c r="K21" s="415">
        <v>46026</v>
      </c>
      <c r="L21" s="415">
        <v>46026</v>
      </c>
      <c r="M21" s="416" t="s">
        <v>1034</v>
      </c>
      <c r="N21" s="417">
        <v>46023</v>
      </c>
      <c r="O21" s="416"/>
      <c r="P21" s="416"/>
    </row>
    <row r="22" spans="1:16" x14ac:dyDescent="0.25">
      <c r="A22" s="413">
        <v>17</v>
      </c>
      <c r="B22" s="638" t="s">
        <v>101</v>
      </c>
      <c r="C22" s="638" t="s">
        <v>105</v>
      </c>
      <c r="D22" s="414" t="s">
        <v>1158</v>
      </c>
      <c r="E22" s="776">
        <v>2.2389999999999999</v>
      </c>
      <c r="F22" s="776">
        <f t="shared" si="0"/>
        <v>2.2389999999999999</v>
      </c>
      <c r="G22" s="415">
        <v>46027</v>
      </c>
      <c r="H22" s="415">
        <v>46027</v>
      </c>
      <c r="I22" s="413"/>
      <c r="J22" s="776">
        <f t="shared" si="1"/>
        <v>2.2389999999999999</v>
      </c>
      <c r="K22" s="415">
        <v>46029</v>
      </c>
      <c r="L22" s="415">
        <v>46029</v>
      </c>
      <c r="M22" s="416" t="s">
        <v>1034</v>
      </c>
      <c r="N22" s="417">
        <v>46023</v>
      </c>
      <c r="O22" s="416"/>
      <c r="P22" s="416"/>
    </row>
    <row r="23" spans="1:16" x14ac:dyDescent="0.25">
      <c r="A23" s="413">
        <v>18</v>
      </c>
      <c r="B23" s="413" t="s">
        <v>655</v>
      </c>
      <c r="C23" s="413" t="s">
        <v>446</v>
      </c>
      <c r="D23" s="416" t="s">
        <v>1633</v>
      </c>
      <c r="E23" s="776">
        <v>3.6379999999999999</v>
      </c>
      <c r="F23" s="776">
        <f t="shared" si="0"/>
        <v>3.6379999999999999</v>
      </c>
      <c r="G23" s="415">
        <v>46029</v>
      </c>
      <c r="H23" s="415">
        <v>46029</v>
      </c>
      <c r="I23" s="413"/>
      <c r="J23" s="776">
        <f t="shared" si="1"/>
        <v>3.6379999999999999</v>
      </c>
      <c r="K23" s="415">
        <v>46040</v>
      </c>
      <c r="L23" s="415">
        <v>46041</v>
      </c>
      <c r="M23" s="416" t="s">
        <v>1034</v>
      </c>
      <c r="N23" s="417">
        <v>46023</v>
      </c>
      <c r="O23" s="416"/>
      <c r="P23" s="416"/>
    </row>
    <row r="24" spans="1:16" x14ac:dyDescent="0.25">
      <c r="A24" s="413"/>
      <c r="B24" s="413"/>
      <c r="C24" s="413"/>
      <c r="D24" s="416"/>
      <c r="E24" s="422"/>
      <c r="F24" s="422"/>
      <c r="G24" s="415"/>
      <c r="H24" s="415"/>
      <c r="I24" s="413"/>
      <c r="J24" s="413"/>
      <c r="K24" s="415"/>
      <c r="L24" s="415"/>
      <c r="M24" s="416"/>
      <c r="N24" s="416"/>
      <c r="O24" s="416"/>
      <c r="P24" s="416"/>
    </row>
    <row r="25" spans="1:16" x14ac:dyDescent="0.25">
      <c r="A25" s="413"/>
      <c r="B25" s="413"/>
      <c r="C25" s="413"/>
      <c r="D25" s="416"/>
      <c r="E25" s="422"/>
      <c r="F25" s="422"/>
      <c r="G25" s="415"/>
      <c r="H25" s="415"/>
      <c r="I25" s="413"/>
      <c r="J25" s="413"/>
      <c r="K25" s="416"/>
      <c r="L25" s="416"/>
      <c r="M25" s="416"/>
      <c r="N25" s="416"/>
      <c r="O25" s="416"/>
      <c r="P25" s="416"/>
    </row>
    <row r="26" spans="1:16" x14ac:dyDescent="0.25">
      <c r="A26" s="413"/>
      <c r="B26" s="413"/>
      <c r="C26" s="413"/>
      <c r="D26" s="416"/>
      <c r="E26" s="422"/>
      <c r="F26" s="422"/>
      <c r="G26" s="415"/>
      <c r="H26" s="415"/>
      <c r="I26" s="413"/>
      <c r="J26" s="413"/>
      <c r="K26" s="416"/>
      <c r="L26" s="416"/>
      <c r="M26" s="416"/>
      <c r="N26" s="416"/>
      <c r="O26" s="416"/>
      <c r="P26" s="416"/>
    </row>
    <row r="27" spans="1:16" x14ac:dyDescent="0.25">
      <c r="A27" s="413"/>
      <c r="B27" s="413"/>
      <c r="C27" s="413"/>
      <c r="D27" s="413"/>
      <c r="E27" s="413"/>
      <c r="F27" s="413"/>
      <c r="G27" s="415"/>
      <c r="H27" s="415"/>
      <c r="I27" s="415"/>
      <c r="J27" s="413"/>
      <c r="K27" s="413"/>
      <c r="L27" s="413"/>
      <c r="M27" s="413"/>
      <c r="N27" s="413"/>
      <c r="O27" s="416"/>
      <c r="P27" s="416"/>
    </row>
    <row r="28" spans="1:16" s="425" customFormat="1" x14ac:dyDescent="0.25">
      <c r="A28" s="942" t="s">
        <v>136</v>
      </c>
      <c r="B28" s="942"/>
      <c r="C28" s="942"/>
      <c r="D28" s="423"/>
      <c r="E28" s="423">
        <f>+SUM(E6:E27)</f>
        <v>64.272799999999989</v>
      </c>
      <c r="F28" s="423"/>
      <c r="G28" s="423"/>
      <c r="H28" s="423"/>
      <c r="I28" s="423"/>
      <c r="J28" s="423">
        <f>+SUM(J6:J27)</f>
        <v>64.272799999999989</v>
      </c>
      <c r="K28" s="423"/>
      <c r="L28" s="423"/>
      <c r="M28" s="423"/>
      <c r="N28" s="423"/>
      <c r="O28" s="424"/>
      <c r="P28" s="424"/>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R5" sqref="R5:R11"/>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54" t="s">
        <v>914</v>
      </c>
      <c r="D3" s="955"/>
      <c r="E3" s="955"/>
      <c r="F3" s="955"/>
      <c r="G3" s="955"/>
      <c r="H3" s="955"/>
      <c r="I3" s="955"/>
      <c r="J3" s="955"/>
      <c r="K3" s="955"/>
      <c r="L3" s="955"/>
      <c r="M3" s="955"/>
      <c r="N3" s="955"/>
      <c r="O3" s="955"/>
      <c r="P3" s="955"/>
      <c r="Q3" s="955"/>
      <c r="R3" s="956"/>
      <c r="S3" s="960" t="s">
        <v>400</v>
      </c>
      <c r="T3" s="961"/>
      <c r="U3" s="961"/>
      <c r="V3" s="961"/>
      <c r="W3" s="961"/>
      <c r="X3" s="961"/>
      <c r="Y3" s="961"/>
      <c r="Z3" s="962"/>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57">
        <f ca="1">+TODAY()</f>
        <v>46055</v>
      </c>
      <c r="J4" s="958"/>
      <c r="K4" s="958"/>
      <c r="L4" s="958"/>
      <c r="M4" s="958"/>
      <c r="N4" s="958"/>
      <c r="O4" s="958"/>
      <c r="P4" s="958"/>
      <c r="Q4" s="958"/>
      <c r="R4" s="959"/>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48" t="s">
        <v>303</v>
      </c>
      <c r="D5" s="950"/>
      <c r="E5" s="948" t="s">
        <v>37</v>
      </c>
      <c r="F5" s="949"/>
      <c r="G5" s="949"/>
      <c r="H5" s="950"/>
      <c r="I5" s="948" t="s">
        <v>402</v>
      </c>
      <c r="J5" s="950"/>
      <c r="K5" s="948" t="s">
        <v>403</v>
      </c>
      <c r="L5" s="950"/>
      <c r="M5" s="948" t="s">
        <v>404</v>
      </c>
      <c r="N5" s="949"/>
      <c r="O5" s="950"/>
      <c r="P5" s="948" t="s">
        <v>16</v>
      </c>
      <c r="Q5" s="950"/>
      <c r="R5" s="808" t="s">
        <v>124</v>
      </c>
      <c r="T5" s="13"/>
      <c r="U5" s="13"/>
      <c r="W5" s="948" t="s">
        <v>405</v>
      </c>
      <c r="X5" s="949"/>
      <c r="Y5" s="949"/>
      <c r="Z5" s="950"/>
      <c r="AC5" s="149"/>
      <c r="AD5" s="149"/>
      <c r="AE5" s="149"/>
      <c r="AF5" s="149"/>
      <c r="AG5" s="149"/>
      <c r="AH5" s="149"/>
      <c r="AI5" s="149"/>
      <c r="AJ5" s="149"/>
      <c r="AK5" s="149"/>
      <c r="AL5" s="149"/>
      <c r="AM5" s="149"/>
      <c r="AN5" s="149"/>
      <c r="AO5" s="149"/>
      <c r="AP5" s="149"/>
      <c r="AQ5" s="149"/>
      <c r="AR5" s="154"/>
      <c r="AS5" s="155"/>
      <c r="AT5" s="18"/>
      <c r="AV5" s="947" t="s">
        <v>406</v>
      </c>
      <c r="AW5" s="947"/>
      <c r="AX5" s="947"/>
      <c r="AY5" s="947"/>
      <c r="AZ5" s="947"/>
      <c r="BA5" s="947"/>
      <c r="BB5" s="947"/>
      <c r="BC5" s="947"/>
      <c r="BD5" s="947"/>
      <c r="BE5" s="947"/>
    </row>
    <row r="6" spans="1:63" s="15" customFormat="1" ht="15.75" customHeight="1" x14ac:dyDescent="0.25">
      <c r="A6" s="16"/>
      <c r="B6" s="17"/>
      <c r="C6" s="948">
        <v>1</v>
      </c>
      <c r="D6" s="950"/>
      <c r="E6" s="948" t="s">
        <v>10</v>
      </c>
      <c r="F6" s="949"/>
      <c r="G6" s="949"/>
      <c r="H6" s="950"/>
      <c r="I6" s="948" t="s">
        <v>407</v>
      </c>
      <c r="J6" s="950"/>
      <c r="K6" s="948">
        <v>485</v>
      </c>
      <c r="L6" s="950"/>
      <c r="M6" s="948">
        <f>BA18</f>
        <v>481</v>
      </c>
      <c r="N6" s="949"/>
      <c r="O6" s="950"/>
      <c r="P6" s="951">
        <f>K6-M6</f>
        <v>4</v>
      </c>
      <c r="Q6" s="953"/>
      <c r="R6" s="809">
        <f>BB18</f>
        <v>1</v>
      </c>
      <c r="U6" s="13"/>
      <c r="W6" s="948" t="s">
        <v>408</v>
      </c>
      <c r="X6" s="949"/>
      <c r="Y6" s="949"/>
      <c r="Z6" s="950"/>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48">
        <v>2</v>
      </c>
      <c r="D7" s="950"/>
      <c r="E7" s="951" t="s">
        <v>121</v>
      </c>
      <c r="F7" s="952"/>
      <c r="G7" s="952"/>
      <c r="H7" s="953"/>
      <c r="I7" s="948" t="s">
        <v>407</v>
      </c>
      <c r="J7" s="950"/>
      <c r="K7" s="951">
        <v>485</v>
      </c>
      <c r="L7" s="953"/>
      <c r="M7" s="948">
        <f>BC18</f>
        <v>481</v>
      </c>
      <c r="N7" s="949"/>
      <c r="O7" s="950"/>
      <c r="P7" s="951">
        <f t="shared" ref="P7:P11" si="0">K7-M7</f>
        <v>4</v>
      </c>
      <c r="Q7" s="953"/>
      <c r="R7" s="810">
        <v>0</v>
      </c>
      <c r="U7" s="20"/>
      <c r="W7" s="948" t="s">
        <v>409</v>
      </c>
      <c r="X7" s="949"/>
      <c r="Y7" s="949"/>
      <c r="Z7" s="950"/>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48">
        <v>3</v>
      </c>
      <c r="D8" s="950"/>
      <c r="E8" s="948" t="s">
        <v>411</v>
      </c>
      <c r="F8" s="949"/>
      <c r="G8" s="949"/>
      <c r="H8" s="950"/>
      <c r="I8" s="948" t="s">
        <v>407</v>
      </c>
      <c r="J8" s="950"/>
      <c r="K8" s="948">
        <v>485</v>
      </c>
      <c r="L8" s="950"/>
      <c r="M8" s="948">
        <f>BD18</f>
        <v>459</v>
      </c>
      <c r="N8" s="949"/>
      <c r="O8" s="950"/>
      <c r="P8" s="951">
        <f>K8-M8</f>
        <v>26</v>
      </c>
      <c r="Q8" s="953"/>
      <c r="R8" s="810">
        <v>1</v>
      </c>
      <c r="U8" s="501"/>
      <c r="W8" s="948" t="s">
        <v>412</v>
      </c>
      <c r="X8" s="949"/>
      <c r="Y8" s="949"/>
      <c r="Z8" s="950"/>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48">
        <v>4</v>
      </c>
      <c r="D9" s="950"/>
      <c r="E9" s="951" t="s">
        <v>1378</v>
      </c>
      <c r="F9" s="952"/>
      <c r="G9" s="952"/>
      <c r="H9" s="953"/>
      <c r="I9" s="948" t="s">
        <v>407</v>
      </c>
      <c r="J9" s="950"/>
      <c r="K9" s="951">
        <v>485</v>
      </c>
      <c r="L9" s="953"/>
      <c r="M9" s="948">
        <f>BE18</f>
        <v>299</v>
      </c>
      <c r="N9" s="949"/>
      <c r="O9" s="950"/>
      <c r="P9" s="951">
        <f>K9-M9</f>
        <v>186</v>
      </c>
      <c r="Q9" s="953"/>
      <c r="R9" s="810">
        <v>0</v>
      </c>
      <c r="U9" s="20"/>
      <c r="W9" s="948" t="s">
        <v>415</v>
      </c>
      <c r="X9" s="949"/>
      <c r="Y9" s="949"/>
      <c r="Z9" s="950"/>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48">
        <v>5</v>
      </c>
      <c r="D10" s="950"/>
      <c r="E10" s="948" t="s">
        <v>413</v>
      </c>
      <c r="F10" s="949"/>
      <c r="G10" s="949"/>
      <c r="H10" s="950"/>
      <c r="I10" s="948" t="s">
        <v>414</v>
      </c>
      <c r="J10" s="950"/>
      <c r="K10" s="963">
        <v>191.36</v>
      </c>
      <c r="L10" s="964"/>
      <c r="M10" s="965">
        <f>(BK18/1000)+BJ18/1000</f>
        <v>81.048370000000006</v>
      </c>
      <c r="N10" s="966"/>
      <c r="O10" s="967"/>
      <c r="P10" s="968">
        <f t="shared" si="0"/>
        <v>110.31163000000001</v>
      </c>
      <c r="Q10" s="969"/>
      <c r="R10" s="811">
        <f>BI18/1000</f>
        <v>3.3182100000000001</v>
      </c>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48">
        <v>6</v>
      </c>
      <c r="D11" s="950"/>
      <c r="E11" s="948" t="s">
        <v>417</v>
      </c>
      <c r="F11" s="949"/>
      <c r="G11" s="949"/>
      <c r="H11" s="950"/>
      <c r="I11" s="948" t="s">
        <v>414</v>
      </c>
      <c r="J11" s="950"/>
      <c r="K11" s="963">
        <v>191.36</v>
      </c>
      <c r="L11" s="964"/>
      <c r="M11" s="965">
        <f>BK18/1000</f>
        <v>76.538470000000004</v>
      </c>
      <c r="N11" s="966"/>
      <c r="O11" s="967"/>
      <c r="P11" s="968">
        <f t="shared" si="0"/>
        <v>114.82153000000001</v>
      </c>
      <c r="Q11" s="969"/>
      <c r="R11" s="812">
        <f>M10-M11</f>
        <v>4.5099000000000018</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48" t="s">
        <v>908</v>
      </c>
      <c r="X12" s="949"/>
      <c r="Y12" s="949"/>
      <c r="Z12" s="950"/>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90" t="s">
        <v>909</v>
      </c>
      <c r="X13" s="990"/>
      <c r="Y13" s="990"/>
      <c r="Z13" s="990"/>
      <c r="AA13" s="162"/>
      <c r="AB13" s="984"/>
      <c r="AC13" s="984"/>
      <c r="AD13" s="984"/>
      <c r="AE13" s="984"/>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1191</v>
      </c>
      <c r="F14" s="153"/>
      <c r="G14" s="164"/>
      <c r="H14" s="153"/>
      <c r="J14" s="23"/>
      <c r="K14" s="153"/>
      <c r="L14" s="23" t="s">
        <v>421</v>
      </c>
      <c r="M14" s="147"/>
      <c r="N14" s="153"/>
      <c r="P14" s="142" t="s">
        <v>422</v>
      </c>
      <c r="R14" s="24"/>
      <c r="T14" s="13"/>
      <c r="U14" s="13"/>
      <c r="V14" s="147"/>
      <c r="W14" s="948" t="s">
        <v>423</v>
      </c>
      <c r="X14" s="949"/>
      <c r="Y14" s="949"/>
      <c r="Z14" s="950"/>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1190</v>
      </c>
      <c r="F15" s="153"/>
      <c r="G15" s="164"/>
      <c r="H15" s="153"/>
      <c r="I15" s="153"/>
      <c r="J15" s="23"/>
      <c r="K15" s="153"/>
      <c r="M15" s="147"/>
      <c r="N15" s="153"/>
      <c r="P15" s="142"/>
      <c r="R15" s="24"/>
      <c r="T15" s="13"/>
      <c r="U15" s="26"/>
      <c r="W15" s="948" t="s">
        <v>424</v>
      </c>
      <c r="X15" s="949"/>
      <c r="Y15" s="949"/>
      <c r="Z15" s="950"/>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48" t="s">
        <v>428</v>
      </c>
      <c r="X16" s="949"/>
      <c r="Y16" s="949"/>
      <c r="Z16" s="950"/>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911</v>
      </c>
      <c r="BJ16" s="13" t="s">
        <v>909</v>
      </c>
      <c r="BK16" s="13" t="s">
        <v>908</v>
      </c>
    </row>
    <row r="17" spans="1:67" ht="15" customHeight="1" x14ac:dyDescent="0.2">
      <c r="B17" s="32"/>
      <c r="C17" s="50"/>
      <c r="D17" s="153" t="s">
        <v>916</v>
      </c>
      <c r="F17" s="168"/>
      <c r="G17" s="168"/>
      <c r="H17" s="142" t="s">
        <v>915</v>
      </c>
      <c r="I17" s="168"/>
      <c r="K17" s="142" t="s">
        <v>917</v>
      </c>
      <c r="L17" s="168"/>
      <c r="O17" s="168"/>
      <c r="Q17" s="169"/>
      <c r="R17" s="33"/>
      <c r="S17" s="168"/>
      <c r="T17" s="15"/>
      <c r="U17" s="34" t="s">
        <v>419</v>
      </c>
      <c r="V17" s="15"/>
      <c r="W17" s="948" t="s">
        <v>433</v>
      </c>
      <c r="X17" s="949"/>
      <c r="Y17" s="949"/>
      <c r="Z17" s="950"/>
      <c r="AA17" s="13"/>
      <c r="AB17" s="15"/>
      <c r="AC17" s="168"/>
      <c r="AD17" s="153"/>
      <c r="AF17" s="168"/>
      <c r="AG17" s="168"/>
      <c r="AH17" s="142"/>
      <c r="AI17" s="168"/>
      <c r="AK17" s="142"/>
      <c r="AL17" s="168"/>
      <c r="AO17" s="168"/>
      <c r="AQ17" s="169"/>
      <c r="AR17" s="168"/>
      <c r="AS17" s="13"/>
      <c r="AT17" s="35"/>
      <c r="AV17" s="25" t="s">
        <v>235</v>
      </c>
      <c r="AW17" s="25" t="s">
        <v>276</v>
      </c>
      <c r="AX17" s="25" t="s">
        <v>32</v>
      </c>
      <c r="AY17" s="25" t="s">
        <v>873</v>
      </c>
      <c r="AZ17" s="25" t="s">
        <v>545</v>
      </c>
      <c r="BA17" s="25" t="s">
        <v>434</v>
      </c>
      <c r="BB17" s="25" t="s">
        <v>1381</v>
      </c>
      <c r="BC17" s="25" t="s">
        <v>419</v>
      </c>
      <c r="BD17" s="138" t="s">
        <v>410</v>
      </c>
      <c r="BE17" s="25" t="s">
        <v>1028</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90" t="s">
        <v>913</v>
      </c>
      <c r="X18" s="990"/>
      <c r="Y18" s="990"/>
      <c r="Z18" s="990"/>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220</v>
      </c>
      <c r="AX18" s="10">
        <f t="shared" si="1"/>
        <v>59</v>
      </c>
      <c r="AY18" s="10">
        <f t="shared" si="1"/>
        <v>2</v>
      </c>
      <c r="AZ18" s="10">
        <f t="shared" si="1"/>
        <v>0</v>
      </c>
      <c r="BA18" s="10">
        <f t="shared" si="1"/>
        <v>481</v>
      </c>
      <c r="BB18" s="10">
        <f t="shared" si="1"/>
        <v>1</v>
      </c>
      <c r="BC18" s="10">
        <f t="shared" si="1"/>
        <v>481</v>
      </c>
      <c r="BD18" s="10">
        <f t="shared" si="1"/>
        <v>459</v>
      </c>
      <c r="BE18" s="10">
        <f t="shared" si="1"/>
        <v>299</v>
      </c>
      <c r="BF18" s="10">
        <f t="shared" si="1"/>
        <v>0</v>
      </c>
      <c r="BG18" s="10">
        <f t="shared" si="1"/>
        <v>0</v>
      </c>
      <c r="BH18" s="10">
        <f t="shared" si="1"/>
        <v>191392.64300000004</v>
      </c>
      <c r="BI18" s="10">
        <f t="shared" si="1"/>
        <v>3318.21</v>
      </c>
      <c r="BJ18" s="10">
        <f t="shared" si="1"/>
        <v>4509.8999999999996</v>
      </c>
      <c r="BK18" s="10">
        <f t="shared" si="1"/>
        <v>76538.47</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17</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912</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5">
        <f>+COUNTIF(D34:AT34,"E")</f>
        <v>18</v>
      </c>
      <c r="BE36" s="11">
        <f>+COUNTIF(D35:AT35,"Done")</f>
        <v>9</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910</v>
      </c>
      <c r="AL44" s="13" t="s">
        <v>910</v>
      </c>
      <c r="AN44" s="13" t="s">
        <v>910</v>
      </c>
      <c r="AP44" s="13" t="s">
        <v>910</v>
      </c>
      <c r="AR44" s="13" t="s">
        <v>910</v>
      </c>
      <c r="AT44" s="30"/>
      <c r="AV44" s="11"/>
      <c r="AW44" s="11"/>
      <c r="AX44" s="11"/>
      <c r="AY44" s="11"/>
      <c r="AZ44" s="11"/>
      <c r="BA44" s="11"/>
      <c r="BB44" s="11"/>
      <c r="BC44" s="11"/>
      <c r="BD44" s="135"/>
      <c r="BI44" s="13">
        <f>+SUMIF(D44:AT44,".",D47:AT47)</f>
        <v>0</v>
      </c>
      <c r="BJ44" s="13">
        <f>+SUMIF(D44:AT44,"..",D47:AT47)</f>
        <v>2033</v>
      </c>
      <c r="BK44" s="13">
        <f>+SUMIF(D44:AT44,",",D47:AT47)</f>
        <v>0</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WIP</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1</v>
      </c>
      <c r="BC47" s="11">
        <f>+COUNTIF(D48:AT48,"C")</f>
        <v>20</v>
      </c>
      <c r="BD47" s="135">
        <f>+COUNTIF(D45:AT45,"E")</f>
        <v>18</v>
      </c>
      <c r="BE47" s="11">
        <f>+COUNTIF(D46:AT46,"Done")</f>
        <v>8</v>
      </c>
      <c r="BH47" s="13">
        <f>+SUM(D47:AT47)</f>
        <v>8392.9680000000008</v>
      </c>
    </row>
    <row r="48" spans="1:67" s="13" customFormat="1" x14ac:dyDescent="0.25">
      <c r="A48" s="11"/>
      <c r="B48" s="131"/>
      <c r="C48" s="172"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F55" s="13" t="s">
        <v>910</v>
      </c>
      <c r="H55" s="13" t="s">
        <v>910</v>
      </c>
      <c r="J55" s="13" t="s">
        <v>910</v>
      </c>
      <c r="L55" s="13" t="s">
        <v>910</v>
      </c>
      <c r="N55" s="13" t="s">
        <v>910</v>
      </c>
      <c r="P55" s="13" t="s">
        <v>910</v>
      </c>
      <c r="AT55" s="30"/>
      <c r="AV55" s="11"/>
      <c r="AW55" s="11"/>
      <c r="AX55" s="11"/>
      <c r="AY55" s="11"/>
      <c r="AZ55" s="11"/>
      <c r="BA55" s="11"/>
      <c r="BB55" s="11"/>
      <c r="BC55" s="11"/>
      <c r="BD55" s="135"/>
      <c r="BI55" s="13">
        <f>+SUMIF(D55:AT55,".",D58:AT58)</f>
        <v>0</v>
      </c>
      <c r="BJ55" s="13">
        <f>+SUMIF(D55:AT55,"..",D58:AT58)</f>
        <v>2476.9</v>
      </c>
      <c r="BK55" s="13">
        <f>+SUMIF(D55:AT55,",",D58:AT58)</f>
        <v>0</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3</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18</v>
      </c>
      <c r="BE102" s="11">
        <f>+COUNTIF(D101:AT101,"Done")</f>
        <v>5</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8</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13</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Done</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11</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L164" s="13" t="s">
        <v>912</v>
      </c>
      <c r="N164" s="13" t="s">
        <v>912</v>
      </c>
      <c r="P164" s="13" t="s">
        <v>912</v>
      </c>
      <c r="R164" s="13" t="s">
        <v>912</v>
      </c>
      <c r="T164" s="13" t="s">
        <v>912</v>
      </c>
      <c r="V164" s="13" t="s">
        <v>912</v>
      </c>
      <c r="X164" s="13" t="s">
        <v>912</v>
      </c>
      <c r="Z164" s="13" t="s">
        <v>912</v>
      </c>
      <c r="AB164" s="13" t="s">
        <v>912</v>
      </c>
      <c r="AD164" s="13" t="s">
        <v>912</v>
      </c>
      <c r="AF164" s="13" t="s">
        <v>912</v>
      </c>
      <c r="AH164" s="13" t="s">
        <v>912</v>
      </c>
      <c r="AJ164" s="13" t="s">
        <v>912</v>
      </c>
      <c r="AL164" s="13" t="s">
        <v>912</v>
      </c>
      <c r="AN164" s="13" t="s">
        <v>912</v>
      </c>
      <c r="AP164" s="13" t="s">
        <v>912</v>
      </c>
      <c r="AR164" s="13" t="s">
        <v>912</v>
      </c>
      <c r="AT164" s="30"/>
      <c r="AU164" s="47"/>
      <c r="AV164" s="11"/>
      <c r="AW164" s="11"/>
      <c r="AX164" s="11"/>
      <c r="AY164" s="11"/>
      <c r="AZ164" s="11"/>
      <c r="BA164" s="11"/>
      <c r="BB164" s="11"/>
      <c r="BC164" s="11"/>
      <c r="BD164" s="135"/>
      <c r="BI164" s="13">
        <f>+SUMIF(D164:AT164,".",D167:AT167)</f>
        <v>0</v>
      </c>
      <c r="BJ164" s="13">
        <f>+SUMIF(D164:AT164,"..",D167:AT167)</f>
        <v>0</v>
      </c>
      <c r="BK164" s="13">
        <f>+SUMIF(D164:AT164,",",D167:AT167)</f>
        <v>6664.1100000000006</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907</v>
      </c>
      <c r="L197" s="13" t="s">
        <v>907</v>
      </c>
      <c r="N197" s="13" t="s">
        <v>907</v>
      </c>
      <c r="P197" s="13" t="s">
        <v>907</v>
      </c>
      <c r="R197" s="13" t="s">
        <v>907</v>
      </c>
      <c r="T197" s="13" t="s">
        <v>907</v>
      </c>
      <c r="V197" s="13" t="s">
        <v>907</v>
      </c>
      <c r="X197" s="13" t="s">
        <v>907</v>
      </c>
      <c r="Z197" s="13" t="s">
        <v>907</v>
      </c>
      <c r="AB197" s="13" t="s">
        <v>912</v>
      </c>
      <c r="AD197" s="13" t="s">
        <v>912</v>
      </c>
      <c r="AF197" s="13" t="s">
        <v>912</v>
      </c>
      <c r="AH197" s="13" t="s">
        <v>912</v>
      </c>
      <c r="AJ197" s="13" t="s">
        <v>912</v>
      </c>
      <c r="AL197" s="13" t="s">
        <v>912</v>
      </c>
      <c r="AN197" s="13" t="s">
        <v>912</v>
      </c>
      <c r="AO197" s="180"/>
      <c r="AP197" s="13" t="s">
        <v>912</v>
      </c>
      <c r="AR197" s="13" t="s">
        <v>912</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912</v>
      </c>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912</v>
      </c>
      <c r="F274" s="13" t="s">
        <v>912</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72" t="s">
        <v>138</v>
      </c>
      <c r="D285" s="972"/>
      <c r="E285" s="970" t="s">
        <v>921</v>
      </c>
      <c r="F285" s="970"/>
      <c r="G285" s="985" t="s">
        <v>920</v>
      </c>
      <c r="H285" s="974" t="s">
        <v>922</v>
      </c>
      <c r="I285" s="974"/>
      <c r="J285" s="974"/>
      <c r="K285" s="974"/>
      <c r="L285" s="974"/>
      <c r="M285" s="974"/>
      <c r="N285" s="974"/>
      <c r="O285" s="974"/>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73"/>
      <c r="D286" s="973"/>
      <c r="E286" s="971"/>
      <c r="F286" s="971"/>
      <c r="G286" s="986"/>
      <c r="H286" s="975" t="s">
        <v>437</v>
      </c>
      <c r="I286" s="975"/>
      <c r="J286" s="976" t="s">
        <v>435</v>
      </c>
      <c r="K286" s="976"/>
      <c r="L286" s="976"/>
      <c r="M286" s="976"/>
      <c r="N286" s="976"/>
      <c r="O286" s="976"/>
      <c r="P286" s="147"/>
      <c r="Q286" s="144"/>
      <c r="R286" s="143"/>
      <c r="S286" s="143"/>
      <c r="T286" s="143"/>
      <c r="U286" s="143"/>
      <c r="V286" s="147"/>
      <c r="W286" s="993" t="s">
        <v>927</v>
      </c>
      <c r="X286" s="993"/>
      <c r="Y286" s="993"/>
      <c r="Z286" s="993"/>
      <c r="AA286" s="993"/>
      <c r="AB286" s="993"/>
      <c r="AC286" s="993"/>
      <c r="AD286" s="993"/>
      <c r="AE286" s="993"/>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73"/>
      <c r="D287" s="973"/>
      <c r="E287" s="971"/>
      <c r="F287" s="971"/>
      <c r="G287" s="987"/>
      <c r="H287" s="148" t="s">
        <v>577</v>
      </c>
      <c r="I287" s="148" t="s">
        <v>16</v>
      </c>
      <c r="J287" s="148" t="s">
        <v>577</v>
      </c>
      <c r="K287" s="971" t="s">
        <v>918</v>
      </c>
      <c r="L287" s="971"/>
      <c r="M287" s="148" t="s">
        <v>16</v>
      </c>
      <c r="N287" s="971" t="s">
        <v>919</v>
      </c>
      <c r="O287" s="971"/>
      <c r="P287" s="145"/>
      <c r="R287" s="143"/>
      <c r="S287" s="145"/>
      <c r="T287" s="145"/>
      <c r="U287" s="145"/>
      <c r="V287" s="145"/>
      <c r="W287" s="992" t="s">
        <v>37</v>
      </c>
      <c r="X287" s="992"/>
      <c r="Y287" s="992"/>
      <c r="Z287" s="184" t="s">
        <v>923</v>
      </c>
      <c r="AA287" s="184" t="s">
        <v>924</v>
      </c>
      <c r="AB287" s="184" t="s">
        <v>16</v>
      </c>
      <c r="AC287" s="184" t="s">
        <v>926</v>
      </c>
      <c r="AD287" s="184" t="s">
        <v>925</v>
      </c>
      <c r="AE287" s="184" t="s">
        <v>928</v>
      </c>
      <c r="AT287" s="84"/>
      <c r="BO287" s="13"/>
    </row>
    <row r="288" spans="1:67" s="13" customFormat="1" x14ac:dyDescent="0.25">
      <c r="A288" s="11"/>
      <c r="B288" s="56"/>
      <c r="C288" s="511" t="s">
        <v>231</v>
      </c>
      <c r="D288" s="25"/>
      <c r="E288" s="995">
        <f>+COUNTIF('Visual chart Edit'!$C$6:$C$520,'Visual chart'!C288)</f>
        <v>150</v>
      </c>
      <c r="F288" s="996"/>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79">
        <f>G288*J288</f>
        <v>5475.638312000001</v>
      </c>
      <c r="L288" s="980"/>
      <c r="M288" s="94">
        <f t="shared" ref="M288:M316" si="3">E288-J288</f>
        <v>4</v>
      </c>
      <c r="N288" s="983">
        <f>+M288*G288</f>
        <v>150.01748800000001</v>
      </c>
      <c r="O288" s="983"/>
      <c r="P288" s="133"/>
      <c r="Q288" s="133"/>
      <c r="R288" s="133"/>
      <c r="S288" s="146"/>
      <c r="T288" s="133"/>
      <c r="U288" s="146"/>
      <c r="V288" s="133"/>
      <c r="W288" s="991" t="s">
        <v>10</v>
      </c>
      <c r="X288" s="991"/>
      <c r="Y288" s="991"/>
      <c r="Z288" s="172">
        <f>H317</f>
        <v>481</v>
      </c>
      <c r="AA288" s="172"/>
      <c r="AB288" s="172"/>
      <c r="AC288" s="172"/>
      <c r="AD288" s="172"/>
      <c r="AE288" s="172"/>
      <c r="AT288" s="30"/>
      <c r="BD288" s="510"/>
    </row>
    <row r="289" spans="1:56" s="13" customFormat="1" x14ac:dyDescent="0.25">
      <c r="A289" s="11"/>
      <c r="B289" s="56"/>
      <c r="C289" s="511" t="s">
        <v>20</v>
      </c>
      <c r="D289" s="25"/>
      <c r="E289" s="995">
        <f>+COUNTIF('Visual chart Edit'!$C$6:$C$520,'Visual chart'!C289)</f>
        <v>161</v>
      </c>
      <c r="F289" s="996"/>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9">
        <f t="shared" ref="K289:K316" si="4">G289*J289</f>
        <v>6021.3789299999989</v>
      </c>
      <c r="L289" s="980"/>
      <c r="M289" s="94">
        <f t="shared" si="3"/>
        <v>6</v>
      </c>
      <c r="N289" s="983">
        <f t="shared" ref="N289:N316" si="5">+M289*G289</f>
        <v>233.08563599999997</v>
      </c>
      <c r="O289" s="983"/>
      <c r="P289" s="133"/>
      <c r="Q289" s="133"/>
      <c r="R289" s="133"/>
      <c r="S289" s="146"/>
      <c r="T289" s="133"/>
      <c r="U289" s="146"/>
      <c r="V289" s="133"/>
      <c r="W289" s="991" t="s">
        <v>126</v>
      </c>
      <c r="X289" s="991"/>
      <c r="Y289" s="991"/>
      <c r="Z289" s="172">
        <f>J317</f>
        <v>459</v>
      </c>
      <c r="AA289" s="172"/>
      <c r="AB289" s="172"/>
      <c r="AC289" s="172"/>
      <c r="AD289" s="172"/>
      <c r="AE289" s="172"/>
      <c r="AT289" s="30"/>
      <c r="BD289" s="510"/>
    </row>
    <row r="290" spans="1:56" s="13" customFormat="1" x14ac:dyDescent="0.25">
      <c r="A290" s="11"/>
      <c r="B290" s="56"/>
      <c r="C290" s="511" t="s">
        <v>232</v>
      </c>
      <c r="D290" s="25"/>
      <c r="E290" s="995">
        <f>+COUNTIF('Visual chart Edit'!$C$6:$C$520,'Visual chart'!C290)</f>
        <v>48</v>
      </c>
      <c r="F290" s="996"/>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79">
        <f t="shared" si="4"/>
        <v>1861.9341480000003</v>
      </c>
      <c r="L290" s="980"/>
      <c r="M290" s="94">
        <f t="shared" si="3"/>
        <v>7</v>
      </c>
      <c r="N290" s="983">
        <f t="shared" si="5"/>
        <v>317.89119600000004</v>
      </c>
      <c r="O290" s="983"/>
      <c r="P290" s="133"/>
      <c r="Q290" s="133"/>
      <c r="R290" s="133"/>
      <c r="S290" s="146"/>
      <c r="T290" s="133"/>
      <c r="U290" s="146"/>
      <c r="V290" s="133"/>
      <c r="X290" s="23"/>
      <c r="AT290" s="30"/>
      <c r="BD290" s="510"/>
    </row>
    <row r="291" spans="1:56" s="13" customFormat="1" x14ac:dyDescent="0.25">
      <c r="A291" s="11"/>
      <c r="B291" s="56"/>
      <c r="C291" s="511" t="s">
        <v>233</v>
      </c>
      <c r="D291" s="25"/>
      <c r="E291" s="995">
        <f>+COUNTIF('Visual chart Edit'!$C$6:$C$520,'Visual chart'!C291)</f>
        <v>38</v>
      </c>
      <c r="F291" s="996"/>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9">
        <f t="shared" si="4"/>
        <v>1698.6366</v>
      </c>
      <c r="L291" s="980"/>
      <c r="M291" s="94">
        <f t="shared" si="3"/>
        <v>2</v>
      </c>
      <c r="N291" s="983">
        <f t="shared" si="5"/>
        <v>94.368700000000004</v>
      </c>
      <c r="O291" s="983"/>
      <c r="P291" s="133"/>
      <c r="Q291" s="133"/>
      <c r="R291" s="133"/>
      <c r="S291" s="146"/>
      <c r="T291" s="133"/>
      <c r="U291" s="146"/>
      <c r="V291" s="133"/>
      <c r="X291" s="23"/>
      <c r="AT291" s="30"/>
      <c r="BD291" s="510"/>
    </row>
    <row r="292" spans="1:56" s="13" customFormat="1" x14ac:dyDescent="0.25">
      <c r="A292" s="11"/>
      <c r="B292" s="56"/>
      <c r="C292" s="511" t="s">
        <v>242</v>
      </c>
      <c r="D292" s="25"/>
      <c r="E292" s="995">
        <f>+COUNTIF('Visual chart Edit'!$C$6:$C$520,'Visual chart'!C292)</f>
        <v>13</v>
      </c>
      <c r="F292" s="996"/>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9">
        <f t="shared" si="4"/>
        <v>633.56965100000002</v>
      </c>
      <c r="L292" s="980"/>
      <c r="M292" s="94">
        <f t="shared" si="3"/>
        <v>2</v>
      </c>
      <c r="N292" s="983">
        <f t="shared" si="5"/>
        <v>115.19448199999999</v>
      </c>
      <c r="O292" s="983"/>
      <c r="P292" s="133"/>
      <c r="Q292" s="133"/>
      <c r="R292" s="133"/>
      <c r="S292" s="146"/>
      <c r="T292" s="133"/>
      <c r="U292" s="146"/>
      <c r="V292" s="133"/>
      <c r="X292" s="23"/>
      <c r="AT292" s="30"/>
      <c r="BD292" s="510"/>
    </row>
    <row r="293" spans="1:56" s="13" customFormat="1" x14ac:dyDescent="0.25">
      <c r="A293" s="11"/>
      <c r="B293" s="56"/>
      <c r="C293" s="511" t="s">
        <v>243</v>
      </c>
      <c r="D293" s="25"/>
      <c r="E293" s="995">
        <f>+COUNTIF('Visual chart Edit'!$C$6:$C$520,'Visual chart'!C293)</f>
        <v>3</v>
      </c>
      <c r="F293" s="996"/>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9">
        <f t="shared" si="4"/>
        <v>180.29033100000001</v>
      </c>
      <c r="L293" s="980"/>
      <c r="M293" s="94">
        <f t="shared" si="3"/>
        <v>0</v>
      </c>
      <c r="N293" s="983">
        <f t="shared" si="5"/>
        <v>0</v>
      </c>
      <c r="O293" s="983"/>
      <c r="P293" s="133"/>
      <c r="Q293" s="133"/>
      <c r="R293" s="133"/>
      <c r="S293" s="146"/>
      <c r="T293" s="133"/>
      <c r="U293" s="146"/>
      <c r="V293" s="133"/>
      <c r="X293" s="23"/>
      <c r="AT293" s="30"/>
      <c r="BD293" s="510"/>
    </row>
    <row r="294" spans="1:56" s="13" customFormat="1" x14ac:dyDescent="0.25">
      <c r="A294" s="11"/>
      <c r="B294" s="56"/>
      <c r="C294" s="511" t="s">
        <v>246</v>
      </c>
      <c r="D294" s="25"/>
      <c r="E294" s="995">
        <f>+COUNTIF('Visual chart Edit'!$C$6:$C$520,'Visual chart'!C294)</f>
        <v>3</v>
      </c>
      <c r="F294" s="996"/>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9">
        <f t="shared" si="4"/>
        <v>203.62095299999999</v>
      </c>
      <c r="L294" s="980"/>
      <c r="M294" s="94">
        <f t="shared" si="3"/>
        <v>0</v>
      </c>
      <c r="N294" s="983">
        <f t="shared" si="5"/>
        <v>0</v>
      </c>
      <c r="O294" s="983"/>
      <c r="P294" s="133"/>
      <c r="Q294" s="133"/>
      <c r="R294" s="133"/>
      <c r="S294" s="146"/>
      <c r="T294" s="133"/>
      <c r="U294" s="146"/>
      <c r="V294" s="133"/>
      <c r="X294" s="23"/>
      <c r="AT294" s="30"/>
      <c r="BD294" s="510"/>
    </row>
    <row r="295" spans="1:56" s="13" customFormat="1" x14ac:dyDescent="0.25">
      <c r="A295" s="11"/>
      <c r="B295" s="56"/>
      <c r="C295" s="511" t="s">
        <v>240</v>
      </c>
      <c r="D295" s="25"/>
      <c r="E295" s="995">
        <f>+COUNTIF('Visual chart Edit'!$C$6:$C$520,'Visual chart'!C295)</f>
        <v>3</v>
      </c>
      <c r="F295" s="996"/>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9">
        <f t="shared" si="4"/>
        <v>212.10510899999997</v>
      </c>
      <c r="L295" s="980"/>
      <c r="M295" s="94">
        <f t="shared" si="3"/>
        <v>0</v>
      </c>
      <c r="N295" s="983">
        <f t="shared" si="5"/>
        <v>0</v>
      </c>
      <c r="O295" s="983"/>
      <c r="P295" s="133"/>
      <c r="Q295" s="133"/>
      <c r="R295" s="133"/>
      <c r="S295" s="146"/>
      <c r="T295" s="133"/>
      <c r="U295" s="146"/>
      <c r="V295" s="133"/>
      <c r="X295" s="23"/>
      <c r="AT295" s="30"/>
      <c r="BD295" s="510"/>
    </row>
    <row r="296" spans="1:56" s="13" customFormat="1" x14ac:dyDescent="0.25">
      <c r="A296" s="11"/>
      <c r="B296" s="56"/>
      <c r="C296" s="511" t="s">
        <v>245</v>
      </c>
      <c r="D296" s="25"/>
      <c r="E296" s="995">
        <f>+COUNTIF('Visual chart Edit'!$C$6:$C$520,'Visual chart'!C296)</f>
        <v>14</v>
      </c>
      <c r="F296" s="996"/>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9">
        <f t="shared" si="4"/>
        <v>806.36137399999996</v>
      </c>
      <c r="L296" s="980"/>
      <c r="M296" s="94">
        <f t="shared" si="3"/>
        <v>0</v>
      </c>
      <c r="N296" s="983">
        <f t="shared" si="5"/>
        <v>0</v>
      </c>
      <c r="O296" s="983"/>
      <c r="P296" s="133"/>
      <c r="Q296" s="133"/>
      <c r="R296" s="133"/>
      <c r="S296" s="146"/>
      <c r="T296" s="133"/>
      <c r="U296" s="146"/>
      <c r="V296" s="133"/>
      <c r="X296" s="23"/>
      <c r="AT296" s="30"/>
      <c r="BD296" s="510"/>
    </row>
    <row r="297" spans="1:56" s="13" customFormat="1" x14ac:dyDescent="0.25">
      <c r="A297" s="11"/>
      <c r="B297" s="56"/>
      <c r="C297" s="511" t="s">
        <v>249</v>
      </c>
      <c r="D297" s="25"/>
      <c r="E297" s="995">
        <f>+COUNTIF('Visual chart Edit'!$C$6:$C$520,'Visual chart'!C297)</f>
        <v>4</v>
      </c>
      <c r="F297" s="996"/>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9">
        <f t="shared" si="4"/>
        <v>180.29033100000001</v>
      </c>
      <c r="L297" s="980"/>
      <c r="M297" s="94">
        <f t="shared" si="3"/>
        <v>1</v>
      </c>
      <c r="N297" s="983">
        <f t="shared" si="5"/>
        <v>60.096777000000003</v>
      </c>
      <c r="O297" s="983"/>
      <c r="P297" s="133"/>
      <c r="Q297" s="133"/>
      <c r="R297" s="133"/>
      <c r="S297" s="146"/>
      <c r="T297" s="133"/>
      <c r="U297" s="146"/>
      <c r="V297" s="133"/>
      <c r="X297" s="23"/>
      <c r="AT297" s="30"/>
      <c r="BD297" s="510"/>
    </row>
    <row r="298" spans="1:56" s="13" customFormat="1" x14ac:dyDescent="0.25">
      <c r="A298" s="11"/>
      <c r="B298" s="56"/>
      <c r="C298" s="511" t="s">
        <v>234</v>
      </c>
      <c r="D298" s="25"/>
      <c r="E298" s="995">
        <f>+COUNTIF('Visual chart Edit'!$C$6:$C$520,'Visual chart'!C298)</f>
        <v>3</v>
      </c>
      <c r="F298" s="996"/>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9">
        <f t="shared" si="4"/>
        <v>203.62095299999999</v>
      </c>
      <c r="L298" s="980"/>
      <c r="M298" s="94">
        <f t="shared" si="3"/>
        <v>0</v>
      </c>
      <c r="N298" s="983">
        <f t="shared" si="5"/>
        <v>0</v>
      </c>
      <c r="O298" s="983"/>
      <c r="P298" s="133"/>
      <c r="Q298" s="133"/>
      <c r="R298" s="133"/>
      <c r="S298" s="146"/>
      <c r="T298" s="133"/>
      <c r="U298" s="146"/>
      <c r="V298" s="133"/>
      <c r="X298" s="23"/>
      <c r="AT298" s="30"/>
      <c r="BD298" s="510"/>
    </row>
    <row r="299" spans="1:56" s="13" customFormat="1" x14ac:dyDescent="0.25">
      <c r="A299" s="11"/>
      <c r="B299" s="56"/>
      <c r="C299" s="511" t="s">
        <v>241</v>
      </c>
      <c r="D299" s="25"/>
      <c r="E299" s="995">
        <f>+COUNTIF('Visual chart Edit'!$C$6:$C$520,'Visual chart'!C299)</f>
        <v>2</v>
      </c>
      <c r="F299" s="996"/>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9">
        <f t="shared" si="4"/>
        <v>141.40340599999999</v>
      </c>
      <c r="L299" s="980"/>
      <c r="M299" s="94">
        <f t="shared" si="3"/>
        <v>0</v>
      </c>
      <c r="N299" s="983">
        <f t="shared" si="5"/>
        <v>0</v>
      </c>
      <c r="O299" s="983"/>
      <c r="P299" s="133"/>
      <c r="Q299" s="133"/>
      <c r="R299" s="133"/>
      <c r="S299" s="146"/>
      <c r="T299" s="133"/>
      <c r="U299" s="146"/>
      <c r="V299" s="133"/>
      <c r="X299" s="23"/>
      <c r="AT299" s="30"/>
      <c r="BD299" s="510"/>
    </row>
    <row r="300" spans="1:56" s="13" customFormat="1" x14ac:dyDescent="0.25">
      <c r="A300" s="11"/>
      <c r="B300" s="56"/>
      <c r="C300" s="511" t="s">
        <v>239</v>
      </c>
      <c r="D300" s="25"/>
      <c r="E300" s="995">
        <f>+COUNTIF('Visual chart Edit'!$C$6:$C$520,'Visual chart'!C300)</f>
        <v>12</v>
      </c>
      <c r="F300" s="996"/>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81">
        <f t="shared" si="4"/>
        <v>730.1921769999999</v>
      </c>
      <c r="L300" s="981"/>
      <c r="M300" s="94">
        <f t="shared" si="3"/>
        <v>1</v>
      </c>
      <c r="N300" s="983">
        <f t="shared" si="5"/>
        <v>66.381106999999986</v>
      </c>
      <c r="O300" s="983"/>
      <c r="P300" s="133"/>
      <c r="Q300" s="133"/>
      <c r="R300" s="133"/>
      <c r="S300" s="146"/>
      <c r="T300" s="133"/>
      <c r="U300" s="146"/>
      <c r="V300" s="133"/>
      <c r="AT300" s="30"/>
      <c r="BD300" s="510"/>
    </row>
    <row r="301" spans="1:56" s="13" customFormat="1" x14ac:dyDescent="0.25">
      <c r="A301" s="11"/>
      <c r="B301" s="56"/>
      <c r="C301" s="511" t="s">
        <v>867</v>
      </c>
      <c r="D301" s="25"/>
      <c r="E301" s="995">
        <f>+COUNTIF('Visual chart Edit'!$C$6:$C$520,'Visual chart'!C301)</f>
        <v>1</v>
      </c>
      <c r="F301" s="996"/>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81">
        <f t="shared" si="4"/>
        <v>94.219902999999988</v>
      </c>
      <c r="L301" s="981"/>
      <c r="M301" s="94">
        <f t="shared" si="3"/>
        <v>0</v>
      </c>
      <c r="N301" s="983">
        <f t="shared" si="5"/>
        <v>0</v>
      </c>
      <c r="O301" s="983"/>
      <c r="P301" s="133"/>
      <c r="Q301" s="133"/>
      <c r="R301" s="133"/>
      <c r="S301" s="146"/>
      <c r="T301" s="133"/>
      <c r="U301" s="146"/>
      <c r="V301" s="133"/>
      <c r="AT301" s="30"/>
      <c r="BD301" s="510"/>
    </row>
    <row r="302" spans="1:56" s="13" customFormat="1" x14ac:dyDescent="0.25">
      <c r="A302" s="11"/>
      <c r="B302" s="56"/>
      <c r="C302" s="511" t="s">
        <v>869</v>
      </c>
      <c r="D302" s="25"/>
      <c r="E302" s="995">
        <f>+COUNTIF('Visual chart Edit'!$C$6:$C$520,'Visual chart'!C302)</f>
        <v>1</v>
      </c>
      <c r="F302" s="996"/>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81">
        <f t="shared" si="4"/>
        <v>69.228687000000008</v>
      </c>
      <c r="L302" s="981"/>
      <c r="M302" s="94">
        <f t="shared" si="3"/>
        <v>0</v>
      </c>
      <c r="N302" s="983">
        <f t="shared" si="5"/>
        <v>0</v>
      </c>
      <c r="O302" s="983"/>
      <c r="P302" s="133"/>
      <c r="Q302" s="133"/>
      <c r="R302" s="133"/>
      <c r="S302" s="146"/>
      <c r="T302" s="133"/>
      <c r="U302" s="146"/>
      <c r="V302" s="133"/>
      <c r="AT302" s="30"/>
      <c r="BD302" s="510"/>
    </row>
    <row r="303" spans="1:56" s="13" customFormat="1" x14ac:dyDescent="0.25">
      <c r="A303" s="11"/>
      <c r="B303" s="56"/>
      <c r="C303" s="511" t="s">
        <v>361</v>
      </c>
      <c r="D303" s="25"/>
      <c r="E303" s="995">
        <f>+COUNTIF('Visual chart Edit'!$C$6:$C$520,'Visual chart'!C303)</f>
        <v>2</v>
      </c>
      <c r="F303" s="996"/>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81">
        <f t="shared" si="4"/>
        <v>156.26409399999997</v>
      </c>
      <c r="L303" s="981"/>
      <c r="M303" s="94">
        <f t="shared" si="3"/>
        <v>0</v>
      </c>
      <c r="N303" s="983">
        <f t="shared" si="5"/>
        <v>0</v>
      </c>
      <c r="O303" s="983"/>
      <c r="P303" s="133"/>
      <c r="Q303" s="133"/>
      <c r="R303" s="133"/>
      <c r="S303" s="146"/>
      <c r="T303" s="133"/>
      <c r="U303" s="146"/>
      <c r="V303" s="133"/>
      <c r="AT303" s="30"/>
      <c r="BD303" s="510"/>
    </row>
    <row r="304" spans="1:56" s="13" customFormat="1" x14ac:dyDescent="0.25">
      <c r="A304" s="11"/>
      <c r="B304" s="56"/>
      <c r="C304" s="511" t="s">
        <v>871</v>
      </c>
      <c r="D304" s="25"/>
      <c r="E304" s="995">
        <f>+COUNTIF('Visual chart Edit'!$C$6:$C$520,'Visual chart'!C304)</f>
        <v>1</v>
      </c>
      <c r="F304" s="996"/>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81">
        <f t="shared" si="4"/>
        <v>81.494626999999994</v>
      </c>
      <c r="L304" s="981"/>
      <c r="M304" s="94">
        <f t="shared" si="3"/>
        <v>0</v>
      </c>
      <c r="N304" s="983">
        <f t="shared" si="5"/>
        <v>0</v>
      </c>
      <c r="O304" s="983"/>
      <c r="P304" s="133"/>
      <c r="Q304" s="133"/>
      <c r="R304" s="133"/>
      <c r="S304" s="146"/>
      <c r="T304" s="133"/>
      <c r="U304" s="146"/>
      <c r="V304" s="133"/>
      <c r="AT304" s="30"/>
      <c r="BD304" s="510"/>
    </row>
    <row r="305" spans="1:67" s="13" customFormat="1" x14ac:dyDescent="0.25">
      <c r="A305" s="11"/>
      <c r="B305" s="56"/>
      <c r="C305" s="511" t="s">
        <v>244</v>
      </c>
      <c r="D305" s="25"/>
      <c r="E305" s="995">
        <f>+COUNTIF('Visual chart Edit'!$C$6:$C$520,'Visual chart'!C305)</f>
        <v>9</v>
      </c>
      <c r="F305" s="996"/>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81">
        <f t="shared" si="4"/>
        <v>597.42996299999982</v>
      </c>
      <c r="L305" s="981"/>
      <c r="M305" s="94">
        <f t="shared" si="3"/>
        <v>0</v>
      </c>
      <c r="N305" s="983">
        <f t="shared" si="5"/>
        <v>0</v>
      </c>
      <c r="O305" s="983"/>
      <c r="P305" s="133"/>
      <c r="Q305" s="133"/>
      <c r="R305" s="133"/>
      <c r="S305" s="146"/>
      <c r="T305" s="133"/>
      <c r="U305" s="146"/>
      <c r="V305" s="133"/>
      <c r="AT305" s="30"/>
      <c r="BD305" s="510"/>
    </row>
    <row r="306" spans="1:67" s="13" customFormat="1" x14ac:dyDescent="0.25">
      <c r="A306" s="11"/>
      <c r="B306" s="56"/>
      <c r="C306" s="511" t="s">
        <v>906</v>
      </c>
      <c r="D306" s="25"/>
      <c r="E306" s="995">
        <f>+COUNTIF('Visual chart Edit'!$C$6:$C$520,'Visual chart'!C306)</f>
        <v>0</v>
      </c>
      <c r="F306" s="996"/>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81">
        <f t="shared" si="4"/>
        <v>0</v>
      </c>
      <c r="L306" s="981"/>
      <c r="M306" s="94">
        <f t="shared" si="3"/>
        <v>0</v>
      </c>
      <c r="N306" s="983">
        <f t="shared" si="5"/>
        <v>0</v>
      </c>
      <c r="O306" s="983"/>
      <c r="P306" s="133"/>
      <c r="Q306" s="133"/>
      <c r="R306" s="133"/>
      <c r="S306" s="146"/>
      <c r="T306" s="133"/>
      <c r="U306" s="146"/>
      <c r="V306" s="133"/>
      <c r="AT306" s="30"/>
      <c r="BD306" s="510"/>
    </row>
    <row r="307" spans="1:67" s="13" customFormat="1" x14ac:dyDescent="0.25">
      <c r="A307" s="11"/>
      <c r="B307" s="56"/>
      <c r="C307" s="511" t="s">
        <v>870</v>
      </c>
      <c r="D307" s="25"/>
      <c r="E307" s="995">
        <f>+COUNTIF('Visual chart Edit'!$C$6:$C$520,'Visual chart'!C307)</f>
        <v>1</v>
      </c>
      <c r="F307" s="996"/>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81">
        <f t="shared" si="4"/>
        <v>78.132046999999986</v>
      </c>
      <c r="L307" s="981"/>
      <c r="M307" s="94">
        <f t="shared" si="3"/>
        <v>0</v>
      </c>
      <c r="N307" s="983">
        <f t="shared" si="5"/>
        <v>0</v>
      </c>
      <c r="O307" s="983"/>
      <c r="P307" s="133"/>
      <c r="Q307" s="133"/>
      <c r="R307" s="133"/>
      <c r="S307" s="146"/>
      <c r="T307" s="133"/>
      <c r="U307" s="146"/>
      <c r="V307" s="133"/>
      <c r="AT307" s="30"/>
      <c r="BD307" s="510"/>
    </row>
    <row r="308" spans="1:67" s="13" customFormat="1" x14ac:dyDescent="0.25">
      <c r="A308" s="11"/>
      <c r="B308" s="56"/>
      <c r="C308" s="511" t="s">
        <v>248</v>
      </c>
      <c r="D308" s="25"/>
      <c r="E308" s="995">
        <f>+COUNTIF('Visual chart Edit'!$C$6:$C$520,'Visual chart'!C308)</f>
        <v>0</v>
      </c>
      <c r="F308" s="996"/>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81">
        <f t="shared" si="4"/>
        <v>0</v>
      </c>
      <c r="L308" s="981"/>
      <c r="M308" s="94">
        <f t="shared" si="3"/>
        <v>0</v>
      </c>
      <c r="N308" s="983">
        <f t="shared" si="5"/>
        <v>0</v>
      </c>
      <c r="O308" s="983"/>
      <c r="P308" s="133"/>
      <c r="Q308" s="133"/>
      <c r="R308" s="133"/>
      <c r="S308" s="146"/>
      <c r="T308" s="133"/>
      <c r="U308" s="146"/>
      <c r="V308" s="133"/>
      <c r="AT308" s="30"/>
      <c r="BD308" s="510"/>
    </row>
    <row r="309" spans="1:67" s="13" customFormat="1" x14ac:dyDescent="0.25">
      <c r="A309" s="11"/>
      <c r="B309" s="56"/>
      <c r="C309" s="511" t="s">
        <v>868</v>
      </c>
      <c r="D309" s="25"/>
      <c r="E309" s="995">
        <f>+COUNTIF('Visual chart Edit'!$C$6:$C$520,'Visual chart'!C309)</f>
        <v>2</v>
      </c>
      <c r="F309" s="996"/>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81">
        <f t="shared" si="4"/>
        <v>172.25855799999999</v>
      </c>
      <c r="L309" s="981"/>
      <c r="M309" s="94">
        <f t="shared" si="3"/>
        <v>0</v>
      </c>
      <c r="N309" s="983">
        <f t="shared" si="5"/>
        <v>0</v>
      </c>
      <c r="O309" s="983"/>
      <c r="P309" s="133"/>
      <c r="Q309" s="133"/>
      <c r="R309" s="133"/>
      <c r="S309" s="146"/>
      <c r="T309" s="133"/>
      <c r="U309" s="146"/>
      <c r="V309" s="133"/>
      <c r="AT309" s="30"/>
      <c r="BD309" s="510"/>
    </row>
    <row r="310" spans="1:67" s="13" customFormat="1" x14ac:dyDescent="0.25">
      <c r="A310" s="11"/>
      <c r="B310" s="56"/>
      <c r="C310" s="511" t="s">
        <v>247</v>
      </c>
      <c r="D310" s="25"/>
      <c r="E310" s="995">
        <f>+COUNTIF('Visual chart Edit'!$C$6:$C$520,'Visual chart'!C310)</f>
        <v>2</v>
      </c>
      <c r="F310" s="996"/>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81">
        <f t="shared" si="4"/>
        <v>89.909625000000005</v>
      </c>
      <c r="L310" s="981"/>
      <c r="M310" s="94">
        <f t="shared" si="3"/>
        <v>1</v>
      </c>
      <c r="N310" s="983">
        <f t="shared" si="5"/>
        <v>89.909625000000005</v>
      </c>
      <c r="O310" s="983"/>
      <c r="P310" s="133"/>
      <c r="Q310" s="133"/>
      <c r="R310" s="133"/>
      <c r="S310" s="146"/>
      <c r="T310" s="133"/>
      <c r="U310" s="146"/>
      <c r="V310" s="133"/>
      <c r="AT310" s="30"/>
      <c r="BD310" s="510"/>
    </row>
    <row r="311" spans="1:67" s="13" customFormat="1" x14ac:dyDescent="0.25">
      <c r="A311" s="11"/>
      <c r="B311" s="56"/>
      <c r="C311" s="511" t="s">
        <v>238</v>
      </c>
      <c r="D311" s="25"/>
      <c r="E311" s="995">
        <f>+COUNTIF('Visual chart Edit'!$C$6:$C$520,'Visual chart'!C311)</f>
        <v>3</v>
      </c>
      <c r="F311" s="996"/>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81">
        <f t="shared" si="4"/>
        <v>258.38783699999999</v>
      </c>
      <c r="L311" s="981"/>
      <c r="M311" s="94">
        <f t="shared" si="3"/>
        <v>0</v>
      </c>
      <c r="N311" s="983">
        <f t="shared" si="5"/>
        <v>0</v>
      </c>
      <c r="O311" s="983"/>
      <c r="P311" s="133"/>
      <c r="Q311" s="133"/>
      <c r="R311" s="133"/>
      <c r="S311" s="146"/>
      <c r="T311" s="133"/>
      <c r="U311" s="146"/>
      <c r="V311" s="133"/>
      <c r="AT311" s="30"/>
      <c r="BD311" s="510"/>
    </row>
    <row r="312" spans="1:67" s="13" customFormat="1" x14ac:dyDescent="0.25">
      <c r="A312" s="11"/>
      <c r="B312" s="56"/>
      <c r="C312" s="511" t="s">
        <v>362</v>
      </c>
      <c r="D312" s="25"/>
      <c r="E312" s="995">
        <f>+COUNTIF('Visual chart Edit'!$C$6:$C$520,'Visual chart'!C312)</f>
        <v>1</v>
      </c>
      <c r="F312" s="996"/>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81">
        <f t="shared" si="4"/>
        <v>0</v>
      </c>
      <c r="L312" s="981"/>
      <c r="M312" s="94">
        <f t="shared" si="3"/>
        <v>1</v>
      </c>
      <c r="N312" s="983">
        <f t="shared" si="5"/>
        <v>89.909625000000005</v>
      </c>
      <c r="O312" s="983"/>
      <c r="P312" s="133"/>
      <c r="Q312" s="133"/>
      <c r="R312" s="133"/>
      <c r="S312" s="146"/>
      <c r="T312" s="133"/>
      <c r="U312" s="146"/>
      <c r="V312" s="133"/>
      <c r="AT312" s="30"/>
      <c r="BD312" s="510"/>
    </row>
    <row r="313" spans="1:67" s="13" customFormat="1" x14ac:dyDescent="0.25">
      <c r="A313" s="11"/>
      <c r="B313" s="56"/>
      <c r="C313" s="511" t="s">
        <v>652</v>
      </c>
      <c r="D313" s="25"/>
      <c r="E313" s="995">
        <f>+COUNTIF('Visual chart Edit'!$C$6:$C$520,'Visual chart'!C313)</f>
        <v>2</v>
      </c>
      <c r="F313" s="996"/>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81">
        <f t="shared" si="4"/>
        <v>201.93601800000002</v>
      </c>
      <c r="L313" s="981"/>
      <c r="M313" s="94">
        <f t="shared" si="3"/>
        <v>0</v>
      </c>
      <c r="N313" s="983">
        <f t="shared" si="5"/>
        <v>0</v>
      </c>
      <c r="O313" s="983"/>
      <c r="P313" s="133"/>
      <c r="Q313" s="133"/>
      <c r="R313" s="133"/>
      <c r="S313" s="146"/>
      <c r="T313" s="133"/>
      <c r="U313" s="146"/>
      <c r="V313" s="133"/>
      <c r="AT313" s="30"/>
      <c r="BD313" s="510"/>
    </row>
    <row r="314" spans="1:67" s="13" customFormat="1" x14ac:dyDescent="0.25">
      <c r="A314" s="11"/>
      <c r="B314" s="56"/>
      <c r="C314" s="511" t="s">
        <v>357</v>
      </c>
      <c r="D314" s="25"/>
      <c r="E314" s="995">
        <f>+COUNTIF('Visual chart Edit'!$C$6:$C$520,'Visual chart'!C314)</f>
        <v>0</v>
      </c>
      <c r="F314" s="996"/>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81">
        <f t="shared" si="4"/>
        <v>0</v>
      </c>
      <c r="L314" s="981"/>
      <c r="M314" s="94">
        <f t="shared" si="3"/>
        <v>0</v>
      </c>
      <c r="N314" s="983">
        <f t="shared" si="5"/>
        <v>0</v>
      </c>
      <c r="O314" s="983"/>
      <c r="P314" s="133"/>
      <c r="Q314" s="133"/>
      <c r="R314" s="133"/>
      <c r="S314" s="146"/>
      <c r="T314" s="133"/>
      <c r="U314" s="146"/>
      <c r="V314" s="133"/>
      <c r="AT314" s="30"/>
      <c r="BD314" s="510"/>
    </row>
    <row r="315" spans="1:67" s="13" customFormat="1" x14ac:dyDescent="0.25">
      <c r="A315" s="11"/>
      <c r="B315" s="56"/>
      <c r="C315" s="511" t="s">
        <v>653</v>
      </c>
      <c r="D315" s="25"/>
      <c r="E315" s="995">
        <f>+COUNTIF('Visual chart Edit'!$C$6:$C$520,'Visual chart'!C315)</f>
        <v>1</v>
      </c>
      <c r="F315" s="996"/>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81">
        <f t="shared" si="4"/>
        <v>129.110961</v>
      </c>
      <c r="L315" s="981"/>
      <c r="M315" s="94">
        <f t="shared" si="3"/>
        <v>0</v>
      </c>
      <c r="N315" s="983">
        <f t="shared" si="5"/>
        <v>0</v>
      </c>
      <c r="O315" s="983"/>
      <c r="P315" s="133"/>
      <c r="Q315" s="133"/>
      <c r="R315" s="133"/>
      <c r="S315" s="146"/>
      <c r="T315" s="133"/>
      <c r="U315" s="146"/>
      <c r="V315" s="133"/>
      <c r="AT315" s="30"/>
      <c r="BD315" s="510"/>
    </row>
    <row r="316" spans="1:67" s="13" customFormat="1" x14ac:dyDescent="0.25">
      <c r="A316" s="11"/>
      <c r="B316" s="56"/>
      <c r="C316" s="511" t="s">
        <v>654</v>
      </c>
      <c r="D316" s="25"/>
      <c r="E316" s="995">
        <f>+COUNTIF('Visual chart Edit'!$C$6:$C$520,'Visual chart'!C316)</f>
        <v>5</v>
      </c>
      <c r="F316" s="996"/>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81">
        <f t="shared" si="4"/>
        <v>574.40749200000005</v>
      </c>
      <c r="L316" s="981"/>
      <c r="M316" s="94">
        <f t="shared" si="3"/>
        <v>1</v>
      </c>
      <c r="N316" s="983">
        <f t="shared" si="5"/>
        <v>143.60187300000001</v>
      </c>
      <c r="O316" s="983"/>
      <c r="P316" s="133"/>
      <c r="Q316" s="133"/>
      <c r="R316" s="133"/>
      <c r="S316" s="146"/>
      <c r="T316" s="133"/>
      <c r="U316" s="146"/>
      <c r="V316" s="133"/>
      <c r="AT316" s="30"/>
      <c r="BD316" s="510"/>
    </row>
    <row r="317" spans="1:67" s="23" customFormat="1" ht="15.75" customHeight="1" thickBot="1" x14ac:dyDescent="0.25">
      <c r="A317" s="46"/>
      <c r="B317" s="58"/>
      <c r="C317" s="988" t="s">
        <v>19</v>
      </c>
      <c r="D317" s="989"/>
      <c r="E317" s="977">
        <f>SUM(E288:F316)</f>
        <v>485</v>
      </c>
      <c r="F317" s="978"/>
      <c r="G317" s="632"/>
      <c r="H317" s="633">
        <f>+SUM(H288:H316)</f>
        <v>481</v>
      </c>
      <c r="I317" s="634">
        <f>SUM(I288:I316)</f>
        <v>4</v>
      </c>
      <c r="J317" s="633">
        <f>SUM(J288:J316)</f>
        <v>459</v>
      </c>
      <c r="K317" s="982">
        <f t="shared" ref="K317" si="6">SUM(K288:K316)</f>
        <v>20851.822086999997</v>
      </c>
      <c r="L317" s="982"/>
      <c r="M317" s="634">
        <f>+SUM(M288:M316)</f>
        <v>26</v>
      </c>
      <c r="N317" s="994">
        <f>+SUM(N288:N316)</f>
        <v>1360.4565090000001</v>
      </c>
      <c r="O317" s="994"/>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1264</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997" t="s">
        <v>656</v>
      </c>
      <c r="C3" s="997"/>
      <c r="D3" s="997"/>
      <c r="E3" s="997"/>
      <c r="F3" s="997"/>
      <c r="G3" s="997"/>
      <c r="H3" s="997"/>
      <c r="I3" s="997"/>
      <c r="J3" s="997"/>
    </row>
    <row r="4" spans="1:14" x14ac:dyDescent="0.25">
      <c r="A4" s="428" t="s">
        <v>303</v>
      </c>
      <c r="B4" s="998" t="s">
        <v>292</v>
      </c>
      <c r="C4" s="998"/>
      <c r="D4" s="998"/>
      <c r="E4" s="998"/>
      <c r="F4" s="998"/>
      <c r="G4" s="998"/>
      <c r="H4" s="998"/>
      <c r="I4" s="998"/>
      <c r="J4" s="998"/>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1192</v>
      </c>
    </row>
    <row r="6" spans="1:14" x14ac:dyDescent="0.25">
      <c r="A6" s="426">
        <v>0</v>
      </c>
      <c r="B6" s="426" t="s">
        <v>655</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Compiled'!$C$6:$C$815,0),"B")="B","","E")</f>
        <v>E</v>
      </c>
      <c r="M7" s="426" t="str">
        <f>+IFERROR(VLOOKUP(B7,Tackwelding!$B$6:$G$322,6,FALSE),"")</f>
        <v/>
      </c>
    </row>
    <row r="8" spans="1:14" x14ac:dyDescent="0.25">
      <c r="A8" s="426">
        <v>2</v>
      </c>
      <c r="B8" s="426" t="s">
        <v>627</v>
      </c>
      <c r="C8" s="426" t="s">
        <v>238</v>
      </c>
      <c r="H8" s="426" t="str">
        <f>+CONCATENATE(D8,",",E8,",",F8,",",G8)</f>
        <v>,,,</v>
      </c>
      <c r="I8" s="429">
        <v>90</v>
      </c>
      <c r="J8" s="426" t="s">
        <v>665</v>
      </c>
      <c r="K8" s="426" t="str">
        <f>+IFERROR(VLOOKUP(B8,Foundation!$C$8:$E$696,3,FALSE),"")</f>
        <v>DRY</v>
      </c>
      <c r="L8" s="426" t="str">
        <f>+IF(IFERROR(MATCH(B8,'Erection Compiled'!$C$6:$C$815,0),"B")="B","","E")</f>
        <v>E</v>
      </c>
      <c r="M8" s="426" t="str">
        <f>+IFERROR(VLOOKUP(B8,Tackwelding!$B$6:$G$322,6,FALSE),"")</f>
        <v>Done</v>
      </c>
      <c r="N8" s="765"/>
    </row>
    <row r="9" spans="1:14" x14ac:dyDescent="0.25">
      <c r="A9" s="426">
        <v>3</v>
      </c>
      <c r="B9" s="426" t="s">
        <v>628</v>
      </c>
      <c r="C9" s="426" t="s">
        <v>232</v>
      </c>
      <c r="H9" s="426" t="str">
        <f t="shared" ref="H9:H72" si="0">+CONCATENATE(D9,",",E9,",",F9,",",G9)</f>
        <v>,,,</v>
      </c>
      <c r="I9" s="429">
        <v>277.7</v>
      </c>
      <c r="K9" s="426" t="str">
        <f>+IFERROR(VLOOKUP(B9,Foundation!$C$8:$E$696,3,FALSE),"")</f>
        <v>DFR</v>
      </c>
      <c r="L9" s="426" t="str">
        <f>+IF(IFERROR(MATCH(B9,'Erection Compiled'!$C$6:$C$815,0),"B")="B","","E")</f>
        <v>E</v>
      </c>
      <c r="M9" s="426" t="str">
        <f>+IFERROR(VLOOKUP(B9,Tackwelding!$B$6:$G$322,6,FALSE),"")</f>
        <v>Done</v>
      </c>
    </row>
    <row r="10" spans="1:14" x14ac:dyDescent="0.25">
      <c r="A10" s="426">
        <v>4</v>
      </c>
      <c r="B10" s="426" t="s">
        <v>629</v>
      </c>
      <c r="C10" s="426" t="s">
        <v>231</v>
      </c>
      <c r="E10" s="426">
        <v>1</v>
      </c>
      <c r="F10" s="426">
        <v>1</v>
      </c>
      <c r="H10" s="426" t="str">
        <f t="shared" si="0"/>
        <v>,1,1,</v>
      </c>
      <c r="I10" s="429">
        <v>386</v>
      </c>
      <c r="K10" s="426" t="str">
        <f>+IFERROR(VLOOKUP(B10,Foundation!$C$8:$E$696,3,FALSE),"")</f>
        <v>DRY</v>
      </c>
      <c r="L10" s="426" t="str">
        <f>+IF(IFERROR(MATCH(B10,'Erection Compiled'!$C$6:$C$815,0),"B")="B","","E")</f>
        <v>E</v>
      </c>
      <c r="M10" s="426" t="str">
        <f>+IFERROR(VLOOKUP(B10,Tackwelding!$B$6:$G$322,6,FALSE),"")</f>
        <v/>
      </c>
    </row>
    <row r="11" spans="1:14" x14ac:dyDescent="0.25">
      <c r="A11" s="426">
        <v>5</v>
      </c>
      <c r="B11" s="426" t="s">
        <v>630</v>
      </c>
      <c r="C11" s="426" t="s">
        <v>231</v>
      </c>
      <c r="H11" s="426" t="str">
        <f t="shared" si="0"/>
        <v>,,,</v>
      </c>
      <c r="I11" s="429">
        <v>443.6</v>
      </c>
      <c r="K11" s="426" t="str">
        <f>+IFERROR(VLOOKUP(B11,Foundation!$C$8:$E$696,3,FALSE),"")</f>
        <v>DRY</v>
      </c>
      <c r="L11" s="426" t="str">
        <f>+IF(IFERROR(MATCH(B11,'Erection Compiled'!$C$6:$C$815,0),"B")="B","","E")</f>
        <v>E</v>
      </c>
      <c r="M11" s="426" t="str">
        <f>+IFERROR(VLOOKUP(B11,Tackwelding!$B$6:$G$322,6,FALSE),"")</f>
        <v>Done</v>
      </c>
    </row>
    <row r="12" spans="1:14" x14ac:dyDescent="0.25">
      <c r="A12" s="426">
        <v>6</v>
      </c>
      <c r="B12" s="426" t="s">
        <v>631</v>
      </c>
      <c r="C12" s="426" t="s">
        <v>20</v>
      </c>
      <c r="F12" s="426">
        <v>1</v>
      </c>
      <c r="H12" s="426" t="str">
        <f t="shared" si="0"/>
        <v>,,1,</v>
      </c>
      <c r="I12" s="429">
        <v>333.4</v>
      </c>
      <c r="K12" s="426" t="str">
        <f>+IFERROR(VLOOKUP(B12,Foundation!$C$8:$E$696,3,FALSE),"")</f>
        <v>DFR</v>
      </c>
      <c r="L12" s="426" t="str">
        <f>+IF(IFERROR(MATCH(B12,'Erection Compiled'!$C$6:$C$815,0),"B")="B","","E")</f>
        <v>E</v>
      </c>
      <c r="M12" s="426" t="str">
        <f>+IFERROR(VLOOKUP(B12,Tackwelding!$B$6:$G$322,6,FALSE),"")</f>
        <v>Done</v>
      </c>
    </row>
    <row r="13" spans="1:14" x14ac:dyDescent="0.25">
      <c r="A13" s="426">
        <v>7</v>
      </c>
      <c r="B13" s="426" t="s">
        <v>632</v>
      </c>
      <c r="C13" s="426" t="s">
        <v>231</v>
      </c>
      <c r="D13" s="426">
        <v>1</v>
      </c>
      <c r="E13" s="426">
        <v>1</v>
      </c>
      <c r="H13" s="426" t="str">
        <f t="shared" si="0"/>
        <v>1,1,,</v>
      </c>
      <c r="I13" s="429">
        <v>431.9</v>
      </c>
      <c r="K13" s="426" t="str">
        <f>+IFERROR(VLOOKUP(B13,Foundation!$C$8:$E$696,3,FALSE),"")</f>
        <v>DRY</v>
      </c>
      <c r="L13" s="426" t="str">
        <f>+IF(IFERROR(MATCH(B13,'Erection Compiled'!$C$6:$C$815,0),"B")="B","","E")</f>
        <v>E</v>
      </c>
      <c r="M13" s="426" t="str">
        <f>+IFERROR(VLOOKUP(B13,Tackwelding!$B$6:$G$322,6,FALSE),"")</f>
        <v>Done</v>
      </c>
    </row>
    <row r="14" spans="1:14" x14ac:dyDescent="0.25">
      <c r="A14" s="426">
        <v>8</v>
      </c>
      <c r="B14" s="426" t="s">
        <v>633</v>
      </c>
      <c r="C14" s="426" t="s">
        <v>231</v>
      </c>
      <c r="D14" s="426">
        <v>1</v>
      </c>
      <c r="G14" s="426">
        <v>1</v>
      </c>
      <c r="H14" s="426" t="str">
        <f t="shared" si="0"/>
        <v>1,,,1</v>
      </c>
      <c r="I14" s="429">
        <v>348.7</v>
      </c>
      <c r="K14" s="426" t="str">
        <f>+IFERROR(VLOOKUP(B14,Foundation!$C$8:$E$696,3,FALSE),"")</f>
        <v>Sandy</v>
      </c>
      <c r="L14" s="426" t="str">
        <f>+IF(IFERROR(MATCH(B14,'Erection Compiled'!$C$6:$C$815,0),"B")="B","","E")</f>
        <v>E</v>
      </c>
      <c r="M14" s="426" t="str">
        <f>+IFERROR(VLOOKUP(B14,Tackwelding!$B$6:$G$322,6,FALSE),"")</f>
        <v>Done</v>
      </c>
    </row>
    <row r="15" spans="1:14" x14ac:dyDescent="0.25">
      <c r="A15" s="426">
        <v>9</v>
      </c>
      <c r="B15" s="426" t="s">
        <v>634</v>
      </c>
      <c r="C15" s="426" t="s">
        <v>20</v>
      </c>
      <c r="E15" s="426">
        <v>1</v>
      </c>
      <c r="H15" s="426" t="str">
        <f t="shared" si="0"/>
        <v>,1,,</v>
      </c>
      <c r="I15" s="429">
        <v>395.7</v>
      </c>
      <c r="K15" s="426" t="str">
        <f>+IFERROR(VLOOKUP(B15,Foundation!$C$8:$E$696,3,FALSE),"")</f>
        <v>Sandy</v>
      </c>
      <c r="L15" s="426" t="str">
        <f>+IF(IFERROR(MATCH(B15,'Erection Compiled'!$C$6:$C$815,0),"B")="B","","E")</f>
        <v>E</v>
      </c>
      <c r="M15" s="426" t="str">
        <f>+IFERROR(VLOOKUP(B15,Tackwelding!$B$6:$G$322,6,FALSE),"")</f>
        <v/>
      </c>
    </row>
    <row r="16" spans="1:14" x14ac:dyDescent="0.25">
      <c r="A16" s="426">
        <v>10</v>
      </c>
      <c r="B16" s="426" t="s">
        <v>635</v>
      </c>
      <c r="C16" s="426" t="s">
        <v>231</v>
      </c>
      <c r="H16" s="426" t="str">
        <f t="shared" si="0"/>
        <v>,,,</v>
      </c>
      <c r="I16" s="429">
        <v>415</v>
      </c>
      <c r="K16" s="426" t="str">
        <f>+IFERROR(VLOOKUP(B16,Foundation!$C$8:$E$696,3,FALSE),"")</f>
        <v>Sandy</v>
      </c>
      <c r="L16" s="426" t="str">
        <f>+IF(IFERROR(MATCH(B16,'Erection Compiled'!$C$6:$C$815,0),"B")="B","","E")</f>
        <v>E</v>
      </c>
      <c r="M16" s="426" t="str">
        <f>+IFERROR(VLOOKUP(B16,Tackwelding!$B$6:$G$322,6,FALSE),"")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Compiled'!$C$6:$C$815,0),"B")="B","","E")</f>
        <v>E</v>
      </c>
      <c r="M17" s="426" t="str">
        <f>+IFERROR(VLOOKUP(B17,Tackwelding!$B$6:$G$322,6,FALSE),"")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Compiled'!$C$6:$C$815,0),"B")="B","","E")</f>
        <v>E</v>
      </c>
      <c r="M18" s="426" t="str">
        <f>+IFERROR(VLOOKUP(B18,Tackwelding!$B$6:$G$322,6,FALSE),"")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Compiled'!$C$6:$C$815,0),"B")="B","","E")</f>
        <v>E</v>
      </c>
      <c r="M19" s="426" t="str">
        <f>+IFERROR(VLOOKUP(B19,Tackwelding!$B$6:$G$322,6,FALSE),"")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Compiled'!$C$6:$C$815,0),"B")="B","","E")</f>
        <v>E</v>
      </c>
      <c r="M20" s="426" t="str">
        <f>+IFERROR(VLOOKUP(B20,Tackwelding!$B$6:$G$322,6,FALSE),"")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Compiled'!$C$6:$C$815,0),"B")="B","","E")</f>
        <v>E</v>
      </c>
      <c r="M21" s="426" t="str">
        <f>+IFERROR(VLOOKUP(B21,Tackwelding!$B$6:$G$322,6,FALSE),"")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Compiled'!$C$6:$C$815,0),"B")="B","","E")</f>
        <v>E</v>
      </c>
      <c r="M22" s="426" t="str">
        <f>+IFERROR(VLOOKUP(B22,Tackwelding!$B$6:$G$322,6,FALSE),"")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Compiled'!$C$6:$C$815,0),"B")="B","","E")</f>
        <v>E</v>
      </c>
      <c r="M23" s="426" t="str">
        <f>+IFERROR(VLOOKUP(B23,Tackwelding!$B$6:$G$322,6,FALSE),"")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Compiled'!$C$6:$C$815,0),"B")="B","","E")</f>
        <v>E</v>
      </c>
      <c r="M24" s="426" t="str">
        <f>+IFERROR(VLOOKUP(B24,Tackwelding!$B$6:$G$322,6,FALSE),"")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Compiled'!$C$6:$C$815,0),"B")="B","","E")</f>
        <v>E</v>
      </c>
      <c r="M25" s="426" t="str">
        <f>+IFERROR(VLOOKUP(B25,Tackwelding!$B$6:$G$322,6,FALSE),"")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Compiled'!$C$6:$C$815,0),"B")="B","","E")</f>
        <v>E</v>
      </c>
      <c r="M26" s="426" t="str">
        <f>+IFERROR(VLOOKUP(B26,Tackwelding!$B$6:$G$322,6,FALSE),"")</f>
        <v>Done</v>
      </c>
    </row>
    <row r="27" spans="1:13" x14ac:dyDescent="0.25">
      <c r="A27" s="426">
        <v>21</v>
      </c>
      <c r="B27" s="430" t="s">
        <v>38</v>
      </c>
      <c r="C27" s="430" t="s">
        <v>652</v>
      </c>
      <c r="D27" s="430"/>
      <c r="E27" s="430"/>
      <c r="F27" s="430"/>
      <c r="G27" s="430"/>
      <c r="H27" s="430" t="str">
        <f t="shared" si="0"/>
        <v>,,,</v>
      </c>
      <c r="I27" s="431">
        <v>336</v>
      </c>
      <c r="K27" s="426" t="str">
        <f>+IFERROR(VLOOKUP(B27,Foundation!$C$8:$E$696,3,FALSE),"")</f>
        <v>DRY</v>
      </c>
      <c r="L27" s="426" t="str">
        <f>+IF(IFERROR(MATCH(B27,'Erection Compiled'!$C$6:$C$815,0),"B")="B","","E")</f>
        <v>E</v>
      </c>
      <c r="M27" s="426" t="str">
        <f>+IFERROR(VLOOKUP(B27,Tackwelding!$B$6:$G$322,6,FALSE),"")</f>
        <v/>
      </c>
    </row>
    <row r="28" spans="1:13" x14ac:dyDescent="0.25">
      <c r="A28" s="426">
        <v>22</v>
      </c>
      <c r="B28" s="426" t="s">
        <v>39</v>
      </c>
      <c r="C28" s="426" t="s">
        <v>652</v>
      </c>
      <c r="H28" s="426" t="str">
        <f t="shared" si="0"/>
        <v>,,,</v>
      </c>
      <c r="I28" s="431">
        <v>226.5</v>
      </c>
      <c r="K28" s="426" t="str">
        <f>+IFERROR(VLOOKUP(B28,Foundation!$C$8:$E$696,3,FALSE),"")</f>
        <v>DRY</v>
      </c>
      <c r="L28" s="426" t="str">
        <f>+IF(IFERROR(MATCH(B28,'Erection Compiled'!$C$6:$C$815,0),"B")="B","","E")</f>
        <v>E</v>
      </c>
      <c r="M28" s="426" t="str">
        <f>+IFERROR(VLOOKUP(B28,Tackwelding!$B$6:$G$322,6,FALSE),"")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Compiled'!$C$6:$C$815,0),"B")="B","","E")</f>
        <v>E</v>
      </c>
      <c r="M29" s="426" t="str">
        <f>+IFERROR(VLOOKUP(B29,Tackwelding!$B$6:$G$322,6,FALSE),"")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Compiled'!$C$6:$C$815,0),"B")="B","","E")</f>
        <v>E</v>
      </c>
      <c r="M30" s="426" t="str">
        <f>+IFERROR(VLOOKUP(B30,Tackwelding!$B$6:$G$322,6,FALSE),"")</f>
        <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Compiled'!$C$6:$C$815,0),"B")="B","","E")</f>
        <v>E</v>
      </c>
      <c r="M31" s="426" t="str">
        <f>+IFERROR(VLOOKUP(B31,Tackwelding!$B$6:$G$322,6,FALSE),"")</f>
        <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Compiled'!$C$6:$C$815,0),"B")="B","","E")</f>
        <v>E</v>
      </c>
      <c r="M32" s="426" t="str">
        <f>+IFERROR(VLOOKUP(B32,Tackwelding!$B$6:$G$322,6,FALSE),"")</f>
        <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Compiled'!$C$6:$C$815,0),"B")="B","","E")</f>
        <v>E</v>
      </c>
      <c r="M33" s="426" t="str">
        <f>+IFERROR(VLOOKUP(B33,Tackwelding!$B$6:$G$322,6,FALSE),"")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Compiled'!$C$6:$C$815,0),"B")="B","","E")</f>
        <v>E</v>
      </c>
      <c r="M34" s="426" t="str">
        <f>+IFERROR(VLOOKUP(B34,Tackwelding!$B$6:$G$322,6,FALSE),"")</f>
        <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Compiled'!$C$6:$C$815,0),"B")="B","","E")</f>
        <v>E</v>
      </c>
      <c r="M35" s="426" t="str">
        <f>+IFERROR(VLOOKUP(B35,Tackwelding!$B$6:$G$322,6,FALSE),"")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Compiled'!$C$6:$C$815,0),"B")="B","","E")</f>
        <v>E</v>
      </c>
      <c r="M36" s="426" t="str">
        <f>+IFERROR(VLOOKUP(B36,Tackwelding!$B$6:$G$322,6,FALSE),"")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Compiled'!$C$6:$C$815,0),"B")="B","","E")</f>
        <v>E</v>
      </c>
      <c r="M37" s="426" t="str">
        <f>+IFERROR(VLOOKUP(B37,Tackwelding!$B$6:$G$322,6,FALSE),"")</f>
        <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Compiled'!$C$6:$C$815,0),"B")="B","","E")</f>
        <v>E</v>
      </c>
      <c r="M38" s="426" t="str">
        <f>+IFERROR(VLOOKUP(B38,Tackwelding!$B$6:$G$322,6,FALSE),"")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Compiled'!$C$6:$C$815,0),"B")="B","","E")</f>
        <v>E</v>
      </c>
      <c r="M39" s="426" t="str">
        <f>+IFERROR(VLOOKUP(B39,Tackwelding!$B$6:$G$322,6,FALSE),"")</f>
        <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Compiled'!$C$6:$C$815,0),"B")="B","","E")</f>
        <v>E</v>
      </c>
      <c r="M40" s="426" t="str">
        <f>+IFERROR(VLOOKUP(B40,Tackwelding!$B$6:$G$322,6,FALSE),"")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Compiled'!$C$6:$C$815,0),"B")="B","","E")</f>
        <v>E</v>
      </c>
      <c r="M41" s="426" t="str">
        <f>+IFERROR(VLOOKUP(B41,Tackwelding!$B$6:$G$322,6,FALSE),"")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Compiled'!$C$6:$C$815,0),"B")="B","","E")</f>
        <v>E</v>
      </c>
      <c r="M42" s="426" t="str">
        <f>+IFERROR(VLOOKUP(B42,Tackwelding!$B$6:$G$322,6,FALSE),"")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Compiled'!$C$6:$C$815,0),"B")="B","","E")</f>
        <v>E</v>
      </c>
      <c r="M43" s="426" t="str">
        <f>+IFERROR(VLOOKUP(B43,Tackwelding!$B$6:$G$322,6,FALSE),"")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Compiled'!$C$6:$C$815,0),"B")="B","","E")</f>
        <v/>
      </c>
      <c r="M44" s="426" t="str">
        <f>+IFERROR(VLOOKUP(B44,Tackwelding!$B$6:$G$322,6,FALSE),"")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Compiled'!$C$6:$C$815,0),"B")="B","","E")</f>
        <v/>
      </c>
      <c r="M45" s="426" t="str">
        <f>+IFERROR(VLOOKUP(B45,Tackwelding!$B$6:$G$322,6,FALSE),"")</f>
        <v/>
      </c>
    </row>
    <row r="46" spans="1:13" x14ac:dyDescent="0.25">
      <c r="A46" s="426">
        <v>40</v>
      </c>
      <c r="B46" s="426" t="s">
        <v>153</v>
      </c>
      <c r="C46" s="426" t="s">
        <v>232</v>
      </c>
      <c r="H46" s="426" t="str">
        <f t="shared" si="0"/>
        <v>,,,</v>
      </c>
      <c r="I46" s="429">
        <v>414.4</v>
      </c>
      <c r="K46" s="426" t="str">
        <f>+IFERROR(VLOOKUP(B46,Foundation!$C$8:$E$696,3,FALSE),"")</f>
        <v>ROW</v>
      </c>
      <c r="L46" s="426" t="str">
        <f>+IF(IFERROR(MATCH(B46,'Erection Compiled'!$C$6:$C$815,0),"B")="B","","E")</f>
        <v/>
      </c>
      <c r="M46" s="426" t="str">
        <f>+IFERROR(VLOOKUP(B46,Tackwelding!$B$6:$G$322,6,FALSE),"")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Compiled'!$C$6:$C$815,0),"B")="B","","E")</f>
        <v>E</v>
      </c>
      <c r="M47" s="426" t="str">
        <f>+IFERROR(VLOOKUP(B47,Tackwelding!$B$6:$G$322,6,FALSE),"")</f>
        <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Compiled'!$C$6:$C$815,0),"B")="B","","E")</f>
        <v>E</v>
      </c>
      <c r="M48" s="426" t="str">
        <f>+IFERROR(VLOOKUP(B48,Tackwelding!$B$6:$G$322,6,FALSE),"")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Compiled'!$C$6:$C$815,0),"B")="B","","E")</f>
        <v/>
      </c>
      <c r="M49" s="426" t="str">
        <f>+IFERROR(VLOOKUP(B49,Tackwelding!$B$6:$G$322,6,FALSE),"")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Compiled'!$C$6:$C$815,0),"B")="B","","E")</f>
        <v>E</v>
      </c>
      <c r="M50" s="426" t="str">
        <f>+IFERROR(VLOOKUP(B50,Tackwelding!$B$6:$G$322,6,FALSE),"")</f>
        <v/>
      </c>
    </row>
    <row r="51" spans="1:13" x14ac:dyDescent="0.25">
      <c r="A51" s="426">
        <v>45</v>
      </c>
      <c r="B51" s="430" t="s">
        <v>45</v>
      </c>
      <c r="C51" s="430" t="s">
        <v>653</v>
      </c>
      <c r="D51" s="430"/>
      <c r="E51" s="430"/>
      <c r="F51" s="430"/>
      <c r="G51" s="430"/>
      <c r="H51" s="430" t="str">
        <f t="shared" si="0"/>
        <v>,,,</v>
      </c>
      <c r="I51" s="431">
        <v>457.7</v>
      </c>
      <c r="K51" s="426" t="str">
        <f>+IFERROR(VLOOKUP(B51,Foundation!$C$8:$E$696,3,FALSE),"")</f>
        <v>DRY</v>
      </c>
      <c r="L51" s="426" t="str">
        <f>+IF(IFERROR(MATCH(B51,'Erection Compiled'!$C$6:$C$815,0),"B")="B","","E")</f>
        <v>E</v>
      </c>
      <c r="M51" s="426" t="str">
        <f>+IFERROR(VLOOKUP(B51,Tackwelding!$B$6:$G$322,6,FALSE),"")</f>
        <v/>
      </c>
    </row>
    <row r="52" spans="1:13" x14ac:dyDescent="0.25">
      <c r="A52" s="426">
        <v>46</v>
      </c>
      <c r="B52" s="426" t="s">
        <v>46</v>
      </c>
      <c r="C52" s="426" t="s">
        <v>654</v>
      </c>
      <c r="H52" s="426" t="str">
        <f t="shared" si="0"/>
        <v>,,,</v>
      </c>
      <c r="I52" s="431">
        <v>233.1</v>
      </c>
      <c r="K52" s="426" t="str">
        <f>+IFERROR(VLOOKUP(B52,Foundation!$C$8:$E$696,3,FALSE),"")</f>
        <v>DFR</v>
      </c>
      <c r="L52" s="426" t="str">
        <f>+IF(IFERROR(MATCH(B52,'Erection Compiled'!$C$6:$C$815,0),"B")="B","","E")</f>
        <v/>
      </c>
      <c r="M52" s="426" t="str">
        <f>+IFERROR(VLOOKUP(B52,Tackwelding!$B$6:$G$322,6,FALSE),"")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Compiled'!$C$6:$C$815,0),"B")="B","","E")</f>
        <v>E</v>
      </c>
      <c r="M53" s="426" t="str">
        <f>+IFERROR(VLOOKUP(B53,Tackwelding!$B$6:$G$322,6,FALSE),"")</f>
        <v/>
      </c>
    </row>
    <row r="54" spans="1:13" x14ac:dyDescent="0.25">
      <c r="A54" s="426">
        <v>48</v>
      </c>
      <c r="B54" s="426" t="s">
        <v>468</v>
      </c>
      <c r="C54" s="426" t="s">
        <v>231</v>
      </c>
      <c r="H54" s="426" t="str">
        <f t="shared" si="0"/>
        <v>,,,</v>
      </c>
      <c r="I54" s="429">
        <v>383.2</v>
      </c>
      <c r="K54" s="426" t="str">
        <f>+IFERROR(VLOOKUP(B54,Foundation!$C$8:$E$696,3,FALSE),"")</f>
        <v>WIP</v>
      </c>
      <c r="L54" s="426" t="str">
        <f>+IF(IFERROR(MATCH(B54,'Erection Compiled'!$C$6:$C$815,0),"B")="B","","E")</f>
        <v/>
      </c>
      <c r="M54" s="426" t="str">
        <f>+IFERROR(VLOOKUP(B54,Tackwelding!$B$6:$G$322,6,FALSE),"")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Compiled'!$C$6:$C$815,0),"B")="B","","E")</f>
        <v>E</v>
      </c>
      <c r="M55" s="426" t="str">
        <f>+IFERROR(VLOOKUP(B55,Tackwelding!$B$6:$G$322,6,FALSE),"")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Compiled'!$C$6:$C$815,0),"B")="B","","E")</f>
        <v>E</v>
      </c>
      <c r="M56" s="426" t="str">
        <f>+IFERROR(VLOOKUP(B56,Tackwelding!$B$6:$G$322,6,FALSE),"")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Compiled'!$C$6:$C$815,0),"B")="B","","E")</f>
        <v>E</v>
      </c>
      <c r="M57" s="426" t="str">
        <f>+IFERROR(VLOOKUP(B57,Tackwelding!$B$6:$G$322,6,FALSE),"")</f>
        <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Compiled'!$C$6:$C$815,0),"B")="B","","E")</f>
        <v>E</v>
      </c>
      <c r="M58" s="426" t="str">
        <f>+IFERROR(VLOOKUP(B58,Tackwelding!$B$6:$G$322,6,FALSE),"")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Compiled'!$C$6:$C$815,0),"B")="B","","E")</f>
        <v>E</v>
      </c>
      <c r="M59" s="426" t="str">
        <f>+IFERROR(VLOOKUP(B59,Tackwelding!$B$6:$G$322,6,FALSE),"")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Compiled'!$C$6:$C$815,0),"B")="B","","E")</f>
        <v>E</v>
      </c>
      <c r="M60" s="426" t="str">
        <f>+IFERROR(VLOOKUP(B60,Tackwelding!$B$6:$G$322,6,FALSE),"")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Compiled'!$C$6:$C$815,0),"B")="B","","E")</f>
        <v>E</v>
      </c>
      <c r="M61" s="426" t="str">
        <f>+IFERROR(VLOOKUP(B61,Tackwelding!$B$6:$G$322,6,FALSE),"")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Compiled'!$C$6:$C$815,0),"B")="B","","E")</f>
        <v>E</v>
      </c>
      <c r="M62" s="426" t="str">
        <f>+IFERROR(VLOOKUP(B62,Tackwelding!$B$6:$G$322,6,FALSE),"")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Compiled'!$C$6:$C$815,0),"B")="B","","E")</f>
        <v>E</v>
      </c>
      <c r="M63" s="426" t="str">
        <f>+IFERROR(VLOOKUP(B63,Tackwelding!$B$6:$G$322,6,FALSE),"")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Compiled'!$C$6:$C$815,0),"B")="B","","E")</f>
        <v>E</v>
      </c>
      <c r="M64" s="426" t="str">
        <f>+IFERROR(VLOOKUP(B64,Tackwelding!$B$6:$G$322,6,FALSE),"")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Compiled'!$C$6:$C$815,0),"B")="B","","E")</f>
        <v>E</v>
      </c>
      <c r="M65" s="426" t="str">
        <f>+IFERROR(VLOOKUP(B65,Tackwelding!$B$6:$G$322,6,FALSE),"")</f>
        <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Compiled'!$C$6:$C$815,0),"B")="B","","E")</f>
        <v>E</v>
      </c>
      <c r="M66" s="426" t="str">
        <f>+IFERROR(VLOOKUP(B66,Tackwelding!$B$6:$G$322,6,FALSE),"")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Compiled'!$C$6:$C$815,0),"B")="B","","E")</f>
        <v>E</v>
      </c>
      <c r="M67" s="426" t="str">
        <f>+IFERROR(VLOOKUP(B67,Tackwelding!$B$6:$G$322,6,FALSE),"")</f>
        <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Compiled'!$C$6:$C$815,0),"B")="B","","E")</f>
        <v>E</v>
      </c>
      <c r="M68" s="426" t="str">
        <f>+IFERROR(VLOOKUP(B68,Tackwelding!$B$6:$G$322,6,FALSE),"")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Compiled'!$C$6:$C$815,0),"B")="B","","E")</f>
        <v>E</v>
      </c>
      <c r="M69" s="426" t="str">
        <f>+IFERROR(VLOOKUP(B69,Tackwelding!$B$6:$G$322,6,FALSE),"")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Compiled'!$C$6:$C$815,0),"B")="B","","E")</f>
        <v>E</v>
      </c>
      <c r="M70" s="426" t="str">
        <f>+IFERROR(VLOOKUP(B70,Tackwelding!$B$6:$G$322,6,FALSE),"")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Compiled'!$C$6:$C$815,0),"B")="B","","E")</f>
        <v>E</v>
      </c>
      <c r="M71" s="426" t="str">
        <f>+IFERROR(VLOOKUP(B71,Tackwelding!$B$6:$G$322,6,FALSE),"")</f>
        <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Compiled'!$C$6:$C$815,0),"B")="B","","E")</f>
        <v>E</v>
      </c>
      <c r="M72" s="426" t="str">
        <f>+IFERROR(VLOOKUP(B72,Tackwelding!$B$6:$G$322,6,FALSE),"")</f>
        <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Compiled'!$C$6:$C$815,0),"B")="B","","E")</f>
        <v>E</v>
      </c>
      <c r="M73" s="426" t="str">
        <f>+IFERROR(VLOOKUP(B73,Tackwelding!$B$6:$G$322,6,FALSE),"")</f>
        <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Compiled'!$C$6:$C$815,0),"B")="B","","E")</f>
        <v>E</v>
      </c>
      <c r="M74" s="426" t="str">
        <f>+IFERROR(VLOOKUP(B74,Tackwelding!$B$6:$G$322,6,FALSE),"")</f>
        <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Compiled'!$C$6:$C$815,0),"B")="B","","E")</f>
        <v>E</v>
      </c>
      <c r="M75" s="426" t="str">
        <f>+IFERROR(VLOOKUP(B75,Tackwelding!$B$6:$G$322,6,FALSE),"")</f>
        <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Compiled'!$C$6:$C$815,0),"B")="B","","E")</f>
        <v>E</v>
      </c>
      <c r="M76" s="426" t="str">
        <f>+IFERROR(VLOOKUP(B76,Tackwelding!$B$6:$G$322,6,FALSE),"")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Compiled'!$C$6:$C$815,0),"B")="B","","E")</f>
        <v>E</v>
      </c>
      <c r="M77" s="426" t="str">
        <f>+IFERROR(VLOOKUP(B77,Tackwelding!$B$6:$G$322,6,FALSE),"")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Compiled'!$C$6:$C$815,0),"B")="B","","E")</f>
        <v>E</v>
      </c>
      <c r="M78" s="426" t="str">
        <f>+IFERROR(VLOOKUP(B78,Tackwelding!$B$6:$G$322,6,FALSE),"")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Compiled'!$C$6:$C$815,0),"B")="B","","E")</f>
        <v>E</v>
      </c>
      <c r="M79" s="426" t="str">
        <f>+IFERROR(VLOOKUP(B79,Tackwelding!$B$6:$G$322,6,FALSE),"")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Compiled'!$C$6:$C$815,0),"B")="B","","E")</f>
        <v>E</v>
      </c>
      <c r="M80" s="426" t="str">
        <f>+IFERROR(VLOOKUP(B80,Tackwelding!$B$6:$G$322,6,FALSE),"")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Compiled'!$C$6:$C$815,0),"B")="B","","E")</f>
        <v>E</v>
      </c>
      <c r="M81" s="426" t="str">
        <f>+IFERROR(VLOOKUP(B81,Tackwelding!$B$6:$G$322,6,FALSE),"")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Compiled'!$C$6:$C$815,0),"B")="B","","E")</f>
        <v>E</v>
      </c>
      <c r="M82" s="426" t="str">
        <f>+IFERROR(VLOOKUP(B82,Tackwelding!$B$6:$G$322,6,FALSE),"")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Compiled'!$C$6:$C$815,0),"B")="B","","E")</f>
        <v>E</v>
      </c>
      <c r="M83" s="426" t="str">
        <f>+IFERROR(VLOOKUP(B83,Tackwelding!$B$6:$G$322,6,FALSE),"")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Compiled'!$C$6:$C$815,0),"B")="B","","E")</f>
        <v>E</v>
      </c>
      <c r="M84" s="426" t="str">
        <f>+IFERROR(VLOOKUP(B84,Tackwelding!$B$6:$G$322,6,FALSE),"")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Compiled'!$C$6:$C$815,0),"B")="B","","E")</f>
        <v>E</v>
      </c>
      <c r="M85" s="426" t="str">
        <f>+IFERROR(VLOOKUP(B85,Tackwelding!$B$6:$G$322,6,FALSE),"")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Compiled'!$C$6:$C$815,0),"B")="B","","E")</f>
        <v/>
      </c>
      <c r="M86" s="426" t="str">
        <f>+IFERROR(VLOOKUP(B86,Tackwelding!$B$6:$G$322,6,FALSE),"")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Compiled'!$C$6:$C$815,0),"B")="B","","E")</f>
        <v>E</v>
      </c>
      <c r="M87" s="426" t="str">
        <f>+IFERROR(VLOOKUP(B87,Tackwelding!$B$6:$G$322,6,FALSE),"")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Compiled'!$C$6:$C$815,0),"B")="B","","E")</f>
        <v>E</v>
      </c>
      <c r="M88" s="426" t="str">
        <f>+IFERROR(VLOOKUP(B88,Tackwelding!$B$6:$G$322,6,FALSE),"")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Compiled'!$C$6:$C$815,0),"B")="B","","E")</f>
        <v>E</v>
      </c>
      <c r="M89" s="426" t="str">
        <f>+IFERROR(VLOOKUP(B89,Tackwelding!$B$6:$G$322,6,FALSE),"")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Compiled'!$C$6:$C$815,0),"B")="B","","E")</f>
        <v>E</v>
      </c>
      <c r="M90" s="426" t="str">
        <f>+IFERROR(VLOOKUP(B90,Tackwelding!$B$6:$G$322,6,FALSE),"")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Compiled'!$C$6:$C$815,0),"B")="B","","E")</f>
        <v>E</v>
      </c>
      <c r="M91" s="426" t="str">
        <f>+IFERROR(VLOOKUP(B91,Tackwelding!$B$6:$G$322,6,FALSE),"")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Compiled'!$C$6:$C$815,0),"B")="B","","E")</f>
        <v>E</v>
      </c>
      <c r="M92" s="426" t="str">
        <f>+IFERROR(VLOOKUP(B92,Tackwelding!$B$6:$G$322,6,FALSE),"")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Compiled'!$C$6:$C$815,0),"B")="B","","E")</f>
        <v/>
      </c>
      <c r="M93" s="426" t="str">
        <f>+IFERROR(VLOOKUP(B93,Tackwelding!$B$6:$G$322,6,FALSE),"")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Compiled'!$C$6:$C$815,0),"B")="B","","E")</f>
        <v>E</v>
      </c>
      <c r="M94" s="426" t="str">
        <f>+IFERROR(VLOOKUP(B94,Tackwelding!$B$6:$G$322,6,FALSE),"")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Compiled'!$C$6:$C$815,0),"B")="B","","E")</f>
        <v>E</v>
      </c>
      <c r="M95" s="426" t="str">
        <f>+IFERROR(VLOOKUP(B95,Tackwelding!$B$6:$G$322,6,FALSE),"")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Compiled'!$C$6:$C$815,0),"B")="B","","E")</f>
        <v>E</v>
      </c>
      <c r="M96" s="426" t="str">
        <f>+IFERROR(VLOOKUP(B96,Tackwelding!$B$6:$G$322,6,FALSE),"")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Compiled'!$C$6:$C$815,0),"B")="B","","E")</f>
        <v>E</v>
      </c>
      <c r="M97" s="426" t="str">
        <f>+IFERROR(VLOOKUP(B97,Tackwelding!$B$6:$G$322,6,FALSE),"")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Compiled'!$C$6:$C$815,0),"B")="B","","E")</f>
        <v>E</v>
      </c>
      <c r="M98" s="426" t="str">
        <f>+IFERROR(VLOOKUP(B98,Tackwelding!$B$6:$G$322,6,FALSE),"")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Compiled'!$C$6:$C$815,0),"B")="B","","E")</f>
        <v>E</v>
      </c>
      <c r="M99" s="426" t="str">
        <f>+IFERROR(VLOOKUP(B99,Tackwelding!$B$6:$G$322,6,FALSE),"")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Compiled'!$C$6:$C$815,0),"B")="B","","E")</f>
        <v>E</v>
      </c>
      <c r="M100" s="426" t="str">
        <f>+IFERROR(VLOOKUP(B100,Tackwelding!$B$6:$G$322,6,FALSE),"")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Compiled'!$C$6:$C$815,0),"B")="B","","E")</f>
        <v>E</v>
      </c>
      <c r="M101" s="426" t="str">
        <f>+IFERROR(VLOOKUP(B101,Tackwelding!$B$6:$G$322,6,FALSE),"")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Compiled'!$C$6:$C$815,0),"B")="B","","E")</f>
        <v/>
      </c>
      <c r="M102" s="426" t="str">
        <f>+IFERROR(VLOOKUP(B102,Tackwelding!$B$6:$G$322,6,FALSE),"")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Compiled'!$C$6:$C$815,0),"B")="B","","E")</f>
        <v>E</v>
      </c>
      <c r="M103" s="426" t="str">
        <f>+IFERROR(VLOOKUP(B103,Tackwelding!$B$6:$G$322,6,FALSE),"")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Compiled'!$C$6:$C$815,0),"B")="B","","E")</f>
        <v>E</v>
      </c>
      <c r="M104" s="426" t="str">
        <f>+IFERROR(VLOOKUP(B104,Tackwelding!$B$6:$G$322,6,FALSE),"")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Compiled'!$C$6:$C$815,0),"B")="B","","E")</f>
        <v>E</v>
      </c>
      <c r="M105" s="426" t="str">
        <f>+IFERROR(VLOOKUP(B105,Tackwelding!$B$6:$G$322,6,FALSE),"")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Compiled'!$C$6:$C$815,0),"B")="B","","E")</f>
        <v>E</v>
      </c>
      <c r="M106" s="426" t="str">
        <f>+IFERROR(VLOOKUP(B106,Tackwelding!$B$6:$G$322,6,FALSE),"")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Compiled'!$C$6:$C$815,0),"B")="B","","E")</f>
        <v>E</v>
      </c>
      <c r="M107" s="426" t="str">
        <f>+IFERROR(VLOOKUP(B107,Tackwelding!$B$6:$G$322,6,FALSE),"")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Compiled'!$C$6:$C$815,0),"B")="B","","E")</f>
        <v>E</v>
      </c>
      <c r="M108" s="426" t="str">
        <f>+IFERROR(VLOOKUP(B108,Tackwelding!$B$6:$G$322,6,FALSE),"")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Compiled'!$C$6:$C$815,0),"B")="B","","E")</f>
        <v>E</v>
      </c>
      <c r="M109" s="426" t="str">
        <f>+IFERROR(VLOOKUP(B109,Tackwelding!$B$6:$G$322,6,FALSE),"")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Compiled'!$C$6:$C$815,0),"B")="B","","E")</f>
        <v>E</v>
      </c>
      <c r="M110" s="426" t="str">
        <f>+IFERROR(VLOOKUP(B110,Tackwelding!$B$6:$G$322,6,FALSE),"")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Compiled'!$C$6:$C$815,0),"B")="B","","E")</f>
        <v>E</v>
      </c>
      <c r="M111" s="426" t="str">
        <f>+IFERROR(VLOOKUP(B111,Tackwelding!$B$6:$G$322,6,FALSE),"")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Compiled'!$C$6:$C$815,0),"B")="B","","E")</f>
        <v>E</v>
      </c>
      <c r="M112" s="426" t="str">
        <f>+IFERROR(VLOOKUP(B112,Tackwelding!$B$6:$G$322,6,FALSE),"")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Compiled'!$C$6:$C$815,0),"B")="B","","E")</f>
        <v>E</v>
      </c>
      <c r="M113" s="426" t="str">
        <f>+IFERROR(VLOOKUP(B113,Tackwelding!$B$6:$G$322,6,FALSE),"")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Compiled'!$C$6:$C$815,0),"B")="B","","E")</f>
        <v>E</v>
      </c>
      <c r="M114" s="426" t="str">
        <f>+IFERROR(VLOOKUP(B114,Tackwelding!$B$6:$G$322,6,FALSE),"")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Compiled'!$C$6:$C$815,0),"B")="B","","E")</f>
        <v>E</v>
      </c>
      <c r="M115" s="426" t="str">
        <f>+IFERROR(VLOOKUP(B115,Tackwelding!$B$6:$G$322,6,FALSE),"")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Compiled'!$C$6:$C$815,0),"B")="B","","E")</f>
        <v>E</v>
      </c>
      <c r="M116" s="426" t="str">
        <f>+IFERROR(VLOOKUP(B116,Tackwelding!$B$6:$G$322,6,FALSE),"")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Compiled'!$C$6:$C$815,0),"B")="B","","E")</f>
        <v>E</v>
      </c>
      <c r="M117" s="426" t="str">
        <f>+IFERROR(VLOOKUP(B117,Tackwelding!$B$6:$G$322,6,FALSE),"")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Compiled'!$C$6:$C$815,0),"B")="B","","E")</f>
        <v>E</v>
      </c>
      <c r="M118" s="426" t="str">
        <f>+IFERROR(VLOOKUP(B118,Tackwelding!$B$6:$G$322,6,FALSE),"")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Compiled'!$C$6:$C$815,0),"B")="B","","E")</f>
        <v>E</v>
      </c>
      <c r="M119" s="426" t="str">
        <f>+IFERROR(VLOOKUP(B119,Tackwelding!$B$6:$G$322,6,FALSE),"")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Compiled'!$C$6:$C$815,0),"B")="B","","E")</f>
        <v>E</v>
      </c>
      <c r="M120" s="426" t="str">
        <f>+IFERROR(VLOOKUP(B120,Tackwelding!$B$6:$G$322,6,FALSE),"")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Compiled'!$C$6:$C$815,0),"B")="B","","E")</f>
        <v>E</v>
      </c>
      <c r="M121" s="426" t="str">
        <f>+IFERROR(VLOOKUP(B121,Tackwelding!$B$6:$G$322,6,FALSE),"")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Compiled'!$C$6:$C$815,0),"B")="B","","E")</f>
        <v>E</v>
      </c>
      <c r="M122" s="426" t="str">
        <f>+IFERROR(VLOOKUP(B122,Tackwelding!$B$6:$G$322,6,FALSE),"")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Compiled'!$C$6:$C$815,0),"B")="B","","E")</f>
        <v>E</v>
      </c>
      <c r="M123" s="426" t="str">
        <f>+IFERROR(VLOOKUP(B123,Tackwelding!$B$6:$G$322,6,FALSE),"")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Compiled'!$C$6:$C$815,0),"B")="B","","E")</f>
        <v>E</v>
      </c>
      <c r="M124" s="426" t="str">
        <f>+IFERROR(VLOOKUP(B124,Tackwelding!$B$6:$G$322,6,FALSE),"")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Compiled'!$C$6:$C$815,0),"B")="B","","E")</f>
        <v>E</v>
      </c>
      <c r="M125" s="426" t="str">
        <f>+IFERROR(VLOOKUP(B125,Tackwelding!$B$6:$G$322,6,FALSE),"")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Compiled'!$C$6:$C$815,0),"B")="B","","E")</f>
        <v>E</v>
      </c>
      <c r="M126" s="426" t="str">
        <f>+IFERROR(VLOOKUP(B126,Tackwelding!$B$6:$G$322,6,FALSE),"")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Compiled'!$C$6:$C$815,0),"B")="B","","E")</f>
        <v>E</v>
      </c>
      <c r="M127" s="426" t="str">
        <f>+IFERROR(VLOOKUP(B127,Tackwelding!$B$6:$G$322,6,FALSE),"")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Compiled'!$C$6:$C$815,0),"B")="B","","E")</f>
        <v/>
      </c>
      <c r="M128" s="426" t="str">
        <f>+IFERROR(VLOOKUP(B128,Tackwelding!$B$6:$G$322,6,FALSE),"")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Compiled'!$C$6:$C$815,0),"B")="B","","E")</f>
        <v>E</v>
      </c>
      <c r="M129" s="426" t="str">
        <f>+IFERROR(VLOOKUP(B129,Tackwelding!$B$6:$G$322,6,FALSE),"")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Compiled'!$C$6:$C$815,0),"B")="B","","E")</f>
        <v>E</v>
      </c>
      <c r="M130" s="426" t="str">
        <f>+IFERROR(VLOOKUP(B130,Tackwelding!$B$6:$G$322,6,FALSE),"")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Compiled'!$C$6:$C$815,0),"B")="B","","E")</f>
        <v>E</v>
      </c>
      <c r="M131" s="426" t="str">
        <f>+IFERROR(VLOOKUP(B131,Tackwelding!$B$6:$G$322,6,FALSE),"")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Compiled'!$C$6:$C$815,0),"B")="B","","E")</f>
        <v/>
      </c>
      <c r="M132" s="426" t="str">
        <f>+IFERROR(VLOOKUP(B132,Tackwelding!$B$6:$G$322,6,FALSE),"")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Compiled'!$C$6:$C$815,0),"B")="B","","E")</f>
        <v/>
      </c>
      <c r="M133" s="426" t="str">
        <f>+IFERROR(VLOOKUP(B133,Tackwelding!$B$6:$G$322,6,FALSE),"")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Compiled'!$C$6:$C$815,0),"B")="B","","E")</f>
        <v>E</v>
      </c>
      <c r="M134" s="426" t="str">
        <f>+IFERROR(VLOOKUP(B134,Tackwelding!$B$6:$G$322,6,FALSE),"")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Compiled'!$C$6:$C$815,0),"B")="B","","E")</f>
        <v>E</v>
      </c>
      <c r="M135" s="426" t="str">
        <f>+IFERROR(VLOOKUP(B135,Tackwelding!$B$6:$G$322,6,FALSE),"")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Compiled'!$C$6:$C$815,0),"B")="B","","E")</f>
        <v>E</v>
      </c>
      <c r="M136" s="426" t="str">
        <f>+IFERROR(VLOOKUP(B136,Tackwelding!$B$6:$G$322,6,FALSE),"")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Compiled'!$C$6:$C$815,0),"B")="B","","E")</f>
        <v/>
      </c>
      <c r="M137" s="426" t="str">
        <f>+IFERROR(VLOOKUP(B137,Tackwelding!$B$6:$G$322,6,FALSE),"")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Compiled'!$C$6:$C$815,0),"B")="B","","E")</f>
        <v/>
      </c>
      <c r="M138" s="426" t="str">
        <f>+IFERROR(VLOOKUP(B138,Tackwelding!$B$6:$G$322,6,FALSE),"")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Compiled'!$C$6:$C$815,0),"B")="B","","E")</f>
        <v/>
      </c>
      <c r="M139" s="426" t="str">
        <f>+IFERROR(VLOOKUP(B139,Tackwelding!$B$6:$G$322,6,FALSE),"")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Compiled'!$C$6:$C$815,0),"B")="B","","E")</f>
        <v/>
      </c>
      <c r="M140" s="426" t="str">
        <f>+IFERROR(VLOOKUP(B140,Tackwelding!$B$6:$G$322,6,FALSE),"")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Compiled'!$C$6:$C$815,0),"B")="B","","E")</f>
        <v/>
      </c>
      <c r="M141" s="426" t="str">
        <f>+IFERROR(VLOOKUP(B141,Tackwelding!$B$6:$G$322,6,FALSE),"")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Compiled'!$C$6:$C$815,0),"B")="B","","E")</f>
        <v/>
      </c>
      <c r="M142" s="426" t="str">
        <f>+IFERROR(VLOOKUP(B142,Tackwelding!$B$6:$G$322,6,FALSE),"")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Compiled'!$C$6:$C$815,0),"B")="B","","E")</f>
        <v/>
      </c>
      <c r="M143" s="426" t="str">
        <f>+IFERROR(VLOOKUP(B143,Tackwelding!$B$6:$G$322,6,FALSE),"")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Compiled'!$C$6:$C$815,0),"B")="B","","E")</f>
        <v>E</v>
      </c>
      <c r="M144" s="426" t="str">
        <f>+IFERROR(VLOOKUP(B144,Tackwelding!$B$6:$G$322,6,FALSE),"")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Compiled'!$C$6:$C$815,0),"B")="B","","E")</f>
        <v>E</v>
      </c>
      <c r="M145" s="426" t="str">
        <f>+IFERROR(VLOOKUP(B145,Tackwelding!$B$6:$G$322,6,FALSE),"")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Compiled'!$C$6:$C$815,0),"B")="B","","E")</f>
        <v/>
      </c>
      <c r="M146" s="426" t="str">
        <f>+IFERROR(VLOOKUP(B146,Tackwelding!$B$6:$G$322,6,FALSE),"")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Compiled'!$C$6:$C$815,0),"B")="B","","E")</f>
        <v>E</v>
      </c>
      <c r="M147" s="426" t="str">
        <f>+IFERROR(VLOOKUP(B147,Tackwelding!$B$6:$G$322,6,FALSE),"")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Compiled'!$C$6:$C$815,0),"B")="B","","E")</f>
        <v>E</v>
      </c>
      <c r="M148" s="426" t="str">
        <f>+IFERROR(VLOOKUP(B148,Tackwelding!$B$6:$G$322,6,FALSE),"")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Compiled'!$C$6:$C$815,0),"B")="B","","E")</f>
        <v>E</v>
      </c>
      <c r="M149" s="426" t="str">
        <f>+IFERROR(VLOOKUP(B149,Tackwelding!$B$6:$G$322,6,FALSE),"")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Compiled'!$C$6:$C$815,0),"B")="B","","E")</f>
        <v/>
      </c>
      <c r="M150" s="426" t="str">
        <f>+IFERROR(VLOOKUP(B150,Tackwelding!$B$6:$G$322,6,FALSE),"")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Compiled'!$C$6:$C$815,0),"B")="B","","E")</f>
        <v/>
      </c>
      <c r="M151" s="426" t="str">
        <f>+IFERROR(VLOOKUP(B151,Tackwelding!$B$6:$G$322,6,FALSE),"")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Compiled'!$C$6:$C$815,0),"B")="B","","E")</f>
        <v/>
      </c>
      <c r="M152" s="426" t="str">
        <f>+IFERROR(VLOOKUP(B152,Tackwelding!$B$6:$G$322,6,FALSE),"")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Compiled'!$C$6:$C$815,0),"B")="B","","E")</f>
        <v>E</v>
      </c>
      <c r="M153" s="426" t="str">
        <f>+IFERROR(VLOOKUP(B153,Tackwelding!$B$6:$G$322,6,FALSE),"")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Compiled'!$C$6:$C$815,0),"B")="B","","E")</f>
        <v/>
      </c>
      <c r="M154" s="426" t="str">
        <f>+IFERROR(VLOOKUP(B154,Tackwelding!$B$6:$G$322,6,FALSE),"")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Compiled'!$C$6:$C$815,0),"B")="B","","E")</f>
        <v>E</v>
      </c>
      <c r="M155" s="426" t="str">
        <f>+IFERROR(VLOOKUP(B155,Tackwelding!$B$6:$G$322,6,FALSE),"")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Compiled'!$C$6:$C$815,0),"B")="B","","E")</f>
        <v/>
      </c>
      <c r="M156" s="426" t="str">
        <f>+IFERROR(VLOOKUP(B156,Tackwelding!$B$6:$G$322,6,FALSE),"")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Compiled'!$C$6:$C$815,0),"B")="B","","E")</f>
        <v>E</v>
      </c>
      <c r="M157" s="426" t="str">
        <f>+IFERROR(VLOOKUP(B157,Tackwelding!$B$6:$G$322,6,FALSE),"")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Compiled'!$C$6:$C$815,0),"B")="B","","E")</f>
        <v>E</v>
      </c>
      <c r="M158" s="426" t="str">
        <f>+IFERROR(VLOOKUP(B158,Tackwelding!$B$6:$G$322,6,FALSE),"")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Compiled'!$C$6:$C$815,0),"B")="B","","E")</f>
        <v>E</v>
      </c>
      <c r="M159" s="426" t="str">
        <f>+IFERROR(VLOOKUP(B159,Tackwelding!$B$6:$G$322,6,FALSE),"")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Compiled'!$C$6:$C$815,0),"B")="B","","E")</f>
        <v>E</v>
      </c>
      <c r="M160" s="426" t="str">
        <f>+IFERROR(VLOOKUP(B160,Tackwelding!$B$6:$G$322,6,FALSE),"")</f>
        <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Compiled'!$C$6:$C$815,0),"B")="B","","E")</f>
        <v>E</v>
      </c>
      <c r="M161" s="426" t="str">
        <f>+IFERROR(VLOOKUP(B161,Tackwelding!$B$6:$G$322,6,FALSE),"")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Compiled'!$C$6:$C$815,0),"B")="B","","E")</f>
        <v>E</v>
      </c>
      <c r="M162" s="426" t="str">
        <f>+IFERROR(VLOOKUP(B162,Tackwelding!$B$6:$G$322,6,FALSE),"")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Compiled'!$C$6:$C$815,0),"B")="B","","E")</f>
        <v>E</v>
      </c>
      <c r="M163" s="426" t="str">
        <f>+IFERROR(VLOOKUP(B163,Tackwelding!$B$6:$G$322,6,FALSE),"")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Compiled'!$C$6:$C$815,0),"B")="B","","E")</f>
        <v>E</v>
      </c>
      <c r="M164" s="426" t="str">
        <f>+IFERROR(VLOOKUP(B164,Tackwelding!$B$6:$G$322,6,FALSE),"")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Compiled'!$C$6:$C$815,0),"B")="B","","E")</f>
        <v>E</v>
      </c>
      <c r="M165" s="426" t="str">
        <f>+IFERROR(VLOOKUP(B165,Tackwelding!$B$6:$G$322,6,FALSE),"")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Compiled'!$C$6:$C$815,0),"B")="B","","E")</f>
        <v>E</v>
      </c>
      <c r="M166" s="426" t="str">
        <f>+IFERROR(VLOOKUP(B166,Tackwelding!$B$6:$G$322,6,FALSE),"")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Compiled'!$C$6:$C$815,0),"B")="B","","E")</f>
        <v/>
      </c>
      <c r="M167" s="426" t="str">
        <f>+IFERROR(VLOOKUP(B167,Tackwelding!$B$6:$G$322,6,FALSE),"")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Compiled'!$C$6:$C$815,0),"B")="B","","E")</f>
        <v>E</v>
      </c>
      <c r="M168" s="426" t="str">
        <f>+IFERROR(VLOOKUP(B168,Tackwelding!$B$6:$G$322,6,FALSE),"")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Compiled'!$C$6:$C$815,0),"B")="B","","E")</f>
        <v>E</v>
      </c>
      <c r="M169" s="426" t="str">
        <f>+IFERROR(VLOOKUP(B169,Tackwelding!$B$6:$G$322,6,FALSE),"")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Compiled'!$C$6:$C$815,0),"B")="B","","E")</f>
        <v>E</v>
      </c>
      <c r="M170" s="426" t="str">
        <f>+IFERROR(VLOOKUP(B170,Tackwelding!$B$6:$G$322,6,FALSE),"")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Compiled'!$C$6:$C$815,0),"B")="B","","E")</f>
        <v>E</v>
      </c>
      <c r="M171" s="426" t="str">
        <f>+IFERROR(VLOOKUP(B171,Tackwelding!$B$6:$G$322,6,FALSE),"")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Compiled'!$C$6:$C$815,0),"B")="B","","E")</f>
        <v>E</v>
      </c>
      <c r="M172" s="426" t="str">
        <f>+IFERROR(VLOOKUP(B172,Tackwelding!$B$6:$G$322,6,FALSE),"")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Compiled'!$C$6:$C$815,0),"B")="B","","E")</f>
        <v>E</v>
      </c>
      <c r="M173" s="426" t="str">
        <f>+IFERROR(VLOOKUP(B173,Tackwelding!$B$6:$G$322,6,FALSE),"")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Compiled'!$C$6:$C$815,0),"B")="B","","E")</f>
        <v>E</v>
      </c>
      <c r="M174" s="426" t="str">
        <f>+IFERROR(VLOOKUP(B174,Tackwelding!$B$6:$G$322,6,FALSE),"")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Compiled'!$C$6:$C$815,0),"B")="B","","E")</f>
        <v>E</v>
      </c>
      <c r="M175" s="426" t="str">
        <f>+IFERROR(VLOOKUP(B175,Tackwelding!$B$6:$G$322,6,FALSE),"")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Compiled'!$C$6:$C$815,0),"B")="B","","E")</f>
        <v>E</v>
      </c>
      <c r="M176" s="426" t="str">
        <f>+IFERROR(VLOOKUP(B176,Tackwelding!$B$6:$G$322,6,FALSE),"")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Compiled'!$C$6:$C$815,0),"B")="B","","E")</f>
        <v>E</v>
      </c>
      <c r="M177" s="426" t="str">
        <f>+IFERROR(VLOOKUP(B177,Tackwelding!$B$6:$G$322,6,FALSE),"")</f>
        <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Compiled'!$C$6:$C$815,0),"B")="B","","E")</f>
        <v>E</v>
      </c>
      <c r="M178" s="426" t="str">
        <f>+IFERROR(VLOOKUP(B178,Tackwelding!$B$6:$G$322,6,FALSE),"")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Compiled'!$C$6:$C$815,0),"B")="B","","E")</f>
        <v>E</v>
      </c>
      <c r="M179" s="426" t="str">
        <f>+IFERROR(VLOOKUP(B179,Tackwelding!$B$6:$G$322,6,FALSE),"")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Compiled'!$C$6:$C$815,0),"B")="B","","E")</f>
        <v>E</v>
      </c>
      <c r="M180" s="426" t="str">
        <f>+IFERROR(VLOOKUP(B180,Tackwelding!$B$6:$G$322,6,FALSE),"")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Compiled'!$C$6:$C$815,0),"B")="B","","E")</f>
        <v>E</v>
      </c>
      <c r="M181" s="426" t="str">
        <f>+IFERROR(VLOOKUP(B181,Tackwelding!$B$6:$G$322,6,FALSE),"")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Compiled'!$C$6:$C$815,0),"B")="B","","E")</f>
        <v>E</v>
      </c>
      <c r="M182" s="426" t="str">
        <f>+IFERROR(VLOOKUP(B182,Tackwelding!$B$6:$G$322,6,FALSE),"")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Compiled'!$C$6:$C$815,0),"B")="B","","E")</f>
        <v>E</v>
      </c>
      <c r="M183" s="426" t="str">
        <f>+IFERROR(VLOOKUP(B183,Tackwelding!$B$6:$G$322,6,FALSE),"")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Compiled'!$C$6:$C$815,0),"B")="B","","E")</f>
        <v>E</v>
      </c>
      <c r="M184" s="426" t="str">
        <f>+IFERROR(VLOOKUP(B184,Tackwelding!$B$6:$G$322,6,FALSE),"")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Compiled'!$C$6:$C$815,0),"B")="B","","E")</f>
        <v>E</v>
      </c>
      <c r="M185" s="426" t="str">
        <f>+IFERROR(VLOOKUP(B185,Tackwelding!$B$6:$G$322,6,FALSE),"")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Compiled'!$C$6:$C$815,0),"B")="B","","E")</f>
        <v>E</v>
      </c>
      <c r="M186" s="426" t="str">
        <f>+IFERROR(VLOOKUP(B186,Tackwelding!$B$6:$G$322,6,FALSE),"")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Compiled'!$C$6:$C$815,0),"B")="B","","E")</f>
        <v>E</v>
      </c>
      <c r="M187" s="426" t="str">
        <f>+IFERROR(VLOOKUP(B187,Tackwelding!$B$6:$G$322,6,FALSE),"")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Compiled'!$C$6:$C$815,0),"B")="B","","E")</f>
        <v>E</v>
      </c>
      <c r="M188" s="426" t="str">
        <f>+IFERROR(VLOOKUP(B188,Tackwelding!$B$6:$G$322,6,FALSE),"")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Compiled'!$C$6:$C$815,0),"B")="B","","E")</f>
        <v>E</v>
      </c>
      <c r="M189" s="426" t="str">
        <f>+IFERROR(VLOOKUP(B189,Tackwelding!$B$6:$G$322,6,FALSE),"")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Compiled'!$C$6:$C$815,0),"B")="B","","E")</f>
        <v>E</v>
      </c>
      <c r="M190" s="426" t="str">
        <f>+IFERROR(VLOOKUP(B190,Tackwelding!$B$6:$G$322,6,FALSE),"")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Compiled'!$C$6:$C$815,0),"B")="B","","E")</f>
        <v>E</v>
      </c>
      <c r="M191" s="426" t="str">
        <f>+IFERROR(VLOOKUP(B191,Tackwelding!$B$6:$G$322,6,FALSE),"")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Compiled'!$C$6:$C$815,0),"B")="B","","E")</f>
        <v>E</v>
      </c>
      <c r="M192" s="426" t="str">
        <f>+IFERROR(VLOOKUP(B192,Tackwelding!$B$6:$G$322,6,FALSE),"")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Compiled'!$C$6:$C$815,0),"B")="B","","E")</f>
        <v>E</v>
      </c>
      <c r="M193" s="426" t="str">
        <f>+IFERROR(VLOOKUP(B193,Tackwelding!$B$6:$G$322,6,FALSE),"")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Compiled'!$C$6:$C$815,0),"B")="B","","E")</f>
        <v>E</v>
      </c>
      <c r="M194" s="426" t="str">
        <f>+IFERROR(VLOOKUP(B194,Tackwelding!$B$6:$G$322,6,FALSE),"")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Compiled'!$C$6:$C$815,0),"B")="B","","E")</f>
        <v>E</v>
      </c>
      <c r="M195" s="426" t="str">
        <f>+IFERROR(VLOOKUP(B195,Tackwelding!$B$6:$G$322,6,FALSE),"")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Compiled'!$C$6:$C$815,0),"B")="B","","E")</f>
        <v>E</v>
      </c>
      <c r="M196" s="426" t="str">
        <f>+IFERROR(VLOOKUP(B196,Tackwelding!$B$6:$G$322,6,FALSE),"")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Compiled'!$C$6:$C$815,0),"B")="B","","E")</f>
        <v>E</v>
      </c>
      <c r="M197" s="426" t="str">
        <f>+IFERROR(VLOOKUP(B197,Tackwelding!$B$6:$G$322,6,FALSE),"")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Compiled'!$C$6:$C$815,0),"B")="B","","E")</f>
        <v>E</v>
      </c>
      <c r="M198" s="426" t="str">
        <f>+IFERROR(VLOOKUP(B198,Tackwelding!$B$6:$G$322,6,FALSE),"")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Compiled'!$C$6:$C$815,0),"B")="B","","E")</f>
        <v>E</v>
      </c>
      <c r="M199" s="426" t="str">
        <f>+IFERROR(VLOOKUP(B199,Tackwelding!$B$6:$G$322,6,FALSE),"")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Compiled'!$C$6:$C$815,0),"B")="B","","E")</f>
        <v>E</v>
      </c>
      <c r="M200" s="426" t="str">
        <f>+IFERROR(VLOOKUP(B200,Tackwelding!$B$6:$G$322,6,FALSE),"")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Compiled'!$C$6:$C$815,0),"B")="B","","E")</f>
        <v>E</v>
      </c>
      <c r="M201" s="426" t="str">
        <f>+IFERROR(VLOOKUP(B201,Tackwelding!$B$6:$G$322,6,FALSE),"")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Compiled'!$C$6:$C$815,0),"B")="B","","E")</f>
        <v>E</v>
      </c>
      <c r="M202" s="426" t="str">
        <f>+IFERROR(VLOOKUP(B202,Tackwelding!$B$6:$G$322,6,FALSE),"")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Compiled'!$C$6:$C$815,0),"B")="B","","E")</f>
        <v>E</v>
      </c>
      <c r="M203" s="426" t="str">
        <f>+IFERROR(VLOOKUP(B203,Tackwelding!$B$6:$G$322,6,FALSE),"")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Compiled'!$C$6:$C$815,0),"B")="B","","E")</f>
        <v>E</v>
      </c>
      <c r="M204" s="426" t="str">
        <f>+IFERROR(VLOOKUP(B204,Tackwelding!$B$6:$G$322,6,FALSE),"")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Compiled'!$C$6:$C$815,0),"B")="B","","E")</f>
        <v>E</v>
      </c>
      <c r="M205" s="426" t="str">
        <f>+IFERROR(VLOOKUP(B205,Tackwelding!$B$6:$G$322,6,FALSE),"")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Compiled'!$C$6:$C$815,0),"B")="B","","E")</f>
        <v>E</v>
      </c>
      <c r="M206" s="426" t="str">
        <f>+IFERROR(VLOOKUP(B206,Tackwelding!$B$6:$G$322,6,FALSE),"")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Compiled'!$C$6:$C$815,0),"B")="B","","E")</f>
        <v>E</v>
      </c>
      <c r="M207" s="426" t="str">
        <f>+IFERROR(VLOOKUP(B207,Tackwelding!$B$6:$G$322,6,FALSE),"")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Compiled'!$C$6:$C$815,0),"B")="B","","E")</f>
        <v>E</v>
      </c>
      <c r="M208" s="426" t="str">
        <f>+IFERROR(VLOOKUP(B208,Tackwelding!$B$6:$G$322,6,FALSE),"")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Compiled'!$C$6:$C$815,0),"B")="B","","E")</f>
        <v>E</v>
      </c>
      <c r="M209" s="426" t="str">
        <f>+IFERROR(VLOOKUP(B209,Tackwelding!$B$6:$G$322,6,FALSE),"")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Compiled'!$C$6:$C$815,0),"B")="B","","E")</f>
        <v>E</v>
      </c>
      <c r="M210" s="426" t="str">
        <f>+IFERROR(VLOOKUP(B210,Tackwelding!$B$6:$G$322,6,FALSE),"")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Compiled'!$C$6:$C$815,0),"B")="B","","E")</f>
        <v>E</v>
      </c>
      <c r="M211" s="426" t="str">
        <f>+IFERROR(VLOOKUP(B211,Tackwelding!$B$6:$G$322,6,FALSE),"")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Compiled'!$C$6:$C$815,0),"B")="B","","E")</f>
        <v>E</v>
      </c>
      <c r="M212" s="426" t="str">
        <f>+IFERROR(VLOOKUP(B212,Tackwelding!$B$6:$G$322,6,FALSE),"")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Compiled'!$C$6:$C$815,0),"B")="B","","E")</f>
        <v>E</v>
      </c>
      <c r="M213" s="426" t="str">
        <f>+IFERROR(VLOOKUP(B213,Tackwelding!$B$6:$G$322,6,FALSE),"")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Compiled'!$C$6:$C$815,0),"B")="B","","E")</f>
        <v>E</v>
      </c>
      <c r="M214" s="426" t="str">
        <f>+IFERROR(VLOOKUP(B214,Tackwelding!$B$6:$G$322,6,FALSE),"")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Compiled'!$C$6:$C$815,0),"B")="B","","E")</f>
        <v>E</v>
      </c>
      <c r="M215" s="426" t="str">
        <f>+IFERROR(VLOOKUP(B215,Tackwelding!$B$6:$G$322,6,FALSE),"")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Compiled'!$C$6:$C$815,0),"B")="B","","E")</f>
        <v>E</v>
      </c>
      <c r="M216" s="426" t="str">
        <f>+IFERROR(VLOOKUP(B216,Tackwelding!$B$6:$G$322,6,FALSE),"")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Compiled'!$C$6:$C$815,0),"B")="B","","E")</f>
        <v>E</v>
      </c>
      <c r="M217" s="426" t="str">
        <f>+IFERROR(VLOOKUP(B217,Tackwelding!$B$6:$G$322,6,FALSE),"")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Compiled'!$C$6:$C$815,0),"B")="B","","E")</f>
        <v>E</v>
      </c>
      <c r="M218" s="426" t="str">
        <f>+IFERROR(VLOOKUP(B218,Tackwelding!$B$6:$G$322,6,FALSE),"")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Compiled'!$C$6:$C$815,0),"B")="B","","E")</f>
        <v>E</v>
      </c>
      <c r="M219" s="426" t="str">
        <f>+IFERROR(VLOOKUP(B219,Tackwelding!$B$6:$G$322,6,FALSE),"")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Compiled'!$C$6:$C$815,0),"B")="B","","E")</f>
        <v>E</v>
      </c>
      <c r="M220" s="426" t="str">
        <f>+IFERROR(VLOOKUP(B220,Tackwelding!$B$6:$G$322,6,FALSE),"")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Compiled'!$C$6:$C$815,0),"B")="B","","E")</f>
        <v>E</v>
      </c>
      <c r="M221" s="426" t="str">
        <f>+IFERROR(VLOOKUP(B221,Tackwelding!$B$6:$G$322,6,FALSE),"")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Compiled'!$C$6:$C$815,0),"B")="B","","E")</f>
        <v>E</v>
      </c>
      <c r="M222" s="426" t="str">
        <f>+IFERROR(VLOOKUP(B222,Tackwelding!$B$6:$G$322,6,FALSE),"")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Compiled'!$C$6:$C$815,0),"B")="B","","E")</f>
        <v>E</v>
      </c>
      <c r="M223" s="426" t="str">
        <f>+IFERROR(VLOOKUP(B223,Tackwelding!$B$6:$G$322,6,FALSE),"")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Compiled'!$C$6:$C$815,0),"B")="B","","E")</f>
        <v>E</v>
      </c>
      <c r="M224" s="426" t="str">
        <f>+IFERROR(VLOOKUP(B224,Tackwelding!$B$6:$G$322,6,FALSE),"")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Compiled'!$C$6:$C$815,0),"B")="B","","E")</f>
        <v>E</v>
      </c>
      <c r="M225" s="426" t="str">
        <f>+IFERROR(VLOOKUP(B225,Tackwelding!$B$6:$G$322,6,FALSE),"")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Compiled'!$C$6:$C$815,0),"B")="B","","E")</f>
        <v>E</v>
      </c>
      <c r="M226" s="426" t="str">
        <f>+IFERROR(VLOOKUP(B226,Tackwelding!$B$6:$G$322,6,FALSE),"")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Compiled'!$C$6:$C$815,0),"B")="B","","E")</f>
        <v>E</v>
      </c>
      <c r="M227" s="426" t="str">
        <f>+IFERROR(VLOOKUP(B227,Tackwelding!$B$6:$G$322,6,FALSE),"")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Compiled'!$C$6:$C$815,0),"B")="B","","E")</f>
        <v>E</v>
      </c>
      <c r="M228" s="426" t="str">
        <f>+IFERROR(VLOOKUP(B228,Tackwelding!$B$6:$G$322,6,FALSE),"")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Compiled'!$C$6:$C$815,0),"B")="B","","E")</f>
        <v>E</v>
      </c>
      <c r="M229" s="426" t="str">
        <f>+IFERROR(VLOOKUP(B229,Tackwelding!$B$6:$G$322,6,FALSE),"")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Compiled'!$C$6:$C$815,0),"B")="B","","E")</f>
        <v>E</v>
      </c>
      <c r="M230" s="426" t="str">
        <f>+IFERROR(VLOOKUP(B230,Tackwelding!$B$6:$G$322,6,FALSE),"")</f>
        <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Compiled'!$C$6:$C$815,0),"B")="B","","E")</f>
        <v>E</v>
      </c>
      <c r="M231" s="426" t="str">
        <f>+IFERROR(VLOOKUP(B231,Tackwelding!$B$6:$G$322,6,FALSE),"")</f>
        <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Compiled'!$C$6:$C$815,0),"B")="B","","E")</f>
        <v>E</v>
      </c>
      <c r="M232" s="426" t="str">
        <f>+IFERROR(VLOOKUP(B232,Tackwelding!$B$6:$G$322,6,FALSE),"")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Compiled'!$C$6:$C$815,0),"B")="B","","E")</f>
        <v>E</v>
      </c>
      <c r="M233" s="426" t="str">
        <f>+IFERROR(VLOOKUP(B233,Tackwelding!$B$6:$G$322,6,FALSE),"")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Compiled'!$C$6:$C$815,0),"B")="B","","E")</f>
        <v>E</v>
      </c>
      <c r="M234" s="426" t="str">
        <f>+IFERROR(VLOOKUP(B234,Tackwelding!$B$6:$G$322,6,FALSE),"")</f>
        <v/>
      </c>
    </row>
    <row r="235" spans="1:13" x14ac:dyDescent="0.25">
      <c r="A235" s="426">
        <v>229</v>
      </c>
      <c r="B235" s="426" t="s">
        <v>666</v>
      </c>
      <c r="C235" s="426" t="s">
        <v>231</v>
      </c>
      <c r="H235" s="426" t="str">
        <f t="shared" si="3"/>
        <v>,,,</v>
      </c>
      <c r="I235" s="429">
        <v>339.9</v>
      </c>
      <c r="K235" s="426" t="str">
        <f>+IFERROR(VLOOKUP(B235,Foundation!$C$8:$E$696,3,FALSE),"")</f>
        <v>Sandy</v>
      </c>
      <c r="L235" s="426" t="str">
        <f>+IF(IFERROR(MATCH(B235,'Erection Compiled'!$C$6:$C$815,0),"B")="B","","E")</f>
        <v>E</v>
      </c>
      <c r="M235" s="426" t="str">
        <f>+IFERROR(VLOOKUP(B235,Tackwelding!$B$6:$G$322,6,FALSE),"")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Compiled'!$C$6:$C$815,0),"B")="B","","E")</f>
        <v>E</v>
      </c>
      <c r="M236" s="426" t="str">
        <f>+IFERROR(VLOOKUP(B236,Tackwelding!$B$6:$G$322,6,FALSE),"")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Compiled'!$C$6:$C$815,0),"B")="B","","E")</f>
        <v>E</v>
      </c>
      <c r="M237" s="426" t="str">
        <f>+IFERROR(VLOOKUP(B237,Tackwelding!$B$6:$G$322,6,FALSE),"")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Compiled'!$C$6:$C$815,0),"B")="B","","E")</f>
        <v>E</v>
      </c>
      <c r="M238" s="426" t="str">
        <f>+IFERROR(VLOOKUP(B238,Tackwelding!$B$6:$G$322,6,FALSE),"")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Compiled'!$C$6:$C$815,0),"B")="B","","E")</f>
        <v>E</v>
      </c>
      <c r="M239" s="426" t="str">
        <f>+IFERROR(VLOOKUP(B239,Tackwelding!$B$6:$G$322,6,FALSE),"")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Compiled'!$C$6:$C$815,0),"B")="B","","E")</f>
        <v>E</v>
      </c>
      <c r="M240" s="426" t="str">
        <f>+IFERROR(VLOOKUP(B240,Tackwelding!$B$6:$G$322,6,FALSE),"")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Compiled'!$C$6:$C$815,0),"B")="B","","E")</f>
        <v>E</v>
      </c>
      <c r="M241" s="426" t="str">
        <f>+IFERROR(VLOOKUP(B241,Tackwelding!$B$6:$G$322,6,FALSE),"")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Compiled'!$C$6:$C$815,0),"B")="B","","E")</f>
        <v>E</v>
      </c>
      <c r="M242" s="426" t="str">
        <f>+IFERROR(VLOOKUP(B242,Tackwelding!$B$6:$G$322,6,FALSE),"")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Compiled'!$C$6:$C$815,0),"B")="B","","E")</f>
        <v>E</v>
      </c>
      <c r="M243" s="426" t="str">
        <f>+IFERROR(VLOOKUP(B243,Tackwelding!$B$6:$G$322,6,FALSE),"")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Compiled'!$C$6:$C$815,0),"B")="B","","E")</f>
        <v>E</v>
      </c>
      <c r="M244" s="426" t="str">
        <f>+IFERROR(VLOOKUP(B244,Tackwelding!$B$6:$G$322,6,FALSE),"")</f>
        <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Compiled'!$C$6:$C$815,0),"B")="B","","E")</f>
        <v>E</v>
      </c>
      <c r="M245" s="426" t="str">
        <f>+IFERROR(VLOOKUP(B245,Tackwelding!$B$6:$G$322,6,FALSE),"")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Compiled'!$C$6:$C$815,0),"B")="B","","E")</f>
        <v>E</v>
      </c>
      <c r="M246" s="426" t="str">
        <f>+IFERROR(VLOOKUP(B246,Tackwelding!$B$6:$G$322,6,FALSE),"")</f>
        <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Compiled'!$C$6:$C$815,0),"B")="B","","E")</f>
        <v>E</v>
      </c>
      <c r="M247" s="426" t="str">
        <f>+IFERROR(VLOOKUP(B247,Tackwelding!$B$6:$G$322,6,FALSE),"")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Compiled'!$C$6:$C$815,0),"B")="B","","E")</f>
        <v>E</v>
      </c>
      <c r="M248" s="426" t="str">
        <f>+IFERROR(VLOOKUP(B248,Tackwelding!$B$6:$G$322,6,FALSE),"")</f>
        <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Compiled'!$C$6:$C$815,0),"B")="B","","E")</f>
        <v>E</v>
      </c>
      <c r="M249" s="426" t="str">
        <f>+IFERROR(VLOOKUP(B249,Tackwelding!$B$6:$G$322,6,FALSE),"")</f>
        <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Compiled'!$C$6:$C$815,0),"B")="B","","E")</f>
        <v>E</v>
      </c>
      <c r="M250" s="426" t="str">
        <f>+IFERROR(VLOOKUP(B250,Tackwelding!$B$6:$G$322,6,FALSE),"")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Compiled'!$C$6:$C$815,0),"B")="B","","E")</f>
        <v>E</v>
      </c>
      <c r="M251" s="426" t="str">
        <f>+IFERROR(VLOOKUP(B251,Tackwelding!$B$6:$G$322,6,FALSE),"")</f>
        <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Compiled'!$C$6:$C$815,0),"B")="B","","E")</f>
        <v>E</v>
      </c>
      <c r="M252" s="426" t="str">
        <f>+IFERROR(VLOOKUP(B252,Tackwelding!$B$6:$G$322,6,FALSE),"")</f>
        <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Compiled'!$C$6:$C$815,0),"B")="B","","E")</f>
        <v>E</v>
      </c>
      <c r="M253" s="426" t="str">
        <f>+IFERROR(VLOOKUP(B253,Tackwelding!$B$6:$G$322,6,FALSE),"")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Compiled'!$C$6:$C$815,0),"B")="B","","E")</f>
        <v>E</v>
      </c>
      <c r="M254" s="426" t="str">
        <f>+IFERROR(VLOOKUP(B254,Tackwelding!$B$6:$G$322,6,FALSE),"")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Compiled'!$C$6:$C$815,0),"B")="B","","E")</f>
        <v>E</v>
      </c>
      <c r="M255" s="426" t="str">
        <f>+IFERROR(VLOOKUP(B255,Tackwelding!$B$6:$G$322,6,FALSE),"")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Compiled'!$C$6:$C$815,0),"B")="B","","E")</f>
        <v>E</v>
      </c>
      <c r="M256" s="426" t="str">
        <f>+IFERROR(VLOOKUP(B256,Tackwelding!$B$6:$G$322,6,FALSE),"")</f>
        <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Compiled'!$C$6:$C$815,0),"B")="B","","E")</f>
        <v>E</v>
      </c>
      <c r="M257" s="426" t="str">
        <f>+IFERROR(VLOOKUP(B257,Tackwelding!$B$6:$G$322,6,FALSE),"")</f>
        <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Compiled'!$C$6:$C$815,0),"B")="B","","E")</f>
        <v>E</v>
      </c>
      <c r="M258" s="426" t="str">
        <f>+IFERROR(VLOOKUP(B258,Tackwelding!$B$6:$G$322,6,FALSE),"")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Compiled'!$C$6:$C$815,0),"B")="B","","E")</f>
        <v>E</v>
      </c>
      <c r="M259" s="426" t="str">
        <f>+IFERROR(VLOOKUP(B259,Tackwelding!$B$6:$G$322,6,FALSE),"")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Compiled'!$C$6:$C$815,0),"B")="B","","E")</f>
        <v>E</v>
      </c>
      <c r="M260" s="426" t="str">
        <f>+IFERROR(VLOOKUP(B260,Tackwelding!$B$6:$G$322,6,FALSE),"")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Compiled'!$C$6:$C$815,0),"B")="B","","E")</f>
        <v>E</v>
      </c>
      <c r="M261" s="426" t="str">
        <f>+IFERROR(VLOOKUP(B261,Tackwelding!$B$6:$G$322,6,FALSE),"")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Compiled'!$C$6:$C$815,0),"B")="B","","E")</f>
        <v>E</v>
      </c>
      <c r="M262" s="426" t="str">
        <f>+IFERROR(VLOOKUP(B262,Tackwelding!$B$6:$G$322,6,FALSE),"")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Compiled'!$C$6:$C$815,0),"B")="B","","E")</f>
        <v>E</v>
      </c>
      <c r="M263" s="426" t="str">
        <f>+IFERROR(VLOOKUP(B263,Tackwelding!$B$6:$G$322,6,FALSE),"")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Compiled'!$C$6:$C$815,0),"B")="B","","E")</f>
        <v>E</v>
      </c>
      <c r="M264" s="426" t="str">
        <f>+IFERROR(VLOOKUP(B264,Tackwelding!$B$6:$G$322,6,FALSE),"")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Compiled'!$C$6:$C$815,0),"B")="B","","E")</f>
        <v>E</v>
      </c>
      <c r="M265" s="426" t="str">
        <f>+IFERROR(VLOOKUP(B265,Tackwelding!$B$6:$G$322,6,FALSE),"")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Compiled'!$C$6:$C$815,0),"B")="B","","E")</f>
        <v>E</v>
      </c>
      <c r="M266" s="426" t="str">
        <f>+IFERROR(VLOOKUP(B266,Tackwelding!$B$6:$G$322,6,FALSE),"")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Compiled'!$C$6:$C$815,0),"B")="B","","E")</f>
        <v>E</v>
      </c>
      <c r="M267" s="426" t="str">
        <f>+IFERROR(VLOOKUP(B267,Tackwelding!$B$6:$G$322,6,FALSE),"")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Compiled'!$C$6:$C$815,0),"B")="B","","E")</f>
        <v>E</v>
      </c>
      <c r="M268" s="426" t="str">
        <f>+IFERROR(VLOOKUP(B268,Tackwelding!$B$6:$G$322,6,FALSE),"")</f>
        <v/>
      </c>
    </row>
    <row r="269" spans="1:13" x14ac:dyDescent="0.25">
      <c r="A269" s="426">
        <v>263</v>
      </c>
      <c r="B269" s="426" t="s">
        <v>667</v>
      </c>
      <c r="C269" s="426" t="s">
        <v>243</v>
      </c>
      <c r="D269" s="426" t="s">
        <v>872</v>
      </c>
      <c r="E269" s="426" t="s">
        <v>650</v>
      </c>
      <c r="F269" s="426" t="s">
        <v>650</v>
      </c>
      <c r="G269" s="426">
        <v>0</v>
      </c>
      <c r="H269" s="426" t="str">
        <f>+CONCATENATE(D269,",",E269,",",F269,",",G269)</f>
        <v>0,1,1,0</v>
      </c>
      <c r="I269" s="429">
        <v>383.9</v>
      </c>
      <c r="K269" s="426" t="str">
        <f>+IFERROR(VLOOKUP(B269,Foundation!$C$8:$E$696,3,FALSE),"")</f>
        <v>Sandy</v>
      </c>
      <c r="L269" s="426" t="str">
        <f>+IF(IFERROR(MATCH(B269,'Erection Compiled'!$C$6:$C$815,0),"B")="B","","E")</f>
        <v>E</v>
      </c>
      <c r="M269" s="426" t="str">
        <f>+IFERROR(VLOOKUP(B269,Tackwelding!$B$6:$G$322,6,FALSE),"")</f>
        <v/>
      </c>
    </row>
    <row r="270" spans="1:13" x14ac:dyDescent="0.25">
      <c r="A270" s="426">
        <v>264</v>
      </c>
      <c r="B270" s="426" t="s">
        <v>668</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Compiled'!$C$6:$C$815,0),"B")="B","","E")</f>
        <v>E</v>
      </c>
      <c r="M270" s="426" t="str">
        <f>+IFERROR(VLOOKUP(B270,Tackwelding!$B$6:$G$322,6,FALSE),"")</f>
        <v>Done</v>
      </c>
    </row>
    <row r="271" spans="1:13" x14ac:dyDescent="0.25">
      <c r="A271" s="426">
        <v>265</v>
      </c>
      <c r="B271" s="426" t="s">
        <v>669</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Compiled'!$C$6:$C$815,0),"B")="B","","E")</f>
        <v>E</v>
      </c>
      <c r="M271" s="426" t="str">
        <f>+IFERROR(VLOOKUP(B271,Tackwelding!$B$6:$G$322,6,FALSE),"")</f>
        <v/>
      </c>
    </row>
    <row r="272" spans="1:13" x14ac:dyDescent="0.25">
      <c r="A272" s="426">
        <v>266</v>
      </c>
      <c r="B272" s="426" t="s">
        <v>670</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Compiled'!$C$6:$C$815,0),"B")="B","","E")</f>
        <v>E</v>
      </c>
      <c r="M272" s="426" t="str">
        <f>+IFERROR(VLOOKUP(B272,Tackwelding!$B$6:$G$322,6,FALSE),"")</f>
        <v>Done</v>
      </c>
    </row>
    <row r="273" spans="1:13" x14ac:dyDescent="0.25">
      <c r="A273" s="426">
        <v>267</v>
      </c>
      <c r="B273" s="426" t="s">
        <v>671</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Compiled'!$C$6:$C$815,0),"B")="B","","E")</f>
        <v>E</v>
      </c>
      <c r="M273" s="426" t="str">
        <f>+IFERROR(VLOOKUP(B273,Tackwelding!$B$6:$G$322,6,FALSE),"")</f>
        <v>Done</v>
      </c>
    </row>
    <row r="274" spans="1:13" x14ac:dyDescent="0.25">
      <c r="A274" s="426">
        <v>268</v>
      </c>
      <c r="B274" s="426" t="s">
        <v>672</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Compiled'!$C$6:$C$815,0),"B")="B","","E")</f>
        <v>E</v>
      </c>
      <c r="M274" s="426" t="str">
        <f>+IFERROR(VLOOKUP(B274,Tackwelding!$B$6:$G$322,6,FALSE),"")</f>
        <v>Done</v>
      </c>
    </row>
    <row r="275" spans="1:13" x14ac:dyDescent="0.25">
      <c r="A275" s="426">
        <v>269</v>
      </c>
      <c r="B275" s="426" t="s">
        <v>673</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Compiled'!$C$6:$C$815,0),"B")="B","","E")</f>
        <v>E</v>
      </c>
      <c r="M275" s="426" t="str">
        <f>+IFERROR(VLOOKUP(B275,Tackwelding!$B$6:$G$322,6,FALSE),"")</f>
        <v/>
      </c>
    </row>
    <row r="276" spans="1:13" x14ac:dyDescent="0.25">
      <c r="A276" s="426">
        <v>270</v>
      </c>
      <c r="B276" s="426" t="s">
        <v>674</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Compiled'!$C$6:$C$815,0),"B")="B","","E")</f>
        <v>E</v>
      </c>
      <c r="M276" s="426" t="str">
        <f>+IFERROR(VLOOKUP(B276,Tackwelding!$B$6:$G$322,6,FALSE),"")</f>
        <v>Done</v>
      </c>
    </row>
    <row r="277" spans="1:13" x14ac:dyDescent="0.25">
      <c r="A277" s="426">
        <v>271</v>
      </c>
      <c r="B277" s="426" t="s">
        <v>675</v>
      </c>
      <c r="C277" s="426" t="s">
        <v>867</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Compiled'!$C$6:$C$815,0),"B")="B","","E")</f>
        <v>E</v>
      </c>
      <c r="M277" s="426" t="str">
        <f>+IFERROR(VLOOKUP(B277,Tackwelding!$B$6:$G$322,6,FALSE),"")</f>
        <v/>
      </c>
    </row>
    <row r="278" spans="1:13" x14ac:dyDescent="0.25">
      <c r="A278" s="426">
        <v>272</v>
      </c>
      <c r="B278" s="426" t="s">
        <v>676</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Compiled'!$C$6:$C$815,0),"B")="B","","E")</f>
        <v>E</v>
      </c>
      <c r="M278" s="426" t="str">
        <f>+IFERROR(VLOOKUP(B278,Tackwelding!$B$6:$G$322,6,FALSE),"")</f>
        <v/>
      </c>
    </row>
    <row r="279" spans="1:13" x14ac:dyDescent="0.25">
      <c r="A279" s="426">
        <v>273</v>
      </c>
      <c r="B279" s="426" t="s">
        <v>677</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Compiled'!$C$6:$C$815,0),"B")="B","","E")</f>
        <v>E</v>
      </c>
      <c r="M279" s="426" t="str">
        <f>+IFERROR(VLOOKUP(B279,Tackwelding!$B$6:$G$322,6,FALSE),"")</f>
        <v/>
      </c>
    </row>
    <row r="280" spans="1:13" x14ac:dyDescent="0.25">
      <c r="A280" s="426">
        <v>274</v>
      </c>
      <c r="B280" s="426" t="s">
        <v>678</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Compiled'!$C$6:$C$815,0),"B")="B","","E")</f>
        <v>E</v>
      </c>
      <c r="M280" s="426" t="str">
        <f>+IFERROR(VLOOKUP(B280,Tackwelding!$B$6:$G$322,6,FALSE),"")</f>
        <v>Done</v>
      </c>
    </row>
    <row r="281" spans="1:13" x14ac:dyDescent="0.25">
      <c r="A281" s="426">
        <v>275</v>
      </c>
      <c r="B281" s="426" t="s">
        <v>679</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Compiled'!$C$6:$C$815,0),"B")="B","","E")</f>
        <v>E</v>
      </c>
      <c r="M281" s="426" t="str">
        <f>+IFERROR(VLOOKUP(B281,Tackwelding!$B$6:$G$322,6,FALSE),"")</f>
        <v/>
      </c>
    </row>
    <row r="282" spans="1:13" x14ac:dyDescent="0.25">
      <c r="A282" s="426">
        <v>276</v>
      </c>
      <c r="B282" s="426" t="s">
        <v>680</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Compiled'!$C$6:$C$815,0),"B")="B","","E")</f>
        <v>E</v>
      </c>
      <c r="M282" s="426" t="str">
        <f>+IFERROR(VLOOKUP(B282,Tackwelding!$B$6:$G$322,6,FALSE),"")</f>
        <v>Done</v>
      </c>
    </row>
    <row r="283" spans="1:13" x14ac:dyDescent="0.25">
      <c r="A283" s="426">
        <v>277</v>
      </c>
      <c r="B283" s="426" t="s">
        <v>89</v>
      </c>
      <c r="C283" s="426" t="s">
        <v>654</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Compiled'!$C$6:$C$815,0),"B")="B","","E")</f>
        <v>E</v>
      </c>
      <c r="M283" s="426" t="str">
        <f>+IFERROR(VLOOKUP(B283,Tackwelding!$B$6:$G$322,6,FALSE),"")</f>
        <v>Done</v>
      </c>
    </row>
    <row r="284" spans="1:13" x14ac:dyDescent="0.25">
      <c r="A284" s="426">
        <v>278</v>
      </c>
      <c r="B284" s="426" t="s">
        <v>90</v>
      </c>
      <c r="C284" s="426" t="s">
        <v>654</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Compiled'!$C$6:$C$815,0),"B")="B","","E")</f>
        <v>E</v>
      </c>
      <c r="M284" s="426" t="str">
        <f>+IFERROR(VLOOKUP(B284,Tackwelding!$B$6:$G$322,6,FALSE),"")</f>
        <v>Done</v>
      </c>
    </row>
    <row r="285" spans="1:13" x14ac:dyDescent="0.25">
      <c r="A285" s="426">
        <v>279</v>
      </c>
      <c r="B285" s="426" t="s">
        <v>681</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Compiled'!$C$6:$C$815,0),"B")="B","","E")</f>
        <v>E</v>
      </c>
      <c r="M285" s="426" t="str">
        <f>+IFERROR(VLOOKUP(B285,Tackwelding!$B$6:$G$322,6,FALSE),"")</f>
        <v>Done</v>
      </c>
    </row>
    <row r="286" spans="1:13" x14ac:dyDescent="0.25">
      <c r="A286" s="426">
        <v>280</v>
      </c>
      <c r="B286" s="426" t="s">
        <v>682</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Compiled'!$C$6:$C$815,0),"B")="B","","E")</f>
        <v>E</v>
      </c>
      <c r="M286" s="426" t="str">
        <f>+IFERROR(VLOOKUP(B286,Tackwelding!$B$6:$G$322,6,FALSE),"")</f>
        <v>Done</v>
      </c>
    </row>
    <row r="287" spans="1:13" x14ac:dyDescent="0.25">
      <c r="A287" s="426">
        <v>281</v>
      </c>
      <c r="B287" s="426" t="s">
        <v>683</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Compiled'!$C$6:$C$815,0),"B")="B","","E")</f>
        <v>E</v>
      </c>
      <c r="M287" s="426" t="str">
        <f>+IFERROR(VLOOKUP(B287,Tackwelding!$B$6:$G$322,6,FALSE),"")</f>
        <v>Done</v>
      </c>
    </row>
    <row r="288" spans="1:13" x14ac:dyDescent="0.25">
      <c r="A288" s="426">
        <v>282</v>
      </c>
      <c r="B288" s="426" t="s">
        <v>684</v>
      </c>
      <c r="C288" s="426" t="s">
        <v>20</v>
      </c>
      <c r="H288" s="426" t="str">
        <f t="shared" ref="H288" si="22">+CONCATENATE(D288,",",E288,",",F288,",",G288)</f>
        <v>,,,</v>
      </c>
      <c r="I288" s="429">
        <v>358.4</v>
      </c>
      <c r="K288" s="426" t="str">
        <f>+IFERROR(VLOOKUP(B288,Foundation!$C$8:$E$696,3,FALSE),"")</f>
        <v>Sandy</v>
      </c>
      <c r="L288" s="426" t="str">
        <f>+IF(IFERROR(MATCH(B288,'Erection Compiled'!$C$6:$C$815,0),"B")="B","","E")</f>
        <v>E</v>
      </c>
      <c r="M288" s="426" t="str">
        <f>+IFERROR(VLOOKUP(B288,Tackwelding!$B$6:$G$322,6,FALSE),"")</f>
        <v>Done</v>
      </c>
    </row>
    <row r="289" spans="1:13" x14ac:dyDescent="0.25">
      <c r="A289" s="426">
        <v>283</v>
      </c>
      <c r="B289" s="430" t="s">
        <v>685</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Compiled'!$C$6:$C$815,0),"B")="B","","E")</f>
        <v>E</v>
      </c>
      <c r="M289" s="426" t="str">
        <f>+IFERROR(VLOOKUP(B289,Tackwelding!$B$6:$G$322,6,FALSE),"")</f>
        <v/>
      </c>
    </row>
    <row r="290" spans="1:13" x14ac:dyDescent="0.25">
      <c r="A290" s="426">
        <v>284</v>
      </c>
      <c r="B290" s="430" t="s">
        <v>686</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Compiled'!$C$6:$C$815,0),"B")="B","","E")</f>
        <v>E</v>
      </c>
      <c r="M290" s="426" t="str">
        <f>+IFERROR(VLOOKUP(B290,Tackwelding!$B$6:$G$322,6,FALSE),"")</f>
        <v>Done</v>
      </c>
    </row>
    <row r="291" spans="1:13" x14ac:dyDescent="0.25">
      <c r="A291" s="426">
        <v>285</v>
      </c>
      <c r="B291" s="426" t="s">
        <v>687</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Compiled'!$C$6:$C$815,0),"B")="B","","E")</f>
        <v>E</v>
      </c>
      <c r="M291" s="426" t="str">
        <f>+IFERROR(VLOOKUP(B291,Tackwelding!$B$6:$G$322,6,FALSE),"")</f>
        <v>Done</v>
      </c>
    </row>
    <row r="292" spans="1:13" x14ac:dyDescent="0.25">
      <c r="A292" s="426">
        <v>286</v>
      </c>
      <c r="B292" s="426" t="s">
        <v>688</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Compiled'!$C$6:$C$815,0),"B")="B","","E")</f>
        <v>E</v>
      </c>
      <c r="M292" s="426" t="str">
        <f>+IFERROR(VLOOKUP(B292,Tackwelding!$B$6:$G$322,6,FALSE),"")</f>
        <v>Done</v>
      </c>
    </row>
    <row r="293" spans="1:13" x14ac:dyDescent="0.25">
      <c r="A293" s="426">
        <v>287</v>
      </c>
      <c r="B293" s="426" t="s">
        <v>689</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Compiled'!$C$6:$C$815,0),"B")="B","","E")</f>
        <v>E</v>
      </c>
      <c r="M293" s="426" t="str">
        <f>+IFERROR(VLOOKUP(B293,Tackwelding!$B$6:$G$322,6,FALSE),"")</f>
        <v>Done</v>
      </c>
    </row>
    <row r="294" spans="1:13" x14ac:dyDescent="0.25">
      <c r="A294" s="426">
        <v>288</v>
      </c>
      <c r="B294" s="426" t="s">
        <v>690</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Compiled'!$C$6:$C$815,0),"B")="B","","E")</f>
        <v>E</v>
      </c>
      <c r="M294" s="426" t="str">
        <f>+IFERROR(VLOOKUP(B294,Tackwelding!$B$6:$G$322,6,FALSE),"")</f>
        <v>Done</v>
      </c>
    </row>
    <row r="295" spans="1:13" x14ac:dyDescent="0.25">
      <c r="A295" s="426">
        <v>289</v>
      </c>
      <c r="B295" s="430" t="s">
        <v>691</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Compiled'!$C$6:$C$815,0),"B")="B","","E")</f>
        <v>E</v>
      </c>
      <c r="M295" s="426" t="str">
        <f>+IFERROR(VLOOKUP(B295,Tackwelding!$B$6:$G$322,6,FALSE),"")</f>
        <v>Done</v>
      </c>
    </row>
    <row r="296" spans="1:13" x14ac:dyDescent="0.25">
      <c r="A296" s="426">
        <v>290</v>
      </c>
      <c r="B296" s="430" t="s">
        <v>692</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Compiled'!$C$6:$C$815,0),"B")="B","","E")</f>
        <v>E</v>
      </c>
      <c r="M296" s="426" t="str">
        <f>+IFERROR(VLOOKUP(B296,Tackwelding!$B$6:$G$322,6,FALSE),"")</f>
        <v>Done</v>
      </c>
    </row>
    <row r="297" spans="1:13" x14ac:dyDescent="0.25">
      <c r="A297" s="426">
        <v>291</v>
      </c>
      <c r="B297" s="426" t="s">
        <v>91</v>
      </c>
      <c r="C297" s="426" t="s">
        <v>868</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Compiled'!$C$6:$C$815,0),"B")="B","","E")</f>
        <v>E</v>
      </c>
      <c r="M297" s="426" t="str">
        <f>+IFERROR(VLOOKUP(B297,Tackwelding!$B$6:$G$322,6,FALSE),"")</f>
        <v>Done</v>
      </c>
    </row>
    <row r="298" spans="1:13" x14ac:dyDescent="0.25">
      <c r="A298" s="426">
        <v>292</v>
      </c>
      <c r="B298" s="426" t="s">
        <v>693</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Compiled'!$C$6:$C$815,0),"B")="B","","E")</f>
        <v>E</v>
      </c>
      <c r="M298" s="426" t="str">
        <f>+IFERROR(VLOOKUP(B298,Tackwelding!$B$6:$G$322,6,FALSE),"")</f>
        <v>Done</v>
      </c>
    </row>
    <row r="299" spans="1:13" x14ac:dyDescent="0.25">
      <c r="A299" s="426">
        <v>293</v>
      </c>
      <c r="B299" s="426" t="s">
        <v>694</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Compiled'!$C$6:$C$815,0),"B")="B","","E")</f>
        <v>E</v>
      </c>
      <c r="M299" s="426" t="str">
        <f>+IFERROR(VLOOKUP(B299,Tackwelding!$B$6:$G$322,6,FALSE),"")</f>
        <v>Done</v>
      </c>
    </row>
    <row r="300" spans="1:13" x14ac:dyDescent="0.25">
      <c r="A300" s="426">
        <v>294</v>
      </c>
      <c r="B300" s="426" t="s">
        <v>695</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Compiled'!$C$6:$C$815,0),"B")="B","","E")</f>
        <v>E</v>
      </c>
      <c r="M300" s="426" t="str">
        <f>+IFERROR(VLOOKUP(B300,Tackwelding!$B$6:$G$322,6,FALSE),"")</f>
        <v>Done</v>
      </c>
    </row>
    <row r="301" spans="1:13" x14ac:dyDescent="0.25">
      <c r="A301" s="426">
        <v>295</v>
      </c>
      <c r="B301" s="426" t="s">
        <v>696</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Compiled'!$C$6:$C$815,0),"B")="B","","E")</f>
        <v>E</v>
      </c>
      <c r="M301" s="426" t="str">
        <f>+IFERROR(VLOOKUP(B301,Tackwelding!$B$6:$G$322,6,FALSE),"")</f>
        <v>Done</v>
      </c>
    </row>
    <row r="302" spans="1:13" x14ac:dyDescent="0.25">
      <c r="A302" s="426">
        <v>296</v>
      </c>
      <c r="B302" s="426" t="s">
        <v>697</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Compiled'!$C$6:$C$815,0),"B")="B","","E")</f>
        <v>E</v>
      </c>
      <c r="M302" s="426" t="str">
        <f>+IFERROR(VLOOKUP(B302,Tackwelding!$B$6:$G$322,6,FALSE),"")</f>
        <v>Done</v>
      </c>
    </row>
    <row r="303" spans="1:13" x14ac:dyDescent="0.25">
      <c r="A303" s="426">
        <v>297</v>
      </c>
      <c r="B303" s="426" t="s">
        <v>698</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Compiled'!$C$6:$C$815,0),"B")="B","","E")</f>
        <v>E</v>
      </c>
      <c r="M303" s="426" t="str">
        <f>+IFERROR(VLOOKUP(B303,Tackwelding!$B$6:$G$322,6,FALSE),"")</f>
        <v>Done</v>
      </c>
    </row>
    <row r="304" spans="1:13" x14ac:dyDescent="0.25">
      <c r="A304" s="426">
        <v>298</v>
      </c>
      <c r="B304" s="426" t="s">
        <v>699</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Compiled'!$C$6:$C$815,0),"B")="B","","E")</f>
        <v>E</v>
      </c>
      <c r="M304" s="426" t="str">
        <f>+IFERROR(VLOOKUP(B304,Tackwelding!$B$6:$G$322,6,FALSE),"")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Compiled'!$C$6:$C$815,0),"B")="B","","E")</f>
        <v>E</v>
      </c>
      <c r="M305" s="426" t="str">
        <f>+IFERROR(VLOOKUP(B305,Tackwelding!$B$6:$G$322,6,FALSE),"")</f>
        <v>Done</v>
      </c>
    </row>
    <row r="306" spans="1:13" x14ac:dyDescent="0.25">
      <c r="A306" s="426">
        <v>300</v>
      </c>
      <c r="B306" s="426" t="s">
        <v>700</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Compiled'!$C$6:$C$815,0),"B")="B","","E")</f>
        <v>E</v>
      </c>
      <c r="M306" s="426" t="str">
        <f>+IFERROR(VLOOKUP(B306,Tackwelding!$B$6:$G$322,6,FALSE),"")</f>
        <v>Done</v>
      </c>
    </row>
    <row r="307" spans="1:13" x14ac:dyDescent="0.25">
      <c r="A307" s="426">
        <v>301</v>
      </c>
      <c r="B307" s="426" t="s">
        <v>701</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Compiled'!$C$6:$C$815,0),"B")="B","","E")</f>
        <v>E</v>
      </c>
      <c r="M307" s="426" t="str">
        <f>+IFERROR(VLOOKUP(B307,Tackwelding!$B$6:$G$322,6,FALSE),"")</f>
        <v>Done</v>
      </c>
    </row>
    <row r="308" spans="1:13" x14ac:dyDescent="0.25">
      <c r="A308" s="426">
        <v>302</v>
      </c>
      <c r="B308" s="426" t="s">
        <v>702</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Compiled'!$C$6:$C$815,0),"B")="B","","E")</f>
        <v>E</v>
      </c>
      <c r="M308" s="426" t="str">
        <f>+IFERROR(VLOOKUP(B308,Tackwelding!$B$6:$G$322,6,FALSE),"")</f>
        <v>Done</v>
      </c>
    </row>
    <row r="309" spans="1:13" x14ac:dyDescent="0.25">
      <c r="A309" s="426">
        <v>303</v>
      </c>
      <c r="B309" s="426" t="s">
        <v>703</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Compiled'!$C$6:$C$815,0),"B")="B","","E")</f>
        <v>E</v>
      </c>
      <c r="M309" s="426" t="str">
        <f>+IFERROR(VLOOKUP(B309,Tackwelding!$B$6:$G$322,6,FALSE),"")</f>
        <v>Done</v>
      </c>
    </row>
    <row r="310" spans="1:13" x14ac:dyDescent="0.25">
      <c r="A310" s="426">
        <v>304</v>
      </c>
      <c r="B310" s="426" t="s">
        <v>704</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Compiled'!$C$6:$C$815,0),"B")="B","","E")</f>
        <v>E</v>
      </c>
      <c r="M310" s="426" t="str">
        <f>+IFERROR(VLOOKUP(B310,Tackwelding!$B$6:$G$322,6,FALSE),"")</f>
        <v>Done</v>
      </c>
    </row>
    <row r="311" spans="1:13" x14ac:dyDescent="0.25">
      <c r="A311" s="426">
        <v>305</v>
      </c>
      <c r="B311" s="426" t="s">
        <v>705</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Compiled'!$C$6:$C$815,0),"B")="B","","E")</f>
        <v>E</v>
      </c>
      <c r="M311" s="426" t="str">
        <f>+IFERROR(VLOOKUP(B311,Tackwelding!$B$6:$G$322,6,FALSE),"")</f>
        <v>Done</v>
      </c>
    </row>
    <row r="312" spans="1:13" x14ac:dyDescent="0.25">
      <c r="A312" s="426">
        <v>306</v>
      </c>
      <c r="B312" s="426" t="s">
        <v>706</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Compiled'!$C$6:$C$815,0),"B")="B","","E")</f>
        <v>E</v>
      </c>
      <c r="M312" s="426" t="str">
        <f>+IFERROR(VLOOKUP(B312,Tackwelding!$B$6:$G$322,6,FALSE),"")</f>
        <v>Done</v>
      </c>
    </row>
    <row r="313" spans="1:13" x14ac:dyDescent="0.25">
      <c r="A313" s="426">
        <v>307</v>
      </c>
      <c r="B313" s="430" t="s">
        <v>707</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Compiled'!$C$6:$C$815,0),"B")="B","","E")</f>
        <v>E</v>
      </c>
      <c r="M313" s="426" t="str">
        <f>+IFERROR(VLOOKUP(B313,Tackwelding!$B$6:$G$322,6,FALSE),"")</f>
        <v>Done</v>
      </c>
    </row>
    <row r="314" spans="1:13" x14ac:dyDescent="0.25">
      <c r="A314" s="426">
        <v>308</v>
      </c>
      <c r="B314" s="430" t="s">
        <v>708</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Compiled'!$C$6:$C$815,0),"B")="B","","E")</f>
        <v>E</v>
      </c>
      <c r="M314" s="426" t="str">
        <f>+IFERROR(VLOOKUP(B314,Tackwelding!$B$6:$G$322,6,FALSE),"")</f>
        <v>Done</v>
      </c>
    </row>
    <row r="315" spans="1:13" x14ac:dyDescent="0.25">
      <c r="A315" s="426">
        <v>309</v>
      </c>
      <c r="B315" s="426" t="s">
        <v>709</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Compiled'!$C$6:$C$815,0),"B")="B","","E")</f>
        <v>E</v>
      </c>
      <c r="M315" s="426" t="str">
        <f>+IFERROR(VLOOKUP(B315,Tackwelding!$B$6:$G$322,6,FALSE),"")</f>
        <v>Done</v>
      </c>
    </row>
    <row r="316" spans="1:13" x14ac:dyDescent="0.25">
      <c r="A316" s="426">
        <v>310</v>
      </c>
      <c r="B316" s="426" t="s">
        <v>710</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Compiled'!$C$6:$C$815,0),"B")="B","","E")</f>
        <v>E</v>
      </c>
      <c r="M316" s="426" t="str">
        <f>+IFERROR(VLOOKUP(B316,Tackwelding!$B$6:$G$322,6,FALSE),"")</f>
        <v>Done</v>
      </c>
    </row>
    <row r="317" spans="1:13" x14ac:dyDescent="0.25">
      <c r="A317" s="426">
        <v>311</v>
      </c>
      <c r="B317" s="426" t="s">
        <v>711</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Compiled'!$C$6:$C$815,0),"B")="B","","E")</f>
        <v>E</v>
      </c>
      <c r="M317" s="426" t="str">
        <f>+IFERROR(VLOOKUP(B317,Tackwelding!$B$6:$G$322,6,FALSE),"")</f>
        <v>Done</v>
      </c>
    </row>
    <row r="318" spans="1:13" x14ac:dyDescent="0.25">
      <c r="A318" s="426">
        <v>312</v>
      </c>
      <c r="B318" s="426" t="s">
        <v>712</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Compiled'!$C$6:$C$815,0),"B")="B","","E")</f>
        <v>E</v>
      </c>
      <c r="M318" s="426" t="str">
        <f>+IFERROR(VLOOKUP(B318,Tackwelding!$B$6:$G$322,6,FALSE),"")</f>
        <v>Done</v>
      </c>
    </row>
    <row r="319" spans="1:13" x14ac:dyDescent="0.25">
      <c r="A319" s="426">
        <v>313</v>
      </c>
      <c r="B319" s="426" t="s">
        <v>713</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Compiled'!$C$6:$C$815,0),"B")="B","","E")</f>
        <v>E</v>
      </c>
      <c r="M319" s="426" t="str">
        <f>+IFERROR(VLOOKUP(B319,Tackwelding!$B$6:$G$322,6,FALSE),"")</f>
        <v>Done</v>
      </c>
    </row>
    <row r="320" spans="1:13" x14ac:dyDescent="0.25">
      <c r="A320" s="426">
        <v>314</v>
      </c>
      <c r="B320" s="426" t="s">
        <v>714</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Compiled'!$C$6:$C$815,0),"B")="B","","E")</f>
        <v>E</v>
      </c>
      <c r="M320" s="426" t="str">
        <f>+IFERROR(VLOOKUP(B320,Tackwelding!$B$6:$G$322,6,FALSE),"")</f>
        <v>Done</v>
      </c>
    </row>
    <row r="321" spans="1:13" x14ac:dyDescent="0.25">
      <c r="A321" s="426">
        <v>315</v>
      </c>
      <c r="B321" s="426" t="s">
        <v>715</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Compiled'!$C$6:$C$815,0),"B")="B","","E")</f>
        <v>E</v>
      </c>
      <c r="M321" s="426" t="str">
        <f>+IFERROR(VLOOKUP(B321,Tackwelding!$B$6:$G$322,6,FALSE),"")</f>
        <v>Done</v>
      </c>
    </row>
    <row r="322" spans="1:13" x14ac:dyDescent="0.25">
      <c r="A322" s="426">
        <v>316</v>
      </c>
      <c r="B322" s="426" t="s">
        <v>716</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Compiled'!$C$6:$C$815,0),"B")="B","","E")</f>
        <v>E</v>
      </c>
      <c r="M322" s="426" t="str">
        <f>+IFERROR(VLOOKUP(B322,Tackwelding!$B$6:$G$322,6,FALSE),"")</f>
        <v/>
      </c>
    </row>
    <row r="323" spans="1:13" x14ac:dyDescent="0.25">
      <c r="A323" s="426">
        <v>317</v>
      </c>
      <c r="B323" s="426" t="s">
        <v>717</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Compiled'!$C$6:$C$815,0),"B")="B","","E")</f>
        <v>E</v>
      </c>
      <c r="M323" s="426" t="str">
        <f>+IFERROR(VLOOKUP(B323,Tackwelding!$B$6:$G$322,6,FALSE),"")</f>
        <v>Done</v>
      </c>
    </row>
    <row r="324" spans="1:13" x14ac:dyDescent="0.25">
      <c r="A324" s="426">
        <v>318</v>
      </c>
      <c r="B324" s="426" t="s">
        <v>718</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Compiled'!$C$6:$C$815,0),"B")="B","","E")</f>
        <v>E</v>
      </c>
      <c r="M324" s="426" t="str">
        <f>+IFERROR(VLOOKUP(B324,Tackwelding!$B$6:$G$322,6,FALSE),"")</f>
        <v>Done</v>
      </c>
    </row>
    <row r="325" spans="1:13" x14ac:dyDescent="0.25">
      <c r="A325" s="426">
        <v>319</v>
      </c>
      <c r="B325" s="426" t="s">
        <v>719</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Compiled'!$C$6:$C$815,0),"B")="B","","E")</f>
        <v>E</v>
      </c>
      <c r="M325" s="426" t="str">
        <f>+IFERROR(VLOOKUP(B325,Tackwelding!$B$6:$G$322,6,FALSE),"")</f>
        <v>Done</v>
      </c>
    </row>
    <row r="326" spans="1:13" x14ac:dyDescent="0.25">
      <c r="A326" s="426">
        <v>320</v>
      </c>
      <c r="B326" s="426" t="s">
        <v>720</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Compiled'!$C$6:$C$815,0),"B")="B","","E")</f>
        <v>E</v>
      </c>
      <c r="M326" s="426" t="str">
        <f>+IFERROR(VLOOKUP(B326,Tackwelding!$B$6:$G$322,6,FALSE),"")</f>
        <v>Done</v>
      </c>
    </row>
    <row r="327" spans="1:13" x14ac:dyDescent="0.25">
      <c r="A327" s="426">
        <v>321</v>
      </c>
      <c r="B327" s="426" t="s">
        <v>721</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Compiled'!$C$6:$C$815,0),"B")="B","","E")</f>
        <v>E</v>
      </c>
      <c r="M327" s="426" t="str">
        <f>+IFERROR(VLOOKUP(B327,Tackwelding!$B$6:$G$322,6,FALSE),"")</f>
        <v>Done</v>
      </c>
    </row>
    <row r="328" spans="1:13" x14ac:dyDescent="0.25">
      <c r="A328" s="426">
        <v>322</v>
      </c>
      <c r="B328" s="426" t="s">
        <v>722</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Compiled'!$C$6:$C$815,0),"B")="B","","E")</f>
        <v>E</v>
      </c>
      <c r="M328" s="426" t="str">
        <f>+IFERROR(VLOOKUP(B328,Tackwelding!$B$6:$G$322,6,FALSE),"")</f>
        <v>Done</v>
      </c>
    </row>
    <row r="329" spans="1:13" x14ac:dyDescent="0.25">
      <c r="A329" s="426">
        <v>323</v>
      </c>
      <c r="B329" s="426" t="s">
        <v>723</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Compiled'!$C$6:$C$815,0),"B")="B","","E")</f>
        <v>E</v>
      </c>
      <c r="M329" s="426" t="str">
        <f>+IFERROR(VLOOKUP(B329,Tackwelding!$B$6:$G$322,6,FALSE),"")</f>
        <v>Done</v>
      </c>
    </row>
    <row r="330" spans="1:13" x14ac:dyDescent="0.25">
      <c r="A330" s="426">
        <v>324</v>
      </c>
      <c r="B330" s="426" t="s">
        <v>724</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Compiled'!$C$6:$C$815,0),"B")="B","","E")</f>
        <v>E</v>
      </c>
      <c r="M330" s="426" t="str">
        <f>+IFERROR(VLOOKUP(B330,Tackwelding!$B$6:$G$322,6,FALSE),"")</f>
        <v/>
      </c>
    </row>
    <row r="331" spans="1:13" x14ac:dyDescent="0.25">
      <c r="A331" s="426">
        <v>325</v>
      </c>
      <c r="B331" s="426" t="s">
        <v>725</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Compiled'!$C$6:$C$815,0),"B")="B","","E")</f>
        <v>E</v>
      </c>
      <c r="M331" s="426" t="str">
        <f>+IFERROR(VLOOKUP(B331,Tackwelding!$B$6:$G$322,6,FALSE),"")</f>
        <v/>
      </c>
    </row>
    <row r="332" spans="1:13" x14ac:dyDescent="0.25">
      <c r="A332" s="426">
        <v>326</v>
      </c>
      <c r="B332" s="432" t="s">
        <v>726</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Compiled'!$C$6:$C$815,0),"B")="B","","E")</f>
        <v>E</v>
      </c>
      <c r="M332" s="426" t="str">
        <f>+IFERROR(VLOOKUP(B332,Tackwelding!$B$6:$G$322,6,FALSE),"")</f>
        <v>Done</v>
      </c>
    </row>
    <row r="333" spans="1:13" x14ac:dyDescent="0.25">
      <c r="A333" s="426">
        <v>327</v>
      </c>
      <c r="B333" s="426" t="s">
        <v>727</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Compiled'!$C$6:$C$815,0),"B")="B","","E")</f>
        <v>E</v>
      </c>
      <c r="M333" s="426" t="str">
        <f>+IFERROR(VLOOKUP(B333,Tackwelding!$B$6:$G$322,6,FALSE),"")</f>
        <v>Done</v>
      </c>
    </row>
    <row r="334" spans="1:13" x14ac:dyDescent="0.25">
      <c r="A334" s="426">
        <v>328</v>
      </c>
      <c r="B334" s="426" t="s">
        <v>728</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Compiled'!$C$6:$C$815,0),"B")="B","","E")</f>
        <v>E</v>
      </c>
      <c r="M334" s="426" t="str">
        <f>+IFERROR(VLOOKUP(B334,Tackwelding!$B$6:$G$322,6,FALSE),"")</f>
        <v/>
      </c>
    </row>
    <row r="335" spans="1:13" x14ac:dyDescent="0.25">
      <c r="A335" s="426">
        <v>329</v>
      </c>
      <c r="B335" s="426" t="s">
        <v>729</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Compiled'!$C$6:$C$815,0),"B")="B","","E")</f>
        <v>E</v>
      </c>
      <c r="M335" s="426" t="str">
        <f>+IFERROR(VLOOKUP(B335,Tackwelding!$B$6:$G$322,6,FALSE),"")</f>
        <v/>
      </c>
    </row>
    <row r="336" spans="1:13" x14ac:dyDescent="0.25">
      <c r="A336" s="426">
        <v>330</v>
      </c>
      <c r="B336" s="426" t="s">
        <v>730</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Compiled'!$C$6:$C$815,0),"B")="B","","E")</f>
        <v>E</v>
      </c>
      <c r="M336" s="426" t="str">
        <f>+IFERROR(VLOOKUP(B336,Tackwelding!$B$6:$G$322,6,FALSE),"")</f>
        <v/>
      </c>
    </row>
    <row r="337" spans="1:13" x14ac:dyDescent="0.25">
      <c r="A337" s="426">
        <v>331</v>
      </c>
      <c r="B337" s="426" t="s">
        <v>731</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Compiled'!$C$6:$C$815,0),"B")="B","","E")</f>
        <v>E</v>
      </c>
      <c r="M337" s="426" t="str">
        <f>+IFERROR(VLOOKUP(B337,Tackwelding!$B$6:$G$322,6,FALSE),"")</f>
        <v/>
      </c>
    </row>
    <row r="338" spans="1:13" x14ac:dyDescent="0.25">
      <c r="A338" s="426">
        <v>332</v>
      </c>
      <c r="B338" s="426" t="s">
        <v>732</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Compiled'!$C$6:$C$815,0),"B")="B","","E")</f>
        <v>E</v>
      </c>
      <c r="M338" s="426" t="str">
        <f>+IFERROR(VLOOKUP(B338,Tackwelding!$B$6:$G$322,6,FALSE),"")</f>
        <v/>
      </c>
    </row>
    <row r="339" spans="1:13" x14ac:dyDescent="0.25">
      <c r="A339" s="426">
        <v>333</v>
      </c>
      <c r="B339" s="426" t="s">
        <v>733</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Compiled'!$C$6:$C$815,0),"B")="B","","E")</f>
        <v>E</v>
      </c>
      <c r="M339" s="426" t="str">
        <f>+IFERROR(VLOOKUP(B339,Tackwelding!$B$6:$G$322,6,FALSE),"")</f>
        <v/>
      </c>
    </row>
    <row r="340" spans="1:13" x14ac:dyDescent="0.25">
      <c r="A340" s="426">
        <v>334</v>
      </c>
      <c r="B340" s="426" t="s">
        <v>734</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Compiled'!$C$6:$C$815,0),"B")="B","","E")</f>
        <v>E</v>
      </c>
      <c r="M340" s="426" t="str">
        <f>+IFERROR(VLOOKUP(B340,Tackwelding!$B$6:$G$322,6,FALSE),"")</f>
        <v/>
      </c>
    </row>
    <row r="341" spans="1:13" x14ac:dyDescent="0.25">
      <c r="A341" s="426">
        <v>335</v>
      </c>
      <c r="B341" s="426" t="s">
        <v>735</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Compiled'!$C$6:$C$815,0),"B")="B","","E")</f>
        <v>E</v>
      </c>
      <c r="M341" s="426" t="str">
        <f>+IFERROR(VLOOKUP(B341,Tackwelding!$B$6:$G$322,6,FALSE),"")</f>
        <v>Done</v>
      </c>
    </row>
    <row r="342" spans="1:13" x14ac:dyDescent="0.25">
      <c r="A342" s="426">
        <v>336</v>
      </c>
      <c r="B342" s="426" t="s">
        <v>736</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Compiled'!$C$6:$C$815,0),"B")="B","","E")</f>
        <v>E</v>
      </c>
      <c r="M342" s="426" t="str">
        <f>+IFERROR(VLOOKUP(B342,Tackwelding!$B$6:$G$322,6,FALSE),"")</f>
        <v>Done</v>
      </c>
    </row>
    <row r="343" spans="1:13" x14ac:dyDescent="0.25">
      <c r="A343" s="426">
        <v>337</v>
      </c>
      <c r="B343" s="426" t="s">
        <v>737</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Compiled'!$C$6:$C$815,0),"B")="B","","E")</f>
        <v>E</v>
      </c>
      <c r="M343" s="426" t="str">
        <f>+IFERROR(VLOOKUP(B343,Tackwelding!$B$6:$G$322,6,FALSE),"")</f>
        <v>Done</v>
      </c>
    </row>
    <row r="344" spans="1:13" x14ac:dyDescent="0.25">
      <c r="A344" s="426">
        <v>338</v>
      </c>
      <c r="B344" s="426" t="s">
        <v>738</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Compiled'!$C$6:$C$815,0),"B")="B","","E")</f>
        <v>E</v>
      </c>
      <c r="M344" s="426" t="str">
        <f>+IFERROR(VLOOKUP(B344,Tackwelding!$B$6:$G$322,6,FALSE),"")</f>
        <v>Done</v>
      </c>
    </row>
    <row r="345" spans="1:13" x14ac:dyDescent="0.25">
      <c r="A345" s="426">
        <v>339</v>
      </c>
      <c r="B345" s="426" t="s">
        <v>739</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Compiled'!$C$6:$C$815,0),"B")="B","","E")</f>
        <v>E</v>
      </c>
      <c r="M345" s="426" t="str">
        <f>+IFERROR(VLOOKUP(B345,Tackwelding!$B$6:$G$322,6,FALSE),"")</f>
        <v/>
      </c>
    </row>
    <row r="346" spans="1:13" x14ac:dyDescent="0.25">
      <c r="A346" s="426">
        <v>340</v>
      </c>
      <c r="B346" s="426" t="s">
        <v>740</v>
      </c>
      <c r="C346" s="426" t="s">
        <v>231</v>
      </c>
      <c r="H346" s="426" t="str">
        <f t="shared" ref="H346" si="80">+CONCATENATE(D346,",",E346,",",F346,",",G346)</f>
        <v>,,,</v>
      </c>
      <c r="I346" s="429">
        <v>404.9</v>
      </c>
      <c r="K346" s="426" t="str">
        <f>+IFERROR(VLOOKUP(B346,Foundation!$C$8:$E$696,3,FALSE),"")</f>
        <v>WFR</v>
      </c>
      <c r="L346" s="426" t="str">
        <f>+IF(IFERROR(MATCH(B346,'Erection Compiled'!$C$6:$C$815,0),"B")="B","","E")</f>
        <v>E</v>
      </c>
      <c r="M346" s="426" t="str">
        <f>+IFERROR(VLOOKUP(B346,Tackwelding!$B$6:$G$322,6,FALSE),"")</f>
        <v>Done</v>
      </c>
    </row>
    <row r="347" spans="1:13" x14ac:dyDescent="0.25">
      <c r="A347" s="426">
        <v>341</v>
      </c>
      <c r="B347" s="426" t="s">
        <v>741</v>
      </c>
      <c r="C347" s="426" t="s">
        <v>231</v>
      </c>
      <c r="H347" s="426" t="str">
        <f t="shared" ref="H347" si="81">+CONCATENATE(D347,",",E347,",",F347,",",G347)</f>
        <v>,,,</v>
      </c>
      <c r="I347" s="429">
        <v>343.1</v>
      </c>
      <c r="K347" s="426" t="str">
        <f>+IFERROR(VLOOKUP(B347,Foundation!$C$8:$E$696,3,FALSE),"")</f>
        <v>WFR</v>
      </c>
      <c r="L347" s="426" t="str">
        <f>+IF(IFERROR(MATCH(B347,'Erection Compiled'!$C$6:$C$815,0),"B")="B","","E")</f>
        <v>E</v>
      </c>
      <c r="M347" s="426" t="str">
        <f>+IFERROR(VLOOKUP(B347,Tackwelding!$B$6:$G$322,6,FALSE),"")</f>
        <v/>
      </c>
    </row>
    <row r="348" spans="1:13" x14ac:dyDescent="0.25">
      <c r="A348" s="426">
        <v>342</v>
      </c>
      <c r="B348" s="426" t="s">
        <v>742</v>
      </c>
      <c r="C348" s="426" t="s">
        <v>231</v>
      </c>
      <c r="H348" s="426" t="str">
        <f t="shared" ref="H348" si="82">+CONCATENATE(D348,",",E348,",",F348,",",G348)</f>
        <v>,,,</v>
      </c>
      <c r="I348" s="429">
        <v>357.7</v>
      </c>
      <c r="K348" s="426" t="str">
        <f>+IFERROR(VLOOKUP(B348,Foundation!$C$8:$E$696,3,FALSE),"")</f>
        <v>Sandy</v>
      </c>
      <c r="L348" s="426" t="str">
        <f>+IF(IFERROR(MATCH(B348,'Erection Compiled'!$C$6:$C$815,0),"B")="B","","E")</f>
        <v>E</v>
      </c>
      <c r="M348" s="426" t="str">
        <f>+IFERROR(VLOOKUP(B348,Tackwelding!$B$6:$G$322,6,FALSE),"")</f>
        <v>Done</v>
      </c>
    </row>
    <row r="349" spans="1:13" x14ac:dyDescent="0.25">
      <c r="A349" s="426">
        <v>343</v>
      </c>
      <c r="B349" s="426" t="s">
        <v>743</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Compiled'!$C$6:$C$815,0),"B")="B","","E")</f>
        <v>E</v>
      </c>
      <c r="M349" s="426" t="str">
        <f>+IFERROR(VLOOKUP(B349,Tackwelding!$B$6:$G$322,6,FALSE),"")</f>
        <v>Done</v>
      </c>
    </row>
    <row r="350" spans="1:13" x14ac:dyDescent="0.25">
      <c r="A350" s="426">
        <v>344</v>
      </c>
      <c r="B350" s="426" t="s">
        <v>744</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Compiled'!$C$6:$C$815,0),"B")="B","","E")</f>
        <v>E</v>
      </c>
      <c r="M350" s="426" t="str">
        <f>+IFERROR(VLOOKUP(B350,Tackwelding!$B$6:$G$322,6,FALSE),"")</f>
        <v>Done</v>
      </c>
    </row>
    <row r="351" spans="1:13" x14ac:dyDescent="0.25">
      <c r="A351" s="426">
        <v>345</v>
      </c>
      <c r="B351" s="426" t="s">
        <v>745</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Compiled'!$C$6:$C$815,0),"B")="B","","E")</f>
        <v>E</v>
      </c>
      <c r="M351" s="426" t="str">
        <f>+IFERROR(VLOOKUP(B351,Tackwelding!$B$6:$G$322,6,FALSE),"")</f>
        <v>Done</v>
      </c>
    </row>
    <row r="352" spans="1:13" x14ac:dyDescent="0.25">
      <c r="A352" s="426">
        <v>346</v>
      </c>
      <c r="B352" s="426" t="s">
        <v>746</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Compiled'!$C$6:$C$815,0),"B")="B","","E")</f>
        <v>E</v>
      </c>
      <c r="M352" s="426" t="str">
        <f>+IFERROR(VLOOKUP(B352,Tackwelding!$B$6:$G$322,6,FALSE),"")</f>
        <v>Done</v>
      </c>
    </row>
    <row r="353" spans="1:13" x14ac:dyDescent="0.25">
      <c r="A353" s="426">
        <v>347</v>
      </c>
      <c r="B353" s="426" t="s">
        <v>747</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Compiled'!$C$6:$C$815,0),"B")="B","","E")</f>
        <v>E</v>
      </c>
      <c r="M353" s="426" t="str">
        <f>+IFERROR(VLOOKUP(B353,Tackwelding!$B$6:$G$322,6,FALSE),"")</f>
        <v>Done</v>
      </c>
    </row>
    <row r="354" spans="1:13" x14ac:dyDescent="0.25">
      <c r="A354" s="426">
        <v>348</v>
      </c>
      <c r="B354" s="430" t="s">
        <v>93</v>
      </c>
      <c r="C354" s="430" t="s">
        <v>654</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Compiled'!$C$6:$C$815,0),"B")="B","","E")</f>
        <v>E</v>
      </c>
      <c r="M354" s="426" t="str">
        <f>+IFERROR(VLOOKUP(B354,Tackwelding!$B$6:$G$322,6,FALSE),"")</f>
        <v/>
      </c>
    </row>
    <row r="355" spans="1:13" x14ac:dyDescent="0.25">
      <c r="A355" s="426">
        <v>349</v>
      </c>
      <c r="B355" s="430" t="s">
        <v>94</v>
      </c>
      <c r="C355" s="430" t="s">
        <v>654</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Compiled'!$C$6:$C$815,0),"B")="B","","E")</f>
        <v>E</v>
      </c>
      <c r="M355" s="426" t="str">
        <f>+IFERROR(VLOOKUP(B355,Tackwelding!$B$6:$G$322,6,FALSE),"")</f>
        <v/>
      </c>
    </row>
    <row r="356" spans="1:13" x14ac:dyDescent="0.25">
      <c r="A356" s="426">
        <v>350</v>
      </c>
      <c r="B356" s="426" t="s">
        <v>748</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Compiled'!$C$6:$C$815,0),"B")="B","","E")</f>
        <v>E</v>
      </c>
      <c r="M356" s="426" t="str">
        <f>+IFERROR(VLOOKUP(B356,Tackwelding!$B$6:$G$322,6,FALSE),"")</f>
        <v>Done</v>
      </c>
    </row>
    <row r="357" spans="1:13" x14ac:dyDescent="0.25">
      <c r="A357" s="426">
        <v>351</v>
      </c>
      <c r="B357" s="426" t="s">
        <v>749</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Compiled'!$C$6:$C$815,0),"B")="B","","E")</f>
        <v>E</v>
      </c>
      <c r="M357" s="426" t="str">
        <f>+IFERROR(VLOOKUP(B357,Tackwelding!$B$6:$G$322,6,FALSE),"")</f>
        <v>Done</v>
      </c>
    </row>
    <row r="358" spans="1:13" x14ac:dyDescent="0.25">
      <c r="A358" s="426">
        <v>352</v>
      </c>
      <c r="B358" s="426" t="s">
        <v>750</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Compiled'!$C$6:$C$815,0),"B")="B","","E")</f>
        <v>E</v>
      </c>
      <c r="M358" s="426" t="str">
        <f>+IFERROR(VLOOKUP(B358,Tackwelding!$B$6:$G$322,6,FALSE),"")</f>
        <v>Done</v>
      </c>
    </row>
    <row r="359" spans="1:13" x14ac:dyDescent="0.25">
      <c r="A359" s="426">
        <v>353</v>
      </c>
      <c r="B359" s="426" t="s">
        <v>751</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Compiled'!$C$6:$C$815,0),"B")="B","","E")</f>
        <v>E</v>
      </c>
      <c r="M359" s="426" t="str">
        <f>+IFERROR(VLOOKUP(B359,Tackwelding!$B$6:$G$322,6,FALSE),"")</f>
        <v>Done</v>
      </c>
    </row>
    <row r="360" spans="1:13" x14ac:dyDescent="0.25">
      <c r="A360" s="426">
        <v>354</v>
      </c>
      <c r="B360" s="426" t="s">
        <v>752</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Compiled'!$C$6:$C$815,0),"B")="B","","E")</f>
        <v>E</v>
      </c>
      <c r="M360" s="426" t="str">
        <f>+IFERROR(VLOOKUP(B360,Tackwelding!$B$6:$G$322,6,FALSE),"")</f>
        <v>Done</v>
      </c>
    </row>
    <row r="361" spans="1:13" x14ac:dyDescent="0.25">
      <c r="A361" s="426">
        <v>355</v>
      </c>
      <c r="B361" s="426" t="s">
        <v>753</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Compiled'!$C$6:$C$815,0),"B")="B","","E")</f>
        <v>E</v>
      </c>
      <c r="M361" s="426" t="str">
        <f>+IFERROR(VLOOKUP(B361,Tackwelding!$B$6:$G$322,6,FALSE),"")</f>
        <v>Done</v>
      </c>
    </row>
    <row r="362" spans="1:13" x14ac:dyDescent="0.25">
      <c r="A362" s="426">
        <v>356</v>
      </c>
      <c r="B362" s="426" t="s">
        <v>754</v>
      </c>
      <c r="C362" s="426" t="s">
        <v>20</v>
      </c>
      <c r="H362" s="426" t="str">
        <f t="shared" ref="H362" si="96">+CONCATENATE(D362,",",E362,",",F362,",",G362)</f>
        <v>,,,</v>
      </c>
      <c r="I362" s="429">
        <v>401.8</v>
      </c>
      <c r="K362" s="426" t="str">
        <f>+IFERROR(VLOOKUP(B362,Foundation!$C$8:$E$696,3,FALSE),"")</f>
        <v>DFR</v>
      </c>
      <c r="L362" s="426" t="str">
        <f>+IF(IFERROR(MATCH(B362,'Erection Compiled'!$C$6:$C$815,0),"B")="B","","E")</f>
        <v>E</v>
      </c>
      <c r="M362" s="426" t="str">
        <f>+IFERROR(VLOOKUP(B362,Tackwelding!$B$6:$G$322,6,FALSE),"")</f>
        <v>Done</v>
      </c>
    </row>
    <row r="363" spans="1:13" x14ac:dyDescent="0.25">
      <c r="A363" s="426">
        <v>357</v>
      </c>
      <c r="B363" s="426" t="s">
        <v>95</v>
      </c>
      <c r="C363" s="426" t="s">
        <v>869</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Compiled'!$C$6:$C$815,0),"B")="B","","E")</f>
        <v>E</v>
      </c>
      <c r="M363" s="426" t="str">
        <f>+IFERROR(VLOOKUP(B363,Tackwelding!$B$6:$G$322,6,FALSE),"")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Compiled'!$C$6:$C$815,0),"B")="B","","E")</f>
        <v>E</v>
      </c>
      <c r="M364" s="426" t="str">
        <f>+IFERROR(VLOOKUP(B364,Tackwelding!$B$6:$G$322,6,FALSE),"")</f>
        <v>Done</v>
      </c>
    </row>
    <row r="365" spans="1:13" x14ac:dyDescent="0.25">
      <c r="A365" s="426">
        <v>359</v>
      </c>
      <c r="B365" s="426" t="s">
        <v>755</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Compiled'!$C$6:$C$815,0),"B")="B","","E")</f>
        <v>E</v>
      </c>
      <c r="M365" s="426" t="str">
        <f>+IFERROR(VLOOKUP(B365,Tackwelding!$B$6:$G$322,6,FALSE),"")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Compiled'!$C$6:$C$815,0),"B")="B","","E")</f>
        <v>E</v>
      </c>
      <c r="M366" s="426" t="str">
        <f>+IFERROR(VLOOKUP(B366,Tackwelding!$B$6:$G$322,6,FALSE),"")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Compiled'!$C$6:$C$815,0),"B")="B","","E")</f>
        <v>E</v>
      </c>
      <c r="M367" s="426" t="str">
        <f>+IFERROR(VLOOKUP(B367,Tackwelding!$B$6:$G$322,6,FALSE),"")</f>
        <v>Done</v>
      </c>
    </row>
    <row r="368" spans="1:13" x14ac:dyDescent="0.25">
      <c r="A368" s="426">
        <v>362</v>
      </c>
      <c r="B368" s="426" t="s">
        <v>756</v>
      </c>
      <c r="C368" s="426" t="s">
        <v>20</v>
      </c>
      <c r="H368" s="426" t="str">
        <f t="shared" ref="H368" si="102">+CONCATENATE(D368,",",E368,",",F368,",",G368)</f>
        <v>,,,</v>
      </c>
      <c r="I368" s="429">
        <v>421</v>
      </c>
      <c r="K368" s="426" t="str">
        <f>+IFERROR(VLOOKUP(B368,Foundation!$C$8:$E$696,3,FALSE),"")</f>
        <v>DFR</v>
      </c>
      <c r="L368" s="426" t="str">
        <f>+IF(IFERROR(MATCH(B368,'Erection Compiled'!$C$6:$C$815,0),"B")="B","","E")</f>
        <v>E</v>
      </c>
      <c r="M368" s="426" t="str">
        <f>+IFERROR(VLOOKUP(B368,Tackwelding!$B$6:$G$322,6,FALSE),"")</f>
        <v>Done</v>
      </c>
    </row>
    <row r="369" spans="1:13" x14ac:dyDescent="0.25">
      <c r="A369" s="426">
        <v>363</v>
      </c>
      <c r="B369" s="426" t="s">
        <v>757</v>
      </c>
      <c r="C369" s="426" t="s">
        <v>20</v>
      </c>
      <c r="H369" s="426" t="str">
        <f t="shared" ref="H369" si="103">+CONCATENATE(D369,",",E369,",",F369,",",G369)</f>
        <v>,,,</v>
      </c>
      <c r="I369" s="429">
        <v>419.7</v>
      </c>
      <c r="K369" s="426" t="str">
        <f>+IFERROR(VLOOKUP(B369,Foundation!$C$8:$E$696,3,FALSE),"")</f>
        <v>DFR</v>
      </c>
      <c r="L369" s="426" t="str">
        <f>+IF(IFERROR(MATCH(B369,'Erection Compiled'!$C$6:$C$815,0),"B")="B","","E")</f>
        <v>E</v>
      </c>
      <c r="M369" s="426" t="str">
        <f>+IFERROR(VLOOKUP(B369,Tackwelding!$B$6:$G$322,6,FALSE),"")</f>
        <v>Done</v>
      </c>
    </row>
    <row r="370" spans="1:13" x14ac:dyDescent="0.25">
      <c r="A370" s="426">
        <v>364</v>
      </c>
      <c r="B370" s="426" t="s">
        <v>758</v>
      </c>
      <c r="C370" s="426" t="s">
        <v>20</v>
      </c>
      <c r="H370" s="426" t="str">
        <f t="shared" ref="H370" si="104">+CONCATENATE(D370,",",E370,",",F370,",",G370)</f>
        <v>,,,</v>
      </c>
      <c r="I370" s="429">
        <v>419.1</v>
      </c>
      <c r="K370" s="426" t="str">
        <f>+IFERROR(VLOOKUP(B370,Foundation!$C$8:$E$696,3,FALSE),"")</f>
        <v>DFR</v>
      </c>
      <c r="L370" s="426" t="str">
        <f>+IF(IFERROR(MATCH(B370,'Erection Compiled'!$C$6:$C$815,0),"B")="B","","E")</f>
        <v>E</v>
      </c>
      <c r="M370" s="426" t="str">
        <f>+IFERROR(VLOOKUP(B370,Tackwelding!$B$6:$G$322,6,FALSE),"")</f>
        <v>Done</v>
      </c>
    </row>
    <row r="371" spans="1:13" x14ac:dyDescent="0.25">
      <c r="A371" s="426">
        <v>365</v>
      </c>
      <c r="B371" s="426" t="s">
        <v>759</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Compiled'!$C$6:$C$815,0),"B")="B","","E")</f>
        <v>E</v>
      </c>
      <c r="M371" s="426" t="str">
        <f>+IFERROR(VLOOKUP(B371,Tackwelding!$B$6:$G$322,6,FALSE),"")</f>
        <v>Done</v>
      </c>
    </row>
    <row r="372" spans="1:13" x14ac:dyDescent="0.25">
      <c r="A372" s="426">
        <v>366</v>
      </c>
      <c r="B372" s="426" t="s">
        <v>760</v>
      </c>
      <c r="C372" s="426" t="s">
        <v>243</v>
      </c>
      <c r="H372" s="426" t="str">
        <f t="shared" ref="H372" si="106">+CONCATENATE(D372,",",E372,",",F372,",",G372)</f>
        <v>,,,</v>
      </c>
      <c r="I372" s="429">
        <v>426.9</v>
      </c>
      <c r="K372" s="426" t="str">
        <f>+IFERROR(VLOOKUP(B372,Foundation!$C$8:$E$696,3,FALSE),"")</f>
        <v>DRY</v>
      </c>
      <c r="L372" s="426" t="str">
        <f>+IF(IFERROR(MATCH(B372,'Erection Compiled'!$C$6:$C$815,0),"B")="B","","E")</f>
        <v>E</v>
      </c>
      <c r="M372" s="426" t="str">
        <f>+IFERROR(VLOOKUP(B372,Tackwelding!$B$6:$G$322,6,FALSE),"")</f>
        <v>Done</v>
      </c>
    </row>
    <row r="373" spans="1:13" x14ac:dyDescent="0.25">
      <c r="A373" s="426">
        <v>367</v>
      </c>
      <c r="B373" s="426" t="s">
        <v>761</v>
      </c>
      <c r="C373" s="426" t="s">
        <v>20</v>
      </c>
      <c r="H373" s="426" t="str">
        <f t="shared" ref="H373" si="107">+CONCATENATE(D373,",",E373,",",F373,",",G373)</f>
        <v>,,,</v>
      </c>
      <c r="I373" s="429">
        <v>434.7</v>
      </c>
      <c r="K373" s="426" t="str">
        <f>+IFERROR(VLOOKUP(B373,Foundation!$C$8:$E$696,3,FALSE),"")</f>
        <v>DRY</v>
      </c>
      <c r="L373" s="426" t="str">
        <f>+IF(IFERROR(MATCH(B373,'Erection Compiled'!$C$6:$C$815,0),"B")="B","","E")</f>
        <v>E</v>
      </c>
      <c r="M373" s="426" t="str">
        <f>+IFERROR(VLOOKUP(B373,Tackwelding!$B$6:$G$322,6,FALSE),"")</f>
        <v>Done</v>
      </c>
    </row>
    <row r="374" spans="1:13" x14ac:dyDescent="0.25">
      <c r="A374" s="426">
        <v>368</v>
      </c>
      <c r="B374" s="426" t="s">
        <v>762</v>
      </c>
      <c r="C374" s="426" t="s">
        <v>231</v>
      </c>
      <c r="H374" s="426" t="str">
        <f t="shared" ref="H374" si="108">+CONCATENATE(D374,",",E374,",",F374,",",G374)</f>
        <v>,,,</v>
      </c>
      <c r="I374" s="429">
        <v>400.8</v>
      </c>
      <c r="K374" s="426" t="str">
        <f>+IFERROR(VLOOKUP(B374,Foundation!$C$8:$E$696,3,FALSE),"")</f>
        <v>DRY</v>
      </c>
      <c r="L374" s="426" t="str">
        <f>+IF(IFERROR(MATCH(B374,'Erection Compiled'!$C$6:$C$815,0),"B")="B","","E")</f>
        <v>E</v>
      </c>
      <c r="M374" s="426" t="str">
        <f>+IFERROR(VLOOKUP(B374,Tackwelding!$B$6:$G$322,6,FALSE),"")</f>
        <v>Done</v>
      </c>
    </row>
    <row r="375" spans="1:13" x14ac:dyDescent="0.25">
      <c r="A375" s="426">
        <v>369</v>
      </c>
      <c r="B375" s="426" t="s">
        <v>763</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Compiled'!$C$6:$C$815,0),"B")="B","","E")</f>
        <v>E</v>
      </c>
      <c r="M375" s="426" t="str">
        <f>+IFERROR(VLOOKUP(B375,Tackwelding!$B$6:$G$322,6,FALSE),"")</f>
        <v>Done</v>
      </c>
    </row>
    <row r="376" spans="1:13" x14ac:dyDescent="0.25">
      <c r="A376" s="426">
        <v>370</v>
      </c>
      <c r="B376" s="426" t="s">
        <v>764</v>
      </c>
      <c r="C376" s="426" t="s">
        <v>232</v>
      </c>
      <c r="H376" s="426" t="str">
        <f t="shared" ref="H376" si="110">+CONCATENATE(D376,",",E376,",",F376,",",G376)</f>
        <v>,,,</v>
      </c>
      <c r="I376" s="429">
        <v>393.1</v>
      </c>
      <c r="K376" s="426" t="str">
        <f>+IFERROR(VLOOKUP(B376,Foundation!$C$8:$E$696,3,FALSE),"")</f>
        <v>DFR</v>
      </c>
      <c r="L376" s="426" t="str">
        <f>+IF(IFERROR(MATCH(B376,'Erection Compiled'!$C$6:$C$815,0),"B")="B","","E")</f>
        <v>E</v>
      </c>
      <c r="M376" s="426" t="str">
        <f>+IFERROR(VLOOKUP(B376,Tackwelding!$B$6:$G$322,6,FALSE),"")</f>
        <v>Done</v>
      </c>
    </row>
    <row r="377" spans="1:13" x14ac:dyDescent="0.25">
      <c r="A377" s="426">
        <v>371</v>
      </c>
      <c r="B377" s="426" t="s">
        <v>765</v>
      </c>
      <c r="C377" s="426" t="s">
        <v>20</v>
      </c>
      <c r="H377" s="426" t="str">
        <f t="shared" ref="H377" si="111">+CONCATENATE(D377,",",E377,",",F377,",",G377)</f>
        <v>,,,</v>
      </c>
      <c r="I377" s="429">
        <v>447.4</v>
      </c>
      <c r="K377" s="426" t="str">
        <f>+IFERROR(VLOOKUP(B377,Foundation!$C$8:$E$696,3,FALSE),"")</f>
        <v>DRY</v>
      </c>
      <c r="L377" s="426" t="str">
        <f>+IF(IFERROR(MATCH(B377,'Erection Compiled'!$C$6:$C$815,0),"B")="B","","E")</f>
        <v>E</v>
      </c>
      <c r="M377" s="426" t="str">
        <f>+IFERROR(VLOOKUP(B377,Tackwelding!$B$6:$G$322,6,FALSE),"")</f>
        <v>Done</v>
      </c>
    </row>
    <row r="378" spans="1:13" x14ac:dyDescent="0.25">
      <c r="A378" s="426">
        <v>372</v>
      </c>
      <c r="B378" s="426" t="s">
        <v>766</v>
      </c>
      <c r="C378" s="426" t="s">
        <v>232</v>
      </c>
      <c r="H378" s="426" t="str">
        <f t="shared" ref="H378" si="112">+CONCATENATE(D378,",",E378,",",F378,",",G378)</f>
        <v>,,,</v>
      </c>
      <c r="I378" s="429">
        <v>391.1</v>
      </c>
      <c r="K378" s="426" t="str">
        <f>+IFERROR(VLOOKUP(B378,Foundation!$C$8:$E$696,3,FALSE),"")</f>
        <v>DRY</v>
      </c>
      <c r="L378" s="426" t="str">
        <f>+IF(IFERROR(MATCH(B378,'Erection Compiled'!$C$6:$C$815,0),"B")="B","","E")</f>
        <v>E</v>
      </c>
      <c r="M378" s="426" t="str">
        <f>+IFERROR(VLOOKUP(B378,Tackwelding!$B$6:$G$322,6,FALSE),"")</f>
        <v>Done</v>
      </c>
    </row>
    <row r="379" spans="1:13" x14ac:dyDescent="0.25">
      <c r="A379" s="426">
        <v>373</v>
      </c>
      <c r="B379" s="426" t="s">
        <v>767</v>
      </c>
      <c r="C379" s="426" t="s">
        <v>232</v>
      </c>
      <c r="H379" s="426" t="str">
        <f t="shared" ref="H379" si="113">+CONCATENATE(D379,",",E379,",",F379,",",G379)</f>
        <v>,,,</v>
      </c>
      <c r="I379" s="429">
        <v>448.6</v>
      </c>
      <c r="K379" s="426" t="str">
        <f>+IFERROR(VLOOKUP(B379,Foundation!$C$8:$E$696,3,FALSE),"")</f>
        <v>DRY</v>
      </c>
      <c r="L379" s="426" t="str">
        <f>+IF(IFERROR(MATCH(B379,'Erection Compiled'!$C$6:$C$815,0),"B")="B","","E")</f>
        <v>E</v>
      </c>
      <c r="M379" s="426" t="str">
        <f>+IFERROR(VLOOKUP(B379,Tackwelding!$B$6:$G$322,6,FALSE),"")</f>
        <v>Done</v>
      </c>
    </row>
    <row r="380" spans="1:13" x14ac:dyDescent="0.25">
      <c r="A380" s="426">
        <v>374</v>
      </c>
      <c r="B380" s="426" t="s">
        <v>768</v>
      </c>
      <c r="C380" s="426" t="s">
        <v>233</v>
      </c>
      <c r="H380" s="426" t="str">
        <f t="shared" ref="H380" si="114">+CONCATENATE(D380,",",E380,",",F380,",",G380)</f>
        <v>,,,</v>
      </c>
      <c r="I380" s="429">
        <v>388</v>
      </c>
      <c r="K380" s="426" t="str">
        <f>+IFERROR(VLOOKUP(B380,Foundation!$C$8:$E$696,3,FALSE),"")</f>
        <v>Dry</v>
      </c>
      <c r="L380" s="426" t="str">
        <f>+IF(IFERROR(MATCH(B380,'Erection Compiled'!$C$6:$C$815,0),"B")="B","","E")</f>
        <v>E</v>
      </c>
      <c r="M380" s="426" t="str">
        <f>+IFERROR(VLOOKUP(B380,Tackwelding!$B$6:$G$322,6,FALSE),"")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Compiled'!$C$6:$C$815,0),"B")="B","","E")</f>
        <v>E</v>
      </c>
      <c r="M381" s="426" t="str">
        <f>+IFERROR(VLOOKUP(B381,Tackwelding!$B$6:$G$322,6,FALSE),"")</f>
        <v>Done</v>
      </c>
    </row>
    <row r="382" spans="1:13" x14ac:dyDescent="0.25">
      <c r="A382" s="426">
        <v>376</v>
      </c>
      <c r="B382" s="426" t="s">
        <v>769</v>
      </c>
      <c r="C382" s="426" t="s">
        <v>232</v>
      </c>
      <c r="H382" s="426" t="str">
        <f t="shared" ref="H382" si="116">+CONCATENATE(D382,",",E382,",",F382,",",G382)</f>
        <v>,,,</v>
      </c>
      <c r="I382" s="429">
        <v>413.8</v>
      </c>
      <c r="K382" s="426" t="str">
        <f>+IFERROR(VLOOKUP(B382,Foundation!$C$8:$E$696,3,FALSE),"")</f>
        <v>DRY</v>
      </c>
      <c r="L382" s="426" t="str">
        <f>+IF(IFERROR(MATCH(B382,'Erection Compiled'!$C$6:$C$815,0),"B")="B","","E")</f>
        <v>E</v>
      </c>
      <c r="M382" s="426" t="str">
        <f>+IFERROR(VLOOKUP(B382,Tackwelding!$B$6:$G$322,6,FALSE),"")</f>
        <v>Done</v>
      </c>
    </row>
    <row r="383" spans="1:13" x14ac:dyDescent="0.25">
      <c r="A383" s="426">
        <v>377</v>
      </c>
      <c r="B383" s="426" t="s">
        <v>770</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Compiled'!$C$6:$C$815,0),"B")="B","","E")</f>
        <v>E</v>
      </c>
      <c r="M383" s="426" t="str">
        <f>+IFERROR(VLOOKUP(B383,Tackwelding!$B$6:$G$322,6,FALSE),"")</f>
        <v>Done</v>
      </c>
    </row>
    <row r="384" spans="1:13" x14ac:dyDescent="0.25">
      <c r="A384" s="426">
        <v>378</v>
      </c>
      <c r="B384" s="426" t="s">
        <v>771</v>
      </c>
      <c r="C384" s="426" t="s">
        <v>20</v>
      </c>
      <c r="H384" s="426" t="str">
        <f t="shared" ref="H384" si="118">+CONCATENATE(D384,",",E384,",",F384,",",G384)</f>
        <v>,,,</v>
      </c>
      <c r="I384" s="429">
        <v>414.5</v>
      </c>
      <c r="K384" s="426" t="str">
        <f>+IFERROR(VLOOKUP(B384,Foundation!$C$8:$E$696,3,FALSE),"")</f>
        <v>DFR</v>
      </c>
      <c r="L384" s="426" t="str">
        <f>+IF(IFERROR(MATCH(B384,'Erection Compiled'!$C$6:$C$815,0),"B")="B","","E")</f>
        <v>E</v>
      </c>
      <c r="M384" s="426" t="str">
        <f>+IFERROR(VLOOKUP(B384,Tackwelding!$B$6:$G$322,6,FALSE),"")</f>
        <v>Done</v>
      </c>
    </row>
    <row r="385" spans="1:13" x14ac:dyDescent="0.25">
      <c r="A385" s="426">
        <v>379</v>
      </c>
      <c r="B385" s="426" t="s">
        <v>772</v>
      </c>
      <c r="C385" s="426" t="s">
        <v>20</v>
      </c>
      <c r="H385" s="426" t="str">
        <f t="shared" ref="H385" si="119">+CONCATENATE(D385,",",E385,",",F385,",",G385)</f>
        <v>,,,</v>
      </c>
      <c r="I385" s="429">
        <v>425.6</v>
      </c>
      <c r="K385" s="426" t="str">
        <f>+IFERROR(VLOOKUP(B385,Foundation!$C$8:$E$696,3,FALSE),"")</f>
        <v>DFR</v>
      </c>
      <c r="L385" s="426" t="str">
        <f>+IF(IFERROR(MATCH(B385,'Erection Compiled'!$C$6:$C$815,0),"B")="B","","E")</f>
        <v>E</v>
      </c>
      <c r="M385" s="426" t="str">
        <f>+IFERROR(VLOOKUP(B385,Tackwelding!$B$6:$G$322,6,FALSE),"")</f>
        <v>Done</v>
      </c>
    </row>
    <row r="386" spans="1:13" x14ac:dyDescent="0.25">
      <c r="A386" s="426">
        <v>380</v>
      </c>
      <c r="B386" s="426" t="s">
        <v>773</v>
      </c>
      <c r="C386" s="426" t="s">
        <v>20</v>
      </c>
      <c r="H386" s="426" t="str">
        <f t="shared" ref="H386" si="120">+CONCATENATE(D386,",",E386,",",F386,",",G386)</f>
        <v>,,,</v>
      </c>
      <c r="I386" s="429">
        <v>412.3</v>
      </c>
      <c r="K386" s="426" t="str">
        <f>+IFERROR(VLOOKUP(B386,Foundation!$C$8:$E$696,3,FALSE),"")</f>
        <v>DRY</v>
      </c>
      <c r="L386" s="426" t="str">
        <f>+IF(IFERROR(MATCH(B386,'Erection Compiled'!$C$6:$C$815,0),"B")="B","","E")</f>
        <v>E</v>
      </c>
      <c r="M386" s="426" t="str">
        <f>+IFERROR(VLOOKUP(B386,Tackwelding!$B$6:$G$322,6,FALSE),"")</f>
        <v>Done</v>
      </c>
    </row>
    <row r="387" spans="1:13" x14ac:dyDescent="0.25">
      <c r="A387" s="426">
        <v>381</v>
      </c>
      <c r="B387" s="426" t="s">
        <v>774</v>
      </c>
      <c r="C387" s="426" t="s">
        <v>231</v>
      </c>
      <c r="H387" s="426" t="str">
        <f t="shared" ref="H387" si="121">+CONCATENATE(D387,",",E387,",",F387,",",G387)</f>
        <v>,,,</v>
      </c>
      <c r="I387" s="429">
        <v>374.1</v>
      </c>
      <c r="K387" s="426" t="str">
        <f>+IFERROR(VLOOKUP(B387,Foundation!$C$8:$E$696,3,FALSE),"")</f>
        <v>DRY</v>
      </c>
      <c r="L387" s="426" t="str">
        <f>+IF(IFERROR(MATCH(B387,'Erection Compiled'!$C$6:$C$815,0),"B")="B","","E")</f>
        <v>E</v>
      </c>
      <c r="M387" s="426" t="str">
        <f>+IFERROR(VLOOKUP(B387,Tackwelding!$B$6:$G$322,6,FALSE),"")</f>
        <v>Done</v>
      </c>
    </row>
    <row r="388" spans="1:13" x14ac:dyDescent="0.25">
      <c r="A388" s="426">
        <v>382</v>
      </c>
      <c r="B388" s="426" t="s">
        <v>775</v>
      </c>
      <c r="C388" s="426" t="s">
        <v>20</v>
      </c>
      <c r="H388" s="426" t="str">
        <f t="shared" ref="H388" si="122">+CONCATENATE(D388,",",E388,",",F388,",",G388)</f>
        <v>,,,</v>
      </c>
      <c r="I388" s="429">
        <v>410.1</v>
      </c>
      <c r="K388" s="426" t="str">
        <f>+IFERROR(VLOOKUP(B388,Foundation!$C$8:$E$696,3,FALSE),"")</f>
        <v>DRY</v>
      </c>
      <c r="L388" s="426" t="str">
        <f>+IF(IFERROR(MATCH(B388,'Erection Compiled'!$C$6:$C$815,0),"B")="B","","E")</f>
        <v>E</v>
      </c>
      <c r="M388" s="426" t="str">
        <f>+IFERROR(VLOOKUP(B388,Tackwelding!$B$6:$G$322,6,FALSE),"")</f>
        <v>Done</v>
      </c>
    </row>
    <row r="389" spans="1:13" x14ac:dyDescent="0.25">
      <c r="A389" s="426">
        <v>383</v>
      </c>
      <c r="B389" s="426" t="s">
        <v>776</v>
      </c>
      <c r="C389" s="426" t="s">
        <v>231</v>
      </c>
      <c r="H389" s="426" t="str">
        <f t="shared" ref="H389" si="123">+CONCATENATE(D389,",",E389,",",F389,",",G389)</f>
        <v>,,,</v>
      </c>
      <c r="I389" s="429">
        <v>400.4</v>
      </c>
      <c r="K389" s="426" t="str">
        <f>+IFERROR(VLOOKUP(B389,Foundation!$C$8:$E$696,3,FALSE),"")</f>
        <v>DRY</v>
      </c>
      <c r="L389" s="426" t="str">
        <f>+IF(IFERROR(MATCH(B389,'Erection Compiled'!$C$6:$C$815,0),"B")="B","","E")</f>
        <v>E</v>
      </c>
      <c r="M389" s="426" t="str">
        <f>+IFERROR(VLOOKUP(B389,Tackwelding!$B$6:$G$322,6,FALSE),"")</f>
        <v>Done</v>
      </c>
    </row>
    <row r="390" spans="1:13" x14ac:dyDescent="0.25">
      <c r="A390" s="426">
        <v>384</v>
      </c>
      <c r="B390" s="426" t="s">
        <v>777</v>
      </c>
      <c r="C390" s="426" t="s">
        <v>20</v>
      </c>
      <c r="H390" s="426" t="str">
        <f t="shared" ref="H390" si="124">+CONCATENATE(D390,",",E390,",",F390,",",G390)</f>
        <v>,,,</v>
      </c>
      <c r="I390" s="429">
        <v>409.2</v>
      </c>
      <c r="K390" s="426" t="str">
        <f>+IFERROR(VLOOKUP(B390,Foundation!$C$8:$E$696,3,FALSE),"")</f>
        <v>DRY</v>
      </c>
      <c r="L390" s="426" t="str">
        <f>+IF(IFERROR(MATCH(B390,'Erection Compiled'!$C$6:$C$815,0),"B")="B","","E")</f>
        <v>E</v>
      </c>
      <c r="M390" s="426" t="str">
        <f>+IFERROR(VLOOKUP(B390,Tackwelding!$B$6:$G$322,6,FALSE),"")</f>
        <v>Done</v>
      </c>
    </row>
    <row r="391" spans="1:13" x14ac:dyDescent="0.25">
      <c r="A391" s="426">
        <v>385</v>
      </c>
      <c r="B391" s="426" t="s">
        <v>778</v>
      </c>
      <c r="C391" s="426" t="s">
        <v>231</v>
      </c>
      <c r="H391" s="426" t="str">
        <f t="shared" ref="H391" si="125">+CONCATENATE(D391,",",E391,",",F391,",",G391)</f>
        <v>,,,</v>
      </c>
      <c r="I391" s="429">
        <v>401</v>
      </c>
      <c r="K391" s="426" t="str">
        <f>+IFERROR(VLOOKUP(B391,Foundation!$C$8:$E$696,3,FALSE),"")</f>
        <v>DFR</v>
      </c>
      <c r="L391" s="426" t="str">
        <f>+IF(IFERROR(MATCH(B391,'Erection Compiled'!$C$6:$C$815,0),"B")="B","","E")</f>
        <v>E</v>
      </c>
      <c r="M391" s="426" t="str">
        <f>+IFERROR(VLOOKUP(B391,Tackwelding!$B$6:$G$322,6,FALSE),"")</f>
        <v>Done</v>
      </c>
    </row>
    <row r="392" spans="1:13" x14ac:dyDescent="0.25">
      <c r="A392" s="426">
        <v>386</v>
      </c>
      <c r="B392" s="426" t="s">
        <v>779</v>
      </c>
      <c r="C392" s="426" t="s">
        <v>20</v>
      </c>
      <c r="H392" s="426" t="str">
        <f t="shared" ref="H392" si="126">+CONCATENATE(D392,",",E392,",",F392,",",G392)</f>
        <v>,,,</v>
      </c>
      <c r="I392" s="429">
        <v>394.5</v>
      </c>
      <c r="K392" s="426" t="str">
        <f>+IFERROR(VLOOKUP(B392,Foundation!$C$8:$E$696,3,FALSE),"")</f>
        <v>DRY</v>
      </c>
      <c r="L392" s="426" t="str">
        <f>+IF(IFERROR(MATCH(B392,'Erection Compiled'!$C$6:$C$815,0),"B")="B","","E")</f>
        <v>E</v>
      </c>
      <c r="M392" s="426" t="str">
        <f>+IFERROR(VLOOKUP(B392,Tackwelding!$B$6:$G$322,6,FALSE),"")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Compiled'!$C$6:$C$815,0),"B")="B","","E")</f>
        <v>E</v>
      </c>
      <c r="M393" s="426" t="str">
        <f>+IFERROR(VLOOKUP(B393,Tackwelding!$B$6:$G$322,6,FALSE),"")</f>
        <v>Done</v>
      </c>
    </row>
    <row r="394" spans="1:13" x14ac:dyDescent="0.25">
      <c r="A394" s="426">
        <v>388</v>
      </c>
      <c r="B394" s="426" t="s">
        <v>780</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Compiled'!$C$6:$C$815,0),"B")="B","","E")</f>
        <v>E</v>
      </c>
      <c r="M394" s="426" t="str">
        <f>+IFERROR(VLOOKUP(B394,Tackwelding!$B$6:$G$322,6,FALSE),"")</f>
        <v>Done</v>
      </c>
    </row>
    <row r="395" spans="1:13" x14ac:dyDescent="0.25">
      <c r="A395" s="426">
        <v>389</v>
      </c>
      <c r="B395" s="426" t="s">
        <v>781</v>
      </c>
      <c r="C395" s="426" t="s">
        <v>232</v>
      </c>
      <c r="H395" s="426" t="str">
        <f t="shared" ref="H395" si="129">+CONCATENATE(D395,",",E395,",",F395,",",G395)</f>
        <v>,,,</v>
      </c>
      <c r="I395" s="429">
        <v>433.2</v>
      </c>
      <c r="K395" s="426" t="str">
        <f>+IFERROR(VLOOKUP(B395,Foundation!$C$8:$E$696,3,FALSE),"")</f>
        <v>DFR</v>
      </c>
      <c r="L395" s="426" t="str">
        <f>+IF(IFERROR(MATCH(B395,'Erection Compiled'!$C$6:$C$815,0),"B")="B","","E")</f>
        <v>E</v>
      </c>
      <c r="M395" s="426" t="str">
        <f>+IFERROR(VLOOKUP(B395,Tackwelding!$B$6:$G$322,6,FALSE),"")</f>
        <v>Done</v>
      </c>
    </row>
    <row r="396" spans="1:13" x14ac:dyDescent="0.25">
      <c r="A396" s="426">
        <v>390</v>
      </c>
      <c r="B396" s="426" t="s">
        <v>782</v>
      </c>
      <c r="C396" s="426" t="s">
        <v>232</v>
      </c>
      <c r="H396" s="426" t="str">
        <f t="shared" ref="H396" si="130">+CONCATENATE(D396,",",E396,",",F396,",",G396)</f>
        <v>,,,</v>
      </c>
      <c r="I396" s="429">
        <v>400.9</v>
      </c>
      <c r="K396" s="426" t="str">
        <f>+IFERROR(VLOOKUP(B396,Foundation!$C$8:$E$696,3,FALSE),"")</f>
        <v>DRY</v>
      </c>
      <c r="L396" s="426" t="str">
        <f>+IF(IFERROR(MATCH(B396,'Erection Compiled'!$C$6:$C$815,0),"B")="B","","E")</f>
        <v>E</v>
      </c>
      <c r="M396" s="426" t="str">
        <f>+IFERROR(VLOOKUP(B396,Tackwelding!$B$6:$G$322,6,FALSE),"")</f>
        <v>Done</v>
      </c>
    </row>
    <row r="397" spans="1:13" x14ac:dyDescent="0.25">
      <c r="A397" s="426">
        <v>391</v>
      </c>
      <c r="B397" s="426" t="s">
        <v>783</v>
      </c>
      <c r="C397" s="426" t="s">
        <v>20</v>
      </c>
      <c r="H397" s="426" t="str">
        <f t="shared" ref="H397" si="131">+CONCATENATE(D397,",",E397,",",F397,",",G397)</f>
        <v>,,,</v>
      </c>
      <c r="I397" s="429">
        <v>427</v>
      </c>
      <c r="K397" s="426" t="str">
        <f>+IFERROR(VLOOKUP(B397,Foundation!$C$8:$E$696,3,FALSE),"")</f>
        <v>DRY</v>
      </c>
      <c r="L397" s="426" t="str">
        <f>+IF(IFERROR(MATCH(B397,'Erection Compiled'!$C$6:$C$815,0),"B")="B","","E")</f>
        <v>E</v>
      </c>
      <c r="M397" s="426" t="str">
        <f>+IFERROR(VLOOKUP(B397,Tackwelding!$B$6:$G$322,6,FALSE),"")</f>
        <v>Done</v>
      </c>
    </row>
    <row r="398" spans="1:13" x14ac:dyDescent="0.25">
      <c r="A398" s="426">
        <v>392</v>
      </c>
      <c r="B398" s="426" t="s">
        <v>784</v>
      </c>
      <c r="C398" s="426" t="s">
        <v>20</v>
      </c>
      <c r="H398" s="426" t="str">
        <f t="shared" ref="H398" si="132">+CONCATENATE(D398,",",E398,",",F398,",",G398)</f>
        <v>,,,</v>
      </c>
      <c r="I398" s="429">
        <v>413.9</v>
      </c>
      <c r="K398" s="426" t="str">
        <f>+IFERROR(VLOOKUP(B398,Foundation!$C$8:$E$696,3,FALSE),"")</f>
        <v>DRY</v>
      </c>
      <c r="L398" s="426" t="str">
        <f>+IF(IFERROR(MATCH(B398,'Erection Compiled'!$C$6:$C$815,0),"B")="B","","E")</f>
        <v>E</v>
      </c>
      <c r="M398" s="426" t="str">
        <f>+IFERROR(VLOOKUP(B398,Tackwelding!$B$6:$G$322,6,FALSE),"")</f>
        <v>Done</v>
      </c>
    </row>
    <row r="399" spans="1:13" x14ac:dyDescent="0.25">
      <c r="A399" s="426">
        <v>393</v>
      </c>
      <c r="B399" s="426" t="s">
        <v>785</v>
      </c>
      <c r="C399" s="426" t="s">
        <v>20</v>
      </c>
      <c r="H399" s="426" t="str">
        <f t="shared" ref="H399" si="133">+CONCATENATE(D399,",",E399,",",F399,",",G399)</f>
        <v>,,,</v>
      </c>
      <c r="I399" s="429">
        <v>426.4</v>
      </c>
      <c r="K399" s="426" t="str">
        <f>+IFERROR(VLOOKUP(B399,Foundation!$C$8:$E$696,3,FALSE),"")</f>
        <v>DRY</v>
      </c>
      <c r="L399" s="426" t="str">
        <f>+IF(IFERROR(MATCH(B399,'Erection Compiled'!$C$6:$C$815,0),"B")="B","","E")</f>
        <v>E</v>
      </c>
      <c r="M399" s="426" t="str">
        <f>+IFERROR(VLOOKUP(B399,Tackwelding!$B$6:$G$322,6,FALSE),"")</f>
        <v>Done</v>
      </c>
    </row>
    <row r="400" spans="1:13" x14ac:dyDescent="0.25">
      <c r="A400" s="426">
        <v>394</v>
      </c>
      <c r="B400" s="426" t="s">
        <v>786</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Compiled'!$C$6:$C$815,0),"B")="B","","E")</f>
        <v>E</v>
      </c>
      <c r="M400" s="426" t="str">
        <f>+IFERROR(VLOOKUP(B400,Tackwelding!$B$6:$G$322,6,FALSE),"")</f>
        <v>Done</v>
      </c>
    </row>
    <row r="401" spans="1:13" x14ac:dyDescent="0.25">
      <c r="A401" s="426">
        <v>395</v>
      </c>
      <c r="B401" s="426" t="s">
        <v>787</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Compiled'!$C$6:$C$815,0),"B")="B","","E")</f>
        <v>E</v>
      </c>
      <c r="M401" s="426" t="str">
        <f>+IFERROR(VLOOKUP(B401,Tackwelding!$B$6:$G$322,6,FALSE),"")</f>
        <v>Done</v>
      </c>
    </row>
    <row r="402" spans="1:13" x14ac:dyDescent="0.25">
      <c r="A402" s="426">
        <v>396</v>
      </c>
      <c r="B402" s="426" t="s">
        <v>788</v>
      </c>
      <c r="C402" s="426" t="s">
        <v>231</v>
      </c>
      <c r="H402" s="426" t="str">
        <f t="shared" ref="H402" si="136">+CONCATENATE(D402,",",E402,",",F402,",",G402)</f>
        <v>,,,</v>
      </c>
      <c r="I402" s="429">
        <v>433.4</v>
      </c>
      <c r="K402" s="426" t="str">
        <f>+IFERROR(VLOOKUP(B402,Foundation!$C$8:$E$696,3,FALSE),"")</f>
        <v>Dry</v>
      </c>
      <c r="L402" s="426" t="str">
        <f>+IF(IFERROR(MATCH(B402,'Erection Compiled'!$C$6:$C$815,0),"B")="B","","E")</f>
        <v>E</v>
      </c>
      <c r="M402" s="426" t="str">
        <f>+IFERROR(VLOOKUP(B402,Tackwelding!$B$6:$G$322,6,FALSE),"")</f>
        <v>Done</v>
      </c>
    </row>
    <row r="403" spans="1:13" x14ac:dyDescent="0.25">
      <c r="A403" s="426">
        <v>397</v>
      </c>
      <c r="B403" s="426" t="s">
        <v>789</v>
      </c>
      <c r="C403" s="426" t="s">
        <v>233</v>
      </c>
      <c r="H403" s="426" t="str">
        <f t="shared" ref="H403" si="137">+CONCATENATE(D403,",",E403,",",F403,",",G403)</f>
        <v>,,,</v>
      </c>
      <c r="I403" s="429">
        <v>405.6</v>
      </c>
      <c r="K403" s="426" t="str">
        <f>+IFERROR(VLOOKUP(B403,Foundation!$C$8:$E$696,3,FALSE),"")</f>
        <v>DRY</v>
      </c>
      <c r="L403" s="426" t="str">
        <f>+IF(IFERROR(MATCH(B403,'Erection Compiled'!$C$6:$C$815,0),"B")="B","","E")</f>
        <v>E</v>
      </c>
      <c r="M403" s="426" t="str">
        <f>+IFERROR(VLOOKUP(B403,Tackwelding!$B$6:$G$322,6,FALSE),"")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Compiled'!$C$6:$C$815,0),"B")="B","","E")</f>
        <v>E</v>
      </c>
      <c r="M404" s="426" t="str">
        <f>+IFERROR(VLOOKUP(B404,Tackwelding!$B$6:$G$322,6,FALSE),"")</f>
        <v>Done</v>
      </c>
    </row>
    <row r="405" spans="1:13" x14ac:dyDescent="0.25">
      <c r="A405" s="426">
        <v>399</v>
      </c>
      <c r="B405" s="426" t="s">
        <v>790</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Compiled'!$C$6:$C$815,0),"B")="B","","E")</f>
        <v>E</v>
      </c>
      <c r="M405" s="426" t="str">
        <f>+IFERROR(VLOOKUP(B405,Tackwelding!$B$6:$G$322,6,FALSE),"")</f>
        <v>Done</v>
      </c>
    </row>
    <row r="406" spans="1:13" x14ac:dyDescent="0.25">
      <c r="A406" s="426">
        <v>400</v>
      </c>
      <c r="B406" s="426" t="s">
        <v>791</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Compiled'!$C$6:$C$815,0),"B")="B","","E")</f>
        <v>E</v>
      </c>
      <c r="M406" s="426" t="str">
        <f>+IFERROR(VLOOKUP(B406,Tackwelding!$B$6:$G$322,6,FALSE),"")</f>
        <v>Done</v>
      </c>
    </row>
    <row r="407" spans="1:13" x14ac:dyDescent="0.25">
      <c r="A407" s="426">
        <v>401</v>
      </c>
      <c r="B407" s="426" t="s">
        <v>792</v>
      </c>
      <c r="C407" s="426" t="s">
        <v>231</v>
      </c>
      <c r="H407" s="426" t="str">
        <f t="shared" ref="H407" si="141">+CONCATENATE(D407,",",E407,",",F407,",",G407)</f>
        <v>,,,</v>
      </c>
      <c r="I407" s="429">
        <v>400</v>
      </c>
      <c r="K407" s="426" t="str">
        <f>+IFERROR(VLOOKUP(B407,Foundation!$C$8:$E$696,3,FALSE),"")</f>
        <v>DRY</v>
      </c>
      <c r="L407" s="426" t="str">
        <f>+IF(IFERROR(MATCH(B407,'Erection Compiled'!$C$6:$C$815,0),"B")="B","","E")</f>
        <v>E</v>
      </c>
      <c r="M407" s="426" t="str">
        <f>+IFERROR(VLOOKUP(B407,Tackwelding!$B$6:$G$322,6,FALSE),"")</f>
        <v>Done</v>
      </c>
    </row>
    <row r="408" spans="1:13" x14ac:dyDescent="0.25">
      <c r="A408" s="426">
        <v>402</v>
      </c>
      <c r="B408" s="426" t="s">
        <v>793</v>
      </c>
      <c r="C408" s="426" t="s">
        <v>20</v>
      </c>
      <c r="H408" s="426" t="str">
        <f t="shared" ref="H408" si="142">+CONCATENATE(D408,",",E408,",",F408,",",G408)</f>
        <v>,,,</v>
      </c>
      <c r="I408" s="429">
        <v>401</v>
      </c>
      <c r="K408" s="426" t="str">
        <f>+IFERROR(VLOOKUP(B408,Foundation!$C$8:$E$696,3,FALSE),"")</f>
        <v>DRY</v>
      </c>
      <c r="L408" s="426" t="str">
        <f>+IF(IFERROR(MATCH(B408,'Erection Compiled'!$C$6:$C$815,0),"B")="B","","E")</f>
        <v>E</v>
      </c>
      <c r="M408" s="426" t="str">
        <f>+IFERROR(VLOOKUP(B408,Tackwelding!$B$6:$G$322,6,FALSE),"")</f>
        <v>Done</v>
      </c>
    </row>
    <row r="409" spans="1:13" x14ac:dyDescent="0.25">
      <c r="A409" s="426">
        <v>403</v>
      </c>
      <c r="B409" s="426" t="s">
        <v>794</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Compiled'!$C$6:$C$815,0),"B")="B","","E")</f>
        <v>E</v>
      </c>
      <c r="M409" s="426" t="str">
        <f>+IFERROR(VLOOKUP(B409,Tackwelding!$B$6:$G$322,6,FALSE),"")</f>
        <v>Done</v>
      </c>
    </row>
    <row r="410" spans="1:13" x14ac:dyDescent="0.25">
      <c r="A410" s="426">
        <v>404</v>
      </c>
      <c r="B410" s="426" t="s">
        <v>795</v>
      </c>
      <c r="C410" s="426" t="s">
        <v>20</v>
      </c>
      <c r="H410" s="426" t="str">
        <f t="shared" ref="H410" si="144">+CONCATENATE(D410,",",E410,",",F410,",",G410)</f>
        <v>,,,</v>
      </c>
      <c r="I410" s="429">
        <v>404</v>
      </c>
      <c r="K410" s="426" t="str">
        <f>+IFERROR(VLOOKUP(B410,Foundation!$C$8:$E$696,3,FALSE),"")</f>
        <v>DRY</v>
      </c>
      <c r="L410" s="426" t="str">
        <f>+IF(IFERROR(MATCH(B410,'Erection Compiled'!$C$6:$C$815,0),"B")="B","","E")</f>
        <v>E</v>
      </c>
      <c r="M410" s="426" t="str">
        <f>+IFERROR(VLOOKUP(B410,Tackwelding!$B$6:$G$322,6,FALSE),"")</f>
        <v>Done</v>
      </c>
    </row>
    <row r="411" spans="1:13" x14ac:dyDescent="0.25">
      <c r="A411" s="426">
        <v>405</v>
      </c>
      <c r="B411" s="426" t="s">
        <v>796</v>
      </c>
      <c r="C411" s="426" t="s">
        <v>20</v>
      </c>
      <c r="H411" s="426" t="str">
        <f t="shared" ref="H411" si="145">+CONCATENATE(D411,",",E411,",",F411,",",G411)</f>
        <v>,,,</v>
      </c>
      <c r="I411" s="429">
        <v>423</v>
      </c>
      <c r="K411" s="426" t="str">
        <f>+IFERROR(VLOOKUP(B411,Foundation!$C$8:$E$696,3,FALSE),"")</f>
        <v>DRY</v>
      </c>
      <c r="L411" s="426" t="str">
        <f>+IF(IFERROR(MATCH(B411,'Erection Compiled'!$C$6:$C$815,0),"B")="B","","E")</f>
        <v>E</v>
      </c>
      <c r="M411" s="426" t="str">
        <f>+IFERROR(VLOOKUP(B411,Tackwelding!$B$6:$G$322,6,FALSE),"")</f>
        <v>Done</v>
      </c>
    </row>
    <row r="412" spans="1:13" x14ac:dyDescent="0.25">
      <c r="A412" s="426">
        <v>406</v>
      </c>
      <c r="B412" s="426" t="s">
        <v>797</v>
      </c>
      <c r="C412" s="426" t="s">
        <v>231</v>
      </c>
      <c r="H412" s="426" t="str">
        <f t="shared" ref="H412" si="146">+CONCATENATE(D412,",",E412,",",F412,",",G412)</f>
        <v>,,,</v>
      </c>
      <c r="I412" s="429">
        <v>409</v>
      </c>
      <c r="K412" s="426" t="str">
        <f>+IFERROR(VLOOKUP(B412,Foundation!$C$8:$E$696,3,FALSE),"")</f>
        <v>DFR</v>
      </c>
      <c r="L412" s="426" t="str">
        <f>+IF(IFERROR(MATCH(B412,'Erection Compiled'!$C$6:$C$815,0),"B")="B","","E")</f>
        <v>E</v>
      </c>
      <c r="M412" s="426" t="str">
        <f>+IFERROR(VLOOKUP(B412,Tackwelding!$B$6:$G$322,6,FALSE),"")</f>
        <v>Done</v>
      </c>
    </row>
    <row r="413" spans="1:13" x14ac:dyDescent="0.25">
      <c r="A413" s="426">
        <v>407</v>
      </c>
      <c r="B413" s="426" t="s">
        <v>798</v>
      </c>
      <c r="C413" s="426" t="s">
        <v>20</v>
      </c>
      <c r="H413" s="426" t="str">
        <f t="shared" ref="H413" si="147">+CONCATENATE(D413,",",E413,",",F413,",",G413)</f>
        <v>,,,</v>
      </c>
      <c r="I413" s="429">
        <v>409</v>
      </c>
      <c r="K413" s="426" t="str">
        <f>+IFERROR(VLOOKUP(B413,Foundation!$C$8:$E$696,3,FALSE),"")</f>
        <v>DFR</v>
      </c>
      <c r="L413" s="426" t="str">
        <f>+IF(IFERROR(MATCH(B413,'Erection Compiled'!$C$6:$C$815,0),"B")="B","","E")</f>
        <v>E</v>
      </c>
      <c r="M413" s="426" t="str">
        <f>+IFERROR(VLOOKUP(B413,Tackwelding!$B$6:$G$322,6,FALSE),"")</f>
        <v>Done</v>
      </c>
    </row>
    <row r="414" spans="1:13" x14ac:dyDescent="0.25">
      <c r="A414" s="426">
        <v>408</v>
      </c>
      <c r="B414" s="426" t="s">
        <v>799</v>
      </c>
      <c r="C414" s="426" t="s">
        <v>231</v>
      </c>
      <c r="H414" s="426" t="str">
        <f t="shared" ref="H414" si="148">+CONCATENATE(D414,",",E414,",",F414,",",G414)</f>
        <v>,,,</v>
      </c>
      <c r="I414" s="429">
        <v>411</v>
      </c>
      <c r="K414" s="426" t="str">
        <f>+IFERROR(VLOOKUP(B414,Foundation!$C$8:$E$696,3,FALSE),"")</f>
        <v>DFR</v>
      </c>
      <c r="L414" s="426" t="str">
        <f>+IF(IFERROR(MATCH(B414,'Erection Compiled'!$C$6:$C$815,0),"B")="B","","E")</f>
        <v>E</v>
      </c>
      <c r="M414" s="426" t="str">
        <f>+IFERROR(VLOOKUP(B414,Tackwelding!$B$6:$G$322,6,FALSE),"")</f>
        <v>Done</v>
      </c>
    </row>
    <row r="415" spans="1:13" x14ac:dyDescent="0.25">
      <c r="A415" s="426">
        <v>409</v>
      </c>
      <c r="B415" s="426" t="s">
        <v>800</v>
      </c>
      <c r="C415" s="426" t="s">
        <v>20</v>
      </c>
      <c r="H415" s="426" t="str">
        <f t="shared" ref="H415" si="149">+CONCATENATE(D415,",",E415,",",F415,",",G415)</f>
        <v>,,,</v>
      </c>
      <c r="I415" s="429">
        <v>413</v>
      </c>
      <c r="K415" s="426" t="str">
        <f>+IFERROR(VLOOKUP(B415,Foundation!$C$8:$E$696,3,FALSE),"")</f>
        <v>DRY</v>
      </c>
      <c r="L415" s="426" t="str">
        <f>+IF(IFERROR(MATCH(B415,'Erection Compiled'!$C$6:$C$815,0),"B")="B","","E")</f>
        <v>E</v>
      </c>
      <c r="M415" s="426" t="str">
        <f>+IFERROR(VLOOKUP(B415,Tackwelding!$B$6:$G$322,6,FALSE),"")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Compiled'!$C$6:$C$815,0),"B")="B","","E")</f>
        <v>E</v>
      </c>
      <c r="M416" s="426" t="str">
        <f>+IFERROR(VLOOKUP(B416,Tackwelding!$B$6:$G$322,6,FALSE),"")</f>
        <v>Done</v>
      </c>
    </row>
    <row r="417" spans="1:13" x14ac:dyDescent="0.25">
      <c r="A417" s="426">
        <v>411</v>
      </c>
      <c r="B417" s="426" t="s">
        <v>801</v>
      </c>
      <c r="C417" s="426" t="s">
        <v>20</v>
      </c>
      <c r="H417" s="426" t="str">
        <f t="shared" ref="H417" si="151">+CONCATENATE(D417,",",E417,",",F417,",",G417)</f>
        <v>,,,</v>
      </c>
      <c r="I417" s="429">
        <v>400</v>
      </c>
      <c r="K417" s="426" t="str">
        <f>+IFERROR(VLOOKUP(B417,Foundation!$C$8:$E$696,3,FALSE),"")</f>
        <v>DFR</v>
      </c>
      <c r="L417" s="426" t="str">
        <f>+IF(IFERROR(MATCH(B417,'Erection Compiled'!$C$6:$C$815,0),"B")="B","","E")</f>
        <v>E</v>
      </c>
      <c r="M417" s="426" t="str">
        <f>+IFERROR(VLOOKUP(B417,Tackwelding!$B$6:$G$322,6,FALSE),"")</f>
        <v>Done</v>
      </c>
    </row>
    <row r="418" spans="1:13" x14ac:dyDescent="0.25">
      <c r="A418" s="426">
        <v>412</v>
      </c>
      <c r="B418" s="430" t="s">
        <v>802</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Compiled'!$C$6:$C$815,0),"B")="B","","E")</f>
        <v>E</v>
      </c>
      <c r="M418" s="426" t="str">
        <f>+IFERROR(VLOOKUP(B418,Tackwelding!$B$6:$G$322,6,FALSE),"")</f>
        <v>Done</v>
      </c>
    </row>
    <row r="419" spans="1:13" x14ac:dyDescent="0.25">
      <c r="A419" s="426">
        <v>413</v>
      </c>
      <c r="B419" s="430" t="s">
        <v>803</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Compiled'!$C$6:$C$815,0),"B")="B","","E")</f>
        <v>E</v>
      </c>
      <c r="M419" s="426" t="str">
        <f>+IFERROR(VLOOKUP(B419,Tackwelding!$B$6:$G$322,6,FALSE),"")</f>
        <v>Done</v>
      </c>
    </row>
    <row r="420" spans="1:13" x14ac:dyDescent="0.25">
      <c r="A420" s="426">
        <v>414</v>
      </c>
      <c r="B420" s="426" t="s">
        <v>804</v>
      </c>
      <c r="C420" s="426" t="s">
        <v>231</v>
      </c>
      <c r="H420" s="426" t="str">
        <f t="shared" ref="H420" si="154">+CONCATENATE(D420,",",E420,",",F420,",",G420)</f>
        <v>,,,</v>
      </c>
      <c r="I420" s="431">
        <v>399</v>
      </c>
      <c r="K420" s="426" t="str">
        <f>+IFERROR(VLOOKUP(B420,Foundation!$C$8:$E$696,3,FALSE),"")</f>
        <v>DRY</v>
      </c>
      <c r="L420" s="426" t="str">
        <f>+IF(IFERROR(MATCH(B420,'Erection Compiled'!$C$6:$C$815,0),"B")="B","","E")</f>
        <v>E</v>
      </c>
      <c r="M420" s="426" t="str">
        <f>+IFERROR(VLOOKUP(B420,Tackwelding!$B$6:$G$322,6,FALSE),"")</f>
        <v>Done</v>
      </c>
    </row>
    <row r="421" spans="1:13" x14ac:dyDescent="0.25">
      <c r="A421" s="426">
        <v>415</v>
      </c>
      <c r="B421" s="426" t="s">
        <v>805</v>
      </c>
      <c r="C421" s="426" t="s">
        <v>20</v>
      </c>
      <c r="H421" s="426" t="str">
        <f t="shared" ref="H421" si="155">+CONCATENATE(D421,",",E421,",",F421,",",G421)</f>
        <v>,,,</v>
      </c>
      <c r="I421" s="431">
        <v>413</v>
      </c>
      <c r="K421" s="426" t="str">
        <f>+IFERROR(VLOOKUP(B421,Foundation!$C$8:$E$696,3,FALSE),"")</f>
        <v>DFR</v>
      </c>
      <c r="L421" s="426" t="str">
        <f>+IF(IFERROR(MATCH(B421,'Erection Compiled'!$C$6:$C$815,0),"B")="B","","E")</f>
        <v>E</v>
      </c>
      <c r="M421" s="426" t="str">
        <f>+IFERROR(VLOOKUP(B421,Tackwelding!$B$6:$G$322,6,FALSE),"")</f>
        <v>Done</v>
      </c>
    </row>
    <row r="422" spans="1:13" x14ac:dyDescent="0.25">
      <c r="A422" s="426">
        <v>416</v>
      </c>
      <c r="B422" s="426" t="s">
        <v>806</v>
      </c>
      <c r="C422" s="426" t="s">
        <v>20</v>
      </c>
      <c r="H422" s="426" t="str">
        <f t="shared" ref="H422" si="156">+CONCATENATE(D422,",",E422,",",F422,",",G422)</f>
        <v>,,,</v>
      </c>
      <c r="I422" s="429">
        <v>426</v>
      </c>
      <c r="K422" s="426" t="str">
        <f>+IFERROR(VLOOKUP(B422,Foundation!$C$8:$E$696,3,FALSE),"")</f>
        <v>DRY</v>
      </c>
      <c r="L422" s="426" t="str">
        <f>+IF(IFERROR(MATCH(B422,'Erection Compiled'!$C$6:$C$815,0),"B")="B","","E")</f>
        <v>E</v>
      </c>
      <c r="M422" s="426" t="str">
        <f>+IFERROR(VLOOKUP(B422,Tackwelding!$B$6:$G$322,6,FALSE),"")</f>
        <v>Done</v>
      </c>
    </row>
    <row r="423" spans="1:13" x14ac:dyDescent="0.25">
      <c r="A423" s="426">
        <v>417</v>
      </c>
      <c r="B423" s="426" t="s">
        <v>807</v>
      </c>
      <c r="C423" s="426" t="s">
        <v>20</v>
      </c>
      <c r="H423" s="426" t="str">
        <f t="shared" ref="H423" si="157">+CONCATENATE(D423,",",E423,",",F423,",",G423)</f>
        <v>,,,</v>
      </c>
      <c r="I423" s="429">
        <v>413</v>
      </c>
      <c r="K423" s="426" t="str">
        <f>+IFERROR(VLOOKUP(B423,Foundation!$C$8:$E$696,3,FALSE),"")</f>
        <v>DRY</v>
      </c>
      <c r="L423" s="426" t="str">
        <f>+IF(IFERROR(MATCH(B423,'Erection Compiled'!$C$6:$C$815,0),"B")="B","","E")</f>
        <v>E</v>
      </c>
      <c r="M423" s="426" t="str">
        <f>+IFERROR(VLOOKUP(B423,Tackwelding!$B$6:$G$322,6,FALSE),"")</f>
        <v>Done</v>
      </c>
    </row>
    <row r="424" spans="1:13" x14ac:dyDescent="0.25">
      <c r="A424" s="426">
        <v>418</v>
      </c>
      <c r="B424" s="426" t="s">
        <v>808</v>
      </c>
      <c r="C424" s="426" t="s">
        <v>20</v>
      </c>
      <c r="H424" s="426" t="str">
        <f t="shared" ref="H424" si="158">+CONCATENATE(D424,",",E424,",",F424,",",G424)</f>
        <v>,,,</v>
      </c>
      <c r="I424" s="429">
        <v>425</v>
      </c>
      <c r="K424" s="426" t="str">
        <f>+IFERROR(VLOOKUP(B424,Foundation!$C$8:$E$696,3,FALSE),"")</f>
        <v>DRY</v>
      </c>
      <c r="L424" s="426" t="str">
        <f>+IF(IFERROR(MATCH(B424,'Erection Compiled'!$C$6:$C$815,0),"B")="B","","E")</f>
        <v>E</v>
      </c>
      <c r="M424" s="426" t="str">
        <f>+IFERROR(VLOOKUP(B424,Tackwelding!$B$6:$G$322,6,FALSE),"")</f>
        <v>Done</v>
      </c>
    </row>
    <row r="425" spans="1:13" x14ac:dyDescent="0.25">
      <c r="A425" s="426">
        <v>419</v>
      </c>
      <c r="B425" s="426" t="s">
        <v>809</v>
      </c>
      <c r="C425" s="426" t="s">
        <v>245</v>
      </c>
      <c r="H425" s="426" t="str">
        <f t="shared" ref="H425" si="159">+CONCATENATE(D425,",",E425,",",F425,",",G425)</f>
        <v>,,,</v>
      </c>
      <c r="I425" s="429">
        <v>408.3</v>
      </c>
      <c r="K425" s="426" t="str">
        <f>+IFERROR(VLOOKUP(B425,Foundation!$C$8:$E$696,3,FALSE),"")</f>
        <v>DRY</v>
      </c>
      <c r="L425" s="426" t="str">
        <f>+IF(IFERROR(MATCH(B425,'Erection Compiled'!$C$6:$C$815,0),"B")="B","","E")</f>
        <v>E</v>
      </c>
      <c r="M425" s="426" t="str">
        <f>+IFERROR(VLOOKUP(B425,Tackwelding!$B$6:$G$322,6,FALSE),"")</f>
        <v>Done</v>
      </c>
    </row>
    <row r="426" spans="1:13" x14ac:dyDescent="0.25">
      <c r="A426" s="426">
        <v>420</v>
      </c>
      <c r="B426" s="426" t="s">
        <v>810</v>
      </c>
      <c r="C426" s="426" t="s">
        <v>231</v>
      </c>
      <c r="H426" s="426" t="str">
        <f t="shared" ref="H426" si="160">+CONCATENATE(D426,",",E426,",",F426,",",G426)</f>
        <v>,,,</v>
      </c>
      <c r="I426" s="429">
        <v>375.1</v>
      </c>
      <c r="K426" s="426" t="str">
        <f>+IFERROR(VLOOKUP(B426,Foundation!$C$8:$E$696,3,FALSE),"")</f>
        <v>DRY</v>
      </c>
      <c r="L426" s="426" t="str">
        <f>+IF(IFERROR(MATCH(B426,'Erection Compiled'!$C$6:$C$815,0),"B")="B","","E")</f>
        <v>E</v>
      </c>
      <c r="M426" s="426" t="str">
        <f>+IFERROR(VLOOKUP(B426,Tackwelding!$B$6:$G$322,6,FALSE),"")</f>
        <v>Done</v>
      </c>
    </row>
    <row r="427" spans="1:13" x14ac:dyDescent="0.25">
      <c r="A427" s="426">
        <v>421</v>
      </c>
      <c r="B427" s="426" t="s">
        <v>811</v>
      </c>
      <c r="C427" s="426" t="s">
        <v>20</v>
      </c>
      <c r="H427" s="426" t="str">
        <f t="shared" ref="H427" si="161">+CONCATENATE(D427,",",E427,",",F427,",",G427)</f>
        <v>,,,</v>
      </c>
      <c r="I427" s="429">
        <v>408.7</v>
      </c>
      <c r="K427" s="426" t="str">
        <f>+IFERROR(VLOOKUP(B427,Foundation!$C$8:$E$696,3,FALSE),"")</f>
        <v>DRY</v>
      </c>
      <c r="L427" s="426" t="str">
        <f>+IF(IFERROR(MATCH(B427,'Erection Compiled'!$C$6:$C$815,0),"B")="B","","E")</f>
        <v>E</v>
      </c>
      <c r="M427" s="426" t="str">
        <f>+IFERROR(VLOOKUP(B427,Tackwelding!$B$6:$G$322,6,FALSE),"")</f>
        <v>Done</v>
      </c>
    </row>
    <row r="428" spans="1:13" x14ac:dyDescent="0.25">
      <c r="A428" s="426">
        <v>422</v>
      </c>
      <c r="B428" s="426" t="s">
        <v>812</v>
      </c>
      <c r="C428" s="426" t="s">
        <v>231</v>
      </c>
      <c r="H428" s="426" t="str">
        <f t="shared" ref="H428:H491" si="162">+CONCATENATE(D428,",",E428,",",F428,",",G428)</f>
        <v>,,,</v>
      </c>
      <c r="I428" s="429">
        <v>410.7</v>
      </c>
      <c r="K428" s="426" t="str">
        <f>+IFERROR(VLOOKUP(B428,Foundation!$C$8:$E$696,3,FALSE),"")</f>
        <v>DRY</v>
      </c>
      <c r="L428" s="426" t="str">
        <f>+IF(IFERROR(MATCH(B428,'Erection Compiled'!$C$6:$C$815,0),"B")="B","","E")</f>
        <v>E</v>
      </c>
      <c r="M428" s="426" t="str">
        <f>+IFERROR(VLOOKUP(B428,Tackwelding!$B$6:$G$322,6,FALSE),"")</f>
        <v>Done</v>
      </c>
    </row>
    <row r="429" spans="1:13" x14ac:dyDescent="0.25">
      <c r="A429" s="426">
        <v>423</v>
      </c>
      <c r="B429" s="426" t="s">
        <v>813</v>
      </c>
      <c r="C429" s="426" t="s">
        <v>20</v>
      </c>
      <c r="H429" s="426" t="str">
        <f t="shared" si="162"/>
        <v>,,,</v>
      </c>
      <c r="I429" s="429">
        <v>408.2</v>
      </c>
      <c r="K429" s="426" t="str">
        <f>+IFERROR(VLOOKUP(B429,Foundation!$C$8:$E$696,3,FALSE),"")</f>
        <v>DRY</v>
      </c>
      <c r="L429" s="426" t="str">
        <f>+IF(IFERROR(MATCH(B429,'Erection Compiled'!$C$6:$C$815,0),"B")="B","","E")</f>
        <v>E</v>
      </c>
      <c r="M429" s="426" t="str">
        <f>+IFERROR(VLOOKUP(B429,Tackwelding!$B$6:$G$322,6,FALSE),"")</f>
        <v>Done</v>
      </c>
    </row>
    <row r="430" spans="1:13" x14ac:dyDescent="0.25">
      <c r="A430" s="426">
        <v>424</v>
      </c>
      <c r="B430" s="426" t="s">
        <v>814</v>
      </c>
      <c r="C430" s="426" t="s">
        <v>20</v>
      </c>
      <c r="H430" s="426" t="str">
        <f t="shared" si="162"/>
        <v>,,,</v>
      </c>
      <c r="I430" s="429">
        <v>426.2</v>
      </c>
      <c r="K430" s="426" t="str">
        <f>+IFERROR(VLOOKUP(B430,Foundation!$C$8:$E$696,3,FALSE),"")</f>
        <v>DRY</v>
      </c>
      <c r="L430" s="426" t="str">
        <f>+IF(IFERROR(MATCH(B430,'Erection Compiled'!$C$6:$C$815,0),"B")="B","","E")</f>
        <v>E</v>
      </c>
      <c r="M430" s="426" t="str">
        <f>+IFERROR(VLOOKUP(B430,Tackwelding!$B$6:$G$322,6,FALSE),"")</f>
        <v>Done</v>
      </c>
    </row>
    <row r="431" spans="1:13" x14ac:dyDescent="0.25">
      <c r="A431" s="426">
        <v>425</v>
      </c>
      <c r="B431" s="426" t="s">
        <v>815</v>
      </c>
      <c r="C431" s="426" t="s">
        <v>231</v>
      </c>
      <c r="H431" s="426" t="str">
        <f t="shared" si="162"/>
        <v>,,,</v>
      </c>
      <c r="I431" s="429">
        <v>407.7</v>
      </c>
      <c r="K431" s="426" t="str">
        <f>+IFERROR(VLOOKUP(B431,Foundation!$C$8:$E$696,3,FALSE),"")</f>
        <v>DRY</v>
      </c>
      <c r="L431" s="426" t="str">
        <f>+IF(IFERROR(MATCH(B431,'Erection Compiled'!$C$6:$C$815,0),"B")="B","","E")</f>
        <v>E</v>
      </c>
      <c r="M431" s="426" t="str">
        <f>+IFERROR(VLOOKUP(B431,Tackwelding!$B$6:$G$322,6,FALSE),"")</f>
        <v>Done</v>
      </c>
    </row>
    <row r="432" spans="1:13" x14ac:dyDescent="0.25">
      <c r="A432" s="426">
        <v>426</v>
      </c>
      <c r="B432" s="426" t="s">
        <v>816</v>
      </c>
      <c r="C432" s="426" t="s">
        <v>20</v>
      </c>
      <c r="H432" s="426" t="str">
        <f t="shared" si="162"/>
        <v>,,,</v>
      </c>
      <c r="I432" s="429">
        <v>401.6</v>
      </c>
      <c r="K432" s="426" t="str">
        <f>+IFERROR(VLOOKUP(B432,Foundation!$C$8:$E$696,3,FALSE),"")</f>
        <v>DRY</v>
      </c>
      <c r="L432" s="426" t="str">
        <f>+IF(IFERROR(MATCH(B432,'Erection Compiled'!$C$6:$C$815,0),"B")="B","","E")</f>
        <v>E</v>
      </c>
      <c r="M432" s="426" t="str">
        <f>+IFERROR(VLOOKUP(B432,Tackwelding!$B$6:$G$322,6,FALSE),"")</f>
        <v>Done</v>
      </c>
    </row>
    <row r="433" spans="1:13" x14ac:dyDescent="0.25">
      <c r="A433" s="426">
        <v>427</v>
      </c>
      <c r="B433" s="426" t="s">
        <v>817</v>
      </c>
      <c r="C433" s="426" t="s">
        <v>20</v>
      </c>
      <c r="H433" s="426" t="str">
        <f t="shared" si="162"/>
        <v>,,,</v>
      </c>
      <c r="I433" s="429">
        <v>425.5</v>
      </c>
      <c r="K433" s="426" t="str">
        <f>+IFERROR(VLOOKUP(B433,Foundation!$C$8:$E$696,3,FALSE),"")</f>
        <v>DRY</v>
      </c>
      <c r="L433" s="426" t="str">
        <f>+IF(IFERROR(MATCH(B433,'Erection Compiled'!$C$6:$C$815,0),"B")="B","","E")</f>
        <v>E</v>
      </c>
      <c r="M433" s="426" t="str">
        <f>+IFERROR(VLOOKUP(B433,Tackwelding!$B$6:$G$322,6,FALSE),"")</f>
        <v>Done</v>
      </c>
    </row>
    <row r="434" spans="1:13" x14ac:dyDescent="0.25">
      <c r="A434" s="426">
        <v>428</v>
      </c>
      <c r="B434" s="426" t="s">
        <v>818</v>
      </c>
      <c r="C434" s="426" t="s">
        <v>20</v>
      </c>
      <c r="H434" s="426" t="str">
        <f t="shared" si="162"/>
        <v>,,,</v>
      </c>
      <c r="I434" s="429">
        <v>414.4</v>
      </c>
      <c r="K434" s="426" t="str">
        <f>+IFERROR(VLOOKUP(B434,Foundation!$C$8:$E$696,3,FALSE),"")</f>
        <v>DRY</v>
      </c>
      <c r="L434" s="426" t="str">
        <f>+IF(IFERROR(MATCH(B434,'Erection Compiled'!$C$6:$C$815,0),"B")="B","","E")</f>
        <v>E</v>
      </c>
      <c r="M434" s="426" t="str">
        <f>+IFERROR(VLOOKUP(B434,Tackwelding!$B$6:$G$322,6,FALSE),"")</f>
        <v>Done</v>
      </c>
    </row>
    <row r="435" spans="1:13" x14ac:dyDescent="0.25">
      <c r="A435" s="426">
        <v>429</v>
      </c>
      <c r="B435" s="426" t="s">
        <v>819</v>
      </c>
      <c r="C435" s="426" t="s">
        <v>20</v>
      </c>
      <c r="H435" s="426" t="str">
        <f t="shared" si="162"/>
        <v>,,,</v>
      </c>
      <c r="I435" s="429">
        <v>410.6</v>
      </c>
      <c r="K435" s="426" t="str">
        <f>+IFERROR(VLOOKUP(B435,Foundation!$C$8:$E$696,3,FALSE),"")</f>
        <v>DRY</v>
      </c>
      <c r="L435" s="426" t="str">
        <f>+IF(IFERROR(MATCH(B435,'Erection Compiled'!$C$6:$C$815,0),"B")="B","","E")</f>
        <v>E</v>
      </c>
      <c r="M435" s="426" t="str">
        <f>+IFERROR(VLOOKUP(B435,Tackwelding!$B$6:$G$322,6,FALSE),"")</f>
        <v>Done</v>
      </c>
    </row>
    <row r="436" spans="1:13" x14ac:dyDescent="0.25">
      <c r="A436" s="426">
        <v>430</v>
      </c>
      <c r="B436" s="426" t="s">
        <v>820</v>
      </c>
      <c r="C436" s="426" t="s">
        <v>20</v>
      </c>
      <c r="H436" s="426" t="str">
        <f t="shared" si="162"/>
        <v>,,,</v>
      </c>
      <c r="I436" s="429">
        <v>428.4</v>
      </c>
      <c r="K436" s="426" t="str">
        <f>+IFERROR(VLOOKUP(B436,Foundation!$C$8:$E$696,3,FALSE),"")</f>
        <v>DRY</v>
      </c>
      <c r="L436" s="426" t="str">
        <f>+IF(IFERROR(MATCH(B436,'Erection Compiled'!$C$6:$C$815,0),"B")="B","","E")</f>
        <v>E</v>
      </c>
      <c r="M436" s="426" t="str">
        <f>+IFERROR(VLOOKUP(B436,Tackwelding!$B$6:$G$322,6,FALSE),"")</f>
        <v>Done</v>
      </c>
    </row>
    <row r="437" spans="1:13" x14ac:dyDescent="0.25">
      <c r="A437" s="426">
        <v>431</v>
      </c>
      <c r="B437" s="426" t="s">
        <v>821</v>
      </c>
      <c r="C437" s="426" t="s">
        <v>242</v>
      </c>
      <c r="H437" s="426" t="str">
        <f t="shared" si="162"/>
        <v>,,,</v>
      </c>
      <c r="I437" s="429">
        <v>400.6</v>
      </c>
      <c r="K437" s="426" t="str">
        <f>+IFERROR(VLOOKUP(B437,Foundation!$C$8:$E$696,3,FALSE),"")</f>
        <v>DRY</v>
      </c>
      <c r="L437" s="426" t="str">
        <f>+IF(IFERROR(MATCH(B437,'Erection Compiled'!$C$6:$C$815,0),"B")="B","","E")</f>
        <v>E</v>
      </c>
      <c r="M437" s="426" t="str">
        <f>+IFERROR(VLOOKUP(B437,Tackwelding!$B$6:$G$322,6,FALSE),"")</f>
        <v>Done</v>
      </c>
    </row>
    <row r="438" spans="1:13" x14ac:dyDescent="0.25">
      <c r="A438" s="426">
        <v>432</v>
      </c>
      <c r="B438" s="426" t="s">
        <v>822</v>
      </c>
      <c r="C438" s="426" t="s">
        <v>231</v>
      </c>
      <c r="H438" s="426" t="str">
        <f t="shared" si="162"/>
        <v>,,,</v>
      </c>
      <c r="I438" s="429">
        <v>395.4</v>
      </c>
      <c r="K438" s="426" t="str">
        <f>+IFERROR(VLOOKUP(B438,Foundation!$C$8:$E$696,3,FALSE),"")</f>
        <v>DRY</v>
      </c>
      <c r="L438" s="426" t="str">
        <f>+IF(IFERROR(MATCH(B438,'Erection Compiled'!$C$6:$C$815,0),"B")="B","","E")</f>
        <v>E</v>
      </c>
      <c r="M438" s="426" t="str">
        <f>+IFERROR(VLOOKUP(B438,Tackwelding!$B$6:$G$322,6,FALSE),"")</f>
        <v>Done</v>
      </c>
    </row>
    <row r="439" spans="1:13" x14ac:dyDescent="0.25">
      <c r="A439" s="426">
        <v>433</v>
      </c>
      <c r="B439" s="426" t="s">
        <v>823</v>
      </c>
      <c r="C439" s="426" t="s">
        <v>231</v>
      </c>
      <c r="H439" s="426" t="str">
        <f t="shared" si="162"/>
        <v>,,,</v>
      </c>
      <c r="I439" s="429">
        <v>393.7</v>
      </c>
      <c r="K439" s="426" t="str">
        <f>+IFERROR(VLOOKUP(B439,Foundation!$C$8:$E$696,3,FALSE),"")</f>
        <v>DRY</v>
      </c>
      <c r="L439" s="426" t="str">
        <f>+IF(IFERROR(MATCH(B439,'Erection Compiled'!$C$6:$C$815,0),"B")="B","","E")</f>
        <v>E</v>
      </c>
      <c r="M439" s="426" t="str">
        <f>+IFERROR(VLOOKUP(B439,Tackwelding!$B$6:$G$322,6,FALSE),"")</f>
        <v>Done</v>
      </c>
    </row>
    <row r="440" spans="1:13" x14ac:dyDescent="0.25">
      <c r="A440" s="426">
        <v>434</v>
      </c>
      <c r="B440" s="426" t="s">
        <v>824</v>
      </c>
      <c r="C440" s="426" t="s">
        <v>20</v>
      </c>
      <c r="H440" s="426" t="str">
        <f t="shared" si="162"/>
        <v>,,,</v>
      </c>
      <c r="I440" s="429">
        <v>403.7</v>
      </c>
      <c r="K440" s="426" t="str">
        <f>+IFERROR(VLOOKUP(B440,Foundation!$C$8:$E$696,3,FALSE),"")</f>
        <v>DRY</v>
      </c>
      <c r="L440" s="426" t="str">
        <f>+IF(IFERROR(MATCH(B440,'Erection Compiled'!$C$6:$C$815,0),"B")="B","","E")</f>
        <v>E</v>
      </c>
      <c r="M440" s="426" t="str">
        <f>+IFERROR(VLOOKUP(B440,Tackwelding!$B$6:$G$322,6,FALSE),"")</f>
        <v>Done</v>
      </c>
    </row>
    <row r="441" spans="1:13" x14ac:dyDescent="0.25">
      <c r="A441" s="426">
        <v>435</v>
      </c>
      <c r="B441" s="426" t="s">
        <v>825</v>
      </c>
      <c r="C441" s="426" t="s">
        <v>231</v>
      </c>
      <c r="H441" s="426" t="str">
        <f t="shared" si="162"/>
        <v>,,,</v>
      </c>
      <c r="I441" s="429">
        <v>402.9</v>
      </c>
      <c r="K441" s="426" t="str">
        <f>+IFERROR(VLOOKUP(B441,Foundation!$C$8:$E$696,3,FALSE),"")</f>
        <v>DRY</v>
      </c>
      <c r="L441" s="426" t="str">
        <f>+IF(IFERROR(MATCH(B441,'Erection Compiled'!$C$6:$C$815,0),"B")="B","","E")</f>
        <v>E</v>
      </c>
      <c r="M441" s="426" t="str">
        <f>+IFERROR(VLOOKUP(B441,Tackwelding!$B$6:$G$322,6,FALSE),"")</f>
        <v>Done</v>
      </c>
    </row>
    <row r="442" spans="1:13" x14ac:dyDescent="0.25">
      <c r="A442" s="426">
        <v>436</v>
      </c>
      <c r="B442" s="426" t="s">
        <v>826</v>
      </c>
      <c r="C442" s="426" t="s">
        <v>231</v>
      </c>
      <c r="H442" s="426" t="str">
        <f t="shared" si="162"/>
        <v>,,,</v>
      </c>
      <c r="I442" s="429">
        <v>376.4</v>
      </c>
      <c r="K442" s="426" t="str">
        <f>+IFERROR(VLOOKUP(B442,Foundation!$C$8:$E$696,3,FALSE),"")</f>
        <v>DRY</v>
      </c>
      <c r="L442" s="426" t="str">
        <f>+IF(IFERROR(MATCH(B442,'Erection Compiled'!$C$6:$C$815,0),"B")="B","","E")</f>
        <v>E</v>
      </c>
      <c r="M442" s="426" t="str">
        <f>+IFERROR(VLOOKUP(B442,Tackwelding!$B$6:$G$322,6,FALSE),"")</f>
        <v>Done</v>
      </c>
    </row>
    <row r="443" spans="1:13" x14ac:dyDescent="0.25">
      <c r="A443" s="426">
        <v>437</v>
      </c>
      <c r="B443" s="426" t="s">
        <v>827</v>
      </c>
      <c r="C443" s="426" t="s">
        <v>231</v>
      </c>
      <c r="H443" s="426" t="str">
        <f t="shared" si="162"/>
        <v>,,,</v>
      </c>
      <c r="I443" s="429">
        <v>389.2</v>
      </c>
      <c r="K443" s="426" t="str">
        <f>+IFERROR(VLOOKUP(B443,Foundation!$C$8:$E$696,3,FALSE),"")</f>
        <v>DRY</v>
      </c>
      <c r="L443" s="426" t="str">
        <f>+IF(IFERROR(MATCH(B443,'Erection Compiled'!$C$6:$C$815,0),"B")="B","","E")</f>
        <v>E</v>
      </c>
      <c r="M443" s="426" t="str">
        <f>+IFERROR(VLOOKUP(B443,Tackwelding!$B$6:$G$322,6,FALSE),"")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Compiled'!$C$6:$C$815,0),"B")="B","","E")</f>
        <v>E</v>
      </c>
      <c r="M444" s="426" t="str">
        <f>+IFERROR(VLOOKUP(B444,Tackwelding!$B$6:$G$322,6,FALSE),"")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Compiled'!$C$6:$C$815,0),"B")="B","","E")</f>
        <v>E</v>
      </c>
      <c r="M445" s="426" t="str">
        <f>+IFERROR(VLOOKUP(B445,Tackwelding!$B$6:$G$322,6,FALSE),"")</f>
        <v>Done</v>
      </c>
    </row>
    <row r="446" spans="1:13" x14ac:dyDescent="0.25">
      <c r="A446" s="426">
        <v>440</v>
      </c>
      <c r="B446" s="426" t="s">
        <v>828</v>
      </c>
      <c r="C446" s="426" t="s">
        <v>231</v>
      </c>
      <c r="H446" s="426" t="str">
        <f t="shared" si="162"/>
        <v>,,,</v>
      </c>
      <c r="I446" s="429">
        <v>389</v>
      </c>
      <c r="K446" s="426" t="str">
        <f>+IFERROR(VLOOKUP(B446,Foundation!$C$8:$E$696,3,FALSE),"")</f>
        <v>DRY</v>
      </c>
      <c r="L446" s="426" t="str">
        <f>+IF(IFERROR(MATCH(B446,'Erection Compiled'!$C$6:$C$815,0),"B")="B","","E")</f>
        <v>E</v>
      </c>
      <c r="M446" s="426" t="str">
        <f>+IFERROR(VLOOKUP(B446,Tackwelding!$B$6:$G$322,6,FALSE),"")</f>
        <v>Done</v>
      </c>
    </row>
    <row r="447" spans="1:13" x14ac:dyDescent="0.25">
      <c r="A447" s="426">
        <v>441</v>
      </c>
      <c r="B447" s="426" t="s">
        <v>829</v>
      </c>
      <c r="C447" s="426" t="s">
        <v>231</v>
      </c>
      <c r="H447" s="426" t="str">
        <f t="shared" si="162"/>
        <v>,,,</v>
      </c>
      <c r="I447" s="429">
        <v>379.1</v>
      </c>
      <c r="K447" s="426" t="str">
        <f>+IFERROR(VLOOKUP(B447,Foundation!$C$8:$E$696,3,FALSE),"")</f>
        <v>DRY</v>
      </c>
      <c r="L447" s="426" t="str">
        <f>+IF(IFERROR(MATCH(B447,'Erection Compiled'!$C$6:$C$815,0),"B")="B","","E")</f>
        <v>E</v>
      </c>
      <c r="M447" s="426" t="str">
        <f>+IFERROR(VLOOKUP(B447,Tackwelding!$B$6:$G$322,6,FALSE),"")</f>
        <v>Done</v>
      </c>
    </row>
    <row r="448" spans="1:13" x14ac:dyDescent="0.25">
      <c r="A448" s="426">
        <v>442</v>
      </c>
      <c r="B448" s="426" t="s">
        <v>830</v>
      </c>
      <c r="C448" s="426" t="s">
        <v>231</v>
      </c>
      <c r="H448" s="426" t="str">
        <f t="shared" si="162"/>
        <v>,,,</v>
      </c>
      <c r="I448" s="429">
        <v>387.6</v>
      </c>
      <c r="K448" s="426" t="str">
        <f>+IFERROR(VLOOKUP(B448,Foundation!$C$8:$E$696,3,FALSE),"")</f>
        <v>DRY</v>
      </c>
      <c r="L448" s="426" t="str">
        <f>+IF(IFERROR(MATCH(B448,'Erection Compiled'!$C$6:$C$815,0),"B")="B","","E")</f>
        <v>E</v>
      </c>
      <c r="M448" s="426" t="str">
        <f>+IFERROR(VLOOKUP(B448,Tackwelding!$B$6:$G$322,6,FALSE),"")</f>
        <v>Done</v>
      </c>
    </row>
    <row r="449" spans="1:13" x14ac:dyDescent="0.25">
      <c r="A449" s="426">
        <v>443</v>
      </c>
      <c r="B449" s="426" t="s">
        <v>101</v>
      </c>
      <c r="C449" s="426" t="s">
        <v>870</v>
      </c>
      <c r="H449" s="426" t="str">
        <f t="shared" si="162"/>
        <v>,,,</v>
      </c>
      <c r="I449" s="429">
        <v>426.9</v>
      </c>
      <c r="K449" s="426" t="str">
        <f>+IFERROR(VLOOKUP(B449,Foundation!$C$8:$E$696,3,FALSE),"")</f>
        <v>DRY</v>
      </c>
      <c r="L449" s="426" t="str">
        <f>+IF(IFERROR(MATCH(B449,'Erection Compiled'!$C$6:$C$815,0),"B")="B","","E")</f>
        <v>E</v>
      </c>
      <c r="M449" s="426" t="str">
        <f>+IFERROR(VLOOKUP(B449,Tackwelding!$B$6:$G$322,6,FALSE),"")</f>
        <v>Done</v>
      </c>
    </row>
    <row r="450" spans="1:13" x14ac:dyDescent="0.25">
      <c r="A450" s="426">
        <v>444</v>
      </c>
      <c r="B450" s="426" t="s">
        <v>102</v>
      </c>
      <c r="C450" s="426" t="s">
        <v>871</v>
      </c>
      <c r="H450" s="426" t="str">
        <f t="shared" si="162"/>
        <v>,,,</v>
      </c>
      <c r="I450" s="429">
        <v>207.8</v>
      </c>
      <c r="K450" s="426" t="str">
        <f>+IFERROR(VLOOKUP(B450,Foundation!$C$8:$E$696,3,FALSE),"")</f>
        <v>DRY</v>
      </c>
      <c r="L450" s="426" t="str">
        <f>+IF(IFERROR(MATCH(B450,'Erection Compiled'!$C$6:$C$815,0),"B")="B","","E")</f>
        <v>E</v>
      </c>
      <c r="M450" s="426" t="str">
        <f>+IFERROR(VLOOKUP(B450,Tackwelding!$B$6:$G$322,6,FALSE),"")</f>
        <v>Done</v>
      </c>
    </row>
    <row r="451" spans="1:13" x14ac:dyDescent="0.25">
      <c r="A451" s="426">
        <v>445</v>
      </c>
      <c r="B451" s="426" t="s">
        <v>831</v>
      </c>
      <c r="C451" s="426" t="s">
        <v>231</v>
      </c>
      <c r="H451" s="426" t="str">
        <f t="shared" si="162"/>
        <v>,,,</v>
      </c>
      <c r="I451" s="429">
        <v>347.1</v>
      </c>
      <c r="K451" s="426" t="str">
        <f>+IFERROR(VLOOKUP(B451,Foundation!$C$8:$E$696,3,FALSE),"")</f>
        <v>DRY</v>
      </c>
      <c r="L451" s="426" t="str">
        <f>+IF(IFERROR(MATCH(B451,'Erection Compiled'!$C$6:$C$815,0),"B")="B","","E")</f>
        <v>E</v>
      </c>
      <c r="M451" s="426" t="str">
        <f>+IFERROR(VLOOKUP(B451,Tackwelding!$B$6:$G$322,6,FALSE),"")</f>
        <v>Done</v>
      </c>
    </row>
    <row r="452" spans="1:13" x14ac:dyDescent="0.25">
      <c r="A452" s="426">
        <v>446</v>
      </c>
      <c r="B452" s="426" t="s">
        <v>832</v>
      </c>
      <c r="C452" s="426" t="s">
        <v>231</v>
      </c>
      <c r="H452" s="426" t="str">
        <f t="shared" si="162"/>
        <v>,,,</v>
      </c>
      <c r="I452" s="429">
        <v>344.9</v>
      </c>
      <c r="K452" s="426" t="str">
        <f>+IFERROR(VLOOKUP(B452,Foundation!$C$8:$E$696,3,FALSE),"")</f>
        <v>DRY</v>
      </c>
      <c r="L452" s="426" t="str">
        <f>+IF(IFERROR(MATCH(B452,'Erection Compiled'!$C$6:$C$815,0),"B")="B","","E")</f>
        <v>E</v>
      </c>
      <c r="M452" s="426" t="str">
        <f>+IFERROR(VLOOKUP(B452,Tackwelding!$B$6:$G$322,6,FALSE),"")</f>
        <v>Done</v>
      </c>
    </row>
    <row r="453" spans="1:13" x14ac:dyDescent="0.25">
      <c r="A453" s="426">
        <v>447</v>
      </c>
      <c r="B453" s="426" t="s">
        <v>103</v>
      </c>
      <c r="C453" s="426" t="s">
        <v>868</v>
      </c>
      <c r="H453" s="426" t="str">
        <f t="shared" si="162"/>
        <v>,,,</v>
      </c>
      <c r="I453" s="429">
        <v>369.2</v>
      </c>
      <c r="K453" s="426" t="str">
        <f>+IFERROR(VLOOKUP(B453,Foundation!$C$8:$E$696,3,FALSE),"")</f>
        <v>DRY</v>
      </c>
      <c r="L453" s="426" t="str">
        <f>+IF(IFERROR(MATCH(B453,'Erection Compiled'!$C$6:$C$815,0),"B")="B","","E")</f>
        <v>E</v>
      </c>
      <c r="M453" s="426" t="str">
        <f>+IFERROR(VLOOKUP(B453,Tackwelding!$B$6:$G$322,6,FALSE),"")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Compiled'!$C$6:$C$815,0),"B")="B","","E")</f>
        <v>E</v>
      </c>
      <c r="M454" s="426" t="str">
        <f>+IFERROR(VLOOKUP(B454,Tackwelding!$B$6:$G$322,6,FALSE),"")</f>
        <v>Done</v>
      </c>
    </row>
    <row r="455" spans="1:13" x14ac:dyDescent="0.25">
      <c r="A455" s="426">
        <v>449</v>
      </c>
      <c r="B455" s="426" t="s">
        <v>833</v>
      </c>
      <c r="C455" s="426" t="s">
        <v>20</v>
      </c>
      <c r="H455" s="426" t="str">
        <f t="shared" si="162"/>
        <v>,,,</v>
      </c>
      <c r="I455" s="429">
        <v>374.1</v>
      </c>
      <c r="K455" s="426" t="str">
        <f>+IFERROR(VLOOKUP(B455,Foundation!$C$8:$E$696,3,FALSE),"")</f>
        <v>DRY</v>
      </c>
      <c r="L455" s="426" t="str">
        <f>+IF(IFERROR(MATCH(B455,'Erection Compiled'!$C$6:$C$815,0),"B")="B","","E")</f>
        <v>E</v>
      </c>
      <c r="M455" s="426" t="str">
        <f>+IFERROR(VLOOKUP(B455,Tackwelding!$B$6:$G$322,6,FALSE),"")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Compiled'!$C$6:$C$815,0),"B")="B","","E")</f>
        <v>E</v>
      </c>
      <c r="M456" s="426" t="str">
        <f>+IFERROR(VLOOKUP(B456,Tackwelding!$B$6:$G$322,6,FALSE),"")</f>
        <v>Done</v>
      </c>
    </row>
    <row r="457" spans="1:13" x14ac:dyDescent="0.25">
      <c r="A457" s="426">
        <v>451</v>
      </c>
      <c r="B457" s="426" t="s">
        <v>834</v>
      </c>
      <c r="C457" s="426" t="s">
        <v>20</v>
      </c>
      <c r="H457" s="426" t="str">
        <f t="shared" si="162"/>
        <v>,,,</v>
      </c>
      <c r="I457" s="429">
        <v>388.4</v>
      </c>
      <c r="K457" s="426" t="str">
        <f>+IFERROR(VLOOKUP(B457,Foundation!$C$8:$E$696,3,FALSE),"")</f>
        <v>DRY</v>
      </c>
      <c r="L457" s="426" t="str">
        <f>+IF(IFERROR(MATCH(B457,'Erection Compiled'!$C$6:$C$815,0),"B")="B","","E")</f>
        <v>E</v>
      </c>
      <c r="M457" s="426" t="str">
        <f>+IFERROR(VLOOKUP(B457,Tackwelding!$B$6:$G$322,6,FALSE),"")</f>
        <v>Done</v>
      </c>
    </row>
    <row r="458" spans="1:13" x14ac:dyDescent="0.25">
      <c r="A458" s="426">
        <v>452</v>
      </c>
      <c r="B458" s="426" t="s">
        <v>835</v>
      </c>
      <c r="C458" s="426" t="s">
        <v>20</v>
      </c>
      <c r="H458" s="426" t="str">
        <f t="shared" si="162"/>
        <v>,,,</v>
      </c>
      <c r="I458" s="429">
        <v>418.9</v>
      </c>
      <c r="K458" s="426" t="str">
        <f>+IFERROR(VLOOKUP(B458,Foundation!$C$8:$E$696,3,FALSE),"")</f>
        <v>DRY</v>
      </c>
      <c r="L458" s="426" t="str">
        <f>+IF(IFERROR(MATCH(B458,'Erection Compiled'!$C$6:$C$815,0),"B")="B","","E")</f>
        <v>E</v>
      </c>
      <c r="M458" s="426" t="str">
        <f>+IFERROR(VLOOKUP(B458,Tackwelding!$B$6:$G$322,6,FALSE),"")</f>
        <v>Done</v>
      </c>
    </row>
    <row r="459" spans="1:13" x14ac:dyDescent="0.25">
      <c r="A459" s="426">
        <v>453</v>
      </c>
      <c r="B459" s="426" t="s">
        <v>836</v>
      </c>
      <c r="C459" s="426" t="s">
        <v>20</v>
      </c>
      <c r="H459" s="426" t="str">
        <f t="shared" si="162"/>
        <v>,,,</v>
      </c>
      <c r="I459" s="429">
        <v>418.6</v>
      </c>
      <c r="K459" s="426" t="str">
        <f>+IFERROR(VLOOKUP(B459,Foundation!$C$8:$E$696,3,FALSE),"")</f>
        <v>DRY</v>
      </c>
      <c r="L459" s="426" t="str">
        <f>+IF(IFERROR(MATCH(B459,'Erection Compiled'!$C$6:$C$815,0),"B")="B","","E")</f>
        <v>E</v>
      </c>
      <c r="M459" s="426" t="str">
        <f>+IFERROR(VLOOKUP(B459,Tackwelding!$B$6:$G$322,6,FALSE),"")</f>
        <v>Done</v>
      </c>
    </row>
    <row r="460" spans="1:13" x14ac:dyDescent="0.25">
      <c r="A460" s="426">
        <v>454</v>
      </c>
      <c r="B460" s="426" t="s">
        <v>837</v>
      </c>
      <c r="C460" s="426" t="s">
        <v>20</v>
      </c>
      <c r="H460" s="426" t="str">
        <f t="shared" si="162"/>
        <v>,,,</v>
      </c>
      <c r="I460" s="429">
        <v>414</v>
      </c>
      <c r="K460" s="426" t="str">
        <f>+IFERROR(VLOOKUP(B460,Foundation!$C$8:$E$696,3,FALSE),"")</f>
        <v>DRY</v>
      </c>
      <c r="L460" s="426" t="str">
        <f>+IF(IFERROR(MATCH(B460,'Erection Compiled'!$C$6:$C$815,0),"B")="B","","E")</f>
        <v>E</v>
      </c>
      <c r="M460" s="426" t="str">
        <f>+IFERROR(VLOOKUP(B460,Tackwelding!$B$6:$G$322,6,FALSE),"")</f>
        <v>Done</v>
      </c>
    </row>
    <row r="461" spans="1:13" x14ac:dyDescent="0.25">
      <c r="A461" s="426">
        <v>455</v>
      </c>
      <c r="B461" s="426" t="s">
        <v>838</v>
      </c>
      <c r="C461" s="426" t="s">
        <v>20</v>
      </c>
      <c r="H461" s="426" t="str">
        <f t="shared" si="162"/>
        <v>,,,</v>
      </c>
      <c r="I461" s="429">
        <v>419.6</v>
      </c>
      <c r="K461" s="426" t="str">
        <f>+IFERROR(VLOOKUP(B461,Foundation!$C$8:$E$696,3,FALSE),"")</f>
        <v>DRY</v>
      </c>
      <c r="L461" s="426" t="str">
        <f>+IF(IFERROR(MATCH(B461,'Erection Compiled'!$C$6:$C$815,0),"B")="B","","E")</f>
        <v>E</v>
      </c>
      <c r="M461" s="426" t="str">
        <f>+IFERROR(VLOOKUP(B461,Tackwelding!$B$6:$G$322,6,FALSE),"")</f>
        <v>Done</v>
      </c>
    </row>
    <row r="462" spans="1:13" x14ac:dyDescent="0.25">
      <c r="A462" s="426">
        <v>456</v>
      </c>
      <c r="B462" s="426" t="s">
        <v>839</v>
      </c>
      <c r="C462" s="426" t="s">
        <v>20</v>
      </c>
      <c r="H462" s="426" t="str">
        <f t="shared" si="162"/>
        <v>,,,</v>
      </c>
      <c r="I462" s="429">
        <v>420.3</v>
      </c>
      <c r="K462" s="426" t="str">
        <f>+IFERROR(VLOOKUP(B462,Foundation!$C$8:$E$696,3,FALSE),"")</f>
        <v>DRY</v>
      </c>
      <c r="L462" s="426" t="str">
        <f>+IF(IFERROR(MATCH(B462,'Erection Compiled'!$C$6:$C$815,0),"B")="B","","E")</f>
        <v>E</v>
      </c>
      <c r="M462" s="426" t="str">
        <f>+IFERROR(VLOOKUP(B462,Tackwelding!$B$6:$G$322,6,FALSE),"")</f>
        <v>Done</v>
      </c>
    </row>
    <row r="463" spans="1:13" x14ac:dyDescent="0.25">
      <c r="A463" s="426">
        <v>457</v>
      </c>
      <c r="B463" s="426" t="s">
        <v>840</v>
      </c>
      <c r="C463" s="426" t="s">
        <v>20</v>
      </c>
      <c r="H463" s="426" t="str">
        <f t="shared" si="162"/>
        <v>,,,</v>
      </c>
      <c r="I463" s="429">
        <v>419.6</v>
      </c>
      <c r="K463" s="426" t="str">
        <f>+IFERROR(VLOOKUP(B463,Foundation!$C$8:$E$696,3,FALSE),"")</f>
        <v>DRY</v>
      </c>
      <c r="L463" s="426" t="str">
        <f>+IF(IFERROR(MATCH(B463,'Erection Compiled'!$C$6:$C$815,0),"B")="B","","E")</f>
        <v>E</v>
      </c>
      <c r="M463" s="426" t="str">
        <f>+IFERROR(VLOOKUP(B463,Tackwelding!$B$6:$G$322,6,FALSE),"")</f>
        <v>Done</v>
      </c>
    </row>
    <row r="464" spans="1:13" x14ac:dyDescent="0.25">
      <c r="A464" s="426">
        <v>458</v>
      </c>
      <c r="B464" s="426" t="s">
        <v>841</v>
      </c>
      <c r="C464" s="426" t="s">
        <v>20</v>
      </c>
      <c r="H464" s="426" t="str">
        <f t="shared" si="162"/>
        <v>,,,</v>
      </c>
      <c r="I464" s="429">
        <v>418.2</v>
      </c>
      <c r="K464" s="426" t="str">
        <f>+IFERROR(VLOOKUP(B464,Foundation!$C$8:$E$696,3,FALSE),"")</f>
        <v>DRY</v>
      </c>
      <c r="L464" s="426" t="str">
        <f>+IF(IFERROR(MATCH(B464,'Erection Compiled'!$C$6:$C$815,0),"B")="B","","E")</f>
        <v>E</v>
      </c>
      <c r="M464" s="426" t="str">
        <f>+IFERROR(VLOOKUP(B464,Tackwelding!$B$6:$G$322,6,FALSE),"")</f>
        <v>Done</v>
      </c>
    </row>
    <row r="465" spans="1:13" x14ac:dyDescent="0.25">
      <c r="A465" s="426">
        <v>459</v>
      </c>
      <c r="B465" s="426" t="s">
        <v>842</v>
      </c>
      <c r="C465" s="426" t="s">
        <v>20</v>
      </c>
      <c r="H465" s="426" t="str">
        <f t="shared" si="162"/>
        <v>,,,</v>
      </c>
      <c r="I465" s="429">
        <v>414.1</v>
      </c>
      <c r="K465" s="426" t="str">
        <f>+IFERROR(VLOOKUP(B465,Foundation!$C$8:$E$696,3,FALSE),"")</f>
        <v>DRY</v>
      </c>
      <c r="L465" s="426" t="str">
        <f>+IF(IFERROR(MATCH(B465,'Erection Compiled'!$C$6:$C$815,0),"B")="B","","E")</f>
        <v>E</v>
      </c>
      <c r="M465" s="426" t="str">
        <f>+IFERROR(VLOOKUP(B465,Tackwelding!$B$6:$G$322,6,FALSE),"")</f>
        <v>Done</v>
      </c>
    </row>
    <row r="466" spans="1:13" x14ac:dyDescent="0.25">
      <c r="A466" s="426">
        <v>460</v>
      </c>
      <c r="B466" s="426" t="s">
        <v>843</v>
      </c>
      <c r="C466" s="426" t="s">
        <v>20</v>
      </c>
      <c r="H466" s="426" t="str">
        <f t="shared" si="162"/>
        <v>,,,</v>
      </c>
      <c r="I466" s="429">
        <v>406.1</v>
      </c>
      <c r="K466" s="426" t="str">
        <f>+IFERROR(VLOOKUP(B466,Foundation!$C$8:$E$696,3,FALSE),"")</f>
        <v>DRY</v>
      </c>
      <c r="L466" s="426" t="str">
        <f>+IF(IFERROR(MATCH(B466,'Erection Compiled'!$C$6:$C$815,0),"B")="B","","E")</f>
        <v>E</v>
      </c>
      <c r="M466" s="426" t="str">
        <f>+IFERROR(VLOOKUP(B466,Tackwelding!$B$6:$G$322,6,FALSE),"")</f>
        <v>Done</v>
      </c>
    </row>
    <row r="467" spans="1:13" x14ac:dyDescent="0.25">
      <c r="A467" s="426">
        <v>461</v>
      </c>
      <c r="B467" s="426" t="s">
        <v>844</v>
      </c>
      <c r="C467" s="426" t="s">
        <v>20</v>
      </c>
      <c r="H467" s="426" t="str">
        <f t="shared" si="162"/>
        <v>,,,</v>
      </c>
      <c r="I467" s="429">
        <v>408.6</v>
      </c>
      <c r="K467" s="426" t="str">
        <f>+IFERROR(VLOOKUP(B467,Foundation!$C$8:$E$696,3,FALSE),"")</f>
        <v>DRY</v>
      </c>
      <c r="L467" s="426" t="str">
        <f>+IF(IFERROR(MATCH(B467,'Erection Compiled'!$C$6:$C$815,0),"B")="B","","E")</f>
        <v>E</v>
      </c>
      <c r="M467" s="426" t="str">
        <f>+IFERROR(VLOOKUP(B467,Tackwelding!$B$6:$G$322,6,FALSE),"")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Compiled'!$C$6:$C$815,0),"B")="B","","E")</f>
        <v>E</v>
      </c>
      <c r="M468" s="426" t="str">
        <f>+IFERROR(VLOOKUP(B468,Tackwelding!$B$6:$G$322,6,FALSE),"")</f>
        <v>Done</v>
      </c>
    </row>
    <row r="469" spans="1:13" x14ac:dyDescent="0.25">
      <c r="A469" s="426">
        <v>463</v>
      </c>
      <c r="B469" s="426" t="s">
        <v>845</v>
      </c>
      <c r="C469" s="426" t="s">
        <v>20</v>
      </c>
      <c r="H469" s="426" t="str">
        <f t="shared" si="162"/>
        <v>,,,</v>
      </c>
      <c r="I469" s="429">
        <v>398.6</v>
      </c>
      <c r="K469" s="426" t="str">
        <f>+IFERROR(VLOOKUP(B469,Foundation!$C$8:$E$696,3,FALSE),"")</f>
        <v>DRY</v>
      </c>
      <c r="L469" s="426" t="str">
        <f>+IF(IFERROR(MATCH(B469,'Erection Compiled'!$C$6:$C$815,0),"B")="B","","E")</f>
        <v>E</v>
      </c>
      <c r="M469" s="426" t="str">
        <f>+IFERROR(VLOOKUP(B469,Tackwelding!$B$6:$G$322,6,FALSE),"")</f>
        <v>Done</v>
      </c>
    </row>
    <row r="470" spans="1:13" x14ac:dyDescent="0.25">
      <c r="A470" s="426">
        <v>464</v>
      </c>
      <c r="B470" s="426" t="s">
        <v>846</v>
      </c>
      <c r="C470" s="426" t="s">
        <v>20</v>
      </c>
      <c r="H470" s="426" t="str">
        <f t="shared" si="162"/>
        <v>,,,</v>
      </c>
      <c r="I470" s="429">
        <v>414.3</v>
      </c>
      <c r="K470" s="426" t="str">
        <f>+IFERROR(VLOOKUP(B470,Foundation!$C$8:$E$696,3,FALSE),"")</f>
        <v>DRY</v>
      </c>
      <c r="L470" s="426" t="str">
        <f>+IF(IFERROR(MATCH(B470,'Erection Compiled'!$C$6:$C$815,0),"B")="B","","E")</f>
        <v>E</v>
      </c>
      <c r="M470" s="426" t="str">
        <f>+IFERROR(VLOOKUP(B470,Tackwelding!$B$6:$G$322,6,FALSE),"")</f>
        <v>Done</v>
      </c>
    </row>
    <row r="471" spans="1:13" x14ac:dyDescent="0.25">
      <c r="A471" s="426">
        <v>465</v>
      </c>
      <c r="B471" s="426" t="s">
        <v>847</v>
      </c>
      <c r="C471" s="426" t="s">
        <v>232</v>
      </c>
      <c r="H471" s="426" t="str">
        <f t="shared" si="162"/>
        <v>,,,</v>
      </c>
      <c r="I471" s="429">
        <v>413</v>
      </c>
      <c r="K471" s="426" t="str">
        <f>+IFERROR(VLOOKUP(B471,Foundation!$C$8:$E$696,3,FALSE),"")</f>
        <v>DRY</v>
      </c>
      <c r="L471" s="426" t="str">
        <f>+IF(IFERROR(MATCH(B471,'Erection Compiled'!$C$6:$C$815,0),"B")="B","","E")</f>
        <v>E</v>
      </c>
      <c r="M471" s="426" t="str">
        <f>+IFERROR(VLOOKUP(B471,Tackwelding!$B$6:$G$322,6,FALSE),"")</f>
        <v>Done</v>
      </c>
    </row>
    <row r="472" spans="1:13" x14ac:dyDescent="0.25">
      <c r="A472" s="426">
        <v>466</v>
      </c>
      <c r="B472" s="426" t="s">
        <v>848</v>
      </c>
      <c r="C472" s="426" t="s">
        <v>20</v>
      </c>
      <c r="H472" s="426" t="str">
        <f t="shared" si="162"/>
        <v>,,,</v>
      </c>
      <c r="I472" s="429">
        <v>367.7</v>
      </c>
      <c r="K472" s="426" t="str">
        <f>+IFERROR(VLOOKUP(B472,Foundation!$C$8:$E$696,3,FALSE),"")</f>
        <v>DRY</v>
      </c>
      <c r="L472" s="426" t="str">
        <f>+IF(IFERROR(MATCH(B472,'Erection Compiled'!$C$6:$C$815,0),"B")="B","","E")</f>
        <v>E</v>
      </c>
      <c r="M472" s="426" t="str">
        <f>+IFERROR(VLOOKUP(B472,Tackwelding!$B$6:$G$322,6,FALSE),"")</f>
        <v>Done</v>
      </c>
    </row>
    <row r="473" spans="1:13" x14ac:dyDescent="0.25">
      <c r="A473" s="426">
        <v>467</v>
      </c>
      <c r="B473" s="426" t="s">
        <v>849</v>
      </c>
      <c r="C473" s="426" t="s">
        <v>20</v>
      </c>
      <c r="H473" s="426" t="str">
        <f t="shared" si="162"/>
        <v>,,,</v>
      </c>
      <c r="I473" s="429">
        <v>429.4</v>
      </c>
      <c r="K473" s="426" t="str">
        <f>+IFERROR(VLOOKUP(B473,Foundation!$C$8:$E$696,3,FALSE),"")</f>
        <v>DRY</v>
      </c>
      <c r="L473" s="426" t="str">
        <f>+IF(IFERROR(MATCH(B473,'Erection Compiled'!$C$6:$C$815,0),"B")="B","","E")</f>
        <v>E</v>
      </c>
      <c r="M473" s="426" t="str">
        <f>+IFERROR(VLOOKUP(B473,Tackwelding!$B$6:$G$322,6,FALSE),"")</f>
        <v>Done</v>
      </c>
    </row>
    <row r="474" spans="1:13" x14ac:dyDescent="0.25">
      <c r="A474" s="426">
        <v>468</v>
      </c>
      <c r="B474" s="426" t="s">
        <v>850</v>
      </c>
      <c r="C474" s="426" t="s">
        <v>231</v>
      </c>
      <c r="H474" s="426" t="str">
        <f t="shared" si="162"/>
        <v>,,,</v>
      </c>
      <c r="I474" s="429">
        <v>408</v>
      </c>
      <c r="K474" s="426" t="str">
        <f>+IFERROR(VLOOKUP(B474,Foundation!$C$8:$E$696,3,FALSE),"")</f>
        <v>DRY</v>
      </c>
      <c r="L474" s="426" t="str">
        <f>+IF(IFERROR(MATCH(B474,'Erection Compiled'!$C$6:$C$815,0),"B")="B","","E")</f>
        <v>E</v>
      </c>
      <c r="M474" s="426" t="str">
        <f>+IFERROR(VLOOKUP(B474,Tackwelding!$B$6:$G$322,6,FALSE),"")</f>
        <v>Done</v>
      </c>
    </row>
    <row r="475" spans="1:13" x14ac:dyDescent="0.25">
      <c r="A475" s="426">
        <v>469</v>
      </c>
      <c r="B475" s="426" t="s">
        <v>851</v>
      </c>
      <c r="C475" s="426" t="s">
        <v>20</v>
      </c>
      <c r="H475" s="426" t="str">
        <f t="shared" si="162"/>
        <v>,,,</v>
      </c>
      <c r="I475" s="429">
        <v>404.9</v>
      </c>
      <c r="K475" s="426" t="str">
        <f>+IFERROR(VLOOKUP(B475,Foundation!$C$8:$E$696,3,FALSE),"")</f>
        <v>DRY</v>
      </c>
      <c r="L475" s="426" t="str">
        <f>+IF(IFERROR(MATCH(B475,'Erection Compiled'!$C$6:$C$815,0),"B")="B","","E")</f>
        <v>E</v>
      </c>
      <c r="M475" s="426" t="str">
        <f>+IFERROR(VLOOKUP(B475,Tackwelding!$B$6:$G$322,6,FALSE),"")</f>
        <v>Done</v>
      </c>
    </row>
    <row r="476" spans="1:13" x14ac:dyDescent="0.25">
      <c r="A476" s="426">
        <v>470</v>
      </c>
      <c r="B476" s="426" t="s">
        <v>852</v>
      </c>
      <c r="C476" s="426" t="s">
        <v>20</v>
      </c>
      <c r="H476" s="426" t="str">
        <f t="shared" si="162"/>
        <v>,,,</v>
      </c>
      <c r="I476" s="429">
        <v>431.6</v>
      </c>
      <c r="K476" s="426" t="str">
        <f>+IFERROR(VLOOKUP(B476,Foundation!$C$8:$E$696,3,FALSE),"")</f>
        <v>DRY</v>
      </c>
      <c r="L476" s="426" t="str">
        <f>+IF(IFERROR(MATCH(B476,'Erection Compiled'!$C$6:$C$815,0),"B")="B","","E")</f>
        <v>E</v>
      </c>
      <c r="M476" s="426" t="str">
        <f>+IFERROR(VLOOKUP(B476,Tackwelding!$B$6:$G$322,6,FALSE),"")</f>
        <v>Done</v>
      </c>
    </row>
    <row r="477" spans="1:13" x14ac:dyDescent="0.25">
      <c r="A477" s="426">
        <v>471</v>
      </c>
      <c r="B477" s="426" t="s">
        <v>853</v>
      </c>
      <c r="C477" s="426" t="s">
        <v>249</v>
      </c>
      <c r="H477" s="426" t="str">
        <f t="shared" si="162"/>
        <v>,,,</v>
      </c>
      <c r="I477" s="429">
        <v>408.4</v>
      </c>
      <c r="K477" s="426" t="str">
        <f>+IFERROR(VLOOKUP(B477,Foundation!$C$8:$E$696,3,FALSE),"")</f>
        <v>DRY</v>
      </c>
      <c r="L477" s="426" t="str">
        <f>+IF(IFERROR(MATCH(B477,'Erection Compiled'!$C$6:$C$815,0),"B")="B","","E")</f>
        <v>E</v>
      </c>
      <c r="M477" s="426" t="str">
        <f>+IFERROR(VLOOKUP(B477,Tackwelding!$B$6:$G$322,6,FALSE),"")</f>
        <v>Done</v>
      </c>
    </row>
    <row r="478" spans="1:13" x14ac:dyDescent="0.25">
      <c r="A478" s="426">
        <v>472</v>
      </c>
      <c r="B478" s="426" t="s">
        <v>854</v>
      </c>
      <c r="C478" s="426" t="s">
        <v>20</v>
      </c>
      <c r="H478" s="426" t="str">
        <f t="shared" si="162"/>
        <v>,,,</v>
      </c>
      <c r="I478" s="429">
        <v>435.3</v>
      </c>
      <c r="K478" s="426" t="str">
        <f>+IFERROR(VLOOKUP(B478,Foundation!$C$8:$E$696,3,FALSE),"")</f>
        <v>DRY</v>
      </c>
      <c r="L478" s="426" t="str">
        <f>+IF(IFERROR(MATCH(B478,'Erection Compiled'!$C$6:$C$815,0),"B")="B","","E")</f>
        <v>E</v>
      </c>
      <c r="M478" s="426" t="str">
        <f>+IFERROR(VLOOKUP(B478,Tackwelding!$B$6:$G$322,6,FALSE),"")</f>
        <v>Done</v>
      </c>
    </row>
    <row r="479" spans="1:13" x14ac:dyDescent="0.25">
      <c r="A479" s="426">
        <v>473</v>
      </c>
      <c r="B479" s="426" t="s">
        <v>855</v>
      </c>
      <c r="C479" s="426" t="s">
        <v>231</v>
      </c>
      <c r="H479" s="426" t="str">
        <f t="shared" si="162"/>
        <v>,,,</v>
      </c>
      <c r="I479" s="429">
        <v>403.9</v>
      </c>
      <c r="K479" s="426" t="str">
        <f>+IFERROR(VLOOKUP(B479,Foundation!$C$8:$E$696,3,FALSE),"")</f>
        <v>DRY</v>
      </c>
      <c r="L479" s="426" t="str">
        <f>+IF(IFERROR(MATCH(B479,'Erection Compiled'!$C$6:$C$815,0),"B")="B","","E")</f>
        <v>E</v>
      </c>
      <c r="M479" s="426" t="str">
        <f>+IFERROR(VLOOKUP(B479,Tackwelding!$B$6:$G$322,6,FALSE),"")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Compiled'!$C$6:$C$815,0),"B")="B","","E")</f>
        <v>E</v>
      </c>
      <c r="M480" s="426" t="str">
        <f>+IFERROR(VLOOKUP(B480,Tackwelding!$B$6:$G$322,6,FALSE),"")</f>
        <v>Done</v>
      </c>
    </row>
    <row r="481" spans="1:13" x14ac:dyDescent="0.25">
      <c r="A481" s="426">
        <v>475</v>
      </c>
      <c r="B481" s="426" t="s">
        <v>856</v>
      </c>
      <c r="C481" s="426" t="s">
        <v>245</v>
      </c>
      <c r="H481" s="426" t="str">
        <f t="shared" si="162"/>
        <v>,,,</v>
      </c>
      <c r="I481" s="429">
        <v>400.1</v>
      </c>
      <c r="K481" s="426" t="str">
        <f>+IFERROR(VLOOKUP(B481,Foundation!$C$8:$E$696,3,FALSE),"")</f>
        <v>DRY</v>
      </c>
      <c r="L481" s="426" t="str">
        <f>+IF(IFERROR(MATCH(B481,'Erection Compiled'!$C$6:$C$815,0),"B")="B","","E")</f>
        <v>E</v>
      </c>
      <c r="M481" s="426" t="str">
        <f>+IFERROR(VLOOKUP(B481,Tackwelding!$B$6:$G$322,6,FALSE),"")</f>
        <v>Done</v>
      </c>
    </row>
    <row r="482" spans="1:13" x14ac:dyDescent="0.25">
      <c r="A482" s="426">
        <v>476</v>
      </c>
      <c r="B482" s="426" t="s">
        <v>857</v>
      </c>
      <c r="C482" s="426" t="s">
        <v>231</v>
      </c>
      <c r="H482" s="426" t="str">
        <f t="shared" si="162"/>
        <v>,,,</v>
      </c>
      <c r="I482" s="429">
        <v>383.3</v>
      </c>
      <c r="K482" s="426" t="str">
        <f>+IFERROR(VLOOKUP(B482,Foundation!$C$8:$E$696,3,FALSE),"")</f>
        <v>DRY</v>
      </c>
      <c r="L482" s="426" t="str">
        <f>+IF(IFERROR(MATCH(B482,'Erection Compiled'!$C$6:$C$815,0),"B")="B","","E")</f>
        <v>E</v>
      </c>
      <c r="M482" s="426" t="str">
        <f>+IFERROR(VLOOKUP(B482,Tackwelding!$B$6:$G$322,6,FALSE),"")</f>
        <v>Done</v>
      </c>
    </row>
    <row r="483" spans="1:13" x14ac:dyDescent="0.25">
      <c r="A483" s="426">
        <v>477</v>
      </c>
      <c r="B483" s="426" t="s">
        <v>858</v>
      </c>
      <c r="C483" s="426" t="s">
        <v>231</v>
      </c>
      <c r="H483" s="426" t="str">
        <f t="shared" si="162"/>
        <v>,,,</v>
      </c>
      <c r="I483" s="429">
        <v>379</v>
      </c>
      <c r="K483" s="426" t="str">
        <f>+IFERROR(VLOOKUP(B483,Foundation!$C$8:$E$696,3,FALSE),"")</f>
        <v>DRY</v>
      </c>
      <c r="L483" s="426" t="str">
        <f>+IF(IFERROR(MATCH(B483,'Erection Compiled'!$C$6:$C$815,0),"B")="B","","E")</f>
        <v>E</v>
      </c>
      <c r="M483" s="426" t="str">
        <f>+IFERROR(VLOOKUP(B483,Tackwelding!$B$6:$G$322,6,FALSE),"")</f>
        <v>Done</v>
      </c>
    </row>
    <row r="484" spans="1:13" x14ac:dyDescent="0.25">
      <c r="A484" s="426">
        <v>478</v>
      </c>
      <c r="B484" s="426" t="s">
        <v>859</v>
      </c>
      <c r="C484" s="426" t="s">
        <v>231</v>
      </c>
      <c r="H484" s="426" t="str">
        <f t="shared" si="162"/>
        <v>,,,</v>
      </c>
      <c r="I484" s="429">
        <v>381.2</v>
      </c>
      <c r="K484" s="426" t="str">
        <f>+IFERROR(VLOOKUP(B484,Foundation!$C$8:$E$696,3,FALSE),"")</f>
        <v>DRY</v>
      </c>
      <c r="L484" s="426" t="str">
        <f>+IF(IFERROR(MATCH(B484,'Erection Compiled'!$C$6:$C$815,0),"B")="B","","E")</f>
        <v>E</v>
      </c>
      <c r="M484" s="426" t="str">
        <f>+IFERROR(VLOOKUP(B484,Tackwelding!$B$6:$G$322,6,FALSE),"")</f>
        <v>Done</v>
      </c>
    </row>
    <row r="485" spans="1:13" x14ac:dyDescent="0.25">
      <c r="A485" s="426">
        <v>479</v>
      </c>
      <c r="B485" s="426" t="s">
        <v>860</v>
      </c>
      <c r="C485" s="426" t="s">
        <v>231</v>
      </c>
      <c r="H485" s="426" t="str">
        <f t="shared" si="162"/>
        <v>,,,</v>
      </c>
      <c r="I485" s="429">
        <v>384.7</v>
      </c>
      <c r="K485" s="426" t="str">
        <f>+IFERROR(VLOOKUP(B485,Foundation!$C$8:$E$696,3,FALSE),"")</f>
        <v>DRY</v>
      </c>
      <c r="L485" s="426" t="str">
        <f>+IF(IFERROR(MATCH(B485,'Erection Compiled'!$C$6:$C$815,0),"B")="B","","E")</f>
        <v>E</v>
      </c>
      <c r="M485" s="426" t="str">
        <f>+IFERROR(VLOOKUP(B485,Tackwelding!$B$6:$G$322,6,FALSE),"")</f>
        <v>Done</v>
      </c>
    </row>
    <row r="486" spans="1:13" x14ac:dyDescent="0.25">
      <c r="A486" s="426">
        <v>480</v>
      </c>
      <c r="B486" s="426" t="s">
        <v>861</v>
      </c>
      <c r="C486" s="426" t="s">
        <v>231</v>
      </c>
      <c r="H486" s="426" t="str">
        <f t="shared" si="162"/>
        <v>,,,</v>
      </c>
      <c r="I486" s="429">
        <v>368.8</v>
      </c>
      <c r="K486" s="426" t="str">
        <f>+IFERROR(VLOOKUP(B486,Foundation!$C$8:$E$696,3,FALSE),"")</f>
        <v>DRY</v>
      </c>
      <c r="L486" s="426" t="str">
        <f>+IF(IFERROR(MATCH(B486,'Erection Compiled'!$C$6:$C$815,0),"B")="B","","E")</f>
        <v>E</v>
      </c>
      <c r="M486" s="426" t="str">
        <f>+IFERROR(VLOOKUP(B486,Tackwelding!$B$6:$G$322,6,FALSE),"")</f>
        <v>Done</v>
      </c>
    </row>
    <row r="487" spans="1:13" x14ac:dyDescent="0.25">
      <c r="A487" s="426">
        <v>481</v>
      </c>
      <c r="B487" s="426" t="s">
        <v>862</v>
      </c>
      <c r="C487" s="426" t="s">
        <v>231</v>
      </c>
      <c r="H487" s="426" t="str">
        <f t="shared" si="162"/>
        <v>,,,</v>
      </c>
      <c r="I487" s="429">
        <v>365.5</v>
      </c>
      <c r="K487" s="426" t="str">
        <f>+IFERROR(VLOOKUP(B487,Foundation!$C$8:$E$696,3,FALSE),"")</f>
        <v>DRY</v>
      </c>
      <c r="L487" s="426" t="str">
        <f>+IF(IFERROR(MATCH(B487,'Erection Compiled'!$C$6:$C$815,0),"B")="B","","E")</f>
        <v>E</v>
      </c>
      <c r="M487" s="426" t="str">
        <f>+IFERROR(VLOOKUP(B487,Tackwelding!$B$6:$G$322,6,FALSE),"")</f>
        <v>Done</v>
      </c>
    </row>
    <row r="488" spans="1:13" x14ac:dyDescent="0.25">
      <c r="A488" s="426">
        <v>482</v>
      </c>
      <c r="B488" s="426" t="s">
        <v>863</v>
      </c>
      <c r="C488" s="426" t="s">
        <v>231</v>
      </c>
      <c r="H488" s="426" t="str">
        <f t="shared" si="162"/>
        <v>,,,</v>
      </c>
      <c r="I488" s="429">
        <v>392.4</v>
      </c>
      <c r="K488" s="426" t="str">
        <f>+IFERROR(VLOOKUP(B488,Foundation!$C$8:$E$696,3,FALSE),"")</f>
        <v>DRY</v>
      </c>
      <c r="L488" s="426" t="str">
        <f>+IF(IFERROR(MATCH(B488,'Erection Compiled'!$C$6:$C$815,0),"B")="B","","E")</f>
        <v>E</v>
      </c>
      <c r="M488" s="426" t="str">
        <f>+IFERROR(VLOOKUP(B488,Tackwelding!$B$6:$G$322,6,FALSE),"")</f>
        <v>Done</v>
      </c>
    </row>
    <row r="489" spans="1:13" x14ac:dyDescent="0.25">
      <c r="A489" s="426">
        <v>483</v>
      </c>
      <c r="B489" s="426" t="s">
        <v>864</v>
      </c>
      <c r="C489" s="426" t="s">
        <v>20</v>
      </c>
      <c r="H489" s="426" t="str">
        <f t="shared" si="162"/>
        <v>,,,</v>
      </c>
      <c r="I489" s="429">
        <v>374.9</v>
      </c>
      <c r="K489" s="426" t="str">
        <f>+IFERROR(VLOOKUP(B489,Foundation!$C$8:$E$696,3,FALSE),"")</f>
        <v>DRY</v>
      </c>
      <c r="L489" s="426" t="str">
        <f>+IF(IFERROR(MATCH(B489,'Erection Compiled'!$C$6:$C$815,0),"B")="B","","E")</f>
        <v>E</v>
      </c>
      <c r="M489" s="426" t="str">
        <f>+IFERROR(VLOOKUP(B489,Tackwelding!$B$6:$G$322,6,FALSE),"")</f>
        <v>Done</v>
      </c>
    </row>
    <row r="490" spans="1:13" x14ac:dyDescent="0.25">
      <c r="A490" s="426">
        <v>484</v>
      </c>
      <c r="B490" s="426" t="s">
        <v>865</v>
      </c>
      <c r="C490" s="426" t="s">
        <v>231</v>
      </c>
      <c r="H490" s="426" t="str">
        <f t="shared" si="162"/>
        <v>,,,</v>
      </c>
      <c r="I490" s="429">
        <v>379.5</v>
      </c>
      <c r="K490" s="426" t="str">
        <f>+IFERROR(VLOOKUP(B490,Foundation!$C$8:$E$696,3,FALSE),"")</f>
        <v>DRY</v>
      </c>
      <c r="L490" s="426" t="str">
        <f>+IF(IFERROR(MATCH(B490,'Erection Compiled'!$C$6:$C$815,0),"B")="B","","E")</f>
        <v>E</v>
      </c>
      <c r="M490" s="426" t="str">
        <f>+IFERROR(VLOOKUP(B490,Tackwelding!$B$6:$G$322,6,FALSE),"")</f>
        <v>Done</v>
      </c>
    </row>
    <row r="491" spans="1:13" x14ac:dyDescent="0.25">
      <c r="A491" s="426">
        <v>485</v>
      </c>
      <c r="B491" s="426" t="s">
        <v>866</v>
      </c>
      <c r="C491" s="426" t="s">
        <v>245</v>
      </c>
      <c r="H491" s="426" t="str">
        <f t="shared" si="162"/>
        <v>,,,</v>
      </c>
      <c r="I491" s="429">
        <v>378.9</v>
      </c>
      <c r="K491" s="426" t="str">
        <f>+IFERROR(VLOOKUP(B491,Foundation!$C$8:$E$696,3,FALSE),"")</f>
        <v>Sandy</v>
      </c>
      <c r="L491" s="426" t="str">
        <f>+IF(IFERROR(MATCH(B491,'Erection Compiled'!$C$6:$C$815,0),"B")="B","","E")</f>
        <v>E</v>
      </c>
      <c r="M491" s="426" t="str">
        <f>+IFERROR(VLOOKUP(B491,Tackwelding!$B$6:$G$322,6,FALSE),"")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1264</v>
      </c>
      <c r="I1" s="455" t="s">
        <v>19</v>
      </c>
      <c r="J1" s="686">
        <f>+SUM(J7:J221)</f>
        <v>35308.548700000007</v>
      </c>
      <c r="K1" s="686"/>
      <c r="L1" s="686">
        <f>+SUM(L7:L221)</f>
        <v>22312.440700000006</v>
      </c>
      <c r="M1" s="686"/>
      <c r="N1" s="686">
        <f>+SUM(N7:N221)</f>
        <v>24183.155000000002</v>
      </c>
    </row>
    <row r="2" spans="1:15" x14ac:dyDescent="0.2">
      <c r="A2" s="208"/>
      <c r="I2" s="685" t="s">
        <v>1604</v>
      </c>
      <c r="J2" s="687">
        <f>+COUNTA(B7:B221)</f>
        <v>215</v>
      </c>
      <c r="K2" s="455"/>
      <c r="L2" s="687">
        <f>+COUNTA(L7:L221)</f>
        <v>175</v>
      </c>
      <c r="M2" s="455"/>
      <c r="N2" s="687">
        <f>+COUNTA(N7:N221)</f>
        <v>170</v>
      </c>
      <c r="O2" s="735">
        <f>J2-N2</f>
        <v>45</v>
      </c>
    </row>
    <row r="3" spans="1:15" x14ac:dyDescent="0.2">
      <c r="A3" s="1000" t="s">
        <v>1246</v>
      </c>
      <c r="B3" s="1000"/>
      <c r="C3" s="1000"/>
      <c r="D3" s="1000"/>
      <c r="E3" s="1000"/>
      <c r="F3" s="1000"/>
      <c r="G3" s="1000"/>
      <c r="H3" s="1000"/>
      <c r="I3" s="1000"/>
      <c r="J3" s="1000"/>
      <c r="K3" s="1000"/>
      <c r="L3" s="1000"/>
      <c r="M3" s="1000"/>
      <c r="N3" s="1000"/>
      <c r="O3" s="1000"/>
    </row>
    <row r="4" spans="1:15" ht="38.25" customHeight="1" x14ac:dyDescent="0.2">
      <c r="A4" s="999" t="s">
        <v>303</v>
      </c>
      <c r="B4" s="999" t="s">
        <v>1195</v>
      </c>
      <c r="C4" s="1001" t="s">
        <v>4</v>
      </c>
      <c r="D4" s="1001" t="s">
        <v>1247</v>
      </c>
      <c r="E4" s="1001" t="s">
        <v>1248</v>
      </c>
      <c r="F4" s="1001" t="s">
        <v>1249</v>
      </c>
      <c r="G4" s="1001"/>
      <c r="H4" s="1001"/>
      <c r="I4" s="1001"/>
      <c r="J4" s="999" t="s">
        <v>1250</v>
      </c>
      <c r="K4" s="999"/>
      <c r="L4" s="999" t="s">
        <v>1262</v>
      </c>
      <c r="M4" s="999"/>
      <c r="N4" s="999" t="s">
        <v>1263</v>
      </c>
      <c r="O4" s="999"/>
    </row>
    <row r="5" spans="1:15" ht="26.25" customHeight="1" x14ac:dyDescent="0.2">
      <c r="A5" s="999"/>
      <c r="B5" s="999"/>
      <c r="C5" s="1001"/>
      <c r="D5" s="1001"/>
      <c r="E5" s="1001"/>
      <c r="F5" s="436" t="s">
        <v>108</v>
      </c>
      <c r="G5" s="436" t="s">
        <v>441</v>
      </c>
      <c r="H5" s="436" t="s">
        <v>419</v>
      </c>
      <c r="I5" s="436" t="s">
        <v>442</v>
      </c>
      <c r="J5" s="435" t="s">
        <v>1251</v>
      </c>
      <c r="K5" s="435" t="s">
        <v>1252</v>
      </c>
      <c r="L5" s="435" t="s">
        <v>1251</v>
      </c>
      <c r="M5" s="435" t="s">
        <v>1252</v>
      </c>
      <c r="N5" s="435" t="s">
        <v>1602</v>
      </c>
      <c r="O5" s="435" t="s">
        <v>1603</v>
      </c>
    </row>
    <row r="6" spans="1:15" x14ac:dyDescent="0.2">
      <c r="A6" s="437"/>
      <c r="B6" s="437"/>
      <c r="C6" s="438"/>
      <c r="D6" s="438"/>
      <c r="E6" s="438"/>
      <c r="F6" s="438"/>
      <c r="G6" s="438"/>
      <c r="H6" s="438"/>
      <c r="I6" s="438"/>
      <c r="J6" s="437"/>
      <c r="K6" s="437"/>
      <c r="L6" s="437"/>
      <c r="M6" s="437"/>
      <c r="N6" s="437"/>
      <c r="O6" s="437"/>
    </row>
    <row r="7" spans="1:15" x14ac:dyDescent="0.2">
      <c r="A7" s="439">
        <v>1</v>
      </c>
      <c r="B7" s="437" t="s">
        <v>627</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629</v>
      </c>
      <c r="C8" s="438" t="s">
        <v>231</v>
      </c>
      <c r="D8" s="438"/>
      <c r="E8" s="684">
        <v>289.35500000000002</v>
      </c>
      <c r="F8" s="438"/>
      <c r="G8" s="438" t="s">
        <v>650</v>
      </c>
      <c r="H8" s="438" t="s">
        <v>650</v>
      </c>
      <c r="I8" s="438"/>
      <c r="J8" s="452">
        <v>135.47499999999999</v>
      </c>
      <c r="K8" s="452"/>
      <c r="L8" s="452">
        <v>126.578</v>
      </c>
      <c r="M8" s="437"/>
      <c r="N8" s="775">
        <v>126.578</v>
      </c>
      <c r="O8" s="437" t="s">
        <v>276</v>
      </c>
    </row>
    <row r="9" spans="1:15" x14ac:dyDescent="0.2">
      <c r="A9" s="439">
        <v>3</v>
      </c>
      <c r="B9" s="437" t="s">
        <v>631</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632</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633</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634</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1253</v>
      </c>
      <c r="G17" s="438" t="s">
        <v>1253</v>
      </c>
      <c r="H17" s="438" t="s">
        <v>1253</v>
      </c>
      <c r="I17" s="438" t="s">
        <v>1253</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1255</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1257</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1258</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1259</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1254</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1260</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1256</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1261</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1261</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666</v>
      </c>
      <c r="C80" s="438" t="s">
        <v>231</v>
      </c>
      <c r="D80" s="438" t="s">
        <v>1261</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1261</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1261</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1254</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667</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668</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669</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670</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671</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672</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673</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674</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675</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676</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677</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678</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679</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680</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653</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653</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681</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682</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683</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684</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685</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686</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687</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688</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689</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690</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691</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692</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693</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694</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695</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696</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697</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698</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699</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700</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701</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702</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703</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704</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705</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706</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707</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708</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709</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710</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711</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712</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713</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714</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715</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716</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717</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718</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719</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720</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721</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722</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723</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724</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725</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726</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727</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728</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729</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730</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731</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732</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733</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734</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735</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736</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737</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738</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739</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743</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744</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745</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746</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747</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748</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749</v>
      </c>
      <c r="C194" s="442" t="s">
        <v>20</v>
      </c>
      <c r="D194" s="437"/>
      <c r="E194" s="449"/>
      <c r="F194" s="439">
        <v>0</v>
      </c>
      <c r="G194" s="439">
        <v>0</v>
      </c>
      <c r="H194" s="439">
        <v>0</v>
      </c>
      <c r="I194" s="439">
        <v>0</v>
      </c>
      <c r="J194" s="453">
        <v>64.033000000000001</v>
      </c>
      <c r="K194" s="452"/>
      <c r="L194" s="452">
        <v>20.988</v>
      </c>
      <c r="M194" s="437"/>
      <c r="N194" s="439">
        <v>20.988</v>
      </c>
      <c r="O194" s="437" t="s">
        <v>1266</v>
      </c>
    </row>
    <row r="195" spans="1:15" ht="15" customHeight="1" x14ac:dyDescent="0.2">
      <c r="A195" s="439">
        <v>189</v>
      </c>
      <c r="B195" s="442" t="s">
        <v>750</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1266</v>
      </c>
    </row>
    <row r="196" spans="1:15" ht="15" customHeight="1" x14ac:dyDescent="0.2">
      <c r="A196" s="439">
        <v>190</v>
      </c>
      <c r="B196" s="442" t="s">
        <v>751</v>
      </c>
      <c r="C196" s="442" t="s">
        <v>231</v>
      </c>
      <c r="D196" s="437"/>
      <c r="E196" s="449"/>
      <c r="F196" s="439">
        <v>0</v>
      </c>
      <c r="G196" s="439">
        <v>0</v>
      </c>
      <c r="H196" s="439">
        <v>0</v>
      </c>
      <c r="I196" s="439">
        <v>0</v>
      </c>
      <c r="J196" s="453">
        <v>165.446</v>
      </c>
      <c r="K196" s="452"/>
      <c r="L196" s="452">
        <v>77.471999999999994</v>
      </c>
      <c r="M196" s="437"/>
      <c r="N196" s="439">
        <v>77.408000000000001</v>
      </c>
      <c r="O196" s="437" t="s">
        <v>1267</v>
      </c>
    </row>
    <row r="197" spans="1:15" ht="15" customHeight="1" x14ac:dyDescent="0.2">
      <c r="A197" s="439">
        <v>191</v>
      </c>
      <c r="B197" s="442" t="s">
        <v>752</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1267</v>
      </c>
    </row>
    <row r="198" spans="1:15" ht="15" customHeight="1" x14ac:dyDescent="0.2">
      <c r="A198" s="439">
        <v>192</v>
      </c>
      <c r="B198" s="442" t="s">
        <v>753</v>
      </c>
      <c r="C198" s="442" t="s">
        <v>20</v>
      </c>
      <c r="D198" s="437"/>
      <c r="E198" s="449"/>
      <c r="F198" s="439">
        <v>0</v>
      </c>
      <c r="G198" s="439">
        <v>1</v>
      </c>
      <c r="H198" s="439">
        <v>0</v>
      </c>
      <c r="I198" s="439">
        <v>0</v>
      </c>
      <c r="J198" s="453">
        <v>118.95</v>
      </c>
      <c r="K198" s="452"/>
      <c r="L198" s="452">
        <v>69.341999999999999</v>
      </c>
      <c r="M198" s="437"/>
      <c r="N198" s="439">
        <v>68.908000000000001</v>
      </c>
      <c r="O198" s="437" t="s">
        <v>1266</v>
      </c>
    </row>
    <row r="199" spans="1:15" ht="15" customHeight="1" x14ac:dyDescent="0.2">
      <c r="A199" s="439">
        <v>193</v>
      </c>
      <c r="B199" s="442" t="s">
        <v>95</v>
      </c>
      <c r="C199" s="442" t="s">
        <v>869</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1266</v>
      </c>
    </row>
    <row r="201" spans="1:15" ht="15" customHeight="1" x14ac:dyDescent="0.2">
      <c r="A201" s="439">
        <v>195</v>
      </c>
      <c r="B201" s="442" t="s">
        <v>755</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1266</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759</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1266</v>
      </c>
    </row>
    <row r="205" spans="1:15" ht="15" customHeight="1" x14ac:dyDescent="0.2">
      <c r="A205" s="439">
        <v>199</v>
      </c>
      <c r="B205" s="442" t="s">
        <v>760</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761</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763</v>
      </c>
      <c r="C207" s="442" t="s">
        <v>232</v>
      </c>
      <c r="D207" s="437"/>
      <c r="E207" s="449"/>
      <c r="F207" s="439">
        <v>0</v>
      </c>
      <c r="G207" s="439">
        <v>0</v>
      </c>
      <c r="H207" s="439">
        <v>2</v>
      </c>
      <c r="I207" s="439">
        <v>0</v>
      </c>
      <c r="J207" s="453">
        <v>609.4</v>
      </c>
      <c r="K207" s="452"/>
      <c r="L207" s="453">
        <v>443.00200000000001</v>
      </c>
      <c r="M207" s="437"/>
      <c r="N207" s="439">
        <v>442.55</v>
      </c>
      <c r="O207" s="437" t="s">
        <v>1268</v>
      </c>
    </row>
    <row r="208" spans="1:15" ht="15" customHeight="1" x14ac:dyDescent="0.2">
      <c r="A208" s="439">
        <v>202</v>
      </c>
      <c r="B208" s="442" t="s">
        <v>764</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770</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1266</v>
      </c>
    </row>
    <row r="210" spans="1:15" ht="15" customHeight="1" x14ac:dyDescent="0.2">
      <c r="A210" s="439">
        <v>204</v>
      </c>
      <c r="B210" s="442" t="s">
        <v>780</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1266</v>
      </c>
    </row>
    <row r="211" spans="1:15" ht="15" customHeight="1" x14ac:dyDescent="0.2">
      <c r="A211" s="439">
        <v>205</v>
      </c>
      <c r="B211" s="442" t="s">
        <v>786</v>
      </c>
      <c r="C211" s="442" t="s">
        <v>233</v>
      </c>
      <c r="D211" s="442"/>
      <c r="E211" s="450"/>
      <c r="F211" s="442">
        <v>0</v>
      </c>
      <c r="G211" s="442">
        <v>0</v>
      </c>
      <c r="H211" s="442">
        <v>0</v>
      </c>
      <c r="I211" s="442">
        <v>1</v>
      </c>
      <c r="J211" s="453">
        <v>237.78</v>
      </c>
      <c r="K211" s="453"/>
      <c r="L211" s="453">
        <v>155.44900000000001</v>
      </c>
      <c r="M211" s="437"/>
      <c r="N211" s="439">
        <v>154.809</v>
      </c>
      <c r="O211" s="437" t="s">
        <v>1266</v>
      </c>
    </row>
    <row r="212" spans="1:15" ht="15" customHeight="1" x14ac:dyDescent="0.2">
      <c r="A212" s="439">
        <v>206</v>
      </c>
      <c r="B212" s="442" t="s">
        <v>787</v>
      </c>
      <c r="C212" s="442" t="s">
        <v>232</v>
      </c>
      <c r="D212" s="442"/>
      <c r="E212" s="450"/>
      <c r="F212" s="442">
        <v>1</v>
      </c>
      <c r="G212" s="442">
        <v>2</v>
      </c>
      <c r="H212" s="442">
        <v>1</v>
      </c>
      <c r="I212" s="442">
        <v>0</v>
      </c>
      <c r="J212" s="453">
        <v>139.24199999999999</v>
      </c>
      <c r="K212" s="453"/>
      <c r="L212" s="453">
        <v>18.852</v>
      </c>
      <c r="M212" s="437"/>
      <c r="N212" s="439">
        <v>18.852</v>
      </c>
      <c r="O212" s="437" t="s">
        <v>1266</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1266</v>
      </c>
    </row>
    <row r="214" spans="1:15" ht="15" customHeight="1" x14ac:dyDescent="0.2">
      <c r="A214" s="439">
        <v>208</v>
      </c>
      <c r="B214" s="442" t="s">
        <v>790</v>
      </c>
      <c r="C214" s="442" t="s">
        <v>20</v>
      </c>
      <c r="D214" s="442"/>
      <c r="E214" s="450"/>
      <c r="F214" s="442">
        <v>0</v>
      </c>
      <c r="G214" s="442">
        <v>0</v>
      </c>
      <c r="H214" s="442">
        <v>1</v>
      </c>
      <c r="I214" s="442">
        <v>2</v>
      </c>
      <c r="J214" s="453">
        <v>200.38800000000001</v>
      </c>
      <c r="K214" s="453"/>
      <c r="L214" s="453">
        <v>135.911</v>
      </c>
      <c r="M214" s="437"/>
      <c r="N214" s="439">
        <v>135.89500000000001</v>
      </c>
      <c r="O214" s="437" t="s">
        <v>1267</v>
      </c>
    </row>
    <row r="215" spans="1:15" ht="15" customHeight="1" x14ac:dyDescent="0.2">
      <c r="A215" s="439">
        <v>209</v>
      </c>
      <c r="B215" s="442" t="s">
        <v>791</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793</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794</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1266</v>
      </c>
    </row>
    <row r="218" spans="1:15" ht="15" customHeight="1" x14ac:dyDescent="0.2">
      <c r="A218" s="439">
        <v>212</v>
      </c>
      <c r="B218" s="442" t="s">
        <v>795</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1266</v>
      </c>
    </row>
    <row r="220" spans="1:15" ht="15" customHeight="1" x14ac:dyDescent="0.2">
      <c r="A220" s="439">
        <v>214</v>
      </c>
      <c r="B220" s="442" t="s">
        <v>803</v>
      </c>
      <c r="C220" s="442" t="s">
        <v>20</v>
      </c>
      <c r="D220" s="442"/>
      <c r="E220" s="450"/>
      <c r="F220" s="442">
        <v>0</v>
      </c>
      <c r="G220" s="442">
        <v>0</v>
      </c>
      <c r="H220" s="442">
        <v>0</v>
      </c>
      <c r="I220" s="442">
        <v>0</v>
      </c>
      <c r="J220" s="453">
        <v>173.68299999999999</v>
      </c>
      <c r="K220" s="453"/>
      <c r="L220" s="453">
        <v>140.624</v>
      </c>
      <c r="M220" s="437"/>
      <c r="N220" s="439">
        <v>140.608</v>
      </c>
      <c r="O220" s="437" t="s">
        <v>1266</v>
      </c>
    </row>
    <row r="221" spans="1:15" ht="15" customHeight="1" x14ac:dyDescent="0.2">
      <c r="A221" s="443">
        <v>215</v>
      </c>
      <c r="B221" s="443" t="s">
        <v>805</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2" t="s">
        <v>1590</v>
      </c>
      <c r="B2" s="1002"/>
      <c r="C2" s="1002"/>
      <c r="D2" s="1002"/>
      <c r="E2" s="1002"/>
      <c r="F2" s="1002"/>
    </row>
    <row r="3" spans="1:14" s="600" customFormat="1" x14ac:dyDescent="0.25">
      <c r="A3" s="467" t="s">
        <v>303</v>
      </c>
      <c r="B3" s="467" t="s">
        <v>1530</v>
      </c>
      <c r="C3" s="468" t="s">
        <v>1288</v>
      </c>
      <c r="D3" s="468" t="s">
        <v>1523</v>
      </c>
      <c r="E3" s="468" t="s">
        <v>1276</v>
      </c>
      <c r="F3" s="468" t="s">
        <v>1277</v>
      </c>
    </row>
    <row r="4" spans="1:14" x14ac:dyDescent="0.25">
      <c r="A4" s="463">
        <v>1</v>
      </c>
      <c r="B4" s="1003" t="s">
        <v>295</v>
      </c>
      <c r="C4" s="461" t="s">
        <v>1272</v>
      </c>
      <c r="D4" s="461" t="s">
        <v>1273</v>
      </c>
      <c r="E4" s="461" t="s">
        <v>1278</v>
      </c>
      <c r="F4" s="463">
        <v>7082518194</v>
      </c>
    </row>
    <row r="5" spans="1:14" x14ac:dyDescent="0.25">
      <c r="A5" s="463">
        <v>2</v>
      </c>
      <c r="B5" s="1004"/>
      <c r="C5" s="462" t="s">
        <v>1524</v>
      </c>
      <c r="D5" s="461" t="s">
        <v>1656</v>
      </c>
      <c r="E5" s="461" t="s">
        <v>1279</v>
      </c>
      <c r="F5" s="463">
        <v>9451783340</v>
      </c>
    </row>
    <row r="6" spans="1:14" x14ac:dyDescent="0.25">
      <c r="A6" s="463">
        <v>3</v>
      </c>
      <c r="B6" s="1004"/>
      <c r="C6" s="462" t="s">
        <v>1525</v>
      </c>
      <c r="D6" s="462" t="s">
        <v>1655</v>
      </c>
      <c r="E6" s="654"/>
      <c r="F6" s="463"/>
    </row>
    <row r="7" spans="1:14" x14ac:dyDescent="0.25">
      <c r="A7" s="463">
        <v>4</v>
      </c>
      <c r="B7" s="1004"/>
      <c r="C7" s="462" t="s">
        <v>1518</v>
      </c>
      <c r="D7" s="462" t="s">
        <v>1281</v>
      </c>
      <c r="E7" s="461" t="s">
        <v>1280</v>
      </c>
      <c r="F7" s="463">
        <v>8295788759</v>
      </c>
    </row>
    <row r="8" spans="1:14" x14ac:dyDescent="0.25">
      <c r="A8" s="463">
        <v>5</v>
      </c>
      <c r="B8" s="1004"/>
      <c r="C8" s="462" t="s">
        <v>1521</v>
      </c>
      <c r="D8" s="462" t="s">
        <v>1519</v>
      </c>
      <c r="E8" s="461" t="s">
        <v>1526</v>
      </c>
      <c r="F8" s="463">
        <v>6005356903</v>
      </c>
      <c r="N8" s="641"/>
    </row>
    <row r="9" spans="1:14" x14ac:dyDescent="0.25">
      <c r="A9" s="463">
        <v>6</v>
      </c>
      <c r="B9" s="1004"/>
      <c r="C9" s="462" t="s">
        <v>1529</v>
      </c>
      <c r="D9" s="462" t="s">
        <v>1520</v>
      </c>
      <c r="E9" s="461" t="s">
        <v>1527</v>
      </c>
      <c r="F9" s="463">
        <v>9998643264</v>
      </c>
    </row>
    <row r="10" spans="1:14" x14ac:dyDescent="0.25">
      <c r="A10" s="463">
        <v>7</v>
      </c>
      <c r="B10" s="1003" t="s">
        <v>292</v>
      </c>
      <c r="C10" s="461" t="s">
        <v>1272</v>
      </c>
      <c r="D10" s="461" t="s">
        <v>1273</v>
      </c>
      <c r="E10" s="461" t="s">
        <v>1278</v>
      </c>
      <c r="F10" s="463">
        <v>7082518194</v>
      </c>
    </row>
    <row r="11" spans="1:14" x14ac:dyDescent="0.25">
      <c r="A11" s="463">
        <v>8</v>
      </c>
      <c r="B11" s="1004"/>
      <c r="C11" s="462" t="s">
        <v>1524</v>
      </c>
      <c r="D11" s="461" t="s">
        <v>1656</v>
      </c>
      <c r="E11" s="461" t="s">
        <v>1279</v>
      </c>
      <c r="F11" s="463">
        <v>9451783340</v>
      </c>
    </row>
    <row r="12" spans="1:14" x14ac:dyDescent="0.25">
      <c r="A12" s="463">
        <v>9</v>
      </c>
      <c r="B12" s="1004"/>
      <c r="C12" s="462" t="s">
        <v>1528</v>
      </c>
      <c r="D12" s="462" t="s">
        <v>1655</v>
      </c>
      <c r="E12" s="654"/>
      <c r="F12" s="463"/>
    </row>
    <row r="13" spans="1:14" x14ac:dyDescent="0.25">
      <c r="A13" s="463">
        <v>10</v>
      </c>
      <c r="B13" s="1004"/>
      <c r="C13" s="462" t="s">
        <v>1518</v>
      </c>
      <c r="D13" s="462" t="s">
        <v>1281</v>
      </c>
      <c r="E13" s="461" t="s">
        <v>1280</v>
      </c>
      <c r="F13" s="463">
        <v>8295788759</v>
      </c>
    </row>
    <row r="14" spans="1:14" x14ac:dyDescent="0.25">
      <c r="A14" s="463">
        <v>11</v>
      </c>
      <c r="B14" s="1004"/>
      <c r="C14" s="462" t="s">
        <v>1521</v>
      </c>
      <c r="D14" s="462" t="s">
        <v>1519</v>
      </c>
      <c r="E14" s="461" t="s">
        <v>1526</v>
      </c>
      <c r="F14" s="463">
        <v>6005356903</v>
      </c>
    </row>
    <row r="15" spans="1:14" x14ac:dyDescent="0.25">
      <c r="A15" s="463">
        <v>12</v>
      </c>
      <c r="B15" s="1004"/>
      <c r="C15" s="462" t="s">
        <v>1522</v>
      </c>
      <c r="D15" s="462" t="s">
        <v>1520</v>
      </c>
      <c r="E15" s="461" t="s">
        <v>1527</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2026-01-29T12:03:04Z</cp:lastPrinted>
  <dcterms:created xsi:type="dcterms:W3CDTF">2017-11-14T07:50:18Z</dcterms:created>
  <dcterms:modified xsi:type="dcterms:W3CDTF">2026-02-02T13:08:15Z</dcterms:modified>
</cp:coreProperties>
</file>