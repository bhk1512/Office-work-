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E4F12D87-17EC-4CBC-AB7E-981BA611AC74}" xr6:coauthVersionLast="47" xr6:coauthVersionMax="47" xr10:uidLastSave="{00000000-0000-0000-0000-000000000000}"/>
  <bookViews>
    <workbookView xWindow="-120" yWindow="-120" windowWidth="20730" windowHeight="11160" tabRatio="94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DETAILS'!$A$5:$G$28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57" l="1"/>
  <c r="J29" i="57"/>
  <c r="M26" i="57"/>
  <c r="M27" i="57"/>
  <c r="K24" i="44"/>
  <c r="I24" i="44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C661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5" i="56" l="1"/>
  <c r="AP15" i="56" s="1"/>
  <c r="AJ12" i="56" l="1"/>
  <c r="AP12" i="56" s="1"/>
  <c r="AJ14" i="56" l="1"/>
  <c r="AP14" i="56" s="1"/>
</calcChain>
</file>

<file path=xl/sharedStrings.xml><?xml version="1.0" encoding="utf-8"?>
<sst xmlns="http://schemas.openxmlformats.org/spreadsheetml/2006/main" count="7003" uniqueCount="1128">
  <si>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</si>
  <si>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</si>
  <si>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</si>
  <si>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</si>
  <si>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</si>
  <si>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</si>
  <si>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</si>
  <si>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</si>
  <si>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</si>
  <si>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</si>
  <si>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</si>
  <si>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</si>
  <si>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</si>
  <si>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</si>
  <si>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</si>
  <si>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</si>
  <si>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</si>
  <si>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</si>
  <si>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</si>
  <si>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</si>
  <si>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</si>
  <si>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</si>
  <si>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</si>
  <si>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</si>
  <si>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</si>
  <si>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</si>
  <si>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</si>
  <si>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</si>
  <si>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</si>
  <si>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</si>
  <si>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</si>
  <si>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</si>
  <si>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</si>
  <si>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</si>
  <si>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</si>
  <si>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</si>
  <si>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</si>
  <si>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</si>
  <si>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</si>
  <si>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</si>
  <si>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</si>
  <si>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</si>
  <si>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</si>
  <si>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</si>
  <si>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</si>
  <si>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</si>
  <si>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</si>
  <si>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</si>
  <si>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</si>
  <si>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</si>
  <si>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</si>
  <si>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</si>
  <si>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</si>
  <si>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</si>
  <si>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</si>
  <si>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</si>
  <si>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</si>
  <si>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</si>
  <si>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</si>
  <si>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</si>
  <si>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</si>
  <si>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</si>
  <si>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</si>
  <si>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</si>
  <si>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</si>
  <si>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</si>
  <si>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</si>
  <si>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</si>
  <si>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</si>
  <si>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</si>
  <si>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</si>
  <si>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</si>
  <si>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</si>
  <si>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</si>
  <si>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</si>
  <si>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</si>
  <si>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</si>
  <si>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</si>
  <si>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</si>
  <si>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</si>
  <si>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</si>
  <si>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</si>
  <si>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</si>
  <si>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</si>
  <si>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</si>
  <si>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</si>
  <si>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</si>
  <si>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</si>
  <si>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</si>
  <si>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</si>
  <si>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</si>
  <si>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</si>
  <si>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</si>
  <si>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</si>
  <si>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</si>
  <si>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</si>
  <si>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</si>
  <si>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</si>
  <si>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</si>
  <si>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</si>
  <si>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</si>
  <si>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</si>
  <si>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</si>
  <si>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</si>
  <si>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</si>
  <si>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</si>
  <si>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</si>
  <si>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</si>
  <si>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</si>
  <si>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</si>
  <si>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</si>
  <si>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</si>
  <si>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</si>
  <si>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</si>
  <si>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</si>
  <si>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</si>
  <si>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</si>
  <si>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</si>
  <si>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</si>
  <si>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</si>
  <si>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</si>
  <si>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</si>
  <si>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</si>
  <si>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</si>
  <si>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</si>
  <si>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</si>
  <si>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</si>
  <si>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</si>
  <si>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</si>
  <si>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</si>
  <si>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</si>
  <si>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</si>
  <si>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</si>
  <si>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</si>
  <si>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</si>
  <si>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</si>
  <si>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</si>
  <si>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</si>
  <si>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</si>
  <si>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</si>
  <si>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</si>
  <si>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</si>
  <si>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</si>
  <si>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</si>
  <si>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</si>
  <si>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</si>
  <si>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</si>
  <si>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</si>
  <si>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</si>
  <si>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</si>
  <si>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</si>
  <si>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</si>
  <si>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</si>
  <si>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</si>
  <si>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</si>
  <si>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</si>
  <si>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</si>
  <si>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</si>
  <si>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</si>
  <si>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</si>
  <si>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</si>
  <si>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</si>
  <si>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</si>
  <si>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</si>
  <si>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</si>
  <si>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</si>
  <si>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</si>
  <si>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</si>
  <si>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</si>
  <si>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</si>
  <si>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</si>
  <si>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</si>
  <si>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</si>
  <si>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</si>
  <si>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</si>
  <si>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</si>
  <si>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</si>
  <si>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</si>
  <si>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</si>
  <si>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</si>
  <si>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</si>
  <si>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</si>
  <si>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</si>
  <si>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</si>
  <si>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</si>
  <si>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</si>
  <si>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</si>
  <si>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</si>
  <si>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</si>
  <si>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</si>
  <si>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</si>
  <si>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</si>
  <si>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</si>
  <si>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</si>
  <si>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</si>
  <si>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</si>
  <si>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</si>
  <si>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</si>
  <si>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</si>
  <si>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</si>
  <si>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</si>
  <si>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</si>
  <si>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</si>
  <si>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</si>
  <si>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</si>
  <si>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</si>
  <si>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</si>
  <si>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</si>
  <si>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</si>
  <si>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</si>
  <si>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</si>
  <si>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</si>
  <si>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</si>
  <si>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</si>
  <si>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</si>
  <si>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</si>
  <si>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</si>
  <si>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</si>
  <si>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</si>
  <si>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</si>
  <si>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</si>
  <si>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</si>
  <si>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</si>
  <si>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</si>
  <si>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</si>
  <si>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</si>
  <si>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</si>
  <si>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</si>
  <si>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</si>
  <si>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</si>
  <si>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</si>
  <si>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</si>
  <si>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</si>
  <si>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</si>
  <si>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</si>
  <si>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</si>
  <si>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</si>
  <si>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</si>
  <si>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</si>
  <si>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</si>
  <si>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</si>
  <si>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</si>
  <si>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</si>
  <si>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</si>
  <si>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</si>
  <si>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</si>
  <si>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</si>
  <si>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</si>
  <si>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</si>
  <si>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</si>
  <si>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</si>
  <si>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</si>
  <si>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</si>
  <si>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</si>
  <si>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</si>
  <si>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</si>
  <si>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</si>
  <si>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</si>
  <si>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</si>
  <si>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</si>
  <si>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</si>
  <si>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</si>
  <si>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</si>
  <si>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</si>
  <si>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</si>
  <si>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</si>
  <si>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</si>
  <si>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</si>
  <si>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</si>
  <si>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</si>
  <si>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</si>
  <si>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</si>
  <si>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</si>
  <si>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</si>
  <si>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</si>
  <si>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</si>
  <si>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</si>
  <si>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</si>
  <si>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</si>
  <si>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</si>
  <si>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</si>
  <si>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</si>
  <si>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</si>
  <si>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</si>
  <si>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</si>
  <si>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</si>
  <si>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</si>
  <si>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</si>
  <si>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</si>
  <si>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</si>
  <si>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</si>
  <si>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</si>
  <si>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</si>
  <si>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</si>
  <si>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</si>
  <si>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</si>
  <si>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</si>
  <si>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</si>
  <si>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</si>
  <si>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</si>
  <si>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</si>
  <si>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</si>
  <si>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</si>
  <si>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</si>
  <si>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</si>
  <si>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</si>
  <si>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</si>
  <si>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</si>
  <si>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</si>
  <si>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</si>
  <si>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</si>
  <si>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</si>
  <si>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</si>
  <si>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</si>
  <si>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</si>
  <si>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</si>
  <si>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</si>
  <si>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</si>
  <si>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</si>
  <si>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</si>
  <si>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</si>
  <si>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</si>
  <si>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</si>
  <si>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</si>
  <si>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</si>
  <si>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</si>
  <si>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</si>
  <si>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</si>
  <si>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</si>
  <si>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</si>
  <si>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</si>
  <si>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</si>
  <si>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</si>
  <si>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</si>
  <si>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</si>
  <si>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</si>
  <si>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</si>
  <si>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</si>
  <si>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</si>
  <si>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</si>
  <si>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</si>
  <si>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</si>
  <si>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</si>
  <si>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</si>
  <si>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</si>
  <si>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</si>
  <si>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</si>
  <si>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</si>
  <si>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</si>
  <si>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</si>
  <si>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</si>
  <si>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</si>
  <si>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</si>
  <si>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</si>
  <si>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</si>
  <si>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</si>
  <si>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</si>
  <si>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</si>
  <si>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</si>
  <si>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</si>
  <si>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</si>
  <si>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</si>
  <si>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</si>
  <si>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</si>
  <si>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</si>
  <si>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</si>
  <si>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</si>
  <si>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</si>
  <si>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</si>
  <si>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</si>
  <si>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</si>
  <si>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</si>
  <si>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</si>
  <si>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</si>
  <si>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</si>
  <si>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</si>
  <si>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</si>
  <si>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</si>
  <si>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</si>
  <si>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</si>
  <si>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</si>
  <si>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</si>
  <si>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</si>
  <si>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</si>
  <si>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</si>
  <si>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</si>
  <si>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</si>
  <si>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</si>
  <si>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</si>
  <si>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</si>
  <si>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</si>
  <si>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</si>
  <si>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</si>
  <si>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</si>
  <si>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</si>
  <si>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</si>
  <si>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</si>
  <si>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</si>
  <si>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</si>
  <si>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</si>
  <si>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</si>
  <si>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</si>
  <si>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</si>
  <si>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</si>
  <si>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</si>
  <si>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</si>
  <si>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</si>
  <si>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</si>
  <si>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</si>
  <si>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</si>
  <si>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</si>
  <si>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</si>
  <si>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</si>
  <si>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</si>
  <si>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</si>
  <si>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</si>
  <si>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</si>
  <si>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</si>
  <si>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</si>
  <si>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</si>
  <si>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</si>
  <si>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</si>
  <si>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</si>
  <si>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</si>
  <si>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</si>
  <si>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</si>
  <si>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</si>
  <si>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</si>
  <si>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</si>
  <si>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</si>
  <si>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</si>
  <si>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</si>
  <si>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</si>
  <si>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</si>
  <si>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</si>
  <si>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</si>
  <si>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</si>
  <si>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</si>
  <si>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</si>
  <si>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</si>
  <si>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</si>
  <si>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</si>
  <si>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</si>
  <si>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</si>
  <si>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</si>
  <si>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</si>
  <si>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</si>
  <si>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</si>
  <si>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</si>
  <si>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</si>
  <si>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</si>
  <si>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</si>
  <si>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</si>
  <si>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</si>
  <si>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</si>
  <si>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</si>
  <si>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</si>
  <si>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</si>
  <si>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</si>
  <si>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</si>
  <si>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</si>
  <si>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</si>
  <si>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</si>
  <si>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</si>
  <si>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</si>
  <si>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</si>
  <si>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</si>
  <si>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</si>
  <si>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</si>
  <si>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</si>
  <si>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</si>
  <si>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</si>
  <si>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</si>
  <si>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</si>
  <si>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</si>
  <si>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</si>
  <si>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</si>
  <si>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</si>
  <si>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</si>
  <si>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</si>
  <si>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</si>
  <si>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</si>
  <si>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</si>
  <si>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</si>
  <si>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</si>
  <si>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</si>
  <si>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</si>
  <si>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</si>
  <si>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</si>
  <si>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</si>
  <si>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</si>
  <si>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</si>
  <si>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</si>
  <si>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</si>
  <si>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</si>
  <si>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</si>
  <si>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</si>
  <si>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</si>
  <si>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</si>
  <si>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</si>
  <si>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</si>
  <si>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</si>
  <si>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</si>
  <si>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</si>
  <si>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</si>
  <si>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</si>
  <si>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</si>
  <si>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</si>
  <si>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</si>
  <si>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</si>
  <si>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</si>
  <si>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</si>
  <si>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</si>
  <si>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</si>
  <si>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</si>
  <si>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</si>
  <si>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</si>
  <si>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</si>
  <si>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</si>
  <si>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</si>
  <si>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</si>
  <si>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</si>
  <si>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</si>
  <si>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</si>
  <si>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</si>
  <si>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</si>
  <si>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</si>
  <si>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</si>
  <si>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</si>
  <si>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</si>
  <si>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</si>
  <si>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</si>
  <si>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</si>
  <si>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</si>
  <si>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</si>
  <si>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</si>
  <si>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</si>
  <si>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</si>
  <si>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</si>
  <si>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</si>
  <si>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</si>
  <si>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</si>
  <si>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</si>
  <si>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</si>
  <si>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</si>
  <si>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</si>
  <si>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</si>
  <si>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</si>
  <si>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</si>
  <si>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</si>
  <si>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</si>
  <si>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</si>
  <si>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</si>
  <si>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</si>
  <si>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</si>
  <si>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</si>
  <si>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</si>
  <si>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</si>
  <si>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</si>
  <si>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</si>
  <si>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</si>
  <si>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</si>
  <si>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</si>
  <si>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</si>
  <si>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</si>
  <si>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</si>
  <si>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</si>
  <si>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</si>
  <si>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</si>
  <si>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</si>
  <si>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</si>
  <si>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</si>
  <si>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</si>
  <si>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</si>
  <si>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</si>
  <si>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</si>
  <si>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</si>
  <si>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</si>
  <si>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</si>
  <si>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</si>
  <si>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</si>
  <si>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</si>
  <si>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</si>
  <si>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</si>
  <si>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</si>
  <si>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</si>
  <si>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</si>
  <si>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</si>
  <si>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</si>
  <si>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</si>
  <si>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</si>
  <si>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</si>
  <si>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</si>
  <si>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</si>
  <si>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</si>
  <si>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</si>
  <si>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</si>
  <si>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</si>
  <si>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</si>
  <si>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</si>
  <si>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</si>
  <si>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</si>
  <si>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</si>
  <si>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</si>
  <si>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</si>
  <si>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</si>
  <si>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</si>
  <si>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</si>
  <si>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</si>
  <si>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</si>
  <si>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</si>
  <si>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</si>
  <si>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</si>
  <si>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</si>
  <si>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</si>
  <si>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</si>
  <si>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</si>
  <si>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</si>
  <si>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</si>
  <si>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</si>
  <si>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</si>
  <si>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</si>
  <si>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</si>
  <si>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</si>
  <si>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</si>
  <si>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</si>
  <si>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</si>
  <si>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</si>
  <si>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</si>
  <si>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</si>
  <si>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</si>
  <si>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</si>
  <si>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</si>
  <si>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</si>
  <si>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</si>
  <si>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</si>
  <si>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</si>
  <si>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</si>
  <si>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</si>
  <si>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</si>
  <si>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</si>
  <si>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</si>
  <si>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</si>
  <si>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</si>
  <si>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</si>
  <si>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</si>
  <si>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</si>
  <si>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</si>
  <si>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</si>
  <si>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</si>
  <si>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</si>
  <si>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</si>
  <si>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</si>
  <si>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</si>
  <si>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</si>
  <si>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</si>
  <si>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</si>
  <si>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</si>
  <si>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</si>
  <si>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</si>
  <si>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</si>
  <si>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</si>
  <si>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</si>
  <si>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</si>
  <si>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</si>
  <si>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</si>
  <si>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</si>
  <si>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</si>
  <si>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</si>
  <si>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</si>
  <si>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</si>
  <si>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</si>
  <si>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</si>
  <si>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</si>
  <si>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</si>
  <si>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</si>
  <si>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</si>
  <si>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</si>
  <si>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</si>
  <si>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</si>
  <si>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</si>
  <si>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</si>
  <si>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</si>
  <si>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</si>
  <si>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</si>
  <si>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</si>
  <si>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</si>
  <si>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</si>
  <si>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</si>
  <si>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</si>
  <si>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</si>
  <si>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</si>
  <si>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</si>
  <si>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</si>
  <si>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</si>
  <si>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</si>
  <si>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</si>
  <si>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</si>
  <si>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</si>
  <si>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</si>
  <si>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</si>
  <si>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</si>
  <si>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</si>
  <si>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</si>
  <si>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</si>
  <si>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</si>
  <si>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</si>
  <si>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</si>
  <si>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</si>
  <si>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</si>
  <si>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</si>
  <si>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</si>
  <si>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</si>
  <si>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</si>
  <si>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</si>
  <si>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</si>
  <si>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</si>
  <si>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</si>
  <si>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</si>
  <si>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</si>
  <si>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</si>
  <si>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</si>
  <si>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</si>
  <si>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</si>
  <si>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</si>
  <si>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</si>
  <si>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</si>
  <si>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</si>
  <si>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</si>
  <si>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</si>
  <si>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</si>
  <si>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</si>
  <si>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</si>
  <si>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</si>
  <si>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</si>
  <si>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</si>
  <si>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</si>
  <si>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</si>
  <si>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</si>
  <si>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</si>
  <si>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</si>
  <si>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</si>
  <si>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</si>
  <si>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</si>
  <si>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</si>
  <si>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</si>
  <si>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</si>
  <si>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</si>
  <si>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</si>
  <si>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</si>
  <si>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</si>
  <si>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</si>
  <si>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</si>
  <si>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</si>
  <si>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</si>
  <si>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</si>
  <si>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</si>
  <si>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</si>
  <si>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</si>
  <si>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</si>
  <si>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</si>
  <si>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</si>
  <si>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</si>
  <si>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</si>
  <si>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</si>
  <si>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</si>
  <si>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</si>
  <si>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</si>
  <si>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</si>
  <si>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</si>
  <si>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</si>
  <si>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</si>
  <si>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</si>
  <si>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</si>
  <si>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</si>
  <si>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</si>
  <si>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</si>
  <si>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</si>
  <si>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</si>
  <si>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</si>
  <si>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</si>
  <si>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</si>
  <si>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</si>
  <si>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</si>
  <si>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</si>
  <si>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</si>
  <si>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</si>
  <si>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</si>
  <si>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</si>
  <si>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</si>
  <si>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</si>
  <si>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</si>
  <si>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</si>
  <si>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</si>
  <si>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</si>
  <si>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</si>
  <si>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</si>
  <si>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</si>
  <si>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</si>
  <si>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</si>
  <si>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</si>
  <si>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</si>
  <si>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</si>
  <si>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</si>
  <si>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</si>
  <si>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</si>
  <si>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</si>
  <si>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</si>
  <si>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</si>
  <si>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</si>
  <si>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</si>
  <si>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</si>
  <si>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</si>
  <si>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</si>
  <si>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</si>
  <si>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</si>
  <si>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</si>
  <si>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</si>
  <si>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</si>
  <si>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</si>
  <si>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</si>
  <si>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</si>
  <si>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</si>
  <si>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</si>
  <si>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</si>
  <si>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</si>
  <si>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</si>
  <si>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</si>
  <si>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</si>
  <si>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</si>
  <si>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</si>
  <si>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</si>
  <si>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</si>
  <si>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</si>
  <si>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</si>
  <si>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</si>
  <si>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</si>
  <si>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</si>
  <si>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</si>
  <si>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</si>
  <si>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</si>
  <si>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</si>
  <si>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</si>
  <si>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</si>
  <si>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</si>
  <si>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</si>
  <si>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</si>
  <si>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</si>
  <si>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</si>
  <si>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</si>
  <si>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</si>
  <si>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</si>
  <si>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</si>
  <si>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</si>
  <si>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</si>
  <si>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</si>
  <si>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</si>
  <si>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</si>
  <si>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</si>
  <si>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</si>
  <si>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</si>
  <si>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</si>
  <si>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</si>
  <si>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</si>
  <si>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</si>
  <si>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</si>
  <si>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</si>
  <si>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</si>
  <si>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</si>
  <si>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</si>
  <si>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</si>
  <si>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</si>
  <si>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</si>
  <si>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</si>
  <si>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</si>
  <si>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</si>
  <si>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</si>
  <si>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</si>
  <si>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</si>
  <si>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</si>
  <si>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</si>
  <si>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</si>
  <si>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</si>
  <si>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</si>
  <si>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</si>
  <si>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</si>
  <si>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</si>
  <si>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</si>
  <si>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</si>
  <si>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</si>
  <si>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</si>
  <si>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</si>
  <si>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</si>
  <si>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</si>
  <si>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</si>
  <si>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</si>
  <si>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</si>
  <si>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</si>
  <si>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</si>
  <si>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</si>
  <si>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</si>
  <si>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</si>
  <si>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</si>
  <si>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</si>
  <si>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</si>
  <si>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</si>
  <si>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</si>
  <si>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</si>
  <si>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</si>
  <si>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</si>
  <si>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</si>
  <si>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</si>
  <si>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</si>
  <si>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</si>
  <si>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</si>
  <si>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</si>
  <si>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</si>
  <si>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</si>
  <si>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</si>
  <si>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</si>
  <si>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</si>
  <si>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</si>
  <si>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</si>
  <si>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</si>
  <si>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</si>
  <si>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</si>
  <si>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</si>
  <si>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</si>
  <si>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</si>
  <si>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</si>
  <si>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</si>
  <si>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</si>
  <si>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</si>
  <si>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</si>
  <si>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</si>
  <si>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</si>
  <si>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</si>
  <si>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</si>
  <si>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</si>
  <si>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</si>
  <si>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</si>
  <si>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</si>
  <si>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</si>
  <si>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</si>
  <si>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</si>
  <si>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</si>
  <si>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</si>
  <si>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</si>
  <si>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</si>
  <si>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</si>
  <si>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</si>
  <si>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</si>
  <si>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</si>
  <si>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</si>
  <si>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</si>
  <si>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</si>
  <si>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</si>
  <si>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</si>
  <si>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</si>
  <si>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</si>
  <si>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</si>
  <si>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</si>
  <si>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</si>
  <si>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</si>
  <si>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</si>
  <si>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</si>
  <si>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</si>
  <si>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</si>
  <si>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</si>
  <si>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</si>
  <si>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</si>
  <si>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</si>
  <si>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</si>
  <si>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</si>
  <si>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</si>
  <si>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</si>
  <si>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</si>
  <si>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</si>
  <si>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</si>
  <si>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</si>
  <si>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</si>
  <si>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</si>
  <si>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</si>
  <si>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</si>
  <si>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</si>
  <si>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</si>
  <si>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</si>
  <si>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</si>
  <si>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</si>
  <si>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</si>
  <si>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</si>
  <si>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</si>
  <si>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</si>
  <si>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</si>
  <si>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</si>
  <si>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</si>
  <si>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</si>
  <si>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</si>
  <si>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</si>
  <si>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</si>
  <si>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</si>
  <si>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</si>
  <si>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</si>
  <si>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</si>
  <si>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</si>
  <si>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</si>
  <si>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</si>
  <si>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</si>
  <si>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</si>
  <si>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</si>
  <si>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</si>
  <si>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</si>
  <si>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</si>
  <si>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</si>
  <si>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</si>
  <si>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</si>
  <si>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</si>
  <si>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</si>
  <si>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</si>
  <si>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</si>
  <si>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</si>
  <si>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</si>
  <si>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</si>
  <si>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</si>
  <si>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</si>
  <si>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</si>
  <si>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</si>
  <si>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</si>
  <si>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</si>
  <si>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</si>
  <si>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</si>
  <si>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</si>
  <si>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</si>
  <si>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</si>
  <si>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</si>
  <si>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</si>
  <si>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</si>
  <si>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</si>
  <si>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</si>
  <si>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</si>
  <si>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</si>
  <si>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</si>
  <si>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</si>
  <si>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</si>
  <si>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</si>
  <si>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</si>
  <si>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</si>
  <si>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</si>
  <si>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</si>
  <si>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</si>
  <si>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</si>
  <si>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</si>
  <si>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</si>
  <si>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</si>
  <si>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</si>
  <si>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</si>
  <si>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</si>
  <si>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</si>
  <si>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</si>
  <si>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</si>
  <si>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</si>
  <si>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</si>
  <si>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</si>
  <si>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</si>
  <si>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</si>
  <si>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</si>
  <si>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</si>
  <si>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</si>
  <si>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</si>
  <si>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</si>
  <si>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</si>
  <si>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</si>
  <si>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</si>
  <si>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</si>
  <si>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</si>
  <si>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</si>
  <si>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</si>
  <si>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</si>
  <si>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</si>
  <si>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</si>
  <si>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</si>
  <si>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</si>
  <si>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</si>
  <si>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</si>
  <si>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</si>
  <si>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</si>
  <si>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</si>
  <si>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</si>
  <si>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</si>
  <si>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</si>
  <si>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</si>
  <si>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</si>
  <si>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</si>
  <si>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</si>
  <si>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</si>
  <si>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</si>
  <si>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</si>
  <si>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</si>
  <si>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</si>
  <si>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</si>
  <si>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</si>
  <si>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</si>
  <si>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</si>
  <si>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</si>
  <si>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</si>
  <si>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</si>
  <si>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</si>
  <si>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</si>
  <si>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</si>
  <si>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</si>
  <si>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</si>
  <si>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</si>
  <si>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Gang left side for PGCIL request Chatri Narela line</t>
  </si>
  <si>
    <t>ALORIVA GLOBAL</t>
  </si>
  <si>
    <t>DD2+30</t>
  </si>
  <si>
    <t>Sarvesh Enterprises</t>
  </si>
  <si>
    <t>Gourishankar/MITHILESH</t>
  </si>
  <si>
    <t>wip</t>
  </si>
  <si>
    <t>Final sag wip</t>
  </si>
  <si>
    <t>ROW</t>
  </si>
  <si>
    <t>Paying out WIP</t>
  </si>
  <si>
    <t>30/0-31/0</t>
  </si>
  <si>
    <t>DRUM-14</t>
  </si>
  <si>
    <t>Punam kumari-3</t>
  </si>
  <si>
    <t>DRUM-7</t>
  </si>
  <si>
    <t>12/0-14/0</t>
  </si>
  <si>
    <t xml:space="preserve">Row from last 5 days </t>
  </si>
  <si>
    <t>AP16/0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</si>
</sst>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70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0" fillId="77" borderId="1" xfId="0" applyFill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52" fillId="77" borderId="1" xfId="0" applyFont="1" applyFill="1" applyBorder="1" applyAlignment="1">
      <alignment horizontal="center"/>
    </xf>
    <xf numFmtId="0" fontId="0" fillId="76" borderId="42" xfId="0" applyFill="1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6" fontId="0" fillId="0" borderId="0" xfId="0" quotePrefix="1" applyNumberFormat="1" applyAlignment="1">
      <alignment horizontal="center"/>
    </xf>
    <xf numFmtId="0" fontId="0" fillId="76" borderId="1" xfId="0" applyFill="1" applyBorder="1" applyAlignment="1">
      <alignment horizontal="center"/>
    </xf>
    <xf numFmtId="0" fontId="80" fillId="5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114" fillId="0" borderId="46" xfId="0" applyFont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128" fillId="68" borderId="1" xfId="0" applyFont="1" applyFill="1" applyBorder="1" applyAlignment="1">
      <alignment horizontal="center" vertical="center" wrapText="1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9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280</v>
          </cell>
          <cell r="Q2">
            <v>171</v>
          </cell>
          <cell r="S2">
            <v>69.651573999999982</v>
          </cell>
          <cell r="T2">
            <v>59.405470000000008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tabSelected="1" workbookViewId="0">
      <selection activeCell="C16" sqref="C16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B28" zoomScale="70" zoomScaleNormal="70" workbookViewId="0">
      <selection activeCell="D38" sqref="D38:E38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36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37"/>
      <c r="B2" s="40" t="s">
        <v>204</v>
      </c>
      <c r="C2" s="539" t="s">
        <v>409</v>
      </c>
      <c r="D2" s="540"/>
      <c r="E2" s="541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37"/>
      <c r="B3" s="40" t="s">
        <v>206</v>
      </c>
      <c r="C3" s="539" t="s">
        <v>207</v>
      </c>
      <c r="D3" s="540"/>
      <c r="E3" s="541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38"/>
      <c r="B4" s="40" t="s">
        <v>191</v>
      </c>
      <c r="C4" s="542" t="s">
        <v>412</v>
      </c>
      <c r="D4" s="543"/>
      <c r="E4" s="544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48" t="s">
        <v>164</v>
      </c>
      <c r="B8" s="549"/>
      <c r="C8" s="549"/>
      <c r="D8" s="549"/>
      <c r="E8" s="549"/>
      <c r="F8" s="549"/>
      <c r="G8" s="549"/>
      <c r="H8" s="549"/>
      <c r="I8" s="549"/>
      <c r="J8" s="549"/>
      <c r="K8" s="549"/>
      <c r="L8" s="550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45" t="s">
        <v>177</v>
      </c>
      <c r="B14" s="546"/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7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20" t="s">
        <v>73</v>
      </c>
      <c r="N15" s="521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26"/>
      <c r="N16" s="527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28"/>
      <c r="N17" s="529"/>
    </row>
    <row r="18" spans="1:16" ht="16.5" thickTop="1" thickBot="1">
      <c r="P18" s="35"/>
    </row>
    <row r="19" spans="1:16" s="36" customFormat="1" ht="22.35" customHeight="1" thickTop="1" thickBot="1">
      <c r="A19" s="516" t="s">
        <v>210</v>
      </c>
      <c r="B19" s="517"/>
      <c r="C19" s="517"/>
      <c r="D19" s="517"/>
      <c r="E19" s="517"/>
      <c r="F19" s="517"/>
      <c r="G19" s="517"/>
      <c r="H19" s="517"/>
      <c r="I19" s="517"/>
      <c r="J19" s="517"/>
      <c r="K19" s="517"/>
      <c r="L19" s="517"/>
      <c r="M19" s="517"/>
      <c r="N19" s="517"/>
      <c r="O19" s="518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7</v>
      </c>
      <c r="J23" s="85">
        <v>302</v>
      </c>
      <c r="K23" s="86">
        <v>280</v>
      </c>
      <c r="L23" s="85">
        <f t="shared" si="0"/>
        <v>22</v>
      </c>
      <c r="M23" s="85">
        <v>10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</v>
      </c>
      <c r="I24" s="87">
        <f>0.319+4.823+4.937</f>
        <v>10.079000000000001</v>
      </c>
      <c r="J24" s="85">
        <v>115</v>
      </c>
      <c r="K24" s="86">
        <f>59.3+4.823+4.937</f>
        <v>69.059999999999988</v>
      </c>
      <c r="L24" s="86">
        <f t="shared" ref="L24" si="1">+C24-K24</f>
        <v>46.074000000000012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30"/>
      <c r="O25" s="530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56" t="s">
        <v>370</v>
      </c>
      <c r="E27" s="557"/>
      <c r="F27" s="551" t="s">
        <v>378</v>
      </c>
      <c r="G27" s="551"/>
      <c r="H27" s="531" t="s">
        <v>355</v>
      </c>
      <c r="I27" s="532"/>
    </row>
    <row r="28" spans="1:16" ht="42.6" customHeight="1">
      <c r="A28" s="184"/>
      <c r="B28" s="185" t="s">
        <v>416</v>
      </c>
      <c r="C28" s="180" t="s">
        <v>1108</v>
      </c>
      <c r="D28" s="552" t="s">
        <v>436</v>
      </c>
      <c r="E28" s="553"/>
      <c r="F28" s="560"/>
      <c r="G28" s="561"/>
      <c r="H28" s="181"/>
      <c r="I28" s="182"/>
    </row>
    <row r="29" spans="1:16" ht="42.6" customHeight="1">
      <c r="A29" s="184"/>
      <c r="B29" s="185" t="s">
        <v>416</v>
      </c>
      <c r="C29" s="180" t="s">
        <v>1116</v>
      </c>
      <c r="D29" s="522" t="s">
        <v>434</v>
      </c>
      <c r="E29" s="523"/>
      <c r="F29" s="524" t="s">
        <v>420</v>
      </c>
      <c r="G29" s="525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22" t="s">
        <v>689</v>
      </c>
      <c r="E30" s="523"/>
      <c r="F30" s="524" t="s">
        <v>690</v>
      </c>
      <c r="G30" s="525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22" t="s">
        <v>328</v>
      </c>
      <c r="E31" s="523"/>
      <c r="F31" s="524"/>
      <c r="G31" s="525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22" t="s">
        <v>294</v>
      </c>
      <c r="E32" s="523"/>
      <c r="F32" s="524"/>
      <c r="G32" s="525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22" t="s">
        <v>327</v>
      </c>
      <c r="E33" s="523"/>
      <c r="F33" s="524"/>
      <c r="G33" s="525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22" t="s">
        <v>435</v>
      </c>
      <c r="E34" s="523"/>
      <c r="F34" s="524"/>
      <c r="G34" s="525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22" t="s">
        <v>292</v>
      </c>
      <c r="E35" s="523"/>
      <c r="F35" s="524"/>
      <c r="G35" s="525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22" t="s">
        <v>439</v>
      </c>
      <c r="E36" s="523"/>
      <c r="F36" s="524"/>
      <c r="G36" s="525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22" t="s">
        <v>874</v>
      </c>
      <c r="E37" s="523"/>
      <c r="F37" s="524"/>
      <c r="G37" s="525"/>
      <c r="H37" s="558"/>
      <c r="I37" s="559"/>
    </row>
    <row r="38" spans="1:9" ht="42.6" customHeight="1">
      <c r="A38" s="184"/>
      <c r="B38" s="185" t="s">
        <v>416</v>
      </c>
      <c r="C38" s="180"/>
      <c r="D38" s="522"/>
      <c r="E38" s="523"/>
      <c r="F38" s="524"/>
      <c r="G38" s="525"/>
      <c r="H38" s="181"/>
      <c r="I38" s="182"/>
    </row>
    <row r="39" spans="1:9" ht="42.6" customHeight="1">
      <c r="A39" s="184"/>
      <c r="B39" s="185" t="s">
        <v>416</v>
      </c>
      <c r="C39" s="180"/>
      <c r="D39" s="522"/>
      <c r="E39" s="523"/>
      <c r="F39" s="524"/>
      <c r="G39" s="525"/>
      <c r="H39" s="181"/>
      <c r="I39" s="182"/>
    </row>
    <row r="40" spans="1:9" ht="42.6" customHeight="1">
      <c r="A40" s="184"/>
      <c r="B40" s="185" t="s">
        <v>416</v>
      </c>
      <c r="C40" s="180"/>
      <c r="D40" s="522"/>
      <c r="E40" s="523"/>
      <c r="F40" s="524"/>
      <c r="G40" s="525"/>
      <c r="H40" s="181"/>
      <c r="I40" s="182"/>
    </row>
    <row r="41" spans="1:9" ht="42.6" customHeight="1">
      <c r="A41" s="184"/>
      <c r="B41" s="185" t="s">
        <v>416</v>
      </c>
      <c r="C41" s="180"/>
      <c r="D41" s="522"/>
      <c r="E41" s="523"/>
      <c r="F41" s="524"/>
      <c r="G41" s="525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35"/>
      <c r="C47" s="535"/>
      <c r="D47" s="535"/>
      <c r="E47" s="535"/>
      <c r="F47" s="535"/>
      <c r="G47" s="535"/>
    </row>
    <row r="48" spans="1:9" s="157" customFormat="1" ht="9" customHeight="1">
      <c r="A48" s="158"/>
      <c r="B48" s="535"/>
      <c r="C48" s="535"/>
      <c r="D48" s="535"/>
      <c r="E48" s="535"/>
      <c r="F48" s="535"/>
      <c r="G48" s="535"/>
    </row>
    <row r="49" spans="1:15" s="157" customFormat="1" ht="10.35" customHeight="1">
      <c r="A49" s="158"/>
      <c r="B49" s="535"/>
      <c r="C49" s="535"/>
      <c r="D49" s="535"/>
      <c r="E49" s="535"/>
      <c r="F49" s="535"/>
      <c r="G49" s="535"/>
    </row>
    <row r="50" spans="1:15" s="157" customFormat="1" ht="24.6" customHeight="1">
      <c r="A50" s="158" t="s">
        <v>367</v>
      </c>
      <c r="B50" s="535" t="s">
        <v>374</v>
      </c>
      <c r="C50" s="535"/>
      <c r="D50" s="535"/>
      <c r="E50" s="535"/>
      <c r="F50" s="535"/>
      <c r="G50" s="535"/>
      <c r="H50" s="535"/>
      <c r="I50" s="535"/>
      <c r="J50" s="535"/>
      <c r="K50" s="156"/>
      <c r="L50" s="156"/>
      <c r="M50" s="519"/>
      <c r="N50" s="519"/>
      <c r="O50" s="519"/>
    </row>
    <row r="51" spans="1:15" s="157" customFormat="1" ht="24.6" customHeight="1">
      <c r="A51" s="158" t="s">
        <v>367</v>
      </c>
      <c r="B51" s="535" t="s">
        <v>375</v>
      </c>
      <c r="C51" s="535"/>
      <c r="D51" s="535"/>
      <c r="E51" s="535"/>
      <c r="F51" s="535"/>
      <c r="G51" s="535"/>
      <c r="H51" s="535"/>
      <c r="I51" s="535"/>
      <c r="J51" s="535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35" t="s">
        <v>381</v>
      </c>
      <c r="C52" s="535"/>
      <c r="D52" s="535"/>
      <c r="E52" s="535"/>
      <c r="F52" s="535"/>
      <c r="G52" s="535"/>
      <c r="H52" s="535"/>
      <c r="I52" s="535"/>
      <c r="J52" s="535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14" t="s">
        <v>251</v>
      </c>
      <c r="C55" s="515"/>
      <c r="D55"/>
      <c r="E55"/>
      <c r="F55"/>
      <c r="G55"/>
      <c r="H55"/>
      <c r="I55"/>
      <c r="J55"/>
    </row>
    <row r="56" spans="1:15" ht="25.5">
      <c r="A56" s="59" t="s">
        <v>222</v>
      </c>
      <c r="B56" s="533" t="s">
        <v>252</v>
      </c>
      <c r="C56" s="534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54" t="s">
        <v>73</v>
      </c>
      <c r="K56" s="555"/>
    </row>
    <row r="57" spans="1:15" ht="36" customHeight="1">
      <c r="A57" s="130">
        <v>1</v>
      </c>
      <c r="B57" s="506" t="s">
        <v>257</v>
      </c>
      <c r="C57" s="507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08"/>
      <c r="K57" s="509"/>
    </row>
    <row r="58" spans="1:15" ht="36" customHeight="1">
      <c r="A58" s="130">
        <v>2</v>
      </c>
      <c r="B58" s="506" t="s">
        <v>259</v>
      </c>
      <c r="C58" s="507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08"/>
      <c r="K58" s="509"/>
      <c r="L58" s="141"/>
    </row>
    <row r="59" spans="1:15" ht="36" customHeight="1">
      <c r="A59" s="130">
        <v>3</v>
      </c>
      <c r="B59" s="506" t="s">
        <v>260</v>
      </c>
      <c r="C59" s="507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10"/>
      <c r="K59" s="511"/>
    </row>
    <row r="60" spans="1:15" ht="36" customHeight="1">
      <c r="A60" s="130">
        <v>4</v>
      </c>
      <c r="B60" s="506" t="s">
        <v>262</v>
      </c>
      <c r="C60" s="507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08"/>
      <c r="K60" s="509"/>
    </row>
    <row r="61" spans="1:15" ht="36" customHeight="1">
      <c r="A61" s="130">
        <v>5</v>
      </c>
      <c r="B61" s="506" t="s">
        <v>263</v>
      </c>
      <c r="C61" s="507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08"/>
      <c r="K61" s="509"/>
      <c r="M61" s="38"/>
    </row>
    <row r="62" spans="1:15" ht="37.35" customHeight="1">
      <c r="A62" s="130">
        <v>6</v>
      </c>
      <c r="B62" s="506" t="s">
        <v>264</v>
      </c>
      <c r="C62" s="507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10"/>
      <c r="K62" s="511"/>
    </row>
    <row r="63" spans="1:15" ht="37.35" customHeight="1">
      <c r="A63" s="130">
        <f>A62+1</f>
        <v>7</v>
      </c>
      <c r="B63" s="506" t="s">
        <v>265</v>
      </c>
      <c r="C63" s="507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10"/>
      <c r="K63" s="511"/>
    </row>
    <row r="64" spans="1:15" ht="37.35" customHeight="1">
      <c r="A64" s="130">
        <f t="shared" ref="A64:A76" si="4">A63+1</f>
        <v>8</v>
      </c>
      <c r="B64" s="506" t="s">
        <v>358</v>
      </c>
      <c r="C64" s="507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08"/>
      <c r="K64" s="509"/>
    </row>
    <row r="65" spans="1:13" ht="35.450000000000003" customHeight="1">
      <c r="A65" s="130">
        <f t="shared" si="4"/>
        <v>9</v>
      </c>
      <c r="B65" s="506" t="s">
        <v>339</v>
      </c>
      <c r="C65" s="507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10"/>
      <c r="K65" s="511"/>
      <c r="L65" s="132"/>
      <c r="M65" s="133"/>
    </row>
    <row r="66" spans="1:13" ht="37.35" customHeight="1">
      <c r="A66" s="130">
        <f t="shared" si="4"/>
        <v>10</v>
      </c>
      <c r="B66" s="506" t="s">
        <v>340</v>
      </c>
      <c r="C66" s="507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08"/>
      <c r="K66" s="509"/>
      <c r="L66" s="132"/>
      <c r="M66" s="133"/>
    </row>
    <row r="67" spans="1:13" ht="36.6" customHeight="1">
      <c r="A67" s="130">
        <f t="shared" si="4"/>
        <v>11</v>
      </c>
      <c r="B67" s="506" t="s">
        <v>343</v>
      </c>
      <c r="C67" s="507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10"/>
      <c r="K67" s="511"/>
      <c r="L67" s="132"/>
      <c r="M67" s="133"/>
    </row>
    <row r="68" spans="1:13" ht="35.450000000000003" customHeight="1">
      <c r="A68" s="130">
        <f t="shared" si="4"/>
        <v>12</v>
      </c>
      <c r="B68" s="506" t="s">
        <v>341</v>
      </c>
      <c r="C68" s="507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10"/>
      <c r="K68" s="511"/>
      <c r="L68" s="132"/>
      <c r="M68" s="133"/>
    </row>
    <row r="69" spans="1:13" ht="28.35" customHeight="1">
      <c r="A69" s="130">
        <f t="shared" si="4"/>
        <v>13</v>
      </c>
      <c r="B69" s="506" t="s">
        <v>348</v>
      </c>
      <c r="C69" s="507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10"/>
      <c r="K69" s="511"/>
      <c r="L69" s="132"/>
      <c r="M69" s="133"/>
    </row>
    <row r="70" spans="1:13" ht="28.35" customHeight="1">
      <c r="A70" s="130">
        <f t="shared" si="4"/>
        <v>14</v>
      </c>
      <c r="B70" s="506" t="s">
        <v>337</v>
      </c>
      <c r="C70" s="507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08" t="s">
        <v>383</v>
      </c>
      <c r="K70" s="509"/>
      <c r="L70" s="132"/>
      <c r="M70" s="133"/>
    </row>
    <row r="71" spans="1:13" ht="37.35" customHeight="1">
      <c r="A71" s="130">
        <f t="shared" si="4"/>
        <v>15</v>
      </c>
      <c r="B71" s="506" t="s">
        <v>342</v>
      </c>
      <c r="C71" s="507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10"/>
      <c r="K71" s="511"/>
      <c r="L71" s="132"/>
      <c r="M71" s="133"/>
    </row>
    <row r="72" spans="1:13" ht="28.35" customHeight="1">
      <c r="A72" s="130">
        <f t="shared" si="4"/>
        <v>16</v>
      </c>
      <c r="B72" s="506" t="s">
        <v>344</v>
      </c>
      <c r="C72" s="507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12"/>
      <c r="K72" s="513"/>
      <c r="L72" s="132"/>
      <c r="M72" s="133"/>
    </row>
    <row r="73" spans="1:13" ht="28.35" customHeight="1">
      <c r="A73" s="130">
        <f t="shared" si="4"/>
        <v>17</v>
      </c>
      <c r="B73" s="506" t="s">
        <v>336</v>
      </c>
      <c r="C73" s="507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12"/>
      <c r="K73" s="513"/>
    </row>
    <row r="74" spans="1:13" ht="28.35" customHeight="1">
      <c r="A74" s="130">
        <f t="shared" si="4"/>
        <v>18</v>
      </c>
      <c r="B74" s="506" t="s">
        <v>345</v>
      </c>
      <c r="C74" s="507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12"/>
      <c r="K74" s="513"/>
    </row>
    <row r="75" spans="1:13" ht="28.35" customHeight="1">
      <c r="A75" s="130">
        <f t="shared" si="4"/>
        <v>19</v>
      </c>
      <c r="B75" s="506" t="s">
        <v>346</v>
      </c>
      <c r="C75" s="507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12"/>
      <c r="K75" s="513"/>
    </row>
    <row r="76" spans="1:13" ht="28.35" customHeight="1">
      <c r="A76" s="130">
        <f t="shared" si="4"/>
        <v>20</v>
      </c>
      <c r="B76" s="506" t="s">
        <v>347</v>
      </c>
      <c r="C76" s="507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12"/>
      <c r="K76" s="513"/>
    </row>
  </sheetData>
  <mergeCells count="93"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  <mergeCell ref="D38:E38"/>
    <mergeCell ref="D41:E41"/>
    <mergeCell ref="F41:G41"/>
    <mergeCell ref="D39:E39"/>
    <mergeCell ref="D40:E40"/>
    <mergeCell ref="F38:G38"/>
    <mergeCell ref="F39:G39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A1:A4"/>
    <mergeCell ref="C2:E2"/>
    <mergeCell ref="C3:E3"/>
    <mergeCell ref="C4:E4"/>
    <mergeCell ref="A14:N14"/>
    <mergeCell ref="A8:L8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</mergeCells>
  <phoneticPr fontId="83" type="noConversion"/>
  <conditionalFormatting sqref="C10:K11 D44:D46">
    <cfRule type="cellIs" dxfId="715" priority="6" stopIfTrue="1" operator="greaterThan">
      <formula>600</formula>
    </cfRule>
  </conditionalFormatting>
  <conditionalFormatting sqref="D13">
    <cfRule type="cellIs" dxfId="714" priority="7" stopIfTrue="1" operator="greaterThan">
      <formula>600</formula>
    </cfRule>
  </conditionalFormatting>
  <conditionalFormatting sqref="D18">
    <cfRule type="cellIs" dxfId="713" priority="3" stopIfTrue="1" operator="greaterThan">
      <formula>600</formula>
    </cfRule>
  </conditionalFormatting>
  <conditionalFormatting sqref="D25:D26 D54:D55 D77:D186">
    <cfRule type="cellIs" dxfId="712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L279" sqref="L279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73" t="s">
        <v>71</v>
      </c>
      <c r="H1" s="574"/>
      <c r="I1" s="574"/>
      <c r="J1" s="575"/>
      <c r="K1" s="30" t="s">
        <v>386</v>
      </c>
      <c r="L1" s="30" t="s">
        <v>192</v>
      </c>
      <c r="M1" s="30" t="s">
        <v>193</v>
      </c>
      <c r="N1" s="573" t="s">
        <v>194</v>
      </c>
      <c r="O1" s="574"/>
      <c r="P1" s="575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62" t="s">
        <v>196</v>
      </c>
      <c r="H2" s="562"/>
      <c r="I2" s="562"/>
      <c r="J2" s="562"/>
      <c r="K2" s="202">
        <v>45551</v>
      </c>
      <c r="L2" s="203" t="s">
        <v>663</v>
      </c>
      <c r="M2" s="10"/>
      <c r="N2" s="571"/>
      <c r="O2" s="571"/>
      <c r="P2" s="571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62" t="s">
        <v>196</v>
      </c>
      <c r="H3" s="562"/>
      <c r="I3" s="562"/>
      <c r="J3" s="562"/>
      <c r="K3" s="202">
        <v>45564</v>
      </c>
      <c r="L3" s="203" t="s">
        <v>663</v>
      </c>
      <c r="M3" s="10"/>
      <c r="N3" s="571"/>
      <c r="O3" s="571"/>
      <c r="P3" s="571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62" t="s">
        <v>196</v>
      </c>
      <c r="H4" s="562"/>
      <c r="I4" s="562"/>
      <c r="J4" s="562"/>
      <c r="K4" s="202">
        <v>45566</v>
      </c>
      <c r="L4" s="203" t="s">
        <v>664</v>
      </c>
      <c r="M4" s="10"/>
      <c r="N4" s="571"/>
      <c r="O4" s="571"/>
      <c r="P4" s="571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62" t="s">
        <v>196</v>
      </c>
      <c r="H5" s="562"/>
      <c r="I5" s="562"/>
      <c r="J5" s="562"/>
      <c r="K5" s="202">
        <v>45572</v>
      </c>
      <c r="L5" s="203" t="s">
        <v>663</v>
      </c>
      <c r="M5" s="10"/>
      <c r="N5" s="571"/>
      <c r="O5" s="571"/>
      <c r="P5" s="571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62" t="s">
        <v>196</v>
      </c>
      <c r="H6" s="562"/>
      <c r="I6" s="562"/>
      <c r="J6" s="562"/>
      <c r="K6" s="202">
        <v>45580</v>
      </c>
      <c r="L6" s="203" t="s">
        <v>664</v>
      </c>
      <c r="M6" s="10"/>
      <c r="N6" s="571"/>
      <c r="O6" s="571"/>
      <c r="P6" s="571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62" t="s">
        <v>196</v>
      </c>
      <c r="H7" s="562"/>
      <c r="I7" s="562"/>
      <c r="J7" s="562"/>
      <c r="K7" s="202">
        <v>45578</v>
      </c>
      <c r="L7" s="203" t="s">
        <v>663</v>
      </c>
      <c r="M7" s="10"/>
      <c r="N7" s="571"/>
      <c r="O7" s="571"/>
      <c r="P7" s="571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62" t="s">
        <v>196</v>
      </c>
      <c r="H8" s="562"/>
      <c r="I8" s="562"/>
      <c r="J8" s="562"/>
      <c r="K8" s="202">
        <v>45584</v>
      </c>
      <c r="L8" s="203" t="s">
        <v>663</v>
      </c>
      <c r="M8" s="10"/>
      <c r="N8" s="571"/>
      <c r="O8" s="571"/>
      <c r="P8" s="571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62" t="s">
        <v>196</v>
      </c>
      <c r="H9" s="562"/>
      <c r="I9" s="562"/>
      <c r="J9" s="562"/>
      <c r="K9" s="202">
        <v>45589</v>
      </c>
      <c r="L9" s="203" t="s">
        <v>664</v>
      </c>
      <c r="M9" s="10"/>
      <c r="N9" s="571"/>
      <c r="O9" s="571"/>
      <c r="P9" s="571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62" t="s">
        <v>196</v>
      </c>
      <c r="H10" s="562"/>
      <c r="I10" s="562"/>
      <c r="J10" s="562"/>
      <c r="K10" s="202">
        <v>45589</v>
      </c>
      <c r="L10" s="203" t="s">
        <v>663</v>
      </c>
      <c r="M10" s="10"/>
      <c r="N10" s="571"/>
      <c r="O10" s="571"/>
      <c r="P10" s="571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62" t="s">
        <v>196</v>
      </c>
      <c r="H11" s="562"/>
      <c r="I11" s="562"/>
      <c r="J11" s="562"/>
      <c r="K11" s="202">
        <v>45594</v>
      </c>
      <c r="L11" s="203" t="s">
        <v>663</v>
      </c>
      <c r="M11" s="10"/>
      <c r="N11" s="571"/>
      <c r="O11" s="571"/>
      <c r="P11" s="571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62" t="s">
        <v>196</v>
      </c>
      <c r="H12" s="562"/>
      <c r="I12" s="562"/>
      <c r="J12" s="562"/>
      <c r="K12" s="202">
        <v>45596</v>
      </c>
      <c r="L12" s="203" t="s">
        <v>664</v>
      </c>
      <c r="M12" s="10"/>
      <c r="N12" s="571"/>
      <c r="O12" s="571"/>
      <c r="P12" s="571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62" t="s">
        <v>196</v>
      </c>
      <c r="H13" s="562"/>
      <c r="I13" s="562"/>
      <c r="J13" s="562"/>
      <c r="K13" s="202">
        <v>45600</v>
      </c>
      <c r="L13" s="203" t="s">
        <v>663</v>
      </c>
      <c r="M13" s="10"/>
      <c r="N13" s="571"/>
      <c r="O13" s="571"/>
      <c r="P13" s="571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62" t="s">
        <v>196</v>
      </c>
      <c r="H14" s="562"/>
      <c r="I14" s="562"/>
      <c r="J14" s="562"/>
      <c r="K14" s="202">
        <v>45606</v>
      </c>
      <c r="L14" s="203" t="s">
        <v>663</v>
      </c>
      <c r="M14" s="10"/>
      <c r="N14" s="571"/>
      <c r="O14" s="571"/>
      <c r="P14" s="571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62" t="s">
        <v>196</v>
      </c>
      <c r="H15" s="562"/>
      <c r="I15" s="562"/>
      <c r="J15" s="562"/>
      <c r="K15" s="202" t="s">
        <v>662</v>
      </c>
      <c r="L15" s="203" t="s">
        <v>664</v>
      </c>
      <c r="M15" s="10"/>
      <c r="N15" s="571"/>
      <c r="O15" s="571"/>
      <c r="P15" s="571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62" t="s">
        <v>196</v>
      </c>
      <c r="H16" s="562"/>
      <c r="I16" s="562"/>
      <c r="J16" s="562"/>
      <c r="K16" s="202">
        <v>45613</v>
      </c>
      <c r="L16" s="203" t="s">
        <v>663</v>
      </c>
      <c r="M16" s="10"/>
      <c r="N16" s="571"/>
      <c r="O16" s="571"/>
      <c r="P16" s="571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62" t="s">
        <v>196</v>
      </c>
      <c r="H17" s="562"/>
      <c r="I17" s="562"/>
      <c r="J17" s="562"/>
      <c r="K17" s="202">
        <v>45618</v>
      </c>
      <c r="L17" s="203" t="s">
        <v>663</v>
      </c>
      <c r="M17" s="10"/>
      <c r="N17" s="571"/>
      <c r="O17" s="571"/>
      <c r="P17" s="571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62" t="s">
        <v>196</v>
      </c>
      <c r="H18" s="562"/>
      <c r="I18" s="562"/>
      <c r="J18" s="562"/>
      <c r="K18" s="202">
        <v>45620</v>
      </c>
      <c r="L18" s="203" t="s">
        <v>665</v>
      </c>
      <c r="M18" s="10"/>
      <c r="N18" s="571"/>
      <c r="O18" s="571"/>
      <c r="P18" s="571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62" t="s">
        <v>196</v>
      </c>
      <c r="H19" s="562"/>
      <c r="I19" s="562"/>
      <c r="J19" s="562"/>
      <c r="K19" s="202">
        <v>45622</v>
      </c>
      <c r="L19" s="203" t="s">
        <v>419</v>
      </c>
      <c r="M19" s="10"/>
      <c r="N19" s="571"/>
      <c r="O19" s="571"/>
      <c r="P19" s="571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62" t="s">
        <v>196</v>
      </c>
      <c r="H20" s="562"/>
      <c r="I20" s="562"/>
      <c r="J20" s="562"/>
      <c r="K20" s="202">
        <v>45621</v>
      </c>
      <c r="L20" s="203" t="s">
        <v>666</v>
      </c>
      <c r="M20" s="10"/>
      <c r="N20" s="571"/>
      <c r="O20" s="571"/>
      <c r="P20" s="571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62" t="s">
        <v>196</v>
      </c>
      <c r="H21" s="562"/>
      <c r="I21" s="562"/>
      <c r="J21" s="562"/>
      <c r="K21" s="202">
        <v>45621</v>
      </c>
      <c r="L21" s="203" t="s">
        <v>664</v>
      </c>
      <c r="M21" s="10"/>
      <c r="N21" s="571"/>
      <c r="O21" s="571"/>
      <c r="P21" s="571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62" t="s">
        <v>196</v>
      </c>
      <c r="H22" s="562"/>
      <c r="I22" s="562"/>
      <c r="J22" s="562"/>
      <c r="K22" s="202">
        <v>45624</v>
      </c>
      <c r="L22" s="203" t="s">
        <v>663</v>
      </c>
      <c r="M22" s="10"/>
      <c r="N22" s="569"/>
      <c r="O22" s="569"/>
      <c r="P22" s="569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62" t="s">
        <v>196</v>
      </c>
      <c r="H23" s="562"/>
      <c r="I23" s="562"/>
      <c r="J23" s="562"/>
      <c r="K23" s="202">
        <v>45625</v>
      </c>
      <c r="L23" s="203" t="s">
        <v>667</v>
      </c>
      <c r="M23" s="10"/>
      <c r="N23" s="572"/>
      <c r="O23" s="572"/>
      <c r="P23" s="572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62" t="s">
        <v>196</v>
      </c>
      <c r="H24" s="562"/>
      <c r="I24" s="562"/>
      <c r="J24" s="562"/>
      <c r="K24" s="202">
        <v>45629</v>
      </c>
      <c r="L24" s="203" t="s">
        <v>665</v>
      </c>
      <c r="M24" s="10"/>
      <c r="N24" s="571"/>
      <c r="O24" s="571"/>
      <c r="P24" s="571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62" t="s">
        <v>196</v>
      </c>
      <c r="H25" s="562"/>
      <c r="I25" s="562"/>
      <c r="J25" s="562"/>
      <c r="K25" s="202">
        <v>45631</v>
      </c>
      <c r="L25" s="203" t="s">
        <v>419</v>
      </c>
      <c r="M25" s="10"/>
      <c r="N25" s="571"/>
      <c r="O25" s="571"/>
      <c r="P25" s="571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62" t="s">
        <v>196</v>
      </c>
      <c r="H26" s="562"/>
      <c r="I26" s="562"/>
      <c r="J26" s="562"/>
      <c r="K26" s="202">
        <v>45631</v>
      </c>
      <c r="L26" s="203" t="s">
        <v>663</v>
      </c>
      <c r="M26" s="10"/>
      <c r="N26" s="569"/>
      <c r="O26" s="569"/>
      <c r="P26" s="569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62" t="s">
        <v>196</v>
      </c>
      <c r="H27" s="562"/>
      <c r="I27" s="562"/>
      <c r="J27" s="562"/>
      <c r="K27" s="202">
        <v>45631</v>
      </c>
      <c r="L27" s="203" t="s">
        <v>666</v>
      </c>
      <c r="M27" s="10"/>
      <c r="N27" s="569"/>
      <c r="O27" s="569"/>
      <c r="P27" s="569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62" t="s">
        <v>196</v>
      </c>
      <c r="H28" s="562"/>
      <c r="I28" s="562"/>
      <c r="J28" s="562"/>
      <c r="K28" s="202">
        <v>45632</v>
      </c>
      <c r="L28" s="203" t="s">
        <v>664</v>
      </c>
      <c r="M28" s="10"/>
      <c r="N28" s="569"/>
      <c r="O28" s="569"/>
      <c r="P28" s="569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62" t="s">
        <v>196</v>
      </c>
      <c r="H29" s="562"/>
      <c r="I29" s="562"/>
      <c r="J29" s="562"/>
      <c r="K29" s="202">
        <v>45635</v>
      </c>
      <c r="L29" s="203" t="s">
        <v>665</v>
      </c>
      <c r="M29" s="10"/>
      <c r="N29" s="569"/>
      <c r="O29" s="569"/>
      <c r="P29" s="569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62" t="s">
        <v>196</v>
      </c>
      <c r="H30" s="562"/>
      <c r="I30" s="562"/>
      <c r="J30" s="562"/>
      <c r="K30" s="202">
        <v>45636</v>
      </c>
      <c r="L30" s="203" t="s">
        <v>667</v>
      </c>
      <c r="M30" s="10"/>
      <c r="N30" s="569"/>
      <c r="O30" s="569"/>
      <c r="P30" s="569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62" t="s">
        <v>196</v>
      </c>
      <c r="H31" s="562"/>
      <c r="I31" s="562"/>
      <c r="J31" s="562"/>
      <c r="K31" s="202">
        <v>45638</v>
      </c>
      <c r="L31" s="203" t="s">
        <v>663</v>
      </c>
      <c r="M31" s="10"/>
      <c r="N31" s="569"/>
      <c r="O31" s="569"/>
      <c r="P31" s="569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62" t="s">
        <v>196</v>
      </c>
      <c r="H32" s="562"/>
      <c r="I32" s="562"/>
      <c r="J32" s="562"/>
      <c r="K32" s="202">
        <v>45638</v>
      </c>
      <c r="L32" s="203" t="s">
        <v>666</v>
      </c>
      <c r="M32" s="10"/>
      <c r="N32" s="569"/>
      <c r="O32" s="569"/>
      <c r="P32" s="569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62" t="s">
        <v>196</v>
      </c>
      <c r="H33" s="562"/>
      <c r="I33" s="562"/>
      <c r="J33" s="562"/>
      <c r="K33" s="202">
        <v>45639</v>
      </c>
      <c r="L33" s="203" t="s">
        <v>419</v>
      </c>
      <c r="M33" s="10"/>
      <c r="N33" s="569"/>
      <c r="O33" s="569"/>
      <c r="P33" s="569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62" t="s">
        <v>196</v>
      </c>
      <c r="H34" s="562"/>
      <c r="I34" s="562"/>
      <c r="J34" s="562"/>
      <c r="K34" s="202">
        <v>45642</v>
      </c>
      <c r="L34" s="203" t="s">
        <v>665</v>
      </c>
      <c r="M34" s="10"/>
      <c r="N34" s="569"/>
      <c r="O34" s="569"/>
      <c r="P34" s="569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62" t="s">
        <v>196</v>
      </c>
      <c r="H35" s="562"/>
      <c r="I35" s="562"/>
      <c r="J35" s="562"/>
      <c r="K35" s="202">
        <v>45642</v>
      </c>
      <c r="L35" s="203" t="s">
        <v>666</v>
      </c>
      <c r="M35" s="10"/>
      <c r="N35" s="569"/>
      <c r="O35" s="569"/>
      <c r="P35" s="569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62" t="s">
        <v>196</v>
      </c>
      <c r="H36" s="562"/>
      <c r="I36" s="562"/>
      <c r="J36" s="562"/>
      <c r="K36" s="202">
        <v>45643</v>
      </c>
      <c r="L36" s="203" t="s">
        <v>663</v>
      </c>
      <c r="M36" s="10"/>
      <c r="N36" s="569"/>
      <c r="O36" s="569"/>
      <c r="P36" s="569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62" t="s">
        <v>196</v>
      </c>
      <c r="H37" s="562"/>
      <c r="I37" s="562"/>
      <c r="J37" s="562"/>
      <c r="K37" s="202">
        <v>45645</v>
      </c>
      <c r="L37" s="203" t="s">
        <v>664</v>
      </c>
      <c r="M37" s="10"/>
      <c r="N37" s="569"/>
      <c r="O37" s="569"/>
      <c r="P37" s="569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62" t="s">
        <v>196</v>
      </c>
      <c r="H38" s="562"/>
      <c r="I38" s="562"/>
      <c r="J38" s="562"/>
      <c r="K38" s="202">
        <v>45646</v>
      </c>
      <c r="L38" s="203" t="s">
        <v>667</v>
      </c>
      <c r="M38" s="10"/>
      <c r="N38" s="569"/>
      <c r="O38" s="569"/>
      <c r="P38" s="569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62" t="s">
        <v>196</v>
      </c>
      <c r="H39" s="562"/>
      <c r="I39" s="562"/>
      <c r="J39" s="562"/>
      <c r="K39" s="202">
        <v>45647</v>
      </c>
      <c r="L39" s="203" t="s">
        <v>419</v>
      </c>
      <c r="M39" s="10"/>
      <c r="N39" s="569"/>
      <c r="O39" s="569"/>
      <c r="P39" s="569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62" t="s">
        <v>196</v>
      </c>
      <c r="H40" s="562"/>
      <c r="I40" s="562"/>
      <c r="J40" s="562"/>
      <c r="K40" s="202">
        <v>45648</v>
      </c>
      <c r="L40" s="203" t="s">
        <v>666</v>
      </c>
      <c r="M40" s="10"/>
      <c r="N40" s="569"/>
      <c r="O40" s="569"/>
      <c r="P40" s="569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62" t="s">
        <v>196</v>
      </c>
      <c r="H41" s="562"/>
      <c r="I41" s="562"/>
      <c r="J41" s="562"/>
      <c r="K41" s="202">
        <v>45649</v>
      </c>
      <c r="L41" s="204" t="s">
        <v>663</v>
      </c>
      <c r="M41" s="10"/>
      <c r="N41" s="570"/>
      <c r="O41" s="570"/>
      <c r="P41" s="570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62" t="s">
        <v>196</v>
      </c>
      <c r="H42" s="562"/>
      <c r="I42" s="562"/>
      <c r="J42" s="562"/>
      <c r="K42" s="202">
        <v>45649</v>
      </c>
      <c r="L42" s="203" t="s">
        <v>665</v>
      </c>
      <c r="M42" s="10"/>
      <c r="N42" s="568"/>
      <c r="O42" s="568"/>
      <c r="P42" s="568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62" t="s">
        <v>196</v>
      </c>
      <c r="H43" s="562"/>
      <c r="I43" s="562"/>
      <c r="J43" s="562"/>
      <c r="K43" s="202">
        <v>45653</v>
      </c>
      <c r="L43" s="203" t="s">
        <v>667</v>
      </c>
      <c r="M43" s="10"/>
      <c r="N43" s="568"/>
      <c r="O43" s="568"/>
      <c r="P43" s="568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62" t="s">
        <v>196</v>
      </c>
      <c r="H44" s="562"/>
      <c r="I44" s="562"/>
      <c r="J44" s="562"/>
      <c r="K44" s="202">
        <v>45653</v>
      </c>
      <c r="L44" s="203" t="s">
        <v>419</v>
      </c>
      <c r="M44" s="10"/>
      <c r="N44" s="568"/>
      <c r="O44" s="568"/>
      <c r="P44" s="568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62" t="s">
        <v>196</v>
      </c>
      <c r="H45" s="562"/>
      <c r="I45" s="562"/>
      <c r="J45" s="562"/>
      <c r="K45" s="202">
        <v>45653</v>
      </c>
      <c r="L45" s="203" t="s">
        <v>666</v>
      </c>
      <c r="M45" s="10"/>
      <c r="N45" s="567"/>
      <c r="O45" s="567"/>
      <c r="P45" s="567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62" t="s">
        <v>196</v>
      </c>
      <c r="H46" s="562"/>
      <c r="I46" s="562"/>
      <c r="J46" s="562"/>
      <c r="K46" s="202">
        <v>45656</v>
      </c>
      <c r="L46" s="203" t="s">
        <v>665</v>
      </c>
      <c r="M46" s="10"/>
      <c r="N46" s="567"/>
      <c r="O46" s="567"/>
      <c r="P46" s="567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62" t="s">
        <v>196</v>
      </c>
      <c r="H47" s="562"/>
      <c r="I47" s="562"/>
      <c r="J47" s="562"/>
      <c r="K47" s="202">
        <v>45657</v>
      </c>
      <c r="L47" s="203" t="s">
        <v>664</v>
      </c>
      <c r="M47" s="10"/>
      <c r="N47" s="567"/>
      <c r="O47" s="567"/>
      <c r="P47" s="567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62" t="s">
        <v>196</v>
      </c>
      <c r="H48" s="562"/>
      <c r="I48" s="562"/>
      <c r="J48" s="562"/>
      <c r="K48" s="202">
        <v>45657</v>
      </c>
      <c r="L48" s="203" t="s">
        <v>663</v>
      </c>
      <c r="M48" s="10"/>
      <c r="N48" s="567"/>
      <c r="O48" s="567"/>
      <c r="P48" s="567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62" t="s">
        <v>196</v>
      </c>
      <c r="H49" s="562"/>
      <c r="I49" s="562"/>
      <c r="J49" s="562"/>
      <c r="K49" s="202">
        <v>45660</v>
      </c>
      <c r="L49" s="203" t="s">
        <v>668</v>
      </c>
      <c r="M49" s="10"/>
      <c r="N49" s="567"/>
      <c r="O49" s="567"/>
      <c r="P49" s="567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62" t="s">
        <v>196</v>
      </c>
      <c r="H50" s="562"/>
      <c r="I50" s="562"/>
      <c r="J50" s="562"/>
      <c r="K50" s="202">
        <v>45660</v>
      </c>
      <c r="L50" s="203" t="s">
        <v>666</v>
      </c>
      <c r="M50" s="10"/>
      <c r="N50" s="565"/>
      <c r="O50" s="565"/>
      <c r="P50" s="565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62" t="s">
        <v>196</v>
      </c>
      <c r="H51" s="562"/>
      <c r="I51" s="562"/>
      <c r="J51" s="562"/>
      <c r="K51" s="202">
        <v>45661</v>
      </c>
      <c r="L51" s="203" t="s">
        <v>667</v>
      </c>
      <c r="M51" s="10"/>
      <c r="N51" s="565"/>
      <c r="O51" s="565"/>
      <c r="P51" s="565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62" t="s">
        <v>196</v>
      </c>
      <c r="H52" s="562"/>
      <c r="I52" s="562"/>
      <c r="J52" s="562"/>
      <c r="K52" s="202">
        <v>45664</v>
      </c>
      <c r="L52" s="203" t="s">
        <v>665</v>
      </c>
      <c r="M52" s="10"/>
      <c r="N52" s="565"/>
      <c r="O52" s="565"/>
      <c r="P52" s="565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62" t="s">
        <v>196</v>
      </c>
      <c r="H53" s="562"/>
      <c r="I53" s="562"/>
      <c r="J53" s="562"/>
      <c r="K53" s="202">
        <v>45665</v>
      </c>
      <c r="L53" s="203" t="s">
        <v>419</v>
      </c>
      <c r="M53" s="10"/>
      <c r="N53" s="565"/>
      <c r="O53" s="565"/>
      <c r="P53" s="565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62" t="s">
        <v>196</v>
      </c>
      <c r="H54" s="562"/>
      <c r="I54" s="562"/>
      <c r="J54" s="562"/>
      <c r="K54" s="202">
        <v>45667</v>
      </c>
      <c r="L54" s="203" t="s">
        <v>663</v>
      </c>
      <c r="M54" s="10"/>
      <c r="N54" s="565"/>
      <c r="O54" s="565"/>
      <c r="P54" s="565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62" t="s">
        <v>196</v>
      </c>
      <c r="H55" s="562"/>
      <c r="I55" s="562"/>
      <c r="J55" s="562"/>
      <c r="K55" s="202">
        <v>45668</v>
      </c>
      <c r="L55" s="203" t="s">
        <v>668</v>
      </c>
      <c r="M55" s="10"/>
      <c r="N55" s="565"/>
      <c r="O55" s="565"/>
      <c r="P55" s="565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62" t="s">
        <v>196</v>
      </c>
      <c r="H56" s="562"/>
      <c r="I56" s="562"/>
      <c r="J56" s="562"/>
      <c r="K56" s="202">
        <v>45668</v>
      </c>
      <c r="L56" s="203" t="s">
        <v>666</v>
      </c>
      <c r="M56" s="10"/>
      <c r="N56" s="565"/>
      <c r="O56" s="565"/>
      <c r="P56" s="565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62" t="s">
        <v>196</v>
      </c>
      <c r="H57" s="562"/>
      <c r="I57" s="562"/>
      <c r="J57" s="562"/>
      <c r="K57" s="202">
        <v>45671</v>
      </c>
      <c r="L57" s="203" t="s">
        <v>665</v>
      </c>
      <c r="M57" s="10"/>
      <c r="N57" s="565"/>
      <c r="O57" s="565"/>
      <c r="P57" s="565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62" t="s">
        <v>196</v>
      </c>
      <c r="H58" s="562"/>
      <c r="I58" s="562"/>
      <c r="J58" s="562"/>
      <c r="K58" s="202">
        <v>45672</v>
      </c>
      <c r="L58" s="203" t="s">
        <v>667</v>
      </c>
      <c r="M58" s="10"/>
      <c r="N58" s="565"/>
      <c r="O58" s="565"/>
      <c r="P58" s="565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62" t="s">
        <v>196</v>
      </c>
      <c r="H59" s="562"/>
      <c r="I59" s="562"/>
      <c r="J59" s="562"/>
      <c r="K59" s="202">
        <v>45674</v>
      </c>
      <c r="L59" s="203" t="s">
        <v>664</v>
      </c>
      <c r="M59" s="10"/>
      <c r="N59" s="565"/>
      <c r="O59" s="565"/>
      <c r="P59" s="565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62" t="s">
        <v>196</v>
      </c>
      <c r="H60" s="562"/>
      <c r="I60" s="562"/>
      <c r="J60" s="562"/>
      <c r="K60" s="202">
        <v>45674</v>
      </c>
      <c r="L60" s="203" t="s">
        <v>419</v>
      </c>
      <c r="M60" s="10"/>
      <c r="N60" s="565"/>
      <c r="O60" s="565"/>
      <c r="P60" s="565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62" t="s">
        <v>196</v>
      </c>
      <c r="H61" s="562"/>
      <c r="I61" s="562"/>
      <c r="J61" s="562"/>
      <c r="K61" s="202">
        <v>45674</v>
      </c>
      <c r="L61" s="203" t="s">
        <v>663</v>
      </c>
      <c r="M61" s="10"/>
      <c r="N61" s="565"/>
      <c r="O61" s="565"/>
      <c r="P61" s="565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62" t="s">
        <v>196</v>
      </c>
      <c r="H62" s="562"/>
      <c r="I62" s="562"/>
      <c r="J62" s="562"/>
      <c r="K62" s="202">
        <v>45676</v>
      </c>
      <c r="L62" s="203" t="s">
        <v>668</v>
      </c>
      <c r="M62" s="10"/>
      <c r="N62" s="565"/>
      <c r="O62" s="565"/>
      <c r="P62" s="565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62" t="s">
        <v>196</v>
      </c>
      <c r="H63" s="562"/>
      <c r="I63" s="562"/>
      <c r="J63" s="562"/>
      <c r="K63" s="202">
        <v>45678</v>
      </c>
      <c r="L63" s="203" t="s">
        <v>666</v>
      </c>
      <c r="M63" s="10"/>
      <c r="N63" s="565"/>
      <c r="O63" s="565"/>
      <c r="P63" s="565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62" t="s">
        <v>196</v>
      </c>
      <c r="H64" s="562"/>
      <c r="I64" s="562"/>
      <c r="J64" s="562"/>
      <c r="K64" s="202">
        <v>45679</v>
      </c>
      <c r="L64" s="203" t="s">
        <v>665</v>
      </c>
      <c r="M64" s="10"/>
      <c r="N64" s="565"/>
      <c r="O64" s="565"/>
      <c r="P64" s="565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62" t="s">
        <v>196</v>
      </c>
      <c r="H65" s="562"/>
      <c r="I65" s="562"/>
      <c r="J65" s="562"/>
      <c r="K65" s="202">
        <v>45680</v>
      </c>
      <c r="L65" s="203" t="s">
        <v>663</v>
      </c>
      <c r="M65" s="10"/>
      <c r="N65" s="566"/>
      <c r="O65" s="566"/>
      <c r="P65" s="566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62" t="s">
        <v>196</v>
      </c>
      <c r="H66" s="562"/>
      <c r="I66" s="562"/>
      <c r="J66" s="562"/>
      <c r="K66" s="202">
        <v>45681</v>
      </c>
      <c r="L66" s="203" t="s">
        <v>667</v>
      </c>
      <c r="M66" s="10"/>
      <c r="N66" s="566"/>
      <c r="O66" s="566"/>
      <c r="P66" s="566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62" t="s">
        <v>196</v>
      </c>
      <c r="H67" s="562"/>
      <c r="I67" s="562"/>
      <c r="J67" s="562"/>
      <c r="K67" s="202">
        <v>45682</v>
      </c>
      <c r="L67" s="203" t="s">
        <v>668</v>
      </c>
      <c r="M67" s="10"/>
      <c r="N67" s="565"/>
      <c r="O67" s="565"/>
      <c r="P67" s="565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62" t="s">
        <v>196</v>
      </c>
      <c r="H68" s="562"/>
      <c r="I68" s="562"/>
      <c r="J68" s="562"/>
      <c r="K68" s="202">
        <v>45682</v>
      </c>
      <c r="L68" s="203" t="s">
        <v>666</v>
      </c>
      <c r="M68" s="10"/>
      <c r="N68" s="565"/>
      <c r="O68" s="565"/>
      <c r="P68" s="565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62" t="s">
        <v>196</v>
      </c>
      <c r="H69" s="562"/>
      <c r="I69" s="562"/>
      <c r="J69" s="562"/>
      <c r="K69" s="202">
        <v>45684</v>
      </c>
      <c r="L69" s="203" t="s">
        <v>419</v>
      </c>
      <c r="M69" s="10"/>
      <c r="N69" s="565"/>
      <c r="O69" s="565"/>
      <c r="P69" s="565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62" t="s">
        <v>196</v>
      </c>
      <c r="H70" s="562"/>
      <c r="I70" s="562"/>
      <c r="J70" s="562"/>
      <c r="K70" s="202">
        <v>45685</v>
      </c>
      <c r="L70" s="203" t="s">
        <v>664</v>
      </c>
      <c r="M70" s="10"/>
      <c r="N70" s="565"/>
      <c r="O70" s="565"/>
      <c r="P70" s="565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62" t="s">
        <v>196</v>
      </c>
      <c r="H71" s="562"/>
      <c r="I71" s="562"/>
      <c r="J71" s="562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62" t="s">
        <v>196</v>
      </c>
      <c r="H72" s="562"/>
      <c r="I72" s="562"/>
      <c r="J72" s="562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62" t="s">
        <v>196</v>
      </c>
      <c r="H73" s="562"/>
      <c r="I73" s="562"/>
      <c r="J73" s="562"/>
      <c r="K73" s="202">
        <v>45687</v>
      </c>
      <c r="L73" s="203" t="s">
        <v>667</v>
      </c>
      <c r="M73" s="10"/>
      <c r="N73" s="565"/>
      <c r="O73" s="565"/>
      <c r="P73" s="565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62" t="s">
        <v>196</v>
      </c>
      <c r="H74" s="562"/>
      <c r="I74" s="562"/>
      <c r="J74" s="562"/>
      <c r="K74" s="202">
        <v>45688</v>
      </c>
      <c r="L74" s="203" t="s">
        <v>669</v>
      </c>
      <c r="M74" s="10"/>
      <c r="N74" s="565"/>
      <c r="O74" s="565"/>
      <c r="P74" s="565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62" t="s">
        <v>196</v>
      </c>
      <c r="H75" s="562"/>
      <c r="I75" s="562"/>
      <c r="J75" s="562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62" t="s">
        <v>196</v>
      </c>
      <c r="H76" s="562"/>
      <c r="I76" s="562"/>
      <c r="J76" s="562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62" t="s">
        <v>196</v>
      </c>
      <c r="H77" s="562"/>
      <c r="I77" s="562"/>
      <c r="J77" s="562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62" t="s">
        <v>196</v>
      </c>
      <c r="H78" s="562"/>
      <c r="I78" s="562"/>
      <c r="J78" s="562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62" t="s">
        <v>196</v>
      </c>
      <c r="H79" s="562"/>
      <c r="I79" s="562"/>
      <c r="J79" s="562"/>
      <c r="K79" s="202">
        <v>45695</v>
      </c>
      <c r="L79" s="203" t="s">
        <v>667</v>
      </c>
      <c r="M79" s="10"/>
      <c r="N79" s="563"/>
      <c r="O79" s="564"/>
      <c r="P79" s="564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62" t="s">
        <v>196</v>
      </c>
      <c r="H80" s="562"/>
      <c r="I80" s="562"/>
      <c r="J80" s="562"/>
      <c r="K80" s="202">
        <v>45696</v>
      </c>
      <c r="L80" s="203" t="s">
        <v>666</v>
      </c>
      <c r="M80" s="10"/>
      <c r="N80" s="563"/>
      <c r="O80" s="564"/>
      <c r="P80" s="564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62" t="s">
        <v>196</v>
      </c>
      <c r="H81" s="562"/>
      <c r="I81" s="562"/>
      <c r="J81" s="562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62" t="s">
        <v>196</v>
      </c>
      <c r="H82" s="562"/>
      <c r="I82" s="562"/>
      <c r="J82" s="562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62" t="s">
        <v>196</v>
      </c>
      <c r="H83" s="562"/>
      <c r="I83" s="562"/>
      <c r="J83" s="562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62" t="s">
        <v>196</v>
      </c>
      <c r="H84" s="562"/>
      <c r="I84" s="562"/>
      <c r="J84" s="562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62" t="s">
        <v>196</v>
      </c>
      <c r="H85" s="562"/>
      <c r="I85" s="562"/>
      <c r="J85" s="562"/>
      <c r="K85" s="202">
        <v>45701</v>
      </c>
      <c r="L85" s="203" t="s">
        <v>663</v>
      </c>
      <c r="M85" s="10"/>
      <c r="N85" s="563"/>
      <c r="O85" s="564"/>
      <c r="P85" s="564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62" t="s">
        <v>196</v>
      </c>
      <c r="H86" s="562"/>
      <c r="I86" s="562"/>
      <c r="J86" s="562"/>
      <c r="K86" s="202">
        <v>45701</v>
      </c>
      <c r="L86" s="203" t="s">
        <v>419</v>
      </c>
      <c r="M86" s="10"/>
      <c r="N86" s="563"/>
      <c r="O86" s="564"/>
      <c r="P86" s="564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62" t="s">
        <v>196</v>
      </c>
      <c r="H87" s="562"/>
      <c r="I87" s="562"/>
      <c r="J87" s="562"/>
      <c r="K87" s="202">
        <v>45703</v>
      </c>
      <c r="L87" s="203" t="s">
        <v>667</v>
      </c>
      <c r="M87" s="10"/>
      <c r="N87" s="563"/>
      <c r="O87" s="564"/>
      <c r="P87" s="564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62" t="s">
        <v>196</v>
      </c>
      <c r="H88" s="562"/>
      <c r="I88" s="562"/>
      <c r="J88" s="562"/>
      <c r="K88" s="202">
        <v>45703</v>
      </c>
      <c r="L88" s="203" t="s">
        <v>666</v>
      </c>
      <c r="M88" s="10"/>
      <c r="N88" s="563"/>
      <c r="O88" s="564"/>
      <c r="P88" s="564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62" t="s">
        <v>196</v>
      </c>
      <c r="H89" s="562"/>
      <c r="I89" s="562"/>
      <c r="J89" s="562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62" t="s">
        <v>196</v>
      </c>
      <c r="H90" s="562"/>
      <c r="I90" s="562"/>
      <c r="J90" s="562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62" t="s">
        <v>196</v>
      </c>
      <c r="H91" s="562"/>
      <c r="I91" s="562"/>
      <c r="J91" s="562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62" t="s">
        <v>196</v>
      </c>
      <c r="H92" s="562"/>
      <c r="I92" s="562"/>
      <c r="J92" s="562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62" t="s">
        <v>196</v>
      </c>
      <c r="H93" s="562"/>
      <c r="I93" s="562"/>
      <c r="J93" s="562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62" t="s">
        <v>196</v>
      </c>
      <c r="H94" s="562"/>
      <c r="I94" s="562"/>
      <c r="J94" s="562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62" t="s">
        <v>196</v>
      </c>
      <c r="H95" s="562"/>
      <c r="I95" s="562"/>
      <c r="J95" s="562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62" t="s">
        <v>196</v>
      </c>
      <c r="H96" s="562"/>
      <c r="I96" s="562"/>
      <c r="J96" s="562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62" t="s">
        <v>196</v>
      </c>
      <c r="H97" s="562"/>
      <c r="I97" s="562"/>
      <c r="J97" s="562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62" t="s">
        <v>196</v>
      </c>
      <c r="H98" s="562"/>
      <c r="I98" s="562"/>
      <c r="J98" s="562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62" t="s">
        <v>196</v>
      </c>
      <c r="H99" s="562"/>
      <c r="I99" s="562"/>
      <c r="J99" s="562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62" t="s">
        <v>196</v>
      </c>
      <c r="H100" s="562"/>
      <c r="I100" s="562"/>
      <c r="J100" s="562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62" t="s">
        <v>196</v>
      </c>
      <c r="H101" s="562"/>
      <c r="I101" s="562"/>
      <c r="J101" s="562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62" t="s">
        <v>196</v>
      </c>
      <c r="H102" s="562"/>
      <c r="I102" s="562"/>
      <c r="J102" s="562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62" t="s">
        <v>196</v>
      </c>
      <c r="H103" s="562"/>
      <c r="I103" s="562"/>
      <c r="J103" s="562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62" t="s">
        <v>196</v>
      </c>
      <c r="H104" s="562"/>
      <c r="I104" s="562"/>
      <c r="J104" s="562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62" t="s">
        <v>196</v>
      </c>
      <c r="H105" s="562"/>
      <c r="I105" s="562"/>
      <c r="J105" s="562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62" t="s">
        <v>196</v>
      </c>
      <c r="H106" s="562"/>
      <c r="I106" s="562"/>
      <c r="J106" s="562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62" t="s">
        <v>196</v>
      </c>
      <c r="H107" s="562"/>
      <c r="I107" s="562"/>
      <c r="J107" s="562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62" t="s">
        <v>196</v>
      </c>
      <c r="H108" s="562"/>
      <c r="I108" s="562"/>
      <c r="J108" s="562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62" t="s">
        <v>196</v>
      </c>
      <c r="H109" s="562"/>
      <c r="I109" s="562"/>
      <c r="J109" s="562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62" t="s">
        <v>196</v>
      </c>
      <c r="H110" s="562"/>
      <c r="I110" s="562"/>
      <c r="J110" s="562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62" t="s">
        <v>196</v>
      </c>
      <c r="H111" s="562"/>
      <c r="I111" s="562"/>
      <c r="J111" s="562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62" t="s">
        <v>196</v>
      </c>
      <c r="H112" s="562"/>
      <c r="I112" s="562"/>
      <c r="J112" s="562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62" t="s">
        <v>196</v>
      </c>
      <c r="H113" s="562"/>
      <c r="I113" s="562"/>
      <c r="J113" s="562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62" t="s">
        <v>196</v>
      </c>
      <c r="H114" s="562"/>
      <c r="I114" s="562"/>
      <c r="J114" s="562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62" t="s">
        <v>196</v>
      </c>
      <c r="H115" s="562"/>
      <c r="I115" s="562"/>
      <c r="J115" s="562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62" t="s">
        <v>196</v>
      </c>
      <c r="H116" s="562"/>
      <c r="I116" s="562"/>
      <c r="J116" s="562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62" t="s">
        <v>196</v>
      </c>
      <c r="H117" s="562"/>
      <c r="I117" s="562"/>
      <c r="J117" s="562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62" t="s">
        <v>196</v>
      </c>
      <c r="H118" s="562"/>
      <c r="I118" s="562"/>
      <c r="J118" s="562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62" t="s">
        <v>196</v>
      </c>
      <c r="H119" s="562"/>
      <c r="I119" s="562"/>
      <c r="J119" s="562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62" t="s">
        <v>196</v>
      </c>
      <c r="H120" s="562"/>
      <c r="I120" s="562"/>
      <c r="J120" s="562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62" t="s">
        <v>196</v>
      </c>
      <c r="H121" s="562"/>
      <c r="I121" s="562"/>
      <c r="J121" s="562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62" t="s">
        <v>196</v>
      </c>
      <c r="H122" s="562"/>
      <c r="I122" s="562"/>
      <c r="J122" s="562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62" t="s">
        <v>196</v>
      </c>
      <c r="H123" s="562"/>
      <c r="I123" s="562"/>
      <c r="J123" s="562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62" t="s">
        <v>196</v>
      </c>
      <c r="H124" s="562"/>
      <c r="I124" s="562"/>
      <c r="J124" s="562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62" t="s">
        <v>196</v>
      </c>
      <c r="H125" s="562"/>
      <c r="I125" s="562"/>
      <c r="J125" s="562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62" t="s">
        <v>196</v>
      </c>
      <c r="H126" s="562"/>
      <c r="I126" s="562"/>
      <c r="J126" s="562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62" t="s">
        <v>196</v>
      </c>
      <c r="H127" s="562"/>
      <c r="I127" s="562"/>
      <c r="J127" s="562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62" t="s">
        <v>196</v>
      </c>
      <c r="H128" s="562"/>
      <c r="I128" s="562"/>
      <c r="J128" s="562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62" t="s">
        <v>196</v>
      </c>
      <c r="H129" s="562"/>
      <c r="I129" s="562"/>
      <c r="J129" s="562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62" t="s">
        <v>196</v>
      </c>
      <c r="H130" s="562"/>
      <c r="I130" s="562"/>
      <c r="J130" s="562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62" t="s">
        <v>196</v>
      </c>
      <c r="H131" s="562"/>
      <c r="I131" s="562"/>
      <c r="J131" s="562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62" t="s">
        <v>196</v>
      </c>
      <c r="H132" s="562"/>
      <c r="I132" s="562"/>
      <c r="J132" s="562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62" t="s">
        <v>196</v>
      </c>
      <c r="H133" s="562"/>
      <c r="I133" s="562"/>
      <c r="J133" s="562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62" t="s">
        <v>196</v>
      </c>
      <c r="H134" s="562"/>
      <c r="I134" s="562"/>
      <c r="J134" s="562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62" t="s">
        <v>196</v>
      </c>
      <c r="H135" s="562"/>
      <c r="I135" s="562"/>
      <c r="J135" s="562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62" t="s">
        <v>196</v>
      </c>
      <c r="H136" s="562"/>
      <c r="I136" s="562"/>
      <c r="J136" s="562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62" t="s">
        <v>196</v>
      </c>
      <c r="H137" s="562"/>
      <c r="I137" s="562"/>
      <c r="J137" s="562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62" t="s">
        <v>196</v>
      </c>
      <c r="H138" s="562"/>
      <c r="I138" s="562"/>
      <c r="J138" s="562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62" t="s">
        <v>196</v>
      </c>
      <c r="H139" s="562"/>
      <c r="I139" s="562"/>
      <c r="J139" s="562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62" t="s">
        <v>196</v>
      </c>
      <c r="H140" s="562"/>
      <c r="I140" s="562"/>
      <c r="J140" s="562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62" t="s">
        <v>196</v>
      </c>
      <c r="H141" s="562"/>
      <c r="I141" s="562"/>
      <c r="J141" s="562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62" t="s">
        <v>196</v>
      </c>
      <c r="H142" s="562"/>
      <c r="I142" s="562"/>
      <c r="J142" s="562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62" t="s">
        <v>196</v>
      </c>
      <c r="H143" s="562"/>
      <c r="I143" s="562"/>
      <c r="J143" s="562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62" t="s">
        <v>196</v>
      </c>
      <c r="H144" s="562"/>
      <c r="I144" s="562"/>
      <c r="J144" s="562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62" t="s">
        <v>196</v>
      </c>
      <c r="H145" s="562"/>
      <c r="I145" s="562"/>
      <c r="J145" s="562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62" t="s">
        <v>196</v>
      </c>
      <c r="H146" s="562"/>
      <c r="I146" s="562"/>
      <c r="J146" s="562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62" t="s">
        <v>196</v>
      </c>
      <c r="H147" s="562"/>
      <c r="I147" s="562"/>
      <c r="J147" s="562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62" t="s">
        <v>196</v>
      </c>
      <c r="H148" s="562"/>
      <c r="I148" s="562"/>
      <c r="J148" s="562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62" t="s">
        <v>196</v>
      </c>
      <c r="H149" s="562"/>
      <c r="I149" s="562"/>
      <c r="J149" s="562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62" t="s">
        <v>196</v>
      </c>
      <c r="H150" s="562"/>
      <c r="I150" s="562"/>
      <c r="J150" s="562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62" t="s">
        <v>196</v>
      </c>
      <c r="H151" s="562"/>
      <c r="I151" s="562"/>
      <c r="J151" s="562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62" t="s">
        <v>196</v>
      </c>
      <c r="H152" s="562"/>
      <c r="I152" s="562"/>
      <c r="J152" s="562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62" t="s">
        <v>196</v>
      </c>
      <c r="H153" s="562"/>
      <c r="I153" s="562"/>
      <c r="J153" s="562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62" t="s">
        <v>196</v>
      </c>
      <c r="H154" s="562"/>
      <c r="I154" s="562"/>
      <c r="J154" s="562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62" t="s">
        <v>196</v>
      </c>
      <c r="H155" s="562"/>
      <c r="I155" s="562"/>
      <c r="J155" s="562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62" t="s">
        <v>196</v>
      </c>
      <c r="H156" s="562"/>
      <c r="I156" s="562"/>
      <c r="J156" s="562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62" t="s">
        <v>196</v>
      </c>
      <c r="H157" s="562"/>
      <c r="I157" s="562"/>
      <c r="J157" s="562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62" t="s">
        <v>196</v>
      </c>
      <c r="H158" s="562"/>
      <c r="I158" s="562"/>
      <c r="J158" s="562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62" t="s">
        <v>196</v>
      </c>
      <c r="H159" s="562"/>
      <c r="I159" s="562"/>
      <c r="J159" s="562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62" t="s">
        <v>196</v>
      </c>
      <c r="H160" s="562"/>
      <c r="I160" s="562"/>
      <c r="J160" s="562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62" t="s">
        <v>196</v>
      </c>
      <c r="H161" s="562"/>
      <c r="I161" s="562"/>
      <c r="J161" s="562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62" t="s">
        <v>196</v>
      </c>
      <c r="H162" s="562"/>
      <c r="I162" s="562"/>
      <c r="J162" s="562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62" t="s">
        <v>196</v>
      </c>
      <c r="H163" s="562"/>
      <c r="I163" s="562"/>
      <c r="J163" s="562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62" t="s">
        <v>196</v>
      </c>
      <c r="H164" s="562"/>
      <c r="I164" s="562"/>
      <c r="J164" s="562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62" t="s">
        <v>196</v>
      </c>
      <c r="H165" s="562"/>
      <c r="I165" s="562"/>
      <c r="J165" s="562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62" t="s">
        <v>196</v>
      </c>
      <c r="H166" s="562"/>
      <c r="I166" s="562"/>
      <c r="J166" s="562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62" t="s">
        <v>196</v>
      </c>
      <c r="H167" s="562"/>
      <c r="I167" s="562"/>
      <c r="J167" s="562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62" t="s">
        <v>196</v>
      </c>
      <c r="H168" s="562"/>
      <c r="I168" s="562"/>
      <c r="J168" s="562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62" t="s">
        <v>196</v>
      </c>
      <c r="H169" s="562"/>
      <c r="I169" s="562"/>
      <c r="J169" s="562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62" t="s">
        <v>196</v>
      </c>
      <c r="H170" s="562"/>
      <c r="I170" s="562"/>
      <c r="J170" s="562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62" t="s">
        <v>196</v>
      </c>
      <c r="H171" s="562"/>
      <c r="I171" s="562"/>
      <c r="J171" s="562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62" t="s">
        <v>196</v>
      </c>
      <c r="H172" s="562"/>
      <c r="I172" s="562"/>
      <c r="J172" s="562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62" t="s">
        <v>196</v>
      </c>
      <c r="H173" s="562"/>
      <c r="I173" s="562"/>
      <c r="J173" s="562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62" t="s">
        <v>196</v>
      </c>
      <c r="H174" s="562"/>
      <c r="I174" s="562"/>
      <c r="J174" s="562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62" t="s">
        <v>196</v>
      </c>
      <c r="H175" s="562"/>
      <c r="I175" s="562"/>
      <c r="J175" s="562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62" t="s">
        <v>196</v>
      </c>
      <c r="H176" s="562"/>
      <c r="I176" s="562"/>
      <c r="J176" s="562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62" t="s">
        <v>196</v>
      </c>
      <c r="H177" s="562"/>
      <c r="I177" s="562"/>
      <c r="J177" s="562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62" t="s">
        <v>196</v>
      </c>
      <c r="H178" s="562"/>
      <c r="I178" s="562"/>
      <c r="J178" s="562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62" t="s">
        <v>196</v>
      </c>
      <c r="H179" s="562"/>
      <c r="I179" s="562"/>
      <c r="J179" s="562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62" t="s">
        <v>196</v>
      </c>
      <c r="H180" s="562"/>
      <c r="I180" s="562"/>
      <c r="J180" s="562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62" t="s">
        <v>196</v>
      </c>
      <c r="H181" s="562"/>
      <c r="I181" s="562"/>
      <c r="J181" s="562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62" t="s">
        <v>196</v>
      </c>
      <c r="H182" s="562"/>
      <c r="I182" s="562"/>
      <c r="J182" s="562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62" t="s">
        <v>196</v>
      </c>
      <c r="H183" s="562"/>
      <c r="I183" s="562"/>
      <c r="J183" s="562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62" t="s">
        <v>196</v>
      </c>
      <c r="H184" s="562"/>
      <c r="I184" s="562"/>
      <c r="J184" s="562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62" t="s">
        <v>196</v>
      </c>
      <c r="H185" s="562"/>
      <c r="I185" s="562"/>
      <c r="J185" s="562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62" t="s">
        <v>196</v>
      </c>
      <c r="H186" s="562"/>
      <c r="I186" s="562"/>
      <c r="J186" s="562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62" t="s">
        <v>196</v>
      </c>
      <c r="H187" s="562"/>
      <c r="I187" s="562"/>
      <c r="J187" s="562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62" t="s">
        <v>196</v>
      </c>
      <c r="H188" s="562"/>
      <c r="I188" s="562"/>
      <c r="J188" s="562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62" t="s">
        <v>196</v>
      </c>
      <c r="H189" s="562"/>
      <c r="I189" s="562"/>
      <c r="J189" s="562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62" t="s">
        <v>196</v>
      </c>
      <c r="H190" s="562"/>
      <c r="I190" s="562"/>
      <c r="J190" s="562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62" t="s">
        <v>196</v>
      </c>
      <c r="H191" s="562"/>
      <c r="I191" s="562"/>
      <c r="J191" s="562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62" t="s">
        <v>196</v>
      </c>
      <c r="H192" s="562"/>
      <c r="I192" s="562"/>
      <c r="J192" s="562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62" t="s">
        <v>196</v>
      </c>
      <c r="H193" s="562"/>
      <c r="I193" s="562"/>
      <c r="J193" s="562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62" t="s">
        <v>196</v>
      </c>
      <c r="H194" s="562"/>
      <c r="I194" s="562"/>
      <c r="J194" s="562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62" t="s">
        <v>196</v>
      </c>
      <c r="H195" s="562"/>
      <c r="I195" s="562"/>
      <c r="J195" s="562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62" t="s">
        <v>196</v>
      </c>
      <c r="H196" s="562"/>
      <c r="I196" s="562"/>
      <c r="J196" s="562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62" t="s">
        <v>196</v>
      </c>
      <c r="H197" s="562"/>
      <c r="I197" s="562"/>
      <c r="J197" s="562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62" t="s">
        <v>196</v>
      </c>
      <c r="H198" s="562"/>
      <c r="I198" s="562"/>
      <c r="J198" s="562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62" t="s">
        <v>196</v>
      </c>
      <c r="H199" s="562"/>
      <c r="I199" s="562"/>
      <c r="J199" s="562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62" t="s">
        <v>196</v>
      </c>
      <c r="H200" s="562"/>
      <c r="I200" s="562"/>
      <c r="J200" s="562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62" t="s">
        <v>196</v>
      </c>
      <c r="H201" s="562"/>
      <c r="I201" s="562"/>
      <c r="J201" s="562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62" t="s">
        <v>196</v>
      </c>
      <c r="H202" s="562"/>
      <c r="I202" s="562"/>
      <c r="J202" s="562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62" t="s">
        <v>196</v>
      </c>
      <c r="H203" s="562"/>
      <c r="I203" s="562"/>
      <c r="J203" s="562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62" t="s">
        <v>196</v>
      </c>
      <c r="H204" s="562"/>
      <c r="I204" s="562"/>
      <c r="J204" s="562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62" t="s">
        <v>196</v>
      </c>
      <c r="H205" s="562"/>
      <c r="I205" s="562"/>
      <c r="J205" s="562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62" t="s">
        <v>196</v>
      </c>
      <c r="H206" s="562"/>
      <c r="I206" s="562"/>
      <c r="J206" s="562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62" t="s">
        <v>196</v>
      </c>
      <c r="H207" s="562"/>
      <c r="I207" s="562"/>
      <c r="J207" s="562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62" t="s">
        <v>196</v>
      </c>
      <c r="H208" s="562"/>
      <c r="I208" s="562"/>
      <c r="J208" s="562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62" t="s">
        <v>196</v>
      </c>
      <c r="H209" s="562"/>
      <c r="I209" s="562"/>
      <c r="J209" s="562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62" t="s">
        <v>196</v>
      </c>
      <c r="H210" s="562"/>
      <c r="I210" s="562"/>
      <c r="J210" s="562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62" t="s">
        <v>196</v>
      </c>
      <c r="H211" s="562"/>
      <c r="I211" s="562"/>
      <c r="J211" s="562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62" t="s">
        <v>196</v>
      </c>
      <c r="H212" s="562"/>
      <c r="I212" s="562"/>
      <c r="J212" s="562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62" t="s">
        <v>196</v>
      </c>
      <c r="H213" s="562"/>
      <c r="I213" s="562"/>
      <c r="J213" s="562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62" t="s">
        <v>196</v>
      </c>
      <c r="H214" s="562"/>
      <c r="I214" s="562"/>
      <c r="J214" s="562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62" t="s">
        <v>196</v>
      </c>
      <c r="H215" s="562"/>
      <c r="I215" s="562"/>
      <c r="J215" s="562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62" t="s">
        <v>196</v>
      </c>
      <c r="H216" s="562"/>
      <c r="I216" s="562"/>
      <c r="J216" s="562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62" t="s">
        <v>196</v>
      </c>
      <c r="H217" s="562"/>
      <c r="I217" s="562"/>
      <c r="J217" s="562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62" t="s">
        <v>196</v>
      </c>
      <c r="H218" s="562"/>
      <c r="I218" s="562"/>
      <c r="J218" s="562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62" t="s">
        <v>196</v>
      </c>
      <c r="H219" s="562"/>
      <c r="I219" s="562"/>
      <c r="J219" s="562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62" t="s">
        <v>196</v>
      </c>
      <c r="H220" s="562"/>
      <c r="I220" s="562"/>
      <c r="J220" s="562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62" t="s">
        <v>196</v>
      </c>
      <c r="H221" s="562"/>
      <c r="I221" s="562"/>
      <c r="J221" s="562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62" t="s">
        <v>196</v>
      </c>
      <c r="H222" s="562"/>
      <c r="I222" s="562"/>
      <c r="J222" s="562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62" t="s">
        <v>196</v>
      </c>
      <c r="H223" s="562"/>
      <c r="I223" s="562"/>
      <c r="J223" s="562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62" t="s">
        <v>196</v>
      </c>
      <c r="H224" s="562"/>
      <c r="I224" s="562"/>
      <c r="J224" s="562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62" t="s">
        <v>196</v>
      </c>
      <c r="H225" s="562"/>
      <c r="I225" s="562"/>
      <c r="J225" s="562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62" t="s">
        <v>196</v>
      </c>
      <c r="H226" s="562"/>
      <c r="I226" s="562"/>
      <c r="J226" s="562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62" t="s">
        <v>196</v>
      </c>
      <c r="H227" s="562"/>
      <c r="I227" s="562"/>
      <c r="J227" s="562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62" t="s">
        <v>196</v>
      </c>
      <c r="H228" s="562"/>
      <c r="I228" s="562"/>
      <c r="J228" s="562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62" t="s">
        <v>196</v>
      </c>
      <c r="H229" s="562"/>
      <c r="I229" s="562"/>
      <c r="J229" s="562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62" t="s">
        <v>196</v>
      </c>
      <c r="H230" s="562"/>
      <c r="I230" s="562"/>
      <c r="J230" s="562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62" t="s">
        <v>196</v>
      </c>
      <c r="H231" s="562"/>
      <c r="I231" s="562"/>
      <c r="J231" s="562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62" t="s">
        <v>196</v>
      </c>
      <c r="H232" s="562"/>
      <c r="I232" s="562"/>
      <c r="J232" s="562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62" t="s">
        <v>196</v>
      </c>
      <c r="H233" s="562"/>
      <c r="I233" s="562"/>
      <c r="J233" s="562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62" t="s">
        <v>196</v>
      </c>
      <c r="H234" s="562"/>
      <c r="I234" s="562"/>
      <c r="J234" s="562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62" t="s">
        <v>196</v>
      </c>
      <c r="H235" s="562"/>
      <c r="I235" s="562"/>
      <c r="J235" s="562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62" t="s">
        <v>196</v>
      </c>
      <c r="H236" s="562"/>
      <c r="I236" s="562"/>
      <c r="J236" s="562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62" t="s">
        <v>196</v>
      </c>
      <c r="H237" s="562"/>
      <c r="I237" s="562"/>
      <c r="J237" s="562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62" t="s">
        <v>196</v>
      </c>
      <c r="H238" s="562"/>
      <c r="I238" s="562"/>
      <c r="J238" s="562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62" t="s">
        <v>196</v>
      </c>
      <c r="H239" s="562"/>
      <c r="I239" s="562"/>
      <c r="J239" s="562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62" t="s">
        <v>196</v>
      </c>
      <c r="H240" s="562"/>
      <c r="I240" s="562"/>
      <c r="J240" s="562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62" t="s">
        <v>196</v>
      </c>
      <c r="H241" s="562"/>
      <c r="I241" s="562"/>
      <c r="J241" s="562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62" t="s">
        <v>196</v>
      </c>
      <c r="H242" s="562"/>
      <c r="I242" s="562"/>
      <c r="J242" s="562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62" t="s">
        <v>196</v>
      </c>
      <c r="H243" s="562"/>
      <c r="I243" s="562"/>
      <c r="J243" s="562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62" t="s">
        <v>196</v>
      </c>
      <c r="H244" s="562"/>
      <c r="I244" s="562"/>
      <c r="J244" s="562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62" t="s">
        <v>196</v>
      </c>
      <c r="H245" s="562"/>
      <c r="I245" s="562"/>
      <c r="J245" s="562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62" t="s">
        <v>196</v>
      </c>
      <c r="H246" s="562"/>
      <c r="I246" s="562"/>
      <c r="J246" s="562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62" t="s">
        <v>196</v>
      </c>
      <c r="H247" s="562"/>
      <c r="I247" s="562"/>
      <c r="J247" s="562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62" t="s">
        <v>196</v>
      </c>
      <c r="H248" s="562"/>
      <c r="I248" s="562"/>
      <c r="J248" s="562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62" t="s">
        <v>196</v>
      </c>
      <c r="H249" s="562"/>
      <c r="I249" s="562"/>
      <c r="J249" s="562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62" t="s">
        <v>196</v>
      </c>
      <c r="H250" s="562"/>
      <c r="I250" s="562"/>
      <c r="J250" s="562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62" t="s">
        <v>196</v>
      </c>
      <c r="H251" s="562"/>
      <c r="I251" s="562"/>
      <c r="J251" s="562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62" t="s">
        <v>196</v>
      </c>
      <c r="H252" s="562"/>
      <c r="I252" s="562"/>
      <c r="J252" s="562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62" t="s">
        <v>196</v>
      </c>
      <c r="H253" s="562"/>
      <c r="I253" s="562"/>
      <c r="J253" s="562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62" t="s">
        <v>196</v>
      </c>
      <c r="H254" s="562"/>
      <c r="I254" s="562"/>
      <c r="J254" s="562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62" t="s">
        <v>196</v>
      </c>
      <c r="H255" s="562"/>
      <c r="I255" s="562"/>
      <c r="J255" s="562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62" t="s">
        <v>196</v>
      </c>
      <c r="H256" s="562"/>
      <c r="I256" s="562"/>
      <c r="J256" s="562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62" t="s">
        <v>196</v>
      </c>
      <c r="H257" s="562"/>
      <c r="I257" s="562"/>
      <c r="J257" s="562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62" t="s">
        <v>196</v>
      </c>
      <c r="H258" s="562"/>
      <c r="I258" s="562"/>
      <c r="J258" s="562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62" t="s">
        <v>196</v>
      </c>
      <c r="H259" s="562"/>
      <c r="I259" s="562"/>
      <c r="J259" s="562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62" t="s">
        <v>196</v>
      </c>
      <c r="H260" s="562"/>
      <c r="I260" s="562"/>
      <c r="J260" s="562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62" t="s">
        <v>196</v>
      </c>
      <c r="H261" s="562"/>
      <c r="I261" s="562"/>
      <c r="J261" s="562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62" t="s">
        <v>196</v>
      </c>
      <c r="H262" s="562"/>
      <c r="I262" s="562"/>
      <c r="J262" s="562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62" t="s">
        <v>196</v>
      </c>
      <c r="H263" s="562"/>
      <c r="I263" s="562"/>
      <c r="J263" s="562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62" t="s">
        <v>196</v>
      </c>
      <c r="H264" s="562"/>
      <c r="I264" s="562"/>
      <c r="J264" s="562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62" t="s">
        <v>196</v>
      </c>
      <c r="H265" s="562"/>
      <c r="I265" s="562"/>
      <c r="J265" s="562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62" t="s">
        <v>196</v>
      </c>
      <c r="H266" s="562"/>
      <c r="I266" s="562"/>
      <c r="J266" s="562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62" t="s">
        <v>196</v>
      </c>
      <c r="H267" s="562"/>
      <c r="I267" s="562"/>
      <c r="J267" s="562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62" t="s">
        <v>196</v>
      </c>
      <c r="H268" s="562"/>
      <c r="I268" s="562"/>
      <c r="J268" s="562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62" t="s">
        <v>196</v>
      </c>
      <c r="H269" s="562"/>
      <c r="I269" s="562"/>
      <c r="J269" s="562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62" t="s">
        <v>196</v>
      </c>
      <c r="H270" s="562"/>
      <c r="I270" s="562"/>
      <c r="J270" s="562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62" t="s">
        <v>196</v>
      </c>
      <c r="H271" s="562"/>
      <c r="I271" s="562"/>
      <c r="J271" s="562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62" t="s">
        <v>196</v>
      </c>
      <c r="H272" s="562"/>
      <c r="I272" s="562"/>
      <c r="J272" s="562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62" t="s">
        <v>196</v>
      </c>
      <c r="H273" s="562"/>
      <c r="I273" s="562"/>
      <c r="J273" s="562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62" t="s">
        <v>196</v>
      </c>
      <c r="H274" s="562"/>
      <c r="I274" s="562"/>
      <c r="J274" s="562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62" t="s">
        <v>196</v>
      </c>
      <c r="H275" s="562"/>
      <c r="I275" s="562"/>
      <c r="J275" s="562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62" t="s">
        <v>196</v>
      </c>
      <c r="H276" s="562"/>
      <c r="I276" s="562"/>
      <c r="J276" s="562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62" t="s">
        <v>196</v>
      </c>
      <c r="H277" s="562"/>
      <c r="I277" s="562"/>
      <c r="J277" s="562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62" t="s">
        <v>196</v>
      </c>
      <c r="H278" s="562"/>
      <c r="I278" s="562"/>
      <c r="J278" s="562"/>
      <c r="K278" s="202">
        <v>45974</v>
      </c>
      <c r="L278" s="10" t="s">
        <v>1113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1114</v>
      </c>
      <c r="D279" s="10"/>
      <c r="E279" s="191">
        <v>45925</v>
      </c>
      <c r="F279" s="192">
        <v>188.37799999999999</v>
      </c>
      <c r="G279" s="562" t="s">
        <v>196</v>
      </c>
      <c r="H279" s="562"/>
      <c r="I279" s="562"/>
      <c r="J279" s="562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62" t="s">
        <v>196</v>
      </c>
      <c r="H280" s="562"/>
      <c r="I280" s="562"/>
      <c r="J280" s="562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62" t="s">
        <v>196</v>
      </c>
      <c r="H281" s="562"/>
      <c r="I281" s="562"/>
      <c r="J281" s="562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9">
    <mergeCell ref="G276:J276"/>
    <mergeCell ref="G274:J274"/>
    <mergeCell ref="G275:J275"/>
    <mergeCell ref="G273:J273"/>
    <mergeCell ref="G281:J28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  <mergeCell ref="G268:J268"/>
    <mergeCell ref="G269:J269"/>
    <mergeCell ref="G270:J270"/>
    <mergeCell ref="G265:J265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66:J266"/>
    <mergeCell ref="G238:J238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61:J261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</mergeCells>
  <conditionalFormatting sqref="B265:B266">
    <cfRule type="expression" dxfId="711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10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9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8" priority="2562" stopIfTrue="1">
      <formula>AND(COUNTIF($D$10:$D$22, B265)+COUNTIF(#REF!, B265)&gt;1,NOT(ISBLANK(B265)))</formula>
    </cfRule>
    <cfRule type="duplicateValues" dxfId="707" priority="2561" stopIfTrue="1"/>
    <cfRule type="duplicateValues" dxfId="706" priority="2560" stopIfTrue="1"/>
    <cfRule type="duplicateValues" dxfId="705" priority="2559" stopIfTrue="1"/>
    <cfRule type="expression" dxfId="704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3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2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701" priority="2555" stopIfTrue="1"/>
    <cfRule type="duplicateValues" dxfId="700" priority="2554" stopIfTrue="1"/>
    <cfRule type="duplicateValues" dxfId="699" priority="2553" stopIfTrue="1"/>
  </conditionalFormatting>
  <conditionalFormatting sqref="B271">
    <cfRule type="duplicateValues" dxfId="698" priority="14" stopIfTrue="1"/>
    <cfRule type="duplicateValues" dxfId="697" priority="15" stopIfTrue="1"/>
    <cfRule type="duplicateValues" dxfId="696" priority="16" stopIfTrue="1"/>
    <cfRule type="duplicateValues" dxfId="695" priority="17" stopIfTrue="1"/>
    <cfRule type="duplicateValues" dxfId="694" priority="18" stopIfTrue="1"/>
    <cfRule type="duplicateValues" dxfId="693" priority="19" stopIfTrue="1"/>
    <cfRule type="expression" dxfId="692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1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0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9" priority="23" stopIfTrue="1">
      <formula>AND(COUNTIF($D$10:$D$22, B271)+COUNTIF(#REF!, B271)&gt;1,NOT(ISBLANK(B271)))</formula>
    </cfRule>
    <cfRule type="expression" dxfId="688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7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6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5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4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3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2" priority="10" stopIfTrue="1">
      <formula>AND(COUNTIF($D$10:$D$22, B281)+COUNTIF(#REF!, B281)&gt;1,NOT(ISBLANK(B281)))</formula>
    </cfRule>
    <cfRule type="expression" dxfId="681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80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9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8" priority="6" stopIfTrue="1"/>
    <cfRule type="duplicateValues" dxfId="677" priority="5" stopIfTrue="1"/>
    <cfRule type="duplicateValues" dxfId="676" priority="4" stopIfTrue="1"/>
    <cfRule type="duplicateValues" dxfId="675" priority="3" stopIfTrue="1"/>
    <cfRule type="duplicateValues" dxfId="674" priority="2" stopIfTrue="1"/>
    <cfRule type="duplicateValues" dxfId="673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24" workbookViewId="0">
      <selection activeCell="K34" sqref="K34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45982</v>
      </c>
      <c r="L26" s="191"/>
      <c r="M26" s="485">
        <f t="shared" si="1"/>
        <v>4822.84</v>
      </c>
      <c r="N26" s="486" t="s">
        <v>1117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 t="s">
        <v>1119</v>
      </c>
      <c r="O28" s="10" t="s">
        <v>1073</v>
      </c>
      <c r="P28" s="488" t="s">
        <v>1126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 t="s">
        <v>1107</v>
      </c>
      <c r="D29" s="10" t="s">
        <v>1104</v>
      </c>
      <c r="E29" s="279">
        <v>0.32300000000000001</v>
      </c>
      <c r="F29" s="10" t="s">
        <v>1080</v>
      </c>
      <c r="G29" s="483" t="s">
        <v>1072</v>
      </c>
      <c r="H29" s="191">
        <v>45982</v>
      </c>
      <c r="I29" s="191">
        <v>45985</v>
      </c>
      <c r="J29" s="484">
        <f>E29</f>
        <v>0.32300000000000001</v>
      </c>
      <c r="K29" s="191"/>
      <c r="L29" s="191"/>
      <c r="M29" s="485"/>
      <c r="N29" s="486" t="s">
        <v>1117</v>
      </c>
      <c r="O29" s="10" t="s">
        <v>1095</v>
      </c>
      <c r="P29" s="10"/>
      <c r="Q29" s="10"/>
    </row>
    <row r="30" spans="1:20">
      <c r="A30" s="10">
        <f t="shared" si="2"/>
        <v>27</v>
      </c>
      <c r="B30" s="482" t="s">
        <v>1068</v>
      </c>
      <c r="C30" s="10" t="s">
        <v>1088</v>
      </c>
      <c r="D30" s="10" t="s">
        <v>1127</v>
      </c>
      <c r="E30" s="279">
        <v>0.46473999999999999</v>
      </c>
      <c r="F30" s="10" t="s">
        <v>1080</v>
      </c>
      <c r="G30" s="483" t="s">
        <v>1072</v>
      </c>
      <c r="H30" s="191">
        <v>45983</v>
      </c>
      <c r="I30" s="191"/>
      <c r="J30" s="484">
        <f>E30</f>
        <v>0.46473999999999999</v>
      </c>
      <c r="K30" s="191"/>
      <c r="L30" s="191"/>
      <c r="M30" s="485"/>
      <c r="N30" s="245"/>
      <c r="O30" s="10" t="s">
        <v>1073</v>
      </c>
      <c r="P30" s="488"/>
      <c r="Q30" s="10"/>
    </row>
    <row r="31" spans="1:20">
      <c r="A31" s="10">
        <f t="shared" si="2"/>
        <v>28</v>
      </c>
      <c r="B31" s="482" t="s">
        <v>1068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72.687962739999989</v>
      </c>
      <c r="F82" s="493"/>
      <c r="G82" s="494"/>
      <c r="H82" s="493"/>
      <c r="I82" s="493"/>
      <c r="J82" s="492">
        <f>SUM(J4:J79)/1000</f>
        <v>69.231402739999993</v>
      </c>
      <c r="K82" s="493"/>
      <c r="L82" s="493"/>
      <c r="M82" s="492">
        <f>SUM(M4:M79)/1000</f>
        <v>64.283304999999999</v>
      </c>
      <c r="N82" s="493"/>
      <c r="O82" s="493"/>
      <c r="P82" s="493"/>
      <c r="Q82" s="493"/>
    </row>
  </sheetData>
  <conditionalFormatting sqref="B83:B1048576 B1:B2">
    <cfRule type="duplicateValues" dxfId="672" priority="6"/>
  </conditionalFormatting>
  <conditionalFormatting sqref="C3:C28 C31:C80">
    <cfRule type="duplicateValues" dxfId="671" priority="11"/>
  </conditionalFormatting>
  <conditionalFormatting sqref="C32">
    <cfRule type="duplicateValues" dxfId="670" priority="7"/>
  </conditionalFormatting>
  <conditionalFormatting sqref="C39">
    <cfRule type="duplicateValues" dxfId="669" priority="8"/>
  </conditionalFormatting>
  <conditionalFormatting sqref="C81:C82">
    <cfRule type="duplicateValues" dxfId="668" priority="9"/>
  </conditionalFormatting>
  <conditionalFormatting sqref="D33:D63 D66:D80 D3:D28 D31">
    <cfRule type="duplicateValues" dxfId="667" priority="10"/>
  </conditionalFormatting>
  <conditionalFormatting sqref="D64">
    <cfRule type="duplicateValues" dxfId="666" priority="4"/>
  </conditionalFormatting>
  <conditionalFormatting sqref="D65">
    <cfRule type="duplicateValues" dxfId="665" priority="5"/>
  </conditionalFormatting>
  <conditionalFormatting sqref="D81:D82">
    <cfRule type="duplicateValues" dxfId="664" priority="3"/>
  </conditionalFormatting>
  <conditionalFormatting sqref="C29:C30">
    <cfRule type="duplicateValues" dxfId="1" priority="2"/>
  </conditionalFormatting>
  <conditionalFormatting sqref="D29:D30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61"/>
  <sheetViews>
    <sheetView topLeftCell="A648" workbookViewId="0">
      <selection activeCell="A654" sqref="A654:XFD654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48" t="s">
        <v>164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50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86" t="s">
        <v>177</v>
      </c>
      <c r="B7" s="587"/>
      <c r="C7" s="587"/>
      <c r="D7" s="587"/>
      <c r="E7" s="587"/>
      <c r="F7" s="587"/>
      <c r="G7" s="587"/>
      <c r="H7" s="587"/>
      <c r="I7" s="587"/>
      <c r="J7" s="587"/>
      <c r="K7" s="587"/>
      <c r="L7" s="587"/>
      <c r="M7" s="587"/>
      <c r="N7" s="588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89" t="s">
        <v>73</v>
      </c>
      <c r="N8" s="590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28"/>
      <c r="N9" s="529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28"/>
      <c r="N10" s="529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583" t="s">
        <v>71</v>
      </c>
      <c r="H12" s="583"/>
      <c r="I12" s="583"/>
      <c r="J12" s="583"/>
      <c r="K12" s="271" t="s">
        <v>191</v>
      </c>
      <c r="L12" s="271" t="s">
        <v>192</v>
      </c>
      <c r="M12" s="271" t="s">
        <v>193</v>
      </c>
      <c r="N12" s="583" t="s">
        <v>194</v>
      </c>
      <c r="O12" s="583"/>
      <c r="P12" s="583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576" t="s">
        <v>55</v>
      </c>
      <c r="H13" s="577"/>
      <c r="I13" s="577"/>
      <c r="J13" s="578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576" t="s">
        <v>55</v>
      </c>
      <c r="H14" s="577"/>
      <c r="I14" s="577"/>
      <c r="J14" s="578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576" t="s">
        <v>55</v>
      </c>
      <c r="H15" s="577"/>
      <c r="I15" s="577"/>
      <c r="J15" s="578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576" t="s">
        <v>55</v>
      </c>
      <c r="H16" s="577"/>
      <c r="I16" s="577"/>
      <c r="J16" s="578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576" t="s">
        <v>55</v>
      </c>
      <c r="H17" s="577"/>
      <c r="I17" s="577"/>
      <c r="J17" s="578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576" t="s">
        <v>55</v>
      </c>
      <c r="H18" s="577"/>
      <c r="I18" s="577"/>
      <c r="J18" s="578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576" t="s">
        <v>55</v>
      </c>
      <c r="H19" s="577"/>
      <c r="I19" s="577"/>
      <c r="J19" s="578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576" t="s">
        <v>55</v>
      </c>
      <c r="H20" s="577"/>
      <c r="I20" s="577"/>
      <c r="J20" s="578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576" t="s">
        <v>55</v>
      </c>
      <c r="H21" s="577"/>
      <c r="I21" s="577"/>
      <c r="J21" s="578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576" t="s">
        <v>55</v>
      </c>
      <c r="H22" s="577"/>
      <c r="I22" s="577"/>
      <c r="J22" s="578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576" t="s">
        <v>55</v>
      </c>
      <c r="H23" s="577"/>
      <c r="I23" s="577"/>
      <c r="J23" s="578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576" t="s">
        <v>55</v>
      </c>
      <c r="H24" s="577"/>
      <c r="I24" s="577"/>
      <c r="J24" s="578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576" t="s">
        <v>55</v>
      </c>
      <c r="H25" s="577"/>
      <c r="I25" s="577"/>
      <c r="J25" s="578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576" t="s">
        <v>55</v>
      </c>
      <c r="H26" s="577"/>
      <c r="I26" s="577"/>
      <c r="J26" s="578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576" t="s">
        <v>55</v>
      </c>
      <c r="H27" s="577"/>
      <c r="I27" s="577"/>
      <c r="J27" s="578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576" t="s">
        <v>55</v>
      </c>
      <c r="H28" s="577"/>
      <c r="I28" s="577"/>
      <c r="J28" s="578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576" t="s">
        <v>55</v>
      </c>
      <c r="H29" s="577"/>
      <c r="I29" s="577"/>
      <c r="J29" s="578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576" t="s">
        <v>55</v>
      </c>
      <c r="H30" s="577"/>
      <c r="I30" s="577"/>
      <c r="J30" s="578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576" t="s">
        <v>55</v>
      </c>
      <c r="H31" s="577"/>
      <c r="I31" s="577"/>
      <c r="J31" s="578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576" t="s">
        <v>55</v>
      </c>
      <c r="H32" s="577"/>
      <c r="I32" s="577"/>
      <c r="J32" s="578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576" t="s">
        <v>55</v>
      </c>
      <c r="H33" s="577"/>
      <c r="I33" s="577"/>
      <c r="J33" s="578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576" t="s">
        <v>55</v>
      </c>
      <c r="H34" s="577"/>
      <c r="I34" s="577"/>
      <c r="J34" s="578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576" t="s">
        <v>55</v>
      </c>
      <c r="H35" s="577"/>
      <c r="I35" s="577"/>
      <c r="J35" s="578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576" t="s">
        <v>55</v>
      </c>
      <c r="H36" s="577"/>
      <c r="I36" s="577"/>
      <c r="J36" s="578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576" t="s">
        <v>55</v>
      </c>
      <c r="H37" s="577"/>
      <c r="I37" s="577"/>
      <c r="J37" s="578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576" t="s">
        <v>55</v>
      </c>
      <c r="H38" s="577"/>
      <c r="I38" s="577"/>
      <c r="J38" s="578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576" t="s">
        <v>55</v>
      </c>
      <c r="H39" s="577"/>
      <c r="I39" s="577"/>
      <c r="J39" s="578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576" t="s">
        <v>55</v>
      </c>
      <c r="H40" s="577"/>
      <c r="I40" s="577"/>
      <c r="J40" s="578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576" t="s">
        <v>55</v>
      </c>
      <c r="H41" s="577"/>
      <c r="I41" s="577"/>
      <c r="J41" s="578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576" t="s">
        <v>55</v>
      </c>
      <c r="H42" s="577"/>
      <c r="I42" s="577"/>
      <c r="J42" s="578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576" t="s">
        <v>55</v>
      </c>
      <c r="H43" s="577"/>
      <c r="I43" s="577"/>
      <c r="J43" s="578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576" t="s">
        <v>55</v>
      </c>
      <c r="H44" s="577"/>
      <c r="I44" s="577"/>
      <c r="J44" s="578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576" t="s">
        <v>55</v>
      </c>
      <c r="H45" s="577"/>
      <c r="I45" s="577"/>
      <c r="J45" s="578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576" t="s">
        <v>55</v>
      </c>
      <c r="H46" s="577"/>
      <c r="I46" s="577"/>
      <c r="J46" s="578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576" t="s">
        <v>55</v>
      </c>
      <c r="H47" s="577"/>
      <c r="I47" s="577"/>
      <c r="J47" s="578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576" t="s">
        <v>55</v>
      </c>
      <c r="H48" s="577"/>
      <c r="I48" s="577"/>
      <c r="J48" s="578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576" t="s">
        <v>55</v>
      </c>
      <c r="H49" s="577"/>
      <c r="I49" s="577"/>
      <c r="J49" s="578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576" t="s">
        <v>55</v>
      </c>
      <c r="H50" s="577"/>
      <c r="I50" s="577"/>
      <c r="J50" s="578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576" t="s">
        <v>55</v>
      </c>
      <c r="H51" s="577"/>
      <c r="I51" s="577"/>
      <c r="J51" s="578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576" t="s">
        <v>55</v>
      </c>
      <c r="H52" s="577"/>
      <c r="I52" s="577"/>
      <c r="J52" s="578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576" t="s">
        <v>55</v>
      </c>
      <c r="H53" s="577"/>
      <c r="I53" s="577"/>
      <c r="J53" s="578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576" t="s">
        <v>55</v>
      </c>
      <c r="H54" s="577"/>
      <c r="I54" s="577"/>
      <c r="J54" s="578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576" t="s">
        <v>55</v>
      </c>
      <c r="H55" s="577"/>
      <c r="I55" s="577"/>
      <c r="J55" s="578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576" t="s">
        <v>55</v>
      </c>
      <c r="H56" s="577"/>
      <c r="I56" s="577"/>
      <c r="J56" s="578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576" t="s">
        <v>55</v>
      </c>
      <c r="H57" s="577"/>
      <c r="I57" s="577"/>
      <c r="J57" s="578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576" t="s">
        <v>55</v>
      </c>
      <c r="H58" s="577"/>
      <c r="I58" s="577"/>
      <c r="J58" s="578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576" t="s">
        <v>55</v>
      </c>
      <c r="H59" s="577"/>
      <c r="I59" s="577"/>
      <c r="J59" s="578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576" t="s">
        <v>55</v>
      </c>
      <c r="H60" s="577"/>
      <c r="I60" s="577"/>
      <c r="J60" s="578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576" t="s">
        <v>55</v>
      </c>
      <c r="H61" s="577"/>
      <c r="I61" s="577"/>
      <c r="J61" s="578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576" t="s">
        <v>55</v>
      </c>
      <c r="H62" s="577"/>
      <c r="I62" s="577"/>
      <c r="J62" s="578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576" t="s">
        <v>55</v>
      </c>
      <c r="H63" s="577"/>
      <c r="I63" s="577"/>
      <c r="J63" s="578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576" t="s">
        <v>55</v>
      </c>
      <c r="H64" s="577"/>
      <c r="I64" s="577"/>
      <c r="J64" s="578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576" t="s">
        <v>55</v>
      </c>
      <c r="H65" s="577"/>
      <c r="I65" s="577"/>
      <c r="J65" s="578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576" t="s">
        <v>55</v>
      </c>
      <c r="H66" s="577"/>
      <c r="I66" s="577"/>
      <c r="J66" s="578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576" t="s">
        <v>55</v>
      </c>
      <c r="H67" s="577"/>
      <c r="I67" s="577"/>
      <c r="J67" s="578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576" t="s">
        <v>55</v>
      </c>
      <c r="H68" s="577"/>
      <c r="I68" s="577"/>
      <c r="J68" s="578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576" t="s">
        <v>55</v>
      </c>
      <c r="H69" s="577"/>
      <c r="I69" s="577"/>
      <c r="J69" s="578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576" t="s">
        <v>55</v>
      </c>
      <c r="H70" s="577"/>
      <c r="I70" s="577"/>
      <c r="J70" s="578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576" t="s">
        <v>55</v>
      </c>
      <c r="H71" s="577"/>
      <c r="I71" s="577"/>
      <c r="J71" s="578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576" t="s">
        <v>55</v>
      </c>
      <c r="H72" s="577"/>
      <c r="I72" s="577"/>
      <c r="J72" s="578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576" t="s">
        <v>55</v>
      </c>
      <c r="H73" s="577"/>
      <c r="I73" s="577"/>
      <c r="J73" s="578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576" t="s">
        <v>55</v>
      </c>
      <c r="H74" s="577"/>
      <c r="I74" s="577"/>
      <c r="J74" s="578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576" t="s">
        <v>55</v>
      </c>
      <c r="H75" s="577"/>
      <c r="I75" s="577"/>
      <c r="J75" s="578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576" t="s">
        <v>55</v>
      </c>
      <c r="H76" s="577"/>
      <c r="I76" s="577"/>
      <c r="J76" s="578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576" t="s">
        <v>55</v>
      </c>
      <c r="H77" s="577"/>
      <c r="I77" s="577"/>
      <c r="J77" s="578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576" t="s">
        <v>55</v>
      </c>
      <c r="H78" s="577"/>
      <c r="I78" s="577"/>
      <c r="J78" s="578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576" t="s">
        <v>55</v>
      </c>
      <c r="H79" s="577"/>
      <c r="I79" s="577"/>
      <c r="J79" s="578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576" t="s">
        <v>55</v>
      </c>
      <c r="H80" s="577"/>
      <c r="I80" s="577"/>
      <c r="J80" s="578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576" t="s">
        <v>55</v>
      </c>
      <c r="H81" s="577"/>
      <c r="I81" s="577"/>
      <c r="J81" s="578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576" t="s">
        <v>55</v>
      </c>
      <c r="H82" s="577"/>
      <c r="I82" s="577"/>
      <c r="J82" s="578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576" t="s">
        <v>55</v>
      </c>
      <c r="H83" s="577"/>
      <c r="I83" s="577"/>
      <c r="J83" s="578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576" t="s">
        <v>55</v>
      </c>
      <c r="H84" s="577"/>
      <c r="I84" s="577"/>
      <c r="J84" s="578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576" t="s">
        <v>55</v>
      </c>
      <c r="H85" s="577"/>
      <c r="I85" s="577"/>
      <c r="J85" s="578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576" t="s">
        <v>55</v>
      </c>
      <c r="H86" s="577"/>
      <c r="I86" s="577"/>
      <c r="J86" s="578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576" t="s">
        <v>55</v>
      </c>
      <c r="H87" s="577"/>
      <c r="I87" s="577"/>
      <c r="J87" s="578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576" t="s">
        <v>55</v>
      </c>
      <c r="H88" s="577"/>
      <c r="I88" s="577"/>
      <c r="J88" s="578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576" t="s">
        <v>55</v>
      </c>
      <c r="H89" s="577"/>
      <c r="I89" s="577"/>
      <c r="J89" s="578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576" t="s">
        <v>55</v>
      </c>
      <c r="H90" s="577"/>
      <c r="I90" s="577"/>
      <c r="J90" s="578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576" t="s">
        <v>55</v>
      </c>
      <c r="H91" s="577"/>
      <c r="I91" s="577"/>
      <c r="J91" s="578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576" t="s">
        <v>55</v>
      </c>
      <c r="H92" s="577"/>
      <c r="I92" s="577"/>
      <c r="J92" s="578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576" t="s">
        <v>55</v>
      </c>
      <c r="H93" s="577"/>
      <c r="I93" s="577"/>
      <c r="J93" s="578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576" t="s">
        <v>55</v>
      </c>
      <c r="H94" s="577"/>
      <c r="I94" s="577"/>
      <c r="J94" s="578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576" t="s">
        <v>55</v>
      </c>
      <c r="H95" s="577"/>
      <c r="I95" s="577"/>
      <c r="J95" s="578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576" t="s">
        <v>55</v>
      </c>
      <c r="H96" s="577"/>
      <c r="I96" s="577"/>
      <c r="J96" s="578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576" t="s">
        <v>55</v>
      </c>
      <c r="H97" s="577"/>
      <c r="I97" s="577"/>
      <c r="J97" s="578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576" t="s">
        <v>55</v>
      </c>
      <c r="H98" s="577"/>
      <c r="I98" s="577"/>
      <c r="J98" s="578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576" t="s">
        <v>55</v>
      </c>
      <c r="H99" s="577"/>
      <c r="I99" s="577"/>
      <c r="J99" s="578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576" t="s">
        <v>55</v>
      </c>
      <c r="H100" s="577"/>
      <c r="I100" s="577"/>
      <c r="J100" s="578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576" t="s">
        <v>55</v>
      </c>
      <c r="H101" s="577"/>
      <c r="I101" s="577"/>
      <c r="J101" s="578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576" t="s">
        <v>55</v>
      </c>
      <c r="H102" s="577"/>
      <c r="I102" s="577"/>
      <c r="J102" s="578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576" t="s">
        <v>55</v>
      </c>
      <c r="H103" s="577"/>
      <c r="I103" s="577"/>
      <c r="J103" s="578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576" t="s">
        <v>55</v>
      </c>
      <c r="H104" s="577"/>
      <c r="I104" s="577"/>
      <c r="J104" s="578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576" t="s">
        <v>55</v>
      </c>
      <c r="H105" s="577"/>
      <c r="I105" s="577"/>
      <c r="J105" s="578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576" t="s">
        <v>55</v>
      </c>
      <c r="H106" s="577"/>
      <c r="I106" s="577"/>
      <c r="J106" s="578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576" t="s">
        <v>55</v>
      </c>
      <c r="H107" s="577"/>
      <c r="I107" s="577"/>
      <c r="J107" s="578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576" t="s">
        <v>55</v>
      </c>
      <c r="H108" s="577"/>
      <c r="I108" s="577"/>
      <c r="J108" s="578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576" t="s">
        <v>55</v>
      </c>
      <c r="H109" s="577"/>
      <c r="I109" s="577"/>
      <c r="J109" s="578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576" t="s">
        <v>55</v>
      </c>
      <c r="H110" s="577"/>
      <c r="I110" s="577"/>
      <c r="J110" s="578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576" t="s">
        <v>55</v>
      </c>
      <c r="H111" s="577"/>
      <c r="I111" s="577"/>
      <c r="J111" s="578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576" t="s">
        <v>55</v>
      </c>
      <c r="H112" s="577"/>
      <c r="I112" s="577"/>
      <c r="J112" s="578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576" t="s">
        <v>55</v>
      </c>
      <c r="H113" s="577"/>
      <c r="I113" s="577"/>
      <c r="J113" s="578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576" t="s">
        <v>55</v>
      </c>
      <c r="H114" s="577"/>
      <c r="I114" s="577"/>
      <c r="J114" s="578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576" t="s">
        <v>55</v>
      </c>
      <c r="H115" s="577"/>
      <c r="I115" s="577"/>
      <c r="J115" s="578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576" t="s">
        <v>55</v>
      </c>
      <c r="H116" s="577"/>
      <c r="I116" s="577"/>
      <c r="J116" s="578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576" t="s">
        <v>55</v>
      </c>
      <c r="H117" s="577"/>
      <c r="I117" s="577"/>
      <c r="J117" s="578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576" t="s">
        <v>55</v>
      </c>
      <c r="H118" s="577"/>
      <c r="I118" s="577"/>
      <c r="J118" s="578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576" t="s">
        <v>55</v>
      </c>
      <c r="H119" s="577"/>
      <c r="I119" s="577"/>
      <c r="J119" s="578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576" t="s">
        <v>55</v>
      </c>
      <c r="H120" s="577"/>
      <c r="I120" s="577"/>
      <c r="J120" s="578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576" t="s">
        <v>55</v>
      </c>
      <c r="H121" s="577"/>
      <c r="I121" s="577"/>
      <c r="J121" s="578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576" t="s">
        <v>55</v>
      </c>
      <c r="H122" s="577"/>
      <c r="I122" s="577"/>
      <c r="J122" s="578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576" t="s">
        <v>55</v>
      </c>
      <c r="H123" s="577"/>
      <c r="I123" s="577"/>
      <c r="J123" s="578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576" t="s">
        <v>55</v>
      </c>
      <c r="H124" s="577"/>
      <c r="I124" s="577"/>
      <c r="J124" s="578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576" t="s">
        <v>55</v>
      </c>
      <c r="H125" s="577"/>
      <c r="I125" s="577"/>
      <c r="J125" s="578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576" t="s">
        <v>55</v>
      </c>
      <c r="H126" s="577"/>
      <c r="I126" s="577"/>
      <c r="J126" s="578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576" t="s">
        <v>55</v>
      </c>
      <c r="H127" s="577"/>
      <c r="I127" s="577"/>
      <c r="J127" s="578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576" t="s">
        <v>55</v>
      </c>
      <c r="H128" s="577"/>
      <c r="I128" s="577"/>
      <c r="J128" s="578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576" t="s">
        <v>55</v>
      </c>
      <c r="H129" s="577"/>
      <c r="I129" s="577"/>
      <c r="J129" s="578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576" t="s">
        <v>55</v>
      </c>
      <c r="H130" s="577"/>
      <c r="I130" s="577"/>
      <c r="J130" s="578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576" t="s">
        <v>55</v>
      </c>
      <c r="H131" s="577"/>
      <c r="I131" s="577"/>
      <c r="J131" s="578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576" t="s">
        <v>55</v>
      </c>
      <c r="H132" s="577"/>
      <c r="I132" s="577"/>
      <c r="J132" s="578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576" t="s">
        <v>55</v>
      </c>
      <c r="H133" s="577"/>
      <c r="I133" s="577"/>
      <c r="J133" s="578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576" t="s">
        <v>55</v>
      </c>
      <c r="H134" s="577"/>
      <c r="I134" s="577"/>
      <c r="J134" s="578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576" t="s">
        <v>55</v>
      </c>
      <c r="H135" s="577"/>
      <c r="I135" s="577"/>
      <c r="J135" s="578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576" t="s">
        <v>55</v>
      </c>
      <c r="H136" s="577"/>
      <c r="I136" s="577"/>
      <c r="J136" s="578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576" t="s">
        <v>55</v>
      </c>
      <c r="H137" s="577"/>
      <c r="I137" s="577"/>
      <c r="J137" s="578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576" t="s">
        <v>55</v>
      </c>
      <c r="H138" s="577"/>
      <c r="I138" s="577"/>
      <c r="J138" s="578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576" t="s">
        <v>55</v>
      </c>
      <c r="H139" s="577"/>
      <c r="I139" s="577"/>
      <c r="J139" s="578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576" t="s">
        <v>55</v>
      </c>
      <c r="H140" s="577"/>
      <c r="I140" s="577"/>
      <c r="J140" s="578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576" t="s">
        <v>55</v>
      </c>
      <c r="H141" s="577"/>
      <c r="I141" s="577"/>
      <c r="J141" s="578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576" t="s">
        <v>55</v>
      </c>
      <c r="H142" s="577"/>
      <c r="I142" s="577"/>
      <c r="J142" s="578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576" t="s">
        <v>55</v>
      </c>
      <c r="H143" s="577"/>
      <c r="I143" s="577"/>
      <c r="J143" s="578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576" t="s">
        <v>55</v>
      </c>
      <c r="H144" s="577"/>
      <c r="I144" s="577"/>
      <c r="J144" s="578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576" t="s">
        <v>55</v>
      </c>
      <c r="H145" s="577"/>
      <c r="I145" s="577"/>
      <c r="J145" s="578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576" t="s">
        <v>55</v>
      </c>
      <c r="H146" s="577"/>
      <c r="I146" s="577"/>
      <c r="J146" s="578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576" t="s">
        <v>55</v>
      </c>
      <c r="H147" s="577"/>
      <c r="I147" s="577"/>
      <c r="J147" s="578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576" t="s">
        <v>55</v>
      </c>
      <c r="H148" s="577"/>
      <c r="I148" s="577"/>
      <c r="J148" s="578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576" t="s">
        <v>55</v>
      </c>
      <c r="H149" s="577"/>
      <c r="I149" s="577"/>
      <c r="J149" s="578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576" t="s">
        <v>55</v>
      </c>
      <c r="H150" s="577"/>
      <c r="I150" s="577"/>
      <c r="J150" s="578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576" t="s">
        <v>55</v>
      </c>
      <c r="H151" s="577"/>
      <c r="I151" s="577"/>
      <c r="J151" s="578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576" t="s">
        <v>55</v>
      </c>
      <c r="H152" s="577"/>
      <c r="I152" s="577"/>
      <c r="J152" s="578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576" t="s">
        <v>55</v>
      </c>
      <c r="H153" s="577"/>
      <c r="I153" s="577"/>
      <c r="J153" s="578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576" t="s">
        <v>55</v>
      </c>
      <c r="H154" s="577"/>
      <c r="I154" s="577"/>
      <c r="J154" s="578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576" t="s">
        <v>55</v>
      </c>
      <c r="H155" s="577"/>
      <c r="I155" s="577"/>
      <c r="J155" s="578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576" t="s">
        <v>55</v>
      </c>
      <c r="H156" s="577"/>
      <c r="I156" s="577"/>
      <c r="J156" s="578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576" t="s">
        <v>55</v>
      </c>
      <c r="H157" s="577"/>
      <c r="I157" s="577"/>
      <c r="J157" s="578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576" t="s">
        <v>55</v>
      </c>
      <c r="H158" s="577"/>
      <c r="I158" s="577"/>
      <c r="J158" s="578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576" t="s">
        <v>55</v>
      </c>
      <c r="H159" s="577"/>
      <c r="I159" s="577"/>
      <c r="J159" s="578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576" t="s">
        <v>55</v>
      </c>
      <c r="H160" s="577"/>
      <c r="I160" s="577"/>
      <c r="J160" s="578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576" t="s">
        <v>55</v>
      </c>
      <c r="H161" s="577"/>
      <c r="I161" s="577"/>
      <c r="J161" s="578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576" t="s">
        <v>55</v>
      </c>
      <c r="H162" s="577"/>
      <c r="I162" s="577"/>
      <c r="J162" s="578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576" t="s">
        <v>55</v>
      </c>
      <c r="H163" s="577"/>
      <c r="I163" s="577"/>
      <c r="J163" s="578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576" t="s">
        <v>55</v>
      </c>
      <c r="H164" s="577"/>
      <c r="I164" s="577"/>
      <c r="J164" s="578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576" t="s">
        <v>55</v>
      </c>
      <c r="H165" s="577"/>
      <c r="I165" s="577"/>
      <c r="J165" s="578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576" t="s">
        <v>55</v>
      </c>
      <c r="H166" s="577"/>
      <c r="I166" s="577"/>
      <c r="J166" s="578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576" t="s">
        <v>55</v>
      </c>
      <c r="H167" s="577"/>
      <c r="I167" s="577"/>
      <c r="J167" s="578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576" t="s">
        <v>55</v>
      </c>
      <c r="H168" s="577"/>
      <c r="I168" s="577"/>
      <c r="J168" s="578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576" t="s">
        <v>55</v>
      </c>
      <c r="H169" s="577"/>
      <c r="I169" s="577"/>
      <c r="J169" s="578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576" t="s">
        <v>55</v>
      </c>
      <c r="H170" s="577"/>
      <c r="I170" s="577"/>
      <c r="J170" s="578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576" t="s">
        <v>55</v>
      </c>
      <c r="H171" s="577"/>
      <c r="I171" s="577"/>
      <c r="J171" s="578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576" t="s">
        <v>55</v>
      </c>
      <c r="H172" s="577"/>
      <c r="I172" s="577"/>
      <c r="J172" s="578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576" t="s">
        <v>55</v>
      </c>
      <c r="H173" s="577"/>
      <c r="I173" s="577"/>
      <c r="J173" s="578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576" t="s">
        <v>55</v>
      </c>
      <c r="H174" s="577"/>
      <c r="I174" s="577"/>
      <c r="J174" s="578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576" t="s">
        <v>55</v>
      </c>
      <c r="H175" s="577"/>
      <c r="I175" s="577"/>
      <c r="J175" s="578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576" t="s">
        <v>55</v>
      </c>
      <c r="H176" s="577"/>
      <c r="I176" s="577"/>
      <c r="J176" s="578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576" t="s">
        <v>55</v>
      </c>
      <c r="H177" s="577"/>
      <c r="I177" s="577"/>
      <c r="J177" s="578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576" t="s">
        <v>55</v>
      </c>
      <c r="H178" s="577"/>
      <c r="I178" s="577"/>
      <c r="J178" s="578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576" t="s">
        <v>55</v>
      </c>
      <c r="H179" s="577"/>
      <c r="I179" s="577"/>
      <c r="J179" s="578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576" t="s">
        <v>55</v>
      </c>
      <c r="H180" s="577"/>
      <c r="I180" s="577"/>
      <c r="J180" s="578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576" t="s">
        <v>55</v>
      </c>
      <c r="H181" s="577"/>
      <c r="I181" s="577"/>
      <c r="J181" s="578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576" t="s">
        <v>55</v>
      </c>
      <c r="H182" s="577"/>
      <c r="I182" s="577"/>
      <c r="J182" s="578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576" t="s">
        <v>55</v>
      </c>
      <c r="H183" s="577"/>
      <c r="I183" s="577"/>
      <c r="J183" s="578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576" t="s">
        <v>55</v>
      </c>
      <c r="H184" s="577"/>
      <c r="I184" s="577"/>
      <c r="J184" s="578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576" t="s">
        <v>55</v>
      </c>
      <c r="H185" s="577"/>
      <c r="I185" s="577"/>
      <c r="J185" s="578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576" t="s">
        <v>55</v>
      </c>
      <c r="H186" s="577"/>
      <c r="I186" s="577"/>
      <c r="J186" s="578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576" t="s">
        <v>55</v>
      </c>
      <c r="H187" s="577"/>
      <c r="I187" s="577"/>
      <c r="J187" s="578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576" t="s">
        <v>55</v>
      </c>
      <c r="H188" s="577"/>
      <c r="I188" s="577"/>
      <c r="J188" s="578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576" t="s">
        <v>55</v>
      </c>
      <c r="H189" s="577"/>
      <c r="I189" s="577"/>
      <c r="J189" s="578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576" t="s">
        <v>55</v>
      </c>
      <c r="H190" s="577"/>
      <c r="I190" s="577"/>
      <c r="J190" s="578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576" t="s">
        <v>55</v>
      </c>
      <c r="H191" s="577"/>
      <c r="I191" s="577"/>
      <c r="J191" s="578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576" t="s">
        <v>55</v>
      </c>
      <c r="H192" s="577"/>
      <c r="I192" s="577"/>
      <c r="J192" s="578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576" t="s">
        <v>55</v>
      </c>
      <c r="H193" s="577"/>
      <c r="I193" s="577"/>
      <c r="J193" s="578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576" t="s">
        <v>55</v>
      </c>
      <c r="H194" s="577"/>
      <c r="I194" s="577"/>
      <c r="J194" s="578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576" t="s">
        <v>55</v>
      </c>
      <c r="H195" s="577"/>
      <c r="I195" s="577"/>
      <c r="J195" s="578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576" t="s">
        <v>55</v>
      </c>
      <c r="H196" s="577"/>
      <c r="I196" s="577"/>
      <c r="J196" s="578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576" t="s">
        <v>55</v>
      </c>
      <c r="H197" s="577"/>
      <c r="I197" s="577"/>
      <c r="J197" s="578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576" t="s">
        <v>55</v>
      </c>
      <c r="H198" s="577"/>
      <c r="I198" s="577"/>
      <c r="J198" s="578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576" t="s">
        <v>55</v>
      </c>
      <c r="H199" s="577"/>
      <c r="I199" s="577"/>
      <c r="J199" s="578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576" t="s">
        <v>55</v>
      </c>
      <c r="H200" s="577"/>
      <c r="I200" s="577"/>
      <c r="J200" s="578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576" t="s">
        <v>55</v>
      </c>
      <c r="H201" s="577"/>
      <c r="I201" s="577"/>
      <c r="J201" s="578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576" t="s">
        <v>55</v>
      </c>
      <c r="H202" s="577"/>
      <c r="I202" s="577"/>
      <c r="J202" s="578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576" t="s">
        <v>55</v>
      </c>
      <c r="H203" s="577"/>
      <c r="I203" s="577"/>
      <c r="J203" s="578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576" t="s">
        <v>55</v>
      </c>
      <c r="H204" s="577"/>
      <c r="I204" s="577"/>
      <c r="J204" s="578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576" t="s">
        <v>55</v>
      </c>
      <c r="H205" s="577"/>
      <c r="I205" s="577"/>
      <c r="J205" s="578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576" t="s">
        <v>55</v>
      </c>
      <c r="H206" s="577"/>
      <c r="I206" s="577"/>
      <c r="J206" s="578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576" t="s">
        <v>55</v>
      </c>
      <c r="H207" s="577"/>
      <c r="I207" s="577"/>
      <c r="J207" s="578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576" t="s">
        <v>55</v>
      </c>
      <c r="H208" s="577"/>
      <c r="I208" s="577"/>
      <c r="J208" s="578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576" t="s">
        <v>55</v>
      </c>
      <c r="H209" s="577"/>
      <c r="I209" s="577"/>
      <c r="J209" s="578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576" t="s">
        <v>55</v>
      </c>
      <c r="H210" s="577"/>
      <c r="I210" s="577"/>
      <c r="J210" s="578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576" t="s">
        <v>55</v>
      </c>
      <c r="H211" s="577"/>
      <c r="I211" s="577"/>
      <c r="J211" s="578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576" t="s">
        <v>55</v>
      </c>
      <c r="H212" s="577"/>
      <c r="I212" s="577"/>
      <c r="J212" s="578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576" t="s">
        <v>55</v>
      </c>
      <c r="H213" s="577"/>
      <c r="I213" s="577"/>
      <c r="J213" s="578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576" t="s">
        <v>55</v>
      </c>
      <c r="H214" s="577"/>
      <c r="I214" s="577"/>
      <c r="J214" s="578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576" t="s">
        <v>55</v>
      </c>
      <c r="H215" s="577"/>
      <c r="I215" s="577"/>
      <c r="J215" s="578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576" t="s">
        <v>55</v>
      </c>
      <c r="H216" s="577"/>
      <c r="I216" s="577"/>
      <c r="J216" s="578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576" t="s">
        <v>55</v>
      </c>
      <c r="H217" s="577"/>
      <c r="I217" s="577"/>
      <c r="J217" s="578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576" t="s">
        <v>55</v>
      </c>
      <c r="H218" s="577"/>
      <c r="I218" s="577"/>
      <c r="J218" s="578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576" t="s">
        <v>55</v>
      </c>
      <c r="H219" s="577"/>
      <c r="I219" s="577"/>
      <c r="J219" s="578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576" t="s">
        <v>55</v>
      </c>
      <c r="H220" s="577"/>
      <c r="I220" s="577"/>
      <c r="J220" s="578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576" t="s">
        <v>55</v>
      </c>
      <c r="H221" s="577"/>
      <c r="I221" s="577"/>
      <c r="J221" s="578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576" t="s">
        <v>55</v>
      </c>
      <c r="H222" s="577"/>
      <c r="I222" s="577"/>
      <c r="J222" s="578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576" t="s">
        <v>55</v>
      </c>
      <c r="H223" s="577"/>
      <c r="I223" s="577"/>
      <c r="J223" s="578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576" t="s">
        <v>55</v>
      </c>
      <c r="H224" s="577"/>
      <c r="I224" s="577"/>
      <c r="J224" s="578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576" t="s">
        <v>55</v>
      </c>
      <c r="H225" s="577"/>
      <c r="I225" s="577"/>
      <c r="J225" s="578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576" t="s">
        <v>55</v>
      </c>
      <c r="H226" s="577"/>
      <c r="I226" s="577"/>
      <c r="J226" s="578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576" t="s">
        <v>55</v>
      </c>
      <c r="H227" s="577"/>
      <c r="I227" s="577"/>
      <c r="J227" s="578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576" t="s">
        <v>55</v>
      </c>
      <c r="H228" s="577"/>
      <c r="I228" s="577"/>
      <c r="J228" s="578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576" t="s">
        <v>55</v>
      </c>
      <c r="H229" s="577"/>
      <c r="I229" s="577"/>
      <c r="J229" s="578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576" t="s">
        <v>55</v>
      </c>
      <c r="H230" s="577"/>
      <c r="I230" s="577"/>
      <c r="J230" s="578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576" t="s">
        <v>55</v>
      </c>
      <c r="H231" s="577"/>
      <c r="I231" s="577"/>
      <c r="J231" s="578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576" t="s">
        <v>55</v>
      </c>
      <c r="H232" s="577"/>
      <c r="I232" s="577"/>
      <c r="J232" s="578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576" t="s">
        <v>55</v>
      </c>
      <c r="H233" s="577"/>
      <c r="I233" s="577"/>
      <c r="J233" s="578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576" t="s">
        <v>55</v>
      </c>
      <c r="H234" s="577"/>
      <c r="I234" s="577"/>
      <c r="J234" s="578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576" t="s">
        <v>55</v>
      </c>
      <c r="H235" s="577"/>
      <c r="I235" s="577"/>
      <c r="J235" s="578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576" t="s">
        <v>55</v>
      </c>
      <c r="H236" s="577"/>
      <c r="I236" s="577"/>
      <c r="J236" s="578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576" t="s">
        <v>55</v>
      </c>
      <c r="H237" s="577"/>
      <c r="I237" s="577"/>
      <c r="J237" s="578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576" t="s">
        <v>55</v>
      </c>
      <c r="H238" s="577"/>
      <c r="I238" s="577"/>
      <c r="J238" s="578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576" t="s">
        <v>55</v>
      </c>
      <c r="H239" s="577"/>
      <c r="I239" s="577"/>
      <c r="J239" s="578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576" t="s">
        <v>55</v>
      </c>
      <c r="H240" s="577"/>
      <c r="I240" s="577"/>
      <c r="J240" s="578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576" t="s">
        <v>55</v>
      </c>
      <c r="H241" s="577"/>
      <c r="I241" s="577"/>
      <c r="J241" s="578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576" t="s">
        <v>55</v>
      </c>
      <c r="H242" s="577"/>
      <c r="I242" s="577"/>
      <c r="J242" s="578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576" t="s">
        <v>55</v>
      </c>
      <c r="H243" s="577"/>
      <c r="I243" s="577"/>
      <c r="J243" s="578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576" t="s">
        <v>55</v>
      </c>
      <c r="H244" s="577"/>
      <c r="I244" s="577"/>
      <c r="J244" s="578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576" t="s">
        <v>55</v>
      </c>
      <c r="H245" s="577"/>
      <c r="I245" s="577"/>
      <c r="J245" s="578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576" t="s">
        <v>55</v>
      </c>
      <c r="H246" s="577"/>
      <c r="I246" s="577"/>
      <c r="J246" s="578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576" t="s">
        <v>55</v>
      </c>
      <c r="H247" s="577"/>
      <c r="I247" s="577"/>
      <c r="J247" s="578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576" t="s">
        <v>55</v>
      </c>
      <c r="H248" s="577"/>
      <c r="I248" s="577"/>
      <c r="J248" s="578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576" t="s">
        <v>55</v>
      </c>
      <c r="H249" s="577"/>
      <c r="I249" s="577"/>
      <c r="J249" s="578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576" t="s">
        <v>55</v>
      </c>
      <c r="H250" s="577"/>
      <c r="I250" s="577"/>
      <c r="J250" s="578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576" t="s">
        <v>55</v>
      </c>
      <c r="H251" s="577"/>
      <c r="I251" s="577"/>
      <c r="J251" s="578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576" t="s">
        <v>55</v>
      </c>
      <c r="H252" s="577"/>
      <c r="I252" s="577"/>
      <c r="J252" s="578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576" t="s">
        <v>55</v>
      </c>
      <c r="H253" s="577"/>
      <c r="I253" s="577"/>
      <c r="J253" s="578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576" t="s">
        <v>55</v>
      </c>
      <c r="H254" s="577"/>
      <c r="I254" s="577"/>
      <c r="J254" s="578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576" t="s">
        <v>55</v>
      </c>
      <c r="H255" s="577"/>
      <c r="I255" s="577"/>
      <c r="J255" s="578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576" t="s">
        <v>55</v>
      </c>
      <c r="H256" s="577"/>
      <c r="I256" s="577"/>
      <c r="J256" s="578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576" t="s">
        <v>55</v>
      </c>
      <c r="H257" s="577"/>
      <c r="I257" s="577"/>
      <c r="J257" s="578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576" t="s">
        <v>55</v>
      </c>
      <c r="H258" s="577"/>
      <c r="I258" s="577"/>
      <c r="J258" s="578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576" t="s">
        <v>55</v>
      </c>
      <c r="H259" s="577"/>
      <c r="I259" s="577"/>
      <c r="J259" s="578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576" t="s">
        <v>55</v>
      </c>
      <c r="H260" s="577"/>
      <c r="I260" s="577"/>
      <c r="J260" s="578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576" t="s">
        <v>55</v>
      </c>
      <c r="H261" s="577"/>
      <c r="I261" s="577"/>
      <c r="J261" s="578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576" t="s">
        <v>55</v>
      </c>
      <c r="H262" s="577"/>
      <c r="I262" s="577"/>
      <c r="J262" s="578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576" t="s">
        <v>55</v>
      </c>
      <c r="H263" s="577"/>
      <c r="I263" s="577"/>
      <c r="J263" s="578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576" t="s">
        <v>55</v>
      </c>
      <c r="H264" s="577"/>
      <c r="I264" s="577"/>
      <c r="J264" s="578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576" t="s">
        <v>55</v>
      </c>
      <c r="H265" s="577"/>
      <c r="I265" s="577"/>
      <c r="J265" s="578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576" t="s">
        <v>55</v>
      </c>
      <c r="H266" s="577"/>
      <c r="I266" s="577"/>
      <c r="J266" s="578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576" t="s">
        <v>55</v>
      </c>
      <c r="H267" s="577"/>
      <c r="I267" s="577"/>
      <c r="J267" s="578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576" t="s">
        <v>55</v>
      </c>
      <c r="H268" s="577"/>
      <c r="I268" s="577"/>
      <c r="J268" s="578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576" t="s">
        <v>55</v>
      </c>
      <c r="H269" s="577"/>
      <c r="I269" s="577"/>
      <c r="J269" s="578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576" t="s">
        <v>55</v>
      </c>
      <c r="H270" s="577"/>
      <c r="I270" s="577"/>
      <c r="J270" s="578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584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576" t="s">
        <v>55</v>
      </c>
      <c r="H271" s="577"/>
      <c r="I271" s="577"/>
      <c r="J271" s="578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585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576" t="s">
        <v>55</v>
      </c>
      <c r="H272" s="577"/>
      <c r="I272" s="577"/>
      <c r="J272" s="578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576" t="s">
        <v>55</v>
      </c>
      <c r="H273" s="577"/>
      <c r="I273" s="577"/>
      <c r="J273" s="578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576" t="s">
        <v>55</v>
      </c>
      <c r="H274" s="577"/>
      <c r="I274" s="577"/>
      <c r="J274" s="578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576" t="s">
        <v>55</v>
      </c>
      <c r="H275" s="577"/>
      <c r="I275" s="577"/>
      <c r="J275" s="578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576" t="s">
        <v>55</v>
      </c>
      <c r="H276" s="577"/>
      <c r="I276" s="577"/>
      <c r="J276" s="578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576" t="s">
        <v>55</v>
      </c>
      <c r="H277" s="577"/>
      <c r="I277" s="577"/>
      <c r="J277" s="578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576" t="s">
        <v>55</v>
      </c>
      <c r="H278" s="577"/>
      <c r="I278" s="577"/>
      <c r="J278" s="578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576" t="s">
        <v>55</v>
      </c>
      <c r="H279" s="577"/>
      <c r="I279" s="577"/>
      <c r="J279" s="578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576" t="s">
        <v>55</v>
      </c>
      <c r="H280" s="577"/>
      <c r="I280" s="577"/>
      <c r="J280" s="578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576" t="s">
        <v>55</v>
      </c>
      <c r="H281" s="577"/>
      <c r="I281" s="577"/>
      <c r="J281" s="578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576" t="s">
        <v>55</v>
      </c>
      <c r="H282" s="577"/>
      <c r="I282" s="577"/>
      <c r="J282" s="578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576" t="s">
        <v>55</v>
      </c>
      <c r="H283" s="577"/>
      <c r="I283" s="577"/>
      <c r="J283" s="578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576" t="s">
        <v>55</v>
      </c>
      <c r="H284" s="577"/>
      <c r="I284" s="577"/>
      <c r="J284" s="578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576" t="s">
        <v>55</v>
      </c>
      <c r="H285" s="577"/>
      <c r="I285" s="577"/>
      <c r="J285" s="578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576" t="s">
        <v>55</v>
      </c>
      <c r="H286" s="577"/>
      <c r="I286" s="577"/>
      <c r="J286" s="578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576" t="s">
        <v>55</v>
      </c>
      <c r="H287" s="577"/>
      <c r="I287" s="577"/>
      <c r="J287" s="578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576" t="s">
        <v>55</v>
      </c>
      <c r="H288" s="577"/>
      <c r="I288" s="577"/>
      <c r="J288" s="578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576" t="s">
        <v>55</v>
      </c>
      <c r="H289" s="577"/>
      <c r="I289" s="577"/>
      <c r="J289" s="578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576" t="s">
        <v>55</v>
      </c>
      <c r="H290" s="577"/>
      <c r="I290" s="577"/>
      <c r="J290" s="578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576" t="s">
        <v>55</v>
      </c>
      <c r="H291" s="577"/>
      <c r="I291" s="577"/>
      <c r="J291" s="578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576" t="s">
        <v>55</v>
      </c>
      <c r="H292" s="577"/>
      <c r="I292" s="577"/>
      <c r="J292" s="578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576" t="s">
        <v>55</v>
      </c>
      <c r="H293" s="577"/>
      <c r="I293" s="577"/>
      <c r="J293" s="578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576" t="s">
        <v>55</v>
      </c>
      <c r="H294" s="577"/>
      <c r="I294" s="577"/>
      <c r="J294" s="578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576" t="s">
        <v>55</v>
      </c>
      <c r="H295" s="577"/>
      <c r="I295" s="577"/>
      <c r="J295" s="578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576" t="s">
        <v>55</v>
      </c>
      <c r="H296" s="577"/>
      <c r="I296" s="577"/>
      <c r="J296" s="578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576" t="s">
        <v>55</v>
      </c>
      <c r="H297" s="577"/>
      <c r="I297" s="577"/>
      <c r="J297" s="578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576" t="s">
        <v>55</v>
      </c>
      <c r="H298" s="577"/>
      <c r="I298" s="577"/>
      <c r="J298" s="578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584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576" t="s">
        <v>55</v>
      </c>
      <c r="H299" s="577"/>
      <c r="I299" s="577"/>
      <c r="J299" s="578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585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576" t="s">
        <v>55</v>
      </c>
      <c r="H300" s="577"/>
      <c r="I300" s="577"/>
      <c r="J300" s="578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576" t="s">
        <v>55</v>
      </c>
      <c r="H301" s="577"/>
      <c r="I301" s="577"/>
      <c r="J301" s="578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576" t="s">
        <v>55</v>
      </c>
      <c r="H302" s="577"/>
      <c r="I302" s="577"/>
      <c r="J302" s="578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576" t="s">
        <v>55</v>
      </c>
      <c r="H303" s="577"/>
      <c r="I303" s="577"/>
      <c r="J303" s="578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576" t="s">
        <v>55</v>
      </c>
      <c r="H304" s="577"/>
      <c r="I304" s="577"/>
      <c r="J304" s="578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576" t="s">
        <v>55</v>
      </c>
      <c r="H305" s="577"/>
      <c r="I305" s="577"/>
      <c r="J305" s="578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576" t="s">
        <v>55</v>
      </c>
      <c r="H306" s="577"/>
      <c r="I306" s="577"/>
      <c r="J306" s="578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576" t="s">
        <v>55</v>
      </c>
      <c r="H307" s="577"/>
      <c r="I307" s="577"/>
      <c r="J307" s="578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576" t="s">
        <v>55</v>
      </c>
      <c r="H308" s="577"/>
      <c r="I308" s="577"/>
      <c r="J308" s="578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576" t="s">
        <v>55</v>
      </c>
      <c r="H309" s="577"/>
      <c r="I309" s="577"/>
      <c r="J309" s="578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576" t="s">
        <v>55</v>
      </c>
      <c r="H310" s="577"/>
      <c r="I310" s="577"/>
      <c r="J310" s="578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576" t="s">
        <v>55</v>
      </c>
      <c r="H311" s="577"/>
      <c r="I311" s="577"/>
      <c r="J311" s="578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576" t="s">
        <v>55</v>
      </c>
      <c r="H312" s="577"/>
      <c r="I312" s="577"/>
      <c r="J312" s="578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576" t="s">
        <v>55</v>
      </c>
      <c r="H313" s="577"/>
      <c r="I313" s="577"/>
      <c r="J313" s="578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576" t="s">
        <v>55</v>
      </c>
      <c r="H314" s="577"/>
      <c r="I314" s="577"/>
      <c r="J314" s="578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576" t="s">
        <v>55</v>
      </c>
      <c r="H315" s="577"/>
      <c r="I315" s="577"/>
      <c r="J315" s="578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576" t="s">
        <v>55</v>
      </c>
      <c r="H316" s="577"/>
      <c r="I316" s="577"/>
      <c r="J316" s="578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73" t="s">
        <v>71</v>
      </c>
      <c r="H318" s="574"/>
      <c r="I318" s="574"/>
      <c r="J318" s="575"/>
      <c r="K318" s="30" t="s">
        <v>191</v>
      </c>
      <c r="L318" s="30" t="s">
        <v>192</v>
      </c>
      <c r="M318" s="30" t="s">
        <v>193</v>
      </c>
      <c r="N318" s="573" t="s">
        <v>194</v>
      </c>
      <c r="O318" s="574"/>
      <c r="P318" s="575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62" t="s">
        <v>196</v>
      </c>
      <c r="H319" s="562"/>
      <c r="I319" s="562"/>
      <c r="J319" s="562"/>
      <c r="K319" s="202">
        <v>45551</v>
      </c>
      <c r="L319" s="203" t="s">
        <v>663</v>
      </c>
      <c r="M319" s="10"/>
      <c r="N319" s="571"/>
      <c r="O319" s="571"/>
      <c r="P319" s="571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62" t="s">
        <v>196</v>
      </c>
      <c r="H320" s="562"/>
      <c r="I320" s="562"/>
      <c r="J320" s="562"/>
      <c r="K320" s="202">
        <v>45564</v>
      </c>
      <c r="L320" s="203" t="s">
        <v>663</v>
      </c>
      <c r="M320" s="10"/>
      <c r="N320" s="571"/>
      <c r="O320" s="571"/>
      <c r="P320" s="571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62" t="s">
        <v>196</v>
      </c>
      <c r="H321" s="562"/>
      <c r="I321" s="562"/>
      <c r="J321" s="562"/>
      <c r="K321" s="202">
        <v>45566</v>
      </c>
      <c r="L321" s="203" t="s">
        <v>664</v>
      </c>
      <c r="M321" s="10"/>
      <c r="N321" s="571"/>
      <c r="O321" s="571"/>
      <c r="P321" s="571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62" t="s">
        <v>196</v>
      </c>
      <c r="H322" s="562"/>
      <c r="I322" s="562"/>
      <c r="J322" s="562"/>
      <c r="K322" s="202">
        <v>45572</v>
      </c>
      <c r="L322" s="203" t="s">
        <v>663</v>
      </c>
      <c r="M322" s="10"/>
      <c r="N322" s="571"/>
      <c r="O322" s="571"/>
      <c r="P322" s="571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62" t="s">
        <v>196</v>
      </c>
      <c r="H323" s="562"/>
      <c r="I323" s="562"/>
      <c r="J323" s="562"/>
      <c r="K323" s="202">
        <v>45580</v>
      </c>
      <c r="L323" s="203" t="s">
        <v>664</v>
      </c>
      <c r="M323" s="10"/>
      <c r="N323" s="571"/>
      <c r="O323" s="571"/>
      <c r="P323" s="571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62" t="s">
        <v>196</v>
      </c>
      <c r="H324" s="562"/>
      <c r="I324" s="562"/>
      <c r="J324" s="562"/>
      <c r="K324" s="202">
        <v>45578</v>
      </c>
      <c r="L324" s="203" t="s">
        <v>663</v>
      </c>
      <c r="M324" s="10"/>
      <c r="N324" s="571"/>
      <c r="O324" s="571"/>
      <c r="P324" s="571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62" t="s">
        <v>196</v>
      </c>
      <c r="H325" s="562"/>
      <c r="I325" s="562"/>
      <c r="J325" s="562"/>
      <c r="K325" s="202">
        <v>45584</v>
      </c>
      <c r="L325" s="203" t="s">
        <v>663</v>
      </c>
      <c r="M325" s="10"/>
      <c r="N325" s="571"/>
      <c r="O325" s="571"/>
      <c r="P325" s="571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62" t="s">
        <v>196</v>
      </c>
      <c r="H326" s="562"/>
      <c r="I326" s="562"/>
      <c r="J326" s="562"/>
      <c r="K326" s="202">
        <v>45589</v>
      </c>
      <c r="L326" s="203" t="s">
        <v>664</v>
      </c>
      <c r="M326" s="10"/>
      <c r="N326" s="571"/>
      <c r="O326" s="571"/>
      <c r="P326" s="571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62" t="s">
        <v>196</v>
      </c>
      <c r="H327" s="562"/>
      <c r="I327" s="562"/>
      <c r="J327" s="562"/>
      <c r="K327" s="202">
        <v>45589</v>
      </c>
      <c r="L327" s="203" t="s">
        <v>663</v>
      </c>
      <c r="M327" s="10"/>
      <c r="N327" s="571"/>
      <c r="O327" s="571"/>
      <c r="P327" s="571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62" t="s">
        <v>196</v>
      </c>
      <c r="H328" s="562"/>
      <c r="I328" s="562"/>
      <c r="J328" s="562"/>
      <c r="K328" s="202">
        <v>45594</v>
      </c>
      <c r="L328" s="203" t="s">
        <v>663</v>
      </c>
      <c r="M328" s="10"/>
      <c r="N328" s="571"/>
      <c r="O328" s="571"/>
      <c r="P328" s="571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62" t="s">
        <v>196</v>
      </c>
      <c r="H329" s="562"/>
      <c r="I329" s="562"/>
      <c r="J329" s="562"/>
      <c r="K329" s="202">
        <v>45596</v>
      </c>
      <c r="L329" s="203" t="s">
        <v>664</v>
      </c>
      <c r="M329" s="10"/>
      <c r="N329" s="571"/>
      <c r="O329" s="571"/>
      <c r="P329" s="571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62" t="s">
        <v>196</v>
      </c>
      <c r="H330" s="562"/>
      <c r="I330" s="562"/>
      <c r="J330" s="562"/>
      <c r="K330" s="202">
        <v>45600</v>
      </c>
      <c r="L330" s="203" t="s">
        <v>663</v>
      </c>
      <c r="M330" s="10"/>
      <c r="N330" s="571"/>
      <c r="O330" s="571"/>
      <c r="P330" s="571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62" t="s">
        <v>196</v>
      </c>
      <c r="H331" s="562"/>
      <c r="I331" s="562"/>
      <c r="J331" s="562"/>
      <c r="K331" s="202">
        <v>45606</v>
      </c>
      <c r="L331" s="203" t="s">
        <v>663</v>
      </c>
      <c r="M331" s="10"/>
      <c r="N331" s="571"/>
      <c r="O331" s="571"/>
      <c r="P331" s="571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62" t="s">
        <v>196</v>
      </c>
      <c r="H332" s="562"/>
      <c r="I332" s="562"/>
      <c r="J332" s="562"/>
      <c r="K332" s="202" t="s">
        <v>662</v>
      </c>
      <c r="L332" s="203" t="s">
        <v>664</v>
      </c>
      <c r="M332" s="10"/>
      <c r="N332" s="571"/>
      <c r="O332" s="571"/>
      <c r="P332" s="571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62" t="s">
        <v>196</v>
      </c>
      <c r="H333" s="562"/>
      <c r="I333" s="562"/>
      <c r="J333" s="562"/>
      <c r="K333" s="202">
        <v>45613</v>
      </c>
      <c r="L333" s="203" t="s">
        <v>663</v>
      </c>
      <c r="M333" s="10"/>
      <c r="N333" s="571"/>
      <c r="O333" s="571"/>
      <c r="P333" s="571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62" t="s">
        <v>196</v>
      </c>
      <c r="H334" s="562"/>
      <c r="I334" s="562"/>
      <c r="J334" s="562"/>
      <c r="K334" s="202">
        <v>45618</v>
      </c>
      <c r="L334" s="203" t="s">
        <v>663</v>
      </c>
      <c r="M334" s="10"/>
      <c r="N334" s="571"/>
      <c r="O334" s="571"/>
      <c r="P334" s="571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62" t="s">
        <v>196</v>
      </c>
      <c r="H335" s="562"/>
      <c r="I335" s="562"/>
      <c r="J335" s="562"/>
      <c r="K335" s="202">
        <v>45620</v>
      </c>
      <c r="L335" s="203" t="s">
        <v>665</v>
      </c>
      <c r="M335" s="10"/>
      <c r="N335" s="571"/>
      <c r="O335" s="571"/>
      <c r="P335" s="571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62" t="s">
        <v>196</v>
      </c>
      <c r="H336" s="562"/>
      <c r="I336" s="562"/>
      <c r="J336" s="562"/>
      <c r="K336" s="202">
        <v>45622</v>
      </c>
      <c r="L336" s="203" t="s">
        <v>419</v>
      </c>
      <c r="M336" s="10"/>
      <c r="N336" s="571"/>
      <c r="O336" s="571"/>
      <c r="P336" s="571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62" t="s">
        <v>196</v>
      </c>
      <c r="H337" s="562"/>
      <c r="I337" s="562"/>
      <c r="J337" s="562"/>
      <c r="K337" s="202">
        <v>45621</v>
      </c>
      <c r="L337" s="203" t="s">
        <v>666</v>
      </c>
      <c r="M337" s="10"/>
      <c r="N337" s="571"/>
      <c r="O337" s="571"/>
      <c r="P337" s="571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62" t="s">
        <v>196</v>
      </c>
      <c r="H338" s="562"/>
      <c r="I338" s="562"/>
      <c r="J338" s="562"/>
      <c r="K338" s="202">
        <v>45621</v>
      </c>
      <c r="L338" s="203" t="s">
        <v>664</v>
      </c>
      <c r="M338" s="10"/>
      <c r="N338" s="571"/>
      <c r="O338" s="571"/>
      <c r="P338" s="571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62" t="s">
        <v>196</v>
      </c>
      <c r="H339" s="562"/>
      <c r="I339" s="562"/>
      <c r="J339" s="562"/>
      <c r="K339" s="202">
        <v>45624</v>
      </c>
      <c r="L339" s="203" t="s">
        <v>663</v>
      </c>
      <c r="M339" s="10"/>
      <c r="N339" s="569"/>
      <c r="O339" s="569"/>
      <c r="P339" s="569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62" t="s">
        <v>196</v>
      </c>
      <c r="H340" s="562"/>
      <c r="I340" s="562"/>
      <c r="J340" s="562"/>
      <c r="K340" s="202">
        <v>45625</v>
      </c>
      <c r="L340" s="203" t="s">
        <v>667</v>
      </c>
      <c r="M340" s="10"/>
      <c r="N340" s="572"/>
      <c r="O340" s="572"/>
      <c r="P340" s="572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62" t="s">
        <v>196</v>
      </c>
      <c r="H341" s="562"/>
      <c r="I341" s="562"/>
      <c r="J341" s="562"/>
      <c r="K341" s="202">
        <v>45629</v>
      </c>
      <c r="L341" s="203" t="s">
        <v>665</v>
      </c>
      <c r="M341" s="10"/>
      <c r="N341" s="571"/>
      <c r="O341" s="571"/>
      <c r="P341" s="571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62" t="s">
        <v>196</v>
      </c>
      <c r="H342" s="562"/>
      <c r="I342" s="562"/>
      <c r="J342" s="562"/>
      <c r="K342" s="202">
        <v>45631</v>
      </c>
      <c r="L342" s="203" t="s">
        <v>419</v>
      </c>
      <c r="M342" s="10"/>
      <c r="N342" s="571"/>
      <c r="O342" s="571"/>
      <c r="P342" s="571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62" t="s">
        <v>196</v>
      </c>
      <c r="H343" s="562"/>
      <c r="I343" s="562"/>
      <c r="J343" s="562"/>
      <c r="K343" s="202">
        <v>45631</v>
      </c>
      <c r="L343" s="203" t="s">
        <v>663</v>
      </c>
      <c r="M343" s="10"/>
      <c r="N343" s="569"/>
      <c r="O343" s="569"/>
      <c r="P343" s="569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62" t="s">
        <v>196</v>
      </c>
      <c r="H344" s="562"/>
      <c r="I344" s="562"/>
      <c r="J344" s="562"/>
      <c r="K344" s="202">
        <v>45631</v>
      </c>
      <c r="L344" s="203" t="s">
        <v>666</v>
      </c>
      <c r="M344" s="10"/>
      <c r="N344" s="569"/>
      <c r="O344" s="569"/>
      <c r="P344" s="569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62" t="s">
        <v>196</v>
      </c>
      <c r="H345" s="562"/>
      <c r="I345" s="562"/>
      <c r="J345" s="562"/>
      <c r="K345" s="202">
        <v>45632</v>
      </c>
      <c r="L345" s="203" t="s">
        <v>664</v>
      </c>
      <c r="M345" s="10"/>
      <c r="N345" s="569"/>
      <c r="O345" s="569"/>
      <c r="P345" s="569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62" t="s">
        <v>196</v>
      </c>
      <c r="H346" s="562"/>
      <c r="I346" s="562"/>
      <c r="J346" s="562"/>
      <c r="K346" s="202">
        <v>45635</v>
      </c>
      <c r="L346" s="203" t="s">
        <v>665</v>
      </c>
      <c r="M346" s="10"/>
      <c r="N346" s="569"/>
      <c r="O346" s="569"/>
      <c r="P346" s="569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62" t="s">
        <v>196</v>
      </c>
      <c r="H347" s="562"/>
      <c r="I347" s="562"/>
      <c r="J347" s="562"/>
      <c r="K347" s="202">
        <v>45636</v>
      </c>
      <c r="L347" s="203" t="s">
        <v>667</v>
      </c>
      <c r="M347" s="10"/>
      <c r="N347" s="569"/>
      <c r="O347" s="569"/>
      <c r="P347" s="569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62" t="s">
        <v>196</v>
      </c>
      <c r="H348" s="562"/>
      <c r="I348" s="562"/>
      <c r="J348" s="562"/>
      <c r="K348" s="202">
        <v>45638</v>
      </c>
      <c r="L348" s="203" t="s">
        <v>663</v>
      </c>
      <c r="M348" s="10"/>
      <c r="N348" s="569"/>
      <c r="O348" s="569"/>
      <c r="P348" s="569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62" t="s">
        <v>196</v>
      </c>
      <c r="H349" s="562"/>
      <c r="I349" s="562"/>
      <c r="J349" s="562"/>
      <c r="K349" s="202">
        <v>45638</v>
      </c>
      <c r="L349" s="203" t="s">
        <v>666</v>
      </c>
      <c r="M349" s="10"/>
      <c r="N349" s="569"/>
      <c r="O349" s="569"/>
      <c r="P349" s="569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62" t="s">
        <v>196</v>
      </c>
      <c r="H350" s="562"/>
      <c r="I350" s="562"/>
      <c r="J350" s="562"/>
      <c r="K350" s="202">
        <v>45639</v>
      </c>
      <c r="L350" s="203" t="s">
        <v>419</v>
      </c>
      <c r="M350" s="10"/>
      <c r="N350" s="569"/>
      <c r="O350" s="569"/>
      <c r="P350" s="569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62" t="s">
        <v>196</v>
      </c>
      <c r="H351" s="562"/>
      <c r="I351" s="562"/>
      <c r="J351" s="562"/>
      <c r="K351" s="202">
        <v>45642</v>
      </c>
      <c r="L351" s="203" t="s">
        <v>665</v>
      </c>
      <c r="M351" s="10"/>
      <c r="N351" s="569"/>
      <c r="O351" s="569"/>
      <c r="P351" s="569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62" t="s">
        <v>196</v>
      </c>
      <c r="H352" s="562"/>
      <c r="I352" s="562"/>
      <c r="J352" s="562"/>
      <c r="K352" s="202">
        <v>45642</v>
      </c>
      <c r="L352" s="203" t="s">
        <v>666</v>
      </c>
      <c r="M352" s="10"/>
      <c r="N352" s="569"/>
      <c r="O352" s="569"/>
      <c r="P352" s="569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62" t="s">
        <v>196</v>
      </c>
      <c r="H353" s="562"/>
      <c r="I353" s="562"/>
      <c r="J353" s="562"/>
      <c r="K353" s="202">
        <v>45643</v>
      </c>
      <c r="L353" s="203" t="s">
        <v>663</v>
      </c>
      <c r="M353" s="10"/>
      <c r="N353" s="569"/>
      <c r="O353" s="569"/>
      <c r="P353" s="569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62" t="s">
        <v>196</v>
      </c>
      <c r="H354" s="562"/>
      <c r="I354" s="562"/>
      <c r="J354" s="562"/>
      <c r="K354" s="202">
        <v>45645</v>
      </c>
      <c r="L354" s="203" t="s">
        <v>664</v>
      </c>
      <c r="M354" s="10"/>
      <c r="N354" s="569"/>
      <c r="O354" s="569"/>
      <c r="P354" s="569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62" t="s">
        <v>196</v>
      </c>
      <c r="H355" s="562"/>
      <c r="I355" s="562"/>
      <c r="J355" s="562"/>
      <c r="K355" s="202">
        <v>45646</v>
      </c>
      <c r="L355" s="203" t="s">
        <v>667</v>
      </c>
      <c r="M355" s="10"/>
      <c r="N355" s="569"/>
      <c r="O355" s="569"/>
      <c r="P355" s="569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62" t="s">
        <v>196</v>
      </c>
      <c r="H356" s="562"/>
      <c r="I356" s="562"/>
      <c r="J356" s="562"/>
      <c r="K356" s="202">
        <v>45647</v>
      </c>
      <c r="L356" s="203" t="s">
        <v>419</v>
      </c>
      <c r="M356" s="10"/>
      <c r="N356" s="569"/>
      <c r="O356" s="569"/>
      <c r="P356" s="569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62" t="s">
        <v>196</v>
      </c>
      <c r="H357" s="562"/>
      <c r="I357" s="562"/>
      <c r="J357" s="562"/>
      <c r="K357" s="202">
        <v>45648</v>
      </c>
      <c r="L357" s="203" t="s">
        <v>666</v>
      </c>
      <c r="M357" s="10"/>
      <c r="N357" s="569"/>
      <c r="O357" s="569"/>
      <c r="P357" s="569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62" t="s">
        <v>196</v>
      </c>
      <c r="H358" s="562"/>
      <c r="I358" s="562"/>
      <c r="J358" s="562"/>
      <c r="K358" s="202">
        <v>45649</v>
      </c>
      <c r="L358" s="204" t="s">
        <v>663</v>
      </c>
      <c r="M358" s="10"/>
      <c r="N358" s="570"/>
      <c r="O358" s="570"/>
      <c r="P358" s="570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62" t="s">
        <v>196</v>
      </c>
      <c r="H359" s="562"/>
      <c r="I359" s="562"/>
      <c r="J359" s="562"/>
      <c r="K359" s="202">
        <v>45649</v>
      </c>
      <c r="L359" s="203" t="s">
        <v>665</v>
      </c>
      <c r="M359" s="10"/>
      <c r="N359" s="568"/>
      <c r="O359" s="568"/>
      <c r="P359" s="568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62" t="s">
        <v>196</v>
      </c>
      <c r="H360" s="562"/>
      <c r="I360" s="562"/>
      <c r="J360" s="562"/>
      <c r="K360" s="202">
        <v>45653</v>
      </c>
      <c r="L360" s="203" t="s">
        <v>667</v>
      </c>
      <c r="M360" s="10"/>
      <c r="N360" s="568"/>
      <c r="O360" s="568"/>
      <c r="P360" s="568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62" t="s">
        <v>196</v>
      </c>
      <c r="H361" s="562"/>
      <c r="I361" s="562"/>
      <c r="J361" s="562"/>
      <c r="K361" s="202">
        <v>45653</v>
      </c>
      <c r="L361" s="203" t="s">
        <v>419</v>
      </c>
      <c r="M361" s="10"/>
      <c r="N361" s="568"/>
      <c r="O361" s="568"/>
      <c r="P361" s="568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62" t="s">
        <v>196</v>
      </c>
      <c r="H362" s="562"/>
      <c r="I362" s="562"/>
      <c r="J362" s="562"/>
      <c r="K362" s="202">
        <v>45653</v>
      </c>
      <c r="L362" s="203" t="s">
        <v>666</v>
      </c>
      <c r="M362" s="10"/>
      <c r="N362" s="567"/>
      <c r="O362" s="567"/>
      <c r="P362" s="567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62" t="s">
        <v>196</v>
      </c>
      <c r="H363" s="562"/>
      <c r="I363" s="562"/>
      <c r="J363" s="562"/>
      <c r="K363" s="202">
        <v>45656</v>
      </c>
      <c r="L363" s="203" t="s">
        <v>665</v>
      </c>
      <c r="M363" s="10"/>
      <c r="N363" s="567"/>
      <c r="O363" s="567"/>
      <c r="P363" s="567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62" t="s">
        <v>196</v>
      </c>
      <c r="H364" s="562"/>
      <c r="I364" s="562"/>
      <c r="J364" s="562"/>
      <c r="K364" s="202">
        <v>45657</v>
      </c>
      <c r="L364" s="203" t="s">
        <v>664</v>
      </c>
      <c r="M364" s="10"/>
      <c r="N364" s="567"/>
      <c r="O364" s="567"/>
      <c r="P364" s="567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62" t="s">
        <v>196</v>
      </c>
      <c r="H365" s="562"/>
      <c r="I365" s="562"/>
      <c r="J365" s="562"/>
      <c r="K365" s="202">
        <v>45657</v>
      </c>
      <c r="L365" s="203" t="s">
        <v>663</v>
      </c>
      <c r="M365" s="10"/>
      <c r="N365" s="567"/>
      <c r="O365" s="567"/>
      <c r="P365" s="567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62" t="s">
        <v>196</v>
      </c>
      <c r="H366" s="562"/>
      <c r="I366" s="562"/>
      <c r="J366" s="562"/>
      <c r="K366" s="202">
        <v>45660</v>
      </c>
      <c r="L366" s="203" t="s">
        <v>668</v>
      </c>
      <c r="M366" s="10"/>
      <c r="N366" s="567"/>
      <c r="O366" s="567"/>
      <c r="P366" s="567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62" t="s">
        <v>196</v>
      </c>
      <c r="H367" s="562"/>
      <c r="I367" s="562"/>
      <c r="J367" s="562"/>
      <c r="K367" s="202">
        <v>45660</v>
      </c>
      <c r="L367" s="203" t="s">
        <v>666</v>
      </c>
      <c r="M367" s="10"/>
      <c r="N367" s="565"/>
      <c r="O367" s="565"/>
      <c r="P367" s="565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62" t="s">
        <v>196</v>
      </c>
      <c r="H368" s="562"/>
      <c r="I368" s="562"/>
      <c r="J368" s="562"/>
      <c r="K368" s="202">
        <v>45661</v>
      </c>
      <c r="L368" s="203" t="s">
        <v>667</v>
      </c>
      <c r="M368" s="10"/>
      <c r="N368" s="565"/>
      <c r="O368" s="565"/>
      <c r="P368" s="565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62" t="s">
        <v>196</v>
      </c>
      <c r="H369" s="562"/>
      <c r="I369" s="562"/>
      <c r="J369" s="562"/>
      <c r="K369" s="202">
        <v>45664</v>
      </c>
      <c r="L369" s="203" t="s">
        <v>665</v>
      </c>
      <c r="M369" s="10"/>
      <c r="N369" s="565"/>
      <c r="O369" s="565"/>
      <c r="P369" s="565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62" t="s">
        <v>196</v>
      </c>
      <c r="H370" s="562"/>
      <c r="I370" s="562"/>
      <c r="J370" s="562"/>
      <c r="K370" s="202">
        <v>45665</v>
      </c>
      <c r="L370" s="203" t="s">
        <v>419</v>
      </c>
      <c r="M370" s="10"/>
      <c r="N370" s="565"/>
      <c r="O370" s="565"/>
      <c r="P370" s="565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62" t="s">
        <v>196</v>
      </c>
      <c r="H371" s="562"/>
      <c r="I371" s="562"/>
      <c r="J371" s="562"/>
      <c r="K371" s="202">
        <v>45667</v>
      </c>
      <c r="L371" s="203" t="s">
        <v>663</v>
      </c>
      <c r="M371" s="10"/>
      <c r="N371" s="565"/>
      <c r="O371" s="565"/>
      <c r="P371" s="565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62" t="s">
        <v>196</v>
      </c>
      <c r="H372" s="562"/>
      <c r="I372" s="562"/>
      <c r="J372" s="562"/>
      <c r="K372" s="202">
        <v>45668</v>
      </c>
      <c r="L372" s="203" t="s">
        <v>668</v>
      </c>
      <c r="M372" s="10"/>
      <c r="N372" s="565"/>
      <c r="O372" s="565"/>
      <c r="P372" s="565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62" t="s">
        <v>196</v>
      </c>
      <c r="H373" s="562"/>
      <c r="I373" s="562"/>
      <c r="J373" s="562"/>
      <c r="K373" s="202">
        <v>45668</v>
      </c>
      <c r="L373" s="203" t="s">
        <v>666</v>
      </c>
      <c r="M373" s="10"/>
      <c r="N373" s="565"/>
      <c r="O373" s="565"/>
      <c r="P373" s="565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62" t="s">
        <v>196</v>
      </c>
      <c r="H374" s="562"/>
      <c r="I374" s="562"/>
      <c r="J374" s="562"/>
      <c r="K374" s="202">
        <v>45671</v>
      </c>
      <c r="L374" s="203" t="s">
        <v>665</v>
      </c>
      <c r="M374" s="10"/>
      <c r="N374" s="565"/>
      <c r="O374" s="565"/>
      <c r="P374" s="565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62" t="s">
        <v>196</v>
      </c>
      <c r="H375" s="562"/>
      <c r="I375" s="562"/>
      <c r="J375" s="562"/>
      <c r="K375" s="202">
        <v>45672</v>
      </c>
      <c r="L375" s="203" t="s">
        <v>667</v>
      </c>
      <c r="M375" s="10"/>
      <c r="N375" s="565"/>
      <c r="O375" s="565"/>
      <c r="P375" s="565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62" t="s">
        <v>196</v>
      </c>
      <c r="H376" s="562"/>
      <c r="I376" s="562"/>
      <c r="J376" s="562"/>
      <c r="K376" s="202">
        <v>45674</v>
      </c>
      <c r="L376" s="203" t="s">
        <v>664</v>
      </c>
      <c r="M376" s="10"/>
      <c r="N376" s="565"/>
      <c r="O376" s="565"/>
      <c r="P376" s="565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62" t="s">
        <v>196</v>
      </c>
      <c r="H377" s="562"/>
      <c r="I377" s="562"/>
      <c r="J377" s="562"/>
      <c r="K377" s="202">
        <v>45674</v>
      </c>
      <c r="L377" s="203" t="s">
        <v>419</v>
      </c>
      <c r="M377" s="10"/>
      <c r="N377" s="565"/>
      <c r="O377" s="565"/>
      <c r="P377" s="565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62" t="s">
        <v>196</v>
      </c>
      <c r="H378" s="562"/>
      <c r="I378" s="562"/>
      <c r="J378" s="562"/>
      <c r="K378" s="202">
        <v>45674</v>
      </c>
      <c r="L378" s="203" t="s">
        <v>663</v>
      </c>
      <c r="M378" s="10"/>
      <c r="N378" s="565"/>
      <c r="O378" s="565"/>
      <c r="P378" s="565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62" t="s">
        <v>196</v>
      </c>
      <c r="H379" s="562"/>
      <c r="I379" s="562"/>
      <c r="J379" s="562"/>
      <c r="K379" s="202">
        <v>45676</v>
      </c>
      <c r="L379" s="203" t="s">
        <v>668</v>
      </c>
      <c r="M379" s="10"/>
      <c r="N379" s="565"/>
      <c r="O379" s="565"/>
      <c r="P379" s="565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62" t="s">
        <v>196</v>
      </c>
      <c r="H380" s="562"/>
      <c r="I380" s="562"/>
      <c r="J380" s="562"/>
      <c r="K380" s="202">
        <v>45678</v>
      </c>
      <c r="L380" s="203" t="s">
        <v>666</v>
      </c>
      <c r="M380" s="10"/>
      <c r="N380" s="565"/>
      <c r="O380" s="565"/>
      <c r="P380" s="565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62" t="s">
        <v>196</v>
      </c>
      <c r="H381" s="562"/>
      <c r="I381" s="562"/>
      <c r="J381" s="562"/>
      <c r="K381" s="202">
        <v>45679</v>
      </c>
      <c r="L381" s="203" t="s">
        <v>665</v>
      </c>
      <c r="M381" s="10"/>
      <c r="N381" s="565"/>
      <c r="O381" s="565"/>
      <c r="P381" s="565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62" t="s">
        <v>196</v>
      </c>
      <c r="H382" s="562"/>
      <c r="I382" s="562"/>
      <c r="J382" s="562"/>
      <c r="K382" s="202">
        <v>45680</v>
      </c>
      <c r="L382" s="203" t="s">
        <v>663</v>
      </c>
      <c r="M382" s="10"/>
      <c r="N382" s="566"/>
      <c r="O382" s="566"/>
      <c r="P382" s="566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62" t="s">
        <v>196</v>
      </c>
      <c r="H383" s="562"/>
      <c r="I383" s="562"/>
      <c r="J383" s="562"/>
      <c r="K383" s="202">
        <v>45681</v>
      </c>
      <c r="L383" s="203" t="s">
        <v>667</v>
      </c>
      <c r="M383" s="10"/>
      <c r="N383" s="566"/>
      <c r="O383" s="566"/>
      <c r="P383" s="566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62" t="s">
        <v>196</v>
      </c>
      <c r="H384" s="562"/>
      <c r="I384" s="562"/>
      <c r="J384" s="562"/>
      <c r="K384" s="202">
        <v>45682</v>
      </c>
      <c r="L384" s="203" t="s">
        <v>668</v>
      </c>
      <c r="M384" s="10"/>
      <c r="N384" s="565"/>
      <c r="O384" s="565"/>
      <c r="P384" s="565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62" t="s">
        <v>196</v>
      </c>
      <c r="H385" s="562"/>
      <c r="I385" s="562"/>
      <c r="J385" s="562"/>
      <c r="K385" s="202">
        <v>45682</v>
      </c>
      <c r="L385" s="203" t="s">
        <v>666</v>
      </c>
      <c r="M385" s="10"/>
      <c r="N385" s="565"/>
      <c r="O385" s="565"/>
      <c r="P385" s="565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62" t="s">
        <v>196</v>
      </c>
      <c r="H386" s="562"/>
      <c r="I386" s="562"/>
      <c r="J386" s="562"/>
      <c r="K386" s="202">
        <v>45684</v>
      </c>
      <c r="L386" s="203" t="s">
        <v>419</v>
      </c>
      <c r="M386" s="10"/>
      <c r="N386" s="565"/>
      <c r="O386" s="565"/>
      <c r="P386" s="565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62" t="s">
        <v>196</v>
      </c>
      <c r="H387" s="562"/>
      <c r="I387" s="562"/>
      <c r="J387" s="562"/>
      <c r="K387" s="202">
        <v>45685</v>
      </c>
      <c r="L387" s="203" t="s">
        <v>664</v>
      </c>
      <c r="M387" s="10"/>
      <c r="N387" s="565"/>
      <c r="O387" s="565"/>
      <c r="P387" s="565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62" t="s">
        <v>196</v>
      </c>
      <c r="H388" s="562"/>
      <c r="I388" s="562"/>
      <c r="J388" s="562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62" t="s">
        <v>196</v>
      </c>
      <c r="H389" s="562"/>
      <c r="I389" s="562"/>
      <c r="J389" s="562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62" t="s">
        <v>196</v>
      </c>
      <c r="H390" s="562"/>
      <c r="I390" s="562"/>
      <c r="J390" s="562"/>
      <c r="K390" s="202">
        <v>45687</v>
      </c>
      <c r="L390" s="203" t="s">
        <v>667</v>
      </c>
      <c r="M390" s="10"/>
      <c r="N390" s="565"/>
      <c r="O390" s="565"/>
      <c r="P390" s="565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62" t="s">
        <v>196</v>
      </c>
      <c r="H391" s="562"/>
      <c r="I391" s="562"/>
      <c r="J391" s="562"/>
      <c r="K391" s="202">
        <v>45688</v>
      </c>
      <c r="L391" s="203" t="s">
        <v>669</v>
      </c>
      <c r="M391" s="10"/>
      <c r="N391" s="565"/>
      <c r="O391" s="565"/>
      <c r="P391" s="565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62" t="s">
        <v>196</v>
      </c>
      <c r="H392" s="562"/>
      <c r="I392" s="562"/>
      <c r="J392" s="562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62" t="s">
        <v>196</v>
      </c>
      <c r="H393" s="562"/>
      <c r="I393" s="562"/>
      <c r="J393" s="562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62" t="s">
        <v>196</v>
      </c>
      <c r="H394" s="562"/>
      <c r="I394" s="562"/>
      <c r="J394" s="562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62" t="s">
        <v>196</v>
      </c>
      <c r="H395" s="562"/>
      <c r="I395" s="562"/>
      <c r="J395" s="562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62" t="s">
        <v>196</v>
      </c>
      <c r="H396" s="562"/>
      <c r="I396" s="562"/>
      <c r="J396" s="562"/>
      <c r="K396" s="202">
        <v>45695</v>
      </c>
      <c r="L396" s="203" t="s">
        <v>667</v>
      </c>
      <c r="M396" s="10">
        <v>27</v>
      </c>
      <c r="N396" s="563"/>
      <c r="O396" s="564"/>
      <c r="P396" s="564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62" t="s">
        <v>196</v>
      </c>
      <c r="H397" s="562"/>
      <c r="I397" s="562"/>
      <c r="J397" s="562"/>
      <c r="K397" s="202">
        <v>45696</v>
      </c>
      <c r="L397" s="203" t="s">
        <v>666</v>
      </c>
      <c r="M397" s="10"/>
      <c r="N397" s="563"/>
      <c r="O397" s="564"/>
      <c r="P397" s="564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62" t="s">
        <v>196</v>
      </c>
      <c r="H398" s="562"/>
      <c r="I398" s="562"/>
      <c r="J398" s="562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62" t="s">
        <v>196</v>
      </c>
      <c r="H399" s="562"/>
      <c r="I399" s="562"/>
      <c r="J399" s="562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62" t="s">
        <v>196</v>
      </c>
      <c r="H400" s="562"/>
      <c r="I400" s="562"/>
      <c r="J400" s="562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62" t="s">
        <v>196</v>
      </c>
      <c r="H401" s="562"/>
      <c r="I401" s="562"/>
      <c r="J401" s="562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62" t="s">
        <v>196</v>
      </c>
      <c r="H402" s="562"/>
      <c r="I402" s="562"/>
      <c r="J402" s="562"/>
      <c r="K402" s="202">
        <v>45701</v>
      </c>
      <c r="L402" s="203" t="s">
        <v>663</v>
      </c>
      <c r="M402" s="10"/>
      <c r="N402" s="563"/>
      <c r="O402" s="564"/>
      <c r="P402" s="564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62" t="s">
        <v>196</v>
      </c>
      <c r="H403" s="562"/>
      <c r="I403" s="562"/>
      <c r="J403" s="562"/>
      <c r="K403" s="202">
        <v>45701</v>
      </c>
      <c r="L403" s="203" t="s">
        <v>419</v>
      </c>
      <c r="M403" s="10"/>
      <c r="N403" s="563"/>
      <c r="O403" s="564"/>
      <c r="P403" s="564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62" t="s">
        <v>196</v>
      </c>
      <c r="H404" s="562"/>
      <c r="I404" s="562"/>
      <c r="J404" s="562"/>
      <c r="K404" s="202">
        <v>45703</v>
      </c>
      <c r="L404" s="203" t="s">
        <v>667</v>
      </c>
      <c r="M404" s="10"/>
      <c r="N404" s="563"/>
      <c r="O404" s="564"/>
      <c r="P404" s="564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62" t="s">
        <v>196</v>
      </c>
      <c r="H405" s="562"/>
      <c r="I405" s="562"/>
      <c r="J405" s="562"/>
      <c r="K405" s="202">
        <v>45703</v>
      </c>
      <c r="L405" s="203" t="s">
        <v>666</v>
      </c>
      <c r="M405" s="10"/>
      <c r="N405" s="563"/>
      <c r="O405" s="564"/>
      <c r="P405" s="564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62" t="s">
        <v>196</v>
      </c>
      <c r="H406" s="562"/>
      <c r="I406" s="562"/>
      <c r="J406" s="562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62" t="s">
        <v>196</v>
      </c>
      <c r="H407" s="562"/>
      <c r="I407" s="562"/>
      <c r="J407" s="562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62" t="s">
        <v>196</v>
      </c>
      <c r="H408" s="562"/>
      <c r="I408" s="562"/>
      <c r="J408" s="562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62" t="s">
        <v>196</v>
      </c>
      <c r="H409" s="562"/>
      <c r="I409" s="562"/>
      <c r="J409" s="562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62" t="s">
        <v>196</v>
      </c>
      <c r="H410" s="562"/>
      <c r="I410" s="562"/>
      <c r="J410" s="562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62" t="s">
        <v>196</v>
      </c>
      <c r="H411" s="562"/>
      <c r="I411" s="562"/>
      <c r="J411" s="562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62" t="s">
        <v>196</v>
      </c>
      <c r="H412" s="562"/>
      <c r="I412" s="562"/>
      <c r="J412" s="562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62" t="s">
        <v>196</v>
      </c>
      <c r="H413" s="562"/>
      <c r="I413" s="562"/>
      <c r="J413" s="562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62" t="s">
        <v>196</v>
      </c>
      <c r="H414" s="562"/>
      <c r="I414" s="562"/>
      <c r="J414" s="562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62" t="s">
        <v>196</v>
      </c>
      <c r="H415" s="562"/>
      <c r="I415" s="562"/>
      <c r="J415" s="562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62" t="s">
        <v>196</v>
      </c>
      <c r="H416" s="562"/>
      <c r="I416" s="562"/>
      <c r="J416" s="562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62" t="s">
        <v>196</v>
      </c>
      <c r="H417" s="562"/>
      <c r="I417" s="562"/>
      <c r="J417" s="562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62" t="s">
        <v>196</v>
      </c>
      <c r="H418" s="562"/>
      <c r="I418" s="562"/>
      <c r="J418" s="562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62" t="s">
        <v>196</v>
      </c>
      <c r="H419" s="562"/>
      <c r="I419" s="562"/>
      <c r="J419" s="562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62" t="s">
        <v>196</v>
      </c>
      <c r="H420" s="562"/>
      <c r="I420" s="562"/>
      <c r="J420" s="562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62" t="s">
        <v>196</v>
      </c>
      <c r="H421" s="562"/>
      <c r="I421" s="562"/>
      <c r="J421" s="562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62" t="s">
        <v>196</v>
      </c>
      <c r="H422" s="562"/>
      <c r="I422" s="562"/>
      <c r="J422" s="562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62" t="s">
        <v>196</v>
      </c>
      <c r="H423" s="562"/>
      <c r="I423" s="562"/>
      <c r="J423" s="562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62" t="s">
        <v>196</v>
      </c>
      <c r="H424" s="562"/>
      <c r="I424" s="562"/>
      <c r="J424" s="562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62" t="s">
        <v>196</v>
      </c>
      <c r="H425" s="562"/>
      <c r="I425" s="562"/>
      <c r="J425" s="562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62" t="s">
        <v>196</v>
      </c>
      <c r="H426" s="562"/>
      <c r="I426" s="562"/>
      <c r="J426" s="562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62" t="s">
        <v>196</v>
      </c>
      <c r="H427" s="562"/>
      <c r="I427" s="562"/>
      <c r="J427" s="562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62" t="s">
        <v>196</v>
      </c>
      <c r="H428" s="562"/>
      <c r="I428" s="562"/>
      <c r="J428" s="562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62" t="s">
        <v>196</v>
      </c>
      <c r="H429" s="562"/>
      <c r="I429" s="562"/>
      <c r="J429" s="562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62" t="s">
        <v>196</v>
      </c>
      <c r="H430" s="562"/>
      <c r="I430" s="562"/>
      <c r="J430" s="562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62" t="s">
        <v>196</v>
      </c>
      <c r="H431" s="562"/>
      <c r="I431" s="562"/>
      <c r="J431" s="562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62" t="s">
        <v>196</v>
      </c>
      <c r="H432" s="562"/>
      <c r="I432" s="562"/>
      <c r="J432" s="562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62" t="s">
        <v>196</v>
      </c>
      <c r="H433" s="562"/>
      <c r="I433" s="562"/>
      <c r="J433" s="562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62" t="s">
        <v>196</v>
      </c>
      <c r="H434" s="562"/>
      <c r="I434" s="562"/>
      <c r="J434" s="562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62" t="s">
        <v>196</v>
      </c>
      <c r="H435" s="562"/>
      <c r="I435" s="562"/>
      <c r="J435" s="562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62" t="s">
        <v>196</v>
      </c>
      <c r="H436" s="562"/>
      <c r="I436" s="562"/>
      <c r="J436" s="562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62" t="s">
        <v>196</v>
      </c>
      <c r="H437" s="562"/>
      <c r="I437" s="562"/>
      <c r="J437" s="562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62" t="s">
        <v>196</v>
      </c>
      <c r="H438" s="562"/>
      <c r="I438" s="562"/>
      <c r="J438" s="562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62" t="s">
        <v>196</v>
      </c>
      <c r="H439" s="562"/>
      <c r="I439" s="562"/>
      <c r="J439" s="562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62" t="s">
        <v>196</v>
      </c>
      <c r="H440" s="562"/>
      <c r="I440" s="562"/>
      <c r="J440" s="562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62" t="s">
        <v>196</v>
      </c>
      <c r="H441" s="562"/>
      <c r="I441" s="562"/>
      <c r="J441" s="562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62" t="s">
        <v>196</v>
      </c>
      <c r="H442" s="562"/>
      <c r="I442" s="562"/>
      <c r="J442" s="562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62" t="s">
        <v>196</v>
      </c>
      <c r="H443" s="562"/>
      <c r="I443" s="562"/>
      <c r="J443" s="562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62" t="s">
        <v>196</v>
      </c>
      <c r="H444" s="562"/>
      <c r="I444" s="562"/>
      <c r="J444" s="562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62" t="s">
        <v>196</v>
      </c>
      <c r="H445" s="562"/>
      <c r="I445" s="562"/>
      <c r="J445" s="562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62" t="s">
        <v>196</v>
      </c>
      <c r="H446" s="562"/>
      <c r="I446" s="562"/>
      <c r="J446" s="562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62" t="s">
        <v>196</v>
      </c>
      <c r="H447" s="562"/>
      <c r="I447" s="562"/>
      <c r="J447" s="562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62" t="s">
        <v>196</v>
      </c>
      <c r="H448" s="562"/>
      <c r="I448" s="562"/>
      <c r="J448" s="562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62" t="s">
        <v>196</v>
      </c>
      <c r="H449" s="562"/>
      <c r="I449" s="562"/>
      <c r="J449" s="562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62" t="s">
        <v>196</v>
      </c>
      <c r="H450" s="562"/>
      <c r="I450" s="562"/>
      <c r="J450" s="562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62" t="s">
        <v>196</v>
      </c>
      <c r="H451" s="562"/>
      <c r="I451" s="562"/>
      <c r="J451" s="562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62" t="s">
        <v>196</v>
      </c>
      <c r="H452" s="562"/>
      <c r="I452" s="562"/>
      <c r="J452" s="562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62" t="s">
        <v>196</v>
      </c>
      <c r="H453" s="562"/>
      <c r="I453" s="562"/>
      <c r="J453" s="562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62" t="s">
        <v>196</v>
      </c>
      <c r="H454" s="562"/>
      <c r="I454" s="562"/>
      <c r="J454" s="562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62" t="s">
        <v>196</v>
      </c>
      <c r="H455" s="562"/>
      <c r="I455" s="562"/>
      <c r="J455" s="562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62" t="s">
        <v>196</v>
      </c>
      <c r="H456" s="562"/>
      <c r="I456" s="562"/>
      <c r="J456" s="562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62" t="s">
        <v>196</v>
      </c>
      <c r="H457" s="562"/>
      <c r="I457" s="562"/>
      <c r="J457" s="562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62" t="s">
        <v>196</v>
      </c>
      <c r="H458" s="562"/>
      <c r="I458" s="562"/>
      <c r="J458" s="562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62" t="s">
        <v>196</v>
      </c>
      <c r="H459" s="562"/>
      <c r="I459" s="562"/>
      <c r="J459" s="562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62" t="s">
        <v>196</v>
      </c>
      <c r="H460" s="562"/>
      <c r="I460" s="562"/>
      <c r="J460" s="562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62" t="s">
        <v>196</v>
      </c>
      <c r="H461" s="562"/>
      <c r="I461" s="562"/>
      <c r="J461" s="562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62" t="s">
        <v>196</v>
      </c>
      <c r="H462" s="562"/>
      <c r="I462" s="562"/>
      <c r="J462" s="562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62" t="s">
        <v>196</v>
      </c>
      <c r="H463" s="562"/>
      <c r="I463" s="562"/>
      <c r="J463" s="562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62" t="s">
        <v>196</v>
      </c>
      <c r="H464" s="562"/>
      <c r="I464" s="562"/>
      <c r="J464" s="562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62" t="s">
        <v>196</v>
      </c>
      <c r="H465" s="562"/>
      <c r="I465" s="562"/>
      <c r="J465" s="562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62" t="s">
        <v>196</v>
      </c>
      <c r="H466" s="562"/>
      <c r="I466" s="562"/>
      <c r="J466" s="562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62" t="s">
        <v>196</v>
      </c>
      <c r="H467" s="562"/>
      <c r="I467" s="562"/>
      <c r="J467" s="562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62" t="s">
        <v>196</v>
      </c>
      <c r="H468" s="562"/>
      <c r="I468" s="562"/>
      <c r="J468" s="562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62" t="s">
        <v>196</v>
      </c>
      <c r="H469" s="562"/>
      <c r="I469" s="562"/>
      <c r="J469" s="562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62" t="s">
        <v>196</v>
      </c>
      <c r="H470" s="562"/>
      <c r="I470" s="562"/>
      <c r="J470" s="562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62" t="s">
        <v>196</v>
      </c>
      <c r="H471" s="562"/>
      <c r="I471" s="562"/>
      <c r="J471" s="562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62" t="s">
        <v>196</v>
      </c>
      <c r="H472" s="562"/>
      <c r="I472" s="562"/>
      <c r="J472" s="562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62" t="s">
        <v>196</v>
      </c>
      <c r="H473" s="562"/>
      <c r="I473" s="562"/>
      <c r="J473" s="562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62" t="s">
        <v>196</v>
      </c>
      <c r="H474" s="562"/>
      <c r="I474" s="562"/>
      <c r="J474" s="562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62" t="s">
        <v>196</v>
      </c>
      <c r="H475" s="562"/>
      <c r="I475" s="562"/>
      <c r="J475" s="562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62" t="s">
        <v>196</v>
      </c>
      <c r="H476" s="562"/>
      <c r="I476" s="562"/>
      <c r="J476" s="562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62" t="s">
        <v>196</v>
      </c>
      <c r="H477" s="562"/>
      <c r="I477" s="562"/>
      <c r="J477" s="562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62" t="s">
        <v>196</v>
      </c>
      <c r="H478" s="562"/>
      <c r="I478" s="562"/>
      <c r="J478" s="562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62" t="s">
        <v>196</v>
      </c>
      <c r="H479" s="562"/>
      <c r="I479" s="562"/>
      <c r="J479" s="562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62" t="s">
        <v>196</v>
      </c>
      <c r="H480" s="562"/>
      <c r="I480" s="562"/>
      <c r="J480" s="562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62" t="s">
        <v>196</v>
      </c>
      <c r="H481" s="562"/>
      <c r="I481" s="562"/>
      <c r="J481" s="562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62" t="s">
        <v>196</v>
      </c>
      <c r="H482" s="562"/>
      <c r="I482" s="562"/>
      <c r="J482" s="562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62" t="s">
        <v>196</v>
      </c>
      <c r="H483" s="562"/>
      <c r="I483" s="562"/>
      <c r="J483" s="562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62" t="s">
        <v>196</v>
      </c>
      <c r="H484" s="562"/>
      <c r="I484" s="562"/>
      <c r="J484" s="562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62" t="s">
        <v>196</v>
      </c>
      <c r="H485" s="562"/>
      <c r="I485" s="562"/>
      <c r="J485" s="562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62" t="s">
        <v>196</v>
      </c>
      <c r="H486" s="562"/>
      <c r="I486" s="562"/>
      <c r="J486" s="562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62" t="s">
        <v>196</v>
      </c>
      <c r="H487" s="562"/>
      <c r="I487" s="562"/>
      <c r="J487" s="562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62" t="s">
        <v>196</v>
      </c>
      <c r="H488" s="562"/>
      <c r="I488" s="562"/>
      <c r="J488" s="562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62" t="s">
        <v>196</v>
      </c>
      <c r="H489" s="562"/>
      <c r="I489" s="562"/>
      <c r="J489" s="562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62" t="s">
        <v>196</v>
      </c>
      <c r="H490" s="562"/>
      <c r="I490" s="562"/>
      <c r="J490" s="562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62" t="s">
        <v>196</v>
      </c>
      <c r="H491" s="562"/>
      <c r="I491" s="562"/>
      <c r="J491" s="562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62" t="s">
        <v>196</v>
      </c>
      <c r="H492" s="562"/>
      <c r="I492" s="562"/>
      <c r="J492" s="562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62" t="s">
        <v>196</v>
      </c>
      <c r="H493" s="562"/>
      <c r="I493" s="562"/>
      <c r="J493" s="562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62" t="s">
        <v>196</v>
      </c>
      <c r="H494" s="562"/>
      <c r="I494" s="562"/>
      <c r="J494" s="562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62" t="s">
        <v>196</v>
      </c>
      <c r="H495" s="562"/>
      <c r="I495" s="562"/>
      <c r="J495" s="562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62" t="s">
        <v>196</v>
      </c>
      <c r="H496" s="562"/>
      <c r="I496" s="562"/>
      <c r="J496" s="562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62" t="s">
        <v>196</v>
      </c>
      <c r="H497" s="562"/>
      <c r="I497" s="562"/>
      <c r="J497" s="562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62" t="s">
        <v>196</v>
      </c>
      <c r="H498" s="562"/>
      <c r="I498" s="562"/>
      <c r="J498" s="562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62" t="s">
        <v>196</v>
      </c>
      <c r="H499" s="562"/>
      <c r="I499" s="562"/>
      <c r="J499" s="562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62" t="s">
        <v>196</v>
      </c>
      <c r="H500" s="562"/>
      <c r="I500" s="562"/>
      <c r="J500" s="562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62" t="s">
        <v>196</v>
      </c>
      <c r="H501" s="562"/>
      <c r="I501" s="562"/>
      <c r="J501" s="562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62" t="s">
        <v>196</v>
      </c>
      <c r="H502" s="562"/>
      <c r="I502" s="562"/>
      <c r="J502" s="562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62" t="s">
        <v>196</v>
      </c>
      <c r="H503" s="562"/>
      <c r="I503" s="562"/>
      <c r="J503" s="562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62" t="s">
        <v>196</v>
      </c>
      <c r="H504" s="562"/>
      <c r="I504" s="562"/>
      <c r="J504" s="562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62" t="s">
        <v>196</v>
      </c>
      <c r="H505" s="562"/>
      <c r="I505" s="562"/>
      <c r="J505" s="562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62" t="s">
        <v>196</v>
      </c>
      <c r="H506" s="562"/>
      <c r="I506" s="562"/>
      <c r="J506" s="562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62" t="s">
        <v>196</v>
      </c>
      <c r="H507" s="562"/>
      <c r="I507" s="562"/>
      <c r="J507" s="562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62" t="s">
        <v>196</v>
      </c>
      <c r="H508" s="562"/>
      <c r="I508" s="562"/>
      <c r="J508" s="562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62" t="s">
        <v>196</v>
      </c>
      <c r="H509" s="562"/>
      <c r="I509" s="562"/>
      <c r="J509" s="562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62" t="s">
        <v>196</v>
      </c>
      <c r="H510" s="562"/>
      <c r="I510" s="562"/>
      <c r="J510" s="562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62" t="s">
        <v>196</v>
      </c>
      <c r="H511" s="562"/>
      <c r="I511" s="562"/>
      <c r="J511" s="562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62" t="s">
        <v>196</v>
      </c>
      <c r="H512" s="562"/>
      <c r="I512" s="562"/>
      <c r="J512" s="562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62" t="s">
        <v>196</v>
      </c>
      <c r="H513" s="562"/>
      <c r="I513" s="562"/>
      <c r="J513" s="562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62" t="s">
        <v>196</v>
      </c>
      <c r="H514" s="562"/>
      <c r="I514" s="562"/>
      <c r="J514" s="562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62" t="s">
        <v>196</v>
      </c>
      <c r="H515" s="562"/>
      <c r="I515" s="562"/>
      <c r="J515" s="562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62" t="s">
        <v>196</v>
      </c>
      <c r="H516" s="562"/>
      <c r="I516" s="562"/>
      <c r="J516" s="562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62" t="s">
        <v>196</v>
      </c>
      <c r="H517" s="562"/>
      <c r="I517" s="562"/>
      <c r="J517" s="562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62" t="s">
        <v>196</v>
      </c>
      <c r="H518" s="562"/>
      <c r="I518" s="562"/>
      <c r="J518" s="562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62" t="s">
        <v>196</v>
      </c>
      <c r="H519" s="562"/>
      <c r="I519" s="562"/>
      <c r="J519" s="562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62" t="s">
        <v>196</v>
      </c>
      <c r="H520" s="562"/>
      <c r="I520" s="562"/>
      <c r="J520" s="562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62" t="s">
        <v>196</v>
      </c>
      <c r="H521" s="562"/>
      <c r="I521" s="562"/>
      <c r="J521" s="562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62" t="s">
        <v>196</v>
      </c>
      <c r="H522" s="562"/>
      <c r="I522" s="562"/>
      <c r="J522" s="562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62" t="s">
        <v>196</v>
      </c>
      <c r="H523" s="562"/>
      <c r="I523" s="562"/>
      <c r="J523" s="562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62" t="s">
        <v>196</v>
      </c>
      <c r="H524" s="562"/>
      <c r="I524" s="562"/>
      <c r="J524" s="562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62" t="s">
        <v>196</v>
      </c>
      <c r="H525" s="562"/>
      <c r="I525" s="562"/>
      <c r="J525" s="562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62" t="s">
        <v>196</v>
      </c>
      <c r="H526" s="562"/>
      <c r="I526" s="562"/>
      <c r="J526" s="562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62" t="s">
        <v>196</v>
      </c>
      <c r="H527" s="562"/>
      <c r="I527" s="562"/>
      <c r="J527" s="562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62" t="s">
        <v>196</v>
      </c>
      <c r="H528" s="562"/>
      <c r="I528" s="562"/>
      <c r="J528" s="562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62" t="s">
        <v>196</v>
      </c>
      <c r="H529" s="562"/>
      <c r="I529" s="562"/>
      <c r="J529" s="562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62" t="s">
        <v>196</v>
      </c>
      <c r="H530" s="562"/>
      <c r="I530" s="562"/>
      <c r="J530" s="562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62" t="s">
        <v>196</v>
      </c>
      <c r="H531" s="562"/>
      <c r="I531" s="562"/>
      <c r="J531" s="562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62" t="s">
        <v>196</v>
      </c>
      <c r="H532" s="562"/>
      <c r="I532" s="562"/>
      <c r="J532" s="562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62" t="s">
        <v>196</v>
      </c>
      <c r="H533" s="562"/>
      <c r="I533" s="562"/>
      <c r="J533" s="562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62" t="s">
        <v>196</v>
      </c>
      <c r="H534" s="562"/>
      <c r="I534" s="562"/>
      <c r="J534" s="562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62" t="s">
        <v>196</v>
      </c>
      <c r="H535" s="562"/>
      <c r="I535" s="562"/>
      <c r="J535" s="562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62" t="s">
        <v>196</v>
      </c>
      <c r="H536" s="562"/>
      <c r="I536" s="562"/>
      <c r="J536" s="562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62" t="s">
        <v>196</v>
      </c>
      <c r="H537" s="562"/>
      <c r="I537" s="562"/>
      <c r="J537" s="562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62" t="s">
        <v>196</v>
      </c>
      <c r="H538" s="562"/>
      <c r="I538" s="562"/>
      <c r="J538" s="562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62" t="s">
        <v>196</v>
      </c>
      <c r="H539" s="562"/>
      <c r="I539" s="562"/>
      <c r="J539" s="562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62" t="s">
        <v>196</v>
      </c>
      <c r="H540" s="562"/>
      <c r="I540" s="562"/>
      <c r="J540" s="562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62" t="s">
        <v>196</v>
      </c>
      <c r="H541" s="562"/>
      <c r="I541" s="562"/>
      <c r="J541" s="562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62" t="s">
        <v>196</v>
      </c>
      <c r="H542" s="562"/>
      <c r="I542" s="562"/>
      <c r="J542" s="562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62" t="s">
        <v>196</v>
      </c>
      <c r="H543" s="562"/>
      <c r="I543" s="562"/>
      <c r="J543" s="562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62" t="s">
        <v>196</v>
      </c>
      <c r="H544" s="562"/>
      <c r="I544" s="562"/>
      <c r="J544" s="562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62" t="s">
        <v>196</v>
      </c>
      <c r="H545" s="562"/>
      <c r="I545" s="562"/>
      <c r="J545" s="562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62" t="s">
        <v>196</v>
      </c>
      <c r="H546" s="562"/>
      <c r="I546" s="562"/>
      <c r="J546" s="562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62" t="s">
        <v>196</v>
      </c>
      <c r="H547" s="562"/>
      <c r="I547" s="562"/>
      <c r="J547" s="562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62" t="s">
        <v>196</v>
      </c>
      <c r="H548" s="562"/>
      <c r="I548" s="562"/>
      <c r="J548" s="562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62" t="s">
        <v>196</v>
      </c>
      <c r="H549" s="562"/>
      <c r="I549" s="562"/>
      <c r="J549" s="562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62" t="s">
        <v>196</v>
      </c>
      <c r="H550" s="562"/>
      <c r="I550" s="562"/>
      <c r="J550" s="562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62" t="s">
        <v>196</v>
      </c>
      <c r="H551" s="562"/>
      <c r="I551" s="562"/>
      <c r="J551" s="562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62" t="s">
        <v>196</v>
      </c>
      <c r="H552" s="562"/>
      <c r="I552" s="562"/>
      <c r="J552" s="562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62" t="s">
        <v>196</v>
      </c>
      <c r="H553" s="562"/>
      <c r="I553" s="562"/>
      <c r="J553" s="562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62" t="s">
        <v>196</v>
      </c>
      <c r="H554" s="562"/>
      <c r="I554" s="562"/>
      <c r="J554" s="562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62" t="s">
        <v>196</v>
      </c>
      <c r="H555" s="562"/>
      <c r="I555" s="562"/>
      <c r="J555" s="562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62" t="s">
        <v>196</v>
      </c>
      <c r="H556" s="562"/>
      <c r="I556" s="562"/>
      <c r="J556" s="562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62" t="s">
        <v>196</v>
      </c>
      <c r="H557" s="562"/>
      <c r="I557" s="562"/>
      <c r="J557" s="562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62" t="s">
        <v>196</v>
      </c>
      <c r="H558" s="562"/>
      <c r="I558" s="562"/>
      <c r="J558" s="562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62" t="s">
        <v>196</v>
      </c>
      <c r="H559" s="562"/>
      <c r="I559" s="562"/>
      <c r="J559" s="562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62" t="s">
        <v>196</v>
      </c>
      <c r="H560" s="562"/>
      <c r="I560" s="562"/>
      <c r="J560" s="562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62" t="s">
        <v>196</v>
      </c>
      <c r="H561" s="562"/>
      <c r="I561" s="562"/>
      <c r="J561" s="562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62" t="s">
        <v>196</v>
      </c>
      <c r="H562" s="562"/>
      <c r="I562" s="562"/>
      <c r="J562" s="562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62" t="s">
        <v>196</v>
      </c>
      <c r="H563" s="562"/>
      <c r="I563" s="562"/>
      <c r="J563" s="562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62" t="s">
        <v>196</v>
      </c>
      <c r="H564" s="562"/>
      <c r="I564" s="562"/>
      <c r="J564" s="562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62" t="s">
        <v>196</v>
      </c>
      <c r="H565" s="562"/>
      <c r="I565" s="562"/>
      <c r="J565" s="562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62" t="s">
        <v>196</v>
      </c>
      <c r="H566" s="562"/>
      <c r="I566" s="562"/>
      <c r="J566" s="562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62" t="s">
        <v>196</v>
      </c>
      <c r="H567" s="562"/>
      <c r="I567" s="562"/>
      <c r="J567" s="562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62" t="s">
        <v>196</v>
      </c>
      <c r="H568" s="562"/>
      <c r="I568" s="562"/>
      <c r="J568" s="562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62" t="s">
        <v>196</v>
      </c>
      <c r="H569" s="562"/>
      <c r="I569" s="562"/>
      <c r="J569" s="562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62" t="s">
        <v>196</v>
      </c>
      <c r="H570" s="562"/>
      <c r="I570" s="562"/>
      <c r="J570" s="562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62" t="s">
        <v>196</v>
      </c>
      <c r="H571" s="562"/>
      <c r="I571" s="562"/>
      <c r="J571" s="562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62" t="s">
        <v>196</v>
      </c>
      <c r="H572" s="562"/>
      <c r="I572" s="562"/>
      <c r="J572" s="562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62" t="s">
        <v>196</v>
      </c>
      <c r="H573" s="562"/>
      <c r="I573" s="562"/>
      <c r="J573" s="562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62" t="s">
        <v>196</v>
      </c>
      <c r="H574" s="562"/>
      <c r="I574" s="562"/>
      <c r="J574" s="562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62" t="s">
        <v>196</v>
      </c>
      <c r="H575" s="562"/>
      <c r="I575" s="562"/>
      <c r="J575" s="562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62" t="s">
        <v>196</v>
      </c>
      <c r="H576" s="562"/>
      <c r="I576" s="562"/>
      <c r="J576" s="562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62" t="s">
        <v>196</v>
      </c>
      <c r="H577" s="562"/>
      <c r="I577" s="562"/>
      <c r="J577" s="562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62" t="s">
        <v>196</v>
      </c>
      <c r="H578" s="562"/>
      <c r="I578" s="562"/>
      <c r="J578" s="562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62" t="s">
        <v>196</v>
      </c>
      <c r="H579" s="562"/>
      <c r="I579" s="562"/>
      <c r="J579" s="562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62" t="s">
        <v>196</v>
      </c>
      <c r="H580" s="562"/>
      <c r="I580" s="562"/>
      <c r="J580" s="562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62" t="s">
        <v>196</v>
      </c>
      <c r="H581" s="562"/>
      <c r="I581" s="562"/>
      <c r="J581" s="562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62" t="s">
        <v>196</v>
      </c>
      <c r="H582" s="562"/>
      <c r="I582" s="562"/>
      <c r="J582" s="562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62" t="s">
        <v>196</v>
      </c>
      <c r="H583" s="562"/>
      <c r="I583" s="562"/>
      <c r="J583" s="562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62" t="s">
        <v>196</v>
      </c>
      <c r="H584" s="562"/>
      <c r="I584" s="562"/>
      <c r="J584" s="562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62" t="s">
        <v>196</v>
      </c>
      <c r="H585" s="562"/>
      <c r="I585" s="562"/>
      <c r="J585" s="562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62" t="s">
        <v>196</v>
      </c>
      <c r="H586" s="562"/>
      <c r="I586" s="562"/>
      <c r="J586" s="562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62" t="s">
        <v>196</v>
      </c>
      <c r="H587" s="562"/>
      <c r="I587" s="562"/>
      <c r="J587" s="562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62" t="s">
        <v>196</v>
      </c>
      <c r="H588" s="562"/>
      <c r="I588" s="562"/>
      <c r="J588" s="562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62" t="s">
        <v>196</v>
      </c>
      <c r="H589" s="562"/>
      <c r="I589" s="562"/>
      <c r="J589" s="562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62" t="s">
        <v>196</v>
      </c>
      <c r="H590" s="562"/>
      <c r="I590" s="562"/>
      <c r="J590" s="562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62" t="s">
        <v>196</v>
      </c>
      <c r="H591" s="562"/>
      <c r="I591" s="562"/>
      <c r="J591" s="562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62" t="s">
        <v>196</v>
      </c>
      <c r="H592" s="562"/>
      <c r="I592" s="562"/>
      <c r="J592" s="562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62" t="s">
        <v>196</v>
      </c>
      <c r="H593" s="562"/>
      <c r="I593" s="562"/>
      <c r="J593" s="562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62" t="s">
        <v>196</v>
      </c>
      <c r="H594" s="562"/>
      <c r="I594" s="562"/>
      <c r="J594" s="562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62" t="s">
        <v>196</v>
      </c>
      <c r="H595" s="562"/>
      <c r="I595" s="562"/>
      <c r="J595" s="562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62" t="s">
        <v>196</v>
      </c>
      <c r="H596" s="562"/>
      <c r="I596" s="562"/>
      <c r="J596" s="562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62" t="s">
        <v>196</v>
      </c>
      <c r="H597" s="562"/>
      <c r="I597" s="562"/>
      <c r="J597" s="562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500" t="s">
        <v>225</v>
      </c>
      <c r="D598" s="10"/>
      <c r="E598" s="202">
        <v>45970</v>
      </c>
      <c r="F598" s="23">
        <v>43.775756000000008</v>
      </c>
      <c r="G598" s="562" t="s">
        <v>196</v>
      </c>
      <c r="H598" s="562"/>
      <c r="I598" s="562"/>
      <c r="J598" s="562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80" t="s">
        <v>220</v>
      </c>
      <c r="H599" s="581"/>
      <c r="I599" s="581"/>
      <c r="J599" s="582"/>
      <c r="K599" s="202"/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654</v>
      </c>
      <c r="D600" s="202"/>
      <c r="E600" s="202">
        <v>45945</v>
      </c>
      <c r="F600" s="23">
        <v>90.125</v>
      </c>
      <c r="G600" s="580" t="s">
        <v>220</v>
      </c>
      <c r="H600" s="581"/>
      <c r="I600" s="581"/>
      <c r="J600" s="582"/>
      <c r="K600" s="202"/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689</v>
      </c>
      <c r="C601" s="500" t="s">
        <v>195</v>
      </c>
      <c r="D601" s="10"/>
      <c r="E601" s="202">
        <v>45967</v>
      </c>
      <c r="F601" s="23">
        <v>43.775756000000008</v>
      </c>
      <c r="G601" s="580" t="s">
        <v>220</v>
      </c>
      <c r="H601" s="581"/>
      <c r="I601" s="581"/>
      <c r="J601" s="582"/>
      <c r="K601" s="202"/>
      <c r="L601" s="203" t="s">
        <v>1049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294</v>
      </c>
      <c r="C602" s="500" t="s">
        <v>716</v>
      </c>
      <c r="D602" s="10"/>
      <c r="E602" s="202">
        <v>45969</v>
      </c>
      <c r="F602" s="23">
        <v>101.93300000000001</v>
      </c>
      <c r="G602" s="580" t="s">
        <v>220</v>
      </c>
      <c r="H602" s="581"/>
      <c r="I602" s="581"/>
      <c r="J602" s="582"/>
      <c r="K602" s="202"/>
      <c r="L602" s="203" t="s">
        <v>751</v>
      </c>
      <c r="M602" s="10"/>
      <c r="N602" s="197"/>
      <c r="O602" s="198"/>
      <c r="P602" s="198"/>
    </row>
    <row r="603" spans="1:16">
      <c r="A603" s="10">
        <v>286</v>
      </c>
      <c r="B603" s="149" t="s">
        <v>328</v>
      </c>
      <c r="C603" s="500" t="s">
        <v>1050</v>
      </c>
      <c r="D603" s="10"/>
      <c r="E603" s="202">
        <v>45971</v>
      </c>
      <c r="F603" s="23">
        <v>124.03700000000001</v>
      </c>
      <c r="G603" s="580" t="s">
        <v>220</v>
      </c>
      <c r="H603" s="581"/>
      <c r="I603" s="581"/>
      <c r="J603" s="582"/>
      <c r="K603" s="76"/>
      <c r="L603" s="203" t="s">
        <v>423</v>
      </c>
      <c r="M603" s="10"/>
      <c r="N603" s="197"/>
      <c r="O603" s="198"/>
      <c r="P603" s="198"/>
    </row>
    <row r="604" spans="1:16">
      <c r="A604" s="10">
        <v>287</v>
      </c>
      <c r="B604" s="499" t="s">
        <v>436</v>
      </c>
      <c r="C604" s="501" t="s">
        <v>507</v>
      </c>
      <c r="D604" s="76"/>
      <c r="E604" s="380">
        <v>45976</v>
      </c>
      <c r="F604" s="75">
        <v>64.481999999999999</v>
      </c>
      <c r="G604" s="580" t="s">
        <v>220</v>
      </c>
      <c r="H604" s="581"/>
      <c r="I604" s="581"/>
      <c r="J604" s="582"/>
      <c r="K604" s="76"/>
      <c r="L604" s="203" t="s">
        <v>1108</v>
      </c>
      <c r="M604" s="76"/>
    </row>
    <row r="605" spans="1:16">
      <c r="A605" s="10">
        <v>288</v>
      </c>
      <c r="B605" s="294" t="s">
        <v>874</v>
      </c>
      <c r="C605" s="456" t="s">
        <v>380</v>
      </c>
      <c r="D605" s="76"/>
      <c r="E605" s="202">
        <v>45976</v>
      </c>
      <c r="F605" s="23">
        <v>97.228551999999993</v>
      </c>
      <c r="G605" s="580" t="s">
        <v>220</v>
      </c>
      <c r="H605" s="581"/>
      <c r="I605" s="581"/>
      <c r="J605" s="582"/>
      <c r="K605" s="202"/>
      <c r="L605" s="203" t="s">
        <v>1115</v>
      </c>
      <c r="M605" s="76"/>
    </row>
    <row r="606" spans="1:16">
      <c r="A606" s="10">
        <v>289</v>
      </c>
      <c r="B606" s="273" t="s">
        <v>292</v>
      </c>
      <c r="C606" s="456" t="s">
        <v>360</v>
      </c>
      <c r="D606" s="10"/>
      <c r="E606" s="202">
        <v>45977</v>
      </c>
      <c r="F606" s="23">
        <v>113.68</v>
      </c>
      <c r="G606" s="580" t="s">
        <v>220</v>
      </c>
      <c r="H606" s="581"/>
      <c r="I606" s="581"/>
      <c r="J606" s="582"/>
      <c r="K606" s="202"/>
      <c r="L606" s="203" t="s">
        <v>666</v>
      </c>
      <c r="M606" s="76"/>
    </row>
    <row r="607" spans="1:16">
      <c r="A607" s="10">
        <v>290</v>
      </c>
      <c r="B607" s="502" t="s">
        <v>434</v>
      </c>
      <c r="C607" s="456" t="s">
        <v>747</v>
      </c>
      <c r="D607" s="10"/>
      <c r="E607" s="202">
        <v>45978</v>
      </c>
      <c r="F607" s="23">
        <v>110.69581699999999</v>
      </c>
      <c r="G607" s="580" t="s">
        <v>220</v>
      </c>
      <c r="H607" s="581"/>
      <c r="I607" s="581"/>
      <c r="J607" s="582"/>
      <c r="L607" s="203" t="s">
        <v>1123</v>
      </c>
    </row>
    <row r="608" spans="1:16">
      <c r="A608" s="10">
        <v>291</v>
      </c>
      <c r="B608" s="273" t="s">
        <v>691</v>
      </c>
      <c r="C608" s="500" t="s">
        <v>195</v>
      </c>
      <c r="D608" s="10"/>
      <c r="E608" s="202">
        <v>45979</v>
      </c>
      <c r="F608" s="23">
        <v>43.775756000000008</v>
      </c>
      <c r="G608" s="580" t="s">
        <v>220</v>
      </c>
      <c r="H608" s="581"/>
      <c r="I608" s="581"/>
      <c r="J608" s="582"/>
      <c r="K608" s="202"/>
      <c r="L608" s="203" t="s">
        <v>752</v>
      </c>
      <c r="M608" s="76"/>
    </row>
    <row r="609" spans="1:10">
      <c r="A609" s="12"/>
    </row>
    <row r="611" spans="1:10" ht="21">
      <c r="A611" s="597" t="s">
        <v>65</v>
      </c>
      <c r="B611" s="598"/>
      <c r="C611" s="598"/>
      <c r="D611" s="598"/>
      <c r="E611" s="598"/>
      <c r="F611" s="598"/>
      <c r="G611" s="598"/>
      <c r="H611" s="598"/>
      <c r="I611" s="598"/>
      <c r="J611" s="599"/>
    </row>
    <row r="612" spans="1:10" ht="26.25" thickBot="1">
      <c r="A612" s="30" t="s">
        <v>188</v>
      </c>
      <c r="B612" s="30" t="s">
        <v>70</v>
      </c>
      <c r="C612" s="455" t="s">
        <v>198</v>
      </c>
      <c r="D612" s="600" t="s">
        <v>71</v>
      </c>
      <c r="E612" s="601"/>
      <c r="F612" s="601"/>
      <c r="G612" s="602"/>
      <c r="H612" s="30" t="s">
        <v>192</v>
      </c>
      <c r="I612" s="30" t="s">
        <v>193</v>
      </c>
      <c r="J612" s="30" t="s">
        <v>73</v>
      </c>
    </row>
    <row r="613" spans="1:10">
      <c r="A613" s="10">
        <v>1</v>
      </c>
      <c r="B613" s="274" t="s">
        <v>755</v>
      </c>
      <c r="C613" s="421">
        <v>4.8187499999999996</v>
      </c>
      <c r="D613" s="579" t="s">
        <v>196</v>
      </c>
      <c r="E613" s="579"/>
      <c r="F613" s="579"/>
      <c r="G613" s="579"/>
      <c r="H613" s="280" t="s">
        <v>774</v>
      </c>
      <c r="I613" s="10"/>
      <c r="J613" s="28"/>
    </row>
    <row r="614" spans="1:10">
      <c r="A614" s="10">
        <v>2</v>
      </c>
      <c r="B614" s="274" t="s">
        <v>756</v>
      </c>
      <c r="C614" s="421">
        <v>1.23428</v>
      </c>
      <c r="D614" s="579" t="s">
        <v>196</v>
      </c>
      <c r="E614" s="579"/>
      <c r="F614" s="579"/>
      <c r="G614" s="579"/>
      <c r="H614" s="280" t="s">
        <v>774</v>
      </c>
      <c r="I614" s="10"/>
      <c r="J614" s="28"/>
    </row>
    <row r="615" spans="1:10">
      <c r="A615" s="10">
        <v>3</v>
      </c>
      <c r="B615" s="274" t="s">
        <v>757</v>
      </c>
      <c r="C615" s="421">
        <v>3.9570500000000002</v>
      </c>
      <c r="D615" s="579" t="s">
        <v>196</v>
      </c>
      <c r="E615" s="579"/>
      <c r="F615" s="579"/>
      <c r="G615" s="579"/>
      <c r="H615" s="280" t="s">
        <v>775</v>
      </c>
      <c r="I615" s="10"/>
      <c r="J615" s="28"/>
    </row>
    <row r="616" spans="1:10">
      <c r="A616" s="10">
        <v>4</v>
      </c>
      <c r="B616" s="274" t="s">
        <v>758</v>
      </c>
      <c r="C616" s="421">
        <v>2.0167199999999998</v>
      </c>
      <c r="D616" s="579" t="s">
        <v>196</v>
      </c>
      <c r="E616" s="579"/>
      <c r="F616" s="579"/>
      <c r="G616" s="579"/>
      <c r="H616" s="280" t="s">
        <v>774</v>
      </c>
      <c r="I616" s="10"/>
      <c r="J616" s="28"/>
    </row>
    <row r="617" spans="1:10">
      <c r="A617" s="10">
        <v>5</v>
      </c>
      <c r="B617" s="275" t="s">
        <v>759</v>
      </c>
      <c r="C617" s="422">
        <v>4.2836699999999999</v>
      </c>
      <c r="D617" s="579" t="s">
        <v>196</v>
      </c>
      <c r="E617" s="579"/>
      <c r="F617" s="579"/>
      <c r="G617" s="579"/>
      <c r="H617" s="280" t="s">
        <v>775</v>
      </c>
      <c r="I617" s="10"/>
      <c r="J617" s="28"/>
    </row>
    <row r="618" spans="1:10">
      <c r="A618" s="10">
        <v>6</v>
      </c>
      <c r="B618" s="276" t="s">
        <v>760</v>
      </c>
      <c r="C618" s="423">
        <v>0.22361</v>
      </c>
      <c r="D618" s="579" t="s">
        <v>196</v>
      </c>
      <c r="E618" s="579"/>
      <c r="F618" s="579"/>
      <c r="G618" s="579"/>
      <c r="H618" s="280" t="s">
        <v>774</v>
      </c>
      <c r="I618" s="10"/>
      <c r="J618" s="28" t="s">
        <v>1044</v>
      </c>
    </row>
    <row r="619" spans="1:10">
      <c r="A619" s="10">
        <v>7</v>
      </c>
      <c r="B619" s="276" t="s">
        <v>761</v>
      </c>
      <c r="C619" s="423">
        <v>0.40717000000000003</v>
      </c>
      <c r="D619" s="579" t="s">
        <v>196</v>
      </c>
      <c r="E619" s="579"/>
      <c r="F619" s="579"/>
      <c r="G619" s="579"/>
      <c r="H619" s="280" t="s">
        <v>775</v>
      </c>
      <c r="I619" s="10"/>
      <c r="J619" s="28"/>
    </row>
    <row r="620" spans="1:10">
      <c r="A620" s="10">
        <v>8</v>
      </c>
      <c r="B620" s="274" t="s">
        <v>762</v>
      </c>
      <c r="C620" s="422">
        <v>2.2262199999999996</v>
      </c>
      <c r="D620" s="579" t="s">
        <v>196</v>
      </c>
      <c r="E620" s="579"/>
      <c r="F620" s="579"/>
      <c r="G620" s="579"/>
      <c r="H620" s="280" t="s">
        <v>774</v>
      </c>
      <c r="I620" s="10"/>
      <c r="J620" s="28"/>
    </row>
    <row r="621" spans="1:10">
      <c r="A621" s="10">
        <v>9</v>
      </c>
      <c r="B621" s="274" t="s">
        <v>763</v>
      </c>
      <c r="C621" s="422">
        <v>4.7815000000000003</v>
      </c>
      <c r="D621" s="579" t="s">
        <v>196</v>
      </c>
      <c r="E621" s="579"/>
      <c r="F621" s="579"/>
      <c r="G621" s="579"/>
      <c r="H621" s="280" t="s">
        <v>775</v>
      </c>
      <c r="I621" s="10"/>
      <c r="J621" s="28"/>
    </row>
    <row r="622" spans="1:10">
      <c r="A622" s="10">
        <v>10</v>
      </c>
      <c r="B622" s="274" t="s">
        <v>764</v>
      </c>
      <c r="C622" s="422">
        <v>0.72357000000000005</v>
      </c>
      <c r="D622" s="579" t="s">
        <v>196</v>
      </c>
      <c r="E622" s="579"/>
      <c r="F622" s="579"/>
      <c r="G622" s="579"/>
      <c r="H622" s="280" t="s">
        <v>774</v>
      </c>
      <c r="I622" s="10"/>
      <c r="J622" s="28"/>
    </row>
    <row r="623" spans="1:10">
      <c r="A623" s="10">
        <v>11</v>
      </c>
      <c r="B623" s="276" t="s">
        <v>765</v>
      </c>
      <c r="C623" s="424">
        <v>0.28343000000000002</v>
      </c>
      <c r="D623" s="579" t="s">
        <v>196</v>
      </c>
      <c r="E623" s="579"/>
      <c r="F623" s="579"/>
      <c r="G623" s="579"/>
      <c r="H623" s="280" t="s">
        <v>774</v>
      </c>
      <c r="I623" s="10"/>
      <c r="J623" s="465" t="s">
        <v>1043</v>
      </c>
    </row>
    <row r="624" spans="1:10">
      <c r="A624" s="10">
        <v>12</v>
      </c>
      <c r="B624" s="274" t="s">
        <v>766</v>
      </c>
      <c r="C624" s="422">
        <v>3.1932300000000002</v>
      </c>
      <c r="D624" s="579" t="s">
        <v>196</v>
      </c>
      <c r="E624" s="579"/>
      <c r="F624" s="579"/>
      <c r="G624" s="579"/>
      <c r="H624" s="280" t="s">
        <v>775</v>
      </c>
      <c r="I624" s="10"/>
      <c r="J624" s="28"/>
    </row>
    <row r="625" spans="1:13">
      <c r="A625" s="10">
        <v>13</v>
      </c>
      <c r="B625" s="274" t="s">
        <v>767</v>
      </c>
      <c r="C625" s="422">
        <v>4.4157450000000003</v>
      </c>
      <c r="D625" s="579" t="s">
        <v>196</v>
      </c>
      <c r="E625" s="579"/>
      <c r="F625" s="579"/>
      <c r="G625" s="579"/>
      <c r="H625" s="280" t="s">
        <v>774</v>
      </c>
      <c r="I625" s="10"/>
      <c r="J625" s="28"/>
    </row>
    <row r="626" spans="1:13">
      <c r="A626" s="10">
        <v>14</v>
      </c>
      <c r="B626" s="274" t="s">
        <v>768</v>
      </c>
      <c r="C626" s="422">
        <v>3.6110000000000002</v>
      </c>
      <c r="D626" s="579" t="s">
        <v>196</v>
      </c>
      <c r="E626" s="579"/>
      <c r="F626" s="579"/>
      <c r="G626" s="579"/>
      <c r="H626" s="280" t="s">
        <v>774</v>
      </c>
      <c r="I626" s="10"/>
      <c r="J626" s="28"/>
      <c r="M626" s="458"/>
    </row>
    <row r="627" spans="1:13">
      <c r="A627" s="10">
        <v>15</v>
      </c>
      <c r="B627" s="276" t="s">
        <v>769</v>
      </c>
      <c r="C627" s="424">
        <v>0.28000000000000003</v>
      </c>
      <c r="D627" s="579" t="s">
        <v>196</v>
      </c>
      <c r="E627" s="579"/>
      <c r="F627" s="579"/>
      <c r="G627" s="579"/>
      <c r="H627" s="280" t="s">
        <v>774</v>
      </c>
      <c r="I627" s="279"/>
      <c r="J627" s="465" t="s">
        <v>1043</v>
      </c>
      <c r="M627" s="458"/>
    </row>
    <row r="628" spans="1:13">
      <c r="A628" s="10">
        <v>16</v>
      </c>
      <c r="B628" s="274" t="s">
        <v>770</v>
      </c>
      <c r="C628" s="422">
        <v>2.75</v>
      </c>
      <c r="D628" s="579" t="s">
        <v>196</v>
      </c>
      <c r="E628" s="579"/>
      <c r="F628" s="579"/>
      <c r="G628" s="579"/>
      <c r="H628" s="280" t="s">
        <v>775</v>
      </c>
      <c r="I628" s="279"/>
      <c r="J628" s="29"/>
      <c r="M628" s="458"/>
    </row>
    <row r="629" spans="1:13">
      <c r="A629" s="11">
        <v>17</v>
      </c>
      <c r="B629" s="277" t="s">
        <v>771</v>
      </c>
      <c r="C629" s="422">
        <v>4.9580000000000002</v>
      </c>
      <c r="D629" s="579" t="s">
        <v>196</v>
      </c>
      <c r="E629" s="579"/>
      <c r="F629" s="579"/>
      <c r="G629" s="579"/>
      <c r="H629" s="281" t="s">
        <v>776</v>
      </c>
      <c r="I629" s="279"/>
      <c r="J629" s="76"/>
      <c r="M629" s="458"/>
    </row>
    <row r="630" spans="1:13">
      <c r="A630" s="11">
        <v>18</v>
      </c>
      <c r="B630" s="277" t="s">
        <v>772</v>
      </c>
      <c r="C630" s="422">
        <v>4.9470000000000001</v>
      </c>
      <c r="D630" s="591" t="s">
        <v>773</v>
      </c>
      <c r="E630" s="592"/>
      <c r="F630" s="592"/>
      <c r="G630" s="593"/>
      <c r="H630" s="280" t="s">
        <v>775</v>
      </c>
      <c r="I630" s="279"/>
      <c r="J630" s="76"/>
      <c r="M630" s="458"/>
    </row>
    <row r="631" spans="1:13" ht="15.75" customHeight="1">
      <c r="A631" s="11">
        <v>19</v>
      </c>
      <c r="B631" s="277" t="s">
        <v>1017</v>
      </c>
      <c r="C631" s="422">
        <v>3.919</v>
      </c>
      <c r="D631" s="579" t="s">
        <v>196</v>
      </c>
      <c r="E631" s="579"/>
      <c r="F631" s="579"/>
      <c r="G631" s="579"/>
      <c r="H631" s="280" t="s">
        <v>774</v>
      </c>
      <c r="I631" s="279"/>
      <c r="J631" s="76"/>
      <c r="M631" s="458"/>
    </row>
    <row r="632" spans="1:13" ht="15.75" customHeight="1">
      <c r="A632" s="11">
        <v>20</v>
      </c>
      <c r="B632" s="277" t="s">
        <v>1018</v>
      </c>
      <c r="C632" s="422">
        <v>1.6060000000000001</v>
      </c>
      <c r="D632" s="579" t="s">
        <v>196</v>
      </c>
      <c r="E632" s="579"/>
      <c r="F632" s="579"/>
      <c r="G632" s="579"/>
      <c r="H632" s="281" t="s">
        <v>776</v>
      </c>
      <c r="I632" s="279"/>
      <c r="J632" s="76"/>
      <c r="M632" s="458"/>
    </row>
    <row r="633" spans="1:13" ht="15.75" customHeight="1">
      <c r="A633" s="11">
        <v>21</v>
      </c>
      <c r="B633" s="277" t="s">
        <v>1019</v>
      </c>
      <c r="C633" s="422">
        <v>4.431</v>
      </c>
      <c r="D633" s="579" t="s">
        <v>196</v>
      </c>
      <c r="E633" s="579"/>
      <c r="F633" s="579"/>
      <c r="G633" s="579"/>
      <c r="H633" s="280" t="s">
        <v>775</v>
      </c>
      <c r="I633" s="279"/>
      <c r="J633" s="76"/>
    </row>
    <row r="634" spans="1:13">
      <c r="A634" s="11">
        <v>22</v>
      </c>
      <c r="B634" s="277" t="s">
        <v>1026</v>
      </c>
      <c r="C634" s="422">
        <v>3.4319999999999999</v>
      </c>
      <c r="D634" s="591" t="s">
        <v>1120</v>
      </c>
      <c r="E634" s="592"/>
      <c r="F634" s="592"/>
      <c r="G634" s="593"/>
      <c r="H634" s="280" t="s">
        <v>774</v>
      </c>
      <c r="I634" s="76"/>
      <c r="J634" s="76"/>
    </row>
    <row r="635" spans="1:13" ht="50.25" customHeight="1">
      <c r="A635" s="11">
        <v>23</v>
      </c>
      <c r="B635" s="277" t="s">
        <v>1027</v>
      </c>
      <c r="C635" s="422">
        <v>4.8230000000000004</v>
      </c>
      <c r="D635" s="591" t="s">
        <v>1118</v>
      </c>
      <c r="E635" s="592"/>
      <c r="F635" s="592"/>
      <c r="G635" s="593"/>
      <c r="H635" s="280" t="s">
        <v>775</v>
      </c>
      <c r="I635" s="76"/>
      <c r="J635" s="498" t="s">
        <v>1112</v>
      </c>
    </row>
    <row r="636" spans="1:13" ht="15.75" customHeight="1">
      <c r="A636" s="11">
        <v>24</v>
      </c>
      <c r="B636" s="277" t="s">
        <v>1036</v>
      </c>
      <c r="C636" s="464">
        <v>4.9370000000000003</v>
      </c>
      <c r="D636" s="591" t="s">
        <v>1118</v>
      </c>
      <c r="E636" s="592"/>
      <c r="F636" s="592"/>
      <c r="G636" s="593"/>
      <c r="H636" s="281" t="s">
        <v>776</v>
      </c>
      <c r="I636" s="76"/>
      <c r="J636" s="76"/>
    </row>
    <row r="637" spans="1:13" ht="15.75" customHeight="1">
      <c r="A637" s="11">
        <v>25</v>
      </c>
      <c r="B637" s="466" t="s">
        <v>1042</v>
      </c>
      <c r="C637" s="467">
        <v>0.31913000000000002</v>
      </c>
      <c r="D637" s="579" t="s">
        <v>196</v>
      </c>
      <c r="E637" s="579"/>
      <c r="F637" s="579"/>
      <c r="G637" s="579"/>
      <c r="H637" s="280" t="s">
        <v>774</v>
      </c>
      <c r="I637" s="76"/>
      <c r="J637" s="465" t="s">
        <v>1043</v>
      </c>
    </row>
    <row r="638" spans="1:13" ht="15">
      <c r="A638" s="11">
        <v>26</v>
      </c>
      <c r="B638" s="274"/>
      <c r="C638" s="422"/>
      <c r="D638" s="432"/>
      <c r="E638" s="433"/>
      <c r="F638" s="433"/>
      <c r="G638" s="278"/>
      <c r="H638" s="76"/>
      <c r="I638" s="76"/>
      <c r="J638" s="76"/>
    </row>
    <row r="639" spans="1:13" ht="15">
      <c r="A639" s="11">
        <v>27</v>
      </c>
      <c r="B639" s="274"/>
      <c r="C639" s="422"/>
      <c r="D639" s="432"/>
      <c r="E639" s="433"/>
      <c r="F639" s="433"/>
      <c r="G639" s="278"/>
      <c r="H639" s="76"/>
      <c r="I639" s="76"/>
      <c r="J639" s="76"/>
    </row>
    <row r="640" spans="1:13" ht="15">
      <c r="A640" s="11">
        <v>28</v>
      </c>
      <c r="B640" s="274"/>
      <c r="C640" s="422"/>
      <c r="D640" s="432"/>
      <c r="E640" s="433"/>
      <c r="F640" s="433"/>
      <c r="G640" s="278"/>
      <c r="H640" s="76"/>
      <c r="I640" s="76"/>
      <c r="J640" s="76"/>
    </row>
    <row r="641" spans="1:12" ht="15">
      <c r="A641" s="11"/>
      <c r="B641" s="274"/>
      <c r="C641" s="422"/>
      <c r="D641" s="432"/>
      <c r="E641" s="433"/>
      <c r="F641" s="433"/>
      <c r="G641" s="278"/>
      <c r="H641" s="76"/>
      <c r="I641" s="76"/>
      <c r="J641" s="76"/>
    </row>
    <row r="642" spans="1:12" ht="15">
      <c r="A642" s="76"/>
      <c r="B642" s="274"/>
      <c r="C642" s="422"/>
      <c r="D642" s="594"/>
      <c r="E642" s="595"/>
      <c r="F642" s="595"/>
      <c r="G642" s="596"/>
      <c r="H642" s="76"/>
      <c r="I642" s="76"/>
      <c r="J642" s="76"/>
    </row>
    <row r="643" spans="1:12" ht="21">
      <c r="A643" s="597" t="s">
        <v>199</v>
      </c>
      <c r="B643" s="598"/>
      <c r="C643" s="598"/>
      <c r="D643" s="598"/>
      <c r="E643" s="598"/>
      <c r="F643" s="598"/>
      <c r="G643" s="598"/>
      <c r="H643" s="598"/>
      <c r="I643" s="598"/>
      <c r="J643" s="599"/>
    </row>
    <row r="644" spans="1:12" ht="32.25" thickBot="1">
      <c r="A644" s="30" t="s">
        <v>188</v>
      </c>
      <c r="B644" s="30" t="s">
        <v>70</v>
      </c>
      <c r="C644" s="455" t="s">
        <v>1024</v>
      </c>
      <c r="D644" s="600" t="s">
        <v>71</v>
      </c>
      <c r="E644" s="601"/>
      <c r="F644" s="601"/>
      <c r="G644" s="602"/>
      <c r="H644" s="30" t="s">
        <v>192</v>
      </c>
      <c r="I644" s="30" t="s">
        <v>193</v>
      </c>
      <c r="J644" s="30" t="s">
        <v>1030</v>
      </c>
    </row>
    <row r="645" spans="1:12" ht="25.5">
      <c r="A645" s="211">
        <v>1</v>
      </c>
      <c r="B645" s="226" t="s">
        <v>1023</v>
      </c>
      <c r="C645" s="459">
        <v>4415.75</v>
      </c>
      <c r="D645" s="579" t="s">
        <v>196</v>
      </c>
      <c r="E645" s="579"/>
      <c r="F645" s="579"/>
      <c r="G645" s="579"/>
      <c r="H645" s="426" t="s">
        <v>1025</v>
      </c>
      <c r="I645" s="211"/>
      <c r="J645" s="463" t="s">
        <v>1031</v>
      </c>
      <c r="K645" s="431">
        <v>45944</v>
      </c>
      <c r="L645" s="431">
        <v>45948</v>
      </c>
    </row>
    <row r="646" spans="1:12" ht="25.5" customHeight="1">
      <c r="A646" s="211">
        <v>2</v>
      </c>
      <c r="B646" s="226" t="s">
        <v>1028</v>
      </c>
      <c r="C646" s="459">
        <v>4340.9399999999996</v>
      </c>
      <c r="D646" s="579" t="s">
        <v>196</v>
      </c>
      <c r="E646" s="579"/>
      <c r="F646" s="579"/>
      <c r="G646" s="579"/>
      <c r="H646" s="426" t="s">
        <v>1025</v>
      </c>
      <c r="I646" s="211"/>
      <c r="J646" s="463" t="s">
        <v>1032</v>
      </c>
      <c r="K646" s="431">
        <v>45952</v>
      </c>
      <c r="L646" s="431">
        <v>45954</v>
      </c>
    </row>
    <row r="647" spans="1:12" ht="25.5" customHeight="1">
      <c r="A647" s="211">
        <v>3</v>
      </c>
      <c r="B647" s="226" t="s">
        <v>1029</v>
      </c>
      <c r="C647" s="459">
        <v>4675.9799999999996</v>
      </c>
      <c r="D647" s="579" t="s">
        <v>196</v>
      </c>
      <c r="E647" s="579"/>
      <c r="F647" s="579"/>
      <c r="G647" s="579"/>
      <c r="H647" s="426" t="s">
        <v>1025</v>
      </c>
      <c r="I647" s="211"/>
      <c r="J647" s="463" t="s">
        <v>1033</v>
      </c>
      <c r="K647" s="431">
        <v>45955</v>
      </c>
      <c r="L647" s="431">
        <v>45956</v>
      </c>
    </row>
    <row r="648" spans="1:12" ht="25.5">
      <c r="A648" s="211">
        <v>4</v>
      </c>
      <c r="B648" s="226" t="s">
        <v>1037</v>
      </c>
      <c r="C648" s="459">
        <v>3193.2280000000001</v>
      </c>
      <c r="D648" s="579" t="s">
        <v>196</v>
      </c>
      <c r="E648" s="579"/>
      <c r="F648" s="579"/>
      <c r="G648" s="579"/>
      <c r="H648" s="426" t="s">
        <v>1025</v>
      </c>
      <c r="I648" s="211"/>
      <c r="J648" s="463" t="s">
        <v>1038</v>
      </c>
      <c r="K648" s="431">
        <v>45958</v>
      </c>
      <c r="L648" s="431">
        <v>45961</v>
      </c>
    </row>
    <row r="649" spans="1:12" ht="25.5">
      <c r="A649" s="211">
        <v>5</v>
      </c>
      <c r="B649" s="226" t="s">
        <v>1039</v>
      </c>
      <c r="C649" s="459">
        <v>3957.049</v>
      </c>
      <c r="D649" s="579" t="s">
        <v>196</v>
      </c>
      <c r="E649" s="579"/>
      <c r="F649" s="579"/>
      <c r="G649" s="579"/>
      <c r="H649" s="426" t="s">
        <v>1025</v>
      </c>
      <c r="I649" s="211"/>
      <c r="J649" s="463" t="s">
        <v>1040</v>
      </c>
      <c r="K649" s="431">
        <v>45962</v>
      </c>
      <c r="L649" s="431">
        <v>45964</v>
      </c>
    </row>
    <row r="650" spans="1:12" ht="25.5">
      <c r="A650" s="211">
        <v>6</v>
      </c>
      <c r="B650" s="226" t="s">
        <v>1045</v>
      </c>
      <c r="C650" s="459">
        <v>4780.4960000000001</v>
      </c>
      <c r="D650" s="579" t="s">
        <v>196</v>
      </c>
      <c r="E650" s="579"/>
      <c r="F650" s="579"/>
      <c r="G650" s="579"/>
      <c r="H650" s="426" t="s">
        <v>1025</v>
      </c>
      <c r="I650" s="211"/>
      <c r="J650" s="463" t="s">
        <v>1047</v>
      </c>
      <c r="K650" s="431">
        <v>45965</v>
      </c>
      <c r="L650" s="431">
        <v>45967</v>
      </c>
    </row>
    <row r="651" spans="1:12" ht="25.5">
      <c r="A651" s="211">
        <v>7</v>
      </c>
      <c r="B651" s="226" t="s">
        <v>1046</v>
      </c>
      <c r="C651" s="459">
        <v>4690.8360000000002</v>
      </c>
      <c r="D651" s="579" t="s">
        <v>196</v>
      </c>
      <c r="E651" s="579"/>
      <c r="F651" s="579"/>
      <c r="G651" s="579"/>
      <c r="H651" s="426" t="s">
        <v>1025</v>
      </c>
      <c r="I651" s="211"/>
      <c r="J651" s="463" t="s">
        <v>1048</v>
      </c>
      <c r="K651" s="431">
        <v>45971</v>
      </c>
      <c r="L651" s="431">
        <v>45974</v>
      </c>
    </row>
    <row r="652" spans="1:12" ht="25.5">
      <c r="A652" s="211">
        <v>8</v>
      </c>
      <c r="B652" s="226" t="s">
        <v>1121</v>
      </c>
      <c r="C652" s="459">
        <v>2750.4609999999998</v>
      </c>
      <c r="D652" s="579" t="s">
        <v>196</v>
      </c>
      <c r="E652" s="579"/>
      <c r="F652" s="579"/>
      <c r="G652" s="579"/>
      <c r="H652" s="426" t="s">
        <v>1025</v>
      </c>
      <c r="I652" s="211"/>
      <c r="J652" s="463" t="s">
        <v>1122</v>
      </c>
      <c r="K652" s="431">
        <v>45977</v>
      </c>
      <c r="L652" s="431">
        <v>45979</v>
      </c>
    </row>
    <row r="653" spans="1:12" ht="25.5">
      <c r="A653" s="211">
        <v>9</v>
      </c>
      <c r="B653" s="226" t="s">
        <v>1125</v>
      </c>
      <c r="C653" s="459">
        <v>4239.1030000000001</v>
      </c>
      <c r="D653" s="579" t="s">
        <v>196</v>
      </c>
      <c r="E653" s="579"/>
      <c r="F653" s="579"/>
      <c r="G653" s="579"/>
      <c r="H653" s="426" t="s">
        <v>1025</v>
      </c>
      <c r="I653" s="211">
        <v>14</v>
      </c>
      <c r="J653" s="463" t="s">
        <v>1124</v>
      </c>
      <c r="K653" s="431">
        <v>45981</v>
      </c>
      <c r="L653" s="431">
        <v>45983</v>
      </c>
    </row>
    <row r="654" spans="1:12">
      <c r="A654" s="211"/>
      <c r="B654" s="226"/>
      <c r="C654" s="459"/>
      <c r="D654" s="579"/>
      <c r="E654" s="579"/>
      <c r="F654" s="579"/>
      <c r="G654" s="579"/>
      <c r="H654" s="426"/>
      <c r="I654" s="211"/>
      <c r="J654" s="463"/>
      <c r="K654" s="431"/>
      <c r="L654" s="431"/>
    </row>
    <row r="655" spans="1:12">
      <c r="A655" s="211"/>
      <c r="B655" s="226"/>
      <c r="C655" s="459"/>
      <c r="D655" s="503"/>
      <c r="E655" s="504"/>
      <c r="F655" s="504"/>
      <c r="G655" s="505"/>
      <c r="H655" s="426"/>
      <c r="I655" s="211"/>
      <c r="J655" s="463"/>
      <c r="K655" s="431"/>
      <c r="L655" s="431"/>
    </row>
    <row r="656" spans="1:12">
      <c r="A656" s="211"/>
      <c r="B656" s="226"/>
      <c r="C656" s="459"/>
      <c r="D656" s="503"/>
      <c r="E656" s="504"/>
      <c r="F656" s="504"/>
      <c r="G656" s="505"/>
      <c r="H656" s="426"/>
      <c r="I656" s="211"/>
      <c r="J656" s="463"/>
      <c r="K656" s="431"/>
      <c r="L656" s="431"/>
    </row>
    <row r="657" spans="1:12">
      <c r="A657" s="211"/>
      <c r="B657" s="226"/>
      <c r="C657" s="459"/>
      <c r="D657" s="460"/>
      <c r="E657" s="461"/>
      <c r="F657" s="461"/>
      <c r="G657" s="462"/>
      <c r="H657" s="426"/>
      <c r="I657" s="211"/>
      <c r="J657" s="427"/>
      <c r="K657" s="431"/>
      <c r="L657" s="431"/>
    </row>
    <row r="658" spans="1:12">
      <c r="A658" s="211"/>
      <c r="B658" s="226"/>
      <c r="C658" s="459"/>
      <c r="D658" s="460"/>
      <c r="E658" s="461"/>
      <c r="F658" s="461"/>
      <c r="G658" s="462"/>
      <c r="H658" s="426"/>
      <c r="I658" s="211"/>
      <c r="J658" s="427"/>
      <c r="K658" s="431"/>
      <c r="L658" s="431"/>
    </row>
    <row r="659" spans="1:12">
      <c r="A659" s="211"/>
      <c r="B659" s="226"/>
      <c r="C659" s="459"/>
      <c r="D659" s="460"/>
      <c r="E659" s="461"/>
      <c r="F659" s="461"/>
      <c r="G659" s="462"/>
      <c r="H659" s="426"/>
      <c r="I659" s="211"/>
      <c r="J659" s="427"/>
      <c r="K659" s="431"/>
      <c r="L659" s="431"/>
    </row>
    <row r="660" spans="1:12" ht="15">
      <c r="A660" s="211"/>
      <c r="B660" s="226"/>
      <c r="C660" s="425"/>
      <c r="D660" s="603"/>
      <c r="E660" s="604"/>
      <c r="F660" s="604"/>
      <c r="G660" s="605"/>
      <c r="H660" s="426"/>
      <c r="I660" s="211"/>
      <c r="J660" s="427"/>
    </row>
    <row r="661" spans="1:12" ht="15">
      <c r="A661" s="211"/>
      <c r="B661" s="227"/>
      <c r="C661" s="457">
        <f>SUM(C645:C660)</f>
        <v>37043.843000000001</v>
      </c>
      <c r="D661" s="603"/>
      <c r="E661" s="604"/>
      <c r="F661" s="604"/>
      <c r="G661" s="605"/>
      <c r="H661" s="428"/>
      <c r="I661" s="429"/>
      <c r="J661" s="430"/>
    </row>
  </sheetData>
  <mergeCells count="724">
    <mergeCell ref="D661:G661"/>
    <mergeCell ref="A643:J643"/>
    <mergeCell ref="D644:G644"/>
    <mergeCell ref="D645:G645"/>
    <mergeCell ref="D646:G646"/>
    <mergeCell ref="D660:G660"/>
    <mergeCell ref="D630:G630"/>
    <mergeCell ref="D636:G636"/>
    <mergeCell ref="D637:G637"/>
    <mergeCell ref="D651:G651"/>
    <mergeCell ref="D650:G650"/>
    <mergeCell ref="D648:G648"/>
    <mergeCell ref="D649:G649"/>
    <mergeCell ref="D652:G652"/>
    <mergeCell ref="D654:G654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53:G653"/>
    <mergeCell ref="D635:G635"/>
    <mergeCell ref="D617:G617"/>
    <mergeCell ref="D625:G625"/>
    <mergeCell ref="D618:G618"/>
    <mergeCell ref="D619:G619"/>
    <mergeCell ref="G602:J602"/>
    <mergeCell ref="G603:J603"/>
    <mergeCell ref="G604:J604"/>
    <mergeCell ref="G605:J605"/>
    <mergeCell ref="D628:G628"/>
    <mergeCell ref="D621:G621"/>
    <mergeCell ref="D623:G623"/>
    <mergeCell ref="D624:G624"/>
    <mergeCell ref="G590:J590"/>
    <mergeCell ref="D622:G622"/>
    <mergeCell ref="G594:J594"/>
    <mergeCell ref="D626:G626"/>
    <mergeCell ref="D620:G620"/>
    <mergeCell ref="G595:J595"/>
    <mergeCell ref="G599:J599"/>
    <mergeCell ref="G606:J606"/>
    <mergeCell ref="G607:J607"/>
    <mergeCell ref="G571:J571"/>
    <mergeCell ref="D631:G631"/>
    <mergeCell ref="D634:G634"/>
    <mergeCell ref="D642:G642"/>
    <mergeCell ref="G578:J578"/>
    <mergeCell ref="A611:J611"/>
    <mergeCell ref="D612:G612"/>
    <mergeCell ref="D613:G613"/>
    <mergeCell ref="D614:G614"/>
    <mergeCell ref="D627:G627"/>
    <mergeCell ref="G587:J587"/>
    <mergeCell ref="G593:J593"/>
    <mergeCell ref="G597:J597"/>
    <mergeCell ref="D632:G632"/>
    <mergeCell ref="D633:G633"/>
    <mergeCell ref="D629:G629"/>
    <mergeCell ref="D615:G615"/>
    <mergeCell ref="D616:G616"/>
    <mergeCell ref="G596:J596"/>
    <mergeCell ref="G600:J600"/>
    <mergeCell ref="G598:J598"/>
    <mergeCell ref="G601:J601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04:J104"/>
    <mergeCell ref="G105:J105"/>
    <mergeCell ref="G106:J106"/>
    <mergeCell ref="D647:G647"/>
    <mergeCell ref="G608:J60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</mergeCells>
  <phoneticPr fontId="83" type="noConversion"/>
  <conditionalFormatting sqref="B13:B51 B56:B59 B63:B83 B88:B90 B195 B197 B199:B240 B243:B244 B247 B249:B252 B257 B263">
    <cfRule type="expression" dxfId="663" priority="8754" stopIfTrue="1">
      <formula>AND(COUNTIF($D$191:$D$65544, B13)+COUNTIF($D$1:$D$79, B13)&gt;1,NOT(ISBLANK(B13)))</formula>
    </cfRule>
    <cfRule type="expression" dxfId="662" priority="8755" stopIfTrue="1">
      <formula>AND(COUNTIF($D$606:$D$65544,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61" priority="7768" stopIfTrue="1">
      <formula>AND(COUNTIF($D$171:$D$65544, B13)+COUNTIF($D$1:$D$122, B13)&gt;1,NOT(ISBLANK(B13)))</formula>
    </cfRule>
  </conditionalFormatting>
  <conditionalFormatting sqref="B13:B51 B56:B59 B63:B94 B100:B287 B292:B294 B297:B316">
    <cfRule type="expression" dxfId="660" priority="7779" stopIfTrue="1">
      <formula>AND(COUNTIF($D$1:$D$313, B13)+COUNTIF($D$314:$D$65544, B13)&gt;1,NOT(ISBLANK(B13)))</formula>
    </cfRule>
    <cfRule type="expression" dxfId="659" priority="7778" stopIfTrue="1">
      <formula>AND(COUNTIF($D$1:$D$313, B13)+COUNTIF($D$314:$D$65544, B13)&gt;1,NOT(ISBLANK(B13)))</formula>
    </cfRule>
    <cfRule type="expression" dxfId="658" priority="7780" stopIfTrue="1">
      <formula>AND(COUNTIF($D$1:$D$313, B13)+COUNTIF($D$314:$D$65544, B13)&gt;1,NOT(ISBLANK(B13)))</formula>
    </cfRule>
    <cfRule type="expression" dxfId="657" priority="7781" stopIfTrue="1">
      <formula>AND(COUNTIF($D$1:$D$313, B13)+COUNTIF($D$314:$D$65544, B13)&gt;1,NOT(ISBLANK(B13)))</formula>
    </cfRule>
  </conditionalFormatting>
  <conditionalFormatting sqref="B13:B287 B293:B294 B297:B316">
    <cfRule type="duplicateValues" dxfId="656" priority="636"/>
  </conditionalFormatting>
  <conditionalFormatting sqref="B52">
    <cfRule type="expression" dxfId="655" priority="7805" stopIfTrue="1">
      <formula>AND(COUNTIF($E$1:$E$65397, B52)+COUNTIF(#REF!, B52)&gt;1,NOT(ISBLANK(B52)))</formula>
    </cfRule>
    <cfRule type="expression" dxfId="654" priority="7803" stopIfTrue="1">
      <formula>AND(COUNTIF($E$1:$E$65387, B52)+COUNTIF(#REF!, B52)&gt;1,NOT(ISBLANK(B52)))</formula>
    </cfRule>
    <cfRule type="expression" dxfId="653" priority="7806" stopIfTrue="1">
      <formula>AND(COUNTIF($E$314:$E$65387,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52" priority="7802"/>
    <cfRule type="expression" dxfId="651" priority="7804" stopIfTrue="1">
      <formula>AND(COUNTIF($E$314:$E$65397,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</conditionalFormatting>
  <conditionalFormatting sqref="B53:B54">
    <cfRule type="expression" dxfId="650" priority="7808" stopIfTrue="1">
      <formula>AND(COUNTIF($C$249:$C$65393,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9" priority="7809" stopIfTrue="1">
      <formula>AND(COUNTIF($C$1:$C$65393, B53)+COUNTIF(#REF!, B53)&gt;1,NOT(ISBLANK(B53)))</formula>
    </cfRule>
    <cfRule type="duplicateValues" dxfId="648" priority="7807"/>
  </conditionalFormatting>
  <conditionalFormatting sqref="B54 B60">
    <cfRule type="expression" dxfId="647" priority="7810" stopIfTrue="1">
      <formula>AND(COUNTIF($C$249:$C$65393,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6" priority="7811" stopIfTrue="1">
      <formula>AND(COUNTIF($C$1:$C$65393, B54)+COUNTIF(#REF!, B54)&gt;1,NOT(ISBLANK(B54)))</formula>
    </cfRule>
    <cfRule type="expression" dxfId="645" priority="7812" stopIfTrue="1">
      <formula>AND(COUNTIF($E$1:$E$65387, B54)+COUNTIF(#REF!, B54)&gt;1,NOT(ISBLANK(B54)))</formula>
    </cfRule>
    <cfRule type="expression" dxfId="644" priority="7813" stopIfTrue="1">
      <formula>AND(COUNTIF($E$314:$E$65387,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3" priority="7818" stopIfTrue="1">
      <formula>AND(COUNTIF($C$308:$C$65412,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2" priority="7819" stopIfTrue="1">
      <formula>AND(COUNTIF($C$1:$C$65412, B55)+COUNTIF(#REF!, B55)&gt;1,NOT(ISBLANK(B55)))</formula>
    </cfRule>
  </conditionalFormatting>
  <conditionalFormatting sqref="B56:B59 B13:B51 B63:B94 B100:B132 B134:B240 B243:B244 B247 B249:B252 B257 B263">
    <cfRule type="expression" dxfId="641" priority="7820" stopIfTrue="1">
      <formula>AND(COUNTIF($D$130:$D$65544, B13)+COUNTIF($D$1:$D$128, B13)&gt;1,NOT(ISBLANK(B13)))</formula>
    </cfRule>
  </conditionalFormatting>
  <conditionalFormatting sqref="B60 B54">
    <cfRule type="duplicateValues" dxfId="640" priority="704"/>
  </conditionalFormatting>
  <conditionalFormatting sqref="B84:B87 B91:B94 B100:B126 B174:B194 B196 B198">
    <cfRule type="expression" dxfId="639" priority="7830" stopIfTrue="1">
      <formula>AND(COUNTIF($D$575:$D$65544,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8" priority="617"/>
    <cfRule type="duplicateValues" dxfId="637" priority="618"/>
  </conditionalFormatting>
  <conditionalFormatting sqref="B127:B132 B134:B145 B147:B148">
    <cfRule type="expression" dxfId="636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5" priority="567" stopIfTrue="1">
      <formula>AND(COUNTIF($B$8:$B$38, B127)+COUNTIF($B$41:$B$57, B127)&gt;1,NOT(ISBLANK(B127)))</formula>
    </cfRule>
    <cfRule type="expression" dxfId="634" priority="615" stopIfTrue="1">
      <formula>AND(COUNTIF($B$8:$B$38, B127)+COUNTIF($B$41:$B$57, B127)&gt;1,NOT(ISBLANK(B127)))</formula>
    </cfRule>
  </conditionalFormatting>
  <conditionalFormatting sqref="B127:B132 B134:B174">
    <cfRule type="expression" dxfId="633" priority="614" stopIfTrue="1">
      <formula>AND(COUNTIF($D$130:$D$170, B127)+COUNTIF($D$123:$D$128, B127)&gt;1,NOT(ISBLANK(B127)))</formula>
    </cfRule>
  </conditionalFormatting>
  <conditionalFormatting sqref="B127:B157 B159:B172">
    <cfRule type="expression" dxfId="632" priority="7836" stopIfTrue="1">
      <formula>AND(COUNTIF($C$502:$C$65544,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31" priority="612"/>
    <cfRule type="duplicateValues" dxfId="630" priority="611"/>
  </conditionalFormatting>
  <conditionalFormatting sqref="B129">
    <cfRule type="duplicateValues" dxfId="629" priority="610"/>
  </conditionalFormatting>
  <conditionalFormatting sqref="B129:B130">
    <cfRule type="duplicateValues" dxfId="628" priority="609"/>
    <cfRule type="duplicateValues" dxfId="627" priority="608"/>
  </conditionalFormatting>
  <conditionalFormatting sqref="B129:B132 B134:B155">
    <cfRule type="expression" dxfId="626" priority="607" stopIfTrue="1">
      <formula>AND(COUNTIF($B$36:$B$36, B129)+COUNTIF($B$10:$B$34, B129)&gt;1,NOT(ISBLANK(B129)))</formula>
    </cfRule>
  </conditionalFormatting>
  <conditionalFormatting sqref="B130">
    <cfRule type="duplicateValues" dxfId="625" priority="606"/>
    <cfRule type="duplicateValues" dxfId="624" priority="605"/>
  </conditionalFormatting>
  <conditionalFormatting sqref="B131 B134">
    <cfRule type="expression" dxfId="623" priority="604" stopIfTrue="1">
      <formula>AND(COUNTIF($B$16:$B$16, B131)+COUNTIF($B$12:$B$16, B131)&gt;1,NOT(ISBLANK(B131)))</formula>
    </cfRule>
  </conditionalFormatting>
  <conditionalFormatting sqref="B131 B134:B155">
    <cfRule type="expression" dxfId="622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21" priority="601"/>
    <cfRule type="duplicateValues" dxfId="620" priority="602"/>
  </conditionalFormatting>
  <conditionalFormatting sqref="B131:B132 B134:B135 B142">
    <cfRule type="expression" dxfId="619" priority="600" stopIfTrue="1">
      <formula>AND(COUNTIF($B$24:$B$24, B131)+COUNTIF(#REF!, B131)&gt;1,NOT(ISBLANK(B131)))</formula>
    </cfRule>
  </conditionalFormatting>
  <conditionalFormatting sqref="B131:B132 B134:B135">
    <cfRule type="expression" dxfId="618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7" priority="598" stopIfTrue="1">
      <formula>AND(COUNTIF($D$130:$D$144, B131)+COUNTIF($D$127:$D$128, B131)&gt;1,NOT(ISBLANK(B131)))</formula>
    </cfRule>
  </conditionalFormatting>
  <conditionalFormatting sqref="B131:B132">
    <cfRule type="duplicateValues" dxfId="616" priority="597"/>
  </conditionalFormatting>
  <conditionalFormatting sqref="B132 B127:B130 B159:B172">
    <cfRule type="expression" dxfId="615" priority="595" stopIfTrue="1">
      <formula>AND(COUNTIF($B$13:$B$59, B127)+COUNTIF($B$8:$B$11, B127)&gt;1,NOT(ISBLANK(B127)))</formula>
    </cfRule>
  </conditionalFormatting>
  <conditionalFormatting sqref="B132 B134:B135">
    <cfRule type="expression" dxfId="614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3" priority="566" stopIfTrue="1">
      <formula>AND(COUNTIF(#REF!, B132)+COUNTIF($B$13:$B$59, B132)&gt;1,NOT(ISBLANK(B132)))</formula>
    </cfRule>
  </conditionalFormatting>
  <conditionalFormatting sqref="B132 B142 B135">
    <cfRule type="expression" dxfId="612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11" priority="594"/>
    <cfRule type="duplicateValues" dxfId="610" priority="593"/>
  </conditionalFormatting>
  <conditionalFormatting sqref="B133">
    <cfRule type="expression" dxfId="609" priority="587" stopIfTrue="1">
      <formula>AND(COUNTIF($B$36:$B$36, B133)+COUNTIF($B$10:$B$34, B133)&gt;1,NOT(ISBLANK(B133)))</formula>
    </cfRule>
    <cfRule type="duplicateValues" dxfId="608" priority="576"/>
    <cfRule type="duplicateValues" dxfId="607" priority="577"/>
    <cfRule type="expression" dxfId="606" priority="582" stopIfTrue="1">
      <formula>AND(COUNTIF(#REF!, B133)+COUNTIF($B$13:$B$59, B133)&gt;1,NOT(ISBLANK(B133)))</formula>
    </cfRule>
    <cfRule type="duplicateValues" dxfId="605" priority="591"/>
    <cfRule type="expression" dxfId="604" priority="578" stopIfTrue="1">
      <formula>AND(COUNTIF($B$24:$B$24, B133)+COUNTIF($B$13:$B$14, B133)+COUNTIF(#REF!, B133)&gt;1,NOT(ISBLANK(B133)))</formula>
    </cfRule>
    <cfRule type="expression" dxfId="603" priority="579" stopIfTrue="1">
      <formula>AND(COUNTIF($B$24:$B$24, B133)+COUNTIF($B$14:$B$14, B133)+COUNTIF(#REF!, B133)&gt;1,NOT(ISBLANK(B133)))</formula>
    </cfRule>
    <cfRule type="expression" dxfId="602" priority="580" stopIfTrue="1">
      <formula>AND(COUNTIF($B$24:$B$24, B133)+COUNTIF($B$13:$B$14, B133)+COUNTIF($B$17:$B$17, B133)&gt;1,NOT(ISBLANK(B133)))</formula>
    </cfRule>
    <cfRule type="expression" dxfId="601" priority="581" stopIfTrue="1">
      <formula>AND(COUNTIF($B$24:$B$24, B133)+COUNTIF(#REF!, B133)&gt;1,NOT(ISBLANK(B133)))</formula>
    </cfRule>
    <cfRule type="duplicateValues" dxfId="600" priority="589"/>
    <cfRule type="duplicateValues" dxfId="599" priority="592"/>
    <cfRule type="expression" dxfId="598" priority="584" stopIfTrue="1">
      <formula>AND(COUNTIF($B$8:$B$38, B133)+COUNTIF($B$41:$B$57, B133)&gt;1,NOT(ISBLANK(B133)))</formula>
    </cfRule>
    <cfRule type="expression" dxfId="597" priority="585" stopIfTrue="1">
      <formula>AND(COUNTIF($B$8:$B$38, B133)+COUNTIF($B$41:$B$57, B133)&gt;1,NOT(ISBLANK(B133)))</formula>
    </cfRule>
    <cfRule type="expression" dxfId="596" priority="586" stopIfTrue="1">
      <formula>AND(COUNTIF($B$12:$B$12, B133)+COUNTIF($B$36:$B$36, B133)+COUNTIF($B$14:$B$34, B133)&gt;1,NOT(ISBLANK(B133)))</formula>
    </cfRule>
    <cfRule type="duplicateValues" dxfId="595" priority="590"/>
    <cfRule type="duplicateValues" dxfId="594" priority="588"/>
    <cfRule type="duplicateValues" dxfId="593" priority="575"/>
    <cfRule type="duplicateValues" dxfId="592" priority="574"/>
    <cfRule type="duplicateValues" dxfId="591" priority="573" stopIfTrue="1"/>
    <cfRule type="duplicateValues" dxfId="590" priority="572" stopIfTrue="1"/>
  </conditionalFormatting>
  <conditionalFormatting sqref="B133:B157">
    <cfRule type="expression" dxfId="589" priority="583" stopIfTrue="1">
      <formula>AND(COUNTIF($B$13:$B$59, B133)+COUNTIF($B$8:$B$11, B133)&gt;1,NOT(ISBLANK(B133)))</formula>
    </cfRule>
  </conditionalFormatting>
  <conditionalFormatting sqref="B134">
    <cfRule type="duplicateValues" dxfId="588" priority="571"/>
  </conditionalFormatting>
  <conditionalFormatting sqref="B134:B135">
    <cfRule type="duplicateValues" dxfId="587" priority="570"/>
    <cfRule type="duplicateValues" dxfId="586" priority="569"/>
    <cfRule type="expression" dxfId="585" priority="568" stopIfTrue="1">
      <formula>AND(COUNTIF(#REF!, B134)+COUNTIF($B$16:$B$17, B134)&gt;1,NOT(ISBLANK(B134)))</formula>
    </cfRule>
  </conditionalFormatting>
  <conditionalFormatting sqref="B135 B132">
    <cfRule type="expression" dxfId="584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3" priority="564" stopIfTrue="1">
      <formula>AND(COUNTIF(#REF!, B135)+COUNTIF($B$17:$B$17, B135)&gt;1,NOT(ISBLANK(B135)))</formula>
    </cfRule>
  </conditionalFormatting>
  <conditionalFormatting sqref="B136">
    <cfRule type="duplicateValues" dxfId="582" priority="563"/>
  </conditionalFormatting>
  <conditionalFormatting sqref="B136:B137 B142">
    <cfRule type="expression" dxfId="581" priority="562" stopIfTrue="1">
      <formula>AND(COUNTIF(#REF!, B136)+COUNTIF($B$18:$B$24, B136)&gt;1,NOT(ISBLANK(B136)))</formula>
    </cfRule>
  </conditionalFormatting>
  <conditionalFormatting sqref="B136:B137">
    <cfRule type="duplicateValues" dxfId="580" priority="559"/>
    <cfRule type="duplicateValues" dxfId="579" priority="560"/>
    <cfRule type="duplicateValues" dxfId="578" priority="561"/>
  </conditionalFormatting>
  <conditionalFormatting sqref="B136:B145 B147:B148">
    <cfRule type="duplicateValues" dxfId="577" priority="558"/>
  </conditionalFormatting>
  <conditionalFormatting sqref="B137">
    <cfRule type="duplicateValues" dxfId="576" priority="557"/>
  </conditionalFormatting>
  <conditionalFormatting sqref="B138">
    <cfRule type="duplicateValues" dxfId="575" priority="556"/>
  </conditionalFormatting>
  <conditionalFormatting sqref="B138:B140">
    <cfRule type="duplicateValues" dxfId="574" priority="554"/>
    <cfRule type="duplicateValues" dxfId="573" priority="555"/>
  </conditionalFormatting>
  <conditionalFormatting sqref="B138:B146">
    <cfRule type="expression" dxfId="572" priority="553" stopIfTrue="1">
      <formula>AND(COUNTIF($B$26:$B$26, B138)+COUNTIF($B$20:$B$23, B138)&gt;1,NOT(ISBLANK(B138)))</formula>
    </cfRule>
  </conditionalFormatting>
  <conditionalFormatting sqref="B138:B147">
    <cfRule type="expression" dxfId="571" priority="552" stopIfTrue="1">
      <formula>AND(COUNTIF($B$26:$B$27, B138)+COUNTIF($B$20:$B$23, B138)&gt;1,NOT(ISBLANK(B138)))</formula>
    </cfRule>
  </conditionalFormatting>
  <conditionalFormatting sqref="B138:B148">
    <cfRule type="expression" dxfId="570" priority="551" stopIfTrue="1">
      <formula>AND(COUNTIF($B$25:$B$28, B138)+COUNTIF($B$20:$B$23, B138)&gt;1,NOT(ISBLANK(B138)))</formula>
    </cfRule>
  </conditionalFormatting>
  <conditionalFormatting sqref="B138:B155">
    <cfRule type="expression" dxfId="569" priority="550" stopIfTrue="1">
      <formula>AND(COUNTIF($B$36:$B$36, B138)+COUNTIF($B$20:$B$34, B138)&gt;1,NOT(ISBLANK(B138)))</formula>
    </cfRule>
  </conditionalFormatting>
  <conditionalFormatting sqref="B139:B140">
    <cfRule type="duplicateValues" dxfId="568" priority="549"/>
    <cfRule type="duplicateValues" dxfId="567" priority="548"/>
  </conditionalFormatting>
  <conditionalFormatting sqref="B140:B141">
    <cfRule type="duplicateValues" dxfId="566" priority="547"/>
    <cfRule type="duplicateValues" dxfId="565" priority="546"/>
  </conditionalFormatting>
  <conditionalFormatting sqref="B142 B132">
    <cfRule type="expression" dxfId="564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3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62" priority="542"/>
  </conditionalFormatting>
  <conditionalFormatting sqref="B142:B145 B147">
    <cfRule type="duplicateValues" dxfId="561" priority="541"/>
  </conditionalFormatting>
  <conditionalFormatting sqref="B143:B145 B147">
    <cfRule type="duplicateValues" dxfId="560" priority="538"/>
    <cfRule type="duplicateValues" dxfId="559" priority="539"/>
    <cfRule type="duplicateValues" dxfId="558" priority="540"/>
  </conditionalFormatting>
  <conditionalFormatting sqref="B145 B147">
    <cfRule type="duplicateValues" dxfId="557" priority="536"/>
    <cfRule type="duplicateValues" dxfId="556" priority="537"/>
  </conditionalFormatting>
  <conditionalFormatting sqref="B145 B147:B149">
    <cfRule type="duplicateValues" dxfId="555" priority="535"/>
  </conditionalFormatting>
  <conditionalFormatting sqref="B146 B148:B149">
    <cfRule type="duplicateValues" dxfId="554" priority="534"/>
  </conditionalFormatting>
  <conditionalFormatting sqref="B147:B148">
    <cfRule type="expression" dxfId="553" priority="533" stopIfTrue="1">
      <formula>AND(COUNTIF($B$24:$B$24, B147)+COUNTIF(#REF!, B147)&gt;1,NOT(ISBLANK(B147)))</formula>
    </cfRule>
    <cfRule type="duplicateValues" dxfId="552" priority="528"/>
    <cfRule type="expression" dxfId="551" priority="529" stopIfTrue="1">
      <formula>AND(COUNTIF(#REF!, B147)+COUNTIF($B$18:$B$24, B147)&gt;1,NOT(ISBLANK(B147)))</formula>
    </cfRule>
    <cfRule type="expression" dxfId="550" priority="530" stopIfTrue="1">
      <formula>AND(COUNTIF($B$24:$B$24, B147)+COUNTIF($B$13:$B$14, B147)+COUNTIF(#REF!, B147)&gt;1,NOT(ISBLANK(B147)))</formula>
    </cfRule>
    <cfRule type="expression" dxfId="549" priority="531" stopIfTrue="1">
      <formula>AND(COUNTIF($B$24:$B$24, B147)+COUNTIF($B$14:$B$14, B147)+COUNTIF(#REF!, B147)&gt;1,NOT(ISBLANK(B147)))</formula>
    </cfRule>
    <cfRule type="expression" dxfId="548" priority="532" stopIfTrue="1">
      <formula>AND(COUNTIF($B$24:$B$24, B147)+COUNTIF($B$13:$B$14, B147)+COUNTIF($B$17:$B$17, B147)&gt;1,NOT(ISBLANK(B147)))</formula>
    </cfRule>
  </conditionalFormatting>
  <conditionalFormatting sqref="B148:B149">
    <cfRule type="duplicateValues" dxfId="547" priority="527"/>
  </conditionalFormatting>
  <conditionalFormatting sqref="B148:B157 B159:B172 B146">
    <cfRule type="expression" dxfId="546" priority="526" stopIfTrue="1">
      <formula>AND(COUNTIF($B$29:$B$38, B146)+COUNTIF($B$41:$B$57, B146)&gt;1,NOT(ISBLANK(B146)))</formula>
    </cfRule>
  </conditionalFormatting>
  <conditionalFormatting sqref="B149:B151">
    <cfRule type="duplicateValues" dxfId="545" priority="525"/>
  </conditionalFormatting>
  <conditionalFormatting sqref="B149:B155">
    <cfRule type="expression" dxfId="544" priority="524" stopIfTrue="1">
      <formula>AND(COUNTIF($B$36:$B$36, B149)+COUNTIF($B$32:$B$38, B149)&gt;1,NOT(ISBLANK(B149)))</formula>
    </cfRule>
  </conditionalFormatting>
  <conditionalFormatting sqref="B149:B156">
    <cfRule type="expression" dxfId="543" priority="523" stopIfTrue="1">
      <formula>AND(COUNTIF($B$35:$B$37, B149)+COUNTIF($B$32:$B$38, B149)&gt;1,NOT(ISBLANK(B149)))</formula>
    </cfRule>
  </conditionalFormatting>
  <conditionalFormatting sqref="B150:B152">
    <cfRule type="duplicateValues" dxfId="542" priority="521"/>
    <cfRule type="duplicateValues" dxfId="541" priority="522"/>
  </conditionalFormatting>
  <conditionalFormatting sqref="B150:B153">
    <cfRule type="duplicateValues" dxfId="540" priority="520"/>
  </conditionalFormatting>
  <conditionalFormatting sqref="B151:B153">
    <cfRule type="duplicateValues" dxfId="539" priority="519"/>
    <cfRule type="duplicateValues" dxfId="538" priority="518"/>
  </conditionalFormatting>
  <conditionalFormatting sqref="B152:B156">
    <cfRule type="duplicateValues" dxfId="537" priority="517"/>
  </conditionalFormatting>
  <conditionalFormatting sqref="B152:B157 B159:B172">
    <cfRule type="expression" dxfId="536" priority="516" stopIfTrue="1">
      <formula>AND(COUNTIF($B$35:$B$38, B152)+COUNTIF($B$41:$B$57, B152)&gt;1,NOT(ISBLANK(B152)))</formula>
    </cfRule>
  </conditionalFormatting>
  <conditionalFormatting sqref="B153:B155">
    <cfRule type="duplicateValues" dxfId="535" priority="515"/>
  </conditionalFormatting>
  <conditionalFormatting sqref="B153:B157 B159:B160">
    <cfRule type="expression" dxfId="534" priority="514" stopIfTrue="1">
      <formula>AND(COUNTIF($B$38:$B$47, B153)+COUNTIF($B$37:$B$37, B153)&gt;1,NOT(ISBLANK(B153)))</formula>
    </cfRule>
  </conditionalFormatting>
  <conditionalFormatting sqref="B153:B157 B159:B172">
    <cfRule type="expression" dxfId="533" priority="513" stopIfTrue="1">
      <formula>AND(COUNTIF($B$38:$B$59, B153)+COUNTIF($B$37:$B$37, B153)&gt;1,NOT(ISBLANK(B153)))</formula>
    </cfRule>
  </conditionalFormatting>
  <conditionalFormatting sqref="B153:B157">
    <cfRule type="expression" dxfId="532" priority="512" stopIfTrue="1">
      <formula>AND(COUNTIF($B$38:$B$38, B153)+COUNTIF($B$37:$B$37, B153)&gt;1,NOT(ISBLANK(B153)))</formula>
    </cfRule>
  </conditionalFormatting>
  <conditionalFormatting sqref="B154:B157">
    <cfRule type="duplicateValues" dxfId="531" priority="511"/>
    <cfRule type="duplicateValues" dxfId="530" priority="510"/>
  </conditionalFormatting>
  <conditionalFormatting sqref="B159:B160">
    <cfRule type="expression" dxfId="529" priority="509" stopIfTrue="1">
      <formula>AND(COUNTIF($B$41:$B$41, B159)+COUNTIF(#REF!, B159)&gt;1,NOT(ISBLANK(B159)))</formula>
    </cfRule>
  </conditionalFormatting>
  <conditionalFormatting sqref="B159:B172 B151:B157">
    <cfRule type="expression" dxfId="528" priority="508" stopIfTrue="1">
      <formula>AND(COUNTIF($B$34:$B$38, B151)+COUNTIF($B$41:$B$57, B151)&gt;1,NOT(ISBLANK(B151)))</formula>
    </cfRule>
  </conditionalFormatting>
  <conditionalFormatting sqref="B159:B172">
    <cfRule type="expression" dxfId="527" priority="507" stopIfTrue="1">
      <formula>AND(COUNTIF($B$41:$B$59, B159)+COUNTIF(#REF!, B159)&gt;1,NOT(ISBLANK(B159)))</formula>
    </cfRule>
  </conditionalFormatting>
  <conditionalFormatting sqref="B160:B172">
    <cfRule type="expression" dxfId="526" priority="506" stopIfTrue="1">
      <formula>AND(COUNTIF($B$58:$B$59, B160)+COUNTIF(#REF!, B160)&gt;1,NOT(ISBLANK(B160)))</formula>
    </cfRule>
  </conditionalFormatting>
  <conditionalFormatting sqref="B173:B174 B171">
    <cfRule type="expression" dxfId="525" priority="505" stopIfTrue="1">
      <formula>AND(COUNTIF($B$59:$B$59, B171)+COUNTIF($B$58:$B$58, B171)&gt;1,NOT(ISBLANK(B171)))</formula>
    </cfRule>
  </conditionalFormatting>
  <conditionalFormatting sqref="B173:B174">
    <cfRule type="expression" dxfId="524" priority="503" stopIfTrue="1">
      <formula>AND(COUNTIF(#REF!, B173)+COUNTIF(#REF!, B173)&gt;1,NOT(ISBLANK(B173)))</formula>
    </cfRule>
    <cfRule type="duplicateValues" dxfId="523" priority="504"/>
  </conditionalFormatting>
  <conditionalFormatting sqref="B174:B194 B84:B87 B91:B94 B100:B126 B196 B198">
    <cfRule type="expression" dxfId="522" priority="502" stopIfTrue="1">
      <formula>AND(COUNTIF($D$171:$D$190, B84)+COUNTIF($D$80:$D$122, B84)&gt;1,NOT(ISBLANK(B84)))</formula>
    </cfRule>
  </conditionalFormatting>
  <conditionalFormatting sqref="B184:B186">
    <cfRule type="expression" dxfId="521" priority="500" stopIfTrue="1">
      <formula>AND(COUNTIF($B$59:$B$59, B184)+COUNTIF($B$58:$B$58, B184)&gt;1,NOT(ISBLANK(B184)))</formula>
    </cfRule>
    <cfRule type="expression" dxfId="520" priority="501" stopIfTrue="1">
      <formula>AND(COUNTIF($D$130:$D$170, B184)+COUNTIF($D$123:$D$128, B184)&gt;1,NOT(ISBLANK(B184)))</formula>
    </cfRule>
  </conditionalFormatting>
  <conditionalFormatting sqref="B241">
    <cfRule type="duplicateValues" dxfId="519" priority="498"/>
    <cfRule type="duplicateValues" dxfId="518" priority="499"/>
  </conditionalFormatting>
  <conditionalFormatting sqref="B241:B242 B245:B246 B248 B253:B256 B258:B262 B264:B287 B292:B294 B297:B298 B301">
    <cfRule type="expression" dxfId="517" priority="7839" stopIfTrue="1">
      <formula>AND(COUNTIF($C$149:$C$149, B241)+COUNTIF($C$172:$C$65544, B241)+COUNTIF($C$1:$C$24, B241)+COUNTIF(#REF!, B241)+COUNTIF($C$44:$C$93, B241)+COUNTIF(#REF!, B241)&gt;1,NOT(ISBLANK(B241)))</formula>
    </cfRule>
    <cfRule type="expression" dxfId="516" priority="7838" stopIfTrue="1">
      <formula>AND(COUNTIF($C$8:$C$24, B241)+COUNTIF(#REF!, B241)&gt;1,NOT(ISBLANK(B241)))</formula>
    </cfRule>
    <cfRule type="expression" dxfId="515" priority="7841" stopIfTrue="1">
      <formula>AND(COUNTIF($D$415:$D$65544,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4" priority="7840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513" priority="493" stopIfTrue="1">
      <formula>AND(COUNTIF($D$237:$D$313, B241)+COUNTIF(#REF!, B241)&gt;1,NOT(ISBLANK(B241)))</formula>
    </cfRule>
  </conditionalFormatting>
  <conditionalFormatting sqref="B242">
    <cfRule type="duplicateValues" dxfId="512" priority="492"/>
    <cfRule type="duplicateValues" dxfId="511" priority="491"/>
  </conditionalFormatting>
  <conditionalFormatting sqref="B245">
    <cfRule type="duplicateValues" dxfId="510" priority="490"/>
    <cfRule type="duplicateValues" dxfId="509" priority="489"/>
    <cfRule type="duplicateValues" dxfId="508" priority="488"/>
  </conditionalFormatting>
  <conditionalFormatting sqref="B245:B246">
    <cfRule type="expression" dxfId="507" priority="482" stopIfTrue="1">
      <formula>AND(COUNTIF(#REF!, B245)+COUNTIF($C$13:$C$24, B245)&gt;1,NOT(ISBLANK(B245)))</formula>
    </cfRule>
    <cfRule type="expression" dxfId="506" priority="485" stopIfTrue="1">
      <formula>AND(COUNTIF($C$24:$C$24, B245)+COUNTIF(#REF!, B245)&gt;1,NOT(ISBLANK(B245)))</formula>
    </cfRule>
    <cfRule type="expression" dxfId="505" priority="487" stopIfTrue="1">
      <formula>AND(COUNTIF($C$12:$C$24, B245)+COUNTIF(#REF!, B245)+COUNTIF(#REF!, B245)+COUNTIF(#REF!, B245)&gt;1,NOT(ISBLANK(B245)))</formula>
    </cfRule>
    <cfRule type="expression" dxfId="504" priority="486" stopIfTrue="1">
      <formula>AND(COUNTIF(#REF!, B245)+COUNTIF($C$17:$C$17, B245)+COUNTIF($C$13:$C$13, B245)&gt;1,NOT(ISBLANK(B245)))</formula>
    </cfRule>
    <cfRule type="expression" dxfId="503" priority="484" stopIfTrue="1">
      <formula>AND(COUNTIF($C$24:$C$24, B245)+COUNTIF($C$13:$C$14, B245)+COUNTIF($C$17:$C$17, B245)&gt;1,NOT(ISBLANK(B245)))</formula>
    </cfRule>
    <cfRule type="expression" dxfId="502" priority="483" stopIfTrue="1">
      <formula>AND(COUNTIF($C$24:$C$24, B245)+COUNTIF($C$13:$C$14, B245)+COUNTIF(#REF!, B245)&gt;1,NOT(ISBLANK(B245)))</formula>
    </cfRule>
  </conditionalFormatting>
  <conditionalFormatting sqref="B246 B248">
    <cfRule type="duplicateValues" dxfId="501" priority="480"/>
    <cfRule type="duplicateValues" dxfId="500" priority="479"/>
    <cfRule type="duplicateValues" dxfId="499" priority="481"/>
  </conditionalFormatting>
  <conditionalFormatting sqref="B253:B254 B258:B262 B264:B282 B284:B287 B297:B298 B301">
    <cfRule type="duplicateValues" dxfId="498" priority="478"/>
  </conditionalFormatting>
  <conditionalFormatting sqref="B253:B254 B259:B262 B264:B282 B284:B287 B297:B298 B301">
    <cfRule type="duplicateValues" dxfId="497" priority="477"/>
  </conditionalFormatting>
  <conditionalFormatting sqref="B253:B287 B297:B302 B241:B246 B248">
    <cfRule type="expression" dxfId="496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5" priority="476" stopIfTrue="1">
      <formula>AND(COUNTIF(#REF!, B242)+COUNTIF($C$10:$C$24, B242)&gt;1,NOT(ISBLANK(B242)))</formula>
    </cfRule>
  </conditionalFormatting>
  <conditionalFormatting sqref="B253:B287 B297:B302">
    <cfRule type="expression" dxfId="494" priority="470" stopIfTrue="1">
      <formula>AND(COUNTIF($C$24:$C$24, B253)+COUNTIF($C$14:$C$14, B253)+COUNTIF(#REF!, B253)&gt;1,NOT(ISBLANK(B253)))</formula>
    </cfRule>
    <cfRule type="expression" dxfId="493" priority="468" stopIfTrue="1">
      <formula>AND(COUNTIF(#REF!, B253)+COUNTIF($C$13:$C$24, B253)&gt;1,NOT(ISBLANK(B253)))</formula>
    </cfRule>
    <cfRule type="expression" dxfId="492" priority="473" stopIfTrue="1">
      <formula>AND(COUNTIF($C$12:$C$12, B253)+COUNTIF(#REF!, B253)+COUNTIF($C$14:$C$24, B253)&gt;1,NOT(ISBLANK(B253)))</formula>
    </cfRule>
    <cfRule type="expression" dxfId="491" priority="472" stopIfTrue="1">
      <formula>AND(COUNTIF($C$24:$C$24, B253)+COUNTIF(#REF!, B253)&gt;1,NOT(ISBLANK(B253)))</formula>
    </cfRule>
    <cfRule type="expression" dxfId="490" priority="475" stopIfTrue="1">
      <formula>AND(COUNTIF($C$12:$C$24, B253)+COUNTIF(#REF!, B253)+COUNTIF(#REF!, B253)+COUNTIF(#REF!, B253)&gt;1,NOT(ISBLANK(B253)))</formula>
    </cfRule>
    <cfRule type="expression" dxfId="489" priority="471" stopIfTrue="1">
      <formula>AND(COUNTIF($C$24:$C$24, B253)+COUNTIF($C$13:$C$14, B253)+COUNTIF($C$17:$C$17, B253)&gt;1,NOT(ISBLANK(B253)))</formula>
    </cfRule>
    <cfRule type="expression" dxfId="488" priority="469" stopIfTrue="1">
      <formula>AND(COUNTIF($C$24:$C$24, B253)+COUNTIF($C$13:$C$14, B253)+COUNTIF(#REF!, B253)&gt;1,NOT(ISBLANK(B253)))</formula>
    </cfRule>
  </conditionalFormatting>
  <conditionalFormatting sqref="B255 B242">
    <cfRule type="duplicateValues" dxfId="487" priority="467"/>
    <cfRule type="duplicateValues" dxfId="486" priority="466"/>
  </conditionalFormatting>
  <conditionalFormatting sqref="B255">
    <cfRule type="duplicateValues" dxfId="485" priority="465"/>
  </conditionalFormatting>
  <conditionalFormatting sqref="B256 B253:B254 B258:B262 B264:B282 B284:B287 B297:B298 B301">
    <cfRule type="duplicateValues" dxfId="484" priority="464"/>
  </conditionalFormatting>
  <conditionalFormatting sqref="B256 B261">
    <cfRule type="expression" dxfId="483" priority="463" stopIfTrue="1">
      <formula>AND(COUNTIF($C$16:$C$16, B256)+COUNTIF($C$12:$C$16, B256)&gt;1,NOT(ISBLANK(B256)))</formula>
    </cfRule>
  </conditionalFormatting>
  <conditionalFormatting sqref="B256">
    <cfRule type="duplicateValues" dxfId="482" priority="462"/>
    <cfRule type="duplicateValues" dxfId="481" priority="461"/>
  </conditionalFormatting>
  <conditionalFormatting sqref="B258">
    <cfRule type="duplicateValues" dxfId="480" priority="459"/>
  </conditionalFormatting>
  <conditionalFormatting sqref="B258:B287 B297:B302">
    <cfRule type="expression" dxfId="479" priority="458" stopIfTrue="1">
      <formula>AND(COUNTIF(#REF!, B258)+COUNTIF($C$17:$C$17, B258)+COUNTIF($C$13:$C$13, B258)&gt;1,NOT(ISBLANK(B258)))</formula>
    </cfRule>
  </conditionalFormatting>
  <conditionalFormatting sqref="B260">
    <cfRule type="duplicateValues" dxfId="478" priority="452"/>
    <cfRule type="duplicateValues" dxfId="477" priority="453"/>
    <cfRule type="expression" dxfId="476" priority="457" stopIfTrue="1">
      <formula>AND(COUNTIF($C$24:$C$24, B260)+COUNTIF($C$14:$C$14, B260)+COUNTIF(#REF!, B260)&gt;1,NOT(ISBLANK(B260)))</formula>
    </cfRule>
    <cfRule type="expression" dxfId="475" priority="456" stopIfTrue="1">
      <formula>AND(COUNTIF($C$24:$C$24, B260)+COUNTIF($C$13:$C$14, B260)+COUNTIF(#REF!, B260)&gt;1,NOT(ISBLANK(B260)))</formula>
    </cfRule>
    <cfRule type="duplicateValues" dxfId="474" priority="455"/>
    <cfRule type="duplicateValues" dxfId="473" priority="454"/>
  </conditionalFormatting>
  <conditionalFormatting sqref="B261">
    <cfRule type="duplicateValues" dxfId="472" priority="451"/>
  </conditionalFormatting>
  <conditionalFormatting sqref="B261:B262 B264:B282 B284:B287 B297:B298">
    <cfRule type="duplicateValues" dxfId="471" priority="450"/>
  </conditionalFormatting>
  <conditionalFormatting sqref="B261:B262 B264:B287 B297:B302">
    <cfRule type="expression" dxfId="470" priority="449" stopIfTrue="1">
      <formula>AND(COUNTIF(#REF!, B261)+COUNTIF($C$16:$C$17, B261)&gt;1,NOT(ISBLANK(B261)))</formula>
    </cfRule>
  </conditionalFormatting>
  <conditionalFormatting sqref="B264:B287 B261:B262 B297:B302">
    <cfRule type="expression" dxfId="469" priority="448" stopIfTrue="1">
      <formula>AND(COUNTIF(#REF!, B261)+COUNTIF($C$17:$C$17, B261)&gt;1,NOT(ISBLANK(B261)))</formula>
    </cfRule>
  </conditionalFormatting>
  <conditionalFormatting sqref="B283">
    <cfRule type="duplicateValues" dxfId="468" priority="443"/>
    <cfRule type="duplicateValues" dxfId="467" priority="444"/>
    <cfRule type="duplicateValues" dxfId="466" priority="445"/>
    <cfRule type="duplicateValues" dxfId="465" priority="446"/>
    <cfRule type="expression" dxfId="464" priority="447" stopIfTrue="1">
      <formula>AND(COUNTIF(#REF!, B283)+COUNTIF($C$18:$C$24, B283)&gt;1,NOT(ISBLANK(B283)))</formula>
    </cfRule>
  </conditionalFormatting>
  <conditionalFormatting sqref="B292">
    <cfRule type="duplicateValues" dxfId="463" priority="433"/>
    <cfRule type="expression" dxfId="462" priority="432" stopIfTrue="1">
      <formula>AND(COUNTIF(#REF!, B292)+COUNTIF($C$10:$C$24, B292)&gt;1,NOT(ISBLANK(B292)))</formula>
    </cfRule>
    <cfRule type="expression" dxfId="461" priority="430" stopIfTrue="1">
      <formula>AND(COUNTIF(#REF!, B292)+COUNTIF($C$20:$C$23, B292)&gt;1,NOT(ISBLANK(B292)))</formula>
    </cfRule>
    <cfRule type="expression" dxfId="460" priority="436" stopIfTrue="1">
      <formula>AND(COUNTIF($C$20:$C$24, B292)+COUNTIF(#REF!, B292)+COUNTIF(#REF!, B292)+COUNTIF(#REF!, B292)&gt;1,NOT(ISBLANK(B292)))</formula>
    </cfRule>
    <cfRule type="expression" dxfId="459" priority="429" stopIfTrue="1">
      <formula>AND(COUNTIF(#REF!, B292)+COUNTIF($C$18:$C$24, B292)&gt;1,NOT(ISBLANK(B292)))</formula>
    </cfRule>
    <cfRule type="duplicateValues" dxfId="458" priority="442"/>
    <cfRule type="expression" dxfId="457" priority="441" stopIfTrue="1">
      <formula>AND(COUNTIF($C$21:$C$24, B292)+COUNTIF(#REF!, B292)+COUNTIF(#REF!, B292)+COUNTIF(#REF!, B292)&gt;1,NOT(ISBLANK(B292)))</formula>
    </cfRule>
    <cfRule type="expression" dxfId="456" priority="438" stopIfTrue="1">
      <formula>AND(COUNTIF($C$18:$C$24, B292)+COUNTIF(#REF!, B292)+COUNTIF(#REF!, B292)+COUNTIF(#REF!, B292)&gt;1,NOT(ISBLANK(B292)))</formula>
    </cfRule>
    <cfRule type="expression" dxfId="455" priority="437" stopIfTrue="1">
      <formula>AND(COUNTIF($C$20:$C$24, B292)+COUNTIF(#REF!, B292)+COUNTIF(#REF!, B292)+COUNTIF(#REF!, B292)&gt;1,NOT(ISBLANK(B292)))</formula>
    </cfRule>
    <cfRule type="duplicateValues" dxfId="454" priority="435"/>
    <cfRule type="duplicateValues" dxfId="453" priority="434"/>
    <cfRule type="expression" dxfId="452" priority="440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51" priority="428" stopIfTrue="1">
      <formula>AND(COUNTIF($C$8:$C$24, B241)+COUNTIF(#REF!, B241)&gt;1,NOT(ISBLANK(B241)))</formula>
    </cfRule>
  </conditionalFormatting>
  <conditionalFormatting sqref="B292:B294">
    <cfRule type="expression" dxfId="450" priority="431" stopIfTrue="1">
      <formula>AND(COUNTIF($C$12:$C$12, B292)+COUNTIF(#REF!, B292)+COUNTIF($C$14:$C$24, B292)&gt;1,NOT(ISBLANK(B292)))</formula>
    </cfRule>
    <cfRule type="expression" dxfId="449" priority="426" stopIfTrue="1">
      <formula>AND(COUNTIF($C$13:$C$24, B292)+COUNTIF($C$8:$C$11, B292)&gt;1,NOT(ISBLANK(B292)))</formula>
    </cfRule>
    <cfRule type="expression" dxfId="448" priority="427" stopIfTrue="1">
      <formula>AND(COUNTIF(#REF!, B292)+COUNTIF($C$20:$C$23, B292)&gt;1,NOT(ISBLANK(B292)))</formula>
    </cfRule>
    <cfRule type="expression" dxfId="447" priority="425" stopIfTrue="1">
      <formula>AND(COUNTIF(#REF!, B292)+COUNTIF($C$13:$C$24, B292)&gt;1,NOT(ISBLANK(B292)))</formula>
    </cfRule>
    <cfRule type="expression" dxfId="446" priority="424" stopIfTrue="1">
      <formula>AND(COUNTIF(#REF!, B292)+COUNTIF($C$20:$C$24, B292)&gt;1,NOT(ISBLANK(B292)))</formula>
    </cfRule>
    <cfRule type="expression" dxfId="445" priority="439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4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3" priority="414" stopIfTrue="1">
      <formula>AND(COUNTIF(#REF!, B293)+COUNTIF($C$20:$C$23, B293)&gt;1,NOT(ISBLANK(B293)))</formula>
    </cfRule>
    <cfRule type="expression" dxfId="442" priority="415" stopIfTrue="1">
      <formula>AND(COUNTIF($C$20:$C$24, B293)+COUNTIF(#REF!, B293)+COUNTIF(#REF!, B293)+COUNTIF(#REF!, B293)&gt;1,NOT(ISBLANK(B293)))</formula>
    </cfRule>
    <cfRule type="duplicateValues" dxfId="441" priority="422"/>
    <cfRule type="expression" dxfId="440" priority="421" stopIfTrue="1">
      <formula>AND(COUNTIF(#REF!, B293)+COUNTIF($C$18:$C$24, B293)&gt;1,NOT(ISBLANK(B293)))</formula>
    </cfRule>
    <cfRule type="duplicateValues" dxfId="439" priority="420"/>
    <cfRule type="duplicateValues" dxfId="438" priority="419"/>
    <cfRule type="duplicateValues" dxfId="437" priority="418"/>
    <cfRule type="duplicateValues" dxfId="436" priority="417"/>
    <cfRule type="expression" dxfId="435" priority="416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4" priority="7874" stopIfTrue="1">
      <formula>AND(COUNTIF($C$25:$C$32, B299)+COUNTIF($C$34:$C$41, B299)&gt;1,NOT(ISBLANK(B299)))</formula>
    </cfRule>
    <cfRule type="expression" dxfId="433" priority="7875" stopIfTrue="1">
      <formula>AND(COUNTIF($E$505:$E$65544,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2" priority="410"/>
    <cfRule type="duplicateValues" dxfId="431" priority="411"/>
  </conditionalFormatting>
  <conditionalFormatting sqref="B301 B256 B253:B254 B258:B259 B261">
    <cfRule type="duplicateValues" dxfId="430" priority="409"/>
  </conditionalFormatting>
  <conditionalFormatting sqref="B301 B261 B259 B253:B254">
    <cfRule type="duplicateValues" dxfId="429" priority="408"/>
  </conditionalFormatting>
  <conditionalFormatting sqref="B305">
    <cfRule type="duplicateValues" dxfId="428" priority="7882" stopIfTrue="1"/>
    <cfRule type="expression" dxfId="427" priority="7883" stopIfTrue="1">
      <formula>AND(COUNTIF($E$524:$E$65544,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6" priority="7880" stopIfTrue="1"/>
    <cfRule type="duplicateValues" dxfId="425" priority="7881" stopIfTrue="1"/>
  </conditionalFormatting>
  <conditionalFormatting sqref="B579:B580">
    <cfRule type="duplicateValues" dxfId="424" priority="7884" stopIfTrue="1"/>
    <cfRule type="duplicateValues" dxfId="423" priority="7885" stopIfTrue="1"/>
    <cfRule type="duplicateValues" dxfId="422" priority="7886" stopIfTrue="1"/>
    <cfRule type="expression" dxfId="421" priority="7887" stopIfTrue="1">
      <formula>AND(COUNTIF($D$26:$D$65706,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20" priority="7888" stopIfTrue="1">
      <formula>AND(COUNTIF($D$26:$D$65706,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9" priority="7889" stopIfTrue="1">
      <formula>AND(COUNTIF($D$26:$D$65706, B579)+COUNTIF($D$1:$D$22, B579)+COUNTIF(#REF!, B579)+COUNTIF(#REF!, B579)+COUNTIF($D$25:$D$25, B579)+COUNTIF(#REF!, B579)+COUNTIF(#REF!, B579)&gt;1,NOT(ISBLANK(B579)))</formula>
    </cfRule>
    <cfRule type="duplicateValues" dxfId="418" priority="7890" stopIfTrue="1"/>
    <cfRule type="duplicateValues" dxfId="417" priority="7891" stopIfTrue="1"/>
    <cfRule type="duplicateValues" dxfId="416" priority="7892" stopIfTrue="1"/>
    <cfRule type="expression" dxfId="415" priority="7893" stopIfTrue="1">
      <formula>AND(COUNTIF($D$10:$D$22, B579)+COUNTIF(#REF!, B579)&gt;1,NOT(ISBLANK(B579)))</formula>
    </cfRule>
  </conditionalFormatting>
  <conditionalFormatting sqref="B579:B581 B584:B591 B593 B596:B597 B599 B608">
    <cfRule type="expression" dxfId="414" priority="7894" stopIfTrue="1">
      <formula>AND(COUNTIF($D$26:$D$65709,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3" priority="7895" stopIfTrue="1">
      <formula>AND(COUNTIF($D$26:$D$65709, B579)+COUNTIF($D$1:$D$22, B579)+COUNTIF(#REF!, B579)+COUNTIF(#REF!, B579)+COUNTIF($D$25:$D$25, B579)+COUNTIF(#REF!, B579)+COUNTIF(#REF!, B579)&gt;1,NOT(ISBLANK(B579)))</formula>
    </cfRule>
    <cfRule type="expression" dxfId="412" priority="7896" stopIfTrue="1">
      <formula>AND(COUNTIF($D$26:$D$65709,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7 B599 B608">
    <cfRule type="duplicateValues" dxfId="411" priority="6874" stopIfTrue="1"/>
    <cfRule type="duplicateValues" dxfId="410" priority="6873" stopIfTrue="1"/>
    <cfRule type="duplicateValues" dxfId="409" priority="6872" stopIfTrue="1"/>
  </conditionalFormatting>
  <conditionalFormatting sqref="B581">
    <cfRule type="expression" dxfId="408" priority="7912" stopIfTrue="1">
      <formula>AND(COUNTIF($D$26:$D$65706, B581)+COUNTIF($D$1:$D$22, B581)+COUNTIF(#REF!, B581)+COUNTIF(#REF!, B581)+COUNTIF($D$25:$D$25, B581)+COUNTIF(#REF!, B581)+COUNTIF(#REF!, B581)&gt;1,NOT(ISBLANK(B581)))</formula>
    </cfRule>
    <cfRule type="expression" dxfId="407" priority="7906" stopIfTrue="1">
      <formula>AND(COUNTIF($D$10:$D$22, B581)+COUNTIF(#REF!, B581)&gt;1,NOT(ISBLANK(B581)))</formula>
    </cfRule>
    <cfRule type="duplicateValues" dxfId="406" priority="7908" stopIfTrue="1"/>
    <cfRule type="duplicateValues" dxfId="405" priority="7909" stopIfTrue="1"/>
    <cfRule type="expression" dxfId="404" priority="7910" stopIfTrue="1">
      <formula>AND(COUNTIF($D$26:$D$65706,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3" priority="7911" stopIfTrue="1">
      <formula>AND(COUNTIF($D$26:$D$65706,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2" priority="7907" stopIfTrue="1"/>
  </conditionalFormatting>
  <conditionalFormatting sqref="B582:B583">
    <cfRule type="expression" dxfId="401" priority="7922" stopIfTrue="1">
      <formula>AND(COUNTIF($D$10:$D$22, B582)+COUNTIF(#REF!, B582)&gt;1,NOT(ISBLANK(B582)))</formula>
    </cfRule>
    <cfRule type="duplicateValues" dxfId="400" priority="7921" stopIfTrue="1"/>
    <cfRule type="duplicateValues" dxfId="399" priority="7920" stopIfTrue="1"/>
    <cfRule type="duplicateValues" dxfId="398" priority="7919" stopIfTrue="1"/>
    <cfRule type="expression" dxfId="397" priority="7918" stopIfTrue="1">
      <formula>AND(COUNTIF($D$26:$D$65691, B582)+COUNTIF($D$1:$D$22, B582)+COUNTIF(#REF!, B582)+COUNTIF(#REF!, B582)+COUNTIF($D$25:$D$25, B582)+COUNTIF(#REF!, B582)+COUNTIF(#REF!, B582)&gt;1,NOT(ISBLANK(B582)))</formula>
    </cfRule>
    <cfRule type="expression" dxfId="396" priority="7917" stopIfTrue="1">
      <formula>AND(COUNTIF($D$26:$D$65691,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5" priority="7916" stopIfTrue="1">
      <formula>AND(COUNTIF($D$26:$D$65691,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4" priority="7915" stopIfTrue="1"/>
    <cfRule type="duplicateValues" dxfId="393" priority="7914" stopIfTrue="1"/>
    <cfRule type="expression" dxfId="392" priority="7924" stopIfTrue="1">
      <formula>AND(COUNTIF($D$26:$D$65694,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1" priority="7925" stopIfTrue="1">
      <formula>AND(COUNTIF($D$26:$D$65694, B582)+COUNTIF($D$1:$D$22, B582)+COUNTIF(#REF!, B582)+COUNTIF(#REF!, B582)+COUNTIF($D$25:$D$25, B582)+COUNTIF(#REF!, B582)+COUNTIF(#REF!, B582)&gt;1,NOT(ISBLANK(B582)))</formula>
    </cfRule>
    <cfRule type="duplicateValues" dxfId="390" priority="7913" stopIfTrue="1"/>
    <cfRule type="expression" dxfId="389" priority="7923" stopIfTrue="1">
      <formula>AND(COUNTIF($D$26:$D$65694,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7 B599 B608">
    <cfRule type="expression" dxfId="388" priority="49" stopIfTrue="1">
      <formula>AND(COUNTIF($D$10:$D$22, B584)+COUNTIF(#REF!, B584)&gt;1,NOT(ISBLANK(B584)))</formula>
    </cfRule>
  </conditionalFormatting>
  <conditionalFormatting sqref="B585:B591 B593 B596:B597 B599 B608">
    <cfRule type="expression" dxfId="387" priority="7928" stopIfTrue="1">
      <formula>AND(COUNTIF($D$26:$D$65706, B585)+COUNTIF($D$1:$D$22, B585)+COUNTIF(#REF!, B585)+COUNTIF(#REF!, B585)+COUNTIF($D$25:$D$25, B585)+COUNTIF(#REF!, B585)+COUNTIF(#REF!, B585)&gt;1,NOT(ISBLANK(B585)))</formula>
    </cfRule>
    <cfRule type="duplicateValues" dxfId="386" priority="6900" stopIfTrue="1"/>
    <cfRule type="duplicateValues" dxfId="385" priority="6901" stopIfTrue="1"/>
    <cfRule type="duplicateValues" dxfId="384" priority="6902" stopIfTrue="1"/>
    <cfRule type="expression" dxfId="383" priority="7926" stopIfTrue="1">
      <formula>AND(COUNTIF($D$26:$D$65706,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2" priority="7927" stopIfTrue="1">
      <formula>AND(COUNTIF($D$26:$D$65706,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92">
    <cfRule type="expression" dxfId="381" priority="7944" stopIfTrue="1">
      <formula>AND(COUNTIF($D$26:$D$65693,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80" priority="7943" stopIfTrue="1">
      <formula>AND(COUNTIF($D$26:$D$65690, B592)+COUNTIF($D$1:$D$22, B592)+COUNTIF(#REF!, B592)+COUNTIF(#REF!, B592)+COUNTIF($D$25:$D$25, B592)+COUNTIF(#REF!, B592)+COUNTIF(#REF!, B592)&gt;1,NOT(ISBLANK(B592)))</formula>
    </cfRule>
    <cfRule type="expression" dxfId="379" priority="7942" stopIfTrue="1">
      <formula>AND(COUNTIF($D$26:$D$65690,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7941" stopIfTrue="1">
      <formula>AND(COUNTIF($D$26:$D$65690,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7" priority="7940" stopIfTrue="1"/>
    <cfRule type="duplicateValues" dxfId="376" priority="7939" stopIfTrue="1"/>
    <cfRule type="duplicateValues" dxfId="375" priority="7938" stopIfTrue="1"/>
    <cfRule type="expression" dxfId="374" priority="7945" stopIfTrue="1">
      <formula>AND(COUNTIF($D$26:$D$65693,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3" priority="7937" stopIfTrue="1"/>
    <cfRule type="duplicateValues" dxfId="372" priority="7936" stopIfTrue="1"/>
    <cfRule type="duplicateValues" dxfId="371" priority="7935" stopIfTrue="1"/>
    <cfRule type="expression" dxfId="370" priority="7946" stopIfTrue="1">
      <formula>AND(COUNTIF($D$26:$D$65693,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69" priority="7959" stopIfTrue="1">
      <formula>AND(COUNTIF($D$26:$D$65693, B593)+COUNTIF($D$1:$D$22, B593)+COUNTIF(#REF!, B593)+COUNTIF(#REF!, B593)+COUNTIF($D$25:$D$25, B593)+COUNTIF(#REF!, B593)+COUNTIF(#REF!, B593)&gt;1,NOT(ISBLANK(B593)))</formula>
    </cfRule>
    <cfRule type="expression" dxfId="368" priority="7958" stopIfTrue="1">
      <formula>AND(COUNTIF($D$26:$D$65693,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7" priority="7957" stopIfTrue="1">
      <formula>AND(COUNTIF($D$26:$D$65693,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6" priority="7956" stopIfTrue="1">
      <formula>AND(COUNTIF($D$10:$D$22, B593)+COUNTIF(#REF!, B593)&gt;1,NOT(ISBLANK(B593)))</formula>
    </cfRule>
    <cfRule type="expression" dxfId="365" priority="7955" stopIfTrue="1">
      <formula>AND(COUNTIF($D$26:$D$65690, B593)+COUNTIF($D$1:$D$22, B593)+COUNTIF(#REF!, B593)+COUNTIF(#REF!, B593)+COUNTIF($D$25:$D$25, B593)+COUNTIF(#REF!, B593)+COUNTIF(#REF!, B593)&gt;1,NOT(ISBLANK(B593)))</formula>
    </cfRule>
    <cfRule type="expression" dxfId="364" priority="7954" stopIfTrue="1">
      <formula>AND(COUNTIF($D$26:$D$65690,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3" priority="7953" stopIfTrue="1">
      <formula>AND(COUNTIF($D$26:$D$65690,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62" priority="7952" stopIfTrue="1"/>
    <cfRule type="duplicateValues" dxfId="361" priority="7951" stopIfTrue="1"/>
    <cfRule type="duplicateValues" dxfId="360" priority="7950" stopIfTrue="1"/>
    <cfRule type="duplicateValues" dxfId="359" priority="7949" stopIfTrue="1"/>
    <cfRule type="duplicateValues" dxfId="358" priority="7948" stopIfTrue="1"/>
    <cfRule type="duplicateValues" dxfId="357" priority="7947" stopIfTrue="1"/>
  </conditionalFormatting>
  <conditionalFormatting sqref="B599:B600 B608">
    <cfRule type="expression" dxfId="356" priority="7968" stopIfTrue="1">
      <formula>AND(COUNTIF($D$26:$D$65690, B599)+COUNTIF($D$1:$D$22, B599)+COUNTIF(#REF!, B599)+COUNTIF(#REF!, B599)+COUNTIF($D$25:$D$25, B599)+COUNTIF(#REF!, B599)+COUNTIF(#REF!, B599)&gt;1,NOT(ISBLANK(B599)))</formula>
    </cfRule>
    <cfRule type="duplicateValues" dxfId="355" priority="7960" stopIfTrue="1"/>
    <cfRule type="duplicateValues" dxfId="354" priority="7961" stopIfTrue="1"/>
    <cfRule type="duplicateValues" dxfId="353" priority="7962" stopIfTrue="1"/>
    <cfRule type="duplicateValues" dxfId="352" priority="7963" stopIfTrue="1"/>
    <cfRule type="duplicateValues" dxfId="351" priority="7964" stopIfTrue="1"/>
    <cfRule type="duplicateValues" dxfId="350" priority="7965" stopIfTrue="1"/>
    <cfRule type="expression" dxfId="349" priority="7966" stopIfTrue="1">
      <formula>AND(COUNTIF($D$26:$D$65690,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8" priority="7967" stopIfTrue="1">
      <formula>AND(COUNTIF($D$26:$D$65690,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7" priority="7969" stopIfTrue="1">
      <formula>AND(COUNTIF($D$10:$D$22, B599)+COUNTIF(#REF!, B599)&gt;1,NOT(ISBLANK(B599)))</formula>
    </cfRule>
    <cfRule type="expression" dxfId="346" priority="7970" stopIfTrue="1">
      <formula>AND(COUNTIF($D$26:$D$65693,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5" priority="7971" stopIfTrue="1">
      <formula>AND(COUNTIF($D$26:$D$65693,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4" priority="7972" stopIfTrue="1">
      <formula>AND(COUNTIF($D$26:$D$65693, B599)+COUNTIF($D$1:$D$22, B599)+COUNTIF(#REF!, B599)+COUNTIF(#REF!, B599)+COUNTIF($D$25:$D$25, B599)+COUNTIF(#REF!, B599)+COUNTIF(#REF!, B599)&gt;1,NOT(ISBLANK(B599)))</formula>
    </cfRule>
  </conditionalFormatting>
  <conditionalFormatting sqref="B606">
    <cfRule type="expression" dxfId="343" priority="23" stopIfTrue="1">
      <formula>AND(COUNTIF($D$10:$D$22, B606)+COUNTIF(#REF!, B606)&gt;1,NOT(ISBLANK(B606)))</formula>
    </cfRule>
    <cfRule type="duplicateValues" dxfId="342" priority="6" stopIfTrue="1"/>
    <cfRule type="duplicateValues" dxfId="341" priority="5" stopIfTrue="1"/>
    <cfRule type="duplicateValues" dxfId="340" priority="4" stopIfTrue="1"/>
    <cfRule type="duplicateValues" dxfId="339" priority="3" stopIfTrue="1"/>
    <cfRule type="expression" dxfId="338" priority="25" stopIfTrue="1">
      <formula>AND(COUNTIF($D$26:$D$65693,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7" priority="1" stopIfTrue="1">
      <formula>AND(COUNTIF($D$10:$D$22, B606)+COUNTIF(#REF!, B606)&gt;1,NOT(ISBLANK(B606)))</formula>
    </cfRule>
    <cfRule type="expression" dxfId="336" priority="24" stopIfTrue="1">
      <formula>AND(COUNTIF($D$26:$D$65693,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35" priority="15" stopIfTrue="1"/>
    <cfRule type="duplicateValues" dxfId="334" priority="16" stopIfTrue="1"/>
    <cfRule type="duplicateValues" dxfId="333" priority="17" stopIfTrue="1"/>
    <cfRule type="duplicateValues" dxfId="332" priority="18" stopIfTrue="1"/>
    <cfRule type="duplicateValues" dxfId="331" priority="19" stopIfTrue="1"/>
    <cfRule type="expression" dxfId="330" priority="20" stopIfTrue="1">
      <formula>AND(COUNTIF($D$26:$D$65690,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9" priority="21" stopIfTrue="1">
      <formula>AND(COUNTIF($D$26:$D$65690,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8" priority="22" stopIfTrue="1">
      <formula>AND(COUNTIF($D$26:$D$65690, B606)+COUNTIF($D$1:$D$22, B606)+COUNTIF(#REF!, B606)+COUNTIF(#REF!, B606)+COUNTIF($D$25:$D$25, B606)+COUNTIF(#REF!, B606)+COUNTIF(#REF!, B606)&gt;1,NOT(ISBLANK(B606)))</formula>
    </cfRule>
    <cfRule type="expression" dxfId="327" priority="26" stopIfTrue="1">
      <formula>AND(COUNTIF($D$26:$D$65693, B606)+COUNTIF($D$1:$D$22, B606)+COUNTIF(#REF!, B606)+COUNTIF(#REF!, B606)+COUNTIF($D$25:$D$25, B606)+COUNTIF(#REF!, B606)+COUNTIF(#REF!, B606)&gt;1,NOT(ISBLANK(B606)))</formula>
    </cfRule>
    <cfRule type="duplicateValues" dxfId="326" priority="7" stopIfTrue="1"/>
    <cfRule type="expression" dxfId="325" priority="8" stopIfTrue="1">
      <formula>AND(COUNTIF($D$26:$D$65709,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4" priority="9" stopIfTrue="1">
      <formula>AND(COUNTIF($D$26:$D$65709, B606)+COUNTIF($D$1:$D$22, B606)+COUNTIF(#REF!, B606)+COUNTIF(#REF!, B606)+COUNTIF($D$25:$D$25, B606)+COUNTIF(#REF!, B606)+COUNTIF(#REF!, B606)&gt;1,NOT(ISBLANK(B606)))</formula>
    </cfRule>
    <cfRule type="expression" dxfId="323" priority="10" stopIfTrue="1">
      <formula>AND(COUNTIF($D$26:$D$65709,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2" priority="12" stopIfTrue="1">
      <formula>AND(COUNTIF($D$26:$D$65706,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1" priority="13" stopIfTrue="1">
      <formula>AND(COUNTIF($D$26:$D$65706, B606)+COUNTIF($D$1:$D$22, B606)+COUNTIF(#REF!, B606)+COUNTIF(#REF!, B606)+COUNTIF($D$25:$D$25, B606)+COUNTIF(#REF!, B606)+COUNTIF(#REF!, B606)&gt;1,NOT(ISBLANK(B606)))</formula>
    </cfRule>
    <cfRule type="expression" dxfId="320" priority="11" stopIfTrue="1">
      <formula>AND(COUNTIF($D$26:$D$65706,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19" priority="14" stopIfTrue="1"/>
    <cfRule type="duplicateValues" dxfId="318" priority="2" stopIfTrue="1"/>
  </conditionalFormatting>
  <conditionalFormatting sqref="B613:B627">
    <cfRule type="duplicateValues" dxfId="317" priority="116" stopIfTrue="1"/>
    <cfRule type="duplicateValues" dxfId="316" priority="115" stopIfTrue="1"/>
  </conditionalFormatting>
  <conditionalFormatting sqref="B627:B628">
    <cfRule type="duplicateValues" dxfId="315" priority="118" stopIfTrue="1"/>
    <cfRule type="duplicateValues" dxfId="314" priority="117" stopIfTrue="1"/>
  </conditionalFormatting>
  <conditionalFormatting sqref="B645:B660">
    <cfRule type="duplicateValues" dxfId="313" priority="111" stopIfTrue="1"/>
    <cfRule type="duplicateValues" dxfId="312" priority="112" stopIfTrue="1"/>
  </conditionalFormatting>
  <conditionalFormatting sqref="B661">
    <cfRule type="duplicateValues" dxfId="311" priority="113" stopIfTrue="1"/>
    <cfRule type="duplicateValues" dxfId="310" priority="114" stopIfTrue="1"/>
  </conditionalFormatting>
  <conditionalFormatting sqref="C13:C51 C56 C59 C68 C79:C86 C90:C94 C188 C191:C192 C196 C198 C210:C240 C243:C244 C247 C249:C252 C256:C257 C263">
    <cfRule type="expression" dxfId="309" priority="9076" stopIfTrue="1">
      <formula>AND(COUNTIF($E$563:$E$65544,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8" priority="9072" stopIfTrue="1">
      <formula>AND(COUNTIF($E$460:$E$65544,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7" priority="9073" stopIfTrue="1">
      <formula>AND(COUNTIF($E$483:$E$65544,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074" stopIfTrue="1">
      <formula>AND(COUNTIF($E$606:$E$65544,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5" priority="9075" stopIfTrue="1">
      <formula>AND(COUNTIF($E$525:$E$65544,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4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3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2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300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8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7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6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5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3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1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6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5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4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2" priority="8130" stopIfTrue="1">
      <formula>AND(COUNTIF($G$314:$G$65406,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1" priority="8071" stopIfTrue="1">
      <formula>AND(COUNTIF($G$193:$G$65406,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0" priority="8070" stopIfTrue="1">
      <formula>AND(COUNTIF($G$248:$G$65406,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8072" stopIfTrue="1">
      <formula>AND(COUNTIF($G$193:$G$65406,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8" priority="8073" stopIfTrue="1">
      <formula>AND(COUNTIF($G$170:$G$65406,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7" priority="8074" stopIfTrue="1">
      <formula>AND(COUNTIF($G$314:$G$65406,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6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5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4" priority="7973" stopIfTrue="1">
      <formula>AND(COUNTIF($E$483:$E$65544,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3" priority="8124" stopIfTrue="1">
      <formula>AND(COUNTIF($G$193:$G$65406,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2" priority="8125" stopIfTrue="1">
      <formula>AND(COUNTIF($G$193:$G$65406,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71" priority="8126" stopIfTrue="1">
      <formula>AND(COUNTIF($G$170:$G$65406,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70" priority="812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9" priority="81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8" priority="81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8118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19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20" stopIfTrue="1">
      <formula>AND(COUNTIF($G$314:$G$65406,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4" priority="8121" stopIfTrue="1">
      <formula>AND(COUNTIF($G$314:$G$65406,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3" priority="8122" stopIfTrue="1">
      <formula>AND(COUNTIF($G$314:$G$65406,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8123" stopIfTrue="1">
      <formula>AND(COUNTIF($G$248:$G$65406,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61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0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9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8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7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6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50" priority="8069" stopIfTrue="1">
      <formula>AND(COUNTIF($G$314:$G$65406,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9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8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7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5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4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3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41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9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7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5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4" priority="814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3" priority="8139" stopIfTrue="1">
      <formula>AND(COUNTIF($G$170:$G$65406,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2" priority="8137" stopIfTrue="1">
      <formula>AND(COUNTIF($G$193:$G$65406,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1" priority="8136" stopIfTrue="1">
      <formula>AND(COUNTIF($G$248:$G$65406,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0" priority="8135" stopIfTrue="1">
      <formula>AND(COUNTIF($G$314:$G$65406,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34" stopIfTrue="1">
      <formula>AND(COUNTIF($G$314:$G$65406,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38" stopIfTrue="1">
      <formula>AND(COUNTIF($G$193:$G$65406,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7" priority="8142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6" priority="81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8143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33" stopIfTrue="1">
      <formula>AND(COUNTIF($G$314:$G$65406,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3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2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1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9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8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7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2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0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9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8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7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8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7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6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2" priority="8149" stopIfTrue="1">
      <formula>AND(COUNTIF($G$193:$G$65406,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81" priority="8146" stopIfTrue="1">
      <formula>AND(COUNTIF($G$314:$G$65406,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0" priority="8148" stopIfTrue="1">
      <formula>AND(COUNTIF($G$193:$G$65406,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9" priority="8147" stopIfTrue="1">
      <formula>AND(COUNTIF($G$248:$G$65406,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8144" stopIfTrue="1">
      <formula>AND(COUNTIF($G$314:$G$65406,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50" stopIfTrue="1">
      <formula>AND(COUNTIF($G$170:$G$65406,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6" priority="8145" stopIfTrue="1">
      <formula>AND(COUNTIF($G$314:$G$65406,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5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4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3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2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1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9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8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6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5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3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60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9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8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3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1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50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9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8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7" priority="8161" stopIfTrue="1">
      <formula>AND(COUNTIF($G$314:$G$65406,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6" priority="815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5" priority="8159" stopIfTrue="1">
      <formula>AND(COUNTIF($G$314:$G$65406,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4" priority="8160" stopIfTrue="1">
      <formula>AND(COUNTIF($G$314:$G$65406,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3" priority="8162" stopIfTrue="1">
      <formula>AND(COUNTIF($G$248:$G$65406,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8163" stopIfTrue="1">
      <formula>AND(COUNTIF($G$193:$G$65406,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8164" stopIfTrue="1">
      <formula>AND(COUNTIF($G$193:$G$65406,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0" priority="8165" stopIfTrue="1">
      <formula>AND(COUNTIF($G$170:$G$65406,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9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8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7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6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5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4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3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2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30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9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8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7" priority="81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6" priority="81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5" priority="81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8182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8183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818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89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90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9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9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9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9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95" stopIfTrue="1">
      <formula>AND(COUNTIF($G$314:$G$65406,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0" priority="8196" stopIfTrue="1">
      <formula>AND(COUNTIF($G$314:$G$65406,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9" priority="8197" stopIfTrue="1">
      <formula>AND(COUNTIF($G$314:$G$65406,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8198" stopIfTrue="1">
      <formula>AND(COUNTIF($G$248:$G$65406,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8199" stopIfTrue="1">
      <formula>AND(COUNTIF($G$193:$G$65406,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8200" stopIfTrue="1">
      <formula>AND(COUNTIF($G$193:$G$65406,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5" priority="8201" stopIfTrue="1">
      <formula>AND(COUNTIF($G$170:$G$65406,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4" priority="81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81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817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7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817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9" priority="9471" stopIfTrue="1">
      <formula>AND(COUNTIF($E$460:$E$65544,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8" priority="9466" stopIfTrue="1">
      <formula>AND(COUNTIF($E$606:$E$65544,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7" priority="9467" stopIfTrue="1">
      <formula>AND(COUNTIF($E$563:$E$65544,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6" priority="9468" stopIfTrue="1">
      <formula>AND(COUNTIF($E$525:$E$65544,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9469" stopIfTrue="1">
      <formula>AND(COUNTIF($E$483:$E$65544,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9470" stopIfTrue="1">
      <formula>AND(COUNTIF($E$483:$E$65544,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3" priority="8501" stopIfTrue="1">
      <formula>AND(COUNTIF($D$444:$D$65544,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2" priority="8537" stopIfTrue="1">
      <formula>AND(COUNTIF($D$402:$D$65544,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1" priority="8497" stopIfTrue="1">
      <formula>AND(COUNTIF($D$402:$D$65544,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90" priority="8498" stopIfTrue="1">
      <formula>AND(COUNTIF($D$379:$D$65544,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9" priority="8499" stopIfTrue="1">
      <formula>AND(COUNTIF($D$502:$D$65544,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8" priority="8500" stopIfTrue="1">
      <formula>AND(COUNTIF($D$482:$D$65544,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7" priority="8546" stopIfTrue="1">
      <formula>AND(COUNTIF($E$575:$E$65544,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6" priority="8545" stopIfTrue="1">
      <formula>AND(COUNTIF($E$642:$E$65544,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5" priority="8548" stopIfTrue="1">
      <formula>AND(COUNTIF($E$517:$E$65544,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8547" stopIfTrue="1">
      <formula>AND(COUNTIF($E$555:$E$65544,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3" priority="8551" stopIfTrue="1">
      <formula>AND(COUNTIF($E$452:$E$65544,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2" priority="8550" stopIfTrue="1">
      <formula>AND(COUNTIF($E$475:$E$65544,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1" priority="8549" stopIfTrue="1">
      <formula>AND(COUNTIF($E$475:$E$65544,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</conditionalFormatting>
  <conditionalFormatting sqref="C174:C187 C189:C190 C193:C196 C198:C200 C203:C205 C208:C209">
    <cfRule type="expression" dxfId="80" priority="8555" stopIfTrue="1">
      <formula>AND(COUNTIF($D$488:$D$65544,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9" priority="8556" stopIfTrue="1">
      <formula>AND(COUNTIF($D$471:$D$65544,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8" priority="8557" stopIfTrue="1">
      <formula>AND(COUNTIF($D$451:$D$65544,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7" priority="8588" stopIfTrue="1">
      <formula>AND(COUNTIF($D$413:$D$65544,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8553" stopIfTrue="1">
      <formula>AND(COUNTIF($D$371:$D$65544,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5" priority="8554" stopIfTrue="1">
      <formula>AND(COUNTIF($D$348:$D$65544,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4:C187 C193:C196 C198:C200 C189:C190 C203:C205 C208:C209">
    <cfRule type="expression" dxfId="74" priority="8552" stopIfTrue="1">
      <formula>AND(COUNTIF($D$371:$D$65544,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3" priority="8594" stopIfTrue="1">
      <formula>AND(COUNTIF($D$449:$D$65544,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2" priority="8595" stopIfTrue="1">
      <formula>AND(COUNTIF($D$411:$D$65544,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1" priority="8596" stopIfTrue="1">
      <formula>AND(COUNTIF($D$369:$D$65544,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8597" stopIfTrue="1">
      <formula>AND(COUNTIF($D$369:$D$65544,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9" priority="8598" stopIfTrue="1">
      <formula>AND(COUNTIF($D$346:$D$65544,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8" priority="8599" stopIfTrue="1">
      <formula>AND(COUNTIF($D$469:$D$65544,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7" priority="8600" stopIfTrue="1">
      <formula>AND(COUNTIF($D$486:$D$65544,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 C191:C192 C196 C198 C130 C133 C135 C138:C139 C141:C172">
    <cfRule type="expression" dxfId="66" priority="8488" stopIfTrue="1">
      <formula>AND(COUNTIF($D$519:$D$65544,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88">
    <cfRule type="expression" dxfId="65" priority="8634" stopIfTrue="1">
      <formula>AND(COUNTIF($D$379:$D$65544,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4" priority="8633" stopIfTrue="1">
      <formula>AND(COUNTIF($D$402:$D$65544,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3" priority="8632" stopIfTrue="1">
      <formula>AND(COUNTIF($D$402:$D$65544,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2" priority="8631" stopIfTrue="1">
      <formula>AND(COUNTIF($D$444:$D$65544,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8630" stopIfTrue="1">
      <formula>AND(COUNTIF($D$482:$D$65544,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29" stopIfTrue="1">
      <formula>AND(COUNTIF($D$502:$D$65544,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9" priority="8638" stopIfTrue="1">
      <formula>AND(COUNTIF($D$411:$D$65544,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8" priority="8639" stopIfTrue="1">
      <formula>AND(COUNTIF($D$369:$D$65544,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7" priority="8640" stopIfTrue="1">
      <formula>AND(COUNTIF($D$369:$D$65544,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6" priority="8641" stopIfTrue="1">
      <formula>AND(COUNTIF($D$346:$D$65544,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5" priority="8635" stopIfTrue="1">
      <formula>AND(COUNTIF($D$486:$D$65544,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4" priority="8637" stopIfTrue="1">
      <formula>AND(COUNTIF($D$449:$D$65544,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3" priority="8636" stopIfTrue="1">
      <formula>AND(COUNTIF($D$469:$D$65544,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10:C240 C188 C196 C198 C142:C144 C146 C148:C159 C161:C172 C191:C192 C13:C51 C56 C59 C68 C79:C86 C90:C94 C243:C244 C247 C249:C252 C256:C257 C263 C97:C98 C100:C102 C104:C105 C108:C116 C118 C120 C122 C131:C132 C134 C136:C137 C140">
    <cfRule type="expression" dxfId="52" priority="9041" stopIfTrue="1">
      <formula>AND(COUNTIF($E$663:$E$65544, C13)+COUNTIF($E$1:$E$315, C13)+COUNTIF(#REF!, C13)+COUNTIF($E$606:$E$610,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51" priority="8675" stopIfTrue="1">
      <formula>AND(COUNTIF($E$319:$E$65544,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0" priority="8676" stopIfTrue="1">
      <formula>AND(COUNTIF($E$319:$E$65544,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9" priority="8671" stopIfTrue="1">
      <formula>AND(COUNTIF($E$432:$E$65544,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70" stopIfTrue="1">
      <formula>AND(COUNTIF($E$319:$E$65544,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7" priority="8672" stopIfTrue="1">
      <formula>AND(COUNTIF($E$415:$E$65544,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8673" stopIfTrue="1">
      <formula>AND(COUNTIF($E$395:$E$65544,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8674" stopIfTrue="1">
      <formula>AND(COUNTIF($E$357:$E$65544,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</conditionalFormatting>
  <conditionalFormatting sqref="C299:C300 C302:C304 C306:C316">
    <cfRule type="expression" dxfId="44" priority="8727" stopIfTrue="1">
      <formula>AND(COUNTIF($F$505:$F$65544,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3" priority="8728" stopIfTrue="1">
      <formula>AND(COUNTIF($F$485:$F$65544,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2" priority="8729" stopIfTrue="1">
      <formula>AND(COUNTIF($F$447:$F$65544,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30" stopIfTrue="1">
      <formula>AND(COUNTIF($F$405:$F$65544,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31" stopIfTrue="1">
      <formula>AND(COUNTIF($F$405:$F$65544,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9" priority="8732" stopIfTrue="1">
      <formula>AND(COUNTIF($F$382:$F$65544,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8" priority="8726" stopIfTrue="1">
      <formula>AND(COUNTIF($F$522:$F$65544,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7" priority="8752" stopIfTrue="1">
      <formula>AND(COUNTIF($F$424:$F$65544,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6" priority="8753" stopIfTrue="1">
      <formula>AND(COUNTIF($F$401:$F$65544,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5" priority="8747" stopIfTrue="1">
      <formula>AND(COUNTIF($F$541:$F$65544,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4" priority="8748" stopIfTrue="1">
      <formula>AND(COUNTIF($F$524:$F$65544,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8750" stopIfTrue="1">
      <formula>AND(COUNTIF($F$466:$F$65544,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51" stopIfTrue="1">
      <formula>AND(COUNTIF($F$424:$F$65544,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49" stopIfTrue="1">
      <formula>AND(COUNTIF($F$504:$F$65544,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30" priority="119" stopIfTrue="1" operator="greaterThan">
      <formula>600</formula>
    </cfRule>
  </conditionalFormatting>
  <conditionalFormatting sqref="D6">
    <cfRule type="cellIs" dxfId="29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68" zoomScale="80" zoomScaleNormal="80" workbookViewId="0">
      <selection activeCell="AX151" sqref="AX151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06" t="s">
        <v>777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7"/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8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609" t="s">
        <v>779</v>
      </c>
      <c r="AN3" s="609"/>
      <c r="AO3" s="610">
        <f ca="1">TODAY()</f>
        <v>45984</v>
      </c>
      <c r="AP3" s="611"/>
      <c r="AQ3" s="611"/>
      <c r="AR3" s="611"/>
      <c r="AS3" s="611"/>
      <c r="AT3" s="612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13" t="s">
        <v>780</v>
      </c>
      <c r="M7" s="614"/>
      <c r="N7" s="614"/>
      <c r="O7" s="615"/>
      <c r="R7" t="s">
        <v>199</v>
      </c>
      <c r="AA7" s="616" t="s">
        <v>781</v>
      </c>
      <c r="AB7" s="617"/>
      <c r="AC7" s="617"/>
      <c r="AD7" s="617"/>
      <c r="AE7" s="617"/>
      <c r="AF7" s="618"/>
      <c r="AG7" s="625" t="s">
        <v>782</v>
      </c>
      <c r="AH7" s="626"/>
      <c r="AI7" s="627"/>
      <c r="AJ7" s="634" t="s">
        <v>783</v>
      </c>
      <c r="AK7" s="626"/>
      <c r="AL7" s="635"/>
      <c r="AM7" s="625" t="s">
        <v>784</v>
      </c>
      <c r="AN7" s="626"/>
      <c r="AO7" s="635"/>
      <c r="AP7" s="634" t="s">
        <v>785</v>
      </c>
      <c r="AQ7" s="626"/>
      <c r="AR7" s="635"/>
      <c r="AT7" s="283"/>
    </row>
    <row r="8" spans="1:46" ht="15" customHeight="1">
      <c r="A8" s="282"/>
      <c r="E8" t="s">
        <v>786</v>
      </c>
      <c r="S8" t="s">
        <v>59</v>
      </c>
      <c r="AA8" s="619"/>
      <c r="AB8" s="620"/>
      <c r="AC8" s="620"/>
      <c r="AD8" s="620"/>
      <c r="AE8" s="620"/>
      <c r="AF8" s="621"/>
      <c r="AG8" s="628"/>
      <c r="AH8" s="629"/>
      <c r="AI8" s="630"/>
      <c r="AJ8" s="636"/>
      <c r="AK8" s="629"/>
      <c r="AL8" s="637"/>
      <c r="AM8" s="628"/>
      <c r="AN8" s="629"/>
      <c r="AO8" s="637"/>
      <c r="AP8" s="636"/>
      <c r="AQ8" s="629"/>
      <c r="AR8" s="637"/>
      <c r="AT8" s="283"/>
    </row>
    <row r="9" spans="1:46" ht="15.75" thickBot="1">
      <c r="A9" s="282"/>
      <c r="L9" s="292"/>
      <c r="M9" s="293"/>
      <c r="N9" s="293"/>
      <c r="O9" s="640"/>
      <c r="P9" s="641"/>
      <c r="AA9" s="622"/>
      <c r="AB9" s="623"/>
      <c r="AC9" s="623"/>
      <c r="AD9" s="623"/>
      <c r="AE9" s="623"/>
      <c r="AF9" s="624"/>
      <c r="AG9" s="631"/>
      <c r="AH9" s="632"/>
      <c r="AI9" s="633"/>
      <c r="AJ9" s="638"/>
      <c r="AK9" s="632"/>
      <c r="AL9" s="639"/>
      <c r="AM9" s="631"/>
      <c r="AN9" s="632"/>
      <c r="AO9" s="639"/>
      <c r="AP9" s="638"/>
      <c r="AQ9" s="632"/>
      <c r="AR9" s="639"/>
      <c r="AT9" s="283"/>
    </row>
    <row r="10" spans="1:46" ht="15" customHeight="1">
      <c r="A10" s="282"/>
      <c r="C10" t="s">
        <v>787</v>
      </c>
      <c r="U10" t="s">
        <v>788</v>
      </c>
      <c r="AA10" s="658" t="s">
        <v>62</v>
      </c>
      <c r="AB10" s="659"/>
      <c r="AC10" s="659"/>
      <c r="AD10" s="659"/>
      <c r="AE10" s="659"/>
      <c r="AF10" s="660"/>
      <c r="AG10" s="661">
        <v>302</v>
      </c>
      <c r="AH10" s="646"/>
      <c r="AI10" s="662"/>
      <c r="AJ10" s="663">
        <f>[14]Progress!J2</f>
        <v>302</v>
      </c>
      <c r="AK10" s="664"/>
      <c r="AL10" s="665"/>
      <c r="AM10" s="666">
        <f>[14]Progress!K2</f>
        <v>0</v>
      </c>
      <c r="AN10" s="667"/>
      <c r="AO10" s="668"/>
      <c r="AP10" s="645">
        <f t="shared" ref="AP10:AP15" si="0">AG10-AJ10</f>
        <v>0</v>
      </c>
      <c r="AQ10" s="646"/>
      <c r="AR10" s="647"/>
      <c r="AT10" s="283"/>
    </row>
    <row r="11" spans="1:46" ht="18" customHeight="1">
      <c r="A11" s="282"/>
      <c r="N11" t="s">
        <v>67</v>
      </c>
      <c r="S11" t="s">
        <v>787</v>
      </c>
      <c r="AA11" s="648" t="s">
        <v>63</v>
      </c>
      <c r="AB11" s="649"/>
      <c r="AC11" s="649"/>
      <c r="AD11" s="649"/>
      <c r="AE11" s="649"/>
      <c r="AF11" s="650"/>
      <c r="AG11" s="596">
        <v>302</v>
      </c>
      <c r="AH11" s="651"/>
      <c r="AI11" s="594"/>
      <c r="AJ11" s="652">
        <f>[14]Progress!L2</f>
        <v>302</v>
      </c>
      <c r="AK11" s="653"/>
      <c r="AL11" s="654"/>
      <c r="AM11" s="642"/>
      <c r="AN11" s="643"/>
      <c r="AO11" s="644"/>
      <c r="AP11" s="645">
        <f t="shared" si="0"/>
        <v>0</v>
      </c>
      <c r="AQ11" s="646"/>
      <c r="AR11" s="647"/>
      <c r="AT11" s="283"/>
    </row>
    <row r="12" spans="1:46" ht="15" customHeight="1">
      <c r="A12" s="282"/>
      <c r="C12" t="s">
        <v>789</v>
      </c>
      <c r="I12" s="655"/>
      <c r="J12" s="656"/>
      <c r="K12" s="296" t="s">
        <v>790</v>
      </c>
      <c r="L12" s="296" t="s">
        <v>791</v>
      </c>
      <c r="M12" s="657" t="s">
        <v>792</v>
      </c>
      <c r="N12" s="656"/>
      <c r="O12" s="294" t="s">
        <v>790</v>
      </c>
      <c r="P12" s="294" t="s">
        <v>791</v>
      </c>
      <c r="Q12" s="657"/>
      <c r="R12" s="655"/>
      <c r="AA12" s="648" t="s">
        <v>64</v>
      </c>
      <c r="AB12" s="649"/>
      <c r="AC12" s="649"/>
      <c r="AD12" s="649"/>
      <c r="AE12" s="649"/>
      <c r="AF12" s="650"/>
      <c r="AG12" s="596">
        <v>302</v>
      </c>
      <c r="AH12" s="651"/>
      <c r="AI12" s="594"/>
      <c r="AJ12" s="652">
        <f>[14]Progress!N2</f>
        <v>280</v>
      </c>
      <c r="AK12" s="653"/>
      <c r="AL12" s="654"/>
      <c r="AM12" s="642">
        <v>10</v>
      </c>
      <c r="AN12" s="643"/>
      <c r="AO12" s="644"/>
      <c r="AP12" s="645">
        <f t="shared" si="0"/>
        <v>22</v>
      </c>
      <c r="AQ12" s="646"/>
      <c r="AR12" s="647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48" t="s">
        <v>795</v>
      </c>
      <c r="AB13" s="649"/>
      <c r="AC13" s="649"/>
      <c r="AD13" s="649"/>
      <c r="AE13" s="649"/>
      <c r="AF13" s="650"/>
      <c r="AG13" s="596">
        <v>302</v>
      </c>
      <c r="AH13" s="651"/>
      <c r="AI13" s="594"/>
      <c r="AJ13" s="652">
        <f>[14]Progress!Q2</f>
        <v>171</v>
      </c>
      <c r="AK13" s="653"/>
      <c r="AL13" s="654"/>
      <c r="AM13" s="642"/>
      <c r="AN13" s="643"/>
      <c r="AO13" s="644"/>
      <c r="AP13" s="645">
        <f t="shared" si="0"/>
        <v>131</v>
      </c>
      <c r="AQ13" s="646"/>
      <c r="AR13" s="647"/>
      <c r="AT13" s="283"/>
    </row>
    <row r="14" spans="1:46" ht="15" customHeight="1">
      <c r="A14" s="282"/>
      <c r="C14" t="s">
        <v>796</v>
      </c>
      <c r="K14" s="691"/>
      <c r="L14" s="691"/>
      <c r="O14" s="651"/>
      <c r="P14" s="651"/>
      <c r="R14" s="298"/>
      <c r="S14" s="298"/>
      <c r="T14" s="298"/>
      <c r="U14" s="298"/>
      <c r="W14" t="s">
        <v>797</v>
      </c>
      <c r="AA14" s="648" t="s">
        <v>798</v>
      </c>
      <c r="AB14" s="649"/>
      <c r="AC14" s="649"/>
      <c r="AD14" s="649"/>
      <c r="AE14" s="649"/>
      <c r="AF14" s="650"/>
      <c r="AG14" s="692">
        <f>114.985</f>
        <v>114.985</v>
      </c>
      <c r="AH14" s="693"/>
      <c r="AI14" s="694"/>
      <c r="AJ14" s="695">
        <f ca="1">[14]Progress!S2</f>
        <v>69.651573999999982</v>
      </c>
      <c r="AK14" s="696"/>
      <c r="AL14" s="697"/>
      <c r="AM14" s="642">
        <v>6</v>
      </c>
      <c r="AN14" s="643"/>
      <c r="AO14" s="644"/>
      <c r="AP14" s="672">
        <f t="shared" ca="1" si="0"/>
        <v>45.333426000000017</v>
      </c>
      <c r="AQ14" s="673"/>
      <c r="AR14" s="674"/>
      <c r="AT14" s="283"/>
    </row>
    <row r="15" spans="1:46" ht="17.25" customHeight="1" thickBot="1">
      <c r="A15" s="282"/>
      <c r="K15" s="675"/>
      <c r="L15" s="675"/>
      <c r="O15" s="2"/>
      <c r="P15" s="2"/>
      <c r="AA15" s="676" t="s">
        <v>223</v>
      </c>
      <c r="AB15" s="677"/>
      <c r="AC15" s="677"/>
      <c r="AD15" s="677"/>
      <c r="AE15" s="677"/>
      <c r="AF15" s="678"/>
      <c r="AG15" s="679">
        <v>114.985</v>
      </c>
      <c r="AH15" s="680"/>
      <c r="AI15" s="681"/>
      <c r="AJ15" s="682">
        <f>[14]Progress!T2</f>
        <v>59.405470000000008</v>
      </c>
      <c r="AK15" s="683"/>
      <c r="AL15" s="684"/>
      <c r="AM15" s="685">
        <v>10</v>
      </c>
      <c r="AN15" s="686"/>
      <c r="AO15" s="687"/>
      <c r="AP15" s="688">
        <f t="shared" si="0"/>
        <v>55.579529999999991</v>
      </c>
      <c r="AQ15" s="689"/>
      <c r="AR15" s="690"/>
      <c r="AT15" s="283"/>
    </row>
    <row r="16" spans="1:46">
      <c r="A16" s="282"/>
      <c r="F16" t="s">
        <v>14</v>
      </c>
      <c r="K16" s="669" t="s">
        <v>799</v>
      </c>
      <c r="L16" s="669"/>
      <c r="M16" s="669"/>
      <c r="N16" s="669"/>
      <c r="O16" s="669"/>
      <c r="P16" s="669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594" t="s">
        <v>805</v>
      </c>
      <c r="D23" s="595"/>
      <c r="E23" s="595"/>
      <c r="F23" s="595"/>
      <c r="G23" s="595"/>
      <c r="H23" s="595"/>
      <c r="I23" s="595"/>
      <c r="J23" s="595"/>
      <c r="K23" s="595"/>
      <c r="L23" s="595"/>
      <c r="M23" s="595"/>
      <c r="N23" s="595"/>
      <c r="O23" s="595"/>
      <c r="P23" s="595"/>
      <c r="Q23" s="595"/>
      <c r="R23" s="595"/>
      <c r="S23" s="595"/>
      <c r="T23" s="595"/>
      <c r="U23" s="595"/>
      <c r="V23" s="595"/>
      <c r="W23" s="595"/>
      <c r="X23" s="595"/>
      <c r="Y23" s="595"/>
      <c r="Z23" s="596"/>
      <c r="AA23" s="594" t="s">
        <v>806</v>
      </c>
      <c r="AB23" s="595"/>
      <c r="AC23" s="595"/>
      <c r="AD23" s="595"/>
      <c r="AE23" s="595"/>
      <c r="AF23" s="595"/>
      <c r="AG23" s="595"/>
      <c r="AH23" s="595"/>
      <c r="AI23" s="595"/>
      <c r="AJ23" s="595"/>
      <c r="AK23" s="595"/>
      <c r="AL23" s="595"/>
      <c r="AM23" s="595"/>
      <c r="AN23" s="595"/>
      <c r="AO23" s="595"/>
      <c r="AP23" s="595"/>
      <c r="AQ23" s="595"/>
      <c r="AR23" s="596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55">
        <f>SUM(AV26:AW303)</f>
        <v>115133.98000000003</v>
      </c>
      <c r="AW24" s="655"/>
      <c r="AX24" s="308"/>
      <c r="AY24" s="670">
        <f>SUM(AY26:AZ303)</f>
        <v>301</v>
      </c>
      <c r="AZ24" s="670"/>
      <c r="BA24" s="309"/>
    </row>
    <row r="25" spans="1:56" s="7" customFormat="1">
      <c r="A25" s="310"/>
      <c r="B25" s="671" t="s">
        <v>418</v>
      </c>
      <c r="C25" s="671"/>
      <c r="F25" s="671" t="s">
        <v>617</v>
      </c>
      <c r="G25" s="671"/>
      <c r="J25" s="671" t="s">
        <v>607</v>
      </c>
      <c r="K25" s="671"/>
      <c r="N25" s="671" t="s">
        <v>613</v>
      </c>
      <c r="O25" s="671"/>
      <c r="R25" s="671" t="s">
        <v>567</v>
      </c>
      <c r="S25" s="671"/>
      <c r="V25" s="671" t="s">
        <v>58</v>
      </c>
      <c r="W25" s="671"/>
      <c r="Z25" s="671" t="s">
        <v>651</v>
      </c>
      <c r="AA25" s="671"/>
      <c r="AD25" s="700" t="s">
        <v>595</v>
      </c>
      <c r="AE25" s="700"/>
      <c r="AH25" s="701" t="s">
        <v>433</v>
      </c>
      <c r="AI25" s="701"/>
      <c r="AL25" s="701" t="s">
        <v>470</v>
      </c>
      <c r="AM25" s="701"/>
      <c r="AP25" s="701" t="s">
        <v>441</v>
      </c>
      <c r="AQ25" s="701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57">
        <f>VLOOKUP(B25,[14]Progress!$B$9:$D$310,3,FALSE)</f>
        <v>369</v>
      </c>
      <c r="E28" s="656"/>
      <c r="F28" s="296" t="s">
        <v>790</v>
      </c>
      <c r="G28" s="296" t="s">
        <v>791</v>
      </c>
      <c r="H28" s="657">
        <f>VLOOKUP(F25,[14]Progress!$B$9:$D$310,3,FALSE)</f>
        <v>367</v>
      </c>
      <c r="I28" s="656"/>
      <c r="J28" s="296" t="s">
        <v>790</v>
      </c>
      <c r="K28" s="296" t="s">
        <v>791</v>
      </c>
      <c r="L28" s="657">
        <f>VLOOKUP(J25,[14]Progress!$B$9:$D$310,3,FALSE)</f>
        <v>354</v>
      </c>
      <c r="M28" s="656"/>
      <c r="N28" s="296" t="s">
        <v>790</v>
      </c>
      <c r="O28" s="296" t="s">
        <v>791</v>
      </c>
      <c r="P28" s="657">
        <f>VLOOKUP(N25,[14]Progress!$B$9:$D$310,3,FALSE)</f>
        <v>381</v>
      </c>
      <c r="Q28" s="656"/>
      <c r="R28" s="296" t="s">
        <v>790</v>
      </c>
      <c r="S28" s="296" t="s">
        <v>791</v>
      </c>
      <c r="T28" s="657">
        <f>VLOOKUP(R25,[14]Progress!$B$9:$D$310,3,FALSE)</f>
        <v>450.56299999999999</v>
      </c>
      <c r="U28" s="656"/>
      <c r="V28" s="296" t="s">
        <v>790</v>
      </c>
      <c r="W28" s="296" t="s">
        <v>791</v>
      </c>
      <c r="X28" s="698">
        <f>VLOOKUP(V25,[14]Progress!$B$9:$D$310,3,FALSE)</f>
        <v>245.982</v>
      </c>
      <c r="Y28" s="699"/>
      <c r="Z28" s="296" t="s">
        <v>790</v>
      </c>
      <c r="AA28" s="296" t="s">
        <v>791</v>
      </c>
      <c r="AB28" s="657">
        <f>VLOOKUP(Z25,[14]Progress!$B$9:$D$310,3,FALSE)</f>
        <v>420</v>
      </c>
      <c r="AC28" s="656"/>
      <c r="AD28" s="296" t="s">
        <v>790</v>
      </c>
      <c r="AE28" s="296" t="s">
        <v>791</v>
      </c>
      <c r="AF28" s="657">
        <f>VLOOKUP(AD25,[14]Progress!$B$9:$D$310,3,FALSE)</f>
        <v>412</v>
      </c>
      <c r="AG28" s="656"/>
      <c r="AH28" s="296" t="s">
        <v>790</v>
      </c>
      <c r="AI28" s="296" t="s">
        <v>791</v>
      </c>
      <c r="AJ28" s="657">
        <f>VLOOKUP(AH25,[14]Progress!$B$9:$D$310,3,FALSE)</f>
        <v>413</v>
      </c>
      <c r="AK28" s="656"/>
      <c r="AL28" s="296" t="s">
        <v>790</v>
      </c>
      <c r="AM28" s="296" t="s">
        <v>791</v>
      </c>
      <c r="AN28" s="657">
        <f>VLOOKUP(AL25,[14]Progress!$B$9:$D$310,3,FALSE)</f>
        <v>415</v>
      </c>
      <c r="AO28" s="656"/>
      <c r="AP28" s="296" t="s">
        <v>790</v>
      </c>
      <c r="AQ28" s="296" t="s">
        <v>791</v>
      </c>
      <c r="AR28" s="657">
        <f>VLOOKUP(AP25,[14]Progress!$B$9:$D$310,3,FALSE)</f>
        <v>414</v>
      </c>
      <c r="AS28" s="655"/>
      <c r="AT28" s="283"/>
      <c r="AV28" s="655">
        <f>D28+H28+L28+P28+T28+X28+AB28+AF28+AJ28+AN28+AR28</f>
        <v>4241.5450000000001</v>
      </c>
      <c r="AW28" s="655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55"/>
      <c r="AW29" s="655"/>
    </row>
    <row r="30" spans="1:56" ht="10.5" customHeight="1">
      <c r="A30" s="282"/>
      <c r="B30" s="691"/>
      <c r="C30" s="691"/>
      <c r="F30" s="691"/>
      <c r="G30" s="691"/>
      <c r="J30" s="691"/>
      <c r="K30" s="691"/>
      <c r="N30" s="691"/>
      <c r="O30" s="691"/>
      <c r="R30" s="691"/>
      <c r="S30" s="691"/>
      <c r="V30" s="691"/>
      <c r="W30" s="691"/>
      <c r="Z30" s="691"/>
      <c r="AA30" s="691"/>
      <c r="AD30" s="691"/>
      <c r="AE30" s="691"/>
      <c r="AH30" s="691"/>
      <c r="AI30" s="691"/>
      <c r="AL30" s="691"/>
      <c r="AM30" s="691"/>
      <c r="AP30" s="691"/>
      <c r="AQ30" s="691"/>
      <c r="AT30" s="283"/>
      <c r="AV30" s="655"/>
      <c r="AW30" s="655"/>
    </row>
    <row r="31" spans="1:56">
      <c r="A31" s="282"/>
      <c r="B31" s="675" t="str">
        <f>VLOOKUP(+B25,'[14]Twr Schedule'!$B$9:$C$611,2,FALSE)</f>
        <v>TPT+0</v>
      </c>
      <c r="C31" s="675"/>
      <c r="F31" s="675" t="str">
        <f>VLOOKUP(+F25,'[14]Twr Schedule'!$B$9:$C$611,2,FALSE)</f>
        <v>DA-3</v>
      </c>
      <c r="G31" s="675"/>
      <c r="J31" s="675" t="str">
        <f>VLOOKUP(+J25,'[14]Twr Schedule'!$B$9:$C$611,2,FALSE)</f>
        <v>DA-3</v>
      </c>
      <c r="K31" s="675"/>
      <c r="N31" s="675" t="str">
        <f>VLOOKUP(+N25,'[14]Twr Schedule'!$B$9:$C$611,2,FALSE)</f>
        <v>DA-3</v>
      </c>
      <c r="O31" s="675"/>
      <c r="R31" s="675" t="str">
        <f>VLOOKUP(+R25,'[14]Twr Schedule'!$B$9:$C$611,2,FALSE)</f>
        <v>DA+9</v>
      </c>
      <c r="S31" s="675"/>
      <c r="V31" s="675" t="str">
        <f>VLOOKUP(+V25,'[14]Twr Schedule'!$B$9:$C$611,2,FALSE)</f>
        <v>DC1+3</v>
      </c>
      <c r="W31" s="675"/>
      <c r="Z31" s="675" t="str">
        <f>VLOOKUP(+Z25,'[14]Twr Schedule'!$B$9:$C$611,2,FALSE)</f>
        <v>DD45+3</v>
      </c>
      <c r="AA31" s="675"/>
      <c r="AD31" s="675" t="str">
        <f>VLOOKUP(+AD25,'[14]Twr Schedule'!$B$9:$C$611,2,FALSE)</f>
        <v>DA+3</v>
      </c>
      <c r="AE31" s="675"/>
      <c r="AH31" s="675" t="str">
        <f>VLOOKUP(+AH25,'[14]Twr Schedule'!$B$9:$C$611,2,FALSE)</f>
        <v>DA+0</v>
      </c>
      <c r="AI31" s="675"/>
      <c r="AL31" s="675" t="str">
        <f>VLOOKUP(+AL25,'[14]Twr Schedule'!$B$9:$C$611,2,FALSE)</f>
        <v>DA+3</v>
      </c>
      <c r="AM31" s="675"/>
      <c r="AP31" s="675" t="str">
        <f>VLOOKUP(+AP25,'[14]Twr Schedule'!$B$9:$C$611,2,FALSE)</f>
        <v>DA+0</v>
      </c>
      <c r="AQ31" s="675"/>
      <c r="AT31" s="283"/>
      <c r="AV31" s="655"/>
      <c r="AW31" s="655"/>
    </row>
    <row r="32" spans="1:56">
      <c r="A32" s="282"/>
      <c r="V32" s="306"/>
      <c r="X32" t="s">
        <v>807</v>
      </c>
      <c r="AH32" s="306"/>
      <c r="AT32" s="283"/>
      <c r="AV32" s="655"/>
      <c r="AW32" s="655"/>
    </row>
    <row r="33" spans="1:51">
      <c r="A33" s="282"/>
      <c r="B33" s="594" t="s">
        <v>806</v>
      </c>
      <c r="C33" s="595"/>
      <c r="D33" s="595"/>
      <c r="E33" s="595"/>
      <c r="F33" s="595"/>
      <c r="G33" s="595"/>
      <c r="H33" s="595"/>
      <c r="I33" s="595"/>
      <c r="J33" s="595"/>
      <c r="K33" s="595"/>
      <c r="L33" s="595"/>
      <c r="M33" s="595"/>
      <c r="N33" s="595"/>
      <c r="O33" s="595"/>
      <c r="P33" s="595"/>
      <c r="Q33" s="595"/>
      <c r="R33" s="595"/>
      <c r="S33" s="595"/>
      <c r="T33" s="595"/>
      <c r="U33" s="595"/>
      <c r="V33" s="596"/>
      <c r="W33" s="702" t="s">
        <v>808</v>
      </c>
      <c r="X33" s="703"/>
      <c r="Y33" s="703"/>
      <c r="Z33" s="703"/>
      <c r="AA33" s="703"/>
      <c r="AB33" s="703"/>
      <c r="AC33" s="703"/>
      <c r="AD33" s="703"/>
      <c r="AE33" s="703"/>
      <c r="AF33" s="703"/>
      <c r="AG33" s="703"/>
      <c r="AH33" s="703"/>
      <c r="AI33" s="703"/>
      <c r="AJ33" s="703"/>
      <c r="AK33" s="703"/>
      <c r="AL33" s="703"/>
      <c r="AM33" s="703"/>
      <c r="AN33" s="703"/>
      <c r="AO33" s="703"/>
      <c r="AP33" s="703"/>
      <c r="AQ33" s="703"/>
      <c r="AR33" s="704"/>
      <c r="AT33" s="283"/>
      <c r="AV33" s="655"/>
      <c r="AW33" s="655"/>
    </row>
    <row r="34" spans="1:51">
      <c r="A34" s="282"/>
      <c r="AT34" s="283"/>
      <c r="AV34" s="655"/>
      <c r="AW34" s="655"/>
    </row>
    <row r="35" spans="1:51" s="7" customFormat="1">
      <c r="A35" s="310"/>
      <c r="B35" s="701" t="s">
        <v>456</v>
      </c>
      <c r="C35" s="671"/>
      <c r="F35" s="701" t="s">
        <v>466</v>
      </c>
      <c r="G35" s="671"/>
      <c r="J35" s="701" t="s">
        <v>461</v>
      </c>
      <c r="K35" s="671"/>
      <c r="N35" s="701" t="s">
        <v>440</v>
      </c>
      <c r="O35" s="671"/>
      <c r="R35" s="671" t="s">
        <v>626</v>
      </c>
      <c r="S35" s="671"/>
      <c r="V35" s="701" t="s">
        <v>558</v>
      </c>
      <c r="W35" s="671"/>
      <c r="Z35" s="701" t="s">
        <v>547</v>
      </c>
      <c r="AA35" s="671"/>
      <c r="AD35" s="701" t="s">
        <v>471</v>
      </c>
      <c r="AE35" s="671"/>
      <c r="AH35" s="701" t="s">
        <v>464</v>
      </c>
      <c r="AI35" s="671"/>
      <c r="AL35" s="701" t="s">
        <v>468</v>
      </c>
      <c r="AM35" s="671"/>
      <c r="AP35" s="701" t="s">
        <v>483</v>
      </c>
      <c r="AQ35" s="671"/>
      <c r="AT35" s="311"/>
      <c r="AV35" s="655"/>
      <c r="AW35" s="655"/>
    </row>
    <row r="36" spans="1:51">
      <c r="A36" s="282"/>
      <c r="AT36" s="283"/>
      <c r="AV36" s="655"/>
      <c r="AW36" s="655"/>
    </row>
    <row r="37" spans="1:51">
      <c r="A37" s="282"/>
      <c r="AT37" s="283"/>
      <c r="AV37" s="655"/>
      <c r="AW37" s="655"/>
    </row>
    <row r="38" spans="1:51">
      <c r="A38" s="282"/>
      <c r="B38" s="296" t="s">
        <v>790</v>
      </c>
      <c r="C38" s="296" t="s">
        <v>791</v>
      </c>
      <c r="D38" s="657">
        <f>VLOOKUP(B35,[14]Progress!$B$9:$D$310,3,FALSE)</f>
        <v>410</v>
      </c>
      <c r="E38" s="656"/>
      <c r="F38" s="296" t="s">
        <v>790</v>
      </c>
      <c r="G38" s="296" t="s">
        <v>791</v>
      </c>
      <c r="H38" s="657">
        <f>VLOOKUP(F35,[14]Progress!$B$9:$D$310,3,FALSE)</f>
        <v>378</v>
      </c>
      <c r="I38" s="656"/>
      <c r="J38" s="296" t="s">
        <v>790</v>
      </c>
      <c r="K38" s="296" t="s">
        <v>791</v>
      </c>
      <c r="L38" s="657">
        <f>VLOOKUP(J35,[14]Progress!$B$9:$D$310,3,FALSE)</f>
        <v>420</v>
      </c>
      <c r="M38" s="656"/>
      <c r="N38" s="296" t="s">
        <v>790</v>
      </c>
      <c r="O38" s="296" t="s">
        <v>791</v>
      </c>
      <c r="P38" s="657">
        <f>VLOOKUP(N35,[14]Progress!$B$9:$D$310,3,FALSE)</f>
        <v>401.69499999999999</v>
      </c>
      <c r="Q38" s="656"/>
      <c r="R38" s="296" t="s">
        <v>790</v>
      </c>
      <c r="S38" s="296" t="s">
        <v>791</v>
      </c>
      <c r="T38" s="698">
        <f>VLOOKUP(R35,[14]Progress!$B$9:$D$310,3,FALSE)</f>
        <v>279.99700000000001</v>
      </c>
      <c r="U38" s="699"/>
      <c r="V38" s="296" t="s">
        <v>790</v>
      </c>
      <c r="W38" s="296" t="s">
        <v>791</v>
      </c>
      <c r="X38" s="657">
        <f>VLOOKUP(V35,[14]Progress!$B$9:$D$310,3,FALSE)</f>
        <v>383.06400000000002</v>
      </c>
      <c r="Y38" s="656"/>
      <c r="Z38" s="296" t="s">
        <v>790</v>
      </c>
      <c r="AA38" s="296" t="s">
        <v>791</v>
      </c>
      <c r="AB38" s="657">
        <f>VLOOKUP(Z35,[14]Progress!$B$9:$D$310,3,FALSE)</f>
        <v>400.00400000000002</v>
      </c>
      <c r="AC38" s="656"/>
      <c r="AD38" s="296" t="s">
        <v>790</v>
      </c>
      <c r="AE38" s="296" t="s">
        <v>791</v>
      </c>
      <c r="AF38" s="657">
        <f>VLOOKUP(AD35,[14]Progress!$B$9:$D$310,3,FALSE)</f>
        <v>397.00200000000001</v>
      </c>
      <c r="AG38" s="656"/>
      <c r="AH38" s="296" t="s">
        <v>790</v>
      </c>
      <c r="AI38" s="296" t="s">
        <v>791</v>
      </c>
      <c r="AJ38" s="657">
        <f>VLOOKUP(AH35,[14]Progress!$B$9:$D$310,3,FALSE)</f>
        <v>414</v>
      </c>
      <c r="AK38" s="656"/>
      <c r="AL38" s="296" t="s">
        <v>790</v>
      </c>
      <c r="AM38" s="296" t="s">
        <v>791</v>
      </c>
      <c r="AN38" s="657">
        <f>VLOOKUP(AL35,[14]Progress!$B$9:$D$310,3,FALSE)</f>
        <v>415</v>
      </c>
      <c r="AO38" s="656"/>
      <c r="AP38" s="296" t="s">
        <v>790</v>
      </c>
      <c r="AQ38" s="296" t="s">
        <v>791</v>
      </c>
      <c r="AR38" s="657">
        <f>VLOOKUP(AP35,[14]Progress!$B$9:$D$310,3,FALSE)</f>
        <v>411</v>
      </c>
      <c r="AS38" s="655"/>
      <c r="AT38" s="283"/>
      <c r="AV38" s="655">
        <f>D38+H38+L38+P38+T38+X38+AB38+AF38+AJ38+AN38+AR38</f>
        <v>4309.7619999999997</v>
      </c>
      <c r="AW38" s="655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55"/>
      <c r="AW39" s="655"/>
    </row>
    <row r="40" spans="1:51" ht="10.5" customHeight="1">
      <c r="A40" s="282"/>
      <c r="B40" s="691"/>
      <c r="C40" s="691"/>
      <c r="F40" s="691"/>
      <c r="G40" s="691"/>
      <c r="J40" s="691"/>
      <c r="K40" s="691"/>
      <c r="N40" s="691"/>
      <c r="O40" s="691"/>
      <c r="R40" s="691"/>
      <c r="S40" s="691"/>
      <c r="V40" s="691"/>
      <c r="W40" s="691"/>
      <c r="Z40" s="691"/>
      <c r="AA40" s="691"/>
      <c r="AD40" s="691"/>
      <c r="AE40" s="691"/>
      <c r="AH40" s="691"/>
      <c r="AI40" s="691"/>
      <c r="AL40" s="691"/>
      <c r="AM40" s="691"/>
      <c r="AP40" s="691"/>
      <c r="AQ40" s="691"/>
      <c r="AT40" s="283"/>
      <c r="AV40" s="655"/>
      <c r="AW40" s="655"/>
    </row>
    <row r="41" spans="1:51">
      <c r="A41" s="282"/>
      <c r="B41" s="675" t="str">
        <f>VLOOKUP(+B35,'[14]Twr Schedule'!$B$9:$C$611,2,FALSE)</f>
        <v>DA+3</v>
      </c>
      <c r="C41" s="675"/>
      <c r="F41" s="675" t="str">
        <f>VLOOKUP(+F35,'[14]Twr Schedule'!$B$9:$C$611,2,FALSE)</f>
        <v>DA+0</v>
      </c>
      <c r="G41" s="675"/>
      <c r="J41" s="675" t="str">
        <f>VLOOKUP(+J35,'[14]Twr Schedule'!$B$9:$C$611,2,FALSE)</f>
        <v>DA+3</v>
      </c>
      <c r="K41" s="675"/>
      <c r="N41" s="675" t="str">
        <f>VLOOKUP(+N35,'[14]Twr Schedule'!$B$9:$C$611,2,FALSE)</f>
        <v>DA+0</v>
      </c>
      <c r="O41" s="675"/>
      <c r="R41" s="675" t="str">
        <f>VLOOKUP(+R35,'[14]Twr Schedule'!$B$9:$C$611,2,FALSE)</f>
        <v>DC2+0</v>
      </c>
      <c r="S41" s="675"/>
      <c r="V41" s="675" t="str">
        <f>VLOOKUP(+V35,'[14]Twr Schedule'!$B$9:$C$611,2,FALSE)</f>
        <v>DD45+0</v>
      </c>
      <c r="W41" s="675"/>
      <c r="Z41" s="675" t="str">
        <f>VLOOKUP(+Z35,'[14]Twr Schedule'!$B$9:$C$611,2,FALSE)</f>
        <v>DA+3</v>
      </c>
      <c r="AA41" s="675"/>
      <c r="AD41" s="675" t="str">
        <f>VLOOKUP(+AD35,'[14]Twr Schedule'!$B$9:$C$611,2,FALSE)</f>
        <v>DA-3</v>
      </c>
      <c r="AE41" s="675"/>
      <c r="AH41" s="675" t="str">
        <f>VLOOKUP(+AH35,'[14]Twr Schedule'!$B$9:$C$611,2,FALSE)</f>
        <v>DA+3</v>
      </c>
      <c r="AI41" s="675"/>
      <c r="AL41" s="675" t="str">
        <f>VLOOKUP(+AL35,'[14]Twr Schedule'!$B$9:$C$611,2,FALSE)</f>
        <v>DA+0</v>
      </c>
      <c r="AM41" s="675"/>
      <c r="AP41" s="675" t="str">
        <f>VLOOKUP(+AP35,'[14]Twr Schedule'!$B$9:$C$611,2,FALSE)</f>
        <v>DA+3</v>
      </c>
      <c r="AQ41" s="675"/>
      <c r="AT41" s="283"/>
      <c r="AV41" s="655"/>
      <c r="AW41" s="655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55"/>
      <c r="AW42" s="655"/>
    </row>
    <row r="43" spans="1:51">
      <c r="A43" s="282"/>
      <c r="S43" t="s">
        <v>811</v>
      </c>
      <c r="AT43" s="283"/>
      <c r="AV43" s="655"/>
      <c r="AW43" s="655"/>
    </row>
    <row r="44" spans="1:51">
      <c r="A44" s="702" t="s">
        <v>808</v>
      </c>
      <c r="B44" s="703"/>
      <c r="C44" s="703"/>
      <c r="D44" s="703"/>
      <c r="E44" s="703"/>
      <c r="F44" s="703"/>
      <c r="G44" s="703"/>
      <c r="H44" s="703"/>
      <c r="I44" s="703"/>
      <c r="J44" s="703"/>
      <c r="K44" s="703"/>
      <c r="L44" s="703"/>
      <c r="M44" s="703"/>
      <c r="N44" s="703"/>
      <c r="O44" s="703"/>
      <c r="P44" s="703"/>
      <c r="Q44" s="703"/>
      <c r="R44" s="703"/>
      <c r="S44" s="703"/>
      <c r="T44" s="703"/>
      <c r="U44" s="703"/>
      <c r="V44" s="704"/>
      <c r="W44" s="702" t="s">
        <v>812</v>
      </c>
      <c r="X44" s="703"/>
      <c r="Y44" s="703"/>
      <c r="Z44" s="703"/>
      <c r="AA44" s="703"/>
      <c r="AB44" s="703"/>
      <c r="AC44" s="703"/>
      <c r="AD44" s="703"/>
      <c r="AE44" s="703"/>
      <c r="AF44" s="703"/>
      <c r="AG44" s="703"/>
      <c r="AH44" s="703"/>
      <c r="AI44" s="703"/>
      <c r="AJ44" s="703"/>
      <c r="AK44" s="703"/>
      <c r="AL44" s="703"/>
      <c r="AM44" s="703"/>
      <c r="AN44" s="703"/>
      <c r="AO44" s="703"/>
      <c r="AP44" s="703"/>
      <c r="AQ44" s="703"/>
      <c r="AR44" s="704"/>
      <c r="AT44" s="283"/>
      <c r="AV44" s="655"/>
      <c r="AW44" s="655"/>
    </row>
    <row r="45" spans="1:51" s="7" customFormat="1">
      <c r="A45" s="310"/>
      <c r="B45" s="671" t="s">
        <v>544</v>
      </c>
      <c r="C45" s="671"/>
      <c r="F45" s="671" t="s">
        <v>478</v>
      </c>
      <c r="G45" s="671"/>
      <c r="J45" s="671" t="s">
        <v>474</v>
      </c>
      <c r="K45" s="671"/>
      <c r="N45" s="671" t="s">
        <v>585</v>
      </c>
      <c r="O45" s="671"/>
      <c r="R45" s="671" t="s">
        <v>526</v>
      </c>
      <c r="S45" s="671"/>
      <c r="V45" s="671" t="s">
        <v>531</v>
      </c>
      <c r="W45" s="671"/>
      <c r="Z45" s="671" t="s">
        <v>535</v>
      </c>
      <c r="AA45" s="671"/>
      <c r="AD45" s="671" t="s">
        <v>539</v>
      </c>
      <c r="AE45" s="671"/>
      <c r="AH45" s="671" t="s">
        <v>533</v>
      </c>
      <c r="AI45" s="671"/>
      <c r="AL45" s="671" t="s">
        <v>458</v>
      </c>
      <c r="AM45" s="671"/>
      <c r="AP45" s="671" t="s">
        <v>527</v>
      </c>
      <c r="AQ45" s="671"/>
      <c r="AT45" s="311"/>
      <c r="AV45" s="655"/>
      <c r="AW45" s="655"/>
    </row>
    <row r="46" spans="1:51">
      <c r="A46" s="282"/>
      <c r="AT46" s="283"/>
      <c r="AV46" s="655"/>
      <c r="AW46" s="655"/>
    </row>
    <row r="47" spans="1:51">
      <c r="A47" s="282"/>
      <c r="AT47" s="283"/>
      <c r="AV47" s="655"/>
      <c r="AW47" s="655"/>
    </row>
    <row r="48" spans="1:51">
      <c r="A48" s="282"/>
      <c r="B48" s="296" t="s">
        <v>790</v>
      </c>
      <c r="C48" s="296" t="s">
        <v>791</v>
      </c>
      <c r="D48" s="657">
        <f>VLOOKUP(B45,[14]Progress!$B$9:$D$310,3,FALSE)</f>
        <v>416</v>
      </c>
      <c r="E48" s="656"/>
      <c r="F48" s="296" t="s">
        <v>790</v>
      </c>
      <c r="G48" s="296" t="s">
        <v>791</v>
      </c>
      <c r="H48" s="705">
        <f>VLOOKUP(F45,[14]Progress!$B$9:$D$310,3,FALSE)</f>
        <v>409.23099999999999</v>
      </c>
      <c r="I48" s="706"/>
      <c r="J48" s="314" t="s">
        <v>790</v>
      </c>
      <c r="K48" s="314" t="s">
        <v>791</v>
      </c>
      <c r="L48" s="705">
        <f>VLOOKUP(J45,[14]Progress!$B$9:$D$310,3,FALSE)</f>
        <v>378.00099999999998</v>
      </c>
      <c r="M48" s="706"/>
      <c r="N48" s="314" t="s">
        <v>790</v>
      </c>
      <c r="O48" s="314" t="s">
        <v>791</v>
      </c>
      <c r="P48" s="705">
        <f>VLOOKUP(N45,[14]Progress!$B$9:$D$310,3,FALSE)</f>
        <v>391</v>
      </c>
      <c r="Q48" s="706"/>
      <c r="R48" s="314" t="s">
        <v>790</v>
      </c>
      <c r="S48" s="314" t="s">
        <v>791</v>
      </c>
      <c r="T48" s="705">
        <f>VLOOKUP(R45,[14]Progress!$B$9:$D$310,3,FALSE)</f>
        <v>401.44299999999998</v>
      </c>
      <c r="U48" s="706"/>
      <c r="V48" s="314" t="s">
        <v>790</v>
      </c>
      <c r="W48" s="314" t="s">
        <v>791</v>
      </c>
      <c r="X48" s="705">
        <f>VLOOKUP(V45,[14]Progress!$B$9:$D$310,3,FALSE)</f>
        <v>321</v>
      </c>
      <c r="Y48" s="706"/>
      <c r="Z48" s="314" t="s">
        <v>790</v>
      </c>
      <c r="AA48" s="314" t="s">
        <v>791</v>
      </c>
      <c r="AB48" s="705">
        <f>VLOOKUP(Z45,[14]Progress!$B$9:$D$310,3,FALSE)</f>
        <v>402.56900000000002</v>
      </c>
      <c r="AC48" s="706"/>
      <c r="AD48" s="314" t="s">
        <v>790</v>
      </c>
      <c r="AE48" s="314" t="s">
        <v>791</v>
      </c>
      <c r="AF48" s="705">
        <f>VLOOKUP(AD45,[14]Progress!$B$9:$D$310,3,FALSE)</f>
        <v>408</v>
      </c>
      <c r="AG48" s="706"/>
      <c r="AH48" s="314" t="s">
        <v>790</v>
      </c>
      <c r="AI48" s="314" t="s">
        <v>791</v>
      </c>
      <c r="AJ48" s="705">
        <f>VLOOKUP(AH45,[14]Progress!$B$9:$D$310,3,FALSE)</f>
        <v>419</v>
      </c>
      <c r="AK48" s="706"/>
      <c r="AL48" s="314" t="s">
        <v>790</v>
      </c>
      <c r="AM48" s="314" t="s">
        <v>791</v>
      </c>
      <c r="AN48" s="705">
        <f>VLOOKUP(AL45,[14]Progress!$B$9:$D$310,3,FALSE)</f>
        <v>407.27499999999998</v>
      </c>
      <c r="AO48" s="706"/>
      <c r="AP48" s="296" t="s">
        <v>790</v>
      </c>
      <c r="AQ48" s="296" t="s">
        <v>791</v>
      </c>
      <c r="AR48" s="657">
        <f>VLOOKUP(AP45,[14]Progress!$B$9:$D$310,3,FALSE)</f>
        <v>414</v>
      </c>
      <c r="AS48" s="655"/>
      <c r="AT48" s="283"/>
      <c r="AV48" s="655">
        <f>D48+H48+L48+P48+T48+X48+AB48+AF48+AJ48+AN48+AR48</f>
        <v>4367.5190000000002</v>
      </c>
      <c r="AW48" s="655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55"/>
      <c r="AW49" s="655"/>
    </row>
    <row r="50" spans="1:51" ht="10.5" customHeight="1">
      <c r="A50" s="282"/>
      <c r="B50" s="691"/>
      <c r="C50" s="691"/>
      <c r="F50" s="691"/>
      <c r="G50" s="691"/>
      <c r="J50" s="691"/>
      <c r="K50" s="691"/>
      <c r="N50" s="691"/>
      <c r="O50" s="691"/>
      <c r="R50" s="691"/>
      <c r="S50" s="691"/>
      <c r="V50" s="691"/>
      <c r="W50" s="691"/>
      <c r="Z50" s="691"/>
      <c r="AA50" s="691"/>
      <c r="AD50" s="691"/>
      <c r="AE50" s="691"/>
      <c r="AH50" s="691"/>
      <c r="AI50" s="691"/>
      <c r="AL50" s="691"/>
      <c r="AM50" s="691"/>
      <c r="AP50" s="691"/>
      <c r="AQ50" s="691"/>
      <c r="AT50" s="283"/>
      <c r="AV50" s="655"/>
      <c r="AW50" s="655"/>
    </row>
    <row r="51" spans="1:51">
      <c r="A51" s="282"/>
      <c r="B51" s="675" t="str">
        <f>VLOOKUP(+B45,'[14]Twr Schedule'!$B$9:$C$611,2,FALSE)</f>
        <v>DA+0</v>
      </c>
      <c r="C51" s="675"/>
      <c r="F51" s="675" t="str">
        <f>VLOOKUP(+F45,'[14]Twr Schedule'!$B$9:$C$611,2,FALSE)</f>
        <v>DA+3</v>
      </c>
      <c r="G51" s="675"/>
      <c r="J51" s="675" t="str">
        <f>VLOOKUP(+J45,'[14]Twr Schedule'!$B$9:$C$611,2,FALSE)</f>
        <v>DA+0</v>
      </c>
      <c r="K51" s="675"/>
      <c r="N51" s="675" t="str">
        <f>VLOOKUP(+N45,'[14]Twr Schedule'!$B$9:$C$611,2,FALSE)</f>
        <v>DA-3</v>
      </c>
      <c r="O51" s="675"/>
      <c r="R51" s="675" t="str">
        <f>VLOOKUP(+R45,'[14]Twr Schedule'!$B$9:$C$611,2,FALSE)</f>
        <v>DA+3</v>
      </c>
      <c r="S51" s="675"/>
      <c r="V51" s="675" t="str">
        <f>VLOOKUP(+V45,'[14]Twr Schedule'!$B$9:$C$611,2,FALSE)</f>
        <v>DB1+0</v>
      </c>
      <c r="W51" s="675"/>
      <c r="Z51" s="675" t="str">
        <f>VLOOKUP(+Z45,'[14]Twr Schedule'!$B$9:$C$611,2,FALSE)</f>
        <v>DA+3</v>
      </c>
      <c r="AA51" s="675"/>
      <c r="AD51" s="675" t="str">
        <f>VLOOKUP(+AD45,'[14]Twr Schedule'!$B$9:$C$611,2,FALSE)</f>
        <v>DB1+0</v>
      </c>
      <c r="AE51" s="675"/>
      <c r="AH51" s="675" t="str">
        <f>VLOOKUP(+AH45,'[14]Twr Schedule'!$B$9:$C$611,2,FALSE)</f>
        <v>DA+3</v>
      </c>
      <c r="AI51" s="675"/>
      <c r="AL51" s="675" t="str">
        <f>VLOOKUP(+AL45,'[14]Twr Schedule'!$B$9:$C$611,2,FALSE)</f>
        <v>DA+3</v>
      </c>
      <c r="AM51" s="675"/>
      <c r="AP51" s="675" t="str">
        <f>VLOOKUP(+AP45,'[14]Twr Schedule'!$B$9:$C$611,2,FALSE)</f>
        <v>DB2+0</v>
      </c>
      <c r="AQ51" s="675"/>
      <c r="AT51" s="283"/>
      <c r="AV51" s="655"/>
      <c r="AW51" s="655"/>
    </row>
    <row r="52" spans="1:51">
      <c r="A52" s="282"/>
      <c r="AT52" s="283"/>
      <c r="AV52" s="655"/>
      <c r="AW52" s="655"/>
    </row>
    <row r="53" spans="1:51">
      <c r="A53" s="282"/>
      <c r="B53" s="702" t="s">
        <v>812</v>
      </c>
      <c r="C53" s="703"/>
      <c r="D53" s="703"/>
      <c r="E53" s="703"/>
      <c r="F53" s="703"/>
      <c r="G53" s="703"/>
      <c r="H53" s="703"/>
      <c r="I53" s="703"/>
      <c r="J53" s="703"/>
      <c r="K53" s="703"/>
      <c r="L53" s="703"/>
      <c r="M53" s="703"/>
      <c r="N53" s="703"/>
      <c r="O53" s="703"/>
      <c r="P53" s="703"/>
      <c r="Q53" s="703"/>
      <c r="R53" s="703"/>
      <c r="S53" s="703"/>
      <c r="T53" s="703"/>
      <c r="U53" s="703"/>
      <c r="V53" s="704"/>
      <c r="W53" s="702" t="s">
        <v>813</v>
      </c>
      <c r="X53" s="703"/>
      <c r="Y53" s="703"/>
      <c r="Z53" s="703"/>
      <c r="AA53" s="703"/>
      <c r="AB53" s="703"/>
      <c r="AC53" s="703"/>
      <c r="AD53" s="703"/>
      <c r="AE53" s="703"/>
      <c r="AF53" s="703"/>
      <c r="AG53" s="703"/>
      <c r="AH53" s="703"/>
      <c r="AI53" s="703"/>
      <c r="AJ53" s="703"/>
      <c r="AK53" s="703"/>
      <c r="AL53" s="703"/>
      <c r="AM53" s="703"/>
      <c r="AN53" s="703"/>
      <c r="AO53" s="703"/>
      <c r="AP53" s="703"/>
      <c r="AQ53" s="703"/>
      <c r="AR53" s="704"/>
      <c r="AT53" s="283"/>
      <c r="AV53" s="655"/>
      <c r="AW53" s="655"/>
    </row>
    <row r="54" spans="1:51">
      <c r="A54" s="282"/>
      <c r="AT54" s="283"/>
      <c r="AV54" s="655"/>
      <c r="AW54" s="655"/>
    </row>
    <row r="55" spans="1:51">
      <c r="A55" s="282"/>
      <c r="B55" s="655" t="s">
        <v>522</v>
      </c>
      <c r="C55" s="655"/>
      <c r="F55" s="655" t="s">
        <v>484</v>
      </c>
      <c r="G55" s="655"/>
      <c r="J55" s="655" t="s">
        <v>538</v>
      </c>
      <c r="K55" s="655"/>
      <c r="N55" s="655" t="s">
        <v>516</v>
      </c>
      <c r="O55" s="655"/>
      <c r="R55" s="655" t="s">
        <v>510</v>
      </c>
      <c r="S55" s="655"/>
      <c r="V55" s="655" t="s">
        <v>502</v>
      </c>
      <c r="W55" s="655"/>
      <c r="Z55" s="655" t="s">
        <v>495</v>
      </c>
      <c r="AA55" s="655"/>
      <c r="AD55" s="655" t="s">
        <v>489</v>
      </c>
      <c r="AE55" s="655"/>
      <c r="AH55" s="655" t="s">
        <v>479</v>
      </c>
      <c r="AI55" s="655"/>
      <c r="AL55" s="655" t="s">
        <v>476</v>
      </c>
      <c r="AM55" s="655"/>
      <c r="AP55" s="655" t="s">
        <v>528</v>
      </c>
      <c r="AQ55" s="655"/>
      <c r="AT55" s="283"/>
      <c r="AV55" s="655"/>
      <c r="AW55" s="655"/>
    </row>
    <row r="56" spans="1:51">
      <c r="A56" s="282"/>
      <c r="AT56" s="283"/>
      <c r="AV56" s="655"/>
      <c r="AW56" s="655"/>
    </row>
    <row r="57" spans="1:51">
      <c r="A57" s="282"/>
      <c r="AT57" s="283"/>
      <c r="AV57" s="655"/>
      <c r="AW57" s="655"/>
    </row>
    <row r="58" spans="1:51">
      <c r="A58" s="282"/>
      <c r="B58" s="296" t="s">
        <v>790</v>
      </c>
      <c r="C58" s="296" t="s">
        <v>791</v>
      </c>
      <c r="D58" s="657">
        <f>VLOOKUP(B55,[14]Progress!$B$9:$D$310,3,FALSE)</f>
        <v>419</v>
      </c>
      <c r="E58" s="656"/>
      <c r="F58" s="296" t="s">
        <v>790</v>
      </c>
      <c r="G58" s="296" t="s">
        <v>791</v>
      </c>
      <c r="H58" s="705">
        <f>VLOOKUP(F55,[14]Progress!$B$9:$D$310,3,FALSE)</f>
        <v>361.09699999999998</v>
      </c>
      <c r="I58" s="706"/>
      <c r="J58" s="314" t="s">
        <v>790</v>
      </c>
      <c r="K58" s="314" t="s">
        <v>791</v>
      </c>
      <c r="L58" s="705">
        <f>VLOOKUP(J55,[14]Progress!$B$9:$D$310,3,FALSE)</f>
        <v>361</v>
      </c>
      <c r="M58" s="706"/>
      <c r="N58" s="314" t="s">
        <v>790</v>
      </c>
      <c r="O58" s="314" t="s">
        <v>791</v>
      </c>
      <c r="P58" s="705">
        <f>VLOOKUP(N55,[14]Progress!$B$9:$D$310,3,FALSE)</f>
        <v>404</v>
      </c>
      <c r="Q58" s="706"/>
      <c r="R58" s="314" t="s">
        <v>790</v>
      </c>
      <c r="S58" s="314" t="s">
        <v>791</v>
      </c>
      <c r="T58" s="705">
        <f>VLOOKUP(R55,[14]Progress!$B$9:$D$310,3,FALSE)</f>
        <v>424</v>
      </c>
      <c r="U58" s="706"/>
      <c r="V58" s="314" t="s">
        <v>790</v>
      </c>
      <c r="W58" s="314" t="s">
        <v>791</v>
      </c>
      <c r="X58" s="705">
        <f>VLOOKUP(V55,[14]Progress!$B$9:$D$310,3,FALSE)</f>
        <v>406</v>
      </c>
      <c r="Y58" s="706"/>
      <c r="Z58" s="314" t="s">
        <v>790</v>
      </c>
      <c r="AA58" s="314" t="s">
        <v>791</v>
      </c>
      <c r="AB58" s="705">
        <f>VLOOKUP(Z55,[14]Progress!$B$9:$D$310,3,FALSE)</f>
        <v>410</v>
      </c>
      <c r="AC58" s="706"/>
      <c r="AD58" s="314" t="s">
        <v>790</v>
      </c>
      <c r="AE58" s="314" t="s">
        <v>791</v>
      </c>
      <c r="AF58" s="705">
        <f>VLOOKUP(AD55,[14]Progress!$B$9:$D$310,3,FALSE)</f>
        <v>423</v>
      </c>
      <c r="AG58" s="706"/>
      <c r="AH58" s="314" t="s">
        <v>790</v>
      </c>
      <c r="AI58" s="314" t="s">
        <v>791</v>
      </c>
      <c r="AJ58" s="705">
        <f>VLOOKUP(AH55,[14]Progress!$B$9:$D$310,3,FALSE)</f>
        <v>409</v>
      </c>
      <c r="AK58" s="706"/>
      <c r="AL58" s="314" t="s">
        <v>790</v>
      </c>
      <c r="AM58" s="314" t="s">
        <v>791</v>
      </c>
      <c r="AN58" s="705">
        <f>VLOOKUP(AL55,[14]Progress!$B$9:$D$310,3,FALSE)</f>
        <v>425</v>
      </c>
      <c r="AO58" s="706"/>
      <c r="AP58" s="314" t="s">
        <v>790</v>
      </c>
      <c r="AQ58" s="314" t="s">
        <v>791</v>
      </c>
      <c r="AR58" s="705">
        <f>VLOOKUP(AP55,[14]Progress!$B$9:$D$310,3,FALSE)</f>
        <v>362.65</v>
      </c>
      <c r="AS58" s="707"/>
      <c r="AT58" s="283"/>
      <c r="AV58" s="655">
        <f>D58+H58+L58+P58+T58+X58+AB58+AF58+AJ58+AN58+AR58</f>
        <v>4404.7469999999994</v>
      </c>
      <c r="AW58" s="655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55"/>
      <c r="AW59" s="655"/>
    </row>
    <row r="60" spans="1:51" ht="10.5" customHeight="1">
      <c r="A60" s="282"/>
      <c r="B60" s="691"/>
      <c r="C60" s="691"/>
      <c r="F60" s="691"/>
      <c r="G60" s="691"/>
      <c r="J60" s="691"/>
      <c r="K60" s="691"/>
      <c r="N60" s="691"/>
      <c r="O60" s="691"/>
      <c r="R60" s="691"/>
      <c r="S60" s="691"/>
      <c r="V60" s="691"/>
      <c r="W60" s="691"/>
      <c r="Z60" s="691"/>
      <c r="AA60" s="691"/>
      <c r="AD60" s="691"/>
      <c r="AE60" s="691"/>
      <c r="AH60" s="691"/>
      <c r="AI60" s="691"/>
      <c r="AL60" s="691"/>
      <c r="AM60" s="691"/>
      <c r="AP60" s="691"/>
      <c r="AQ60" s="691"/>
      <c r="AT60" s="283"/>
      <c r="AV60" s="655"/>
      <c r="AW60" s="655"/>
    </row>
    <row r="61" spans="1:51">
      <c r="A61" s="282"/>
      <c r="B61" s="675" t="str">
        <f>VLOOKUP(+B55,'[14]Twr Schedule'!$B$9:$C$611,2,FALSE)</f>
        <v>DA+0</v>
      </c>
      <c r="C61" s="675"/>
      <c r="F61" s="675" t="str">
        <f>VLOOKUP(+F55,'[14]Twr Schedule'!$B$9:$C$611,2,FALSE)</f>
        <v>DA+3</v>
      </c>
      <c r="G61" s="675"/>
      <c r="J61" s="675" t="str">
        <f>VLOOKUP(+J55,'[14]Twr Schedule'!$B$9:$C$611,2,FALSE)</f>
        <v>DA-3</v>
      </c>
      <c r="K61" s="675"/>
      <c r="N61" s="675" t="str">
        <f>VLOOKUP(+N55,'[14]Twr Schedule'!$B$9:$C$611,2,FALSE)</f>
        <v>DA+0</v>
      </c>
      <c r="O61" s="675"/>
      <c r="R61" s="675" t="str">
        <f>VLOOKUP(+R55,'[14]Twr Schedule'!$B$9:$C$611,2,FALSE)</f>
        <v>DA+3</v>
      </c>
      <c r="S61" s="675"/>
      <c r="V61" s="675" t="str">
        <f>VLOOKUP(+V55,'[14]Twr Schedule'!$B$9:$C$611,2,FALSE)</f>
        <v>DA+0</v>
      </c>
      <c r="W61" s="675"/>
      <c r="Z61" s="675" t="str">
        <f>VLOOKUP(+Z55,'[14]Twr Schedule'!$B$9:$C$611,2,FALSE)</f>
        <v>DA+0</v>
      </c>
      <c r="AA61" s="675"/>
      <c r="AD61" s="675" t="str">
        <f>VLOOKUP(+AD55,'[14]Twr Schedule'!$B$9:$C$611,2,FALSE)</f>
        <v>DA+3</v>
      </c>
      <c r="AE61" s="675"/>
      <c r="AH61" s="675" t="str">
        <f>VLOOKUP(+AH55,'[14]Twr Schedule'!$B$9:$C$611,2,FALSE)</f>
        <v>DA+0</v>
      </c>
      <c r="AI61" s="675"/>
      <c r="AL61" s="675" t="str">
        <f>VLOOKUP(+AL55,'[14]Twr Schedule'!$B$9:$C$611,2,FALSE)</f>
        <v>DA+3</v>
      </c>
      <c r="AM61" s="675"/>
      <c r="AP61" s="675" t="str">
        <f>VLOOKUP(+AP55,'[14]Twr Schedule'!$B$9:$C$611,2,FALSE)</f>
        <v>DA+0</v>
      </c>
      <c r="AQ61" s="675"/>
      <c r="AT61" s="283"/>
      <c r="AV61" s="655"/>
      <c r="AW61" s="655"/>
    </row>
    <row r="62" spans="1:51">
      <c r="A62" s="282"/>
      <c r="AT62" s="283"/>
      <c r="AV62" s="655"/>
      <c r="AW62" s="655"/>
    </row>
    <row r="63" spans="1:51">
      <c r="A63" s="282"/>
      <c r="B63" s="702" t="s">
        <v>813</v>
      </c>
      <c r="C63" s="703"/>
      <c r="D63" s="703"/>
      <c r="E63" s="703"/>
      <c r="F63" s="703"/>
      <c r="G63" s="703"/>
      <c r="H63" s="703"/>
      <c r="I63" s="703"/>
      <c r="J63" s="703"/>
      <c r="K63" s="703"/>
      <c r="L63" s="703"/>
      <c r="M63" s="703"/>
      <c r="N63" s="703"/>
      <c r="O63" s="703"/>
      <c r="P63" s="703"/>
      <c r="Q63" s="703"/>
      <c r="R63" s="703"/>
      <c r="S63" s="703"/>
      <c r="T63" s="703"/>
      <c r="U63" s="703"/>
      <c r="V63" s="703"/>
      <c r="W63" s="703"/>
      <c r="X63" s="703"/>
      <c r="Y63" s="703"/>
      <c r="Z63" s="704"/>
      <c r="AA63" s="594" t="s">
        <v>814</v>
      </c>
      <c r="AB63" s="595"/>
      <c r="AC63" s="595"/>
      <c r="AD63" s="595"/>
      <c r="AE63" s="595"/>
      <c r="AF63" s="595"/>
      <c r="AG63" s="595"/>
      <c r="AH63" s="595"/>
      <c r="AI63" s="595"/>
      <c r="AJ63" s="595"/>
      <c r="AK63" s="595"/>
      <c r="AL63" s="595"/>
      <c r="AM63" s="595"/>
      <c r="AN63" s="595"/>
      <c r="AO63" s="595"/>
      <c r="AP63" s="595"/>
      <c r="AQ63" s="595"/>
      <c r="AR63" s="596"/>
      <c r="AT63" s="283"/>
      <c r="AV63" s="655"/>
      <c r="AW63" s="655"/>
    </row>
    <row r="64" spans="1:51">
      <c r="A64" s="282"/>
      <c r="AT64" s="283"/>
      <c r="AV64" s="655"/>
      <c r="AW64" s="655"/>
    </row>
    <row r="65" spans="1:51">
      <c r="A65" s="282"/>
      <c r="B65" s="655" t="str">
        <f>'[14]Twr Schedule'!B97</f>
        <v>8/0</v>
      </c>
      <c r="C65" s="655"/>
      <c r="F65" s="655" t="str">
        <f>'[14]Twr Schedule'!B99</f>
        <v>8/1</v>
      </c>
      <c r="G65" s="655"/>
      <c r="J65" s="655" t="str">
        <f>'[14]Twr Schedule'!B101</f>
        <v>8/2</v>
      </c>
      <c r="K65" s="655"/>
      <c r="N65" s="655" t="str">
        <f>'[14]Twr Schedule'!B103</f>
        <v>8/3</v>
      </c>
      <c r="O65" s="655"/>
      <c r="R65" s="655" t="str">
        <f>'[14]Twr Schedule'!B105</f>
        <v>8/4</v>
      </c>
      <c r="S65" s="655"/>
      <c r="V65" s="655" t="str">
        <f>'[14]Twr Schedule'!B107</f>
        <v>8A/0</v>
      </c>
      <c r="W65" s="655"/>
      <c r="Z65" s="655" t="str">
        <f>'[14]Twr Schedule'!B109</f>
        <v>8B/0</v>
      </c>
      <c r="AA65" s="655"/>
      <c r="AD65" s="655" t="str">
        <f>'[14]Twr Schedule'!B111</f>
        <v>8B/1</v>
      </c>
      <c r="AE65" s="655"/>
      <c r="AH65" s="655" t="str">
        <f>'[14]Twr Schedule'!B113</f>
        <v>8B/2</v>
      </c>
      <c r="AI65" s="655"/>
      <c r="AL65" s="655" t="str">
        <f>'[14]Twr Schedule'!B115</f>
        <v>8B/3</v>
      </c>
      <c r="AM65" s="655"/>
      <c r="AP65" s="655" t="str">
        <f>'[14]Twr Schedule'!B117</f>
        <v>8B/4</v>
      </c>
      <c r="AQ65" s="655"/>
      <c r="AT65" s="283"/>
      <c r="AV65" s="655"/>
      <c r="AW65" s="655"/>
    </row>
    <row r="66" spans="1:51">
      <c r="A66" s="282"/>
      <c r="AT66" s="283"/>
      <c r="AV66" s="655"/>
      <c r="AW66" s="655"/>
    </row>
    <row r="67" spans="1:51">
      <c r="A67" s="282"/>
      <c r="AT67" s="283"/>
      <c r="AV67" s="655"/>
      <c r="AW67" s="655"/>
    </row>
    <row r="68" spans="1:51">
      <c r="A68" s="282"/>
      <c r="B68" s="296" t="s">
        <v>790</v>
      </c>
      <c r="C68" s="296" t="s">
        <v>791</v>
      </c>
      <c r="D68" s="657">
        <f>VLOOKUP(B65,[14]Progress!$B$9:$D$310,3,FALSE)</f>
        <v>416</v>
      </c>
      <c r="E68" s="656"/>
      <c r="F68" s="296" t="s">
        <v>790</v>
      </c>
      <c r="G68" s="296" t="s">
        <v>791</v>
      </c>
      <c r="H68" s="657">
        <f>VLOOKUP(F65,[14]Progress!$B$9:$D$310,3,FALSE)</f>
        <v>400</v>
      </c>
      <c r="I68" s="656"/>
      <c r="J68" s="296" t="s">
        <v>790</v>
      </c>
      <c r="K68" s="296" t="s">
        <v>791</v>
      </c>
      <c r="L68" s="657">
        <f>VLOOKUP(J65,[14]Progress!$B$9:$D$310,3,FALSE)</f>
        <v>367</v>
      </c>
      <c r="M68" s="656"/>
      <c r="N68" s="296" t="s">
        <v>790</v>
      </c>
      <c r="O68" s="296" t="s">
        <v>791</v>
      </c>
      <c r="P68" s="657">
        <f>VLOOKUP(N65,[14]Progress!$B$9:$D$310,3,FALSE)</f>
        <v>420</v>
      </c>
      <c r="Q68" s="656"/>
      <c r="R68" s="296" t="s">
        <v>790</v>
      </c>
      <c r="S68" s="296" t="s">
        <v>791</v>
      </c>
      <c r="T68" s="705">
        <f>VLOOKUP(R65,[14]Progress!$B$9:$D$310,3,FALSE)</f>
        <v>413.71600000000001</v>
      </c>
      <c r="U68" s="706"/>
      <c r="V68" s="314" t="s">
        <v>790</v>
      </c>
      <c r="W68" s="314" t="s">
        <v>791</v>
      </c>
      <c r="X68" s="708">
        <f>VLOOKUP(V65,[14]Progress!$B$9:$D$310,3,FALSE)</f>
        <v>223.61</v>
      </c>
      <c r="Y68" s="709"/>
      <c r="Z68" s="314" t="s">
        <v>790</v>
      </c>
      <c r="AA68" s="314" t="s">
        <v>791</v>
      </c>
      <c r="AB68" s="705">
        <f>VLOOKUP(Z65,[14]Progress!$B$9:$D$310,3,FALSE)</f>
        <v>341</v>
      </c>
      <c r="AC68" s="706"/>
      <c r="AD68" s="314" t="s">
        <v>790</v>
      </c>
      <c r="AE68" s="314" t="s">
        <v>791</v>
      </c>
      <c r="AF68" s="705">
        <f>VLOOKUP(AD65,[14]Progress!$B$9:$D$310,3,FALSE)</f>
        <v>332</v>
      </c>
      <c r="AG68" s="706"/>
      <c r="AH68" s="314" t="s">
        <v>790</v>
      </c>
      <c r="AI68" s="314" t="s">
        <v>791</v>
      </c>
      <c r="AJ68" s="705">
        <f>VLOOKUP(AH65,[14]Progress!$B$9:$D$310,3,FALSE)</f>
        <v>292.52600000000001</v>
      </c>
      <c r="AK68" s="706"/>
      <c r="AL68" s="314" t="s">
        <v>790</v>
      </c>
      <c r="AM68" s="314" t="s">
        <v>791</v>
      </c>
      <c r="AN68" s="705">
        <f>VLOOKUP(AL65,[14]Progress!$B$9:$D$310,3,FALSE)</f>
        <v>426.18599999999998</v>
      </c>
      <c r="AO68" s="706"/>
      <c r="AP68" s="296" t="s">
        <v>790</v>
      </c>
      <c r="AQ68" s="296" t="s">
        <v>791</v>
      </c>
      <c r="AR68" s="657">
        <f>VLOOKUP(AP65,[14]Progress!$B$9:$D$310,3,FALSE)</f>
        <v>373</v>
      </c>
      <c r="AS68" s="655"/>
      <c r="AT68" s="283"/>
      <c r="AV68" s="655">
        <f>D68+H68+L68+P68+T68+X68+AB68+AF68+AJ68+AN68+AR68</f>
        <v>4005.038</v>
      </c>
      <c r="AW68" s="655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55"/>
      <c r="AW69" s="655"/>
    </row>
    <row r="70" spans="1:51" ht="10.5" customHeight="1">
      <c r="A70" s="282"/>
      <c r="B70" s="691"/>
      <c r="C70" s="691"/>
      <c r="F70" s="691"/>
      <c r="G70" s="691"/>
      <c r="J70" s="691"/>
      <c r="K70" s="691"/>
      <c r="N70" s="691"/>
      <c r="O70" s="691"/>
      <c r="R70" s="691"/>
      <c r="S70" s="691"/>
      <c r="V70" s="691"/>
      <c r="W70" s="691"/>
      <c r="Z70" s="691"/>
      <c r="AA70" s="691"/>
      <c r="AD70" s="710"/>
      <c r="AE70" s="710"/>
      <c r="AH70" s="691"/>
      <c r="AI70" s="691"/>
      <c r="AL70" s="691"/>
      <c r="AM70" s="691"/>
      <c r="AP70" s="691"/>
      <c r="AQ70" s="691"/>
      <c r="AT70" s="283"/>
      <c r="AV70" s="655"/>
      <c r="AW70" s="655"/>
    </row>
    <row r="71" spans="1:51">
      <c r="A71" s="282"/>
      <c r="B71" s="675" t="str">
        <f>VLOOKUP(+B65,'[14]Twr Schedule'!$B$9:$C$611,2,FALSE)</f>
        <v>DB2+0</v>
      </c>
      <c r="C71" s="675"/>
      <c r="F71" s="675" t="str">
        <f>VLOOKUP(+F65,'[14]Twr Schedule'!$B$9:$C$611,2,FALSE)</f>
        <v>DA+3</v>
      </c>
      <c r="G71" s="675"/>
      <c r="J71" s="675" t="str">
        <f>VLOOKUP(+J65,'[14]Twr Schedule'!$B$9:$C$611,2,FALSE)</f>
        <v>DA+0</v>
      </c>
      <c r="K71" s="675"/>
      <c r="N71" s="675" t="str">
        <f>VLOOKUP(+N65,'[14]Twr Schedule'!$B$9:$C$611,2,FALSE)</f>
        <v>DA-3</v>
      </c>
      <c r="O71" s="675"/>
      <c r="R71" s="675" t="str">
        <f>VLOOKUP(+R65,'[14]Twr Schedule'!$B$9:$C$611,2,FALSE)</f>
        <v>DA+9</v>
      </c>
      <c r="S71" s="675"/>
      <c r="V71" s="675" t="str">
        <f>VLOOKUP(+V65,'[14]Twr Schedule'!$B$9:$C$611,2,FALSE)</f>
        <v>DD60+0</v>
      </c>
      <c r="W71" s="675"/>
      <c r="Z71" s="675" t="str">
        <f>VLOOKUP(+Z65,'[14]Twr Schedule'!$B$9:$C$611,2,FALSE)</f>
        <v>DD60+0</v>
      </c>
      <c r="AA71" s="675"/>
      <c r="AD71" s="675" t="str">
        <f>VLOOKUP(+AD65,'[14]Twr Schedule'!$B$9:$C$611,2,FALSE)</f>
        <v>DA-3</v>
      </c>
      <c r="AE71" s="675"/>
      <c r="AH71" s="675" t="str">
        <f>VLOOKUP(+AH65,'[14]Twr Schedule'!$B$9:$C$611,2,FALSE)</f>
        <v>DA-3</v>
      </c>
      <c r="AI71" s="675"/>
      <c r="AL71" s="675" t="str">
        <f>VLOOKUP(+AL65,'[14]Twr Schedule'!$B$9:$C$611,2,FALSE)</f>
        <v>DA+3</v>
      </c>
      <c r="AM71" s="675"/>
      <c r="AP71" s="675" t="str">
        <f>VLOOKUP(+AP65,'[14]Twr Schedule'!$B$9:$C$611,2,FALSE)</f>
        <v>DA+6</v>
      </c>
      <c r="AQ71" s="675"/>
      <c r="AT71" s="283"/>
      <c r="AV71" s="655"/>
      <c r="AW71" s="655"/>
    </row>
    <row r="72" spans="1:51">
      <c r="A72" s="282"/>
      <c r="W72" t="s">
        <v>815</v>
      </c>
      <c r="AT72" s="283"/>
      <c r="AV72" s="655"/>
      <c r="AW72" s="655"/>
    </row>
    <row r="73" spans="1:51">
      <c r="A73" s="594" t="s">
        <v>814</v>
      </c>
      <c r="B73" s="595"/>
      <c r="C73" s="595"/>
      <c r="D73" s="595"/>
      <c r="E73" s="595"/>
      <c r="F73" s="595"/>
      <c r="G73" s="595"/>
      <c r="H73" s="595"/>
      <c r="I73" s="595"/>
      <c r="J73" s="595"/>
      <c r="K73" s="595"/>
      <c r="L73" s="595"/>
      <c r="M73" s="595"/>
      <c r="N73" s="595"/>
      <c r="O73" s="595"/>
      <c r="P73" s="595"/>
      <c r="Q73" s="595"/>
      <c r="R73" s="595"/>
      <c r="S73" s="595"/>
      <c r="T73" s="595"/>
      <c r="U73" s="595"/>
      <c r="V73" s="596"/>
      <c r="W73" s="711" t="s">
        <v>816</v>
      </c>
      <c r="X73" s="640"/>
      <c r="Y73" s="640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  <c r="AK73" s="640"/>
      <c r="AL73" s="640"/>
      <c r="AM73" s="640"/>
      <c r="AN73" s="640"/>
      <c r="AO73" s="640"/>
      <c r="AP73" s="640"/>
      <c r="AQ73" s="640"/>
      <c r="AR73" s="641"/>
      <c r="AT73" s="283"/>
      <c r="AV73" s="655"/>
      <c r="AW73" s="655"/>
    </row>
    <row r="74" spans="1:51">
      <c r="A74" s="282"/>
      <c r="AT74" s="283"/>
      <c r="AV74" s="655"/>
      <c r="AW74" s="655"/>
    </row>
    <row r="75" spans="1:51">
      <c r="A75" s="282"/>
      <c r="B75" s="655" t="s">
        <v>543</v>
      </c>
      <c r="C75" s="655"/>
      <c r="F75" s="655" t="s">
        <v>549</v>
      </c>
      <c r="G75" s="655"/>
      <c r="J75" s="655" t="s">
        <v>571</v>
      </c>
      <c r="K75" s="655"/>
      <c r="N75" s="655" t="s">
        <v>557</v>
      </c>
      <c r="O75" s="655"/>
      <c r="R75" s="655" t="s">
        <v>650</v>
      </c>
      <c r="S75" s="655"/>
      <c r="V75" s="655" t="s">
        <v>645</v>
      </c>
      <c r="W75" s="655"/>
      <c r="Z75" s="655" t="s">
        <v>584</v>
      </c>
      <c r="AA75" s="655"/>
      <c r="AD75" s="655" t="s">
        <v>488</v>
      </c>
      <c r="AE75" s="655"/>
      <c r="AH75" s="655" t="s">
        <v>494</v>
      </c>
      <c r="AI75" s="655"/>
      <c r="AL75" s="655" t="s">
        <v>499</v>
      </c>
      <c r="AM75" s="655"/>
      <c r="AP75" s="655" t="s">
        <v>503</v>
      </c>
      <c r="AQ75" s="655"/>
      <c r="AT75" s="283"/>
      <c r="AV75" s="655"/>
      <c r="AW75" s="655"/>
    </row>
    <row r="76" spans="1:51">
      <c r="A76" s="282"/>
      <c r="AT76" s="283"/>
      <c r="AV76" s="655"/>
      <c r="AW76" s="655"/>
    </row>
    <row r="77" spans="1:51">
      <c r="A77" s="282"/>
      <c r="AT77" s="283"/>
      <c r="AV77" s="655"/>
      <c r="AW77" s="655"/>
    </row>
    <row r="78" spans="1:51">
      <c r="A78" s="282"/>
      <c r="B78" s="296" t="s">
        <v>790</v>
      </c>
      <c r="C78" s="296" t="s">
        <v>791</v>
      </c>
      <c r="D78" s="705">
        <f>VLOOKUP(B75,[14]Progress!$B$9:$D$310,3,FALSE)</f>
        <v>461.51</v>
      </c>
      <c r="E78" s="706"/>
      <c r="F78" s="314" t="s">
        <v>790</v>
      </c>
      <c r="G78" s="314" t="s">
        <v>791</v>
      </c>
      <c r="H78" s="708">
        <f>VLOOKUP(F75,[14]Progress!$B$9:$D$310,3,FALSE)</f>
        <v>283.43099999999998</v>
      </c>
      <c r="I78" s="709"/>
      <c r="J78" s="314" t="s">
        <v>790</v>
      </c>
      <c r="K78" s="314" t="s">
        <v>791</v>
      </c>
      <c r="L78" s="705">
        <f>VLOOKUP(J75,[14]Progress!$B$9:$D$310,3,FALSE)</f>
        <v>426</v>
      </c>
      <c r="M78" s="706"/>
      <c r="N78" s="314" t="s">
        <v>790</v>
      </c>
      <c r="O78" s="314" t="s">
        <v>791</v>
      </c>
      <c r="P78" s="705">
        <f>VLOOKUP(N75,[14]Progress!$B$9:$D$310,3,FALSE)</f>
        <v>396.09199999999998</v>
      </c>
      <c r="Q78" s="706"/>
      <c r="R78" s="314" t="s">
        <v>790</v>
      </c>
      <c r="S78" s="314" t="s">
        <v>791</v>
      </c>
      <c r="T78" s="708">
        <f>VLOOKUP(R75,[14]Progress!$B$9:$D$310,3,FALSE)</f>
        <v>312.87900000000002</v>
      </c>
      <c r="U78" s="709"/>
      <c r="V78" s="314" t="s">
        <v>790</v>
      </c>
      <c r="W78" s="314" t="s">
        <v>791</v>
      </c>
      <c r="X78" s="705">
        <f>VLOOKUP(V75,[14]Progress!$B$9:$D$310,3,FALSE)</f>
        <v>418.99900000000002</v>
      </c>
      <c r="Y78" s="706"/>
      <c r="Z78" s="314" t="s">
        <v>790</v>
      </c>
      <c r="AA78" s="314" t="s">
        <v>791</v>
      </c>
      <c r="AB78" s="705">
        <f>VLOOKUP(Z75,[14]Progress!$B$9:$D$310,3,FALSE)</f>
        <v>370.19900000000001</v>
      </c>
      <c r="AC78" s="706"/>
      <c r="AD78" s="314" t="s">
        <v>790</v>
      </c>
      <c r="AE78" s="314" t="s">
        <v>791</v>
      </c>
      <c r="AF78" s="705">
        <f>VLOOKUP(AD75,[14]Progress!$B$9:$D$310,3,FALSE)</f>
        <v>424.99599999999998</v>
      </c>
      <c r="AG78" s="706"/>
      <c r="AH78" s="314" t="s">
        <v>790</v>
      </c>
      <c r="AI78" s="314" t="s">
        <v>791</v>
      </c>
      <c r="AJ78" s="705">
        <f>VLOOKUP(AH75,[14]Progress!$B$9:$D$310,3,FALSE)</f>
        <v>404</v>
      </c>
      <c r="AK78" s="706"/>
      <c r="AL78" s="314" t="s">
        <v>790</v>
      </c>
      <c r="AM78" s="314" t="s">
        <v>791</v>
      </c>
      <c r="AN78" s="705">
        <f>VLOOKUP(AL75,[14]Progress!$B$9:$D$310,3,FALSE)</f>
        <v>428</v>
      </c>
      <c r="AO78" s="706"/>
      <c r="AP78" s="314" t="s">
        <v>790</v>
      </c>
      <c r="AQ78" s="314" t="s">
        <v>791</v>
      </c>
      <c r="AR78" s="705">
        <f>VLOOKUP(AP75,[14]Progress!$B$9:$D$310,3,FALSE)</f>
        <v>395</v>
      </c>
      <c r="AS78" s="707"/>
      <c r="AT78" s="283"/>
      <c r="AV78" s="655">
        <f>D78+H78+L78+P78+T78+X78+AB78+AF78+AJ78+AN78+AR78</f>
        <v>4321.1059999999998</v>
      </c>
      <c r="AW78" s="655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55"/>
      <c r="AW79" s="655"/>
    </row>
    <row r="80" spans="1:51" ht="10.5" customHeight="1">
      <c r="A80" s="282"/>
      <c r="B80" s="691"/>
      <c r="C80" s="691"/>
      <c r="F80" s="691"/>
      <c r="G80" s="691"/>
      <c r="J80" s="691"/>
      <c r="K80" s="691"/>
      <c r="N80" s="691"/>
      <c r="O80" s="691"/>
      <c r="R80" s="691"/>
      <c r="S80" s="691"/>
      <c r="V80" s="712"/>
      <c r="W80" s="713"/>
      <c r="Z80" s="691"/>
      <c r="AA80" s="691"/>
      <c r="AD80" s="691"/>
      <c r="AE80" s="691"/>
      <c r="AH80" s="691"/>
      <c r="AI80" s="691"/>
      <c r="AL80" s="691"/>
      <c r="AM80" s="691"/>
      <c r="AP80" s="691"/>
      <c r="AQ80" s="691"/>
      <c r="AT80" s="283"/>
      <c r="AV80" s="655"/>
      <c r="AW80" s="655"/>
    </row>
    <row r="81" spans="1:51">
      <c r="A81" s="282"/>
      <c r="B81" s="675" t="str">
        <f>VLOOKUP(+B75,'[14]Twr Schedule'!$B$9:$C$611,2,FALSE)</f>
        <v>DA+6</v>
      </c>
      <c r="C81" s="675"/>
      <c r="F81" s="675" t="str">
        <f>VLOOKUP(+F75,'[14]Twr Schedule'!$B$9:$C$611,2,FALSE)</f>
        <v>DB2+6</v>
      </c>
      <c r="G81" s="675"/>
      <c r="J81" s="675" t="str">
        <f>VLOOKUP(+J75,'[14]Twr Schedule'!$B$9:$C$611,2,FALSE)</f>
        <v>DB1+9</v>
      </c>
      <c r="K81" s="675"/>
      <c r="N81" s="675" t="str">
        <f>VLOOKUP(+N75,'[14]Twr Schedule'!$B$9:$C$611,2,FALSE)</f>
        <v>DA-3</v>
      </c>
      <c r="O81" s="675"/>
      <c r="R81" s="675" t="str">
        <f>VLOOKUP(+R75,'[14]Twr Schedule'!$B$9:$C$611,2,FALSE)</f>
        <v>DB1+18</v>
      </c>
      <c r="S81" s="675"/>
      <c r="V81" s="675" t="str">
        <f>VLOOKUP(+V75,'[14]Twr Schedule'!$B$9:$C$611,2,FALSE)</f>
        <v>DB2+18</v>
      </c>
      <c r="W81" s="675"/>
      <c r="Z81" s="675" t="str">
        <f>VLOOKUP(+Z75,'[14]Twr Schedule'!$B$9:$C$611,2,FALSE)</f>
        <v>DA-3</v>
      </c>
      <c r="AA81" s="675"/>
      <c r="AD81" s="675" t="str">
        <f>VLOOKUP(+AD75,'[14]Twr Schedule'!$B$9:$C$611,2,FALSE)</f>
        <v>DA+3</v>
      </c>
      <c r="AE81" s="675"/>
      <c r="AH81" s="675" t="str">
        <f>VLOOKUP(+AH75,'[14]Twr Schedule'!$B$9:$C$611,2,FALSE)</f>
        <v>DA+3</v>
      </c>
      <c r="AI81" s="675"/>
      <c r="AL81" s="675" t="str">
        <f>VLOOKUP(+AL75,'[14]Twr Schedule'!$B$9:$C$611,2,FALSE)</f>
        <v>DA+3</v>
      </c>
      <c r="AM81" s="675"/>
      <c r="AP81" s="675" t="str">
        <f>VLOOKUP(+AP75,'[14]Twr Schedule'!$B$9:$C$611,2,FALSE)</f>
        <v>DA+3</v>
      </c>
      <c r="AQ81" s="675"/>
      <c r="AT81" s="283"/>
      <c r="AV81" s="655"/>
      <c r="AW81" s="655"/>
    </row>
    <row r="82" spans="1:51">
      <c r="A82" s="282"/>
      <c r="G82" t="s">
        <v>817</v>
      </c>
      <c r="S82" t="s">
        <v>818</v>
      </c>
      <c r="AT82" s="283"/>
      <c r="AV82" s="655"/>
      <c r="AW82" s="655"/>
    </row>
    <row r="83" spans="1:51">
      <c r="A83" s="282"/>
      <c r="S83" t="s">
        <v>819</v>
      </c>
      <c r="AT83" s="283"/>
      <c r="AV83" s="655"/>
      <c r="AW83" s="655"/>
    </row>
    <row r="84" spans="1:51">
      <c r="A84" s="711" t="s">
        <v>816</v>
      </c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1"/>
      <c r="W84" s="594" t="s">
        <v>820</v>
      </c>
      <c r="X84" s="595"/>
      <c r="Y84" s="595"/>
      <c r="Z84" s="595"/>
      <c r="AA84" s="595"/>
      <c r="AB84" s="595"/>
      <c r="AC84" s="595"/>
      <c r="AD84" s="595"/>
      <c r="AE84" s="595"/>
      <c r="AF84" s="595"/>
      <c r="AG84" s="595"/>
      <c r="AH84" s="595"/>
      <c r="AI84" s="595"/>
      <c r="AJ84" s="595"/>
      <c r="AK84" s="595"/>
      <c r="AL84" s="595"/>
      <c r="AM84" s="595"/>
      <c r="AN84" s="595"/>
      <c r="AO84" s="595"/>
      <c r="AP84" s="595"/>
      <c r="AQ84" s="595"/>
      <c r="AR84" s="596"/>
      <c r="AT84" s="283"/>
      <c r="AV84" s="655"/>
      <c r="AW84" s="655"/>
    </row>
    <row r="85" spans="1:51">
      <c r="A85" s="282"/>
      <c r="B85" s="655" t="s">
        <v>598</v>
      </c>
      <c r="C85" s="655"/>
      <c r="F85" s="655" t="s">
        <v>630</v>
      </c>
      <c r="G85" s="655"/>
      <c r="J85" s="655" t="s">
        <v>609</v>
      </c>
      <c r="K85" s="655"/>
      <c r="N85" s="655" t="s">
        <v>509</v>
      </c>
      <c r="O85" s="655"/>
      <c r="R85" s="655" t="s">
        <v>640</v>
      </c>
      <c r="S85" s="655"/>
      <c r="V85" s="655" t="s">
        <v>633</v>
      </c>
      <c r="W85" s="655"/>
      <c r="Z85" s="655" t="s">
        <v>475</v>
      </c>
      <c r="AA85" s="655"/>
      <c r="AD85" s="655" t="s">
        <v>472</v>
      </c>
      <c r="AE85" s="655"/>
      <c r="AH85" s="655" t="s">
        <v>467</v>
      </c>
      <c r="AI85" s="655"/>
      <c r="AL85" s="655" t="s">
        <v>455</v>
      </c>
      <c r="AM85" s="655"/>
      <c r="AP85" s="655" t="s">
        <v>454</v>
      </c>
      <c r="AQ85" s="655"/>
      <c r="AT85" s="283"/>
      <c r="AV85" s="655"/>
      <c r="AW85" s="655"/>
    </row>
    <row r="86" spans="1:51">
      <c r="A86" s="282"/>
      <c r="AT86" s="283"/>
      <c r="AV86" s="655"/>
      <c r="AW86" s="655"/>
    </row>
    <row r="87" spans="1:51">
      <c r="A87" s="282"/>
      <c r="AT87" s="283"/>
      <c r="AV87" s="655"/>
      <c r="AW87" s="655"/>
    </row>
    <row r="88" spans="1:51">
      <c r="A88" s="282"/>
      <c r="B88" s="296" t="s">
        <v>790</v>
      </c>
      <c r="C88" s="296" t="s">
        <v>791</v>
      </c>
      <c r="D88" s="657">
        <f>VLOOKUP(B85,[14]Progress!$B$9:$D$310,3,FALSE)</f>
        <v>318</v>
      </c>
      <c r="E88" s="656"/>
      <c r="F88" s="296" t="s">
        <v>790</v>
      </c>
      <c r="G88" s="296" t="s">
        <v>791</v>
      </c>
      <c r="H88" s="657">
        <f>VLOOKUP(F85,[14]Progress!$B$9:$D$310,3,FALSE)</f>
        <v>357</v>
      </c>
      <c r="I88" s="656"/>
      <c r="J88" s="296" t="s">
        <v>790</v>
      </c>
      <c r="K88" s="296" t="s">
        <v>791</v>
      </c>
      <c r="L88" s="657">
        <f>VLOOKUP(J85,[14]Progress!$B$9:$D$310,3,FALSE)</f>
        <v>385</v>
      </c>
      <c r="M88" s="656"/>
      <c r="N88" s="296" t="s">
        <v>790</v>
      </c>
      <c r="O88" s="296" t="s">
        <v>791</v>
      </c>
      <c r="P88" s="705">
        <f>VLOOKUP(N85,[14]Progress!$B$9:$D$310,3,FALSE)</f>
        <v>418.77600000000001</v>
      </c>
      <c r="Q88" s="706"/>
      <c r="R88" s="314" t="s">
        <v>790</v>
      </c>
      <c r="S88" s="314" t="s">
        <v>791</v>
      </c>
      <c r="T88" s="708">
        <f>VLOOKUP(R85,[14]Progress!$B$9:$D$310,3,FALSE)</f>
        <v>319.13299999999998</v>
      </c>
      <c r="U88" s="709"/>
      <c r="V88" s="314" t="s">
        <v>790</v>
      </c>
      <c r="W88" s="314" t="s">
        <v>791</v>
      </c>
      <c r="X88" s="705">
        <f>VLOOKUP(V85,[14]Progress!$B$9:$D$310,3,FALSE)</f>
        <v>436</v>
      </c>
      <c r="Y88" s="706"/>
      <c r="Z88" s="314" t="s">
        <v>790</v>
      </c>
      <c r="AA88" s="314" t="s">
        <v>791</v>
      </c>
      <c r="AB88" s="705">
        <f>VLOOKUP(Z85,[14]Progress!$B$9:$D$310,3,FALSE)</f>
        <v>395</v>
      </c>
      <c r="AC88" s="706"/>
      <c r="AD88" s="314" t="s">
        <v>790</v>
      </c>
      <c r="AE88" s="314" t="s">
        <v>791</v>
      </c>
      <c r="AF88" s="705">
        <f>VLOOKUP(AD85,[14]Progress!$B$9:$D$310,3,FALSE)</f>
        <v>306</v>
      </c>
      <c r="AG88" s="706"/>
      <c r="AH88" s="296" t="s">
        <v>790</v>
      </c>
      <c r="AI88" s="296" t="s">
        <v>791</v>
      </c>
      <c r="AJ88" s="657">
        <f>VLOOKUP(AH85,[14]Progress!$B$9:$D$310,3,FALSE)</f>
        <v>412</v>
      </c>
      <c r="AK88" s="656"/>
      <c r="AL88" s="296" t="s">
        <v>790</v>
      </c>
      <c r="AM88" s="296" t="s">
        <v>791</v>
      </c>
      <c r="AN88" s="657">
        <f>VLOOKUP(AL85,[14]Progress!$B$9:$D$310,3,FALSE)</f>
        <v>414</v>
      </c>
      <c r="AO88" s="656"/>
      <c r="AP88" s="296" t="s">
        <v>790</v>
      </c>
      <c r="AQ88" s="296" t="s">
        <v>791</v>
      </c>
      <c r="AR88" s="657">
        <f>VLOOKUP(AP85,[14]Progress!$B$9:$D$310,3,FALSE)</f>
        <v>420</v>
      </c>
      <c r="AS88" s="655"/>
      <c r="AT88" s="283"/>
      <c r="AV88" s="655">
        <f>D88+H88+L88+P88+T88+X88+AB88+AF88+AJ88+AN88+AR88</f>
        <v>4180.9089999999997</v>
      </c>
      <c r="AW88" s="655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55"/>
      <c r="AW89" s="655"/>
    </row>
    <row r="90" spans="1:51" ht="10.5" customHeight="1">
      <c r="A90" s="282"/>
      <c r="B90" s="691"/>
      <c r="C90" s="691"/>
      <c r="F90" s="691"/>
      <c r="G90" s="691"/>
      <c r="J90" s="691"/>
      <c r="K90" s="691"/>
      <c r="N90" s="691"/>
      <c r="O90" s="691"/>
      <c r="R90" s="691"/>
      <c r="S90" s="691"/>
      <c r="V90" s="691"/>
      <c r="W90" s="691"/>
      <c r="Z90" s="691"/>
      <c r="AA90" s="691"/>
      <c r="AD90" s="691"/>
      <c r="AE90" s="691"/>
      <c r="AH90" s="691"/>
      <c r="AI90" s="691"/>
      <c r="AL90" s="691"/>
      <c r="AM90" s="691"/>
      <c r="AP90" s="691"/>
      <c r="AQ90" s="691"/>
      <c r="AT90" s="283"/>
      <c r="AV90" s="655"/>
      <c r="AW90" s="655"/>
    </row>
    <row r="91" spans="1:51">
      <c r="A91" s="282"/>
      <c r="B91" s="675" t="str">
        <f>VLOOKUP(+B85,'[14]Twr Schedule'!$B$9:$C$611,2,FALSE)</f>
        <v>DA-3</v>
      </c>
      <c r="C91" s="675"/>
      <c r="F91" s="675" t="str">
        <f>VLOOKUP(+F85,'[14]Twr Schedule'!$B$9:$C$611,2,FALSE)</f>
        <v>DA-3</v>
      </c>
      <c r="G91" s="675"/>
      <c r="J91" s="675" t="str">
        <f>VLOOKUP(+J85,'[14]Twr Schedule'!$B$9:$C$611,2,FALSE)</f>
        <v>DA-3</v>
      </c>
      <c r="K91" s="675"/>
      <c r="N91" s="675" t="str">
        <f>VLOOKUP(+N85,'[14]Twr Schedule'!$B$9:$C$611,2,FALSE)</f>
        <v>DA+3</v>
      </c>
      <c r="O91" s="675"/>
      <c r="R91" s="714" t="str">
        <f>VLOOKUP(+R85,'[14]Twr Schedule'!$B$9:$C$611,2,FALSE)</f>
        <v>DD60+30</v>
      </c>
      <c r="S91" s="714"/>
      <c r="T91" s="315"/>
      <c r="U91" s="315"/>
      <c r="V91" s="714" t="str">
        <f>VLOOKUP(+V85,'[14]Twr Schedule'!$B$9:$C$611,2,FALSE)</f>
        <v>DD60+30</v>
      </c>
      <c r="W91" s="714"/>
      <c r="Z91" s="675" t="str">
        <f>VLOOKUP(+Z85,'[14]Twr Schedule'!$B$9:$C$611,2,FALSE)</f>
        <v>DA+0</v>
      </c>
      <c r="AA91" s="675"/>
      <c r="AD91" s="675" t="str">
        <f>VLOOKUP(+AD85,'[14]Twr Schedule'!$B$9:$C$611,2,FALSE)</f>
        <v>DA+0</v>
      </c>
      <c r="AE91" s="675"/>
      <c r="AH91" s="675" t="str">
        <f>VLOOKUP(+AH85,'[14]Twr Schedule'!$B$9:$C$611,2,FALSE)</f>
        <v>DA+0</v>
      </c>
      <c r="AI91" s="675"/>
      <c r="AL91" s="675" t="str">
        <f>VLOOKUP(+AL85,'[14]Twr Schedule'!$B$9:$C$611,2,FALSE)</f>
        <v>DA+3</v>
      </c>
      <c r="AM91" s="675"/>
      <c r="AP91" s="675" t="str">
        <f>VLOOKUP(+AP85,'[14]Twr Schedule'!$B$9:$C$611,2,FALSE)</f>
        <v>DA+3</v>
      </c>
      <c r="AQ91" s="675"/>
      <c r="AT91" s="283"/>
      <c r="AV91" s="655"/>
      <c r="AW91" s="655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55"/>
      <c r="AW92" s="655"/>
    </row>
    <row r="93" spans="1:51">
      <c r="A93" s="594" t="s">
        <v>820</v>
      </c>
      <c r="B93" s="595"/>
      <c r="C93" s="595"/>
      <c r="D93" s="595"/>
      <c r="E93" s="595"/>
      <c r="F93" s="595"/>
      <c r="G93" s="595"/>
      <c r="H93" s="595"/>
      <c r="I93" s="595"/>
      <c r="J93" s="595"/>
      <c r="K93" s="595"/>
      <c r="L93" s="595"/>
      <c r="M93" s="595"/>
      <c r="N93" s="595"/>
      <c r="O93" s="595"/>
      <c r="P93" s="595"/>
      <c r="Q93" s="595"/>
      <c r="R93" s="595"/>
      <c r="S93" s="595"/>
      <c r="T93" s="595"/>
      <c r="U93" s="595"/>
      <c r="V93" s="596"/>
      <c r="W93" s="594" t="s">
        <v>822</v>
      </c>
      <c r="X93" s="595"/>
      <c r="Y93" s="595"/>
      <c r="Z93" s="595"/>
      <c r="AA93" s="595"/>
      <c r="AB93" s="595"/>
      <c r="AC93" s="595"/>
      <c r="AD93" s="595"/>
      <c r="AE93" s="595"/>
      <c r="AF93" s="595"/>
      <c r="AG93" s="595"/>
      <c r="AH93" s="595"/>
      <c r="AI93" s="595"/>
      <c r="AJ93" s="595"/>
      <c r="AK93" s="595"/>
      <c r="AL93" s="595"/>
      <c r="AM93" s="595"/>
      <c r="AN93" s="595"/>
      <c r="AO93" s="595"/>
      <c r="AP93" s="595"/>
      <c r="AQ93" s="595"/>
      <c r="AR93" s="596"/>
      <c r="AT93" s="283"/>
      <c r="AV93" s="655"/>
      <c r="AW93" s="655"/>
    </row>
    <row r="94" spans="1:51">
      <c r="A94" s="282"/>
      <c r="AT94" s="283"/>
      <c r="AV94" s="655"/>
      <c r="AW94" s="655"/>
    </row>
    <row r="95" spans="1:51">
      <c r="A95" s="282"/>
      <c r="B95" s="655" t="s">
        <v>452</v>
      </c>
      <c r="C95" s="655"/>
      <c r="F95" s="655" t="s">
        <v>463</v>
      </c>
      <c r="G95" s="655"/>
      <c r="J95" s="655" t="s">
        <v>460</v>
      </c>
      <c r="K95" s="655"/>
      <c r="N95" s="655" t="s">
        <v>602</v>
      </c>
      <c r="O95" s="655"/>
      <c r="R95" s="655" t="s">
        <v>648</v>
      </c>
      <c r="S95" s="655"/>
      <c r="V95" s="655" t="s">
        <v>660</v>
      </c>
      <c r="W95" s="655"/>
      <c r="Z95" s="655" t="s">
        <v>481</v>
      </c>
      <c r="AA95" s="655"/>
      <c r="AD95" s="655" t="s">
        <v>496</v>
      </c>
      <c r="AE95" s="655"/>
      <c r="AH95" s="655" t="s">
        <v>492</v>
      </c>
      <c r="AI95" s="655"/>
      <c r="AL95" s="655" t="s">
        <v>486</v>
      </c>
      <c r="AM95" s="655"/>
      <c r="AP95" s="655" t="s">
        <v>501</v>
      </c>
      <c r="AQ95" s="655"/>
      <c r="AT95" s="283"/>
      <c r="AV95" s="655"/>
      <c r="AW95" s="655"/>
    </row>
    <row r="96" spans="1:51">
      <c r="A96" s="282"/>
      <c r="AT96" s="283"/>
      <c r="AV96" s="655"/>
      <c r="AW96" s="655"/>
    </row>
    <row r="97" spans="1:51">
      <c r="A97" s="282"/>
      <c r="AT97" s="283"/>
      <c r="AV97" s="655"/>
      <c r="AW97" s="655"/>
    </row>
    <row r="98" spans="1:51">
      <c r="A98" s="282"/>
      <c r="B98" s="296" t="s">
        <v>790</v>
      </c>
      <c r="C98" s="296" t="s">
        <v>791</v>
      </c>
      <c r="D98" s="657">
        <f>VLOOKUP(B95,[14]Progress!$B$9:$D$310,3,FALSE)</f>
        <v>410</v>
      </c>
      <c r="E98" s="656"/>
      <c r="F98" s="296" t="s">
        <v>790</v>
      </c>
      <c r="G98" s="296" t="s">
        <v>791</v>
      </c>
      <c r="H98" s="657">
        <f>VLOOKUP(F95,[14]Progress!$B$9:$D$310,3,FALSE)</f>
        <v>410</v>
      </c>
      <c r="I98" s="656"/>
      <c r="J98" s="296" t="s">
        <v>790</v>
      </c>
      <c r="K98" s="296" t="s">
        <v>791</v>
      </c>
      <c r="L98" s="657">
        <f>VLOOKUP(J95,[14]Progress!$B$9:$D$310,3,FALSE)</f>
        <v>407.995</v>
      </c>
      <c r="M98" s="656"/>
      <c r="N98" s="296" t="s">
        <v>790</v>
      </c>
      <c r="O98" s="296" t="s">
        <v>791</v>
      </c>
      <c r="P98" s="708">
        <f>VLOOKUP(N95,[14]Progress!$B$9:$D$310,3,FALSE)</f>
        <v>464.74200000000002</v>
      </c>
      <c r="Q98" s="709"/>
      <c r="R98" s="296" t="s">
        <v>790</v>
      </c>
      <c r="S98" s="296" t="s">
        <v>791</v>
      </c>
      <c r="T98" s="708">
        <f>VLOOKUP(R95,[14]Progress!$B$9:$D$310,3,FALSE)</f>
        <v>264.68700000000001</v>
      </c>
      <c r="U98" s="709"/>
      <c r="V98" s="296" t="s">
        <v>790</v>
      </c>
      <c r="W98" s="296" t="s">
        <v>791</v>
      </c>
      <c r="X98" s="657">
        <f>VLOOKUP(V95,[14]Progress!$B$9:$D$310,3,FALSE)</f>
        <v>400</v>
      </c>
      <c r="Y98" s="656"/>
      <c r="Z98" s="296" t="s">
        <v>790</v>
      </c>
      <c r="AA98" s="296" t="s">
        <v>791</v>
      </c>
      <c r="AB98" s="657">
        <f>VLOOKUP(Z95,[14]Progress!$B$9:$D$310,3,FALSE)</f>
        <v>310</v>
      </c>
      <c r="AC98" s="656"/>
      <c r="AD98" s="296" t="s">
        <v>790</v>
      </c>
      <c r="AE98" s="296" t="s">
        <v>791</v>
      </c>
      <c r="AF98" s="657">
        <f>VLOOKUP(AD95,[14]Progress!$B$9:$D$310,3,FALSE)</f>
        <v>361.49700000000001</v>
      </c>
      <c r="AG98" s="656"/>
      <c r="AH98" s="296" t="s">
        <v>790</v>
      </c>
      <c r="AI98" s="296" t="s">
        <v>791</v>
      </c>
      <c r="AJ98" s="657">
        <f>VLOOKUP(AH95,[14]Progress!$B$9:$D$310,3,FALSE)</f>
        <v>366.00200000000001</v>
      </c>
      <c r="AK98" s="656"/>
      <c r="AL98" s="296" t="s">
        <v>790</v>
      </c>
      <c r="AM98" s="296" t="s">
        <v>791</v>
      </c>
      <c r="AN98" s="657">
        <f>VLOOKUP(AL95,[14]Progress!$B$9:$D$310,3,FALSE)</f>
        <v>436.99900000000002</v>
      </c>
      <c r="AO98" s="656"/>
      <c r="AP98" s="296" t="s">
        <v>790</v>
      </c>
      <c r="AQ98" s="296" t="s">
        <v>791</v>
      </c>
      <c r="AR98" s="657">
        <f>VLOOKUP(AP95,[14]Progress!$B$9:$D$310,3,FALSE)</f>
        <v>389.99900000000002</v>
      </c>
      <c r="AS98" s="655"/>
      <c r="AT98" s="283"/>
      <c r="AV98" s="655">
        <f>D98+H98+L98+P98+T98+X98+AB98+AF98+AJ98+AN98+AR98</f>
        <v>4221.9209999999994</v>
      </c>
      <c r="AW98" s="655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55"/>
      <c r="AW99" s="655"/>
    </row>
    <row r="100" spans="1:51" ht="10.5" customHeight="1">
      <c r="A100" s="282"/>
      <c r="B100" s="691"/>
      <c r="C100" s="691"/>
      <c r="F100" s="691"/>
      <c r="G100" s="691"/>
      <c r="J100" s="691"/>
      <c r="K100" s="691"/>
      <c r="N100" s="691"/>
      <c r="O100" s="691"/>
      <c r="R100" s="691"/>
      <c r="S100" s="691"/>
      <c r="V100" s="691"/>
      <c r="W100" s="691"/>
      <c r="Z100" s="691"/>
      <c r="AA100" s="691"/>
      <c r="AD100" s="691"/>
      <c r="AE100" s="691"/>
      <c r="AH100" s="691"/>
      <c r="AI100" s="691"/>
      <c r="AL100" s="691"/>
      <c r="AM100" s="691"/>
      <c r="AP100" s="691"/>
      <c r="AQ100" s="691"/>
      <c r="AT100" s="283"/>
      <c r="AV100" s="655"/>
      <c r="AW100" s="655"/>
    </row>
    <row r="101" spans="1:51">
      <c r="A101" s="282"/>
      <c r="B101" s="675" t="str">
        <f>VLOOKUP(+B95,'[14]Twr Schedule'!$B$9:$C$611,2,FALSE)</f>
        <v>DA+3</v>
      </c>
      <c r="C101" s="675"/>
      <c r="F101" s="675" t="str">
        <f>VLOOKUP(+F95,'[14]Twr Schedule'!$B$9:$C$611,2,FALSE)</f>
        <v>DA+0</v>
      </c>
      <c r="G101" s="675"/>
      <c r="J101" s="675" t="str">
        <f>VLOOKUP(+J95,'[14]Twr Schedule'!$B$9:$C$611,2,FALSE)</f>
        <v>DA+3</v>
      </c>
      <c r="K101" s="675"/>
      <c r="N101" s="675" t="str">
        <f>VLOOKUP(+N95,'[14]Twr Schedule'!$B$9:$C$611,2,FALSE)</f>
        <v>DC2+3</v>
      </c>
      <c r="O101" s="675"/>
      <c r="R101" s="675" t="str">
        <f>VLOOKUP(+R95,'[14]Twr Schedule'!$B$9:$C$611,2,FALSE)</f>
        <v>DB2+25</v>
      </c>
      <c r="S101" s="675"/>
      <c r="V101" s="675" t="str">
        <f>VLOOKUP(+V95,'[14]Twr Schedule'!$B$9:$C$611,2,FALSE)</f>
        <v>DB2+6</v>
      </c>
      <c r="W101" s="675"/>
      <c r="Z101" s="675" t="str">
        <f>VLOOKUP(+Z95,'[14]Twr Schedule'!$B$9:$C$611,2,FALSE)</f>
        <v>DA-3</v>
      </c>
      <c r="AA101" s="675"/>
      <c r="AD101" s="675" t="str">
        <f>VLOOKUP(+AD95,'[14]Twr Schedule'!$B$9:$C$611,2,FALSE)</f>
        <v>DA+0</v>
      </c>
      <c r="AE101" s="675"/>
      <c r="AH101" s="675" t="str">
        <f>VLOOKUP(+AH95,'[14]Twr Schedule'!$B$9:$C$611,2,FALSE)</f>
        <v>DA+0</v>
      </c>
      <c r="AI101" s="675"/>
      <c r="AL101" s="675" t="str">
        <f>VLOOKUP(+AL95,'[14]Twr Schedule'!$B$9:$C$611,2,FALSE)</f>
        <v>DA+3</v>
      </c>
      <c r="AM101" s="675"/>
      <c r="AP101" s="675" t="str">
        <f>VLOOKUP(+AP95,'[14]Twr Schedule'!$B$9:$C$611,2,FALSE)</f>
        <v>DA+3</v>
      </c>
      <c r="AQ101" s="675"/>
      <c r="AT101" s="283"/>
      <c r="AV101" s="655"/>
      <c r="AW101" s="655"/>
    </row>
    <row r="102" spans="1:51">
      <c r="A102" s="282"/>
      <c r="R102" s="316" t="s">
        <v>823</v>
      </c>
      <c r="T102" t="s">
        <v>824</v>
      </c>
      <c r="AT102" s="283"/>
      <c r="AV102" s="655"/>
      <c r="AW102" s="655"/>
    </row>
    <row r="103" spans="1:51">
      <c r="A103" s="282"/>
      <c r="N103" t="s">
        <v>825</v>
      </c>
      <c r="AT103" s="283"/>
      <c r="AV103" s="655"/>
      <c r="AW103" s="655"/>
    </row>
    <row r="104" spans="1:51">
      <c r="A104" s="594" t="s">
        <v>822</v>
      </c>
      <c r="B104" s="595"/>
      <c r="C104" s="595"/>
      <c r="D104" s="595"/>
      <c r="E104" s="595"/>
      <c r="F104" s="595"/>
      <c r="G104" s="595"/>
      <c r="H104" s="595"/>
      <c r="I104" s="595"/>
      <c r="J104" s="595"/>
      <c r="K104" s="595"/>
      <c r="L104" s="595"/>
      <c r="M104" s="595"/>
      <c r="N104" s="595"/>
      <c r="O104" s="595"/>
      <c r="P104" s="595"/>
      <c r="Q104" s="595"/>
      <c r="R104" s="596"/>
      <c r="S104" s="594" t="s">
        <v>826</v>
      </c>
      <c r="T104" s="595"/>
      <c r="U104" s="595"/>
      <c r="V104" s="595"/>
      <c r="W104" s="595"/>
      <c r="X104" s="595"/>
      <c r="Y104" s="595"/>
      <c r="Z104" s="595"/>
      <c r="AA104" s="595"/>
      <c r="AB104" s="595"/>
      <c r="AC104" s="595"/>
      <c r="AD104" s="595"/>
      <c r="AE104" s="595"/>
      <c r="AF104" s="595"/>
      <c r="AG104" s="595"/>
      <c r="AH104" s="595"/>
      <c r="AI104" s="595"/>
      <c r="AJ104" s="595"/>
      <c r="AK104" s="595"/>
      <c r="AL104" s="595"/>
      <c r="AM104" s="595"/>
      <c r="AN104" s="595"/>
      <c r="AO104" s="595"/>
      <c r="AP104" s="595"/>
      <c r="AQ104" s="595"/>
      <c r="AR104" s="596"/>
      <c r="AT104" s="283"/>
      <c r="AV104" s="655"/>
      <c r="AW104" s="655"/>
    </row>
    <row r="105" spans="1:51">
      <c r="A105" s="282"/>
      <c r="B105" s="655" t="s">
        <v>657</v>
      </c>
      <c r="C105" s="655"/>
      <c r="F105" s="655" t="s">
        <v>505</v>
      </c>
      <c r="G105" s="655"/>
      <c r="J105" s="655" t="s">
        <v>590</v>
      </c>
      <c r="K105" s="655"/>
      <c r="N105" s="655" t="s">
        <v>644</v>
      </c>
      <c r="O105" s="655"/>
      <c r="R105" s="655" t="s">
        <v>658</v>
      </c>
      <c r="S105" s="655"/>
      <c r="V105" s="655" t="s">
        <v>473</v>
      </c>
      <c r="W105" s="655"/>
      <c r="Z105" s="655" t="s">
        <v>462</v>
      </c>
      <c r="AA105" s="655"/>
      <c r="AD105" s="655" t="s">
        <v>457</v>
      </c>
      <c r="AE105" s="655"/>
      <c r="AH105" s="655" t="s">
        <v>469</v>
      </c>
      <c r="AI105" s="655"/>
      <c r="AL105" s="655" t="s">
        <v>477</v>
      </c>
      <c r="AM105" s="655"/>
      <c r="AP105" s="655" t="s">
        <v>485</v>
      </c>
      <c r="AQ105" s="655"/>
      <c r="AT105" s="283"/>
      <c r="AV105" s="655"/>
      <c r="AW105" s="655"/>
    </row>
    <row r="106" spans="1:51">
      <c r="A106" s="282"/>
      <c r="AT106" s="283"/>
      <c r="AV106" s="655"/>
      <c r="AW106" s="655"/>
    </row>
    <row r="107" spans="1:51">
      <c r="A107" s="282"/>
      <c r="AT107" s="283"/>
      <c r="AV107" s="655"/>
      <c r="AW107" s="655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57">
        <f>VLOOKUP(F105,[14]Progress!$B$9:$D$310,3,FALSE)</f>
        <v>391.99900000000002</v>
      </c>
      <c r="I108" s="656"/>
      <c r="J108" s="296" t="s">
        <v>790</v>
      </c>
      <c r="K108" s="296" t="s">
        <v>791</v>
      </c>
      <c r="L108" s="705">
        <f>VLOOKUP(J105,[14]Progress!$B$9:$D$310,3,FALSE)</f>
        <v>374.07</v>
      </c>
      <c r="M108" s="706"/>
      <c r="N108" s="296" t="s">
        <v>790</v>
      </c>
      <c r="O108" s="296" t="s">
        <v>791</v>
      </c>
      <c r="P108" s="708">
        <f>VLOOKUP(N105,[14]Progress!$B$9:$D$310,3,FALSE)</f>
        <v>323.02999999999997</v>
      </c>
      <c r="Q108" s="709"/>
      <c r="R108" s="296" t="s">
        <v>790</v>
      </c>
      <c r="S108" s="296" t="s">
        <v>791</v>
      </c>
      <c r="T108" s="657">
        <f>VLOOKUP(R105,[14]Progress!$B$9:$D$310,3,FALSE)</f>
        <v>343.13</v>
      </c>
      <c r="U108" s="656"/>
      <c r="V108" s="296" t="s">
        <v>790</v>
      </c>
      <c r="W108" s="296" t="s">
        <v>791</v>
      </c>
      <c r="X108" s="657">
        <f>VLOOKUP(V105,[14]Progress!$B$9:$D$310,3,FALSE)</f>
        <v>392</v>
      </c>
      <c r="Y108" s="656"/>
      <c r="Z108" s="296" t="s">
        <v>790</v>
      </c>
      <c r="AA108" s="296" t="s">
        <v>791</v>
      </c>
      <c r="AB108" s="657">
        <f>VLOOKUP(Z105,[14]Progress!$B$9:$D$310,3,FALSE)</f>
        <v>407</v>
      </c>
      <c r="AC108" s="656"/>
      <c r="AD108" s="296" t="s">
        <v>790</v>
      </c>
      <c r="AE108" s="296" t="s">
        <v>791</v>
      </c>
      <c r="AF108" s="657">
        <f>VLOOKUP(AD105,[14]Progress!$B$9:$D$310,3,FALSE)</f>
        <v>412</v>
      </c>
      <c r="AG108" s="656"/>
      <c r="AH108" s="296" t="s">
        <v>790</v>
      </c>
      <c r="AI108" s="296" t="s">
        <v>791</v>
      </c>
      <c r="AJ108" s="657">
        <f>VLOOKUP(AH105,[14]Progress!$B$9:$D$310,3,FALSE)</f>
        <v>371</v>
      </c>
      <c r="AK108" s="656"/>
      <c r="AL108" s="296" t="s">
        <v>790</v>
      </c>
      <c r="AM108" s="296" t="s">
        <v>791</v>
      </c>
      <c r="AN108" s="657">
        <f>VLOOKUP(AL105,[14]Progress!$B$9:$D$310,3,FALSE)</f>
        <v>376</v>
      </c>
      <c r="AO108" s="656"/>
      <c r="AP108" s="296" t="s">
        <v>790</v>
      </c>
      <c r="AQ108" s="296" t="s">
        <v>791</v>
      </c>
      <c r="AR108" s="657">
        <f>VLOOKUP(AP105,[14]Progress!$B$9:$D$310,3,FALSE)</f>
        <v>421</v>
      </c>
      <c r="AS108" s="655"/>
      <c r="AT108" s="283"/>
      <c r="AV108" s="655">
        <f>D108+H108+L108+P108+T108+X108+AB108+AF108+AJ108+AN108+AR108</f>
        <v>4212.2280000000001</v>
      </c>
      <c r="AW108" s="655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55"/>
      <c r="AW109" s="655"/>
    </row>
    <row r="110" spans="1:51" ht="10.5" customHeight="1">
      <c r="A110" s="282"/>
      <c r="B110" s="691"/>
      <c r="C110" s="691"/>
      <c r="F110" s="691"/>
      <c r="G110" s="691"/>
      <c r="J110" s="691"/>
      <c r="K110" s="691"/>
      <c r="N110" s="691"/>
      <c r="O110" s="691"/>
      <c r="R110" s="691"/>
      <c r="S110" s="691"/>
      <c r="V110" s="691"/>
      <c r="W110" s="691"/>
      <c r="Z110" s="691"/>
      <c r="AA110" s="691"/>
      <c r="AD110" s="691"/>
      <c r="AE110" s="691"/>
      <c r="AH110" s="691"/>
      <c r="AI110" s="691"/>
      <c r="AL110" s="691"/>
      <c r="AM110" s="691"/>
      <c r="AP110" s="691"/>
      <c r="AQ110" s="691"/>
      <c r="AT110" s="283"/>
      <c r="AV110" s="655"/>
      <c r="AW110" s="655"/>
    </row>
    <row r="111" spans="1:51">
      <c r="A111" s="282"/>
      <c r="B111" s="675" t="str">
        <f>VLOOKUP(+B105,'[14]Twr Schedule'!$B$9:$C$611,2,FALSE)</f>
        <v>DA-3</v>
      </c>
      <c r="C111" s="675"/>
      <c r="F111" s="675" t="str">
        <f>VLOOKUP(+F105,'[14]Twr Schedule'!$B$9:$C$611,2,FALSE)</f>
        <v>DA+3</v>
      </c>
      <c r="G111" s="675"/>
      <c r="J111" s="675" t="str">
        <f>VLOOKUP(+J105,'[14]Twr Schedule'!$B$9:$C$611,2,FALSE)</f>
        <v>DA-3</v>
      </c>
      <c r="K111" s="675"/>
      <c r="N111" s="675" t="str">
        <f>VLOOKUP(+N105,'[14]Twr Schedule'!$B$9:$C$611,2,FALSE)</f>
        <v>DB1+6</v>
      </c>
      <c r="O111" s="675"/>
      <c r="R111" s="675" t="str">
        <f>VLOOKUP(+R105,'[14]Twr Schedule'!$B$9:$C$611,2,FALSE)</f>
        <v>DC2+6</v>
      </c>
      <c r="S111" s="675"/>
      <c r="V111" s="675" t="str">
        <f>VLOOKUP(+V105,'[14]Twr Schedule'!$B$9:$C$611,2,FALSE)</f>
        <v>DA+0</v>
      </c>
      <c r="W111" s="675"/>
      <c r="Z111" s="675" t="str">
        <f>VLOOKUP(+Z105,'[14]Twr Schedule'!$B$9:$C$611,2,FALSE)</f>
        <v>DA+0</v>
      </c>
      <c r="AA111" s="675"/>
      <c r="AD111" s="675" t="str">
        <f>VLOOKUP(+AD105,'[14]Twr Schedule'!$B$9:$C$611,2,FALSE)</f>
        <v>DA+3</v>
      </c>
      <c r="AE111" s="675"/>
      <c r="AH111" s="675" t="str">
        <f>VLOOKUP(+AH105,'[14]Twr Schedule'!$B$9:$C$611,2,FALSE)</f>
        <v>DA+0</v>
      </c>
      <c r="AI111" s="675"/>
      <c r="AL111" s="675" t="str">
        <f>VLOOKUP(+AL105,'[14]Twr Schedule'!$B$9:$C$611,2,FALSE)</f>
        <v>DA-3</v>
      </c>
      <c r="AM111" s="675"/>
      <c r="AP111" s="675" t="str">
        <f>VLOOKUP(+AP105,'[14]Twr Schedule'!$B$9:$C$611,2,FALSE)</f>
        <v>DA+0</v>
      </c>
      <c r="AQ111" s="675"/>
      <c r="AT111" s="283"/>
      <c r="AV111" s="655"/>
      <c r="AW111" s="655"/>
    </row>
    <row r="112" spans="1:51">
      <c r="A112" s="282"/>
      <c r="O112" t="s">
        <v>827</v>
      </c>
      <c r="AT112" s="283"/>
      <c r="AV112" s="655"/>
      <c r="AW112" s="655"/>
    </row>
    <row r="113" spans="1:51">
      <c r="A113" s="594" t="s">
        <v>826</v>
      </c>
      <c r="B113" s="595"/>
      <c r="C113" s="595"/>
      <c r="D113" s="595"/>
      <c r="E113" s="595"/>
      <c r="F113" s="595"/>
      <c r="G113" s="595"/>
      <c r="H113" s="595"/>
      <c r="I113" s="595"/>
      <c r="J113" s="595"/>
      <c r="K113" s="595"/>
      <c r="L113" s="595"/>
      <c r="M113" s="595"/>
      <c r="N113" s="595"/>
      <c r="O113" s="595"/>
      <c r="P113" s="595"/>
      <c r="Q113" s="595"/>
      <c r="R113" s="595"/>
      <c r="S113" s="595"/>
      <c r="T113" s="595"/>
      <c r="U113" s="595"/>
      <c r="V113" s="595"/>
      <c r="W113" s="595"/>
      <c r="X113" s="595"/>
      <c r="Y113" s="595"/>
      <c r="Z113" s="596"/>
      <c r="AA113" s="594" t="s">
        <v>828</v>
      </c>
      <c r="AB113" s="595"/>
      <c r="AC113" s="595"/>
      <c r="AD113" s="595"/>
      <c r="AE113" s="595"/>
      <c r="AF113" s="595"/>
      <c r="AG113" s="595"/>
      <c r="AH113" s="595"/>
      <c r="AI113" s="595"/>
      <c r="AJ113" s="595"/>
      <c r="AK113" s="595"/>
      <c r="AL113" s="595"/>
      <c r="AM113" s="595"/>
      <c r="AN113" s="595"/>
      <c r="AO113" s="595"/>
      <c r="AP113" s="595"/>
      <c r="AQ113" s="595"/>
      <c r="AR113" s="596"/>
      <c r="AT113" s="283"/>
      <c r="AV113" s="655"/>
      <c r="AW113" s="655"/>
    </row>
    <row r="114" spans="1:51">
      <c r="A114" s="282"/>
      <c r="Z114" s="715"/>
      <c r="AA114" s="715"/>
      <c r="AB114" s="715"/>
      <c r="AC114" s="715"/>
      <c r="AD114" s="715"/>
      <c r="AE114" s="715"/>
      <c r="AF114" s="715"/>
      <c r="AG114" s="715"/>
      <c r="AH114" s="715"/>
      <c r="AI114" s="715"/>
      <c r="AJ114" s="715"/>
      <c r="AK114" s="715"/>
      <c r="AL114" s="715"/>
      <c r="AM114" s="715"/>
      <c r="AN114" s="715"/>
      <c r="AO114" s="715"/>
      <c r="AP114" s="715"/>
      <c r="AQ114" s="715"/>
      <c r="AR114" s="715"/>
      <c r="AS114" s="715"/>
      <c r="AT114" s="283"/>
      <c r="AV114" s="655"/>
      <c r="AW114" s="655"/>
    </row>
    <row r="115" spans="1:51">
      <c r="A115" s="282"/>
      <c r="B115" s="655" t="s">
        <v>491</v>
      </c>
      <c r="C115" s="655"/>
      <c r="F115" s="655" t="s">
        <v>583</v>
      </c>
      <c r="G115" s="655"/>
      <c r="J115" s="655" t="s">
        <v>500</v>
      </c>
      <c r="K115" s="655"/>
      <c r="N115" s="655" t="s">
        <v>579</v>
      </c>
      <c r="O115" s="655"/>
      <c r="R115" s="655" t="s">
        <v>576</v>
      </c>
      <c r="S115" s="655"/>
      <c r="V115" s="655" t="s">
        <v>568</v>
      </c>
      <c r="W115" s="655"/>
      <c r="Z115" s="655" t="s">
        <v>506</v>
      </c>
      <c r="AA115" s="655"/>
      <c r="AD115" s="655" t="s">
        <v>564</v>
      </c>
      <c r="AE115" s="655"/>
      <c r="AH115" s="655" t="s">
        <v>514</v>
      </c>
      <c r="AI115" s="655"/>
      <c r="AL115" s="655" t="s">
        <v>517</v>
      </c>
      <c r="AM115" s="655"/>
      <c r="AP115" s="655" t="s">
        <v>521</v>
      </c>
      <c r="AQ115" s="655"/>
      <c r="AT115" s="283"/>
      <c r="AV115" s="655"/>
      <c r="AW115" s="655"/>
    </row>
    <row r="116" spans="1:51">
      <c r="A116" s="282"/>
      <c r="AT116" s="283"/>
      <c r="AV116" s="655"/>
      <c r="AW116" s="655"/>
    </row>
    <row r="117" spans="1:51">
      <c r="A117" s="282"/>
      <c r="AT117" s="283"/>
      <c r="AV117" s="655"/>
      <c r="AW117" s="655"/>
    </row>
    <row r="118" spans="1:51">
      <c r="A118" s="282"/>
      <c r="B118" s="296" t="s">
        <v>790</v>
      </c>
      <c r="C118" s="296" t="s">
        <v>791</v>
      </c>
      <c r="D118" s="657">
        <f>VLOOKUP(B115,[14]Progress!$B$9:$D$310,3,FALSE)</f>
        <v>387</v>
      </c>
      <c r="E118" s="656"/>
      <c r="F118" s="296" t="s">
        <v>790</v>
      </c>
      <c r="G118" s="296" t="s">
        <v>791</v>
      </c>
      <c r="H118" s="657">
        <f>VLOOKUP(F115,[14]Progress!$B$9:$D$310,3,FALSE)</f>
        <v>364</v>
      </c>
      <c r="I118" s="656"/>
      <c r="J118" s="296" t="s">
        <v>790</v>
      </c>
      <c r="K118" s="296" t="s">
        <v>791</v>
      </c>
      <c r="L118" s="657">
        <f>VLOOKUP(J115,[14]Progress!$B$9:$D$310,3,FALSE)</f>
        <v>423</v>
      </c>
      <c r="M118" s="656"/>
      <c r="N118" s="296" t="s">
        <v>790</v>
      </c>
      <c r="O118" s="296" t="s">
        <v>791</v>
      </c>
      <c r="P118" s="657">
        <f>VLOOKUP(N115,[14]Progress!$B$9:$D$310,3,FALSE)</f>
        <v>335</v>
      </c>
      <c r="Q118" s="656"/>
      <c r="R118" s="296" t="s">
        <v>790</v>
      </c>
      <c r="S118" s="296" t="s">
        <v>791</v>
      </c>
      <c r="T118" s="657">
        <f>VLOOKUP(R115,[14]Progress!$B$9:$D$310,3,FALSE)</f>
        <v>343</v>
      </c>
      <c r="U118" s="656"/>
      <c r="V118" s="296" t="s">
        <v>790</v>
      </c>
      <c r="W118" s="296" t="s">
        <v>791</v>
      </c>
      <c r="X118" s="705">
        <f>VLOOKUP(V115,[14]Progress!$B$9:$D$310,3,FALSE)</f>
        <v>362.45299999999997</v>
      </c>
      <c r="Y118" s="706"/>
      <c r="Z118" s="314" t="s">
        <v>790</v>
      </c>
      <c r="AA118" s="314" t="s">
        <v>791</v>
      </c>
      <c r="AB118" s="705">
        <f>VLOOKUP(Z115,[14]Progress!$B$9:$D$310,3,FALSE)</f>
        <v>433</v>
      </c>
      <c r="AC118" s="706"/>
      <c r="AD118" s="314" t="s">
        <v>790</v>
      </c>
      <c r="AE118" s="314" t="s">
        <v>791</v>
      </c>
      <c r="AF118" s="705">
        <f>VLOOKUP(AD115,[14]Progress!$B$9:$D$310,3,FALSE)</f>
        <v>393</v>
      </c>
      <c r="AG118" s="706"/>
      <c r="AH118" s="314" t="s">
        <v>790</v>
      </c>
      <c r="AI118" s="314" t="s">
        <v>791</v>
      </c>
      <c r="AJ118" s="705">
        <f>VLOOKUP(AH115,[14]Progress!$B$9:$D$310,3,FALSE)</f>
        <v>400</v>
      </c>
      <c r="AK118" s="706"/>
      <c r="AL118" s="314" t="s">
        <v>790</v>
      </c>
      <c r="AM118" s="314" t="s">
        <v>791</v>
      </c>
      <c r="AN118" s="705">
        <f>VLOOKUP(AL115,[14]Progress!$B$9:$D$310,3,FALSE)</f>
        <v>375.65899999999999</v>
      </c>
      <c r="AO118" s="706"/>
      <c r="AP118" s="314" t="s">
        <v>790</v>
      </c>
      <c r="AQ118" s="314" t="s">
        <v>791</v>
      </c>
      <c r="AR118" s="705">
        <f>VLOOKUP(AP115,[14]Progress!$B$9:$D$310,3,FALSE)</f>
        <v>366.46600000000001</v>
      </c>
      <c r="AS118" s="707"/>
      <c r="AT118" s="283"/>
      <c r="AV118" s="655">
        <f>D118+H118+L118+P118+T118+X118+AB118+AF118+AJ118+AN118+AR118</f>
        <v>4182.5780000000004</v>
      </c>
      <c r="AW118" s="655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55"/>
      <c r="AW119" s="655"/>
    </row>
    <row r="120" spans="1:51" ht="10.5" customHeight="1">
      <c r="A120" s="282"/>
      <c r="B120" s="691"/>
      <c r="C120" s="691"/>
      <c r="F120" s="691"/>
      <c r="G120" s="691"/>
      <c r="J120" s="691"/>
      <c r="K120" s="691"/>
      <c r="N120" s="691"/>
      <c r="O120" s="691"/>
      <c r="R120" s="691"/>
      <c r="S120" s="691"/>
      <c r="V120" s="691"/>
      <c r="W120" s="691"/>
      <c r="Z120" s="691"/>
      <c r="AA120" s="691"/>
      <c r="AD120" s="691"/>
      <c r="AE120" s="691"/>
      <c r="AH120" s="691"/>
      <c r="AI120" s="691"/>
      <c r="AL120" s="691"/>
      <c r="AM120" s="691"/>
      <c r="AP120" s="691"/>
      <c r="AQ120" s="691"/>
      <c r="AT120" s="283"/>
      <c r="AV120" s="655"/>
      <c r="AW120" s="655"/>
    </row>
    <row r="121" spans="1:51">
      <c r="A121" s="282"/>
      <c r="B121" s="675" t="str">
        <f>VLOOKUP(+B115,'[14]Twr Schedule'!$B$9:$C$611,2,FALSE)</f>
        <v>DA+3</v>
      </c>
      <c r="C121" s="675"/>
      <c r="F121" s="675" t="str">
        <f>VLOOKUP(+F115,'[14]Twr Schedule'!$B$9:$C$611,2,FALSE)</f>
        <v>DA-3</v>
      </c>
      <c r="G121" s="675"/>
      <c r="J121" s="675" t="str">
        <f>VLOOKUP(+J115,'[14]Twr Schedule'!$B$9:$C$611,2,FALSE)</f>
        <v>DA+3</v>
      </c>
      <c r="K121" s="675"/>
      <c r="N121" s="675" t="str">
        <f>VLOOKUP(+N115,'[14]Twr Schedule'!$B$9:$C$611,2,FALSE)</f>
        <v>DA+3</v>
      </c>
      <c r="O121" s="675"/>
      <c r="R121" s="675" t="str">
        <f>VLOOKUP(+R115,'[14]Twr Schedule'!$B$9:$C$611,2,FALSE)</f>
        <v>DA-3</v>
      </c>
      <c r="S121" s="675"/>
      <c r="V121" s="675" t="str">
        <f>VLOOKUP(+V115,'[14]Twr Schedule'!$B$9:$C$611,2,FALSE)</f>
        <v>DA-3</v>
      </c>
      <c r="W121" s="675"/>
      <c r="Z121" s="675" t="str">
        <f>VLOOKUP(+Z115,'[14]Twr Schedule'!$B$9:$C$611,2,FALSE)</f>
        <v>DB1+0</v>
      </c>
      <c r="AA121" s="675"/>
      <c r="AD121" s="675" t="str">
        <f>VLOOKUP(+AD115,'[14]Twr Schedule'!$B$9:$C$611,2,FALSE)</f>
        <v>DA+6</v>
      </c>
      <c r="AE121" s="675"/>
      <c r="AH121" s="675" t="str">
        <f>VLOOKUP(+AH115,'[14]Twr Schedule'!$B$9:$C$611,2,FALSE)</f>
        <v>DA+0</v>
      </c>
      <c r="AI121" s="675"/>
      <c r="AL121" s="675" t="str">
        <f>VLOOKUP(+AL115,'[14]Twr Schedule'!$B$9:$C$611,2,FALSE)</f>
        <v>DA+0</v>
      </c>
      <c r="AM121" s="675"/>
      <c r="AP121" s="675" t="str">
        <f>VLOOKUP(+AP115,'[14]Twr Schedule'!$B$9:$C$611,2,FALSE)</f>
        <v>DA-3</v>
      </c>
      <c r="AQ121" s="675"/>
      <c r="AT121" s="283"/>
      <c r="AV121" s="655"/>
      <c r="AW121" s="655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55"/>
      <c r="AW122" s="655"/>
    </row>
    <row r="123" spans="1:51">
      <c r="A123" s="716" t="s">
        <v>828</v>
      </c>
      <c r="B123" s="717"/>
      <c r="C123" s="717"/>
      <c r="D123" s="717"/>
      <c r="E123" s="717"/>
      <c r="F123" s="717"/>
      <c r="G123" s="717"/>
      <c r="H123" s="717"/>
      <c r="I123" s="717"/>
      <c r="J123" s="717"/>
      <c r="K123" s="717"/>
      <c r="L123" s="717"/>
      <c r="M123" s="717"/>
      <c r="N123" s="717"/>
      <c r="O123" s="717"/>
      <c r="P123" s="717"/>
      <c r="Q123" s="717"/>
      <c r="R123" s="717"/>
      <c r="S123" s="717"/>
      <c r="T123" s="717"/>
      <c r="U123" s="717"/>
      <c r="V123" s="717"/>
      <c r="W123" s="717"/>
      <c r="X123" s="717"/>
      <c r="Y123" s="717"/>
      <c r="Z123" s="717"/>
      <c r="AA123" s="717"/>
      <c r="AB123" s="717"/>
      <c r="AC123" s="717"/>
      <c r="AD123" s="717"/>
      <c r="AE123" s="717"/>
      <c r="AF123" s="717"/>
      <c r="AG123" s="717"/>
      <c r="AH123" s="718"/>
      <c r="AI123" s="651" t="s">
        <v>829</v>
      </c>
      <c r="AJ123" s="651"/>
      <c r="AK123" s="651"/>
      <c r="AL123" s="651"/>
      <c r="AM123" s="651"/>
      <c r="AN123" s="651"/>
      <c r="AO123" s="651"/>
      <c r="AP123" s="651"/>
      <c r="AQ123" s="651"/>
      <c r="AR123" s="651"/>
      <c r="AT123" s="283"/>
      <c r="AV123" s="655"/>
      <c r="AW123" s="655"/>
    </row>
    <row r="124" spans="1:51">
      <c r="A124" s="282"/>
      <c r="AT124" s="283"/>
      <c r="AV124" s="655"/>
      <c r="AW124" s="655"/>
    </row>
    <row r="125" spans="1:51">
      <c r="A125" s="282"/>
      <c r="B125" s="655" t="s">
        <v>448</v>
      </c>
      <c r="C125" s="655"/>
      <c r="F125" s="655" t="s">
        <v>445</v>
      </c>
      <c r="G125" s="655"/>
      <c r="J125" s="655" t="s">
        <v>449</v>
      </c>
      <c r="K125" s="655"/>
      <c r="N125" s="655" t="s">
        <v>443</v>
      </c>
      <c r="O125" s="655"/>
      <c r="R125" s="655" t="s">
        <v>446</v>
      </c>
      <c r="S125" s="655"/>
      <c r="V125" s="655" t="s">
        <v>555</v>
      </c>
      <c r="W125" s="655"/>
      <c r="Z125" s="655" t="s">
        <v>546</v>
      </c>
      <c r="AA125" s="655"/>
      <c r="AD125" s="655" t="s">
        <v>451</v>
      </c>
      <c r="AE125" s="655"/>
      <c r="AH125" s="655" t="s">
        <v>513</v>
      </c>
      <c r="AI125" s="655"/>
      <c r="AL125" s="655" t="s">
        <v>631</v>
      </c>
      <c r="AM125" s="655"/>
      <c r="AP125" s="655" t="s">
        <v>627</v>
      </c>
      <c r="AQ125" s="655"/>
      <c r="AT125" s="283"/>
      <c r="AV125" s="655"/>
      <c r="AW125" s="655"/>
    </row>
    <row r="126" spans="1:51">
      <c r="A126" s="282"/>
      <c r="AT126" s="283"/>
      <c r="AV126" s="655"/>
      <c r="AW126" s="655"/>
    </row>
    <row r="127" spans="1:51">
      <c r="A127" s="282"/>
      <c r="AT127" s="283"/>
      <c r="AV127" s="655"/>
      <c r="AW127" s="655"/>
    </row>
    <row r="128" spans="1:51">
      <c r="A128" s="282"/>
      <c r="B128" s="296" t="s">
        <v>790</v>
      </c>
      <c r="C128" s="296" t="s">
        <v>791</v>
      </c>
      <c r="D128" s="657">
        <f>VLOOKUP(B125,[14]Progress!$B$9:$D$310,3,FALSE)</f>
        <v>408</v>
      </c>
      <c r="E128" s="656"/>
      <c r="F128" s="296" t="s">
        <v>790</v>
      </c>
      <c r="G128" s="296" t="s">
        <v>791</v>
      </c>
      <c r="H128" s="657">
        <f>VLOOKUP(F125,[14]Progress!$B$9:$D$310,3,FALSE)</f>
        <v>372</v>
      </c>
      <c r="I128" s="656"/>
      <c r="J128" s="296" t="s">
        <v>790</v>
      </c>
      <c r="K128" s="296" t="s">
        <v>791</v>
      </c>
      <c r="L128" s="698">
        <f>VLOOKUP(J125,[14]Progress!$B$9:$D$310,3,FALSE)</f>
        <v>370</v>
      </c>
      <c r="M128" s="699"/>
      <c r="N128" s="296" t="s">
        <v>790</v>
      </c>
      <c r="O128" s="296" t="s">
        <v>791</v>
      </c>
      <c r="P128" s="657">
        <f>VLOOKUP(N125,[14]Progress!$B$9:$D$310,3,FALSE)</f>
        <v>400</v>
      </c>
      <c r="Q128" s="656"/>
      <c r="R128" s="296" t="s">
        <v>790</v>
      </c>
      <c r="S128" s="296" t="s">
        <v>791</v>
      </c>
      <c r="T128" s="657">
        <f>VLOOKUP(R125,[14]Progress!$B$9:$D$310,3,FALSE)</f>
        <v>426</v>
      </c>
      <c r="U128" s="656"/>
      <c r="V128" s="296" t="s">
        <v>790</v>
      </c>
      <c r="W128" s="296" t="s">
        <v>791</v>
      </c>
      <c r="X128" s="698">
        <f>VLOOKUP(V125,[14]Progress!$B$9:$D$310,3,FALSE)</f>
        <v>399</v>
      </c>
      <c r="Y128" s="699"/>
      <c r="Z128" s="296" t="s">
        <v>790</v>
      </c>
      <c r="AA128" s="296" t="s">
        <v>791</v>
      </c>
      <c r="AB128" s="657">
        <f>VLOOKUP(Z125,[14]Progress!$B$9:$D$310,3,FALSE)</f>
        <v>358</v>
      </c>
      <c r="AC128" s="656"/>
      <c r="AD128" s="296" t="s">
        <v>790</v>
      </c>
      <c r="AE128" s="296" t="s">
        <v>791</v>
      </c>
      <c r="AF128" s="705">
        <f>VLOOKUP(AD125,[14]Progress!$B$9:$D$310,3,FALSE)</f>
        <v>256.85700000000003</v>
      </c>
      <c r="AG128" s="706"/>
      <c r="AH128" s="296" t="s">
        <v>790</v>
      </c>
      <c r="AI128" s="296" t="s">
        <v>791</v>
      </c>
      <c r="AJ128" s="657">
        <f>VLOOKUP(AH125,[14]Progress!$B$9:$D$310,3,FALSE)</f>
        <v>388</v>
      </c>
      <c r="AK128" s="656"/>
      <c r="AL128" s="296" t="s">
        <v>790</v>
      </c>
      <c r="AM128" s="296" t="s">
        <v>791</v>
      </c>
      <c r="AN128" s="657">
        <f>VLOOKUP(AL125,[14]Progress!$B$9:$D$310,3,FALSE)</f>
        <v>391</v>
      </c>
      <c r="AO128" s="656"/>
      <c r="AP128" s="296" t="s">
        <v>790</v>
      </c>
      <c r="AQ128" s="296" t="s">
        <v>791</v>
      </c>
      <c r="AR128" s="657">
        <f>VLOOKUP(AP125,[14]Progress!$B$9:$D$310,3,FALSE)</f>
        <v>394</v>
      </c>
      <c r="AS128" s="655"/>
      <c r="AT128" s="283"/>
      <c r="AV128" s="655">
        <f>D128+H128+L128+P128+T128+X128+AB128+AF128+AJ128+AN128+AR128</f>
        <v>4162.857</v>
      </c>
      <c r="AW128" s="655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55"/>
      <c r="AW129" s="655"/>
    </row>
    <row r="130" spans="1:51" ht="10.5" customHeight="1">
      <c r="A130" s="282"/>
      <c r="B130" s="691"/>
      <c r="C130" s="691"/>
      <c r="F130" s="691"/>
      <c r="G130" s="691"/>
      <c r="J130" s="691"/>
      <c r="K130" s="691"/>
      <c r="N130" s="691"/>
      <c r="O130" s="691"/>
      <c r="R130" s="691"/>
      <c r="S130" s="691"/>
      <c r="V130" s="691"/>
      <c r="W130" s="691"/>
      <c r="Z130" s="691"/>
      <c r="AA130" s="691"/>
      <c r="AD130" s="691"/>
      <c r="AE130" s="691"/>
      <c r="AH130" s="691"/>
      <c r="AI130" s="691"/>
      <c r="AL130" s="691"/>
      <c r="AM130" s="691"/>
      <c r="AP130" s="691"/>
      <c r="AQ130" s="691"/>
      <c r="AT130" s="283"/>
      <c r="AV130" s="655"/>
      <c r="AW130" s="655"/>
    </row>
    <row r="131" spans="1:51">
      <c r="A131" s="282"/>
      <c r="B131" s="675" t="str">
        <f>VLOOKUP(+B125,'[14]Twr Schedule'!$B$9:$C$611,2,FALSE)</f>
        <v>DA+3</v>
      </c>
      <c r="C131" s="675"/>
      <c r="F131" s="675" t="str">
        <f>VLOOKUP(+F125,'[14]Twr Schedule'!$B$9:$C$611,2,FALSE)</f>
        <v>DA+0</v>
      </c>
      <c r="G131" s="675"/>
      <c r="J131" s="675" t="str">
        <f>VLOOKUP(+J125,'[14]Twr Schedule'!$B$9:$C$611,2,FALSE)</f>
        <v>DA-3</v>
      </c>
      <c r="K131" s="675"/>
      <c r="N131" s="675" t="str">
        <f>VLOOKUP(+N125,'[14]Twr Schedule'!$B$9:$C$611,2,FALSE)</f>
        <v>DA+0</v>
      </c>
      <c r="O131" s="675"/>
      <c r="R131" s="675" t="str">
        <f>VLOOKUP(+R125,'[14]Twr Schedule'!$B$9:$C$611,2,FALSE)</f>
        <v>DA+3</v>
      </c>
      <c r="S131" s="675"/>
      <c r="V131" s="675" t="str">
        <f>VLOOKUP(+V125,'[14]Twr Schedule'!$B$9:$C$611,2,FALSE)</f>
        <v>DA+3</v>
      </c>
      <c r="W131" s="675"/>
      <c r="Z131" s="675" t="str">
        <f>VLOOKUP(+Z125,'[14]Twr Schedule'!$B$9:$C$611,2,FALSE)</f>
        <v>DA-3</v>
      </c>
      <c r="AA131" s="675"/>
      <c r="AD131" s="675" t="str">
        <f>VLOOKUP(+AD125,'[14]Twr Schedule'!$B$9:$C$611,2,FALSE)</f>
        <v>DA-3</v>
      </c>
      <c r="AE131" s="675"/>
      <c r="AH131" s="675" t="str">
        <f>VLOOKUP(+AH125,'[14]Twr Schedule'!$B$9:$C$611,2,FALSE)</f>
        <v>DB1+0</v>
      </c>
      <c r="AI131" s="675"/>
      <c r="AL131" s="675" t="str">
        <f>VLOOKUP(+AL125,'[14]Twr Schedule'!$B$9:$C$611,2,FALSE)</f>
        <v>DA-3</v>
      </c>
      <c r="AM131" s="675"/>
      <c r="AP131" s="675" t="str">
        <f>VLOOKUP(+AP125,'[14]Twr Schedule'!$B$9:$C$611,2,FALSE)</f>
        <v>DA+3</v>
      </c>
      <c r="AQ131" s="675"/>
      <c r="AT131" s="283"/>
      <c r="AV131" s="655"/>
      <c r="AW131" s="655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55"/>
      <c r="AW132" s="655"/>
    </row>
    <row r="133" spans="1:51">
      <c r="A133" s="651" t="s">
        <v>829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1"/>
      <c r="AB133" s="651"/>
      <c r="AC133" s="651"/>
      <c r="AD133" s="651"/>
      <c r="AE133" s="651"/>
      <c r="AF133" s="651"/>
      <c r="AG133" s="651"/>
      <c r="AH133" s="651"/>
      <c r="AI133" s="651"/>
      <c r="AJ133" s="651"/>
      <c r="AK133" s="651"/>
      <c r="AL133" s="651"/>
      <c r="AM133" s="651"/>
      <c r="AN133" s="651"/>
      <c r="AO133" s="651"/>
      <c r="AP133" s="651"/>
      <c r="AQ133" s="317" t="s">
        <v>831</v>
      </c>
      <c r="AR133" s="317"/>
      <c r="AT133" s="283"/>
      <c r="AV133" s="655"/>
      <c r="AW133" s="655"/>
    </row>
    <row r="134" spans="1:51">
      <c r="A134" s="282"/>
      <c r="AT134" s="283"/>
      <c r="AV134" s="655"/>
      <c r="AW134" s="655"/>
    </row>
    <row r="135" spans="1:51">
      <c r="A135" s="282"/>
      <c r="B135" s="655" t="s">
        <v>636</v>
      </c>
      <c r="C135" s="655"/>
      <c r="F135" s="655" t="s">
        <v>622</v>
      </c>
      <c r="G135" s="655"/>
      <c r="J135" s="655" t="s">
        <v>420</v>
      </c>
      <c r="K135" s="655"/>
      <c r="N135" s="655" t="s">
        <v>434</v>
      </c>
      <c r="O135" s="655"/>
      <c r="R135" s="655" t="s">
        <v>612</v>
      </c>
      <c r="S135" s="655"/>
      <c r="V135" s="655" t="s">
        <v>616</v>
      </c>
      <c r="W135" s="655"/>
      <c r="Z135" s="655" t="s">
        <v>597</v>
      </c>
      <c r="AA135" s="655"/>
      <c r="AD135" s="655" t="s">
        <v>606</v>
      </c>
      <c r="AE135" s="655"/>
      <c r="AH135" s="655" t="s">
        <v>604</v>
      </c>
      <c r="AI135" s="655"/>
      <c r="AL135" s="655" t="s">
        <v>642</v>
      </c>
      <c r="AM135" s="655"/>
      <c r="AP135" s="655" t="s">
        <v>661</v>
      </c>
      <c r="AQ135" s="655"/>
      <c r="AT135" s="283"/>
      <c r="AV135" s="655"/>
      <c r="AW135" s="655"/>
    </row>
    <row r="136" spans="1:51">
      <c r="A136" s="282"/>
      <c r="AT136" s="283"/>
      <c r="AV136" s="655"/>
      <c r="AW136" s="655"/>
    </row>
    <row r="137" spans="1:51">
      <c r="A137" s="282"/>
      <c r="AT137" s="283"/>
      <c r="AV137" s="655"/>
      <c r="AW137" s="655"/>
    </row>
    <row r="138" spans="1:51">
      <c r="A138" s="282"/>
      <c r="B138" s="296" t="s">
        <v>790</v>
      </c>
      <c r="C138" s="296" t="s">
        <v>791</v>
      </c>
      <c r="D138" s="719">
        <f>VLOOKUP(B135,[14]Progress!$B$9:$D$310,3,FALSE)</f>
        <v>432.89800000000002</v>
      </c>
      <c r="E138" s="720"/>
      <c r="F138" s="296" t="s">
        <v>790</v>
      </c>
      <c r="G138" s="296" t="s">
        <v>791</v>
      </c>
      <c r="H138" s="708">
        <f>VLOOKUP(F135,[14]Progress!$B$9:$D$310,3,FALSE)</f>
        <v>190.94800000000001</v>
      </c>
      <c r="I138" s="709"/>
      <c r="J138" s="296" t="s">
        <v>790</v>
      </c>
      <c r="K138" s="296" t="s">
        <v>791</v>
      </c>
      <c r="L138" s="708">
        <f>VLOOKUP(J135,[14]Progress!$B$9:$D$310,3,FALSE)</f>
        <v>267.423</v>
      </c>
      <c r="M138" s="709"/>
      <c r="N138" s="296" t="s">
        <v>790</v>
      </c>
      <c r="O138" s="296" t="s">
        <v>791</v>
      </c>
      <c r="P138" s="657">
        <f>VLOOKUP(N135,[14]Progress!$B$9:$D$310,3,FALSE)</f>
        <v>371</v>
      </c>
      <c r="Q138" s="656"/>
      <c r="R138" s="296" t="s">
        <v>790</v>
      </c>
      <c r="S138" s="296" t="s">
        <v>791</v>
      </c>
      <c r="T138" s="705">
        <f>VLOOKUP(R135,[14]Progress!$B$9:$D$310,3,FALSE)</f>
        <v>438.91199999999998</v>
      </c>
      <c r="U138" s="706"/>
      <c r="V138" s="296" t="s">
        <v>790</v>
      </c>
      <c r="W138" s="296" t="s">
        <v>791</v>
      </c>
      <c r="X138" s="705">
        <f>VLOOKUP(V135,[14]Progress!$B$9:$D$310,3,FALSE)</f>
        <v>340.13200000000001</v>
      </c>
      <c r="Y138" s="706"/>
      <c r="Z138" s="296" t="s">
        <v>790</v>
      </c>
      <c r="AA138" s="296" t="s">
        <v>791</v>
      </c>
      <c r="AB138" s="657">
        <f>VLOOKUP(Z135,[14]Progress!$B$9:$D$310,3,FALSE)</f>
        <v>283.99599999999998</v>
      </c>
      <c r="AC138" s="656"/>
      <c r="AD138" s="296" t="s">
        <v>790</v>
      </c>
      <c r="AE138" s="296" t="s">
        <v>791</v>
      </c>
      <c r="AF138" s="657">
        <f>VLOOKUP(AD135,[14]Progress!$B$9:$D$310,3,FALSE)</f>
        <v>323</v>
      </c>
      <c r="AG138" s="656"/>
      <c r="AH138" s="296" t="s">
        <v>790</v>
      </c>
      <c r="AI138" s="296" t="s">
        <v>791</v>
      </c>
      <c r="AJ138" s="705">
        <f>VLOOKUP(AH135,[14]Progress!$B$9:$D$310,3,FALSE)</f>
        <v>470.22699999999998</v>
      </c>
      <c r="AK138" s="706"/>
      <c r="AL138" s="296" t="s">
        <v>790</v>
      </c>
      <c r="AM138" s="296" t="s">
        <v>791</v>
      </c>
      <c r="AN138" s="708">
        <f>VLOOKUP(AL135,[14]Progress!$B$9:$D$310,3,FALSE)</f>
        <v>231.53299999999999</v>
      </c>
      <c r="AO138" s="709"/>
      <c r="AP138" s="296" t="s">
        <v>790</v>
      </c>
      <c r="AQ138" s="296" t="s">
        <v>791</v>
      </c>
      <c r="AR138" s="657">
        <f>VLOOKUP(AP135,[14]Progress!$B$9:$D$310,3,FALSE)</f>
        <v>386</v>
      </c>
      <c r="AS138" s="655"/>
      <c r="AT138" s="283"/>
      <c r="AV138" s="655">
        <f>D138+H138+L138+P138+T138+X138+AB138+AF138+AJ138+AN138+AR138</f>
        <v>3736.069</v>
      </c>
      <c r="AW138" s="655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55"/>
      <c r="AW139" s="655"/>
    </row>
    <row r="140" spans="1:51" ht="10.5" customHeight="1">
      <c r="A140" s="282"/>
      <c r="B140" s="691"/>
      <c r="C140" s="691"/>
      <c r="F140" s="691"/>
      <c r="G140" s="691"/>
      <c r="J140" s="691"/>
      <c r="K140" s="691"/>
      <c r="N140" s="691"/>
      <c r="O140" s="691"/>
      <c r="R140" s="691"/>
      <c r="S140" s="691"/>
      <c r="V140" s="691"/>
      <c r="W140" s="691"/>
      <c r="Z140" s="691"/>
      <c r="AA140" s="691"/>
      <c r="AD140" s="691"/>
      <c r="AE140" s="691"/>
      <c r="AH140" s="691"/>
      <c r="AI140" s="691"/>
      <c r="AL140" s="691"/>
      <c r="AM140" s="691"/>
      <c r="AP140" s="691"/>
      <c r="AQ140" s="691"/>
      <c r="AT140" s="283"/>
      <c r="AV140" s="655"/>
      <c r="AW140" s="655"/>
    </row>
    <row r="141" spans="1:51">
      <c r="A141" s="282"/>
      <c r="B141" s="675" t="str">
        <f>VLOOKUP(+B135,'[14]Twr Schedule'!$B$9:$C$611,2,FALSE)</f>
        <v>DA+3</v>
      </c>
      <c r="C141" s="675"/>
      <c r="F141" s="675" t="str">
        <f>VLOOKUP(+F135,'[14]Twr Schedule'!$B$9:$C$611,2,FALSE)</f>
        <v>DB2+3</v>
      </c>
      <c r="G141" s="675"/>
      <c r="J141" s="675" t="str">
        <f>VLOOKUP(+J135,'[14]Twr Schedule'!$B$9:$C$611,2,FALSE)</f>
        <v>DB1+25</v>
      </c>
      <c r="K141" s="675"/>
      <c r="N141" s="675" t="str">
        <f>VLOOKUP(+N135,'[14]Twr Schedule'!$B$9:$C$611,2,FALSE)</f>
        <v>DC2+18</v>
      </c>
      <c r="O141" s="675"/>
      <c r="R141" s="675" t="str">
        <f>VLOOKUP(+R135,'[14]Twr Schedule'!$B$9:$C$611,2,FALSE)</f>
        <v>DA+9</v>
      </c>
      <c r="S141" s="675"/>
      <c r="V141" s="675" t="str">
        <f>VLOOKUP(+V135,'[14]Twr Schedule'!$B$9:$C$611,2,FALSE)</f>
        <v>DA+0</v>
      </c>
      <c r="W141" s="675"/>
      <c r="Z141" s="675" t="str">
        <f>VLOOKUP(+Z135,'[14]Twr Schedule'!$B$9:$C$611,2,FALSE)</f>
        <v>DA-3</v>
      </c>
      <c r="AA141" s="675"/>
      <c r="AD141" s="675" t="str">
        <f>VLOOKUP(+AD135,'[14]Twr Schedule'!$B$9:$C$611,2,FALSE)</f>
        <v>DA-3</v>
      </c>
      <c r="AE141" s="675"/>
      <c r="AH141" s="675" t="str">
        <f>VLOOKUP(+AH135,'[14]Twr Schedule'!$B$9:$C$611,2,FALSE)</f>
        <v>DA-3</v>
      </c>
      <c r="AI141" s="675"/>
      <c r="AL141" s="714" t="str">
        <f>VLOOKUP(+AL135,'[14]Twr Schedule'!$B$9:$C$611,2,FALSE)</f>
        <v>DD60+25</v>
      </c>
      <c r="AM141" s="714"/>
      <c r="AN141" s="315"/>
      <c r="AO141" s="315"/>
      <c r="AP141" s="714" t="str">
        <f>VLOOKUP(+AP135,'[14]Twr Schedule'!$B$9:$C$611,2,FALSE)</f>
        <v>DD60+25</v>
      </c>
      <c r="AQ141" s="714"/>
      <c r="AT141" s="283"/>
      <c r="AV141" s="655"/>
      <c r="AW141" s="655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55"/>
      <c r="AW142" s="655"/>
    </row>
    <row r="143" spans="1:51">
      <c r="A143" s="318" t="s">
        <v>835</v>
      </c>
      <c r="H143" t="s">
        <v>836</v>
      </c>
      <c r="AT143" s="283"/>
      <c r="AV143" s="655"/>
      <c r="AW143" s="655"/>
    </row>
    <row r="144" spans="1:51">
      <c r="A144" s="651" t="s">
        <v>831</v>
      </c>
      <c r="B144" s="651"/>
      <c r="C144" s="651"/>
      <c r="D144" s="651"/>
      <c r="E144" s="651"/>
      <c r="F144" s="651"/>
      <c r="G144" s="651"/>
      <c r="H144" s="651"/>
      <c r="I144" s="651"/>
      <c r="J144" s="651"/>
      <c r="K144" s="651"/>
      <c r="L144" s="651"/>
      <c r="M144" s="651"/>
      <c r="N144" s="651"/>
      <c r="O144" s="651"/>
      <c r="P144" s="651"/>
      <c r="Q144" s="651"/>
      <c r="R144" s="651"/>
      <c r="S144" s="651"/>
      <c r="T144" s="651"/>
      <c r="U144" s="651"/>
      <c r="V144" s="651"/>
      <c r="W144" s="651"/>
      <c r="X144" s="651"/>
      <c r="Y144" s="651"/>
      <c r="Z144" s="651"/>
      <c r="AA144" s="651"/>
      <c r="AB144" s="651"/>
      <c r="AC144" s="651"/>
      <c r="AD144" s="651"/>
      <c r="AE144" s="651"/>
      <c r="AF144" s="651"/>
      <c r="AG144" s="651"/>
      <c r="AH144" s="651"/>
      <c r="AI144" s="722" t="s">
        <v>837</v>
      </c>
      <c r="AJ144" s="722"/>
      <c r="AK144" s="722"/>
      <c r="AL144" s="722"/>
      <c r="AM144" s="722"/>
      <c r="AN144" s="722"/>
      <c r="AO144" s="722"/>
      <c r="AP144" s="722"/>
      <c r="AQ144" s="722"/>
      <c r="AR144" s="722"/>
      <c r="AT144" s="283"/>
      <c r="AV144" s="655"/>
      <c r="AW144" s="655"/>
    </row>
    <row r="145" spans="1:51">
      <c r="A145" s="282"/>
      <c r="B145" s="655" t="str">
        <f>'[14]Twr Schedule'!B273</f>
        <v>25/1</v>
      </c>
      <c r="C145" s="655"/>
      <c r="F145" s="655" t="str">
        <f>'[14]Twr Schedule'!B275</f>
        <v>25/2</v>
      </c>
      <c r="G145" s="655"/>
      <c r="J145" s="655" t="str">
        <f>'[14]Twr Schedule'!B277</f>
        <v>25/3</v>
      </c>
      <c r="K145" s="655"/>
      <c r="N145" s="655" t="str">
        <f>'[14]Twr Schedule'!B279</f>
        <v>26/0</v>
      </c>
      <c r="O145" s="655"/>
      <c r="R145" s="655" t="str">
        <f>'[14]Twr Schedule'!B281</f>
        <v>27/0</v>
      </c>
      <c r="S145" s="655"/>
      <c r="V145" s="655" t="str">
        <f>'[14]Twr Schedule'!B283</f>
        <v>28/0</v>
      </c>
      <c r="W145" s="655"/>
      <c r="Z145" s="655" t="str">
        <f>'[14]Twr Schedule'!B285</f>
        <v>28/1</v>
      </c>
      <c r="AA145" s="655"/>
      <c r="AD145" s="721" t="str">
        <f>'[14]Twr Schedule'!B287</f>
        <v>29/0</v>
      </c>
      <c r="AE145" s="655"/>
      <c r="AH145" s="655" t="str">
        <f>'[14]Twr Schedule'!B289</f>
        <v>30/0</v>
      </c>
      <c r="AI145" s="655"/>
      <c r="AL145" s="655" t="str">
        <f>'[14]Twr Schedule'!B291</f>
        <v>30/1</v>
      </c>
      <c r="AM145" s="655"/>
      <c r="AP145" s="655" t="s">
        <v>594</v>
      </c>
      <c r="AQ145" s="655"/>
      <c r="AT145" s="283"/>
      <c r="AV145" s="655"/>
      <c r="AW145" s="655"/>
    </row>
    <row r="146" spans="1:51">
      <c r="A146" s="282"/>
      <c r="AT146" s="283"/>
      <c r="AV146" s="655"/>
      <c r="AW146" s="655"/>
    </row>
    <row r="147" spans="1:51">
      <c r="A147" s="282"/>
      <c r="AT147" s="283"/>
      <c r="AV147" s="655"/>
      <c r="AW147" s="655"/>
    </row>
    <row r="148" spans="1:51">
      <c r="A148" s="282"/>
      <c r="B148" s="296" t="s">
        <v>790</v>
      </c>
      <c r="C148" s="296" t="s">
        <v>791</v>
      </c>
      <c r="D148" s="657">
        <f>VLOOKUP(B145,[14]Progress!$B$9:$D$310,3,FALSE)</f>
        <v>446</v>
      </c>
      <c r="E148" s="656"/>
      <c r="F148" s="296" t="s">
        <v>790</v>
      </c>
      <c r="G148" s="296" t="s">
        <v>791</v>
      </c>
      <c r="H148" s="657">
        <f>VLOOKUP(F145,[14]Progress!$B$9:$D$310,3,FALSE)</f>
        <v>368</v>
      </c>
      <c r="I148" s="656"/>
      <c r="J148" s="296" t="s">
        <v>790</v>
      </c>
      <c r="K148" s="296" t="s">
        <v>791</v>
      </c>
      <c r="L148" s="705">
        <f>VLOOKUP(J145,[14]Progress!$B$9:$D$310,3,FALSE)</f>
        <v>466.43099999999998</v>
      </c>
      <c r="M148" s="706"/>
      <c r="N148" s="314" t="s">
        <v>790</v>
      </c>
      <c r="O148" s="314" t="s">
        <v>791</v>
      </c>
      <c r="P148" s="705">
        <f>VLOOKUP(N145,[14]Progress!$B$9:$D$310,3,FALSE)</f>
        <v>440.83600000000001</v>
      </c>
      <c r="Q148" s="706"/>
      <c r="R148" s="314" t="s">
        <v>790</v>
      </c>
      <c r="S148" s="314" t="s">
        <v>791</v>
      </c>
      <c r="T148" s="708">
        <f>VLOOKUP(R145,[14]Progress!$B$9:$D$310,3,FALSE)</f>
        <v>299.47300000000001</v>
      </c>
      <c r="U148" s="709"/>
      <c r="V148" s="314" t="s">
        <v>790</v>
      </c>
      <c r="W148" s="314" t="s">
        <v>791</v>
      </c>
      <c r="X148" s="705">
        <f>VLOOKUP(V145,[14]Progress!$B$9:$D$310,3,FALSE)</f>
        <v>233</v>
      </c>
      <c r="Y148" s="706"/>
      <c r="Z148" s="314" t="s">
        <v>790</v>
      </c>
      <c r="AA148" s="314" t="s">
        <v>791</v>
      </c>
      <c r="AB148" s="705">
        <f>VLOOKUP(Z145,[14]Progress!$B$9:$D$310,3,FALSE)</f>
        <v>454.66899999999998</v>
      </c>
      <c r="AC148" s="706"/>
      <c r="AD148" s="314" t="s">
        <v>790</v>
      </c>
      <c r="AE148" s="314" t="s">
        <v>791</v>
      </c>
      <c r="AF148" s="705">
        <f>VLOOKUP(AD145,[14]Progress!$B$9:$D$310,3,FALSE)</f>
        <v>270.08</v>
      </c>
      <c r="AG148" s="706"/>
      <c r="AH148" s="314" t="s">
        <v>790</v>
      </c>
      <c r="AI148" s="314" t="s">
        <v>791</v>
      </c>
      <c r="AJ148" s="705">
        <f>VLOOKUP(AH145,[14]Progress!$B$9:$D$310,3,FALSE)</f>
        <v>435</v>
      </c>
      <c r="AK148" s="706"/>
      <c r="AL148" s="296" t="s">
        <v>790</v>
      </c>
      <c r="AM148" s="296" t="s">
        <v>791</v>
      </c>
      <c r="AN148" s="657">
        <f>VLOOKUP(AL145,[14]Progress!$B$9:$D$310,3,FALSE)</f>
        <v>347</v>
      </c>
      <c r="AO148" s="656"/>
      <c r="AP148" s="296" t="s">
        <v>790</v>
      </c>
      <c r="AQ148" s="296" t="s">
        <v>791</v>
      </c>
      <c r="AR148" s="657">
        <f>VLOOKUP(AP145,[14]Progress!$B$9:$D$310,3,FALSE)</f>
        <v>396</v>
      </c>
      <c r="AS148" s="655"/>
      <c r="AT148" s="283"/>
      <c r="AV148" s="655">
        <f>D148+H148+L148+P148+T148+X148+AB148+AF148+AJ148+AN148+AR148</f>
        <v>4156.4889999999996</v>
      </c>
      <c r="AW148" s="655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55"/>
      <c r="AW149" s="655"/>
    </row>
    <row r="150" spans="1:51" ht="10.5" customHeight="1">
      <c r="A150" s="282"/>
      <c r="B150" s="691"/>
      <c r="C150" s="691"/>
      <c r="F150" s="691"/>
      <c r="G150" s="691"/>
      <c r="J150" s="691"/>
      <c r="K150" s="691"/>
      <c r="N150" s="691"/>
      <c r="O150" s="691"/>
      <c r="R150" s="691"/>
      <c r="S150" s="691"/>
      <c r="V150" s="691"/>
      <c r="W150" s="691"/>
      <c r="Z150" s="691"/>
      <c r="AA150" s="691"/>
      <c r="AD150" s="691"/>
      <c r="AE150" s="691"/>
      <c r="AH150" s="691"/>
      <c r="AI150" s="691"/>
      <c r="AL150" s="691"/>
      <c r="AM150" s="691"/>
      <c r="AP150" s="691"/>
      <c r="AQ150" s="691"/>
      <c r="AT150" s="283"/>
      <c r="AV150" s="655"/>
      <c r="AW150" s="655"/>
    </row>
    <row r="151" spans="1:51">
      <c r="A151" s="282"/>
      <c r="B151" s="675" t="str">
        <f>VLOOKUP(+B145,'[14]Twr Schedule'!$B$9:$C$611,2,FALSE)</f>
        <v>DA+9</v>
      </c>
      <c r="C151" s="675"/>
      <c r="F151" s="675" t="str">
        <f>VLOOKUP(+F145,'[14]Twr Schedule'!$B$9:$C$611,2,FALSE)</f>
        <v>DA+0</v>
      </c>
      <c r="G151" s="675"/>
      <c r="J151" s="675" t="str">
        <f>VLOOKUP(+J145,'[14]Twr Schedule'!$B$9:$C$611,2,FALSE)</f>
        <v>DA+3</v>
      </c>
      <c r="K151" s="675"/>
      <c r="N151" s="675" t="str">
        <f>VLOOKUP(+N145,'[14]Twr Schedule'!$B$9:$C$611,2,FALSE)</f>
        <v>DB2+9</v>
      </c>
      <c r="O151" s="675"/>
      <c r="R151" s="675" t="str">
        <f>VLOOKUP(+R145,'[14]Twr Schedule'!$B$9:$C$611,2,FALSE)</f>
        <v>DD60+3</v>
      </c>
      <c r="S151" s="675"/>
      <c r="V151" s="675" t="str">
        <f>VLOOKUP(+V145,'[14]Twr Schedule'!$B$9:$C$611,2,FALSE)</f>
        <v>DD60+0</v>
      </c>
      <c r="W151" s="675"/>
      <c r="Z151" s="675" t="str">
        <f>VLOOKUP(+Z145,'[14]Twr Schedule'!$B$9:$C$611,2,FALSE)</f>
        <v>DA+3</v>
      </c>
      <c r="AA151" s="675"/>
      <c r="AD151" s="714" t="str">
        <f>VLOOKUP(+AD145,'[14]Twr Schedule'!$B$9:$C$611,2,FALSE)</f>
        <v>DD60+25</v>
      </c>
      <c r="AE151" s="714"/>
      <c r="AF151" s="315"/>
      <c r="AG151" s="315"/>
      <c r="AH151" s="714" t="str">
        <f>VLOOKUP(+AH145,'[14]Twr Schedule'!$B$9:$C$611,2,FALSE)</f>
        <v>DD60+18</v>
      </c>
      <c r="AI151" s="714"/>
      <c r="AL151" s="675" t="str">
        <f>VLOOKUP(+AL145,'[14]Twr Schedule'!$B$9:$C$611,2,FALSE)</f>
        <v>DA-3</v>
      </c>
      <c r="AM151" s="675"/>
      <c r="AP151" s="675" t="str">
        <f>VLOOKUP(+AP145,'[14]Twr Schedule'!$B$9:$C$611,2,FALSE)</f>
        <v>DA-3</v>
      </c>
      <c r="AQ151" s="675"/>
      <c r="AT151" s="283"/>
      <c r="AV151" s="655"/>
      <c r="AW151" s="655"/>
    </row>
    <row r="152" spans="1:51">
      <c r="A152" s="282"/>
      <c r="U152" s="2" t="s">
        <v>838</v>
      </c>
      <c r="AF152" s="2" t="s">
        <v>839</v>
      </c>
      <c r="AT152" s="283"/>
      <c r="AV152" s="655"/>
      <c r="AW152" s="655"/>
    </row>
    <row r="153" spans="1:51">
      <c r="A153" s="711" t="s">
        <v>837</v>
      </c>
      <c r="B153" s="640"/>
      <c r="C153" s="640"/>
      <c r="D153" s="640"/>
      <c r="E153" s="640"/>
      <c r="F153" s="640"/>
      <c r="G153" s="640"/>
      <c r="H153" s="640"/>
      <c r="I153" s="640"/>
      <c r="J153" s="640"/>
      <c r="K153" s="640"/>
      <c r="L153" s="640"/>
      <c r="M153" s="640"/>
      <c r="N153" s="640"/>
      <c r="O153" s="640"/>
      <c r="P153" s="640"/>
      <c r="Q153" s="640"/>
      <c r="R153" s="641"/>
      <c r="S153" s="723" t="s">
        <v>840</v>
      </c>
      <c r="T153" s="723"/>
      <c r="U153" s="723"/>
      <c r="V153" s="723"/>
      <c r="W153" s="723"/>
      <c r="X153" s="723"/>
      <c r="Y153" s="723"/>
      <c r="Z153" s="723"/>
      <c r="AA153" s="723"/>
      <c r="AB153" s="723"/>
      <c r="AC153" s="723"/>
      <c r="AD153" s="723"/>
      <c r="AE153" s="723"/>
      <c r="AF153" s="723"/>
      <c r="AG153" s="723"/>
      <c r="AH153" s="723"/>
      <c r="AI153" s="723"/>
      <c r="AJ153" s="723"/>
      <c r="AK153" s="723"/>
      <c r="AL153" s="723"/>
      <c r="AM153" s="723"/>
      <c r="AN153" s="723"/>
      <c r="AO153" s="723"/>
      <c r="AP153" s="723"/>
      <c r="AQ153" s="723"/>
      <c r="AR153" s="723"/>
      <c r="AT153" s="283"/>
      <c r="AV153" s="655"/>
      <c r="AW153" s="655"/>
    </row>
    <row r="154" spans="1:51">
      <c r="A154" s="282"/>
      <c r="R154" s="715"/>
      <c r="S154" s="715"/>
      <c r="T154" s="715"/>
      <c r="U154" s="715"/>
      <c r="V154" s="715"/>
      <c r="W154" s="715"/>
      <c r="X154" s="715"/>
      <c r="Y154" s="715"/>
      <c r="Z154" s="715"/>
      <c r="AA154" s="715"/>
      <c r="AB154" s="715"/>
      <c r="AC154" s="715"/>
      <c r="AD154" s="715"/>
      <c r="AE154" s="715"/>
      <c r="AF154" s="715"/>
      <c r="AG154" s="715"/>
      <c r="AH154" s="715"/>
      <c r="AI154" s="715"/>
      <c r="AJ154" s="715"/>
      <c r="AK154" s="715"/>
      <c r="AL154" s="715"/>
      <c r="AM154" s="715"/>
      <c r="AN154" s="715"/>
      <c r="AO154" s="715"/>
      <c r="AP154" s="715"/>
      <c r="AQ154" s="715"/>
      <c r="AR154" s="715"/>
      <c r="AS154" s="715"/>
      <c r="AT154" s="283"/>
      <c r="AV154" s="655"/>
      <c r="AW154" s="655"/>
    </row>
    <row r="155" spans="1:51">
      <c r="A155" s="282"/>
      <c r="B155" s="721" t="s">
        <v>580</v>
      </c>
      <c r="C155" s="655"/>
      <c r="F155" s="724" t="s">
        <v>529</v>
      </c>
      <c r="G155" s="655"/>
      <c r="J155" s="721" t="str">
        <f>'[14]Twr Schedule'!B299</f>
        <v>30/5</v>
      </c>
      <c r="K155" s="655"/>
      <c r="N155" s="721" t="str">
        <f>'[14]Twr Schedule'!B301</f>
        <v>30/6</v>
      </c>
      <c r="O155" s="655"/>
      <c r="R155" s="724" t="str">
        <f>'[14]Twr Schedule'!B303</f>
        <v>31/0</v>
      </c>
      <c r="S155" s="655"/>
      <c r="V155" s="724" t="str">
        <f>'[14]Twr Schedule'!B305</f>
        <v>31/1</v>
      </c>
      <c r="W155" s="655"/>
      <c r="Z155" s="724" t="str">
        <f>'[14]Twr Schedule'!B307</f>
        <v>31/2</v>
      </c>
      <c r="AA155" s="655"/>
      <c r="AD155" s="724" t="str">
        <f>'[14]Twr Schedule'!B309</f>
        <v>31/3</v>
      </c>
      <c r="AE155" s="655"/>
      <c r="AH155" s="724" t="str">
        <f>'[14]Twr Schedule'!B311</f>
        <v>31/4</v>
      </c>
      <c r="AI155" s="655"/>
      <c r="AL155" s="724" t="str">
        <f>'[14]Twr Schedule'!B313</f>
        <v>31/5</v>
      </c>
      <c r="AM155" s="655"/>
      <c r="AP155" s="724" t="str">
        <f>'[14]Twr Schedule'!B315</f>
        <v>31/6</v>
      </c>
      <c r="AQ155" s="655"/>
      <c r="AT155" s="283"/>
      <c r="AV155" s="655"/>
      <c r="AW155" s="655"/>
    </row>
    <row r="156" spans="1:51">
      <c r="A156" s="282"/>
      <c r="AT156" s="283"/>
      <c r="AV156" s="655"/>
      <c r="AW156" s="655"/>
    </row>
    <row r="157" spans="1:51">
      <c r="A157" s="282"/>
      <c r="AT157" s="283"/>
      <c r="AV157" s="655"/>
      <c r="AW157" s="655"/>
    </row>
    <row r="158" spans="1:51">
      <c r="A158" s="282"/>
      <c r="B158" s="296" t="s">
        <v>790</v>
      </c>
      <c r="C158" s="296" t="s">
        <v>791</v>
      </c>
      <c r="D158" s="657">
        <f>VLOOKUP(B155,[14]Progress!$B$9:$D$310,3,FALSE)</f>
        <v>410</v>
      </c>
      <c r="E158" s="656"/>
      <c r="F158" s="319" t="s">
        <v>790</v>
      </c>
      <c r="G158" s="296" t="s">
        <v>791</v>
      </c>
      <c r="H158" s="657">
        <f>VLOOKUP(F155,[14]Progress!$B$9:$D$310,3,FALSE)</f>
        <v>424</v>
      </c>
      <c r="I158" s="656"/>
      <c r="J158" s="296" t="s">
        <v>790</v>
      </c>
      <c r="K158" s="296" t="s">
        <v>791</v>
      </c>
      <c r="L158" s="657">
        <f>VLOOKUP(J155,[14]Progress!$B$9:$D$310,3,FALSE)</f>
        <v>373</v>
      </c>
      <c r="M158" s="656"/>
      <c r="N158" s="296" t="s">
        <v>790</v>
      </c>
      <c r="O158" s="296" t="s">
        <v>791</v>
      </c>
      <c r="P158" s="705">
        <f>VLOOKUP(N155,[14]Progress!$B$9:$D$310,3,FALSE)</f>
        <v>365.46100000000001</v>
      </c>
      <c r="Q158" s="706"/>
      <c r="R158" s="314" t="s">
        <v>790</v>
      </c>
      <c r="S158" s="314" t="s">
        <v>791</v>
      </c>
      <c r="T158" s="705">
        <f>VLOOKUP(R155,[14]Progress!$B$9:$D$310,3,FALSE)</f>
        <v>376</v>
      </c>
      <c r="U158" s="706"/>
      <c r="V158" s="314" t="s">
        <v>790</v>
      </c>
      <c r="W158" s="314" t="s">
        <v>791</v>
      </c>
      <c r="X158" s="705">
        <f>VLOOKUP(V155,[14]Progress!$B$9:$D$310,3,FALSE)</f>
        <v>403</v>
      </c>
      <c r="Y158" s="706"/>
      <c r="Z158" s="314" t="s">
        <v>790</v>
      </c>
      <c r="AA158" s="314" t="s">
        <v>791</v>
      </c>
      <c r="AB158" s="705">
        <f>VLOOKUP(Z155,[14]Progress!$B$9:$D$310,3,FALSE)</f>
        <v>399</v>
      </c>
      <c r="AC158" s="706"/>
      <c r="AD158" s="314" t="s">
        <v>790</v>
      </c>
      <c r="AE158" s="314" t="s">
        <v>791</v>
      </c>
      <c r="AF158" s="705">
        <f>VLOOKUP(AD155,[14]Progress!$B$9:$D$310,3,FALSE)</f>
        <v>404</v>
      </c>
      <c r="AG158" s="706"/>
      <c r="AH158" s="314" t="s">
        <v>790</v>
      </c>
      <c r="AI158" s="314" t="s">
        <v>791</v>
      </c>
      <c r="AJ158" s="705">
        <f>VLOOKUP(AH155,[14]Progress!$B$9:$D$310,3,FALSE)</f>
        <v>358</v>
      </c>
      <c r="AK158" s="706"/>
      <c r="AL158" s="314" t="s">
        <v>790</v>
      </c>
      <c r="AM158" s="314" t="s">
        <v>791</v>
      </c>
      <c r="AN158" s="705">
        <f>VLOOKUP(AL155,[14]Progress!$B$9:$D$310,3,FALSE)</f>
        <v>363</v>
      </c>
      <c r="AO158" s="706"/>
      <c r="AP158" s="314" t="s">
        <v>790</v>
      </c>
      <c r="AQ158" s="314" t="s">
        <v>791</v>
      </c>
      <c r="AR158" s="705">
        <f>VLOOKUP(AP155,[14]Progress!$B$9:$D$310,3,FALSE)</f>
        <v>407</v>
      </c>
      <c r="AS158" s="707"/>
      <c r="AT158" s="283"/>
      <c r="AV158" s="655">
        <f>D158+H158+L158+P158+T158+X158+AB158+AF158+AJ158+AN158+AR158</f>
        <v>4282.4610000000002</v>
      </c>
      <c r="AW158" s="655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55"/>
      <c r="AW159" s="655"/>
    </row>
    <row r="160" spans="1:51" ht="10.5" customHeight="1">
      <c r="A160" s="282"/>
      <c r="B160" s="691"/>
      <c r="C160" s="691"/>
      <c r="F160" s="691"/>
      <c r="G160" s="691"/>
      <c r="J160" s="691"/>
      <c r="K160" s="691"/>
      <c r="N160" s="691"/>
      <c r="O160" s="691"/>
      <c r="R160" s="691"/>
      <c r="S160" s="691"/>
      <c r="V160" s="691"/>
      <c r="W160" s="691"/>
      <c r="Z160" s="691"/>
      <c r="AA160" s="691"/>
      <c r="AD160" s="691"/>
      <c r="AE160" s="691"/>
      <c r="AH160" s="691"/>
      <c r="AI160" s="691"/>
      <c r="AL160" s="691"/>
      <c r="AM160" s="691"/>
      <c r="AP160" s="691"/>
      <c r="AQ160" s="691"/>
      <c r="AT160" s="283"/>
      <c r="AV160" s="655"/>
      <c r="AW160" s="655"/>
    </row>
    <row r="161" spans="1:51">
      <c r="A161" s="282"/>
      <c r="B161" s="675" t="str">
        <f>VLOOKUP(+B155,'[14]Twr Schedule'!$B$9:$C$611,2,FALSE)</f>
        <v>DA+0</v>
      </c>
      <c r="C161" s="675"/>
      <c r="F161" s="675" t="str">
        <f>VLOOKUP(+F155,'[14]Twr Schedule'!$B$9:$C$611,2,FALSE)</f>
        <v>DA+3</v>
      </c>
      <c r="G161" s="675"/>
      <c r="J161" s="675" t="str">
        <f>VLOOKUP(+J155,'[14]Twr Schedule'!$B$9:$C$611,2,FALSE)</f>
        <v>DA+0</v>
      </c>
      <c r="K161" s="675"/>
      <c r="N161" s="675" t="str">
        <f>VLOOKUP(+N155,'[14]Twr Schedule'!$B$9:$C$611,2,FALSE)</f>
        <v>DA-3</v>
      </c>
      <c r="O161" s="675"/>
      <c r="R161" s="675" t="str">
        <f>VLOOKUP(+R155,'[14]Twr Schedule'!$B$9:$C$611,2,FALSE)</f>
        <v>DB2+0</v>
      </c>
      <c r="S161" s="675"/>
      <c r="V161" s="675" t="str">
        <f>VLOOKUP(+V155,'[14]Twr Schedule'!$B$9:$C$611,2,FALSE)</f>
        <v>DA+0</v>
      </c>
      <c r="W161" s="675"/>
      <c r="Z161" s="675" t="str">
        <f>VLOOKUP(+Z155,'[14]Twr Schedule'!$B$9:$C$611,2,FALSE)</f>
        <v>DA+0</v>
      </c>
      <c r="AA161" s="675"/>
      <c r="AD161" s="675" t="str">
        <f>VLOOKUP(+AD155,'[14]Twr Schedule'!$B$9:$C$611,2,FALSE)</f>
        <v>DA+3</v>
      </c>
      <c r="AE161" s="675"/>
      <c r="AH161" s="675" t="str">
        <f>VLOOKUP(+AH155,'[14]Twr Schedule'!$B$9:$C$611,2,FALSE)</f>
        <v>DA-3</v>
      </c>
      <c r="AI161" s="675"/>
      <c r="AL161" s="675" t="str">
        <f>VLOOKUP(+AL155,'[14]Twr Schedule'!$B$9:$C$611,2,FALSE)</f>
        <v>DA-3</v>
      </c>
      <c r="AM161" s="675"/>
      <c r="AP161" s="675" t="str">
        <f>VLOOKUP(+AP155,'[14]Twr Schedule'!$B$9:$C$611,2,FALSE)</f>
        <v>DA+3</v>
      </c>
      <c r="AQ161" s="675"/>
      <c r="AT161" s="283"/>
      <c r="AV161" s="655"/>
      <c r="AW161" s="655"/>
    </row>
    <row r="162" spans="1:51">
      <c r="A162" s="282"/>
      <c r="AT162" s="283"/>
      <c r="AV162" s="655"/>
      <c r="AW162" s="655"/>
    </row>
    <row r="163" spans="1:51">
      <c r="A163" s="702" t="s">
        <v>840</v>
      </c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3"/>
      <c r="P163" s="703"/>
      <c r="Q163" s="703"/>
      <c r="R163" s="703"/>
      <c r="S163" s="703"/>
      <c r="T163" s="703"/>
      <c r="U163" s="703"/>
      <c r="V163" s="704"/>
      <c r="W163" s="725" t="s">
        <v>841</v>
      </c>
      <c r="X163" s="726"/>
      <c r="Y163" s="726"/>
      <c r="Z163" s="726"/>
      <c r="AA163" s="726"/>
      <c r="AB163" s="726"/>
      <c r="AC163" s="726"/>
      <c r="AD163" s="726"/>
      <c r="AE163" s="726"/>
      <c r="AF163" s="726"/>
      <c r="AG163" s="726"/>
      <c r="AH163" s="726"/>
      <c r="AI163" s="726"/>
      <c r="AJ163" s="726"/>
      <c r="AK163" s="726"/>
      <c r="AL163" s="726"/>
      <c r="AM163" s="726"/>
      <c r="AN163" s="726"/>
      <c r="AO163" s="726"/>
      <c r="AP163" s="726"/>
      <c r="AQ163" s="726"/>
      <c r="AR163" s="727"/>
      <c r="AT163" s="283"/>
      <c r="AV163" s="655"/>
      <c r="AW163" s="655"/>
    </row>
    <row r="164" spans="1:51">
      <c r="A164" s="282"/>
      <c r="B164" s="715"/>
      <c r="C164" s="715"/>
      <c r="D164" s="715"/>
      <c r="E164" s="715"/>
      <c r="F164" s="715"/>
      <c r="G164" s="715"/>
      <c r="H164" s="715"/>
      <c r="I164" s="715"/>
      <c r="J164" s="715"/>
      <c r="K164" s="715"/>
      <c r="L164" s="715"/>
      <c r="M164" s="715"/>
      <c r="N164" s="715"/>
      <c r="O164" s="715"/>
      <c r="P164" s="715"/>
      <c r="Q164" s="715"/>
      <c r="R164" s="715"/>
      <c r="S164" s="715"/>
      <c r="V164" s="715"/>
      <c r="W164" s="715"/>
      <c r="X164" s="715"/>
      <c r="Y164" s="715"/>
      <c r="Z164" s="715"/>
      <c r="AA164" s="715"/>
      <c r="AB164" s="715"/>
      <c r="AC164" s="715"/>
      <c r="AD164" s="715"/>
      <c r="AE164" s="715"/>
      <c r="AF164" s="715"/>
      <c r="AG164" s="715"/>
      <c r="AH164" s="715"/>
      <c r="AI164" s="715"/>
      <c r="AJ164" s="715"/>
      <c r="AK164" s="715"/>
      <c r="AL164" s="715"/>
      <c r="AM164" s="715"/>
      <c r="AN164" s="715"/>
      <c r="AO164" s="715"/>
      <c r="AP164" s="715"/>
      <c r="AQ164" s="715"/>
      <c r="AR164" s="715"/>
      <c r="AS164" s="715"/>
      <c r="AT164" s="283"/>
      <c r="AV164" s="655"/>
      <c r="AW164" s="655"/>
    </row>
    <row r="165" spans="1:51">
      <c r="A165" s="282"/>
      <c r="B165" s="655" t="str">
        <f>'[14]Twr Schedule'!B317</f>
        <v>31/7</v>
      </c>
      <c r="C165" s="655"/>
      <c r="F165" s="655" t="str">
        <f>'[14]Twr Schedule'!B319</f>
        <v>31/8</v>
      </c>
      <c r="G165" s="655"/>
      <c r="J165" s="655" t="str">
        <f>'[14]Twr Schedule'!B321</f>
        <v>31/9</v>
      </c>
      <c r="K165" s="655"/>
      <c r="N165" s="655" t="str">
        <f>'[14]Twr Schedule'!B323</f>
        <v>31/10</v>
      </c>
      <c r="O165" s="655"/>
      <c r="R165" s="655" t="str">
        <f>'[14]Twr Schedule'!B325</f>
        <v>32/0</v>
      </c>
      <c r="S165" s="655"/>
      <c r="V165" s="655" t="str">
        <f>'[14]Twr Schedule'!B327</f>
        <v>33/0</v>
      </c>
      <c r="W165" s="655"/>
      <c r="Z165" s="655" t="str">
        <f>'[14]Twr Schedule'!B329</f>
        <v>33/1</v>
      </c>
      <c r="AA165" s="655"/>
      <c r="AD165" s="655" t="str">
        <f>'[14]Twr Schedule'!B331</f>
        <v>33/2</v>
      </c>
      <c r="AE165" s="655"/>
      <c r="AH165" s="655" t="str">
        <f>'[14]Twr Schedule'!B333</f>
        <v>33/3</v>
      </c>
      <c r="AI165" s="655"/>
      <c r="AL165" s="655" t="str">
        <f>'[14]Twr Schedule'!B335</f>
        <v>33/4</v>
      </c>
      <c r="AM165" s="655"/>
      <c r="AP165" s="655" t="str">
        <f>'[14]Twr Schedule'!B337</f>
        <v>33/5</v>
      </c>
      <c r="AQ165" s="655"/>
      <c r="AT165" s="283"/>
      <c r="AV165" s="655"/>
      <c r="AW165" s="655"/>
    </row>
    <row r="166" spans="1:51">
      <c r="A166" s="282"/>
      <c r="AT166" s="283"/>
      <c r="AV166" s="655"/>
      <c r="AW166" s="655"/>
    </row>
    <row r="167" spans="1:51">
      <c r="A167" s="282"/>
      <c r="AT167" s="283"/>
      <c r="AV167" s="655"/>
      <c r="AW167" s="655"/>
    </row>
    <row r="168" spans="1:51">
      <c r="A168" s="282"/>
      <c r="B168" s="296" t="s">
        <v>790</v>
      </c>
      <c r="C168" s="296" t="s">
        <v>791</v>
      </c>
      <c r="D168" s="657">
        <f>VLOOKUP(B165,[14]Progress!$B$9:$D$310,3,FALSE)</f>
        <v>384</v>
      </c>
      <c r="E168" s="656"/>
      <c r="F168" s="296" t="s">
        <v>790</v>
      </c>
      <c r="G168" s="296" t="s">
        <v>791</v>
      </c>
      <c r="H168" s="657">
        <f>VLOOKUP(F165,[14]Progress!$B$9:$D$310,3,FALSE)</f>
        <v>386</v>
      </c>
      <c r="I168" s="656"/>
      <c r="J168" s="296" t="s">
        <v>790</v>
      </c>
      <c r="K168" s="296" t="s">
        <v>791</v>
      </c>
      <c r="L168" s="657">
        <f>VLOOKUP(J165,[14]Progress!$B$9:$D$310,3,FALSE)</f>
        <v>394</v>
      </c>
      <c r="M168" s="656"/>
      <c r="N168" s="296" t="s">
        <v>790</v>
      </c>
      <c r="O168" s="296" t="s">
        <v>791</v>
      </c>
      <c r="P168" s="705">
        <f>VLOOKUP(N165,[14]Progress!$B$9:$D$310,3,FALSE)</f>
        <v>409.666</v>
      </c>
      <c r="Q168" s="706"/>
      <c r="R168" s="314" t="s">
        <v>790</v>
      </c>
      <c r="S168" s="314" t="s">
        <v>791</v>
      </c>
      <c r="T168" s="705">
        <f>VLOOKUP(R165,[14]Progress!$B$9:$D$310,3,FALSE)</f>
        <v>407.17</v>
      </c>
      <c r="U168" s="706"/>
      <c r="V168" s="314" t="s">
        <v>790</v>
      </c>
      <c r="W168" s="314" t="s">
        <v>791</v>
      </c>
      <c r="X168" s="705">
        <f>VLOOKUP(V165,[14]Progress!$B$9:$D$310,3,FALSE)</f>
        <v>365</v>
      </c>
      <c r="Y168" s="706"/>
      <c r="Z168" s="314" t="s">
        <v>790</v>
      </c>
      <c r="AA168" s="314" t="s">
        <v>791</v>
      </c>
      <c r="AB168" s="705">
        <f>VLOOKUP(Z165,[14]Progress!$B$9:$D$310,3,FALSE)</f>
        <v>365</v>
      </c>
      <c r="AC168" s="706"/>
      <c r="AD168" s="314" t="s">
        <v>790</v>
      </c>
      <c r="AE168" s="314" t="s">
        <v>791</v>
      </c>
      <c r="AF168" s="705">
        <f>VLOOKUP(AD165,[14]Progress!$B$9:$D$310,3,FALSE)</f>
        <v>406</v>
      </c>
      <c r="AG168" s="706"/>
      <c r="AH168" s="314" t="s">
        <v>790</v>
      </c>
      <c r="AI168" s="314" t="s">
        <v>791</v>
      </c>
      <c r="AJ168" s="705">
        <f>VLOOKUP(AH165,[14]Progress!$B$9:$D$310,3,FALSE)</f>
        <v>389</v>
      </c>
      <c r="AK168" s="706"/>
      <c r="AL168" s="314" t="s">
        <v>790</v>
      </c>
      <c r="AM168" s="314" t="s">
        <v>791</v>
      </c>
      <c r="AN168" s="705">
        <f>VLOOKUP(AL165,[14]Progress!$B$9:$D$310,3,FALSE)</f>
        <v>395</v>
      </c>
      <c r="AO168" s="706"/>
      <c r="AP168" s="314" t="s">
        <v>790</v>
      </c>
      <c r="AQ168" s="314" t="s">
        <v>791</v>
      </c>
      <c r="AR168" s="705">
        <f>VLOOKUP(AP165,[14]Progress!$B$9:$D$310,3,FALSE)</f>
        <v>430</v>
      </c>
      <c r="AS168" s="707"/>
      <c r="AT168" s="283"/>
      <c r="AV168" s="655">
        <f>D168+H168+L168+P168+T168+X168+AB168+AF168+AJ168+AN168+AR168</f>
        <v>4330.8360000000002</v>
      </c>
      <c r="AW168" s="655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55"/>
      <c r="AW169" s="655"/>
    </row>
    <row r="170" spans="1:51" ht="10.5" customHeight="1">
      <c r="A170" s="282"/>
      <c r="B170" s="691"/>
      <c r="C170" s="691"/>
      <c r="F170" s="691"/>
      <c r="G170" s="691"/>
      <c r="J170" s="691"/>
      <c r="K170" s="691"/>
      <c r="N170" s="691"/>
      <c r="O170" s="691"/>
      <c r="R170" s="691"/>
      <c r="S170" s="691"/>
      <c r="V170" s="691"/>
      <c r="W170" s="691"/>
      <c r="Z170" s="691"/>
      <c r="AA170" s="691"/>
      <c r="AD170" s="691"/>
      <c r="AE170" s="691"/>
      <c r="AH170" s="691"/>
      <c r="AI170" s="691"/>
      <c r="AL170" s="691"/>
      <c r="AM170" s="691"/>
      <c r="AP170" s="691"/>
      <c r="AQ170" s="691"/>
      <c r="AT170" s="283"/>
      <c r="AV170" s="655"/>
      <c r="AW170" s="655"/>
    </row>
    <row r="171" spans="1:51">
      <c r="A171" s="282"/>
      <c r="B171" s="675" t="str">
        <f>VLOOKUP(+B165,'[14]Twr Schedule'!$B$9:$C$611,2,FALSE)</f>
        <v>DA+0</v>
      </c>
      <c r="C171" s="675"/>
      <c r="F171" s="675" t="str">
        <f>VLOOKUP(+F165,'[14]Twr Schedule'!$B$9:$C$611,2,FALSE)</f>
        <v>DA-3</v>
      </c>
      <c r="G171" s="675"/>
      <c r="J171" s="675" t="str">
        <f>VLOOKUP(+J165,'[14]Twr Schedule'!$B$9:$C$611,2,FALSE)</f>
        <v>DA+3</v>
      </c>
      <c r="K171" s="675"/>
      <c r="N171" s="675" t="str">
        <f>VLOOKUP(+N165,'[14]Twr Schedule'!$B$9:$C$611,2,FALSE)</f>
        <v>DA-3</v>
      </c>
      <c r="O171" s="675"/>
      <c r="R171" s="675" t="str">
        <f>VLOOKUP(+R165,'[14]Twr Schedule'!$B$9:$C$611,2,FALSE)</f>
        <v>DC1+6</v>
      </c>
      <c r="S171" s="675"/>
      <c r="V171" s="675" t="str">
        <f>VLOOKUP(+V165,'[14]Twr Schedule'!$B$9:$C$611,2,FALSE)</f>
        <v>DC2+6</v>
      </c>
      <c r="W171" s="675"/>
      <c r="Z171" s="675" t="str">
        <f>VLOOKUP(+Z165,'[14]Twr Schedule'!$B$9:$C$611,2,FALSE)</f>
        <v>DA-3</v>
      </c>
      <c r="AA171" s="675"/>
      <c r="AD171" s="675" t="str">
        <f>VLOOKUP(+AD165,'[14]Twr Schedule'!$B$9:$C$611,2,FALSE)</f>
        <v>DA-3</v>
      </c>
      <c r="AE171" s="675"/>
      <c r="AH171" s="675" t="str">
        <f>VLOOKUP(+AH165,'[14]Twr Schedule'!$B$9:$C$611,2,FALSE)</f>
        <v>DA+3</v>
      </c>
      <c r="AI171" s="675"/>
      <c r="AL171" s="675" t="str">
        <f>VLOOKUP(+AL165,'[14]Twr Schedule'!$B$9:$C$611,2,FALSE)</f>
        <v>DA-3</v>
      </c>
      <c r="AM171" s="675"/>
      <c r="AP171" s="675" t="str">
        <f>VLOOKUP(+AP165,'[14]Twr Schedule'!$B$9:$C$611,2,FALSE)</f>
        <v>DA+3</v>
      </c>
      <c r="AQ171" s="675"/>
      <c r="AT171" s="283"/>
      <c r="AV171" s="655"/>
      <c r="AW171" s="655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55"/>
      <c r="AW172" s="655"/>
    </row>
    <row r="173" spans="1:51">
      <c r="A173" s="728" t="s">
        <v>841</v>
      </c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8"/>
      <c r="P173" s="728"/>
      <c r="Q173" s="728"/>
      <c r="R173" s="728"/>
      <c r="S173" s="728"/>
      <c r="T173" s="728"/>
      <c r="U173" s="728"/>
      <c r="V173" s="728"/>
      <c r="W173" s="728"/>
      <c r="X173" s="728"/>
      <c r="Y173" s="728"/>
      <c r="Z173" s="728"/>
      <c r="AA173" s="723" t="s">
        <v>842</v>
      </c>
      <c r="AB173" s="723"/>
      <c r="AC173" s="723"/>
      <c r="AD173" s="723"/>
      <c r="AE173" s="723"/>
      <c r="AF173" s="723"/>
      <c r="AG173" s="723"/>
      <c r="AH173" s="723"/>
      <c r="AI173" s="723"/>
      <c r="AJ173" s="723"/>
      <c r="AK173" s="723"/>
      <c r="AL173" s="723"/>
      <c r="AM173" s="723"/>
      <c r="AN173" s="723"/>
      <c r="AO173" s="723"/>
      <c r="AP173" s="723"/>
      <c r="AQ173" s="723"/>
      <c r="AR173" s="723"/>
      <c r="AT173" s="283"/>
      <c r="AV173" s="655"/>
      <c r="AW173" s="655"/>
    </row>
    <row r="174" spans="1:51">
      <c r="A174" s="282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5"/>
      <c r="P174" s="715"/>
      <c r="Q174" s="715"/>
      <c r="R174" s="715"/>
      <c r="S174" s="715"/>
      <c r="T174" s="715"/>
      <c r="U174" s="715"/>
      <c r="V174" s="715"/>
      <c r="W174" s="715"/>
      <c r="X174" s="715"/>
      <c r="Y174" s="715"/>
      <c r="Z174" s="715"/>
      <c r="AA174" s="715"/>
      <c r="AT174" s="283"/>
      <c r="AV174" s="655"/>
      <c r="AW174" s="655"/>
    </row>
    <row r="175" spans="1:51">
      <c r="A175" s="282"/>
      <c r="B175" s="655" t="str">
        <f>'[14]Twr Schedule'!B339</f>
        <v>33/6</v>
      </c>
      <c r="C175" s="655"/>
      <c r="F175" s="655" t="str">
        <f>'[14]Twr Schedule'!B341</f>
        <v>33/7</v>
      </c>
      <c r="G175" s="655"/>
      <c r="J175" s="655" t="str">
        <f>'[14]Twr Schedule'!B343</f>
        <v>33/8</v>
      </c>
      <c r="K175" s="655"/>
      <c r="N175" s="655" t="str">
        <f>'[14]Twr Schedule'!B345</f>
        <v>33/9</v>
      </c>
      <c r="O175" s="655"/>
      <c r="R175" s="655" t="str">
        <f>'[14]Twr Schedule'!B347</f>
        <v>33/10</v>
      </c>
      <c r="S175" s="655"/>
      <c r="V175" s="655" t="str">
        <f>'[14]Twr Schedule'!B349</f>
        <v>33/11</v>
      </c>
      <c r="W175" s="655"/>
      <c r="Z175" s="655" t="str">
        <f>'[14]Twr Schedule'!B351</f>
        <v>34/0</v>
      </c>
      <c r="AA175" s="655"/>
      <c r="AD175" s="655" t="str">
        <f>'[14]Twr Schedule'!B353</f>
        <v>34/1</v>
      </c>
      <c r="AE175" s="655"/>
      <c r="AH175" s="655" t="str">
        <f>'[14]Twr Schedule'!B355</f>
        <v>34/2</v>
      </c>
      <c r="AI175" s="655"/>
      <c r="AL175" s="655" t="str">
        <f>'[14]Twr Schedule'!B357</f>
        <v>34/3</v>
      </c>
      <c r="AM175" s="655"/>
      <c r="AP175" s="655" t="str">
        <f>'[14]Twr Schedule'!B359</f>
        <v>34/4</v>
      </c>
      <c r="AQ175" s="655"/>
      <c r="AT175" s="283"/>
      <c r="AV175" s="655"/>
      <c r="AW175" s="655"/>
    </row>
    <row r="176" spans="1:51">
      <c r="A176" s="282"/>
      <c r="AT176" s="283"/>
      <c r="AV176" s="655"/>
      <c r="AW176" s="655"/>
    </row>
    <row r="177" spans="1:51">
      <c r="A177" s="282"/>
      <c r="AT177" s="283"/>
      <c r="AV177" s="655"/>
      <c r="AW177" s="655"/>
    </row>
    <row r="178" spans="1:51">
      <c r="A178" s="282"/>
      <c r="B178" s="296" t="s">
        <v>790</v>
      </c>
      <c r="C178" s="296" t="s">
        <v>791</v>
      </c>
      <c r="D178" s="657">
        <f>VLOOKUP(B175,[14]Progress!$B$9:$D$310,3,FALSE)</f>
        <v>394</v>
      </c>
      <c r="E178" s="656"/>
      <c r="F178" s="296" t="s">
        <v>790</v>
      </c>
      <c r="G178" s="296" t="s">
        <v>791</v>
      </c>
      <c r="H178" s="705">
        <f>VLOOKUP(F175,[14]Progress!$B$9:$D$310,3,FALSE)</f>
        <v>439.95</v>
      </c>
      <c r="I178" s="706"/>
      <c r="J178" s="314" t="s">
        <v>790</v>
      </c>
      <c r="K178" s="314" t="s">
        <v>791</v>
      </c>
      <c r="L178" s="705">
        <f>VLOOKUP(J175,[14]Progress!$B$9:$D$310,3,FALSE)</f>
        <v>355.05</v>
      </c>
      <c r="M178" s="706"/>
      <c r="N178" s="314" t="s">
        <v>790</v>
      </c>
      <c r="O178" s="314" t="s">
        <v>791</v>
      </c>
      <c r="P178" s="705">
        <f>VLOOKUP(N175,[14]Progress!$B$9:$D$310,3,FALSE)</f>
        <v>410</v>
      </c>
      <c r="Q178" s="706"/>
      <c r="R178" s="314" t="s">
        <v>790</v>
      </c>
      <c r="S178" s="314" t="s">
        <v>791</v>
      </c>
      <c r="T178" s="705">
        <f>VLOOKUP(R175,[14]Progress!$B$9:$D$310,3,FALSE)</f>
        <v>410</v>
      </c>
      <c r="U178" s="706"/>
      <c r="V178" s="314" t="s">
        <v>790</v>
      </c>
      <c r="W178" s="314" t="s">
        <v>791</v>
      </c>
      <c r="X178" s="705">
        <f>VLOOKUP(V175,[14]Progress!$B$9:$D$310,3,FALSE)</f>
        <v>421.49599999999998</v>
      </c>
      <c r="Y178" s="706"/>
      <c r="Z178" s="314" t="s">
        <v>790</v>
      </c>
      <c r="AA178" s="314" t="s">
        <v>791</v>
      </c>
      <c r="AB178" s="705">
        <f>VLOOKUP(Z175,[14]Progress!$B$9:$D$310,3,FALSE)</f>
        <v>418</v>
      </c>
      <c r="AC178" s="706"/>
      <c r="AD178" s="314" t="s">
        <v>790</v>
      </c>
      <c r="AE178" s="314" t="s">
        <v>791</v>
      </c>
      <c r="AF178" s="705">
        <f>VLOOKUP(AD175,[14]Progress!$B$9:$D$310,3,FALSE)</f>
        <v>378</v>
      </c>
      <c r="AG178" s="706"/>
      <c r="AH178" s="314" t="s">
        <v>790</v>
      </c>
      <c r="AI178" s="314" t="s">
        <v>791</v>
      </c>
      <c r="AJ178" s="705">
        <f>VLOOKUP(AH175,[14]Progress!$B$9:$D$310,3,FALSE)</f>
        <v>417</v>
      </c>
      <c r="AK178" s="706"/>
      <c r="AL178" s="314" t="s">
        <v>790</v>
      </c>
      <c r="AM178" s="314" t="s">
        <v>791</v>
      </c>
      <c r="AN178" s="705">
        <f>VLOOKUP(AL175,[14]Progress!$B$9:$D$310,3,FALSE)</f>
        <v>395</v>
      </c>
      <c r="AO178" s="706"/>
      <c r="AP178" s="314" t="s">
        <v>790</v>
      </c>
      <c r="AQ178" s="314" t="s">
        <v>791</v>
      </c>
      <c r="AR178" s="705">
        <f>VLOOKUP(AP175,[14]Progress!$B$9:$D$310,3,FALSE)</f>
        <v>364</v>
      </c>
      <c r="AS178" s="707"/>
      <c r="AT178" s="283"/>
      <c r="AV178" s="655">
        <f>D178+H178+L178+P178+T178+X178+AB178+AF178+AJ178+AN178+AR178</f>
        <v>4402.4960000000001</v>
      </c>
      <c r="AW178" s="655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55"/>
      <c r="AW179" s="655"/>
    </row>
    <row r="180" spans="1:51" ht="10.5" customHeight="1">
      <c r="A180" s="282"/>
      <c r="B180" s="691"/>
      <c r="C180" s="691"/>
      <c r="F180" s="691"/>
      <c r="G180" s="691"/>
      <c r="J180" s="691"/>
      <c r="K180" s="691"/>
      <c r="N180" s="691"/>
      <c r="O180" s="691"/>
      <c r="R180" s="691"/>
      <c r="S180" s="691"/>
      <c r="V180" s="691"/>
      <c r="W180" s="691"/>
      <c r="Z180" s="691"/>
      <c r="AA180" s="691"/>
      <c r="AD180" s="691"/>
      <c r="AE180" s="691"/>
      <c r="AH180" s="691"/>
      <c r="AI180" s="691"/>
      <c r="AL180" s="691"/>
      <c r="AM180" s="691"/>
      <c r="AP180" s="691"/>
      <c r="AQ180" s="691"/>
      <c r="AT180" s="283"/>
      <c r="AV180" s="655"/>
      <c r="AW180" s="655"/>
    </row>
    <row r="181" spans="1:51">
      <c r="A181" s="282"/>
      <c r="B181" s="675" t="str">
        <f>VLOOKUP(+B175,'[14]Twr Schedule'!$B$9:$C$611,2,FALSE)</f>
        <v>DA+3</v>
      </c>
      <c r="C181" s="675"/>
      <c r="F181" s="675" t="str">
        <f>VLOOKUP(+F175,'[14]Twr Schedule'!$B$9:$C$611,2,FALSE)</f>
        <v>DA+3</v>
      </c>
      <c r="G181" s="675"/>
      <c r="J181" s="675" t="str">
        <f>VLOOKUP(+J175,'[14]Twr Schedule'!$B$9:$C$611,2,FALSE)</f>
        <v>DA+3</v>
      </c>
      <c r="K181" s="675"/>
      <c r="N181" s="675" t="str">
        <f>VLOOKUP(+N175,'[14]Twr Schedule'!$B$9:$C$611,2,FALSE)</f>
        <v>DA+0</v>
      </c>
      <c r="O181" s="675"/>
      <c r="R181" s="675" t="str">
        <f>VLOOKUP(+R175,'[14]Twr Schedule'!$B$9:$C$611,2,FALSE)</f>
        <v>DA+3</v>
      </c>
      <c r="S181" s="675"/>
      <c r="V181" s="675" t="str">
        <f>VLOOKUP(+V175,'[14]Twr Schedule'!$B$9:$C$611,2,FALSE)</f>
        <v>DA+3</v>
      </c>
      <c r="W181" s="675"/>
      <c r="Z181" s="675" t="str">
        <f>VLOOKUP(+Z175,'[14]Twr Schedule'!$B$9:$C$611,2,FALSE)</f>
        <v>DB1+0</v>
      </c>
      <c r="AA181" s="675"/>
      <c r="AD181" s="675" t="str">
        <f>VLOOKUP(+AD175,'[14]Twr Schedule'!$B$9:$C$611,2,FALSE)</f>
        <v>DA+3</v>
      </c>
      <c r="AE181" s="675"/>
      <c r="AH181" s="675" t="str">
        <f>VLOOKUP(+AH175,'[14]Twr Schedule'!$B$9:$C$611,2,FALSE)</f>
        <v>DA+3</v>
      </c>
      <c r="AI181" s="675"/>
      <c r="AL181" s="675" t="str">
        <f>VLOOKUP(+AL175,'[14]Twr Schedule'!$B$9:$C$611,2,FALSE)</f>
        <v>DA+3</v>
      </c>
      <c r="AM181" s="675"/>
      <c r="AP181" s="675" t="str">
        <f>VLOOKUP(+AP175,'[14]Twr Schedule'!$B$9:$C$611,2,FALSE)</f>
        <v>DA-3</v>
      </c>
      <c r="AQ181" s="675"/>
      <c r="AT181" s="283"/>
      <c r="AV181" s="655"/>
      <c r="AW181" s="655"/>
    </row>
    <row r="182" spans="1:51">
      <c r="A182" s="282"/>
      <c r="AT182" s="283"/>
      <c r="AV182" s="655"/>
      <c r="AW182" s="655"/>
    </row>
    <row r="183" spans="1:51">
      <c r="A183" s="723" t="s">
        <v>842</v>
      </c>
      <c r="B183" s="723"/>
      <c r="C183" s="723"/>
      <c r="D183" s="723"/>
      <c r="E183" s="723"/>
      <c r="F183" s="723"/>
      <c r="G183" s="723"/>
      <c r="H183" s="723"/>
      <c r="I183" s="723"/>
      <c r="J183" s="723"/>
      <c r="K183" s="723"/>
      <c r="L183" s="723"/>
      <c r="M183" s="723"/>
      <c r="N183" s="723"/>
      <c r="O183" s="702" t="s">
        <v>843</v>
      </c>
      <c r="P183" s="703"/>
      <c r="Q183" s="703"/>
      <c r="R183" s="703"/>
      <c r="S183" s="703"/>
      <c r="T183" s="703"/>
      <c r="U183" s="703"/>
      <c r="V183" s="703"/>
      <c r="W183" s="703"/>
      <c r="X183" s="703"/>
      <c r="Y183" s="703"/>
      <c r="Z183" s="703"/>
      <c r="AA183" s="703"/>
      <c r="AB183" s="703"/>
      <c r="AC183" s="703"/>
      <c r="AD183" s="703"/>
      <c r="AE183" s="703"/>
      <c r="AF183" s="703"/>
      <c r="AG183" s="703"/>
      <c r="AH183" s="703"/>
      <c r="AI183" s="703"/>
      <c r="AJ183" s="703"/>
      <c r="AK183" s="703"/>
      <c r="AL183" s="703"/>
      <c r="AM183" s="703"/>
      <c r="AN183" s="703"/>
      <c r="AO183" s="703"/>
      <c r="AP183" s="703"/>
      <c r="AQ183" s="703"/>
      <c r="AR183" s="704"/>
      <c r="AT183" s="283"/>
      <c r="AV183" s="655"/>
      <c r="AW183" s="655"/>
    </row>
    <row r="184" spans="1:51">
      <c r="A184" s="282"/>
      <c r="AT184" s="283"/>
      <c r="AV184" s="655"/>
      <c r="AW184" s="655"/>
    </row>
    <row r="185" spans="1:51">
      <c r="A185" s="282"/>
      <c r="B185" s="655" t="str">
        <f>'[14]Twr Schedule'!B361</f>
        <v>34/5</v>
      </c>
      <c r="C185" s="655"/>
      <c r="F185" s="655" t="str">
        <f>'[14]Twr Schedule'!B363</f>
        <v>34/6</v>
      </c>
      <c r="G185" s="655"/>
      <c r="J185" s="655" t="str">
        <f>'[14]Twr Schedule'!B365</f>
        <v>34/7</v>
      </c>
      <c r="K185" s="655"/>
      <c r="N185" s="655" t="str">
        <f>'[14]Twr Schedule'!B367</f>
        <v>35/0</v>
      </c>
      <c r="O185" s="655"/>
      <c r="R185" s="655" t="str">
        <f>'[14]Twr Schedule'!B369</f>
        <v>35/1</v>
      </c>
      <c r="S185" s="655"/>
      <c r="V185" s="655" t="str">
        <f>'[14]Twr Schedule'!B371</f>
        <v>35/2</v>
      </c>
      <c r="W185" s="655"/>
      <c r="Z185" s="655" t="str">
        <f>'[14]Twr Schedule'!B373</f>
        <v>35/3</v>
      </c>
      <c r="AA185" s="655"/>
      <c r="AD185" s="655" t="str">
        <f>'[14]Twr Schedule'!B375</f>
        <v>35/4</v>
      </c>
      <c r="AE185" s="655"/>
      <c r="AH185" s="655" t="str">
        <f>'[14]Twr Schedule'!B377</f>
        <v>35/5</v>
      </c>
      <c r="AI185" s="655"/>
      <c r="AL185" s="655" t="str">
        <f>'[14]Twr Schedule'!B379</f>
        <v>35/6</v>
      </c>
      <c r="AM185" s="655"/>
      <c r="AP185" s="655" t="str">
        <f>'[14]Twr Schedule'!B381</f>
        <v>35/7</v>
      </c>
      <c r="AQ185" s="655"/>
      <c r="AT185" s="283"/>
      <c r="AV185" s="655"/>
      <c r="AW185" s="655"/>
    </row>
    <row r="186" spans="1:51">
      <c r="A186" s="282"/>
      <c r="AT186" s="283"/>
      <c r="AV186" s="655"/>
      <c r="AW186" s="655"/>
    </row>
    <row r="187" spans="1:51">
      <c r="A187" s="282"/>
      <c r="AT187" s="283"/>
      <c r="AV187" s="655"/>
      <c r="AW187" s="655"/>
    </row>
    <row r="188" spans="1:51">
      <c r="A188" s="282"/>
      <c r="B188" s="296" t="s">
        <v>790</v>
      </c>
      <c r="C188" s="296" t="s">
        <v>791</v>
      </c>
      <c r="D188" s="657">
        <f>VLOOKUP(B185,[14]Progress!$B$9:$D$310,3,FALSE)</f>
        <v>397</v>
      </c>
      <c r="E188" s="656"/>
      <c r="F188" s="296" t="s">
        <v>790</v>
      </c>
      <c r="G188" s="296" t="s">
        <v>791</v>
      </c>
      <c r="H188" s="657">
        <f>VLOOKUP(F185,[14]Progress!$B$9:$D$310,3,FALSE)</f>
        <v>419</v>
      </c>
      <c r="I188" s="656"/>
      <c r="J188" s="296" t="s">
        <v>790</v>
      </c>
      <c r="K188" s="296" t="s">
        <v>791</v>
      </c>
      <c r="L188" s="705">
        <f>VLOOKUP(J185,[14]Progress!$B$9:$D$310,3,FALSE)</f>
        <v>405.22800000000001</v>
      </c>
      <c r="M188" s="706"/>
      <c r="N188" s="296" t="s">
        <v>790</v>
      </c>
      <c r="O188" s="296" t="s">
        <v>791</v>
      </c>
      <c r="P188" s="657">
        <f>VLOOKUP(N185,[14]Progress!$B$9:$D$310,3,FALSE)</f>
        <v>383</v>
      </c>
      <c r="Q188" s="656"/>
      <c r="R188" s="296" t="s">
        <v>790</v>
      </c>
      <c r="S188" s="296" t="s">
        <v>791</v>
      </c>
      <c r="T188" s="657">
        <f>VLOOKUP(R185,[14]Progress!$B$9:$D$310,3,FALSE)</f>
        <v>397</v>
      </c>
      <c r="U188" s="656"/>
      <c r="V188" s="296" t="s">
        <v>790</v>
      </c>
      <c r="W188" s="296" t="s">
        <v>791</v>
      </c>
      <c r="X188" s="657">
        <f>VLOOKUP(V185,[14]Progress!$B$9:$D$310,3,FALSE)</f>
        <v>345</v>
      </c>
      <c r="Y188" s="656"/>
      <c r="Z188" s="296" t="s">
        <v>790</v>
      </c>
      <c r="AA188" s="296" t="s">
        <v>791</v>
      </c>
      <c r="AB188" s="698">
        <f>VLOOKUP(Z185,[14]Progress!$B$9:$D$310,3,FALSE)</f>
        <v>389</v>
      </c>
      <c r="AC188" s="699"/>
      <c r="AD188" s="296" t="s">
        <v>790</v>
      </c>
      <c r="AE188" s="296" t="s">
        <v>791</v>
      </c>
      <c r="AF188" s="657">
        <f>VLOOKUP(AD185,[14]Progress!$B$9:$D$310,3,FALSE)</f>
        <v>416</v>
      </c>
      <c r="AG188" s="656"/>
      <c r="AH188" s="296" t="s">
        <v>790</v>
      </c>
      <c r="AI188" s="296" t="s">
        <v>791</v>
      </c>
      <c r="AJ188" s="657">
        <f>VLOOKUP(AH185,[14]Progress!$B$9:$D$310,3,FALSE)</f>
        <v>414</v>
      </c>
      <c r="AK188" s="656"/>
      <c r="AL188" s="296" t="s">
        <v>790</v>
      </c>
      <c r="AM188" s="296" t="s">
        <v>791</v>
      </c>
      <c r="AN188" s="657">
        <f>VLOOKUP(AL185,[14]Progress!$B$9:$D$310,3,FALSE)</f>
        <v>415</v>
      </c>
      <c r="AO188" s="656"/>
      <c r="AP188" s="296" t="s">
        <v>790</v>
      </c>
      <c r="AQ188" s="296" t="s">
        <v>791</v>
      </c>
      <c r="AR188" s="657">
        <f>VLOOKUP(AP185,[14]Progress!$B$9:$D$310,3,FALSE)</f>
        <v>404</v>
      </c>
      <c r="AS188" s="655"/>
      <c r="AT188" s="283"/>
      <c r="AV188" s="655">
        <f>D188+H188+L188+P188+T188+X188+AB188+AF188+AJ188+AN188+AR188</f>
        <v>4384.2280000000001</v>
      </c>
      <c r="AW188" s="655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55"/>
      <c r="AW189" s="655"/>
    </row>
    <row r="190" spans="1:51" ht="10.5" customHeight="1">
      <c r="A190" s="282"/>
      <c r="B190" s="691"/>
      <c r="C190" s="691"/>
      <c r="F190" s="691"/>
      <c r="G190" s="691"/>
      <c r="J190" s="691"/>
      <c r="K190" s="691"/>
      <c r="N190" s="691"/>
      <c r="O190" s="691"/>
      <c r="R190" s="691"/>
      <c r="S190" s="691"/>
      <c r="V190" s="691"/>
      <c r="W190" s="691"/>
      <c r="Z190" s="691"/>
      <c r="AA190" s="691"/>
      <c r="AD190" s="691"/>
      <c r="AE190" s="691"/>
      <c r="AH190" s="691"/>
      <c r="AI190" s="691"/>
      <c r="AL190" s="691"/>
      <c r="AM190" s="691"/>
      <c r="AP190" s="691"/>
      <c r="AQ190" s="691"/>
      <c r="AT190" s="283"/>
      <c r="AV190" s="655"/>
      <c r="AW190" s="655"/>
    </row>
    <row r="191" spans="1:51">
      <c r="A191" s="282"/>
      <c r="B191" s="675" t="str">
        <f>VLOOKUP(+B185,'[14]Twr Schedule'!$B$9:$C$611,2,FALSE)</f>
        <v>DA+0</v>
      </c>
      <c r="C191" s="675"/>
      <c r="F191" s="675" t="str">
        <f>VLOOKUP(+F185,'[14]Twr Schedule'!$B$9:$C$611,2,FALSE)</f>
        <v>DA+0</v>
      </c>
      <c r="G191" s="675"/>
      <c r="J191" s="675" t="str">
        <f>VLOOKUP(+J185,'[14]Twr Schedule'!$B$9:$C$611,2,FALSE)</f>
        <v>DA+3</v>
      </c>
      <c r="K191" s="675"/>
      <c r="N191" s="675" t="str">
        <f>VLOOKUP(+N185,'[14]Twr Schedule'!$B$9:$C$611,2,FALSE)</f>
        <v>DC1+0</v>
      </c>
      <c r="O191" s="675"/>
      <c r="R191" s="675" t="str">
        <f>VLOOKUP(+R185,'[14]Twr Schedule'!$B$9:$C$611,2,FALSE)</f>
        <v>DA+3</v>
      </c>
      <c r="S191" s="675"/>
      <c r="V191" s="675" t="str">
        <f>VLOOKUP(+V185,'[14]Twr Schedule'!$B$9:$C$611,2,FALSE)</f>
        <v>DA-3</v>
      </c>
      <c r="W191" s="675"/>
      <c r="Z191" s="675" t="str">
        <f>VLOOKUP(+Z185,'[14]Twr Schedule'!$B$9:$C$611,2,FALSE)</f>
        <v>DA+0</v>
      </c>
      <c r="AA191" s="675"/>
      <c r="AD191" s="675" t="str">
        <f>VLOOKUP(+AD185,'[14]Twr Schedule'!$B$9:$C$611,2,FALSE)</f>
        <v>DA+0</v>
      </c>
      <c r="AE191" s="675"/>
      <c r="AH191" s="675" t="str">
        <f>VLOOKUP(+AH185,'[14]Twr Schedule'!$B$9:$C$611,2,FALSE)</f>
        <v>DA+3</v>
      </c>
      <c r="AI191" s="675"/>
      <c r="AL191" s="675" t="str">
        <f>VLOOKUP(+AL185,'[14]Twr Schedule'!$B$9:$C$611,2,FALSE)</f>
        <v>DA+0</v>
      </c>
      <c r="AM191" s="675"/>
      <c r="AP191" s="675" t="str">
        <f>VLOOKUP(+AP185,'[14]Twr Schedule'!$B$9:$C$611,2,FALSE)</f>
        <v>DA+3</v>
      </c>
      <c r="AQ191" s="675"/>
      <c r="AT191" s="283"/>
      <c r="AV191" s="655"/>
      <c r="AW191" s="655"/>
    </row>
    <row r="192" spans="1:51">
      <c r="A192" s="282"/>
      <c r="AB192" t="s">
        <v>844</v>
      </c>
      <c r="AL192" s="2"/>
      <c r="AM192" s="2"/>
      <c r="AT192" s="283"/>
      <c r="AV192" s="655"/>
      <c r="AW192" s="655"/>
    </row>
    <row r="193" spans="1:51">
      <c r="A193" s="282"/>
      <c r="AA193" t="s">
        <v>845</v>
      </c>
      <c r="AT193" s="283"/>
      <c r="AV193" s="655"/>
      <c r="AW193" s="655"/>
    </row>
    <row r="194" spans="1:51">
      <c r="A194" s="702" t="s">
        <v>843</v>
      </c>
      <c r="B194" s="703"/>
      <c r="C194" s="703"/>
      <c r="D194" s="703"/>
      <c r="E194" s="703"/>
      <c r="F194" s="703"/>
      <c r="G194" s="703"/>
      <c r="H194" s="703"/>
      <c r="I194" s="703"/>
      <c r="J194" s="704"/>
      <c r="K194" s="651" t="s">
        <v>846</v>
      </c>
      <c r="L194" s="651"/>
      <c r="M194" s="651"/>
      <c r="N194" s="651"/>
      <c r="O194" s="651"/>
      <c r="P194" s="651"/>
      <c r="Q194" s="651"/>
      <c r="R194" s="651"/>
      <c r="S194" s="651"/>
      <c r="T194" s="651"/>
      <c r="U194" s="651"/>
      <c r="V194" s="651"/>
      <c r="W194" s="651"/>
      <c r="X194" s="651"/>
      <c r="Y194" s="651"/>
      <c r="Z194" s="651"/>
      <c r="AA194" s="651"/>
      <c r="AB194" s="651"/>
      <c r="AC194" s="651"/>
      <c r="AD194" s="651"/>
      <c r="AE194" s="651"/>
      <c r="AF194" s="651"/>
      <c r="AG194" s="651"/>
      <c r="AH194" s="651"/>
      <c r="AI194" s="651"/>
      <c r="AJ194" s="651"/>
      <c r="AK194" s="651"/>
      <c r="AL194" s="651"/>
      <c r="AM194" s="651"/>
      <c r="AN194" s="651"/>
      <c r="AO194" s="651"/>
      <c r="AP194" s="651"/>
      <c r="AQ194" s="651"/>
      <c r="AR194" s="651"/>
      <c r="AT194" s="283"/>
      <c r="AV194" s="655"/>
      <c r="AW194" s="655"/>
    </row>
    <row r="195" spans="1:51">
      <c r="A195" s="282"/>
      <c r="B195" s="655" t="str">
        <f>'[14]Twr Schedule'!B383</f>
        <v>35/8</v>
      </c>
      <c r="C195" s="655"/>
      <c r="F195" s="655" t="str">
        <f>'[14]Twr Schedule'!B385</f>
        <v>35/9</v>
      </c>
      <c r="G195" s="655"/>
      <c r="J195" s="655" t="str">
        <f>'[14]Twr Schedule'!B387</f>
        <v>36/0</v>
      </c>
      <c r="K195" s="655"/>
      <c r="N195" s="655" t="str">
        <f>'[14]Twr Schedule'!B389</f>
        <v>36/1</v>
      </c>
      <c r="O195" s="655"/>
      <c r="R195" s="655" t="str">
        <f>'[14]Twr Schedule'!B391</f>
        <v>36/2</v>
      </c>
      <c r="S195" s="655"/>
      <c r="V195" s="655" t="str">
        <f>'[14]Twr Schedule'!B393</f>
        <v>36/3</v>
      </c>
      <c r="W195" s="655"/>
      <c r="Z195" s="655" t="str">
        <f>'[14]Twr Schedule'!B395</f>
        <v>36/4</v>
      </c>
      <c r="AA195" s="655"/>
      <c r="AD195" s="655" t="str">
        <f>'[14]Twr Schedule'!B397</f>
        <v>36/5</v>
      </c>
      <c r="AE195" s="655"/>
      <c r="AH195" s="655" t="str">
        <f>'[14]Twr Schedule'!B399</f>
        <v>36/6</v>
      </c>
      <c r="AI195" s="655"/>
      <c r="AL195" s="655" t="str">
        <f>'[14]Twr Schedule'!B401</f>
        <v>36/7</v>
      </c>
      <c r="AM195" s="655"/>
      <c r="AP195" s="655" t="str">
        <f>'[14]Twr Schedule'!B403</f>
        <v>36/8</v>
      </c>
      <c r="AQ195" s="655"/>
      <c r="AT195" s="283"/>
      <c r="AV195" s="655"/>
      <c r="AW195" s="655"/>
    </row>
    <row r="196" spans="1:51">
      <c r="A196" s="282"/>
      <c r="AT196" s="283"/>
      <c r="AV196" s="655"/>
      <c r="AW196" s="655"/>
    </row>
    <row r="197" spans="1:51">
      <c r="A197" s="282"/>
      <c r="AT197" s="283"/>
      <c r="AV197" s="655"/>
      <c r="AW197" s="655"/>
    </row>
    <row r="198" spans="1:51">
      <c r="A198" s="282"/>
      <c r="B198" s="296" t="s">
        <v>790</v>
      </c>
      <c r="C198" s="296" t="s">
        <v>791</v>
      </c>
      <c r="D198" s="657">
        <f>VLOOKUP(B195,[14]Progress!$B$9:$D$310,3,FALSE)</f>
        <v>373</v>
      </c>
      <c r="E198" s="656"/>
      <c r="F198" s="296" t="s">
        <v>790</v>
      </c>
      <c r="G198" s="296" t="s">
        <v>791</v>
      </c>
      <c r="H198" s="705">
        <f>VLOOKUP(F195,[14]Progress!$B$9:$D$310,3,FALSE)</f>
        <v>421.04899999999998</v>
      </c>
      <c r="I198" s="706"/>
      <c r="J198" s="314" t="s">
        <v>790</v>
      </c>
      <c r="K198" s="314" t="s">
        <v>791</v>
      </c>
      <c r="L198" s="705">
        <f>VLOOKUP(J195,[14]Progress!$B$9:$D$310,3,FALSE)</f>
        <v>401</v>
      </c>
      <c r="M198" s="706"/>
      <c r="N198" s="314" t="s">
        <v>790</v>
      </c>
      <c r="O198" s="314" t="s">
        <v>791</v>
      </c>
      <c r="P198" s="705">
        <f>VLOOKUP(N195,[14]Progress!$B$9:$D$310,3,FALSE)</f>
        <v>412</v>
      </c>
      <c r="Q198" s="706"/>
      <c r="R198" s="314" t="s">
        <v>790</v>
      </c>
      <c r="S198" s="314" t="s">
        <v>791</v>
      </c>
      <c r="T198" s="705">
        <f>VLOOKUP(R195,[14]Progress!$B$9:$D$310,3,FALSE)</f>
        <v>415</v>
      </c>
      <c r="U198" s="706"/>
      <c r="V198" s="314" t="s">
        <v>790</v>
      </c>
      <c r="W198" s="314" t="s">
        <v>791</v>
      </c>
      <c r="X198" s="705">
        <f>VLOOKUP(V195,[14]Progress!$B$9:$D$310,3,FALSE)</f>
        <v>411</v>
      </c>
      <c r="Y198" s="706"/>
      <c r="Z198" s="314" t="s">
        <v>790</v>
      </c>
      <c r="AA198" s="314" t="s">
        <v>791</v>
      </c>
      <c r="AB198" s="705">
        <f>VLOOKUP(Z195,[14]Progress!$B$9:$D$310,3,FALSE)</f>
        <v>395</v>
      </c>
      <c r="AC198" s="706"/>
      <c r="AD198" s="314" t="s">
        <v>790</v>
      </c>
      <c r="AE198" s="314" t="s">
        <v>791</v>
      </c>
      <c r="AF198" s="705">
        <f>VLOOKUP(AD195,[14]Progress!$B$9:$D$310,3,FALSE)</f>
        <v>402</v>
      </c>
      <c r="AG198" s="706"/>
      <c r="AH198" s="314" t="s">
        <v>790</v>
      </c>
      <c r="AI198" s="314" t="s">
        <v>791</v>
      </c>
      <c r="AJ198" s="705">
        <f>VLOOKUP(AH195,[14]Progress!$B$9:$D$310,3,FALSE)</f>
        <v>432</v>
      </c>
      <c r="AK198" s="706"/>
      <c r="AL198" s="314" t="s">
        <v>790</v>
      </c>
      <c r="AM198" s="314" t="s">
        <v>791</v>
      </c>
      <c r="AN198" s="705">
        <f>VLOOKUP(AL195,[14]Progress!$B$9:$D$310,3,FALSE)</f>
        <v>392.01100000000002</v>
      </c>
      <c r="AO198" s="706"/>
      <c r="AP198" s="314" t="s">
        <v>790</v>
      </c>
      <c r="AQ198" s="314" t="s">
        <v>791</v>
      </c>
      <c r="AR198" s="705">
        <f>VLOOKUP(AP195,[14]Progress!$B$9:$D$310,3,FALSE)</f>
        <v>352.98899999999998</v>
      </c>
      <c r="AS198" s="707"/>
      <c r="AT198" s="283"/>
      <c r="AV198" s="655">
        <f>D198+H198+L198+P198+T198+X198+AB198+AF198+AJ198+AN198+AR198</f>
        <v>4407.049</v>
      </c>
      <c r="AW198" s="655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55"/>
      <c r="AW199" s="655"/>
    </row>
    <row r="200" spans="1:51" ht="10.5" customHeight="1">
      <c r="A200" s="282"/>
      <c r="B200" s="691"/>
      <c r="C200" s="691"/>
      <c r="F200" s="691"/>
      <c r="G200" s="691"/>
      <c r="J200" s="691"/>
      <c r="K200" s="691"/>
      <c r="N200" s="691"/>
      <c r="O200" s="691"/>
      <c r="R200" s="691"/>
      <c r="S200" s="691"/>
      <c r="V200" s="691"/>
      <c r="W200" s="691"/>
      <c r="Z200" s="691"/>
      <c r="AA200" s="691"/>
      <c r="AD200" s="691"/>
      <c r="AE200" s="691"/>
      <c r="AH200" s="691"/>
      <c r="AI200" s="691"/>
      <c r="AL200" s="691"/>
      <c r="AM200" s="691"/>
      <c r="AP200" s="691"/>
      <c r="AQ200" s="691"/>
      <c r="AT200" s="283"/>
      <c r="AV200" s="655"/>
      <c r="AW200" s="655"/>
    </row>
    <row r="201" spans="1:51">
      <c r="A201" s="282"/>
      <c r="B201" s="675" t="str">
        <f>VLOOKUP(+B195,'[14]Twr Schedule'!$B$9:$C$611,2,FALSE)</f>
        <v>DA-3</v>
      </c>
      <c r="C201" s="675"/>
      <c r="F201" s="675" t="str">
        <f>VLOOKUP(+F195,'[14]Twr Schedule'!$B$9:$C$611,2,FALSE)</f>
        <v>DA+3</v>
      </c>
      <c r="G201" s="675"/>
      <c r="J201" s="675" t="str">
        <f>VLOOKUP(+J195,'[14]Twr Schedule'!$B$9:$C$611,2,FALSE)</f>
        <v>DB2+0</v>
      </c>
      <c r="K201" s="675"/>
      <c r="N201" s="675" t="str">
        <f>VLOOKUP(+N195,'[14]Twr Schedule'!$B$9:$C$611,2,FALSE)</f>
        <v>DA+3</v>
      </c>
      <c r="O201" s="675"/>
      <c r="R201" s="675" t="str">
        <f>VLOOKUP(+R195,'[14]Twr Schedule'!$B$9:$C$611,2,FALSE)</f>
        <v>DA+0</v>
      </c>
      <c r="S201" s="675"/>
      <c r="V201" s="675" t="str">
        <f>VLOOKUP(+V195,'[14]Twr Schedule'!$B$9:$C$611,2,FALSE)</f>
        <v>DA+3</v>
      </c>
      <c r="W201" s="675"/>
      <c r="Z201" s="675" t="str">
        <f>VLOOKUP(+Z195,'[14]Twr Schedule'!$B$9:$C$611,2,FALSE)</f>
        <v>DA+0</v>
      </c>
      <c r="AA201" s="675"/>
      <c r="AD201" s="675" t="str">
        <f>VLOOKUP(+AD195,'[14]Twr Schedule'!$B$9:$C$611,2,FALSE)</f>
        <v>DA+0</v>
      </c>
      <c r="AE201" s="675"/>
      <c r="AH201" s="675" t="str">
        <f>VLOOKUP(+AH195,'[14]Twr Schedule'!$B$9:$C$611,2,FALSE)</f>
        <v>DA+3</v>
      </c>
      <c r="AI201" s="675"/>
      <c r="AL201" s="675" t="str">
        <f>VLOOKUP(+AL195,'[14]Twr Schedule'!$B$9:$C$611,2,FALSE)</f>
        <v>DA+3</v>
      </c>
      <c r="AM201" s="675"/>
      <c r="AP201" s="675" t="str">
        <f>VLOOKUP(+AP195,'[14]Twr Schedule'!$B$9:$C$611,2,FALSE)</f>
        <v>DA-3</v>
      </c>
      <c r="AQ201" s="675"/>
      <c r="AT201" s="283"/>
      <c r="AV201" s="655"/>
      <c r="AW201" s="655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55"/>
      <c r="AW202" s="655"/>
    </row>
    <row r="203" spans="1:51">
      <c r="A203" s="594" t="s">
        <v>846</v>
      </c>
      <c r="B203" s="595"/>
      <c r="C203" s="595"/>
      <c r="D203" s="595"/>
      <c r="E203" s="595"/>
      <c r="F203" s="595"/>
      <c r="G203" s="595"/>
      <c r="H203" s="595"/>
      <c r="I203" s="595"/>
      <c r="J203" s="595"/>
      <c r="K203" s="595"/>
      <c r="L203" s="595"/>
      <c r="M203" s="595"/>
      <c r="N203" s="595"/>
      <c r="O203" s="595"/>
      <c r="P203" s="595"/>
      <c r="Q203" s="595"/>
      <c r="R203" s="596"/>
      <c r="S203" s="651" t="s">
        <v>847</v>
      </c>
      <c r="T203" s="651"/>
      <c r="U203" s="651"/>
      <c r="V203" s="651"/>
      <c r="W203" s="651"/>
      <c r="X203" s="651"/>
      <c r="Y203" s="651"/>
      <c r="Z203" s="651"/>
      <c r="AA203" s="651"/>
      <c r="AB203" s="651"/>
      <c r="AC203" s="651"/>
      <c r="AD203" s="651"/>
      <c r="AE203" s="651"/>
      <c r="AF203" s="651"/>
      <c r="AG203" s="651"/>
      <c r="AH203" s="651"/>
      <c r="AI203" s="651"/>
      <c r="AJ203" s="651"/>
      <c r="AK203" s="651"/>
      <c r="AL203" s="651"/>
      <c r="AM203" s="651"/>
      <c r="AN203" s="651"/>
      <c r="AO203" s="651"/>
      <c r="AP203" s="651"/>
      <c r="AQ203" s="651"/>
      <c r="AR203" s="651"/>
      <c r="AT203" s="283"/>
      <c r="AV203" s="655"/>
      <c r="AW203" s="655"/>
    </row>
    <row r="204" spans="1:51">
      <c r="A204" s="282"/>
      <c r="AT204" s="283"/>
      <c r="AV204" s="655"/>
      <c r="AW204" s="655"/>
    </row>
    <row r="205" spans="1:51">
      <c r="A205" s="282"/>
      <c r="B205" s="655" t="str">
        <f>'[14]Twr Schedule'!B405</f>
        <v>36/9</v>
      </c>
      <c r="C205" s="655"/>
      <c r="F205" s="655" t="str">
        <f>'[14]Twr Schedule'!B407</f>
        <v>36/10</v>
      </c>
      <c r="G205" s="655"/>
      <c r="J205" s="655" t="str">
        <f>'[14]Twr Schedule'!B409</f>
        <v>36/11</v>
      </c>
      <c r="K205" s="655"/>
      <c r="N205" s="655" t="str">
        <f>'[14]Twr Schedule'!B411</f>
        <v>36/12</v>
      </c>
      <c r="O205" s="655"/>
      <c r="R205" s="655" t="str">
        <f>'[14]Twr Schedule'!B413</f>
        <v>37/0</v>
      </c>
      <c r="S205" s="655"/>
      <c r="V205" s="655" t="str">
        <f>'[14]Twr Schedule'!B415</f>
        <v>38/0</v>
      </c>
      <c r="W205" s="655"/>
      <c r="Z205" s="655" t="str">
        <f>'[14]Twr Schedule'!B417</f>
        <v>38/1</v>
      </c>
      <c r="AA205" s="655"/>
      <c r="AD205" s="655" t="str">
        <f>'[14]Twr Schedule'!B419</f>
        <v>38/2</v>
      </c>
      <c r="AE205" s="655"/>
      <c r="AH205" s="655" t="str">
        <f>'[14]Twr Schedule'!B421</f>
        <v>38/3</v>
      </c>
      <c r="AI205" s="655"/>
      <c r="AL205" s="655" t="str">
        <f>'[14]Twr Schedule'!B423</f>
        <v>38/4</v>
      </c>
      <c r="AM205" s="655"/>
      <c r="AP205" s="655" t="str">
        <f>'[14]Twr Schedule'!B425</f>
        <v>38/5</v>
      </c>
      <c r="AQ205" s="655"/>
      <c r="AT205" s="283"/>
      <c r="AV205" s="655"/>
      <c r="AW205" s="655"/>
    </row>
    <row r="206" spans="1:51">
      <c r="A206" s="282"/>
      <c r="AT206" s="283"/>
      <c r="AV206" s="655"/>
      <c r="AW206" s="655"/>
    </row>
    <row r="207" spans="1:51">
      <c r="A207" s="282"/>
      <c r="AT207" s="283"/>
      <c r="AV207" s="655"/>
      <c r="AW207" s="655"/>
    </row>
    <row r="208" spans="1:51">
      <c r="A208" s="282"/>
      <c r="B208" s="296" t="s">
        <v>790</v>
      </c>
      <c r="C208" s="296" t="s">
        <v>791</v>
      </c>
      <c r="D208" s="657">
        <f>VLOOKUP(B205,[14]Progress!$B$9:$D$310,3,FALSE)</f>
        <v>361</v>
      </c>
      <c r="E208" s="656"/>
      <c r="F208" s="296" t="s">
        <v>790</v>
      </c>
      <c r="G208" s="296" t="s">
        <v>791</v>
      </c>
      <c r="H208" s="657">
        <f>VLOOKUP(F205,[14]Progress!$B$9:$D$310,3,FALSE)</f>
        <v>302</v>
      </c>
      <c r="I208" s="656"/>
      <c r="J208" s="296" t="s">
        <v>790</v>
      </c>
      <c r="K208" s="296" t="s">
        <v>791</v>
      </c>
      <c r="L208" s="657">
        <f>VLOOKUP(J205,[14]Progress!$B$9:$D$310,3,FALSE)</f>
        <v>310</v>
      </c>
      <c r="M208" s="656"/>
      <c r="N208" s="296" t="s">
        <v>790</v>
      </c>
      <c r="O208" s="296" t="s">
        <v>791</v>
      </c>
      <c r="P208" s="705">
        <f>VLOOKUP(N205,[14]Progress!$B$9:$D$310,3,FALSE)</f>
        <v>361.31</v>
      </c>
      <c r="Q208" s="706"/>
      <c r="R208" s="314" t="s">
        <v>790</v>
      </c>
      <c r="S208" s="314" t="s">
        <v>791</v>
      </c>
      <c r="T208" s="708">
        <f>VLOOKUP(R205,[14]Progress!$B$9:$D$310,3,FALSE)</f>
        <v>475.95100000000002</v>
      </c>
      <c r="U208" s="709"/>
      <c r="V208" s="314" t="s">
        <v>790</v>
      </c>
      <c r="W208" s="314" t="s">
        <v>791</v>
      </c>
      <c r="X208" s="705">
        <f>VLOOKUP(V205,[14]Progress!$B$9:$D$310,3,FALSE)</f>
        <v>399</v>
      </c>
      <c r="Y208" s="706"/>
      <c r="Z208" s="314" t="s">
        <v>790</v>
      </c>
      <c r="AA208" s="314" t="s">
        <v>791</v>
      </c>
      <c r="AB208" s="705">
        <f>VLOOKUP(Z205,[14]Progress!$B$9:$D$310,3,FALSE)</f>
        <v>426</v>
      </c>
      <c r="AC208" s="706"/>
      <c r="AD208" s="314" t="s">
        <v>790</v>
      </c>
      <c r="AE208" s="314" t="s">
        <v>791</v>
      </c>
      <c r="AF208" s="705">
        <f>VLOOKUP(AD205,[14]Progress!$B$9:$D$310,3,FALSE)</f>
        <v>408</v>
      </c>
      <c r="AG208" s="706"/>
      <c r="AH208" s="314" t="s">
        <v>790</v>
      </c>
      <c r="AI208" s="314" t="s">
        <v>791</v>
      </c>
      <c r="AJ208" s="705">
        <f>VLOOKUP(AH205,[14]Progress!$B$9:$D$310,3,FALSE)</f>
        <v>419</v>
      </c>
      <c r="AK208" s="706"/>
      <c r="AL208" s="314" t="s">
        <v>790</v>
      </c>
      <c r="AM208" s="314" t="s">
        <v>791</v>
      </c>
      <c r="AN208" s="705">
        <f>VLOOKUP(AL205,[14]Progress!$B$9:$D$310,3,FALSE)</f>
        <v>415</v>
      </c>
      <c r="AO208" s="706"/>
      <c r="AP208" s="314" t="s">
        <v>790</v>
      </c>
      <c r="AQ208" s="314" t="s">
        <v>791</v>
      </c>
      <c r="AR208" s="705">
        <f>VLOOKUP(AP205,[14]Progress!$B$9:$D$310,3,FALSE)</f>
        <v>415.11799999999999</v>
      </c>
      <c r="AS208" s="707"/>
      <c r="AT208" s="283"/>
      <c r="AV208" s="655">
        <f>D208+H208+L208+P208+T208+X208+AB208+AF208+AJ208+AN208+AR208</f>
        <v>4292.3789999999999</v>
      </c>
      <c r="AW208" s="655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55"/>
      <c r="AW209" s="655"/>
    </row>
    <row r="210" spans="1:51" ht="10.5" customHeight="1">
      <c r="A210" s="282"/>
      <c r="B210" s="691"/>
      <c r="C210" s="691"/>
      <c r="F210" s="691"/>
      <c r="G210" s="691"/>
      <c r="J210" s="691"/>
      <c r="K210" s="691"/>
      <c r="N210" s="691"/>
      <c r="O210" s="691"/>
      <c r="R210" s="691"/>
      <c r="S210" s="691"/>
      <c r="V210" s="691"/>
      <c r="W210" s="691"/>
      <c r="Z210" s="691"/>
      <c r="AA210" s="691"/>
      <c r="AD210" s="691"/>
      <c r="AE210" s="691"/>
      <c r="AH210" s="691"/>
      <c r="AI210" s="691"/>
      <c r="AL210" s="691"/>
      <c r="AM210" s="691"/>
      <c r="AP210" s="691"/>
      <c r="AQ210" s="691"/>
      <c r="AT210" s="283"/>
      <c r="AV210" s="655"/>
      <c r="AW210" s="655"/>
    </row>
    <row r="211" spans="1:51">
      <c r="A211" s="282"/>
      <c r="B211" s="675" t="str">
        <f>VLOOKUP(+B205,'[14]Twr Schedule'!$B$9:$C$611,2,FALSE)</f>
        <v>DA-3</v>
      </c>
      <c r="C211" s="675"/>
      <c r="F211" s="675" t="str">
        <f>VLOOKUP(+F205,'[14]Twr Schedule'!$B$9:$C$611,2,FALSE)</f>
        <v>DA-3</v>
      </c>
      <c r="G211" s="675"/>
      <c r="J211" s="675" t="str">
        <f>VLOOKUP(+J205,'[14]Twr Schedule'!$B$9:$C$611,2,FALSE)</f>
        <v>DA-3</v>
      </c>
      <c r="K211" s="675"/>
      <c r="N211" s="675" t="str">
        <f>VLOOKUP(+N205,'[14]Twr Schedule'!$B$9:$C$611,2,FALSE)</f>
        <v>DA+0</v>
      </c>
      <c r="O211" s="675"/>
      <c r="R211" s="675" t="str">
        <f>VLOOKUP(+R205,'[14]Twr Schedule'!$B$9:$C$611,2,FALSE)</f>
        <v>DC2+18</v>
      </c>
      <c r="S211" s="675"/>
      <c r="V211" s="675" t="str">
        <f>VLOOKUP(+V205,'[14]Twr Schedule'!$B$9:$C$611,2,FALSE)</f>
        <v>DC2+18</v>
      </c>
      <c r="W211" s="675"/>
      <c r="Z211" s="675" t="str">
        <f>VLOOKUP(+Z205,'[14]Twr Schedule'!$B$9:$C$611,2,FALSE)</f>
        <v>DA+3</v>
      </c>
      <c r="AA211" s="675"/>
      <c r="AD211" s="675" t="str">
        <f>VLOOKUP(+AD205,'[14]Twr Schedule'!$B$9:$C$611,2,FALSE)</f>
        <v>DA+3</v>
      </c>
      <c r="AE211" s="675"/>
      <c r="AH211" s="675" t="str">
        <f>VLOOKUP(+AH205,'[14]Twr Schedule'!$B$9:$C$611,2,FALSE)</f>
        <v>DA+3</v>
      </c>
      <c r="AI211" s="675"/>
      <c r="AL211" s="675" t="str">
        <f>VLOOKUP(+AL205,'[14]Twr Schedule'!$B$9:$C$611,2,FALSE)</f>
        <v>DA+3</v>
      </c>
      <c r="AM211" s="675"/>
      <c r="AP211" s="675" t="str">
        <f>VLOOKUP(+AP205,'[14]Twr Schedule'!$B$9:$C$611,2,FALSE)</f>
        <v>DA+3</v>
      </c>
      <c r="AQ211" s="675"/>
      <c r="AT211" s="283"/>
      <c r="AV211" s="655"/>
      <c r="AW211" s="655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55"/>
      <c r="AW212" s="655"/>
    </row>
    <row r="213" spans="1:51">
      <c r="A213" s="282"/>
      <c r="R213" t="s">
        <v>849</v>
      </c>
      <c r="AT213" s="283"/>
      <c r="AV213" s="655"/>
      <c r="AW213" s="655"/>
    </row>
    <row r="214" spans="1:51">
      <c r="A214" s="651" t="s">
        <v>847</v>
      </c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1"/>
      <c r="P214" s="651"/>
      <c r="Q214" s="651"/>
      <c r="R214" s="651"/>
      <c r="S214" s="651"/>
      <c r="T214" s="651"/>
      <c r="U214" s="651"/>
      <c r="V214" s="651"/>
      <c r="W214" s="594" t="s">
        <v>850</v>
      </c>
      <c r="X214" s="595"/>
      <c r="Y214" s="595"/>
      <c r="Z214" s="595"/>
      <c r="AA214" s="595"/>
      <c r="AB214" s="595"/>
      <c r="AC214" s="595"/>
      <c r="AD214" s="595"/>
      <c r="AE214" s="595"/>
      <c r="AF214" s="595"/>
      <c r="AG214" s="595"/>
      <c r="AH214" s="595"/>
      <c r="AI214" s="595"/>
      <c r="AJ214" s="595"/>
      <c r="AK214" s="595"/>
      <c r="AL214" s="595"/>
      <c r="AM214" s="595"/>
      <c r="AN214" s="595"/>
      <c r="AO214" s="595"/>
      <c r="AP214" s="595"/>
      <c r="AQ214" s="595"/>
      <c r="AR214" s="596"/>
      <c r="AT214" s="283"/>
      <c r="AV214" s="655"/>
      <c r="AW214" s="655"/>
    </row>
    <row r="215" spans="1:51">
      <c r="A215" s="282"/>
      <c r="B215" s="655" t="str">
        <f>'[14]Twr Schedule'!B427</f>
        <v>38/6</v>
      </c>
      <c r="C215" s="655"/>
      <c r="F215" s="655" t="str">
        <f>'[14]Twr Schedule'!B429</f>
        <v>38/7</v>
      </c>
      <c r="G215" s="655"/>
      <c r="J215" s="655" t="str">
        <f>'[14]Twr Schedule'!B431</f>
        <v>38/8</v>
      </c>
      <c r="K215" s="655"/>
      <c r="N215" s="655" t="str">
        <f>'[14]Twr Schedule'!B433</f>
        <v>38/9</v>
      </c>
      <c r="O215" s="655"/>
      <c r="R215" s="655" t="str">
        <f>'[14]Twr Schedule'!B435</f>
        <v>38/10</v>
      </c>
      <c r="S215" s="655"/>
      <c r="V215" s="655" t="str">
        <f>'[14]Twr Schedule'!B437</f>
        <v>38/11</v>
      </c>
      <c r="W215" s="655"/>
      <c r="Z215" s="655" t="str">
        <f>'[14]Twr Schedule'!B439</f>
        <v>39/0</v>
      </c>
      <c r="AA215" s="655"/>
      <c r="AD215" s="655" t="str">
        <f>'[14]Twr Schedule'!B441</f>
        <v>39/1</v>
      </c>
      <c r="AE215" s="655"/>
      <c r="AH215" s="655" t="str">
        <f>'[14]Twr Schedule'!B443</f>
        <v>39/2</v>
      </c>
      <c r="AI215" s="655"/>
      <c r="AL215" s="655" t="str">
        <f>'[14]Twr Schedule'!B445</f>
        <v>39/3</v>
      </c>
      <c r="AM215" s="655"/>
      <c r="AP215" s="655" t="str">
        <f>'[14]Twr Schedule'!B447</f>
        <v>39/4</v>
      </c>
      <c r="AQ215" s="655"/>
      <c r="AT215" s="283"/>
      <c r="AV215" s="655"/>
      <c r="AW215" s="655"/>
    </row>
    <row r="216" spans="1:51">
      <c r="A216" s="282"/>
      <c r="AT216" s="283"/>
      <c r="AV216" s="655"/>
      <c r="AW216" s="655"/>
    </row>
    <row r="217" spans="1:51">
      <c r="A217" s="282"/>
      <c r="AT217" s="283"/>
      <c r="AV217" s="655"/>
      <c r="AW217" s="655"/>
    </row>
    <row r="218" spans="1:51">
      <c r="A218" s="282"/>
      <c r="B218" s="296" t="s">
        <v>790</v>
      </c>
      <c r="C218" s="296" t="s">
        <v>791</v>
      </c>
      <c r="D218" s="657">
        <f>VLOOKUP(B215,[14]Progress!$B$9:$D$310,3,FALSE)</f>
        <v>400</v>
      </c>
      <c r="E218" s="656"/>
      <c r="F218" s="296" t="s">
        <v>790</v>
      </c>
      <c r="G218" s="296" t="s">
        <v>791</v>
      </c>
      <c r="H218" s="657">
        <f>VLOOKUP(F215,[14]Progress!$B$9:$D$310,3,FALSE)</f>
        <v>408.00200000000001</v>
      </c>
      <c r="I218" s="656"/>
      <c r="J218" s="296" t="s">
        <v>790</v>
      </c>
      <c r="K218" s="296" t="s">
        <v>791</v>
      </c>
      <c r="L218" s="657">
        <f>VLOOKUP(J215,[14]Progress!$B$9:$D$310,3,FALSE)</f>
        <v>393</v>
      </c>
      <c r="M218" s="656"/>
      <c r="N218" s="296" t="s">
        <v>790</v>
      </c>
      <c r="O218" s="296" t="s">
        <v>791</v>
      </c>
      <c r="P218" s="657">
        <f>VLOOKUP(N215,[14]Progress!$B$9:$D$310,3,FALSE)</f>
        <v>353</v>
      </c>
      <c r="Q218" s="656"/>
      <c r="R218" s="296" t="s">
        <v>790</v>
      </c>
      <c r="S218" s="296" t="s">
        <v>791</v>
      </c>
      <c r="T218" s="657">
        <f>VLOOKUP(R215,[14]Progress!$B$9:$D$310,3,FALSE)</f>
        <v>383</v>
      </c>
      <c r="U218" s="656"/>
      <c r="V218" s="314" t="s">
        <v>790</v>
      </c>
      <c r="W218" s="314" t="s">
        <v>791</v>
      </c>
      <c r="X218" s="705">
        <f>VLOOKUP(V215,[14]Progress!$B$9:$D$310,3,FALSE)</f>
        <v>403.72300000000001</v>
      </c>
      <c r="Y218" s="706"/>
      <c r="Z218" s="314" t="s">
        <v>790</v>
      </c>
      <c r="AA218" s="314" t="s">
        <v>791</v>
      </c>
      <c r="AB218" s="705">
        <f>VLOOKUP(Z215,[14]Progress!$B$9:$D$310,3,FALSE)</f>
        <v>398</v>
      </c>
      <c r="AC218" s="706"/>
      <c r="AD218" s="314" t="s">
        <v>790</v>
      </c>
      <c r="AE218" s="314" t="s">
        <v>791</v>
      </c>
      <c r="AF218" s="705">
        <f>VLOOKUP(AD215,[14]Progress!$B$9:$D$310,3,FALSE)</f>
        <v>402</v>
      </c>
      <c r="AG218" s="706"/>
      <c r="AH218" s="314" t="s">
        <v>790</v>
      </c>
      <c r="AI218" s="314" t="s">
        <v>791</v>
      </c>
      <c r="AJ218" s="705">
        <f>VLOOKUP(AH215,[14]Progress!$B$9:$D$310,3,FALSE)</f>
        <v>393.00299999999999</v>
      </c>
      <c r="AK218" s="706"/>
      <c r="AL218" s="314" t="s">
        <v>790</v>
      </c>
      <c r="AM218" s="314" t="s">
        <v>791</v>
      </c>
      <c r="AN218" s="705">
        <f>VLOOKUP(AL215,[14]Progress!$B$9:$D$310,3,FALSE)</f>
        <v>436.59699999999998</v>
      </c>
      <c r="AO218" s="706"/>
      <c r="AP218" s="314" t="s">
        <v>790</v>
      </c>
      <c r="AQ218" s="314" t="s">
        <v>791</v>
      </c>
      <c r="AR218" s="705">
        <f>VLOOKUP(AP215,[14]Progress!$B$9:$D$310,3,FALSE)</f>
        <v>376.01100000000002</v>
      </c>
      <c r="AS218" s="707"/>
      <c r="AT218" s="283"/>
      <c r="AV218" s="655">
        <f>D218+H218+L218+P218+T218+X218+AB218+AF218+AJ218+AN218+AR218</f>
        <v>4346.3360000000002</v>
      </c>
      <c r="AW218" s="655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55"/>
      <c r="AW219" s="655"/>
    </row>
    <row r="220" spans="1:51" ht="10.5" customHeight="1">
      <c r="A220" s="282"/>
      <c r="B220" s="691"/>
      <c r="C220" s="691"/>
      <c r="F220" s="691"/>
      <c r="G220" s="691"/>
      <c r="J220" s="691"/>
      <c r="K220" s="691"/>
      <c r="N220" s="691"/>
      <c r="O220" s="691"/>
      <c r="R220" s="691"/>
      <c r="S220" s="691"/>
      <c r="V220" s="691"/>
      <c r="W220" s="691"/>
      <c r="Z220" s="691"/>
      <c r="AA220" s="691"/>
      <c r="AD220" s="691"/>
      <c r="AE220" s="691"/>
      <c r="AH220" s="691"/>
      <c r="AI220" s="691"/>
      <c r="AL220" s="691"/>
      <c r="AM220" s="691"/>
      <c r="AP220" s="691"/>
      <c r="AQ220" s="691"/>
      <c r="AT220" s="283"/>
      <c r="AV220" s="655"/>
      <c r="AW220" s="655"/>
    </row>
    <row r="221" spans="1:51">
      <c r="A221" s="282"/>
      <c r="B221" s="675" t="str">
        <f>VLOOKUP(+B215,'[14]Twr Schedule'!$B$9:$C$611,2,FALSE)</f>
        <v>DA+3</v>
      </c>
      <c r="C221" s="675"/>
      <c r="F221" s="675" t="str">
        <f>VLOOKUP(+F215,'[14]Twr Schedule'!$B$9:$C$611,2,FALSE)</f>
        <v>DA-3</v>
      </c>
      <c r="G221" s="675"/>
      <c r="J221" s="675" t="str">
        <f>VLOOKUP(+J215,'[14]Twr Schedule'!$B$9:$C$611,2,FALSE)</f>
        <v>DA+3</v>
      </c>
      <c r="K221" s="675"/>
      <c r="N221" s="675" t="str">
        <f>VLOOKUP(+N215,'[14]Twr Schedule'!$B$9:$C$611,2,FALSE)</f>
        <v>DA-3</v>
      </c>
      <c r="O221" s="675"/>
      <c r="R221" s="675" t="str">
        <f>VLOOKUP(+R215,'[14]Twr Schedule'!$B$9:$C$611,2,FALSE)</f>
        <v>DA-3</v>
      </c>
      <c r="S221" s="675"/>
      <c r="V221" s="675" t="str">
        <f>VLOOKUP(+V215,'[14]Twr Schedule'!$B$9:$C$611,2,FALSE)</f>
        <v>DA+3</v>
      </c>
      <c r="W221" s="675"/>
      <c r="Z221" s="675" t="str">
        <f>VLOOKUP(+Z215,'[14]Twr Schedule'!$B$9:$C$611,2,FALSE)</f>
        <v>DB2+0</v>
      </c>
      <c r="AA221" s="675"/>
      <c r="AD221" s="675" t="str">
        <f>VLOOKUP(+AD215,'[14]Twr Schedule'!$B$9:$C$611,2,FALSE)</f>
        <v>DA+3</v>
      </c>
      <c r="AE221" s="675"/>
      <c r="AH221" s="675" t="str">
        <f>VLOOKUP(+AH215,'[14]Twr Schedule'!$B$9:$C$611,2,FALSE)</f>
        <v>DA-3</v>
      </c>
      <c r="AI221" s="675"/>
      <c r="AL221" s="675" t="str">
        <f>VLOOKUP(+AL215,'[14]Twr Schedule'!$B$9:$C$611,2,FALSE)</f>
        <v>DA+3</v>
      </c>
      <c r="AM221" s="675"/>
      <c r="AP221" s="675" t="str">
        <f>VLOOKUP(+AP215,'[14]Twr Schedule'!$B$9:$C$611,2,FALSE)</f>
        <v>DA+3</v>
      </c>
      <c r="AQ221" s="675"/>
      <c r="AT221" s="283"/>
      <c r="AV221" s="655"/>
      <c r="AW221" s="655"/>
    </row>
    <row r="222" spans="1:51">
      <c r="A222" s="282"/>
      <c r="AT222" s="283"/>
      <c r="AV222" s="655"/>
      <c r="AW222" s="655"/>
    </row>
    <row r="223" spans="1:51">
      <c r="A223" s="594" t="s">
        <v>850</v>
      </c>
      <c r="B223" s="595"/>
      <c r="C223" s="595"/>
      <c r="D223" s="595"/>
      <c r="E223" s="595"/>
      <c r="F223" s="595"/>
      <c r="G223" s="595"/>
      <c r="H223" s="595"/>
      <c r="I223" s="595"/>
      <c r="J223" s="595"/>
      <c r="K223" s="595"/>
      <c r="L223" s="595"/>
      <c r="M223" s="595"/>
      <c r="N223" s="595"/>
      <c r="O223" s="595"/>
      <c r="P223" s="595"/>
      <c r="Q223" s="595"/>
      <c r="R223" s="595"/>
      <c r="S223" s="595"/>
      <c r="T223" s="595"/>
      <c r="U223" s="595"/>
      <c r="V223" s="595"/>
      <c r="W223" s="595"/>
      <c r="X223" s="595"/>
      <c r="Y223" s="595"/>
      <c r="Z223" s="596"/>
      <c r="AA223" s="651" t="s">
        <v>851</v>
      </c>
      <c r="AB223" s="651"/>
      <c r="AC223" s="651"/>
      <c r="AD223" s="651"/>
      <c r="AE223" s="651"/>
      <c r="AF223" s="651"/>
      <c r="AG223" s="651"/>
      <c r="AH223" s="651"/>
      <c r="AI223" s="651"/>
      <c r="AJ223" s="651"/>
      <c r="AK223" s="651"/>
      <c r="AL223" s="651"/>
      <c r="AM223" s="651"/>
      <c r="AN223" s="651"/>
      <c r="AO223" s="651"/>
      <c r="AP223" s="651"/>
      <c r="AQ223" s="651"/>
      <c r="AR223" s="651"/>
      <c r="AT223" s="283"/>
      <c r="AV223" s="655"/>
      <c r="AW223" s="655"/>
    </row>
    <row r="224" spans="1:51">
      <c r="A224" s="282"/>
      <c r="AT224" s="283"/>
      <c r="AV224" s="655"/>
      <c r="AW224" s="655"/>
    </row>
    <row r="225" spans="1:51">
      <c r="A225" s="282"/>
      <c r="B225" s="655" t="str">
        <f>'[14]Twr Schedule'!B449</f>
        <v>39/5</v>
      </c>
      <c r="C225" s="655"/>
      <c r="F225" s="655" t="str">
        <f>'[14]Twr Schedule'!B451</f>
        <v>39/6</v>
      </c>
      <c r="G225" s="655"/>
      <c r="J225" s="655" t="str">
        <f>'[14]Twr Schedule'!B453</f>
        <v>39/7</v>
      </c>
      <c r="K225" s="655"/>
      <c r="N225" s="655" t="str">
        <f>'[14]Twr Schedule'!B455</f>
        <v>39/8</v>
      </c>
      <c r="O225" s="655"/>
      <c r="R225" s="655" t="str">
        <f>'[14]Twr Schedule'!B457</f>
        <v>39/9</v>
      </c>
      <c r="S225" s="655"/>
      <c r="V225" s="655" t="str">
        <f>'[14]Twr Schedule'!B459</f>
        <v>39/10</v>
      </c>
      <c r="W225" s="655"/>
      <c r="Z225" s="655" t="str">
        <f>'[14]Twr Schedule'!B461</f>
        <v>40/0</v>
      </c>
      <c r="AA225" s="655"/>
      <c r="AD225" s="655" t="str">
        <f>'[14]Twr Schedule'!B463</f>
        <v>41/0</v>
      </c>
      <c r="AE225" s="655"/>
      <c r="AH225" s="655" t="str">
        <f>'[14]Twr Schedule'!B465</f>
        <v>41/1</v>
      </c>
      <c r="AI225" s="655"/>
      <c r="AL225" s="655" t="str">
        <f>'[14]Twr Schedule'!B467</f>
        <v>41/2</v>
      </c>
      <c r="AM225" s="655"/>
      <c r="AP225" s="655" t="str">
        <f>'[14]Twr Schedule'!B469</f>
        <v>42/0</v>
      </c>
      <c r="AQ225" s="655"/>
      <c r="AT225" s="283"/>
      <c r="AV225" s="655"/>
      <c r="AW225" s="655"/>
    </row>
    <row r="226" spans="1:51">
      <c r="A226" s="282"/>
      <c r="AT226" s="283"/>
      <c r="AV226" s="655"/>
      <c r="AW226" s="655"/>
    </row>
    <row r="227" spans="1:51">
      <c r="A227" s="282"/>
      <c r="AT227" s="283"/>
      <c r="AV227" s="655"/>
      <c r="AW227" s="655"/>
    </row>
    <row r="228" spans="1:51">
      <c r="A228" s="282"/>
      <c r="B228" s="296" t="s">
        <v>790</v>
      </c>
      <c r="C228" s="296" t="s">
        <v>791</v>
      </c>
      <c r="D228" s="705">
        <f>VLOOKUP(B225,[14]Progress!$B$9:$D$310,3,FALSE)</f>
        <v>374.38900000000001</v>
      </c>
      <c r="E228" s="706"/>
      <c r="F228" s="314" t="s">
        <v>790</v>
      </c>
      <c r="G228" s="314" t="s">
        <v>791</v>
      </c>
      <c r="H228" s="705">
        <f>VLOOKUP(F225,[14]Progress!$B$9:$D$310,3,FALSE)</f>
        <v>420.39800000000002</v>
      </c>
      <c r="I228" s="706"/>
      <c r="J228" s="314" t="s">
        <v>790</v>
      </c>
      <c r="K228" s="314" t="s">
        <v>791</v>
      </c>
      <c r="L228" s="705">
        <f>VLOOKUP(J225,[14]Progress!$B$9:$D$310,3,FALSE)</f>
        <v>414.00200000000001</v>
      </c>
      <c r="M228" s="706"/>
      <c r="N228" s="314" t="s">
        <v>790</v>
      </c>
      <c r="O228" s="314" t="s">
        <v>791</v>
      </c>
      <c r="P228" s="705">
        <f>VLOOKUP(N225,[14]Progress!$B$9:$D$310,3,FALSE)</f>
        <v>416.00099999999998</v>
      </c>
      <c r="Q228" s="706"/>
      <c r="R228" s="314" t="s">
        <v>790</v>
      </c>
      <c r="S228" s="314" t="s">
        <v>791</v>
      </c>
      <c r="T228" s="705">
        <f>VLOOKUP(R225,[14]Progress!$B$9:$D$310,3,FALSE)</f>
        <v>408.00200000000001</v>
      </c>
      <c r="U228" s="706"/>
      <c r="V228" s="314" t="s">
        <v>790</v>
      </c>
      <c r="W228" s="314" t="s">
        <v>791</v>
      </c>
      <c r="X228" s="705">
        <f>VLOOKUP(V225,[14]Progress!$B$9:$D$310,3,FALSE)</f>
        <v>422.12400000000002</v>
      </c>
      <c r="Y228" s="706"/>
      <c r="Z228" s="314" t="s">
        <v>790</v>
      </c>
      <c r="AA228" s="314" t="s">
        <v>791</v>
      </c>
      <c r="AB228" s="705">
        <f>VLOOKUP(Z225,[14]Progress!$B$9:$D$310,3,FALSE)</f>
        <v>239.30199999999999</v>
      </c>
      <c r="AC228" s="706"/>
      <c r="AD228" s="314" t="s">
        <v>790</v>
      </c>
      <c r="AE228" s="314" t="s">
        <v>791</v>
      </c>
      <c r="AF228" s="705">
        <f>VLOOKUP(AD225,[14]Progress!$B$9:$D$310,3,FALSE)</f>
        <v>425</v>
      </c>
      <c r="AG228" s="706"/>
      <c r="AH228" s="314" t="s">
        <v>790</v>
      </c>
      <c r="AI228" s="314" t="s">
        <v>791</v>
      </c>
      <c r="AJ228" s="705">
        <f>VLOOKUP(AH225,[14]Progress!$B$9:$D$310,3,FALSE)</f>
        <v>370</v>
      </c>
      <c r="AK228" s="706"/>
      <c r="AL228" s="314" t="s">
        <v>790</v>
      </c>
      <c r="AM228" s="314" t="s">
        <v>791</v>
      </c>
      <c r="AN228" s="705">
        <f>VLOOKUP(AL225,[14]Progress!$B$9:$D$310,3,FALSE)</f>
        <v>346.55599999999998</v>
      </c>
      <c r="AO228" s="706"/>
      <c r="AP228" s="314" t="s">
        <v>790</v>
      </c>
      <c r="AQ228" s="314" t="s">
        <v>791</v>
      </c>
      <c r="AR228" s="708">
        <f>VLOOKUP(AP225,[14]Progress!$B$9:$D$310,3,FALSE)</f>
        <v>309.23</v>
      </c>
      <c r="AS228" s="729"/>
      <c r="AT228" s="283"/>
      <c r="AV228" s="655">
        <f>D228+H228+L228+P228+T228+X228+AB228+AF228+AJ228+AN228+AR228</f>
        <v>4145.0040000000008</v>
      </c>
      <c r="AW228" s="655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55"/>
      <c r="AW229" s="655"/>
    </row>
    <row r="230" spans="1:51" ht="10.5" customHeight="1">
      <c r="A230" s="282"/>
      <c r="B230" s="691"/>
      <c r="C230" s="691"/>
      <c r="F230" s="691"/>
      <c r="G230" s="691"/>
      <c r="J230" s="691"/>
      <c r="K230" s="691"/>
      <c r="N230" s="691"/>
      <c r="O230" s="691"/>
      <c r="R230" s="691"/>
      <c r="S230" s="691"/>
      <c r="V230" s="691"/>
      <c r="W230" s="691"/>
      <c r="Z230" s="691"/>
      <c r="AA230" s="691"/>
      <c r="AD230" s="691"/>
      <c r="AE230" s="691"/>
      <c r="AH230" s="691"/>
      <c r="AI230" s="691"/>
      <c r="AL230" s="691"/>
      <c r="AM230" s="691"/>
      <c r="AP230" s="691"/>
      <c r="AQ230" s="691"/>
      <c r="AT230" s="283"/>
      <c r="AV230" s="655"/>
      <c r="AW230" s="655"/>
    </row>
    <row r="231" spans="1:51">
      <c r="A231" s="282"/>
      <c r="B231" s="675" t="str">
        <f>VLOOKUP(+B225,'[14]Twr Schedule'!$B$9:$C$611,2,FALSE)</f>
        <v>DA-3</v>
      </c>
      <c r="C231" s="675"/>
      <c r="F231" s="675" t="str">
        <f>VLOOKUP(+F225,'[14]Twr Schedule'!$B$9:$C$611,2,FALSE)</f>
        <v>DA+3</v>
      </c>
      <c r="G231" s="675"/>
      <c r="J231" s="675" t="str">
        <f>VLOOKUP(+J225,'[14]Twr Schedule'!$B$9:$C$611,2,FALSE)</f>
        <v>DA+3</v>
      </c>
      <c r="K231" s="675"/>
      <c r="N231" s="675" t="str">
        <f>VLOOKUP(+N225,'[14]Twr Schedule'!$B$9:$C$611,2,FALSE)</f>
        <v>DA+0</v>
      </c>
      <c r="O231" s="675"/>
      <c r="R231" s="675" t="str">
        <f>VLOOKUP(+R225,'[14]Twr Schedule'!$B$9:$C$611,2,FALSE)</f>
        <v>DA+3</v>
      </c>
      <c r="S231" s="675"/>
      <c r="V231" s="675" t="str">
        <f>VLOOKUP(+V225,'[14]Twr Schedule'!$B$9:$C$611,2,FALSE)</f>
        <v>DA+0</v>
      </c>
      <c r="W231" s="675"/>
      <c r="Z231" s="714" t="str">
        <f>VLOOKUP(+Z225,'[14]Twr Schedule'!$B$9:$C$611,2,FALSE)</f>
        <v>DD60+25</v>
      </c>
      <c r="AA231" s="714"/>
      <c r="AB231" s="315"/>
      <c r="AC231" s="315"/>
      <c r="AD231" s="714" t="str">
        <f>VLOOKUP(+AD225,'[14]Twr Schedule'!$B$9:$C$611,2,FALSE)</f>
        <v>DD60+18</v>
      </c>
      <c r="AE231" s="714"/>
      <c r="AH231" s="675" t="str">
        <f>VLOOKUP(+AH225,'[14]Twr Schedule'!$B$9:$C$611,2,FALSE)</f>
        <v>DA+0</v>
      </c>
      <c r="AI231" s="675"/>
      <c r="AL231" s="675" t="str">
        <f>VLOOKUP(+AL225,'[14]Twr Schedule'!$B$9:$C$611,2,FALSE)</f>
        <v>DA+3</v>
      </c>
      <c r="AM231" s="675"/>
      <c r="AP231" s="730" t="str">
        <f>VLOOKUP(+AP225,'[14]Twr Schedule'!$B$9:$C$611,2,FALSE)</f>
        <v>DD60+18</v>
      </c>
      <c r="AQ231" s="730"/>
      <c r="AT231" s="283"/>
      <c r="AV231" s="655"/>
      <c r="AW231" s="655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55"/>
      <c r="AW232" s="655"/>
    </row>
    <row r="233" spans="1:51">
      <c r="A233" s="282"/>
      <c r="Z233" t="s">
        <v>854</v>
      </c>
      <c r="AP233" s="2" t="s">
        <v>855</v>
      </c>
      <c r="AT233" s="283"/>
      <c r="AV233" s="655"/>
      <c r="AW233" s="655"/>
    </row>
    <row r="234" spans="1:51">
      <c r="A234" s="594" t="s">
        <v>851</v>
      </c>
      <c r="B234" s="595"/>
      <c r="C234" s="595"/>
      <c r="D234" s="595"/>
      <c r="E234" s="595"/>
      <c r="F234" s="595"/>
      <c r="G234" s="595"/>
      <c r="H234" s="595"/>
      <c r="I234" s="595"/>
      <c r="J234" s="595"/>
      <c r="K234" s="595"/>
      <c r="L234" s="595"/>
      <c r="M234" s="595"/>
      <c r="N234" s="595"/>
      <c r="O234" s="595"/>
      <c r="P234" s="595"/>
      <c r="Q234" s="595"/>
      <c r="R234" s="595"/>
      <c r="S234" s="595"/>
      <c r="T234" s="595"/>
      <c r="U234" s="595"/>
      <c r="V234" s="595"/>
      <c r="W234" s="595"/>
      <c r="X234" s="595"/>
      <c r="Y234" s="595"/>
      <c r="Z234" s="595"/>
      <c r="AA234" s="595"/>
      <c r="AB234" s="595"/>
      <c r="AC234" s="595"/>
      <c r="AD234" s="595"/>
      <c r="AE234" s="595"/>
      <c r="AF234" s="595"/>
      <c r="AG234" s="595"/>
      <c r="AH234" s="595"/>
      <c r="AI234" s="595"/>
      <c r="AJ234" s="595"/>
      <c r="AK234" s="595"/>
      <c r="AL234" s="596"/>
      <c r="AM234" s="651" t="s">
        <v>856</v>
      </c>
      <c r="AN234" s="651"/>
      <c r="AO234" s="651"/>
      <c r="AP234" s="651"/>
      <c r="AQ234" s="651"/>
      <c r="AR234" s="651"/>
      <c r="AT234" s="283"/>
      <c r="AV234" s="655"/>
      <c r="AW234" s="655"/>
    </row>
    <row r="235" spans="1:51">
      <c r="A235" s="282"/>
      <c r="B235" s="655" t="str">
        <f>'[14]Twr Schedule'!B471</f>
        <v>43/0</v>
      </c>
      <c r="C235" s="655"/>
      <c r="F235" s="655" t="str">
        <f>'[14]Twr Schedule'!B473</f>
        <v>44/0</v>
      </c>
      <c r="G235" s="655"/>
      <c r="J235" s="655" t="str">
        <f>'[14]Twr Schedule'!B475</f>
        <v>45/0</v>
      </c>
      <c r="K235" s="655"/>
      <c r="N235" s="655" t="str">
        <f>'[14]Twr Schedule'!B477</f>
        <v>45/1</v>
      </c>
      <c r="O235" s="655"/>
      <c r="R235" s="655" t="str">
        <f>'[14]Twr Schedule'!B479</f>
        <v>45/2</v>
      </c>
      <c r="S235" s="655"/>
      <c r="V235" s="655" t="str">
        <f>'[14]Twr Schedule'!B481</f>
        <v>45/3</v>
      </c>
      <c r="W235" s="655"/>
      <c r="Z235" s="655" t="str">
        <f>'[14]Twr Schedule'!B483</f>
        <v>46/0</v>
      </c>
      <c r="AA235" s="655"/>
      <c r="AD235" s="655" t="str">
        <f>'[14]Twr Schedule'!B485</f>
        <v>46/1</v>
      </c>
      <c r="AE235" s="655"/>
      <c r="AH235" s="655" t="str">
        <f>'[14]Twr Schedule'!B487</f>
        <v>46/2</v>
      </c>
      <c r="AI235" s="655"/>
      <c r="AL235" s="655" t="str">
        <f>'[14]Twr Schedule'!B489</f>
        <v>47/0</v>
      </c>
      <c r="AM235" s="655"/>
      <c r="AP235" s="655" t="str">
        <f>'[14]Twr Schedule'!B491</f>
        <v>48/0</v>
      </c>
      <c r="AQ235" s="655"/>
      <c r="AT235" s="283"/>
      <c r="AV235" s="655"/>
      <c r="AW235" s="655"/>
    </row>
    <row r="236" spans="1:51">
      <c r="A236" s="282"/>
      <c r="AT236" s="283"/>
      <c r="AV236" s="655"/>
      <c r="AW236" s="655"/>
    </row>
    <row r="237" spans="1:51">
      <c r="A237" s="282"/>
      <c r="AT237" s="283"/>
      <c r="AV237" s="655"/>
      <c r="AW237" s="655"/>
    </row>
    <row r="238" spans="1:51">
      <c r="A238" s="282"/>
      <c r="B238" s="296" t="s">
        <v>790</v>
      </c>
      <c r="C238" s="296" t="s">
        <v>791</v>
      </c>
      <c r="D238" s="705">
        <f>VLOOKUP(B235,[14]Progress!$B$9:$D$310,3,FALSE)</f>
        <v>459.66899999999998</v>
      </c>
      <c r="E238" s="706"/>
      <c r="F238" s="314" t="s">
        <v>790</v>
      </c>
      <c r="G238" s="314" t="s">
        <v>791</v>
      </c>
      <c r="H238" s="708">
        <f>VLOOKUP(F235,[14]Progress!$B$9:$D$310,3,FALSE)</f>
        <v>300.00099999999998</v>
      </c>
      <c r="I238" s="709"/>
      <c r="J238" s="314" t="s">
        <v>790</v>
      </c>
      <c r="K238" s="314" t="s">
        <v>791</v>
      </c>
      <c r="L238" s="705">
        <f>VLOOKUP(J235,[14]Progress!$B$9:$D$310,3,FALSE)</f>
        <v>331</v>
      </c>
      <c r="M238" s="706"/>
      <c r="N238" s="314" t="s">
        <v>790</v>
      </c>
      <c r="O238" s="314" t="s">
        <v>791</v>
      </c>
      <c r="P238" s="705">
        <f>VLOOKUP(N235,[14]Progress!$B$9:$D$310,3,FALSE)</f>
        <v>422</v>
      </c>
      <c r="Q238" s="706"/>
      <c r="R238" s="314" t="s">
        <v>790</v>
      </c>
      <c r="S238" s="314" t="s">
        <v>791</v>
      </c>
      <c r="T238" s="705">
        <f>VLOOKUP(R235,[14]Progress!$B$9:$D$310,3,FALSE)</f>
        <v>395</v>
      </c>
      <c r="U238" s="706"/>
      <c r="V238" s="314" t="s">
        <v>790</v>
      </c>
      <c r="W238" s="314" t="s">
        <v>791</v>
      </c>
      <c r="X238" s="705">
        <f>VLOOKUP(V235,[14]Progress!$B$9:$D$310,3,FALSE)</f>
        <v>309.88099999999997</v>
      </c>
      <c r="Y238" s="706"/>
      <c r="Z238" s="314" t="s">
        <v>790</v>
      </c>
      <c r="AA238" s="314" t="s">
        <v>791</v>
      </c>
      <c r="AB238" s="705">
        <f>VLOOKUP(Z235,[14]Progress!$B$9:$D$310,3,FALSE)</f>
        <v>331</v>
      </c>
      <c r="AC238" s="706"/>
      <c r="AD238" s="314" t="s">
        <v>790</v>
      </c>
      <c r="AE238" s="314" t="s">
        <v>791</v>
      </c>
      <c r="AF238" s="705">
        <f>VLOOKUP(AD235,[14]Progress!$B$9:$D$310,3,FALSE)</f>
        <v>421</v>
      </c>
      <c r="AG238" s="706"/>
      <c r="AH238" s="314" t="s">
        <v>790</v>
      </c>
      <c r="AI238" s="314" t="s">
        <v>791</v>
      </c>
      <c r="AJ238" s="705">
        <f>VLOOKUP(AH235,[14]Progress!$B$9:$D$310,3,FALSE)</f>
        <v>403.60599999999999</v>
      </c>
      <c r="AK238" s="706"/>
      <c r="AL238" s="314" t="s">
        <v>790</v>
      </c>
      <c r="AM238" s="314" t="s">
        <v>791</v>
      </c>
      <c r="AN238" s="708">
        <f>VLOOKUP(AL235,[14]Progress!$B$9:$D$310,3,FALSE)</f>
        <v>358.62599999999998</v>
      </c>
      <c r="AO238" s="709"/>
      <c r="AP238" s="314" t="s">
        <v>790</v>
      </c>
      <c r="AQ238" s="314" t="s">
        <v>791</v>
      </c>
      <c r="AR238" s="705">
        <f>VLOOKUP(AP235,[14]Progress!$B$9:$D$310,3,FALSE)</f>
        <v>388</v>
      </c>
      <c r="AS238" s="707"/>
      <c r="AT238" s="283"/>
      <c r="AV238" s="655">
        <f>D238+H238+L238+P238+T238+X238+AB238+AF238+AJ238+AN238+AR238</f>
        <v>4119.7830000000004</v>
      </c>
      <c r="AW238" s="655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55"/>
      <c r="AW239" s="655"/>
    </row>
    <row r="240" spans="1:51" ht="10.5" customHeight="1">
      <c r="A240" s="282"/>
      <c r="B240" s="691"/>
      <c r="C240" s="691"/>
      <c r="F240" s="691"/>
      <c r="G240" s="691"/>
      <c r="J240" s="691"/>
      <c r="K240" s="691"/>
      <c r="N240" s="691"/>
      <c r="O240" s="691"/>
      <c r="R240" s="691"/>
      <c r="S240" s="691"/>
      <c r="V240" s="691"/>
      <c r="W240" s="691"/>
      <c r="Z240" s="691"/>
      <c r="AA240" s="691"/>
      <c r="AD240" s="691"/>
      <c r="AE240" s="691"/>
      <c r="AH240" s="691"/>
      <c r="AI240" s="691"/>
      <c r="AL240" s="691"/>
      <c r="AM240" s="691"/>
      <c r="AP240" s="691"/>
      <c r="AQ240" s="691"/>
      <c r="AT240" s="283"/>
      <c r="AV240" s="655"/>
      <c r="AW240" s="655"/>
    </row>
    <row r="241" spans="1:51">
      <c r="A241" s="282"/>
      <c r="B241" s="675" t="str">
        <f>VLOOKUP(+B235,'[14]Twr Schedule'!$B$9:$C$611,2,FALSE)</f>
        <v>DD60+9</v>
      </c>
      <c r="C241" s="675"/>
      <c r="F241" s="675" t="str">
        <f>VLOOKUP(+F235,'[14]Twr Schedule'!$B$9:$C$611,2,FALSE)</f>
        <v>DD60+3</v>
      </c>
      <c r="G241" s="675"/>
      <c r="J241" s="675" t="str">
        <f>VLOOKUP(+J235,'[14]Twr Schedule'!$B$9:$C$611,2,FALSE)</f>
        <v>DD60+0</v>
      </c>
      <c r="K241" s="675"/>
      <c r="N241" s="675" t="str">
        <f>VLOOKUP(+N235,'[14]Twr Schedule'!$B$9:$C$611,2,FALSE)</f>
        <v>DA+3</v>
      </c>
      <c r="O241" s="675"/>
      <c r="R241" s="675" t="str">
        <f>VLOOKUP(+R235,'[14]Twr Schedule'!$B$9:$C$611,2,FALSE)</f>
        <v>DA+3</v>
      </c>
      <c r="S241" s="675"/>
      <c r="V241" s="675" t="str">
        <f>VLOOKUP(+V235,'[14]Twr Schedule'!$B$9:$C$611,2,FALSE)</f>
        <v>DA-3</v>
      </c>
      <c r="W241" s="675"/>
      <c r="Z241" s="675" t="str">
        <f>VLOOKUP(+Z235,'[14]Twr Schedule'!$B$9:$C$611,2,FALSE)</f>
        <v>DB2+0</v>
      </c>
      <c r="AA241" s="675"/>
      <c r="AD241" s="675" t="str">
        <f>VLOOKUP(+AD235,'[14]Twr Schedule'!$B$9:$C$611,2,FALSE)</f>
        <v>DA+0</v>
      </c>
      <c r="AE241" s="675"/>
      <c r="AH241" s="675" t="str">
        <f>VLOOKUP(+AH235,'[14]Twr Schedule'!$B$9:$C$611,2,FALSE)</f>
        <v>DA+3</v>
      </c>
      <c r="AI241" s="675"/>
      <c r="AL241" s="675" t="str">
        <f>VLOOKUP(+AL235,'[14]Twr Schedule'!$B$9:$C$611,2,FALSE)</f>
        <v>DC2+9</v>
      </c>
      <c r="AM241" s="675"/>
      <c r="AP241" s="675" t="str">
        <f>VLOOKUP(+AP235,'[14]Twr Schedule'!$B$9:$C$611,2,FALSE)</f>
        <v>DD45+9</v>
      </c>
      <c r="AQ241" s="675"/>
      <c r="AT241" s="283"/>
      <c r="AV241" s="655"/>
      <c r="AW241" s="655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55"/>
      <c r="AW242" s="655"/>
    </row>
    <row r="243" spans="1:51">
      <c r="A243" s="651" t="s">
        <v>856</v>
      </c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1"/>
      <c r="P243" s="651"/>
      <c r="Q243" s="651"/>
      <c r="R243" s="651"/>
      <c r="S243" s="651"/>
      <c r="T243" s="651"/>
      <c r="U243" s="651"/>
      <c r="V243" s="651"/>
      <c r="W243" s="651"/>
      <c r="X243" s="651"/>
      <c r="Y243" s="651"/>
      <c r="Z243" s="651"/>
      <c r="AA243" s="651" t="s">
        <v>859</v>
      </c>
      <c r="AB243" s="651"/>
      <c r="AC243" s="651"/>
      <c r="AD243" s="651"/>
      <c r="AE243" s="651"/>
      <c r="AF243" s="651"/>
      <c r="AG243" s="651"/>
      <c r="AH243" s="651"/>
      <c r="AI243" s="651"/>
      <c r="AJ243" s="651"/>
      <c r="AK243" s="651"/>
      <c r="AL243" s="651"/>
      <c r="AM243" s="651"/>
      <c r="AN243" s="651"/>
      <c r="AO243" s="651"/>
      <c r="AP243" s="651"/>
      <c r="AQ243" s="651"/>
      <c r="AR243" s="651"/>
      <c r="AT243" s="283"/>
      <c r="AV243" s="655"/>
      <c r="AW243" s="655"/>
    </row>
    <row r="244" spans="1:51">
      <c r="A244" s="282"/>
      <c r="AT244" s="283"/>
      <c r="AV244" s="655"/>
      <c r="AW244" s="655"/>
    </row>
    <row r="245" spans="1:51">
      <c r="A245" s="282"/>
      <c r="B245" s="655" t="str">
        <f>'[14]Twr Schedule'!B493</f>
        <v>48/1</v>
      </c>
      <c r="C245" s="655"/>
      <c r="F245" s="655" t="str">
        <f>'[14]Twr Schedule'!B495</f>
        <v>49/0</v>
      </c>
      <c r="G245" s="655"/>
      <c r="J245" s="655" t="str">
        <f>'[14]Twr Schedule'!B497</f>
        <v>50/0</v>
      </c>
      <c r="K245" s="655"/>
      <c r="N245" s="655" t="str">
        <f>'[14]Twr Schedule'!B499</f>
        <v>50/1</v>
      </c>
      <c r="O245" s="655"/>
      <c r="R245" s="655" t="str">
        <f>'[14]Twr Schedule'!B501</f>
        <v>51/0</v>
      </c>
      <c r="S245" s="655"/>
      <c r="V245" s="655" t="str">
        <f>'[14]Twr Schedule'!B503</f>
        <v>52/0</v>
      </c>
      <c r="W245" s="655"/>
      <c r="Z245" s="655" t="str">
        <f>'[14]Twr Schedule'!B505</f>
        <v>52/1</v>
      </c>
      <c r="AA245" s="655"/>
      <c r="AD245" s="655" t="str">
        <f>'[14]Twr Schedule'!B507</f>
        <v>52/2</v>
      </c>
      <c r="AE245" s="655"/>
      <c r="AH245" s="655" t="str">
        <f>'[14]Twr Schedule'!B509</f>
        <v>52/3</v>
      </c>
      <c r="AI245" s="655"/>
      <c r="AL245" s="655" t="str">
        <f>'[14]Twr Schedule'!B511</f>
        <v>52/4</v>
      </c>
      <c r="AM245" s="655"/>
      <c r="AP245" s="655" t="str">
        <f>'[14]Twr Schedule'!B513</f>
        <v>52/5</v>
      </c>
      <c r="AQ245" s="655"/>
      <c r="AT245" s="283"/>
      <c r="AV245" s="655"/>
      <c r="AW245" s="655"/>
    </row>
    <row r="246" spans="1:51">
      <c r="A246" s="282"/>
      <c r="AT246" s="283"/>
      <c r="AV246" s="655"/>
      <c r="AW246" s="655"/>
    </row>
    <row r="247" spans="1:51">
      <c r="A247" s="282"/>
      <c r="AT247" s="283"/>
      <c r="AV247" s="655"/>
      <c r="AW247" s="655"/>
    </row>
    <row r="248" spans="1:51">
      <c r="A248" s="282"/>
      <c r="B248" s="296" t="s">
        <v>790</v>
      </c>
      <c r="C248" s="296" t="s">
        <v>791</v>
      </c>
      <c r="D248" s="705">
        <f>VLOOKUP(B245,[14]Progress!$B$9:$D$310,3,FALSE)</f>
        <v>387.94299999999998</v>
      </c>
      <c r="E248" s="706"/>
      <c r="F248" s="314" t="s">
        <v>790</v>
      </c>
      <c r="G248" s="314" t="s">
        <v>791</v>
      </c>
      <c r="H248" s="708">
        <f>VLOOKUP(F245,[14]Progress!$B$9:$D$310,3,FALSE)</f>
        <v>372.02600000000001</v>
      </c>
      <c r="I248" s="709"/>
      <c r="J248" s="314" t="s">
        <v>790</v>
      </c>
      <c r="K248" s="314" t="s">
        <v>791</v>
      </c>
      <c r="L248" s="705">
        <f>VLOOKUP(J245,[14]Progress!$B$9:$D$310,3,FALSE)</f>
        <v>435</v>
      </c>
      <c r="M248" s="706"/>
      <c r="N248" s="314" t="s">
        <v>790</v>
      </c>
      <c r="O248" s="314" t="s">
        <v>791</v>
      </c>
      <c r="P248" s="705">
        <f>VLOOKUP(N245,[14]Progress!$B$9:$D$310,3,FALSE)</f>
        <v>242.99600000000001</v>
      </c>
      <c r="Q248" s="706"/>
      <c r="R248" s="314" t="s">
        <v>790</v>
      </c>
      <c r="S248" s="314" t="s">
        <v>791</v>
      </c>
      <c r="T248" s="708">
        <f>VLOOKUP(R245,[14]Progress!$B$9:$D$310,3,FALSE)</f>
        <v>238.92599999999999</v>
      </c>
      <c r="U248" s="709"/>
      <c r="V248" s="314" t="s">
        <v>790</v>
      </c>
      <c r="W248" s="314" t="s">
        <v>791</v>
      </c>
      <c r="X248" s="705">
        <f>VLOOKUP(V245,[14]Progress!$B$9:$D$310,3,FALSE)</f>
        <v>461</v>
      </c>
      <c r="Y248" s="706"/>
      <c r="Z248" s="314" t="s">
        <v>790</v>
      </c>
      <c r="AA248" s="314" t="s">
        <v>791</v>
      </c>
      <c r="AB248" s="705">
        <f>VLOOKUP(Z245,[14]Progress!$B$9:$D$310,3,FALSE)</f>
        <v>421</v>
      </c>
      <c r="AC248" s="706"/>
      <c r="AD248" s="314" t="s">
        <v>790</v>
      </c>
      <c r="AE248" s="314" t="s">
        <v>791</v>
      </c>
      <c r="AF248" s="705">
        <f>VLOOKUP(AD245,[14]Progress!$B$9:$D$310,3,FALSE)</f>
        <v>375</v>
      </c>
      <c r="AG248" s="706"/>
      <c r="AH248" s="314" t="s">
        <v>790</v>
      </c>
      <c r="AI248" s="314" t="s">
        <v>791</v>
      </c>
      <c r="AJ248" s="705">
        <f>VLOOKUP(AH245,[14]Progress!$B$9:$D$310,3,FALSE)</f>
        <v>346</v>
      </c>
      <c r="AK248" s="706"/>
      <c r="AL248" s="314" t="s">
        <v>790</v>
      </c>
      <c r="AM248" s="314" t="s">
        <v>791</v>
      </c>
      <c r="AN248" s="705">
        <f>VLOOKUP(AL245,[14]Progress!$B$9:$D$310,3,FALSE)</f>
        <v>348</v>
      </c>
      <c r="AO248" s="706"/>
      <c r="AP248" s="314" t="s">
        <v>790</v>
      </c>
      <c r="AQ248" s="314" t="s">
        <v>791</v>
      </c>
      <c r="AR248" s="705">
        <f>VLOOKUP(AP245,[14]Progress!$B$9:$D$310,3,FALSE)</f>
        <v>357</v>
      </c>
      <c r="AS248" s="707"/>
      <c r="AT248" s="283"/>
      <c r="AV248" s="655">
        <f>D248+H248+L248+P248+T248+X248+AB248+AF248+AJ248+AN248+AR248</f>
        <v>3984.8910000000001</v>
      </c>
      <c r="AW248" s="655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55"/>
      <c r="AW249" s="655"/>
    </row>
    <row r="250" spans="1:51" ht="10.5" customHeight="1">
      <c r="A250" s="282"/>
      <c r="B250" s="691"/>
      <c r="C250" s="691"/>
      <c r="F250" s="691"/>
      <c r="G250" s="691"/>
      <c r="J250" s="691"/>
      <c r="K250" s="691"/>
      <c r="N250" s="691"/>
      <c r="O250" s="691"/>
      <c r="R250" s="691"/>
      <c r="S250" s="691"/>
      <c r="V250" s="691"/>
      <c r="W250" s="691"/>
      <c r="Z250" s="691"/>
      <c r="AA250" s="691"/>
      <c r="AD250" s="691"/>
      <c r="AE250" s="691"/>
      <c r="AH250" s="691"/>
      <c r="AI250" s="691"/>
      <c r="AL250" s="691"/>
      <c r="AM250" s="691"/>
      <c r="AP250" s="691"/>
      <c r="AQ250" s="691"/>
      <c r="AT250" s="283"/>
      <c r="AV250" s="655"/>
      <c r="AW250" s="655"/>
    </row>
    <row r="251" spans="1:51">
      <c r="A251" s="282"/>
      <c r="B251" s="675" t="str">
        <f>VLOOKUP(+B245,'[14]Twr Schedule'!$B$9:$C$611,2,FALSE)</f>
        <v>DA-3</v>
      </c>
      <c r="C251" s="675"/>
      <c r="F251" s="675" t="str">
        <f>VLOOKUP(+F245,'[14]Twr Schedule'!$B$9:$C$611,2,FALSE)</f>
        <v>DC2+9</v>
      </c>
      <c r="G251" s="675"/>
      <c r="J251" s="675" t="str">
        <f>VLOOKUP(+J245,'[14]Twr Schedule'!$B$9:$C$611,2,FALSE)</f>
        <v>DC1+18</v>
      </c>
      <c r="K251" s="675"/>
      <c r="N251" s="675" t="str">
        <f>VLOOKUP(+N245,'[14]Twr Schedule'!$B$9:$C$611,2,FALSE)</f>
        <v>DA+0</v>
      </c>
      <c r="O251" s="675"/>
      <c r="R251" s="675" t="str">
        <f>VLOOKUP(+R245,'[14]Twr Schedule'!$B$9:$C$611,2,FALSE)</f>
        <v>DD60+0</v>
      </c>
      <c r="S251" s="675"/>
      <c r="V251" s="675" t="str">
        <f>VLOOKUP(+V245,'[14]Twr Schedule'!$B$9:$C$611,2,FALSE)</f>
        <v>DC2+9</v>
      </c>
      <c r="W251" s="675"/>
      <c r="Z251" s="675" t="str">
        <f>VLOOKUP(+Z245,'[14]Twr Schedule'!$B$9:$C$611,2,FALSE)</f>
        <v>DB1+6</v>
      </c>
      <c r="AA251" s="675"/>
      <c r="AD251" s="675" t="str">
        <f>VLOOKUP(+AD245,'[14]Twr Schedule'!$B$9:$C$611,2,FALSE)</f>
        <v>DA+3</v>
      </c>
      <c r="AE251" s="675"/>
      <c r="AH251" s="675" t="str">
        <f>VLOOKUP(+AH245,'[14]Twr Schedule'!$B$9:$C$611,2,FALSE)</f>
        <v>DA-3</v>
      </c>
      <c r="AI251" s="675"/>
      <c r="AL251" s="675" t="str">
        <f>VLOOKUP(+AL245,'[14]Twr Schedule'!$B$9:$C$611,2,FALSE)</f>
        <v>DA-3</v>
      </c>
      <c r="AM251" s="675"/>
      <c r="AP251" s="675" t="str">
        <f>VLOOKUP(+AP245,'[14]Twr Schedule'!$B$9:$C$611,2,FALSE)</f>
        <v>DA-3</v>
      </c>
      <c r="AQ251" s="675"/>
      <c r="AT251" s="283"/>
      <c r="AV251" s="655"/>
      <c r="AW251" s="655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55"/>
      <c r="AW252" s="655"/>
    </row>
    <row r="253" spans="1:51">
      <c r="A253" s="594" t="s">
        <v>859</v>
      </c>
      <c r="B253" s="595"/>
      <c r="C253" s="595"/>
      <c r="D253" s="595"/>
      <c r="E253" s="595"/>
      <c r="F253" s="595"/>
      <c r="G253" s="595"/>
      <c r="H253" s="595"/>
      <c r="I253" s="595"/>
      <c r="J253" s="595"/>
      <c r="K253" s="595"/>
      <c r="L253" s="595"/>
      <c r="M253" s="595"/>
      <c r="N253" s="595"/>
      <c r="O253" s="595"/>
      <c r="P253" s="595"/>
      <c r="Q253" s="595"/>
      <c r="R253" s="595"/>
      <c r="S253" s="595"/>
      <c r="T253" s="595"/>
      <c r="U253" s="595"/>
      <c r="V253" s="596"/>
      <c r="W253" s="651" t="s">
        <v>862</v>
      </c>
      <c r="X253" s="651"/>
      <c r="Y253" s="651"/>
      <c r="Z253" s="651"/>
      <c r="AA253" s="651"/>
      <c r="AB253" s="651"/>
      <c r="AC253" s="651"/>
      <c r="AD253" s="651"/>
      <c r="AE253" s="651"/>
      <c r="AF253" s="651"/>
      <c r="AG253" s="651"/>
      <c r="AH253" s="651"/>
      <c r="AI253" s="651"/>
      <c r="AJ253" s="651"/>
      <c r="AK253" s="651"/>
      <c r="AL253" s="651"/>
      <c r="AM253" s="651"/>
      <c r="AN253" s="651"/>
      <c r="AO253" s="651"/>
      <c r="AP253" s="651"/>
      <c r="AQ253" s="651"/>
      <c r="AR253" s="651"/>
      <c r="AT253" s="283"/>
      <c r="AV253" s="655"/>
      <c r="AW253" s="655"/>
    </row>
    <row r="254" spans="1:51">
      <c r="A254" s="282"/>
      <c r="AT254" s="283"/>
      <c r="AV254" s="655"/>
      <c r="AW254" s="655"/>
    </row>
    <row r="255" spans="1:51">
      <c r="A255" s="282"/>
      <c r="B255" s="655" t="str">
        <f>'[14]Twr Schedule'!B515</f>
        <v>52/6</v>
      </c>
      <c r="C255" s="655"/>
      <c r="F255" s="655" t="str">
        <f>'[14]Twr Schedule'!B517</f>
        <v>52/7</v>
      </c>
      <c r="G255" s="655"/>
      <c r="J255" s="655" t="str">
        <f>'[14]Twr Schedule'!B519</f>
        <v>52/8</v>
      </c>
      <c r="K255" s="655"/>
      <c r="N255" s="655" t="str">
        <f>'[14]Twr Schedule'!B521</f>
        <v>52/9</v>
      </c>
      <c r="O255" s="655"/>
      <c r="R255" s="655" t="str">
        <f>'[14]Twr Schedule'!B523</f>
        <v>52/10</v>
      </c>
      <c r="S255" s="655"/>
      <c r="V255" s="655" t="str">
        <f>'[14]Twr Schedule'!B525</f>
        <v>53/0</v>
      </c>
      <c r="W255" s="655"/>
      <c r="Z255" s="655" t="str">
        <f>'[14]Twr Schedule'!B527</f>
        <v>53/1</v>
      </c>
      <c r="AA255" s="655"/>
      <c r="AD255" s="655" t="str">
        <f>'[14]Twr Schedule'!B529</f>
        <v>53A/0</v>
      </c>
      <c r="AE255" s="655"/>
      <c r="AH255" s="655" t="str">
        <f>'[14]Twr Schedule'!B531</f>
        <v>53A/1</v>
      </c>
      <c r="AI255" s="655"/>
      <c r="AL255" s="655" t="str">
        <f>'[14]Twr Schedule'!B533</f>
        <v>53A/2</v>
      </c>
      <c r="AM255" s="655"/>
      <c r="AP255" s="655" t="str">
        <f>'[14]Twr Schedule'!B535</f>
        <v>53A/3</v>
      </c>
      <c r="AQ255" s="655"/>
      <c r="AT255" s="283"/>
      <c r="AV255" s="655"/>
      <c r="AW255" s="655"/>
    </row>
    <row r="256" spans="1:51">
      <c r="A256" s="282"/>
      <c r="AT256" s="283"/>
      <c r="AV256" s="655"/>
      <c r="AW256" s="655"/>
    </row>
    <row r="257" spans="1:51">
      <c r="A257" s="282"/>
      <c r="AT257" s="283"/>
      <c r="AV257" s="655"/>
      <c r="AW257" s="655"/>
    </row>
    <row r="258" spans="1:51">
      <c r="A258" s="282"/>
      <c r="B258" s="296" t="s">
        <v>790</v>
      </c>
      <c r="C258" s="296" t="s">
        <v>791</v>
      </c>
      <c r="D258" s="657">
        <f>VLOOKUP(B255,[14]Progress!$B$9:$D$310,3,FALSE)</f>
        <v>439</v>
      </c>
      <c r="E258" s="656"/>
      <c r="F258" s="296" t="s">
        <v>790</v>
      </c>
      <c r="G258" s="296" t="s">
        <v>791</v>
      </c>
      <c r="H258" s="657">
        <f>VLOOKUP(F255,[14]Progress!$B$9:$D$310,3,FALSE)</f>
        <v>378</v>
      </c>
      <c r="I258" s="656"/>
      <c r="J258" s="296" t="s">
        <v>790</v>
      </c>
      <c r="K258" s="296" t="s">
        <v>791</v>
      </c>
      <c r="L258" s="657">
        <f>VLOOKUP(J255,[14]Progress!$B$9:$D$310,3,FALSE)</f>
        <v>349</v>
      </c>
      <c r="M258" s="656"/>
      <c r="N258" s="296" t="s">
        <v>790</v>
      </c>
      <c r="O258" s="296" t="s">
        <v>791</v>
      </c>
      <c r="P258" s="657">
        <f>VLOOKUP(N255,[14]Progress!$B$9:$D$310,3,FALSE)</f>
        <v>392</v>
      </c>
      <c r="Q258" s="656"/>
      <c r="R258" s="296" t="s">
        <v>790</v>
      </c>
      <c r="S258" s="296" t="s">
        <v>791</v>
      </c>
      <c r="T258" s="705">
        <f>VLOOKUP(R255,[14]Progress!$B$9:$D$310,3,FALSE)</f>
        <v>409.43</v>
      </c>
      <c r="U258" s="706"/>
      <c r="V258" s="314" t="s">
        <v>790</v>
      </c>
      <c r="W258" s="314" t="s">
        <v>791</v>
      </c>
      <c r="X258" s="705">
        <f>VLOOKUP(V255,[14]Progress!$B$9:$D$310,3,FALSE)</f>
        <v>428</v>
      </c>
      <c r="Y258" s="706"/>
      <c r="Z258" s="314" t="s">
        <v>790</v>
      </c>
      <c r="AA258" s="314" t="s">
        <v>791</v>
      </c>
      <c r="AB258" s="705">
        <f>VLOOKUP(Z255,[14]Progress!$B$9:$D$310,3,FALSE)</f>
        <v>403.77800000000002</v>
      </c>
      <c r="AC258" s="706"/>
      <c r="AD258" s="314" t="s">
        <v>790</v>
      </c>
      <c r="AE258" s="314" t="s">
        <v>791</v>
      </c>
      <c r="AF258" s="705">
        <f>VLOOKUP(AD255,[14]Progress!$B$9:$D$310,3,FALSE)</f>
        <v>370</v>
      </c>
      <c r="AG258" s="706"/>
      <c r="AH258" s="314" t="s">
        <v>790</v>
      </c>
      <c r="AI258" s="314" t="s">
        <v>791</v>
      </c>
      <c r="AJ258" s="705">
        <f>VLOOKUP(AH255,[14]Progress!$B$9:$D$310,3,FALSE)</f>
        <v>441</v>
      </c>
      <c r="AK258" s="706"/>
      <c r="AL258" s="314" t="s">
        <v>790</v>
      </c>
      <c r="AM258" s="314" t="s">
        <v>791</v>
      </c>
      <c r="AN258" s="705">
        <f>VLOOKUP(AL255,[14]Progress!$B$9:$D$310,3,FALSE)</f>
        <v>375</v>
      </c>
      <c r="AO258" s="706"/>
      <c r="AP258" s="314" t="s">
        <v>790</v>
      </c>
      <c r="AQ258" s="314" t="s">
        <v>791</v>
      </c>
      <c r="AR258" s="705">
        <f>VLOOKUP(AP255,[14]Progress!$B$9:$D$310,3,FALSE)</f>
        <v>399</v>
      </c>
      <c r="AS258" s="707"/>
      <c r="AT258" s="283"/>
      <c r="AV258" s="655">
        <f>D258+H258+L258+P258+T258+X258+AB258+AF258+AJ258+AN258+AR258</f>
        <v>4384.2080000000005</v>
      </c>
      <c r="AW258" s="655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55"/>
      <c r="AW259" s="655"/>
    </row>
    <row r="260" spans="1:51" ht="10.5" customHeight="1">
      <c r="A260" s="282"/>
      <c r="B260" s="691"/>
      <c r="C260" s="691"/>
      <c r="F260" s="691"/>
      <c r="G260" s="691"/>
      <c r="J260" s="691"/>
      <c r="K260" s="691"/>
      <c r="N260" s="691"/>
      <c r="O260" s="691"/>
      <c r="R260" s="691"/>
      <c r="S260" s="691"/>
      <c r="V260" s="691"/>
      <c r="W260" s="691"/>
      <c r="Z260" s="691"/>
      <c r="AA260" s="691"/>
      <c r="AD260" s="691"/>
      <c r="AE260" s="691"/>
      <c r="AH260" s="691"/>
      <c r="AI260" s="691"/>
      <c r="AL260" s="691"/>
      <c r="AM260" s="691"/>
      <c r="AP260" s="691"/>
      <c r="AQ260" s="691"/>
      <c r="AT260" s="283"/>
      <c r="AV260" s="655"/>
      <c r="AW260" s="655"/>
    </row>
    <row r="261" spans="1:51">
      <c r="A261" s="282"/>
      <c r="B261" s="675" t="str">
        <f>VLOOKUP(+B255,'[14]Twr Schedule'!$B$9:$C$611,2,FALSE)</f>
        <v>DA+3</v>
      </c>
      <c r="C261" s="675"/>
      <c r="F261" s="675" t="str">
        <f>VLOOKUP(+F255,'[14]Twr Schedule'!$B$9:$C$611,2,FALSE)</f>
        <v>DA+6</v>
      </c>
      <c r="G261" s="675"/>
      <c r="J261" s="675" t="str">
        <f>VLOOKUP(+J255,'[14]Twr Schedule'!$B$9:$C$611,2,FALSE)</f>
        <v>DA-3</v>
      </c>
      <c r="K261" s="675"/>
      <c r="N261" s="675" t="str">
        <f>VLOOKUP(+N255,'[14]Twr Schedule'!$B$9:$C$611,2,FALSE)</f>
        <v>DA-3</v>
      </c>
      <c r="O261" s="675"/>
      <c r="R261" s="675" t="str">
        <f>VLOOKUP(+R255,'[14]Twr Schedule'!$B$9:$C$611,2,FALSE)</f>
        <v>DA+3</v>
      </c>
      <c r="S261" s="675"/>
      <c r="V261" s="675" t="str">
        <f>VLOOKUP(+V255,'[14]Twr Schedule'!$B$9:$C$611,2,FALSE)</f>
        <v>DC1+0</v>
      </c>
      <c r="W261" s="675"/>
      <c r="Z261" s="675" t="str">
        <f>VLOOKUP(+Z255,'[14]Twr Schedule'!$B$9:$C$611,2,FALSE)</f>
        <v>DA+6</v>
      </c>
      <c r="AA261" s="675"/>
      <c r="AD261" s="675" t="str">
        <f>VLOOKUP(+AD255,'[14]Twr Schedule'!$B$9:$C$611,2,FALSE)</f>
        <v>DB2+0</v>
      </c>
      <c r="AE261" s="675"/>
      <c r="AH261" s="675" t="str">
        <f>VLOOKUP(+AH255,'[14]Twr Schedule'!$B$9:$C$611,2,FALSE)</f>
        <v>DA+6</v>
      </c>
      <c r="AI261" s="675"/>
      <c r="AL261" s="675" t="str">
        <f>VLOOKUP(+AL255,'[14]Twr Schedule'!$B$9:$C$611,2,FALSE)</f>
        <v>DA+3</v>
      </c>
      <c r="AM261" s="675"/>
      <c r="AP261" s="675" t="str">
        <f>VLOOKUP(+AP255,'[14]Twr Schedule'!$B$9:$C$611,2,FALSE)</f>
        <v>DA-3</v>
      </c>
      <c r="AQ261" s="675"/>
      <c r="AT261" s="283"/>
      <c r="AV261" s="655"/>
      <c r="AW261" s="655"/>
    </row>
    <row r="262" spans="1:51">
      <c r="A262" s="282"/>
      <c r="AT262" s="283"/>
      <c r="AV262" s="655"/>
      <c r="AW262" s="655"/>
    </row>
    <row r="263" spans="1:51">
      <c r="A263" s="594" t="s">
        <v>862</v>
      </c>
      <c r="B263" s="595"/>
      <c r="C263" s="595"/>
      <c r="D263" s="595"/>
      <c r="E263" s="595"/>
      <c r="F263" s="595"/>
      <c r="G263" s="595"/>
      <c r="H263" s="595"/>
      <c r="I263" s="595"/>
      <c r="J263" s="595"/>
      <c r="K263" s="595"/>
      <c r="L263" s="595"/>
      <c r="M263" s="595"/>
      <c r="N263" s="595"/>
      <c r="O263" s="595"/>
      <c r="P263" s="595"/>
      <c r="Q263" s="595"/>
      <c r="R263" s="596"/>
      <c r="S263" s="651" t="s">
        <v>863</v>
      </c>
      <c r="T263" s="651"/>
      <c r="U263" s="651"/>
      <c r="V263" s="651"/>
      <c r="W263" s="651"/>
      <c r="X263" s="651"/>
      <c r="Y263" s="651"/>
      <c r="Z263" s="651"/>
      <c r="AA263" s="651"/>
      <c r="AB263" s="651"/>
      <c r="AC263" s="651"/>
      <c r="AD263" s="651"/>
      <c r="AE263" s="651"/>
      <c r="AF263" s="651"/>
      <c r="AG263" s="651"/>
      <c r="AH263" s="651"/>
      <c r="AI263" s="651"/>
      <c r="AJ263" s="651"/>
      <c r="AK263" s="651"/>
      <c r="AL263" s="651"/>
      <c r="AM263" s="651"/>
      <c r="AN263" s="651"/>
      <c r="AO263" s="651"/>
      <c r="AP263" s="651"/>
      <c r="AQ263" s="651"/>
      <c r="AR263" s="651"/>
      <c r="AT263" s="283"/>
      <c r="AV263" s="655"/>
      <c r="AW263" s="655"/>
    </row>
    <row r="264" spans="1:51">
      <c r="A264" s="282"/>
      <c r="AT264" s="283"/>
      <c r="AV264" s="655"/>
      <c r="AW264" s="655"/>
    </row>
    <row r="265" spans="1:51">
      <c r="A265" s="282"/>
      <c r="B265" s="655" t="str">
        <f>'[14]Twr Schedule'!B537</f>
        <v>53A/4</v>
      </c>
      <c r="C265" s="655"/>
      <c r="F265" s="655" t="str">
        <f>'[14]Twr Schedule'!B539</f>
        <v>53A/5</v>
      </c>
      <c r="G265" s="655"/>
      <c r="J265" s="655" t="str">
        <f>'[14]Twr Schedule'!B541</f>
        <v>53A/6</v>
      </c>
      <c r="K265" s="655"/>
      <c r="N265" s="655" t="str">
        <f>'[14]Twr Schedule'!B543</f>
        <v>53A/7</v>
      </c>
      <c r="O265" s="655"/>
      <c r="R265" s="655" t="str">
        <f>'[14]Twr Schedule'!B545</f>
        <v>54/0</v>
      </c>
      <c r="S265" s="655"/>
      <c r="V265" s="655" t="str">
        <f>'[14]Twr Schedule'!B547</f>
        <v>54/1</v>
      </c>
      <c r="W265" s="655"/>
      <c r="Z265" s="655" t="str">
        <f>'[14]Twr Schedule'!B549</f>
        <v>54/2</v>
      </c>
      <c r="AA265" s="655"/>
      <c r="AD265" s="655" t="str">
        <f>'[14]Twr Schedule'!B551</f>
        <v>55/0</v>
      </c>
      <c r="AE265" s="655"/>
      <c r="AH265" s="655" t="str">
        <f>'[14]Twr Schedule'!B553</f>
        <v>55/1</v>
      </c>
      <c r="AI265" s="655"/>
      <c r="AL265" s="655" t="str">
        <f>'[14]Twr Schedule'!B555</f>
        <v>56/0</v>
      </c>
      <c r="AM265" s="655"/>
      <c r="AP265" s="655" t="str">
        <f>'[14]Twr Schedule'!B557</f>
        <v>56/1</v>
      </c>
      <c r="AQ265" s="655"/>
      <c r="AT265" s="283"/>
      <c r="AV265" s="655"/>
      <c r="AW265" s="655"/>
    </row>
    <row r="266" spans="1:51">
      <c r="A266" s="282"/>
      <c r="AT266" s="283"/>
      <c r="AV266" s="655"/>
      <c r="AW266" s="655"/>
    </row>
    <row r="267" spans="1:51">
      <c r="A267" s="282"/>
      <c r="AT267" s="283"/>
      <c r="AV267" s="655"/>
      <c r="AW267" s="655"/>
    </row>
    <row r="268" spans="1:51">
      <c r="A268" s="282"/>
      <c r="B268" s="296" t="s">
        <v>790</v>
      </c>
      <c r="C268" s="296" t="s">
        <v>791</v>
      </c>
      <c r="D268" s="657">
        <f>VLOOKUP(B265,[14]Progress!$B$9:$D$310,3,FALSE)</f>
        <v>391</v>
      </c>
      <c r="E268" s="656"/>
      <c r="F268" s="296" t="s">
        <v>790</v>
      </c>
      <c r="G268" s="296" t="s">
        <v>791</v>
      </c>
      <c r="H268" s="657">
        <f>VLOOKUP(F265,[14]Progress!$B$9:$D$310,3,FALSE)</f>
        <v>392</v>
      </c>
      <c r="I268" s="656"/>
      <c r="J268" s="296" t="s">
        <v>790</v>
      </c>
      <c r="K268" s="296" t="s">
        <v>791</v>
      </c>
      <c r="L268" s="657">
        <f>VLOOKUP(J265,[14]Progress!$B$9:$D$310,3,FALSE)</f>
        <v>412</v>
      </c>
      <c r="M268" s="656"/>
      <c r="N268" s="296" t="s">
        <v>790</v>
      </c>
      <c r="O268" s="296" t="s">
        <v>791</v>
      </c>
      <c r="P268" s="705">
        <f>VLOOKUP(N265,[14]Progress!$B$9:$D$310,3,FALSE)</f>
        <v>385.995</v>
      </c>
      <c r="Q268" s="706"/>
      <c r="R268" s="314" t="s">
        <v>790</v>
      </c>
      <c r="S268" s="314" t="s">
        <v>791</v>
      </c>
      <c r="T268" s="705">
        <f>VLOOKUP(R265,[14]Progress!$B$9:$D$310,3,FALSE)</f>
        <v>460</v>
      </c>
      <c r="U268" s="706"/>
      <c r="V268" s="314" t="s">
        <v>790</v>
      </c>
      <c r="W268" s="314" t="s">
        <v>791</v>
      </c>
      <c r="X268" s="705">
        <f>VLOOKUP(V265,[14]Progress!$B$9:$D$310,3,FALSE)</f>
        <v>360</v>
      </c>
      <c r="Y268" s="706"/>
      <c r="Z268" s="314" t="s">
        <v>790</v>
      </c>
      <c r="AA268" s="314" t="s">
        <v>791</v>
      </c>
      <c r="AB268" s="705">
        <f>VLOOKUP(Z265,[14]Progress!$B$9:$D$310,3,FALSE)</f>
        <v>366.15699999999998</v>
      </c>
      <c r="AC268" s="706"/>
      <c r="AD268" s="314" t="s">
        <v>790</v>
      </c>
      <c r="AE268" s="314" t="s">
        <v>791</v>
      </c>
      <c r="AF268" s="705">
        <f>VLOOKUP(AD265,[14]Progress!$B$9:$D$310,3,FALSE)</f>
        <v>300</v>
      </c>
      <c r="AG268" s="706"/>
      <c r="AH268" s="314" t="s">
        <v>790</v>
      </c>
      <c r="AI268" s="314" t="s">
        <v>791</v>
      </c>
      <c r="AJ268" s="705">
        <f>VLOOKUP(AH265,[14]Progress!$B$9:$D$310,3,FALSE)</f>
        <v>307.20499999999998</v>
      </c>
      <c r="AK268" s="706"/>
      <c r="AL268" s="314" t="s">
        <v>790</v>
      </c>
      <c r="AM268" s="296" t="s">
        <v>791</v>
      </c>
      <c r="AN268" s="657">
        <f>VLOOKUP(AL265,[14]Progress!$B$9:$D$310,3,FALSE)</f>
        <v>336</v>
      </c>
      <c r="AO268" s="656"/>
      <c r="AP268" s="296" t="s">
        <v>790</v>
      </c>
      <c r="AQ268" s="296" t="s">
        <v>791</v>
      </c>
      <c r="AR268" s="657">
        <f>VLOOKUP(AP265,[14]Progress!$B$9:$D$310,3,FALSE)</f>
        <v>409</v>
      </c>
      <c r="AS268" s="655"/>
      <c r="AT268" s="283"/>
      <c r="AV268" s="655">
        <f>D268+H268+L268+P268+T268+X268+AB268+AF268+AJ268+AN268+AR268</f>
        <v>4119.357</v>
      </c>
      <c r="AW268" s="655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55"/>
      <c r="AW269" s="655"/>
    </row>
    <row r="270" spans="1:51" ht="10.5" customHeight="1">
      <c r="A270" s="282"/>
      <c r="B270" s="691"/>
      <c r="C270" s="691"/>
      <c r="F270" s="691"/>
      <c r="G270" s="691"/>
      <c r="J270" s="691"/>
      <c r="K270" s="691"/>
      <c r="N270" s="691"/>
      <c r="O270" s="691"/>
      <c r="R270" s="691"/>
      <c r="S270" s="691"/>
      <c r="V270" s="691"/>
      <c r="W270" s="691"/>
      <c r="Z270" s="691"/>
      <c r="AA270" s="691"/>
      <c r="AD270" s="691"/>
      <c r="AE270" s="691"/>
      <c r="AH270" s="691"/>
      <c r="AI270" s="691"/>
      <c r="AL270" s="691"/>
      <c r="AM270" s="691"/>
      <c r="AP270" s="691"/>
      <c r="AQ270" s="691"/>
      <c r="AT270" s="283"/>
      <c r="AV270" s="655"/>
      <c r="AW270" s="655"/>
    </row>
    <row r="271" spans="1:51">
      <c r="A271" s="282"/>
      <c r="B271" s="675" t="str">
        <f>VLOOKUP(+B265,'[14]Twr Schedule'!$B$9:$C$611,2,FALSE)</f>
        <v>DA+3</v>
      </c>
      <c r="C271" s="675"/>
      <c r="F271" s="675" t="str">
        <f>VLOOKUP(+F265,'[14]Twr Schedule'!$B$9:$C$611,2,FALSE)</f>
        <v>DA-3</v>
      </c>
      <c r="G271" s="675"/>
      <c r="J271" s="675" t="str">
        <f>VLOOKUP(+J265,'[14]Twr Schedule'!$B$9:$C$611,2,FALSE)</f>
        <v>DA+3</v>
      </c>
      <c r="K271" s="675"/>
      <c r="N271" s="675" t="str">
        <f>VLOOKUP(+N265,'[14]Twr Schedule'!$B$9:$C$611,2,FALSE)</f>
        <v>DA+0</v>
      </c>
      <c r="O271" s="675"/>
      <c r="R271" s="675" t="str">
        <f>VLOOKUP(+R265,'[14]Twr Schedule'!$B$9:$C$611,2,FALSE)</f>
        <v>DB1+3</v>
      </c>
      <c r="S271" s="675"/>
      <c r="V271" s="675" t="str">
        <f>VLOOKUP(+V265,'[14]Twr Schedule'!$B$9:$C$611,2,FALSE)</f>
        <v>DA+9</v>
      </c>
      <c r="W271" s="675"/>
      <c r="Z271" s="675" t="str">
        <f>VLOOKUP(+Z265,'[14]Twr Schedule'!$B$9:$C$611,2,FALSE)</f>
        <v>DA-3</v>
      </c>
      <c r="AA271" s="675"/>
      <c r="AD271" s="675" t="str">
        <f>VLOOKUP(+AD265,'[14]Twr Schedule'!$B$9:$C$611,2,FALSE)</f>
        <v>DC1+0</v>
      </c>
      <c r="AE271" s="675"/>
      <c r="AH271" s="675" t="str">
        <f>VLOOKUP(+AH265,'[14]Twr Schedule'!$B$9:$C$611,2,FALSE)</f>
        <v>DA-3</v>
      </c>
      <c r="AI271" s="675"/>
      <c r="AL271" s="675" t="str">
        <f>VLOOKUP(+AL265,'[14]Twr Schedule'!$B$9:$C$611,2,FALSE)</f>
        <v>DD45+0</v>
      </c>
      <c r="AM271" s="675"/>
      <c r="AP271" s="675" t="str">
        <f>VLOOKUP(+AP265,'[14]Twr Schedule'!$B$9:$C$611,2,FALSE)</f>
        <v>DA+0</v>
      </c>
      <c r="AQ271" s="675"/>
      <c r="AT271" s="283"/>
      <c r="AV271" s="655"/>
      <c r="AW271" s="655"/>
    </row>
    <row r="272" spans="1:51">
      <c r="A272" s="282"/>
      <c r="AT272" s="283"/>
      <c r="AV272" s="655"/>
      <c r="AW272" s="655"/>
    </row>
    <row r="273" spans="1:51">
      <c r="A273" s="594" t="s">
        <v>863</v>
      </c>
      <c r="B273" s="595"/>
      <c r="C273" s="595"/>
      <c r="D273" s="595"/>
      <c r="E273" s="595"/>
      <c r="F273" s="595"/>
      <c r="G273" s="595"/>
      <c r="H273" s="595"/>
      <c r="I273" s="595"/>
      <c r="J273" s="595"/>
      <c r="K273" s="595"/>
      <c r="L273" s="595"/>
      <c r="M273" s="595"/>
      <c r="N273" s="595"/>
      <c r="O273" s="595"/>
      <c r="P273" s="595"/>
      <c r="Q273" s="595"/>
      <c r="R273" s="596"/>
      <c r="S273" s="651" t="s">
        <v>864</v>
      </c>
      <c r="T273" s="651"/>
      <c r="U273" s="651"/>
      <c r="V273" s="651"/>
      <c r="W273" s="651"/>
      <c r="X273" s="651"/>
      <c r="Y273" s="651"/>
      <c r="Z273" s="651"/>
      <c r="AA273" s="651"/>
      <c r="AB273" s="651"/>
      <c r="AC273" s="651"/>
      <c r="AD273" s="651"/>
      <c r="AE273" s="651"/>
      <c r="AF273" s="651"/>
      <c r="AG273" s="651"/>
      <c r="AH273" s="651"/>
      <c r="AI273" s="651"/>
      <c r="AJ273" s="651"/>
      <c r="AK273" s="651"/>
      <c r="AL273" s="651"/>
      <c r="AM273" s="651"/>
      <c r="AN273" s="651"/>
      <c r="AO273" s="651"/>
      <c r="AP273" s="651"/>
      <c r="AQ273" s="651"/>
      <c r="AR273" s="651"/>
      <c r="AT273" s="283"/>
      <c r="AV273" s="655"/>
      <c r="AW273" s="655"/>
    </row>
    <row r="274" spans="1:51">
      <c r="A274" s="282"/>
      <c r="AT274" s="283"/>
      <c r="AV274" s="655"/>
      <c r="AW274" s="655"/>
    </row>
    <row r="275" spans="1:51">
      <c r="A275" s="282"/>
      <c r="B275" s="655" t="str">
        <f>'[14]Twr Schedule'!B559</f>
        <v>56/2</v>
      </c>
      <c r="C275" s="655"/>
      <c r="F275" s="655" t="str">
        <f>'[14]Twr Schedule'!B561</f>
        <v>56/3</v>
      </c>
      <c r="G275" s="655"/>
      <c r="J275" s="655" t="str">
        <f>'[14]Twr Schedule'!B563</f>
        <v>56/4</v>
      </c>
      <c r="K275" s="655"/>
      <c r="N275" s="655" t="str">
        <f>'[14]Twr Schedule'!B565</f>
        <v>56/5</v>
      </c>
      <c r="O275" s="655"/>
      <c r="R275" s="655" t="str">
        <f>'[14]Twr Schedule'!B567</f>
        <v>56/6</v>
      </c>
      <c r="S275" s="655"/>
      <c r="V275" s="655" t="str">
        <f>'[14]Twr Schedule'!B569</f>
        <v>56/7</v>
      </c>
      <c r="W275" s="655"/>
      <c r="Z275" s="655" t="str">
        <f>'[14]Twr Schedule'!B571</f>
        <v>56/8</v>
      </c>
      <c r="AA275" s="655"/>
      <c r="AD275" s="655" t="str">
        <f>'[14]Twr Schedule'!B573</f>
        <v>57/0</v>
      </c>
      <c r="AE275" s="655"/>
      <c r="AH275" s="655" t="str">
        <f>'[14]Twr Schedule'!B575</f>
        <v>57/1</v>
      </c>
      <c r="AI275" s="655"/>
      <c r="AL275" s="655" t="str">
        <f>'[14]Twr Schedule'!B577</f>
        <v>58/0</v>
      </c>
      <c r="AM275" s="655"/>
      <c r="AP275" s="655" t="str">
        <f>'[14]Twr Schedule'!B579</f>
        <v>59/0</v>
      </c>
      <c r="AQ275" s="655"/>
      <c r="AT275" s="283"/>
      <c r="AV275" s="655"/>
      <c r="AW275" s="655"/>
    </row>
    <row r="276" spans="1:51">
      <c r="A276" s="282"/>
      <c r="AT276" s="283"/>
      <c r="AV276" s="655"/>
      <c r="AW276" s="655"/>
    </row>
    <row r="277" spans="1:51">
      <c r="A277" s="282"/>
      <c r="AT277" s="283"/>
      <c r="AV277" s="655"/>
      <c r="AW277" s="655"/>
    </row>
    <row r="278" spans="1:51">
      <c r="A278" s="282"/>
      <c r="B278" s="296" t="s">
        <v>790</v>
      </c>
      <c r="C278" s="296" t="s">
        <v>791</v>
      </c>
      <c r="D278" s="657">
        <f>VLOOKUP(B275,[14]Progress!$B$9:$D$310,3,FALSE)</f>
        <v>374</v>
      </c>
      <c r="E278" s="656"/>
      <c r="F278" s="296" t="s">
        <v>790</v>
      </c>
      <c r="G278" s="296" t="s">
        <v>791</v>
      </c>
      <c r="H278" s="657">
        <f>VLOOKUP(F275,[14]Progress!$B$9:$D$310,3,FALSE)</f>
        <v>351</v>
      </c>
      <c r="I278" s="656"/>
      <c r="J278" s="296" t="s">
        <v>790</v>
      </c>
      <c r="K278" s="296" t="s">
        <v>791</v>
      </c>
      <c r="L278" s="657">
        <f>VLOOKUP(J275,[14]Progress!$B$9:$D$310,3,FALSE)</f>
        <v>345</v>
      </c>
      <c r="M278" s="656"/>
      <c r="N278" s="296" t="s">
        <v>790</v>
      </c>
      <c r="O278" s="296" t="s">
        <v>791</v>
      </c>
      <c r="P278" s="657">
        <f>VLOOKUP(N275,[14]Progress!$B$9:$D$310,3,FALSE)</f>
        <v>380.05799999999999</v>
      </c>
      <c r="Q278" s="656"/>
      <c r="R278" s="296" t="s">
        <v>790</v>
      </c>
      <c r="S278" s="296" t="s">
        <v>791</v>
      </c>
      <c r="T278" s="657">
        <f>VLOOKUP(R275,[14]Progress!$B$9:$D$310,3,FALSE)</f>
        <v>422</v>
      </c>
      <c r="U278" s="656"/>
      <c r="V278" s="296" t="s">
        <v>790</v>
      </c>
      <c r="W278" s="296" t="s">
        <v>791</v>
      </c>
      <c r="X278" s="657">
        <f>VLOOKUP(V275,[14]Progress!$B$9:$D$310,3,FALSE)</f>
        <v>387.54</v>
      </c>
      <c r="Y278" s="656"/>
      <c r="Z278" s="296" t="s">
        <v>790</v>
      </c>
      <c r="AA278" s="314" t="s">
        <v>791</v>
      </c>
      <c r="AB278" s="705">
        <f>VLOOKUP(Z275,[14]Progress!$B$9:$D$310,3,FALSE)</f>
        <v>369</v>
      </c>
      <c r="AC278" s="706"/>
      <c r="AD278" s="314" t="s">
        <v>790</v>
      </c>
      <c r="AE278" s="314" t="s">
        <v>791</v>
      </c>
      <c r="AF278" s="705">
        <f>VLOOKUP(AD275,[14]Progress!$B$9:$D$310,3,FALSE)</f>
        <v>291</v>
      </c>
      <c r="AG278" s="706"/>
      <c r="AH278" s="314" t="s">
        <v>790</v>
      </c>
      <c r="AI278" s="314" t="s">
        <v>791</v>
      </c>
      <c r="AJ278" s="705">
        <f>VLOOKUP(AH275,[14]Progress!$B$9:$D$310,3,FALSE)</f>
        <v>386.28</v>
      </c>
      <c r="AK278" s="706"/>
      <c r="AL278" s="314" t="s">
        <v>790</v>
      </c>
      <c r="AM278" s="314" t="s">
        <v>791</v>
      </c>
      <c r="AN278" s="705">
        <f>VLOOKUP(AL275,[14]Progress!$B$9:$D$310,3,FALSE)</f>
        <v>281.56099999999998</v>
      </c>
      <c r="AO278" s="706"/>
      <c r="AP278" s="296" t="s">
        <v>790</v>
      </c>
      <c r="AQ278" s="296" t="s">
        <v>791</v>
      </c>
      <c r="AR278" s="657">
        <f>VLOOKUP(AP275,[14]Progress!$B$9:$D$310,3,FALSE)</f>
        <v>418.00099999999998</v>
      </c>
      <c r="AS278" s="655"/>
      <c r="AT278" s="283"/>
      <c r="AV278" s="655">
        <f>D278+H278+L278+P278+T278+X278+AB278+AF278+AJ278+AN278+AR278</f>
        <v>4005.4399999999996</v>
      </c>
      <c r="AW278" s="655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55"/>
      <c r="AW279" s="655"/>
    </row>
    <row r="280" spans="1:51" ht="10.5" customHeight="1">
      <c r="A280" s="282"/>
      <c r="B280" s="691"/>
      <c r="C280" s="691"/>
      <c r="F280" s="691"/>
      <c r="G280" s="691"/>
      <c r="J280" s="691"/>
      <c r="K280" s="691"/>
      <c r="N280" s="691"/>
      <c r="O280" s="691"/>
      <c r="R280" s="691"/>
      <c r="S280" s="691"/>
      <c r="V280" s="691"/>
      <c r="W280" s="691"/>
      <c r="Z280" s="691"/>
      <c r="AA280" s="691"/>
      <c r="AD280" s="691"/>
      <c r="AE280" s="691"/>
      <c r="AH280" s="691"/>
      <c r="AI280" s="691"/>
      <c r="AL280" s="691"/>
      <c r="AM280" s="691"/>
      <c r="AP280" s="691"/>
      <c r="AQ280" s="691"/>
      <c r="AT280" s="283"/>
      <c r="AV280" s="655"/>
      <c r="AW280" s="655"/>
    </row>
    <row r="281" spans="1:51">
      <c r="A281" s="282"/>
      <c r="B281" s="675" t="str">
        <f>VLOOKUP(+B275,'[14]Twr Schedule'!$B$9:$C$611,2,FALSE)</f>
        <v>DA+3</v>
      </c>
      <c r="C281" s="675"/>
      <c r="F281" s="675" t="str">
        <f>VLOOKUP(+F275,'[14]Twr Schedule'!$B$9:$C$611,2,FALSE)</f>
        <v>DA-3</v>
      </c>
      <c r="G281" s="675"/>
      <c r="J281" s="675" t="str">
        <f>VLOOKUP(+J275,'[14]Twr Schedule'!$B$9:$C$611,2,FALSE)</f>
        <v>DA-3</v>
      </c>
      <c r="K281" s="675"/>
      <c r="N281" s="675" t="str">
        <f>VLOOKUP(+N275,'[14]Twr Schedule'!$B$9:$C$611,2,FALSE)</f>
        <v>DA-3</v>
      </c>
      <c r="O281" s="675"/>
      <c r="R281" s="675" t="str">
        <f>VLOOKUP(+R275,'[14]Twr Schedule'!$B$9:$C$611,2,FALSE)</f>
        <v>DA+0</v>
      </c>
      <c r="S281" s="675"/>
      <c r="V281" s="675" t="str">
        <f>VLOOKUP(+V275,'[14]Twr Schedule'!$B$9:$C$611,2,FALSE)</f>
        <v>DA+6</v>
      </c>
      <c r="W281" s="675"/>
      <c r="Z281" s="675" t="str">
        <f>VLOOKUP(+Z275,'[14]Twr Schedule'!$B$9:$C$611,2,FALSE)</f>
        <v>DA-3</v>
      </c>
      <c r="AA281" s="675"/>
      <c r="AD281" s="675" t="str">
        <f>VLOOKUP(+AD275,'[14]Twr Schedule'!$B$9:$C$611,2,FALSE)</f>
        <v>DB2+0</v>
      </c>
      <c r="AE281" s="675"/>
      <c r="AH281" s="675" t="str">
        <f>VLOOKUP(+AH275,'[14]Twr Schedule'!$B$9:$C$611,2,FALSE)</f>
        <v>DA-3</v>
      </c>
      <c r="AI281" s="675"/>
      <c r="AL281" s="714" t="str">
        <f>VLOOKUP(+AL275,'[14]Twr Schedule'!$B$9:$C$611,2,FALSE)</f>
        <v>DD60+18</v>
      </c>
      <c r="AM281" s="714"/>
      <c r="AN281" s="315"/>
      <c r="AO281" s="315"/>
      <c r="AP281" s="714" t="str">
        <f>VLOOKUP(+AP275,'[14]Twr Schedule'!$B$9:$C$611,2,FALSE)</f>
        <v>DD60+6</v>
      </c>
      <c r="AQ281" s="714"/>
      <c r="AT281" s="283"/>
      <c r="AV281" s="655"/>
      <c r="AW281" s="655"/>
    </row>
    <row r="282" spans="1:51">
      <c r="A282" s="282"/>
      <c r="AL282" t="s">
        <v>865</v>
      </c>
      <c r="AT282" s="283"/>
      <c r="AV282" s="655"/>
      <c r="AW282" s="655"/>
    </row>
    <row r="283" spans="1:51">
      <c r="A283" s="651" t="s">
        <v>864</v>
      </c>
      <c r="B283" s="651"/>
      <c r="C283" s="651"/>
      <c r="D283" s="651"/>
      <c r="E283" s="651"/>
      <c r="F283" s="651"/>
      <c r="G283" s="651"/>
      <c r="H283" s="651"/>
      <c r="I283" s="651"/>
      <c r="J283" s="651"/>
      <c r="K283" s="651"/>
      <c r="L283" s="651"/>
      <c r="M283" s="651"/>
      <c r="N283" s="651"/>
      <c r="O283" s="651"/>
      <c r="P283" s="651"/>
      <c r="Q283" s="651"/>
      <c r="R283" s="651"/>
      <c r="S283" s="651" t="s">
        <v>866</v>
      </c>
      <c r="T283" s="651"/>
      <c r="U283" s="651"/>
      <c r="V283" s="651"/>
      <c r="W283" s="651"/>
      <c r="X283" s="651"/>
      <c r="Y283" s="651"/>
      <c r="Z283" s="651"/>
      <c r="AA283" s="651"/>
      <c r="AB283" s="651"/>
      <c r="AC283" s="651"/>
      <c r="AD283" s="651"/>
      <c r="AE283" s="651"/>
      <c r="AF283" s="651"/>
      <c r="AG283" s="651"/>
      <c r="AH283" s="651"/>
      <c r="AI283" s="651"/>
      <c r="AJ283" s="651"/>
      <c r="AK283" s="651"/>
      <c r="AL283" s="651"/>
      <c r="AM283" s="651"/>
      <c r="AN283" s="651"/>
      <c r="AO283" s="651"/>
      <c r="AP283" s="651"/>
      <c r="AQ283" s="651"/>
      <c r="AR283" s="651"/>
      <c r="AT283" s="283"/>
      <c r="AV283" s="655"/>
      <c r="AW283" s="655"/>
    </row>
    <row r="284" spans="1:51" ht="27" customHeight="1">
      <c r="A284" s="282"/>
      <c r="AT284" s="283"/>
      <c r="AV284" s="655"/>
      <c r="AW284" s="655"/>
    </row>
    <row r="285" spans="1:51">
      <c r="A285" s="282"/>
      <c r="B285" s="655" t="str">
        <f>'[14]Twr Schedule'!B581</f>
        <v>60/0</v>
      </c>
      <c r="C285" s="655"/>
      <c r="F285" s="655" t="str">
        <f>'[14]Twr Schedule'!B583</f>
        <v>61/0</v>
      </c>
      <c r="G285" s="655"/>
      <c r="J285" s="655" t="str">
        <f>'[14]Twr Schedule'!B585</f>
        <v>62/0</v>
      </c>
      <c r="K285" s="655"/>
      <c r="N285" s="655" t="str">
        <f>'[14]Twr Schedule'!B587</f>
        <v>63/0</v>
      </c>
      <c r="O285" s="655"/>
      <c r="R285" s="655" t="str">
        <f>'[14]Twr Schedule'!B589</f>
        <v>64/0</v>
      </c>
      <c r="S285" s="655"/>
      <c r="V285" s="655" t="str">
        <f>'[14]Twr Schedule'!B591</f>
        <v>64/1</v>
      </c>
      <c r="W285" s="655"/>
      <c r="Z285" s="655" t="str">
        <f>'[14]Twr Schedule'!B593</f>
        <v>64/2</v>
      </c>
      <c r="AA285" s="655"/>
      <c r="AD285" s="655" t="str">
        <f>'[14]Twr Schedule'!B595</f>
        <v>64/3</v>
      </c>
      <c r="AE285" s="655"/>
      <c r="AH285" s="655" t="str">
        <f>'[14]Twr Schedule'!B597</f>
        <v>65/0</v>
      </c>
      <c r="AI285" s="655"/>
      <c r="AL285" s="655" t="str">
        <f>'[14]Twr Schedule'!B599</f>
        <v>66/0</v>
      </c>
      <c r="AM285" s="655"/>
      <c r="AP285" s="655" t="str">
        <f>'[14]Twr Schedule'!B601</f>
        <v>66/1</v>
      </c>
      <c r="AQ285" s="655"/>
      <c r="AT285" s="283"/>
      <c r="AV285" s="655"/>
      <c r="AW285" s="655"/>
    </row>
    <row r="286" spans="1:51">
      <c r="A286" s="282"/>
      <c r="AT286" s="283"/>
      <c r="AV286" s="655"/>
      <c r="AW286" s="655"/>
    </row>
    <row r="287" spans="1:51">
      <c r="A287" s="282"/>
      <c r="AT287" s="283"/>
      <c r="AV287" s="655"/>
      <c r="AW287" s="655"/>
    </row>
    <row r="288" spans="1:51">
      <c r="A288" s="282"/>
      <c r="B288" s="296" t="s">
        <v>790</v>
      </c>
      <c r="C288" s="296" t="s">
        <v>791</v>
      </c>
      <c r="D288" s="705">
        <f>VLOOKUP(B285,[14]Progress!$B$9:$D$310,3,FALSE)</f>
        <v>467.85700000000003</v>
      </c>
      <c r="E288" s="706"/>
      <c r="F288" s="314" t="s">
        <v>790</v>
      </c>
      <c r="G288" s="314" t="s">
        <v>791</v>
      </c>
      <c r="H288" s="708">
        <f>VLOOKUP(F285,[14]Progress!$B$9:$D$310,3,FALSE)</f>
        <v>478.06700000000001</v>
      </c>
      <c r="I288" s="709"/>
      <c r="J288" s="314" t="s">
        <v>790</v>
      </c>
      <c r="K288" s="314" t="s">
        <v>791</v>
      </c>
      <c r="L288" s="708">
        <f>VLOOKUP(J285,[14]Progress!$B$9:$D$310,3,FALSE)</f>
        <v>349.18900000000002</v>
      </c>
      <c r="M288" s="709"/>
      <c r="N288" s="314" t="s">
        <v>790</v>
      </c>
      <c r="O288" s="314" t="s">
        <v>791</v>
      </c>
      <c r="P288" s="705">
        <f>VLOOKUP(N285,[14]Progress!$B$9:$D$310,3,FALSE)</f>
        <v>285.97800000000001</v>
      </c>
      <c r="Q288" s="706"/>
      <c r="R288" s="314" t="s">
        <v>790</v>
      </c>
      <c r="S288" s="314" t="s">
        <v>791</v>
      </c>
      <c r="T288" s="705">
        <f>VLOOKUP(R285,[14]Progress!$B$9:$D$310,3,FALSE)</f>
        <v>395</v>
      </c>
      <c r="U288" s="706"/>
      <c r="V288" s="314" t="s">
        <v>790</v>
      </c>
      <c r="W288" s="314" t="s">
        <v>791</v>
      </c>
      <c r="X288" s="705">
        <f>VLOOKUP(V285,[14]Progress!$B$9:$D$310,3,FALSE)</f>
        <v>384</v>
      </c>
      <c r="Y288" s="706"/>
      <c r="Z288" s="314" t="s">
        <v>790</v>
      </c>
      <c r="AA288" s="314" t="s">
        <v>791</v>
      </c>
      <c r="AB288" s="705">
        <f>VLOOKUP(Z285,[14]Progress!$B$9:$D$310,3,FALSE)</f>
        <v>409</v>
      </c>
      <c r="AC288" s="706"/>
      <c r="AD288" s="314" t="s">
        <v>790</v>
      </c>
      <c r="AE288" s="314" t="s">
        <v>791</v>
      </c>
      <c r="AF288" s="705">
        <f>VLOOKUP(AD285,[14]Progress!$B$9:$D$310,3,FALSE)</f>
        <v>363.017</v>
      </c>
      <c r="AG288" s="706"/>
      <c r="AH288" s="314" t="s">
        <v>790</v>
      </c>
      <c r="AI288" s="314" t="s">
        <v>791</v>
      </c>
      <c r="AJ288" s="708">
        <f>VLOOKUP(AH285,[14]Progress!$B$9:$D$310,3,FALSE)</f>
        <v>298.04199999999997</v>
      </c>
      <c r="AK288" s="709"/>
      <c r="AL288" s="314" t="s">
        <v>790</v>
      </c>
      <c r="AM288" s="314" t="s">
        <v>791</v>
      </c>
      <c r="AN288" s="705">
        <f>VLOOKUP(AL285,[14]Progress!$B$9:$D$310,3,FALSE)</f>
        <v>387</v>
      </c>
      <c r="AO288" s="706"/>
      <c r="AP288" s="314" t="s">
        <v>790</v>
      </c>
      <c r="AQ288" s="314" t="s">
        <v>791</v>
      </c>
      <c r="AR288" s="705">
        <f>VLOOKUP(AP285,[14]Progress!$B$9:$D$310,3,FALSE)</f>
        <v>425.35899999999998</v>
      </c>
      <c r="AS288" s="707"/>
      <c r="AT288" s="283"/>
      <c r="AV288" s="655">
        <f>D288+H288+L288+P288+T288+X288+AB288+AF288+AJ288+AN288+AR288</f>
        <v>4242.509</v>
      </c>
      <c r="AW288" s="655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55"/>
      <c r="AW289" s="655"/>
    </row>
    <row r="290" spans="1:51" ht="10.5" customHeight="1">
      <c r="A290" s="282"/>
      <c r="B290" s="712"/>
      <c r="C290" s="713"/>
      <c r="F290" s="712"/>
      <c r="G290" s="713"/>
      <c r="J290" s="712"/>
      <c r="K290" s="713"/>
      <c r="N290" s="712"/>
      <c r="O290" s="713"/>
      <c r="R290" s="712"/>
      <c r="S290" s="713"/>
      <c r="V290" s="712"/>
      <c r="W290" s="713"/>
      <c r="Z290" s="712"/>
      <c r="AA290" s="713"/>
      <c r="AD290" s="712"/>
      <c r="AE290" s="713"/>
      <c r="AH290" s="712"/>
      <c r="AI290" s="713"/>
      <c r="AL290" s="712"/>
      <c r="AM290" s="713"/>
      <c r="AP290" s="712"/>
      <c r="AQ290" s="713"/>
      <c r="AT290" s="283"/>
      <c r="AV290" s="655"/>
      <c r="AW290" s="655"/>
    </row>
    <row r="291" spans="1:51">
      <c r="A291" s="282"/>
      <c r="B291" s="675" t="str">
        <f>VLOOKUP(+B285,'[14]Twr Schedule'!$B$9:$C$611,2,FALSE)</f>
        <v>DD45+6</v>
      </c>
      <c r="C291" s="675"/>
      <c r="F291" s="675" t="str">
        <f>VLOOKUP(+F285,'[14]Twr Schedule'!$B$9:$C$611,2,FALSE)</f>
        <v>DD60+30</v>
      </c>
      <c r="G291" s="675"/>
      <c r="J291" s="675" t="str">
        <f>VLOOKUP(+J285,'[14]Twr Schedule'!$B$9:$C$611,2,FALSE)</f>
        <v>DC1+25</v>
      </c>
      <c r="K291" s="675"/>
      <c r="N291" s="675" t="str">
        <f>VLOOKUP(+N285,'[14]Twr Schedule'!$B$9:$C$611,2,FALSE)</f>
        <v>DC1+3</v>
      </c>
      <c r="O291" s="675"/>
      <c r="R291" s="675" t="str">
        <f>VLOOKUP(+R285,'[14]Twr Schedule'!$B$9:$C$611,2,FALSE)</f>
        <v>DC1+0</v>
      </c>
      <c r="S291" s="675"/>
      <c r="V291" s="675" t="str">
        <f>VLOOKUP(+V285,'[14]Twr Schedule'!$B$9:$C$611,2,FALSE)</f>
        <v>DA+0</v>
      </c>
      <c r="W291" s="675"/>
      <c r="Z291" s="675" t="str">
        <f>VLOOKUP(+Z285,'[14]Twr Schedule'!$B$9:$C$611,2,FALSE)</f>
        <v>DA+3</v>
      </c>
      <c r="AA291" s="675"/>
      <c r="AD291" s="675" t="str">
        <f>VLOOKUP(+AD285,'[14]Twr Schedule'!$B$9:$C$611,2,FALSE)</f>
        <v>DA-3</v>
      </c>
      <c r="AE291" s="675"/>
      <c r="AH291" s="675" t="str">
        <f>VLOOKUP(+AH285,'[14]Twr Schedule'!$B$9:$C$611,2,FALSE)</f>
        <v>DD60+0</v>
      </c>
      <c r="AI291" s="675"/>
      <c r="AL291" s="675" t="str">
        <f>VLOOKUP(+AL285,'[14]Twr Schedule'!$B$9:$C$611,2,FALSE)</f>
        <v>DD60+0</v>
      </c>
      <c r="AM291" s="675"/>
      <c r="AP291" s="675" t="str">
        <f>VLOOKUP(+AP285,'[14]Twr Schedule'!$B$9:$C$611,2,FALSE)</f>
        <v>DA+0</v>
      </c>
      <c r="AQ291" s="675"/>
      <c r="AT291" s="283"/>
      <c r="AV291" s="655"/>
      <c r="AW291" s="655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55"/>
      <c r="AW292" s="655"/>
    </row>
    <row r="293" spans="1:51">
      <c r="A293" s="651" t="s">
        <v>866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AI293" t="s">
        <v>870</v>
      </c>
      <c r="AT293" s="283"/>
      <c r="AV293" s="655"/>
      <c r="AW293" s="655"/>
    </row>
    <row r="294" spans="1:51">
      <c r="A294" s="282"/>
      <c r="V294" s="655" t="s">
        <v>871</v>
      </c>
      <c r="W294" s="655"/>
      <c r="AT294" s="283"/>
      <c r="AV294" s="655"/>
      <c r="AW294" s="655"/>
    </row>
    <row r="295" spans="1:51">
      <c r="A295" s="282"/>
      <c r="B295" s="655" t="str">
        <f>'[14]Twr Schedule'!B603</f>
        <v>67/0</v>
      </c>
      <c r="C295" s="655"/>
      <c r="F295" s="655" t="str">
        <f>'[14]Twr Schedule'!B605</f>
        <v>68/0</v>
      </c>
      <c r="G295" s="655"/>
      <c r="J295" s="655" t="str">
        <f>'[14]Twr Schedule'!B607</f>
        <v>69/0</v>
      </c>
      <c r="K295" s="655"/>
      <c r="N295" s="655" t="str">
        <f>'[14]Twr Schedule'!B609</f>
        <v>69A/0</v>
      </c>
      <c r="O295" s="655"/>
      <c r="R295" s="655" t="str">
        <f>'[14]Twr Schedule'!B611</f>
        <v>70/0</v>
      </c>
      <c r="S295" s="655"/>
      <c r="V295" s="655" t="str">
        <f>'[14]Twr Schedule'!B613</f>
        <v>Gantry</v>
      </c>
      <c r="W295" s="655"/>
      <c r="Z295" s="655"/>
      <c r="AA295" s="655"/>
      <c r="AD295" s="655"/>
      <c r="AE295" s="655"/>
      <c r="AP295" s="655"/>
      <c r="AQ295" s="655"/>
      <c r="AT295" s="283"/>
      <c r="AV295" s="655"/>
      <c r="AW295" s="655"/>
    </row>
    <row r="296" spans="1:51">
      <c r="A296" s="282"/>
      <c r="AT296" s="283"/>
      <c r="AV296" s="655"/>
      <c r="AW296" s="655"/>
    </row>
    <row r="297" spans="1:51">
      <c r="A297" s="282"/>
      <c r="AT297" s="283"/>
      <c r="AV297" s="655"/>
      <c r="AW297" s="655"/>
    </row>
    <row r="298" spans="1:51">
      <c r="A298" s="282"/>
      <c r="B298" s="296" t="s">
        <v>790</v>
      </c>
      <c r="C298" s="296" t="s">
        <v>791</v>
      </c>
      <c r="D298" s="708">
        <f>VLOOKUP(B295,[14]Progress!$B$9:$D$310,3,FALSE)</f>
        <v>318.40499999999997</v>
      </c>
      <c r="E298" s="709"/>
      <c r="F298" s="314" t="s">
        <v>790</v>
      </c>
      <c r="G298" s="314" t="s">
        <v>791</v>
      </c>
      <c r="H298" s="705">
        <f>VLOOKUP(F295,[14]Progress!$B$9:$D$310,3,FALSE)</f>
        <v>303.77</v>
      </c>
      <c r="I298" s="706"/>
      <c r="J298" s="314" t="s">
        <v>790</v>
      </c>
      <c r="K298" s="314" t="s">
        <v>791</v>
      </c>
      <c r="L298" s="705">
        <f>VLOOKUP(J295,[14]Progress!$B$9:$D$310,3,FALSE)</f>
        <v>232.6</v>
      </c>
      <c r="M298" s="706"/>
      <c r="N298" s="314" t="s">
        <v>790</v>
      </c>
      <c r="O298" s="314" t="s">
        <v>791</v>
      </c>
      <c r="P298" s="705">
        <f>VLOOKUP(N295,[14]Progress!$B$9:$D$310,3,FALSE)</f>
        <v>202.46</v>
      </c>
      <c r="Q298" s="706"/>
      <c r="R298" s="314" t="s">
        <v>790</v>
      </c>
      <c r="S298" s="314" t="s">
        <v>791</v>
      </c>
      <c r="T298" s="705">
        <f>VLOOKUP(R295,[14]Progress!$B$9:$D$310,3,FALSE)</f>
        <v>127</v>
      </c>
      <c r="U298" s="706"/>
      <c r="V298" s="322"/>
      <c r="W298" s="322"/>
      <c r="X298" s="655"/>
      <c r="Y298" s="655"/>
      <c r="Z298" s="2"/>
      <c r="AA298" s="2"/>
      <c r="AB298" s="655"/>
      <c r="AC298" s="655"/>
      <c r="AD298" s="2"/>
      <c r="AE298" s="2"/>
      <c r="AF298" s="655"/>
      <c r="AG298" s="655"/>
      <c r="AH298" s="2"/>
      <c r="AI298" s="2"/>
      <c r="AM298" s="2"/>
      <c r="AP298" s="2"/>
      <c r="AQ298" s="2"/>
      <c r="AR298" s="655"/>
      <c r="AS298" s="655"/>
      <c r="AT298" s="283"/>
      <c r="AV298" s="655">
        <f>D298+H298+L298+P298+T298+X298+AB298+AF298+AJ298+AN298+AR298</f>
        <v>1184.2349999999999</v>
      </c>
      <c r="AW298" s="655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55"/>
      <c r="AW299" s="655"/>
    </row>
    <row r="300" spans="1:51" ht="10.5" customHeight="1">
      <c r="A300" s="282"/>
      <c r="B300" s="712"/>
      <c r="C300" s="713"/>
      <c r="F300" s="712"/>
      <c r="G300" s="713"/>
      <c r="J300" s="712"/>
      <c r="K300" s="713"/>
      <c r="N300" s="712"/>
      <c r="O300" s="713"/>
      <c r="R300" s="691"/>
      <c r="S300" s="691"/>
      <c r="V300" s="651"/>
      <c r="W300" s="651"/>
      <c r="Z300" s="655"/>
      <c r="AA300" s="655"/>
      <c r="AD300" s="655"/>
      <c r="AE300" s="655"/>
      <c r="AP300" s="655"/>
      <c r="AQ300" s="655"/>
      <c r="AT300" s="283"/>
      <c r="AV300" s="655"/>
      <c r="AW300" s="655"/>
    </row>
    <row r="301" spans="1:51">
      <c r="A301" s="282"/>
      <c r="B301" s="730" t="str">
        <f>VLOOKUP(+B295,'[14]Twr Schedule'!$B$9:$C$611,2,FALSE)</f>
        <v>DD60+30</v>
      </c>
      <c r="C301" s="730"/>
      <c r="F301" s="730" t="str">
        <f>VLOOKUP(+F295,'[14]Twr Schedule'!$B$9:$C$611,2,FALSE)</f>
        <v>DD60+30</v>
      </c>
      <c r="G301" s="730"/>
      <c r="J301" s="675" t="str">
        <f>VLOOKUP(+J295,'[14]Twr Schedule'!$B$9:$C$611,2,FALSE)</f>
        <v>DC2+0</v>
      </c>
      <c r="K301" s="675"/>
      <c r="N301" s="675" t="str">
        <f>VLOOKUP(+N295,'[14]Twr Schedule'!$B$9:$C$611,2,FALSE)</f>
        <v>DD60+0</v>
      </c>
      <c r="O301" s="675"/>
      <c r="R301" s="675" t="str">
        <f>VLOOKUP(+R295,'[14]Twr Schedule'!$B$9:$C$611,2,FALSE)</f>
        <v>DD60+0</v>
      </c>
      <c r="S301" s="675"/>
      <c r="V301" s="655" t="s">
        <v>872</v>
      </c>
      <c r="W301" s="655"/>
      <c r="Z301" s="655"/>
      <c r="AA301" s="655"/>
      <c r="AD301" s="655"/>
      <c r="AE301" s="655"/>
      <c r="AH301" s="655"/>
      <c r="AI301" s="655"/>
      <c r="AL301" s="655"/>
      <c r="AM301" s="655"/>
      <c r="AP301" s="655"/>
      <c r="AQ301" s="655"/>
      <c r="AT301" s="283"/>
      <c r="AV301" s="655"/>
      <c r="AW301" s="655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</mergeCells>
  <conditionalFormatting sqref="A1 I3 L3 G4 I4:K4 M4 A5:I6 AA10:AA15 C19:D22 G19:J22 M19:T22">
    <cfRule type="cellIs" dxfId="28" priority="4" operator="equal">
      <formula>"completedw"</formula>
    </cfRule>
    <cfRule type="cellIs" dxfId="27" priority="5" operator="equal">
      <formula>"HOLD"</formula>
    </cfRule>
    <cfRule type="cellIs" dxfId="26" priority="6" operator="equal">
      <formula>"ROW"</formula>
    </cfRule>
  </conditionalFormatting>
  <conditionalFormatting sqref="A3">
    <cfRule type="cellIs" dxfId="25" priority="1" operator="equal">
      <formula>"completedw"</formula>
    </cfRule>
    <cfRule type="cellIs" dxfId="24" priority="2" operator="equal">
      <formula>"HOLD"</formula>
    </cfRule>
    <cfRule type="cellIs" dxfId="23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31" t="s">
        <v>875</v>
      </c>
      <c r="B1" s="732"/>
      <c r="C1" s="732"/>
      <c r="D1" s="732"/>
      <c r="E1" s="732"/>
      <c r="F1" s="732"/>
      <c r="G1" s="732"/>
      <c r="H1" s="732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2" priority="5" operator="containsText" text="Pending">
      <formula>NOT(ISERROR(SEARCH("Pending",H1)))</formula>
    </cfRule>
  </conditionalFormatting>
  <conditionalFormatting sqref="H4:H17 F5:F17">
    <cfRule type="containsText" dxfId="21" priority="19" operator="containsText" text="WIP">
      <formula>NOT(ISERROR(SEARCH("WIP",F4)))</formula>
    </cfRule>
    <cfRule type="containsText" dxfId="20" priority="20" operator="containsText" text="ROW">
      <formula>NOT(ISERROR(SEARCH("ROW",F4)))</formula>
    </cfRule>
    <cfRule type="containsText" dxfId="19" priority="21" operator="containsText" text="Pending">
      <formula>NOT(ISERROR(SEARCH("Pending",F4)))</formula>
    </cfRule>
    <cfRule type="containsText" dxfId="18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8"/>
  <sheetViews>
    <sheetView topLeftCell="A9" workbookViewId="0">
      <selection activeCell="E21" sqref="E21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 t="s">
        <v>1022</v>
      </c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/>
      <c r="F7" s="326"/>
      <c r="G7" s="326"/>
    </row>
    <row r="8" spans="1:7">
      <c r="A8" s="10">
        <f t="shared" ref="A8:A27" si="0">A7+1</f>
        <v>3</v>
      </c>
      <c r="B8" s="75" t="s">
        <v>327</v>
      </c>
      <c r="C8" s="75" t="s">
        <v>703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437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436</v>
      </c>
      <c r="C10" s="75" t="s">
        <v>318</v>
      </c>
      <c r="D10" s="278" t="s">
        <v>55</v>
      </c>
      <c r="E10" s="191" t="s">
        <v>1022</v>
      </c>
      <c r="F10" s="207"/>
      <c r="G10" s="326"/>
    </row>
    <row r="11" spans="1:7">
      <c r="A11" s="10">
        <f t="shared" si="0"/>
        <v>6</v>
      </c>
      <c r="B11" s="75" t="s">
        <v>691</v>
      </c>
      <c r="C11" s="75" t="s">
        <v>195</v>
      </c>
      <c r="D11" s="278" t="s">
        <v>55</v>
      </c>
      <c r="E11" s="191" t="s">
        <v>1022</v>
      </c>
      <c r="F11" s="207"/>
      <c r="G11" s="208"/>
    </row>
    <row r="12" spans="1:7">
      <c r="A12" s="10">
        <f t="shared" si="0"/>
        <v>7</v>
      </c>
      <c r="B12" s="75" t="s">
        <v>438</v>
      </c>
      <c r="C12" s="75" t="s">
        <v>226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327" t="s">
        <v>289</v>
      </c>
      <c r="C13" s="327" t="s">
        <v>318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143</v>
      </c>
      <c r="C14" s="75" t="s">
        <v>225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75" t="s">
        <v>290</v>
      </c>
      <c r="C15" s="75" t="s">
        <v>625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292</v>
      </c>
      <c r="C16" s="75" t="s">
        <v>360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294</v>
      </c>
      <c r="C17" s="75" t="s">
        <v>716</v>
      </c>
      <c r="D17" s="278" t="s">
        <v>55</v>
      </c>
      <c r="E17" s="191" t="s">
        <v>1022</v>
      </c>
      <c r="F17" s="207"/>
      <c r="G17" s="208"/>
    </row>
    <row r="18" spans="1:7">
      <c r="A18" s="10">
        <f t="shared" si="0"/>
        <v>13</v>
      </c>
      <c r="B18" s="75" t="s">
        <v>328</v>
      </c>
      <c r="C18" s="75" t="s">
        <v>718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689</v>
      </c>
      <c r="C19" s="75" t="s">
        <v>195</v>
      </c>
      <c r="D19" s="278" t="s">
        <v>55</v>
      </c>
      <c r="E19" s="191" t="s">
        <v>1022</v>
      </c>
      <c r="F19" s="326"/>
      <c r="G19" s="208"/>
    </row>
    <row r="20" spans="1:7">
      <c r="A20" s="10">
        <f t="shared" si="0"/>
        <v>15</v>
      </c>
      <c r="B20" s="75" t="s">
        <v>690</v>
      </c>
      <c r="C20" s="75" t="s">
        <v>224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874</v>
      </c>
      <c r="C21" s="75" t="s">
        <v>380</v>
      </c>
      <c r="D21" s="278" t="s">
        <v>55</v>
      </c>
      <c r="E21" s="191" t="s">
        <v>1022</v>
      </c>
      <c r="F21" s="207"/>
      <c r="G21" s="208"/>
    </row>
    <row r="22" spans="1:7">
      <c r="A22" s="10">
        <f t="shared" si="0"/>
        <v>17</v>
      </c>
      <c r="B22" s="75" t="s">
        <v>435</v>
      </c>
      <c r="C22" s="75" t="s">
        <v>195</v>
      </c>
      <c r="D22" s="278" t="s">
        <v>55</v>
      </c>
      <c r="E22" s="191"/>
      <c r="F22" s="207"/>
      <c r="G22" s="326"/>
    </row>
    <row r="23" spans="1:7">
      <c r="A23" s="10">
        <f t="shared" si="0"/>
        <v>18</v>
      </c>
      <c r="B23" s="75" t="s">
        <v>692</v>
      </c>
      <c r="C23" s="75" t="s">
        <v>634</v>
      </c>
      <c r="D23" s="278" t="s">
        <v>55</v>
      </c>
      <c r="E23" s="191"/>
      <c r="F23" s="207" t="s">
        <v>1119</v>
      </c>
      <c r="G23" s="208"/>
    </row>
    <row r="24" spans="1:7">
      <c r="A24" s="10">
        <f t="shared" si="0"/>
        <v>19</v>
      </c>
      <c r="B24" s="75" t="s">
        <v>695</v>
      </c>
      <c r="C24" s="75" t="s">
        <v>634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697</v>
      </c>
      <c r="C25" s="75" t="s">
        <v>357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439</v>
      </c>
      <c r="C26" s="75" t="s">
        <v>380</v>
      </c>
      <c r="D26" s="278" t="s">
        <v>55</v>
      </c>
      <c r="E26" s="191" t="s">
        <v>1022</v>
      </c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380</v>
      </c>
      <c r="D27" s="278" t="s">
        <v>55</v>
      </c>
      <c r="E27" s="191"/>
      <c r="F27" s="207"/>
      <c r="G27" s="208"/>
    </row>
    <row r="28" spans="1:7">
      <c r="A28" s="10"/>
      <c r="B28" s="75"/>
      <c r="C28" s="75"/>
      <c r="D28" s="278"/>
      <c r="E28" s="191"/>
      <c r="F28" s="207"/>
      <c r="G28" s="208"/>
    </row>
  </sheetData>
  <autoFilter ref="A5:G28" xr:uid="{00000000-0009-0000-0000-000004000000}"/>
  <conditionalFormatting sqref="B6">
    <cfRule type="duplicateValues" dxfId="17" priority="8728"/>
  </conditionalFormatting>
  <conditionalFormatting sqref="B7">
    <cfRule type="duplicateValues" dxfId="16" priority="1"/>
  </conditionalFormatting>
  <conditionalFormatting sqref="B13:B16 B7">
    <cfRule type="duplicateValues" dxfId="15" priority="5"/>
  </conditionalFormatting>
  <conditionalFormatting sqref="B13:B16">
    <cfRule type="duplicateValues" dxfId="14" priority="3"/>
    <cfRule type="duplicateValues" dxfId="13" priority="4"/>
  </conditionalFormatting>
  <conditionalFormatting sqref="E6:E28">
    <cfRule type="containsText" dxfId="12" priority="6" operator="containsText" text="WIP">
      <formula>NOT(ISERROR(SEARCH("WIP",E6)))</formula>
    </cfRule>
    <cfRule type="containsText" dxfId="11" priority="7" operator="containsText" text="PENDING">
      <formula>NOT(ISERROR(SEARCH("PENDING",E6)))</formula>
    </cfRule>
    <cfRule type="containsText" dxfId="10" priority="8" operator="containsText" text="COMPLETED">
      <formula>NOT(ISERROR(SEARCH("COMPLETED",E6)))</formula>
    </cfRule>
    <cfRule type="cellIs" dxfId="9" priority="9" operator="greaterThan">
      <formula>0</formula>
    </cfRule>
  </conditionalFormatting>
  <conditionalFormatting sqref="G4:G6 G8 G11:G20 G23:G28">
    <cfRule type="containsText" dxfId="8" priority="86" operator="containsText" text="Pending">
      <formula>NOT(ISERROR(SEARCH("Pending",G4)))</formula>
    </cfRule>
  </conditionalFormatting>
  <conditionalFormatting sqref="G6 G8 G11:G20 G23:G28">
    <cfRule type="containsText" dxfId="7" priority="83" operator="containsText" text="Pending">
      <formula>NOT(ISERROR(SEARCH("Pending",G6)))</formula>
    </cfRule>
    <cfRule type="containsText" dxfId="6" priority="84" operator="containsText" text="WIP">
      <formula>NOT(ISERROR(SEARCH("WIP",G6)))</formula>
    </cfRule>
    <cfRule type="containsText" dxfId="5" priority="85" operator="containsText" text="ROW">
      <formula>NOT(ISERROR(SEARCH("ROW",G6)))</formula>
    </cfRule>
    <cfRule type="containsText" dxfId="4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39" t="s">
        <v>876</v>
      </c>
      <c r="B2" s="740"/>
      <c r="C2" s="740"/>
      <c r="D2" s="740"/>
      <c r="E2" s="740"/>
      <c r="F2" s="740"/>
      <c r="G2" s="740"/>
      <c r="H2" s="740"/>
      <c r="I2" s="740"/>
      <c r="J2" s="741"/>
    </row>
    <row r="3" spans="1:12" ht="15.75">
      <c r="A3" s="735" t="s">
        <v>283</v>
      </c>
      <c r="B3" s="736" t="s">
        <v>284</v>
      </c>
      <c r="C3" s="736"/>
      <c r="D3" s="737" t="s">
        <v>323</v>
      </c>
      <c r="E3" s="737" t="s">
        <v>324</v>
      </c>
      <c r="F3" s="737" t="s">
        <v>325</v>
      </c>
      <c r="G3" s="737" t="s">
        <v>326</v>
      </c>
      <c r="H3" s="736" t="s">
        <v>69</v>
      </c>
      <c r="I3" s="736" t="s">
        <v>273</v>
      </c>
      <c r="J3" s="742" t="s">
        <v>285</v>
      </c>
    </row>
    <row r="4" spans="1:12" ht="26.45" customHeight="1">
      <c r="A4" s="735"/>
      <c r="B4" s="101" t="s">
        <v>286</v>
      </c>
      <c r="C4" s="101" t="s">
        <v>287</v>
      </c>
      <c r="D4" s="738"/>
      <c r="E4" s="738"/>
      <c r="F4" s="738"/>
      <c r="G4" s="738"/>
      <c r="H4" s="736"/>
      <c r="I4" s="736"/>
      <c r="J4" s="742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33" t="s">
        <v>56</v>
      </c>
      <c r="B44" s="734"/>
      <c r="C44" s="734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53" t="s">
        <v>877</v>
      </c>
      <c r="B1" s="753"/>
      <c r="C1" s="753"/>
      <c r="D1" s="753"/>
      <c r="E1" s="753"/>
      <c r="F1" s="753"/>
      <c r="G1" s="753"/>
      <c r="H1" s="753"/>
      <c r="I1" s="753"/>
      <c r="J1" s="328"/>
      <c r="K1" s="328"/>
      <c r="L1" s="328"/>
    </row>
    <row r="2" spans="1:12">
      <c r="A2" s="754" t="s">
        <v>878</v>
      </c>
      <c r="B2" s="754"/>
      <c r="C2" s="754"/>
      <c r="D2" s="754"/>
      <c r="E2" s="754"/>
      <c r="F2" s="754"/>
      <c r="G2" s="754"/>
      <c r="H2" s="754"/>
      <c r="I2" s="754"/>
      <c r="J2" s="329"/>
      <c r="K2" s="329"/>
      <c r="L2" s="329"/>
    </row>
    <row r="3" spans="1:12">
      <c r="A3" s="754" t="s">
        <v>879</v>
      </c>
      <c r="B3" s="754"/>
      <c r="C3" s="754"/>
      <c r="D3" s="754"/>
      <c r="E3" s="754"/>
      <c r="F3" s="754"/>
      <c r="G3" s="754"/>
      <c r="H3" s="754"/>
      <c r="I3" s="754"/>
      <c r="J3" s="329"/>
      <c r="K3" s="329"/>
      <c r="L3" s="329"/>
    </row>
    <row r="4" spans="1:12" ht="36.75" customHeight="1">
      <c r="A4" s="755" t="s">
        <v>880</v>
      </c>
      <c r="B4" s="755"/>
      <c r="C4" s="755"/>
      <c r="D4" s="755"/>
      <c r="E4" s="755"/>
      <c r="F4" s="755"/>
      <c r="G4" s="755"/>
      <c r="H4" s="755"/>
      <c r="I4" s="755"/>
      <c r="J4" s="330"/>
      <c r="K4" s="330"/>
      <c r="L4" s="330"/>
    </row>
    <row r="5" spans="1:12" ht="15.75">
      <c r="A5" s="756" t="s">
        <v>881</v>
      </c>
      <c r="B5" s="756"/>
      <c r="C5" s="756"/>
      <c r="D5" s="756"/>
      <c r="E5" s="756"/>
      <c r="F5" s="756"/>
      <c r="G5" s="756"/>
      <c r="H5" s="756"/>
      <c r="I5" s="756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43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44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45"/>
    </row>
    <row r="48" spans="1:11" ht="15.75" thickBot="1">
      <c r="A48" s="746" t="s">
        <v>1005</v>
      </c>
      <c r="B48" s="747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48" t="s">
        <v>1006</v>
      </c>
      <c r="B50" s="749"/>
      <c r="C50" s="749"/>
      <c r="D50" s="749"/>
      <c r="E50" s="749"/>
      <c r="F50" s="749"/>
      <c r="G50" s="750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51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52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60" t="s">
        <v>159</v>
      </c>
      <c r="B6" s="760"/>
      <c r="C6" s="760"/>
      <c r="D6" s="760"/>
      <c r="E6" s="760"/>
      <c r="F6" s="760"/>
    </row>
    <row r="7" spans="1:27" ht="15.75" thickBot="1"/>
    <row r="8" spans="1:27" ht="15" customHeight="1">
      <c r="A8" s="761" t="s">
        <v>12</v>
      </c>
      <c r="B8" s="763" t="s">
        <v>13</v>
      </c>
      <c r="C8" s="765" t="s">
        <v>14</v>
      </c>
      <c r="D8" s="767" t="s">
        <v>15</v>
      </c>
    </row>
    <row r="9" spans="1:27" ht="15.75" thickBot="1">
      <c r="A9" s="762"/>
      <c r="B9" s="764"/>
      <c r="C9" s="766"/>
      <c r="D9" s="768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7"/>
      <c r="G10" s="757"/>
      <c r="H10" s="757"/>
      <c r="I10" s="757"/>
      <c r="J10" s="757"/>
      <c r="K10" s="758"/>
      <c r="L10" s="758"/>
      <c r="M10" s="758"/>
      <c r="N10" s="758"/>
      <c r="O10" s="758"/>
      <c r="P10" s="758"/>
      <c r="Q10" s="758"/>
      <c r="R10" s="758"/>
      <c r="S10" s="759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57"/>
      <c r="G26" s="757"/>
      <c r="H26" s="757"/>
      <c r="I26" s="757"/>
      <c r="J26" s="757"/>
      <c r="K26" s="758"/>
      <c r="L26" s="758"/>
      <c r="M26" s="758"/>
      <c r="N26" s="758"/>
      <c r="O26" s="758"/>
      <c r="P26" s="758"/>
      <c r="Q26" s="758"/>
      <c r="R26" s="758"/>
      <c r="S26" s="759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3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60" t="s">
        <v>159</v>
      </c>
      <c r="B6" s="760"/>
      <c r="C6" s="760"/>
      <c r="D6" s="760"/>
      <c r="E6" s="760"/>
      <c r="F6" s="760"/>
    </row>
    <row r="7" spans="1:27" ht="15.75" thickBot="1"/>
    <row r="8" spans="1:27" ht="15" customHeight="1">
      <c r="A8" s="761" t="s">
        <v>12</v>
      </c>
      <c r="B8" s="763" t="s">
        <v>13</v>
      </c>
      <c r="C8" s="765" t="s">
        <v>14</v>
      </c>
      <c r="D8" s="767" t="s">
        <v>15</v>
      </c>
    </row>
    <row r="9" spans="1:27" ht="15.75" thickBot="1">
      <c r="A9" s="762"/>
      <c r="B9" s="764"/>
      <c r="C9" s="766"/>
      <c r="D9" s="768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9"/>
      <c r="G10" s="757"/>
      <c r="H10" s="757"/>
      <c r="I10" s="757"/>
      <c r="J10" s="757"/>
      <c r="K10" s="758"/>
      <c r="L10" s="758"/>
      <c r="M10" s="758"/>
      <c r="N10" s="758"/>
      <c r="O10" s="758"/>
      <c r="P10" s="758"/>
      <c r="Q10" s="758"/>
      <c r="R10" s="758"/>
      <c r="S10" s="759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7"/>
      <c r="G26" s="757"/>
      <c r="H26" s="757"/>
      <c r="I26" s="757"/>
      <c r="J26" s="757"/>
      <c r="K26" s="758"/>
      <c r="L26" s="758"/>
      <c r="M26" s="758"/>
      <c r="N26" s="758"/>
      <c r="O26" s="758"/>
      <c r="P26" s="758"/>
      <c r="Q26" s="758"/>
      <c r="R26" s="758"/>
      <c r="S26" s="759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2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2025-11-23T12:16:30Z</dcterms:modified>
</cp:coreProperties>
</file>