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880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5" hidden="1">'PENDING ERE DETAILS'!$A$5:$G$42</definedName>
    <definedName name="_xlnm._FilterDatabase" localSheetId="4" hidden="1">'PENDING FDN DETAILS'!$A$3:$AD$16</definedName>
    <definedName name="_xlnm._FilterDatabase" localSheetId="1" hidden="1">Progress!$A$132:$P$215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51" l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93" i="52"/>
  <c r="A94" i="52" s="1"/>
  <c r="A95" i="52" s="1"/>
  <c r="A96" i="52" s="1"/>
  <c r="A97" i="52" s="1"/>
  <c r="A92" i="52"/>
  <c r="A227" i="36"/>
  <c r="L11" i="22" l="1"/>
  <c r="AB47" i="22"/>
  <c r="AB48" i="22"/>
  <c r="A129" i="36"/>
  <c r="A128" i="36"/>
  <c r="A226" i="36"/>
  <c r="A225" i="36" l="1"/>
  <c r="A77" i="52" l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47" i="44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B39" i="22" l="1"/>
  <c r="A224" i="36"/>
  <c r="A76" i="52" l="1"/>
  <c r="A223" i="36" l="1"/>
  <c r="A222" i="36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A81" i="44"/>
  <c r="I49" i="44"/>
  <c r="I48" i="44"/>
  <c r="I47" i="44"/>
  <c r="I46" i="44"/>
  <c r="K175" i="22" l="1"/>
  <c r="U172" i="22"/>
  <c r="AB58" i="22"/>
  <c r="AB68" i="22"/>
  <c r="Z21" i="22"/>
  <c r="A20" i="52" l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19" i="52"/>
  <c r="K22" i="44" l="1"/>
  <c r="K11" i="44" l="1"/>
  <c r="AB66" i="22" l="1"/>
  <c r="A221" i="36" l="1"/>
  <c r="D24" i="44" l="1"/>
  <c r="T173" i="22" l="1"/>
  <c r="S173" i="22"/>
  <c r="A220" i="36"/>
  <c r="A219" i="36"/>
  <c r="A218" i="36" l="1"/>
  <c r="A217" i="36" l="1"/>
  <c r="A216" i="36" l="1"/>
  <c r="K4" i="36"/>
  <c r="F4" i="36"/>
  <c r="K3" i="36"/>
  <c r="J3" i="36"/>
  <c r="F3" i="36"/>
  <c r="A7" i="51" l="1"/>
  <c r="A8" i="51" s="1"/>
  <c r="A9" i="51" s="1"/>
  <c r="A10" i="51" s="1"/>
  <c r="A11" i="51" s="1"/>
  <c r="A12" i="51" s="1"/>
  <c r="A13" i="51" s="1"/>
  <c r="A14" i="51" s="1"/>
  <c r="A5" i="50" l="1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X131" i="22"/>
  <c r="A149" i="36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F10" i="36"/>
  <c r="F17" i="44"/>
  <c r="L10" i="36"/>
  <c r="L9" i="36"/>
  <c r="F9" i="36"/>
  <c r="Q171" i="22"/>
  <c r="Q174" i="22"/>
  <c r="X103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Y105" i="22" s="1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Y148" i="22" s="1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AA34" i="22"/>
  <c r="AA153" i="22" s="1"/>
  <c r="Z34" i="22"/>
  <c r="O170" i="22" s="1"/>
  <c r="O171" i="22" s="1"/>
  <c r="X34" i="22"/>
  <c r="G170" i="22" s="1"/>
  <c r="G171" i="22" s="1"/>
  <c r="AB33" i="22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S170" i="22"/>
  <c r="S171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AB152" i="22" l="1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0" i="22"/>
  <c r="T171" i="22" s="1"/>
  <c r="Z123" i="22"/>
  <c r="Y59" i="22"/>
  <c r="AB155" i="22"/>
  <c r="AF78" i="22"/>
  <c r="Z142" i="22"/>
  <c r="Z149" i="22" s="1"/>
  <c r="P173" i="22" s="1"/>
  <c r="Z96" i="22"/>
  <c r="Y149" i="22"/>
  <c r="L173" i="22" s="1"/>
  <c r="C97" i="22"/>
  <c r="AA82" i="22"/>
  <c r="R172" i="22"/>
  <c r="Y78" i="22"/>
  <c r="X148" i="22"/>
  <c r="G173" i="22" s="1"/>
  <c r="G174" i="22" s="1"/>
  <c r="G175" i="22" s="1"/>
  <c r="M173" i="22"/>
  <c r="M170" i="22"/>
  <c r="M171" i="22" s="1"/>
  <c r="X149" i="22"/>
  <c r="H173" i="22" s="1"/>
  <c r="Y153" i="22"/>
  <c r="X147" i="22"/>
  <c r="F173" i="22" s="1"/>
  <c r="J173" i="22" s="1"/>
  <c r="K174" i="22"/>
  <c r="AE78" i="22"/>
  <c r="Y150" i="22" s="1"/>
  <c r="N170" i="22"/>
  <c r="Z81" i="22"/>
  <c r="Y152" i="22"/>
  <c r="J170" i="22"/>
  <c r="J171" i="22" s="1"/>
  <c r="F171" i="22"/>
  <c r="F172" i="22"/>
  <c r="X81" i="22"/>
  <c r="H172" i="22" s="1"/>
  <c r="Z78" i="22"/>
  <c r="Z82" i="22" s="1"/>
  <c r="Y81" i="22"/>
  <c r="S19" i="12"/>
  <c r="S13" i="12"/>
  <c r="T12" i="48"/>
  <c r="T17" i="48"/>
  <c r="T15" i="48"/>
  <c r="T18" i="48"/>
  <c r="S35" i="48"/>
  <c r="S12" i="48"/>
  <c r="S19" i="48" s="1"/>
  <c r="T175" i="22" l="1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155" i="22" s="1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Z150" i="22" l="1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<sst xmlns="http://schemas.openxmlformats.org/spreadsheetml/2006/main" count="3837" uniqueCount="822">
  <si>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</si>
  <si>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</si>
  <si>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</si>
  <si>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</si>
  <si>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</si>
  <si>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</si>
  <si>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</si>
  <si>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</si>
  <si>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</si>
  <si>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</si>
  <si>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</si>
  <si>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</si>
  <si>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</si>
  <si>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</si>
  <si>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</si>
  <si>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</si>
  <si>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</si>
  <si>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</si>
  <si>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</si>
  <si>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</si>
  <si>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</si>
  <si>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</si>
  <si>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</si>
  <si>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</si>
  <si>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</si>
  <si>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</si>
  <si>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</si>
  <si>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</si>
  <si>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</si>
  <si>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</si>
  <si>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</si>
  <si>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</si>
  <si>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</si>
  <si>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</si>
  <si>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</si>
  <si>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</si>
  <si>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</si>
  <si>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</si>
  <si>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</si>
  <si>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</si>
  <si>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</si>
  <si>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</si>
  <si>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</si>
  <si>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</si>
  <si>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</si>
  <si>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</si>
  <si>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</si>
  <si>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</si>
  <si>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</si>
  <si>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</si>
  <si>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</si>
  <si>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</si>
  <si>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</si>
  <si>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</si>
  <si>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</si>
  <si>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</si>
  <si>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</si>
  <si>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</si>
  <si>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</si>
  <si>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</si>
  <si>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</si>
  <si>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</si>
  <si>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</si>
  <si>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</si>
  <si>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</si>
  <si>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</si>
  <si>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</si>
  <si>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</si>
  <si>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</si>
  <si>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</si>
  <si>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</si>
  <si>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</si>
  <si>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</si>
  <si>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</si>
  <si>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</si>
  <si>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</si>
  <si>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</si>
  <si>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</si>
  <si>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</si>
  <si>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</si>
  <si>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</si>
  <si>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</si>
  <si>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</si>
  <si>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</si>
  <si>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</si>
  <si>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</si>
  <si>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</si>
  <si>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</si>
  <si>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</si>
  <si>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</si>
  <si>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</si>
  <si>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</si>
  <si>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</si>
  <si>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</si>
  <si>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</si>
  <si>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</si>
  <si>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</si>
  <si>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</si>
  <si>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</si>
  <si>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</si>
  <si>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</si>
  <si>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</si>
  <si>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</si>
  <si>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</si>
  <si>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</si>
  <si>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</si>
  <si>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</si>
  <si>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</si>
  <si>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</si>
  <si>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</si>
  <si>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</si>
  <si>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</si>
  <si>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</si>
  <si>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</si>
  <si>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</si>
  <si>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</si>
  <si>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</si>
  <si>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</si>
  <si>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</si>
  <si>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</si>
  <si>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</si>
  <si>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</si>
  <si>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</si>
  <si>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</si>
  <si>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</si>
  <si>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</si>
  <si>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</si>
  <si>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</si>
  <si>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</si>
  <si>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</si>
  <si>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</si>
  <si>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</si>
  <si>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</si>
  <si>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</si>
  <si>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</si>
  <si>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</si>
  <si>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</si>
  <si>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</si>
  <si>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</si>
  <si>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</si>
  <si>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</si>
  <si>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</si>
  <si>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</si>
  <si>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</si>
  <si>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</si>
  <si>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</si>
  <si>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</si>
  <si>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</si>
  <si>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</si>
  <si>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</si>
  <si>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</si>
  <si>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</si>
  <si>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</si>
  <si>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</si>
  <si>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</si>
  <si>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</si>
  <si>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</si>
  <si>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</si>
  <si>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</si>
  <si>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</si>
  <si>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</si>
  <si>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</si>
  <si>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</si>
  <si>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</si>
  <si>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</si>
  <si>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</si>
  <si>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</si>
  <si>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</si>
  <si>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</si>
  <si>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</si>
  <si>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</si>
  <si>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</si>
  <si>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</si>
  <si>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</si>
  <si>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</si>
  <si>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</si>
  <si>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</si>
  <si>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</si>
  <si>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</si>
  <si>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</si>
  <si>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</si>
  <si>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</si>
  <si>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</si>
  <si>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</si>
  <si>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</si>
  <si>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</si>
  <si>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</si>
  <si>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</si>
  <si>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</si>
  <si>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</si>
  <si>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</si>
  <si>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</si>
  <si>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</si>
  <si>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</si>
  <si>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</si>
  <si>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</si>
  <si>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</si>
  <si>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</si>
  <si>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</si>
  <si>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</si>
  <si>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</si>
  <si>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</si>
  <si>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</si>
  <si>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</si>
  <si>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</si>
  <si>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</si>
  <si>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</si>
  <si>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</si>
  <si>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</si>
  <si>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</si>
  <si>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</si>
  <si>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</si>
  <si>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</si>
  <si>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</si>
  <si>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</si>
  <si>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</si>
  <si>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</si>
  <si>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</si>
  <si>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</si>
  <si>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</si>
  <si>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</si>
  <si>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</si>
  <si>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</si>
  <si>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</si>
  <si>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</si>
  <si>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</si>
  <si>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</si>
  <si>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</si>
  <si>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</si>
  <si>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</si>
  <si>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</si>
  <si>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</si>
  <si>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</si>
  <si>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</si>
  <si>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</si>
  <si>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</si>
  <si>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</si>
  <si>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</si>
  <si>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</si>
  <si>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</si>
  <si>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</si>
  <si>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</si>
  <si>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</si>
  <si>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</si>
  <si>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</si>
  <si>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</si>
  <si>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</si>
  <si>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</si>
  <si>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</si>
  <si>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</si>
  <si>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</si>
  <si>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</si>
  <si>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</si>
  <si>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</si>
  <si>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</si>
  <si>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</si>
  <si>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</si>
  <si>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</si>
  <si>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</si>
  <si>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</si>
  <si>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</si>
  <si>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</si>
  <si>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</si>
  <si>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</si>
  <si>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</si>
  <si>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</si>
  <si>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</si>
  <si>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</si>
  <si>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</si>
  <si>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</si>
  <si>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</si>
  <si>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</si>
  <si>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</si>
  <si>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</si>
  <si>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</si>
  <si>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</si>
  <si>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</si>
  <si>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</si>
  <si>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</si>
  <si>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</si>
  <si>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</si>
  <si>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</si>
  <si>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</si>
  <si>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</si>
  <si>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</si>
  <si>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</si>
  <si>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</si>
  <si>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</si>
  <si>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</si>
  <si>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</si>
  <si>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</si>
  <si>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</si>
  <si>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</si>
  <si>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</si>
  <si>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</si>
  <si>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</si>
  <si>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</si>
  <si>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</si>
  <si>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</si>
  <si>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</si>
  <si>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</si>
  <si>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</si>
  <si>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</si>
  <si>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</si>
  <si>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</si>
  <si>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</si>
  <si>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</si>
  <si>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</si>
  <si>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</si>
  <si>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</si>
  <si>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</si>
  <si>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</si>
  <si>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</si>
  <si>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</si>
  <si>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</si>
  <si>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</si>
  <si>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</si>
  <si>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</si>
  <si>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</si>
  <si>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</si>
  <si>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</si>
  <si>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</si>
  <si>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</si>
  <si>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</si>
  <si>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</si>
  <si>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</si>
  <si>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</si>
  <si>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</si>
  <si>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</si>
  <si>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</si>
  <si>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</si>
  <si>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</si>
  <si>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</si>
  <si>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</si>
  <si>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</si>
  <si>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</si>
  <si>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</si>
  <si>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</si>
  <si>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</si>
  <si>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</si>
  <si>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</si>
  <si>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</si>
  <si>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</si>
  <si>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</si>
  <si>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</si>
  <si>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</si>
  <si>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</si>
  <si>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</si>
  <si>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</si>
  <si>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</si>
  <si>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</si>
  <si>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</si>
  <si>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</si>
  <si>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</si>
  <si>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</si>
  <si>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</si>
  <si>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</si>
  <si>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</si>
  <si>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</si>
  <si>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</si>
  <si>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</si>
  <si>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</si>
  <si>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</si>
  <si>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</si>
  <si>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</si>
  <si>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</si>
  <si>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</si>
  <si>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</si>
  <si>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</si>
  <si>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</si>
  <si>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</si>
  <si>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</si>
  <si>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</si>
  <si>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</si>
  <si>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</si>
  <si>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</si>
  <si>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</si>
  <si>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</si>
  <si>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</si>
  <si>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</si>
  <si>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</si>
  <si>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</si>
  <si>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</si>
  <si>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</si>
  <si>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</si>
  <si>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</si>
  <si>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</si>
  <si>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</si>
  <si>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</si>
  <si>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</si>
  <si>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</si>
  <si>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</si>
  <si>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</si>
  <si>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</si>
  <si>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</si>
  <si>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</si>
  <si>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</si>
  <si>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</si>
  <si>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</si>
  <si>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</si>
  <si>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</si>
  <si>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</si>
  <si>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</si>
  <si>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</si>
  <si>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</si>
  <si>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</si>
  <si>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</si>
  <si>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</si>
  <si>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</si>
  <si>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</si>
  <si>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</si>
  <si>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</si>
  <si>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</si>
  <si>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</si>
  <si>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</si>
  <si>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</si>
  <si>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</si>
  <si>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</si>
  <si>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</si>
  <si>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</si>
  <si>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</si>
  <si>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</si>
  <si>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</si>
  <si>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</si>
  <si>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</si>
  <si>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</si>
  <si>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</si>
  <si>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</si>
  <si>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</si>
  <si>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</si>
  <si>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</si>
  <si>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</si>
  <si>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</si>
  <si>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</si>
  <si>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</si>
  <si>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</si>
  <si>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</si>
  <si>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</si>
  <si>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</si>
  <si>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</si>
  <si>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</si>
  <si>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</si>
  <si>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</si>
  <si>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</si>
  <si>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</si>
  <si>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</si>
  <si>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</si>
  <si>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</si>
  <si>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</si>
  <si>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</si>
  <si>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</si>
  <si>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</si>
  <si>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</si>
  <si>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</si>
  <si>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</si>
  <si>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</si>
  <si>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</si>
  <si>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</si>
  <si>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</si>
  <si>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</si>
  <si>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</si>
  <si>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</si>
  <si>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</si>
  <si>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</si>
  <si>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</si>
  <si>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</si>
  <si>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</si>
  <si>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</si>
  <si>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</si>
  <si>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</si>
  <si>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</si>
  <si>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</si>
  <si>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</si>
  <si>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</si>
  <si>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</si>
  <si>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</si>
  <si>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</si>
  <si>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</si>
  <si>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</si>
  <si>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</si>
  <si>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</si>
  <si>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</si>
  <si>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</si>
  <si>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</si>
  <si>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</si>
  <si>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</si>
  <si>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</si>
  <si>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</si>
  <si>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</si>
  <si>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</si>
  <si>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</si>
  <si>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</si>
  <si>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</si>
  <si>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</si>
  <si>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</si>
  <si>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</si>
  <si>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</si>
  <si>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</si>
  <si>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</si>
  <si>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</si>
  <si>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</si>
  <si>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</si>
  <si>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</si>
  <si>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</si>
  <si>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</si>
  <si>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</si>
  <si>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</si>
  <si>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</si>
  <si>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</si>
  <si>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</si>
  <si>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</si>
  <si>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</si>
  <si>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</si>
  <si>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</si>
  <si>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</si>
  <si>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</si>
  <si>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</si>
  <si>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</si>
  <si>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</si>
  <si>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</si>
  <si>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</si>
  <si>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</si>
  <si>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</si>
  <si>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</si>
  <si>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</si>
  <si>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</si>
  <si>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</si>
  <si>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</si>
  <si>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</si>
  <si>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</si>
  <si>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</si>
  <si>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</si>
  <si>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</si>
  <si>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</si>
  <si>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</si>
  <si>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</si>
  <si>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</si>
  <si>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</si>
  <si>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</si>
  <si>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</si>
  <si>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</si>
  <si>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</si>
  <si>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</si>
  <si>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</si>
  <si>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</si>
  <si>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</si>
  <si>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</si>
  <si>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</si>
  <si>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</si>
  <si>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</si>
  <si>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</si>
  <si>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</si>
  <si>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</si>
  <si>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</si>
  <si>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</si>
  <si>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</si>
  <si>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</si>
  <si>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</si>
  <si>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</si>
  <si>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</si>
  <si>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</si>
  <si>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</si>
  <si>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</si>
  <si>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</si>
  <si>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</si>
  <si>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</si>
  <si>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</si>
  <si>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</si>
  <si>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</si>
  <si>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</si>
  <si>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</si>
  <si>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</si>
  <si>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</si>
  <si>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</si>
  <si>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</si>
  <si>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</si>
  <si>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</si>
  <si>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</si>
  <si>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</si>
  <si>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</si>
  <si>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</si>
  <si>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</si>
  <si>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</si>
  <si>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</si>
  <si>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</si>
  <si>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</si>
  <si>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</si>
  <si>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</si>
  <si>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</si>
  <si>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</si>
  <si>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</si>
  <si>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</si>
  <si>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</si>
  <si>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</si>
  <si>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</si>
  <si>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</si>
  <si>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</si>
  <si>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</si>
  <si>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</si>
  <si>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</si>
  <si>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</si>
  <si>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</si>
  <si>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</si>
  <si>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</si>
  <si>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</si>
  <si>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</si>
  <si>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</si>
  <si>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</si>
  <si>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</si>
  <si>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</si>
  <si>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</si>
  <si>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</si>
  <si>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</si>
  <si>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</si>
  <si>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</si>
  <si>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</si>
  <si>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</si>
  <si>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</si>
  <si>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</si>
  <si>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</si>
  <si>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</si>
  <si>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</si>
  <si>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</si>
  <si>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</si>
  <si>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</si>
  <si>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</si>
  <si>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</si>
  <si>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</si>
  <si>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</si>
  <si>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</si>
  <si>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</si>
  <si>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</si>
  <si>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</si>
  <si>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</si>
  <si>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</si>
  <si>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</si>
  <si>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</si>
  <si>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</si>
  <si>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</si>
  <si>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</si>
  <si>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</si>
  <si>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</si>
  <si>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</si>
  <si>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</si>
  <si>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Hunasihala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</si>
  <si>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</si>
  <si>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</si>
  <si>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</si>
  <si>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</si>
  <si>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</si>
  <si>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</si>
  <si>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</si>
  <si>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</si>
  <si>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</si>
  <si>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</si>
  <si>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</si>
  <si>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</si>
  <si>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</si>
  <si>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</si>
  <si>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</si>
  <si>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</si>
  <si>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</si>
  <si>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</si>
  <si>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</si>
  <si>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</si>
  <si>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</si>
  <si>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</si>
  <si>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</si>
  <si>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</si>
  <si>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</si>
  <si>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</si>
  <si>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</si>
  <si>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</si>
  <si>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</si>
  <si>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</si>
  <si>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</si>
  <si>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</si>
  <si>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</si>
  <si>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</si>
  <si>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</si>
  <si>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</si>
  <si>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</si>
  <si>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</si>
  <si>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</si>
  <si>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</si>
  <si>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</si>
  <si>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</si>
  <si>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</si>
  <si>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</si>
  <si>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</si>
  <si>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</si>
  <si>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</si>
  <si>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</si>
  <si>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</si>
  <si>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</si>
  <si>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</si>
  <si>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</si>
  <si>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</si>
  <si>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</si>
  <si>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</si>
  <si>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</si>
  <si>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</si>
  <si>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</si>
  <si>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</si>
  <si>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</si>
  <si>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</si>
  <si>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</si>
  <si>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</si>
  <si>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</si>
  <si>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</si>
  <si>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</si>
  <si>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</si>
  <si>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</si>
  <si>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</si>
  <si>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</si>
  <si>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</si>
  <si>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</si>
  <si>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</si>
  <si>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</si>
  <si>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</si>
  <si>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</si>
  <si>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</si>
  <si>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</si>
  <si>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</si>
  <si>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</si>
  <si>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</si>
  <si>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</si>
  <si>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</si>
  <si>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</si>
  <si>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</si>
  <si>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</si>
  <si>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</si>
  <si>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</si>
  <si>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</si>
  <si>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</si>
  <si>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</si>
  <si>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</si>
  <si>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</si>
  <si>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</si>
  <si>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</si>
  <si>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</si>
  <si>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</si>
  <si>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</si>
  <si>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</si>
  <si>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</si>
  <si>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</si>
  <si>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</si>
  <si>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</si>
  <si>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</si>
  <si>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</si>
  <si>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</si>
  <si>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</si>
  <si>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</si>
  <si>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</si>
  <si>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</si>
  <si>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</si>
  <si>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</si>
  <si>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</si>
  <si>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</si>
  <si>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</si>
  <si>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</si>
  <si>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</si>
  <si>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</si>
  <si>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</si>
  <si>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</si>
  <si>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</si>
  <si>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</si>
  <si>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</si>
  <si>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</si>
  <si>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</si>
  <si>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</si>
  <si>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</si>
  <si>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</si>
  <si>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</si>
  <si>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</si>
  <si>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</si>
  <si>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</si>
  <si>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</si>
  <si>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</si>
  <si>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</si>
  <si>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</si>
  <si>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</si>
  <si>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</si>
  <si>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</si>
  <si>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</si>
  <si>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</si>
  <si>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</si>
  <si>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</si>
  <si>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</si>
  <si>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</si>
  <si>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</si>
  <si>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</si>
  <si>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</si>
  <si>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</si>
  <si>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</si>
  <si>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</si>
  <si>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</si>
  <si>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</si>
  <si>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</si>
  <si>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</si>
  <si>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</si>
  <si>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</si>
  <si>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</si>
  <si>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</si>
  <si>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35/0 - 36/0 ( corridor issues -TSE / PULLER and machineries were idle from 06/10/25 )</t>
  </si>
  <si>
    <t>3rd section work.</t>
  </si>
  <si>
    <t>Erection work in Progress</t>
  </si>
  <si>
    <t>.</t>
  </si>
  <si>
    <t>Will Supplied in 4th Week of Nov'25</t>
  </si>
  <si>
    <t>36/0 - 36/1</t>
  </si>
  <si>
    <t xml:space="preserve">Top section work under progress </t>
  </si>
  <si>
    <t>GANG - A1</t>
  </si>
  <si>
    <t>GANG - A2</t>
  </si>
  <si>
    <t>Work in Progress</t>
  </si>
  <si>
    <t>Mr. Arun Felbin</t>
  </si>
  <si>
    <t xml:space="preserve"> Pilot payingout work under progress. </t>
  </si>
  <si>
    <t xml:space="preserve">Ground Assembling work under progress. </t>
  </si>
  <si>
    <t>Ground Assembly work in Progress</t>
  </si>
  <si>
    <r>
      <t xml:space="preserve">Undercutting work under progress.  </t>
    </r>
    <r>
      <rPr>
        <sz val="12"/>
        <color rgb="FFFF0000"/>
        <rFont val="Calibri"/>
        <family val="2"/>
        <scheme val="minor"/>
      </rPr>
      <t>(Progress Affected Due to ROW)</t>
    </r>
  </si>
  <si>
    <r>
      <t xml:space="preserve">Excavation and Leveling work under progress. </t>
    </r>
    <r>
      <rPr>
        <sz val="12"/>
        <color rgb="FFFF0000"/>
        <rFont val="Calibri"/>
        <family val="2"/>
        <scheme val="minor"/>
      </rPr>
      <t>(Progress Affected Due to ROW)</t>
    </r>
  </si>
  <si>
    <r>
      <t xml:space="preserve">Material Shifting work under progress. </t>
    </r>
    <r>
      <rPr>
        <b/>
        <sz val="14"/>
        <color rgb="FFFF0000"/>
        <rFont val="Calibri"/>
        <family val="2"/>
        <scheme val="minor"/>
      </rPr>
      <t>(ROW)</t>
    </r>
  </si>
  <si>
    <t>Material Shifting 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</si>
</sst>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</numFmts>
  <fonts count="19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sz val="12"/>
      <color rgb="FFFF0000"/>
      <name val="Calibri"/>
      <family val="2"/>
      <scheme val="min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87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22" fillId="3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07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23" fillId="64" borderId="109" xfId="0" applyFont="1" applyFill="1" applyBorder="1" applyAlignment="1">
      <alignment horizontal="center" vertical="center" wrapText="1"/>
    </xf>
    <xf numFmtId="0" fontId="123" fillId="64" borderId="1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4" fillId="5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1" borderId="1" xfId="0" quotePrefix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9" fontId="101" fillId="0" borderId="11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4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7" fillId="68" borderId="55" xfId="0" applyFont="1" applyFill="1" applyBorder="1" applyAlignment="1">
      <alignment horizontal="center" vertical="center"/>
    </xf>
    <xf numFmtId="0" fontId="127" fillId="68" borderId="83" xfId="0" applyFont="1" applyFill="1" applyBorder="1" applyAlignment="1">
      <alignment horizontal="center" vertical="center" wrapText="1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7" fillId="71" borderId="7" xfId="0" applyFont="1" applyFill="1" applyBorder="1" applyAlignment="1">
      <alignment horizontal="center" vertical="center"/>
    </xf>
    <xf numFmtId="0" fontId="127" fillId="71" borderId="10" xfId="0" applyFont="1" applyFill="1" applyBorder="1" applyAlignment="1">
      <alignment horizontal="center" vertical="center" wrapText="1"/>
    </xf>
    <xf numFmtId="0" fontId="190" fillId="71" borderId="10" xfId="0" applyFont="1" applyFill="1" applyBorder="1" applyAlignment="1">
      <alignment horizontal="center" vertical="center"/>
    </xf>
    <xf numFmtId="0" fontId="127" fillId="71" borderId="6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7" fillId="71" borderId="41" xfId="0" applyFont="1" applyFill="1" applyBorder="1" applyAlignment="1">
      <alignment horizontal="center" vertical="center"/>
    </xf>
    <xf numFmtId="0" fontId="127" fillId="71" borderId="11" xfId="0" applyFont="1" applyFill="1" applyBorder="1" applyAlignment="1">
      <alignment horizontal="center" vertical="center" wrapText="1"/>
    </xf>
    <xf numFmtId="0" fontId="190" fillId="71" borderId="1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3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3" fillId="82" borderId="1" xfId="0" applyFont="1" applyFill="1" applyBorder="1" applyAlignment="1">
      <alignment horizontal="center" vertical="center"/>
    </xf>
    <xf numFmtId="0" fontId="16" fillId="57" borderId="6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" fontId="134" fillId="57" borderId="1" xfId="0" quotePrefix="1" applyNumberFormat="1" applyFont="1" applyFill="1" applyBorder="1" applyAlignment="1">
      <alignment horizontal="center" vertical="center"/>
    </xf>
    <xf numFmtId="14" fontId="134" fillId="57" borderId="1" xfId="0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0" fontId="194" fillId="82" borderId="1" xfId="0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3" fillId="64" borderId="21" xfId="0" applyFont="1" applyFill="1" applyBorder="1" applyAlignment="1">
      <alignment horizontal="center" vertical="center" wrapText="1"/>
    </xf>
    <xf numFmtId="0" fontId="123" fillId="64" borderId="22" xfId="0" applyFont="1" applyFill="1" applyBorder="1" applyAlignment="1">
      <alignment horizontal="center" vertical="center" wrapText="1"/>
    </xf>
    <xf numFmtId="0" fontId="123" fillId="64" borderId="118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82" fillId="0" borderId="0" xfId="0" applyFont="1" applyAlignment="1">
      <alignment horizontal="left" vertical="center"/>
    </xf>
    <xf numFmtId="0" fontId="123" fillId="63" borderId="111" xfId="0" applyFont="1" applyFill="1" applyBorder="1" applyAlignment="1">
      <alignment horizontal="center" vertical="center" wrapText="1"/>
    </xf>
    <xf numFmtId="0" fontId="123" fillId="63" borderId="112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5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1" fillId="68" borderId="115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82" fillId="68" borderId="83" xfId="0" applyFont="1" applyFill="1" applyBorder="1" applyAlignment="1">
      <alignment horizontal="center" vertical="center"/>
    </xf>
    <xf numFmtId="2" fontId="182" fillId="68" borderId="83" xfId="0" applyNumberFormat="1" applyFont="1" applyFill="1" applyBorder="1" applyAlignment="1">
      <alignment horizontal="center" vertical="center"/>
    </xf>
    <xf numFmtId="2" fontId="182" fillId="68" borderId="117" xfId="0" applyNumberFormat="1" applyFont="1" applyFill="1" applyBorder="1" applyAlignment="1">
      <alignment horizontal="center" vertical="center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92" fillId="71" borderId="45" xfId="0" applyFont="1" applyFill="1" applyBorder="1" applyAlignment="1">
      <alignment horizontal="center" vertical="center"/>
    </xf>
    <xf numFmtId="0" fontId="192" fillId="71" borderId="49" xfId="0" applyFont="1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85" fillId="71" borderId="11" xfId="0" applyFont="1" applyFill="1" applyBorder="1" applyAlignment="1">
      <alignment horizontal="center" vertical="center" wrapText="1"/>
    </xf>
    <xf numFmtId="0" fontId="185" fillId="71" borderId="42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87" fillId="71" borderId="9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19" fillId="71" borderId="11" xfId="0" applyFont="1" applyFill="1" applyBorder="1" applyAlignment="1">
      <alignment horizontal="center" vertical="center"/>
    </xf>
    <xf numFmtId="0" fontId="124" fillId="0" borderId="95" xfId="0" applyFont="1" applyBorder="1" applyAlignment="1">
      <alignment horizontal="left" vertical="center" wrapText="1"/>
    </xf>
    <xf numFmtId="0" fontId="124" fillId="0" borderId="105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1" xfId="0" applyFont="1" applyFill="1" applyBorder="1" applyAlignment="1">
      <alignment horizontal="center" vertical="center"/>
    </xf>
    <xf numFmtId="0" fontId="123" fillId="64" borderId="111" xfId="0" applyFont="1" applyFill="1" applyBorder="1" applyAlignment="1">
      <alignment horizontal="center" vertical="center" wrapText="1"/>
    </xf>
    <xf numFmtId="0" fontId="123" fillId="64" borderId="112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0" xfId="0" applyFont="1" applyFill="1" applyBorder="1" applyAlignment="1">
      <alignment horizontal="center" vertical="center"/>
    </xf>
    <xf numFmtId="0" fontId="188" fillId="71" borderId="8" xfId="0" applyFont="1" applyFill="1" applyBorder="1" applyAlignment="1">
      <alignment horizontal="center" vertical="center"/>
    </xf>
    <xf numFmtId="0" fontId="123" fillId="64" borderId="12" xfId="0" applyFont="1" applyFill="1" applyBorder="1" applyAlignment="1">
      <alignment horizontal="center" vertical="center" wrapText="1"/>
    </xf>
    <xf numFmtId="0" fontId="123" fillId="64" borderId="13" xfId="0" applyFont="1" applyFill="1" applyBorder="1" applyAlignment="1">
      <alignment horizontal="center" vertical="center" wrapText="1"/>
    </xf>
    <xf numFmtId="0" fontId="123" fillId="64" borderId="18" xfId="0" applyFont="1" applyFill="1" applyBorder="1" applyAlignment="1">
      <alignment horizontal="center" vertical="center" wrapText="1"/>
    </xf>
    <xf numFmtId="0" fontId="182" fillId="71" borderId="10" xfId="0" applyFont="1" applyFill="1" applyBorder="1" applyAlignment="1">
      <alignment horizontal="center" vertical="center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06" fillId="71" borderId="115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6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8" fillId="3" borderId="1" xfId="0" applyFont="1" applyFill="1" applyBorder="1" applyAlignment="1">
      <alignment horizontal="center" vertical="center" wrapText="1"/>
    </xf>
    <xf numFmtId="0" fontId="142" fillId="3" borderId="1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23" fillId="64" borderId="103" xfId="0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0" fillId="68" borderId="1" xfId="0" applyFont="1" applyFill="1" applyBorder="1" applyAlignment="1">
      <alignment horizontal="left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14" fontId="94" fillId="3" borderId="11" xfId="0" applyNumberFormat="1" applyFont="1" applyFill="1" applyBorder="1" applyAlignment="1">
      <alignment horizontal="center" vertical="center" wrapText="1"/>
    </xf>
    <xf numFmtId="0" fontId="94" fillId="3" borderId="42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94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17" fillId="64" borderId="56" xfId="0" applyFont="1" applyFill="1" applyBorder="1" applyAlignment="1">
      <alignment horizontal="center" vertical="center" wrapText="1"/>
    </xf>
    <xf numFmtId="0" fontId="94" fillId="3" borderId="45" xfId="0" applyFont="1" applyFill="1" applyBorder="1" applyAlignment="1">
      <alignment horizontal="center" vertical="center" wrapText="1"/>
    </xf>
    <xf numFmtId="0" fontId="94" fillId="3" borderId="92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64" fillId="3" borderId="1" xfId="0" applyFont="1" applyFill="1" applyBorder="1" applyAlignment="1">
      <alignment horizontal="center" vertical="center"/>
    </xf>
    <xf numFmtId="0" fontId="157" fillId="57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189" fillId="3" borderId="1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67" fillId="74" borderId="9" xfId="0" applyFont="1" applyFill="1" applyBorder="1" applyAlignment="1">
      <alignment horizontal="center" vertical="center" wrapText="1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95" fillId="68" borderId="21" xfId="0" applyFont="1" applyFill="1" applyBorder="1" applyAlignment="1">
      <alignment horizontal="center" vertical="center" wrapText="1"/>
    </xf>
    <xf numFmtId="0" fontId="195" fillId="68" borderId="23" xfId="0" applyFont="1" applyFill="1" applyBorder="1" applyAlignment="1">
      <alignment horizontal="center" vertical="center" wrapText="1"/>
    </xf>
    <xf numFmtId="0" fontId="197" fillId="3" borderId="10" xfId="0" applyFont="1" applyFill="1" applyBorder="1" applyAlignment="1">
      <alignment horizontal="center" vertical="center" wrapText="1"/>
    </xf>
    <xf numFmtId="0" fontId="197" fillId="3" borderId="1" xfId="0" applyFont="1" applyFill="1" applyBorder="1" applyAlignment="1">
      <alignment horizontal="center" vertical="center" wrapText="1"/>
    </xf>
    <xf numFmtId="0" fontId="198" fillId="0" borderId="1" xfId="0" applyFont="1" applyBorder="1" applyAlignment="1">
      <alignment horizontal="center" vertical="center" wrapText="1"/>
    </xf>
    <xf numFmtId="0" fontId="134" fillId="0" borderId="1" xfId="0" applyFont="1" applyBorder="1" applyAlignment="1">
      <alignment horizontal="center" vertical="center" wrapText="1"/>
    </xf>
    <xf numFmtId="0" fontId="197" fillId="3" borderId="11" xfId="0" applyFont="1" applyFill="1" applyBorder="1" applyAlignment="1">
      <alignment horizontal="center" vertical="center" wrapText="1"/>
    </xf>
    <xf numFmtId="0" fontId="120" fillId="68" borderId="58" xfId="0" applyFont="1" applyFill="1" applyBorder="1" applyAlignment="1">
      <alignment horizontal="center" vertical="center" wrapText="1"/>
    </xf>
    <xf numFmtId="0" fontId="120" fillId="68" borderId="59" xfId="0" applyFont="1" applyFill="1" applyBorder="1" applyAlignment="1">
      <alignment horizontal="center" vertical="center" wrapText="1"/>
    </xf>
    <xf numFmtId="0" fontId="120" fillId="68" borderId="60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117" fillId="64" borderId="119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20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6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867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86740" y="4391660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867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580503" y="6387507"/>
          <a:ext cx="626470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rgbClr val="FF0066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"/>
  <sheetViews>
    <sheetView tabSelected="1" zoomScale="70" zoomScaleNormal="70" workbookViewId="0">
      <selection activeCell="G23" sqref="G23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89" t="s">
        <v>487</v>
      </c>
      <c r="B1" s="172" t="s">
        <v>406</v>
      </c>
      <c r="C1" s="173" t="s">
        <v>407</v>
      </c>
      <c r="D1" s="174" t="s">
        <v>408</v>
      </c>
      <c r="E1" s="175">
        <v>45967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90"/>
      <c r="B2" s="172" t="s">
        <v>411</v>
      </c>
      <c r="C2" s="692" t="s">
        <v>412</v>
      </c>
      <c r="D2" s="693"/>
      <c r="E2" s="694"/>
      <c r="F2" s="172" t="s">
        <v>477</v>
      </c>
      <c r="G2" s="176" t="s">
        <v>478</v>
      </c>
      <c r="H2" s="172" t="s">
        <v>413</v>
      </c>
      <c r="I2" s="176" t="s">
        <v>814</v>
      </c>
      <c r="M2" s="165"/>
      <c r="N2" s="165"/>
      <c r="O2" s="165"/>
    </row>
    <row r="3" spans="1:16" ht="31.95" customHeight="1" thickTop="1" thickBot="1">
      <c r="A3" s="690"/>
      <c r="B3" s="172" t="s">
        <v>414</v>
      </c>
      <c r="C3" s="692" t="s">
        <v>415</v>
      </c>
      <c r="D3" s="693"/>
      <c r="E3" s="694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91"/>
      <c r="B4" s="172" t="s">
        <v>397</v>
      </c>
      <c r="C4" s="695" t="s">
        <v>416</v>
      </c>
      <c r="D4" s="696"/>
      <c r="E4" s="697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2"/>
      <c r="B6" s="471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701" t="s">
        <v>370</v>
      </c>
      <c r="B8" s="702"/>
      <c r="C8" s="702"/>
      <c r="D8" s="702"/>
      <c r="E8" s="702"/>
      <c r="F8" s="702"/>
      <c r="G8" s="702"/>
      <c r="H8" s="702"/>
      <c r="I8" s="702"/>
      <c r="J8" s="702"/>
      <c r="K8" s="702"/>
      <c r="L8" s="703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800</v>
      </c>
      <c r="L9" s="172" t="s">
        <v>113</v>
      </c>
      <c r="O9" s="386"/>
      <c r="P9" s="167"/>
    </row>
    <row r="10" spans="1:16" ht="33" customHeight="1" thickTop="1" thickBot="1">
      <c r="A10" s="383" t="s">
        <v>381</v>
      </c>
      <c r="B10" s="383" t="s">
        <v>382</v>
      </c>
      <c r="C10" s="384">
        <v>127</v>
      </c>
      <c r="D10" s="384">
        <v>127</v>
      </c>
      <c r="E10" s="384">
        <v>127</v>
      </c>
      <c r="F10" s="384">
        <f>C10-D10</f>
        <v>0</v>
      </c>
      <c r="G10" s="384">
        <v>0</v>
      </c>
      <c r="H10" s="384">
        <v>0</v>
      </c>
      <c r="I10" s="384">
        <v>0</v>
      </c>
      <c r="J10" s="384">
        <f>E10+I10</f>
        <v>127</v>
      </c>
      <c r="K10" s="384">
        <f>D10+G10-J10</f>
        <v>0</v>
      </c>
      <c r="L10" s="444"/>
      <c r="M10" s="177"/>
      <c r="O10" s="167"/>
      <c r="P10" s="167"/>
    </row>
    <row r="11" spans="1:16" ht="45.6" customHeight="1" thickTop="1" thickBot="1">
      <c r="A11" s="383" t="s">
        <v>10</v>
      </c>
      <c r="B11" s="383" t="s">
        <v>382</v>
      </c>
      <c r="C11" s="384">
        <v>127</v>
      </c>
      <c r="D11" s="384">
        <v>127</v>
      </c>
      <c r="E11" s="384">
        <v>127</v>
      </c>
      <c r="F11" s="384">
        <f>C11-D11</f>
        <v>0</v>
      </c>
      <c r="G11" s="384">
        <v>0</v>
      </c>
      <c r="H11" s="384">
        <v>0</v>
      </c>
      <c r="I11" s="384">
        <v>0</v>
      </c>
      <c r="J11" s="384">
        <v>127</v>
      </c>
      <c r="K11" s="384">
        <f>D11+G11-J11</f>
        <v>0</v>
      </c>
      <c r="L11" s="444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71" t="s">
        <v>383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673"/>
      <c r="O14" s="167"/>
      <c r="P14" s="167"/>
    </row>
    <row r="15" spans="1:16" ht="47.55" customHeight="1" thickBot="1">
      <c r="A15" s="464" t="s">
        <v>371</v>
      </c>
      <c r="B15" s="465" t="s">
        <v>372</v>
      </c>
      <c r="C15" s="465" t="s">
        <v>373</v>
      </c>
      <c r="D15" s="465" t="s">
        <v>374</v>
      </c>
      <c r="E15" s="465" t="s">
        <v>384</v>
      </c>
      <c r="F15" s="465" t="s">
        <v>385</v>
      </c>
      <c r="G15" s="465" t="s">
        <v>386</v>
      </c>
      <c r="H15" s="465" t="s">
        <v>387</v>
      </c>
      <c r="I15" s="465" t="s">
        <v>388</v>
      </c>
      <c r="J15" s="465" t="s">
        <v>389</v>
      </c>
      <c r="K15" s="465" t="s">
        <v>390</v>
      </c>
      <c r="L15" s="466" t="s">
        <v>391</v>
      </c>
      <c r="M15" s="669" t="s">
        <v>113</v>
      </c>
      <c r="N15" s="670"/>
      <c r="O15" s="167"/>
      <c r="P15" s="167"/>
    </row>
    <row r="16" spans="1:16" ht="66.599999999999994" customHeight="1" thickBot="1">
      <c r="A16" s="460" t="s">
        <v>392</v>
      </c>
      <c r="B16" s="460" t="s">
        <v>393</v>
      </c>
      <c r="C16" s="461">
        <v>47.84</v>
      </c>
      <c r="D16" s="462">
        <v>47.84</v>
      </c>
      <c r="E16" s="463">
        <v>47.84</v>
      </c>
      <c r="F16" s="463">
        <f>43.9+3.94</f>
        <v>47.839999999999996</v>
      </c>
      <c r="G16" s="461">
        <v>0</v>
      </c>
      <c r="H16" s="461">
        <v>0</v>
      </c>
      <c r="I16" s="461">
        <v>0</v>
      </c>
      <c r="J16" s="462">
        <v>0</v>
      </c>
      <c r="K16" s="463">
        <v>0</v>
      </c>
      <c r="L16" s="463">
        <f>E16+K16</f>
        <v>47.84</v>
      </c>
      <c r="M16" s="675"/>
      <c r="N16" s="676"/>
      <c r="O16" s="166"/>
    </row>
    <row r="17" spans="1:16" ht="39.6" customHeight="1" thickTop="1" thickBot="1">
      <c r="A17" s="379" t="s">
        <v>237</v>
      </c>
      <c r="B17" s="379" t="s">
        <v>393</v>
      </c>
      <c r="C17" s="380">
        <v>47.84</v>
      </c>
      <c r="D17" s="381">
        <v>47.84</v>
      </c>
      <c r="E17" s="382">
        <v>47.84</v>
      </c>
      <c r="F17" s="463">
        <f>43.9+3.94</f>
        <v>47.839999999999996</v>
      </c>
      <c r="G17" s="380">
        <v>0</v>
      </c>
      <c r="H17" s="380">
        <v>0</v>
      </c>
      <c r="I17" s="380">
        <v>0</v>
      </c>
      <c r="J17" s="381">
        <v>0</v>
      </c>
      <c r="K17" s="382">
        <v>0</v>
      </c>
      <c r="L17" s="382">
        <f>E17+K17</f>
        <v>47.84</v>
      </c>
      <c r="M17" s="677"/>
      <c r="N17" s="678"/>
    </row>
    <row r="18" spans="1:16" ht="15.6" thickTop="1" thickBot="1">
      <c r="P18" s="168"/>
    </row>
    <row r="19" spans="1:16" s="169" customFormat="1" ht="22.2" customHeight="1" thickTop="1" thickBot="1">
      <c r="A19" s="698" t="s">
        <v>423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700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7" customFormat="1" ht="37.200000000000003" customHeight="1" thickTop="1" thickBot="1">
      <c r="A21" s="373" t="s">
        <v>101</v>
      </c>
      <c r="B21" s="373" t="s">
        <v>107</v>
      </c>
      <c r="C21" s="373">
        <v>127</v>
      </c>
      <c r="D21" s="373">
        <v>127</v>
      </c>
      <c r="E21" s="374">
        <v>115</v>
      </c>
      <c r="F21" s="373">
        <v>0</v>
      </c>
      <c r="G21" s="373">
        <v>12</v>
      </c>
      <c r="H21" s="375">
        <v>0</v>
      </c>
      <c r="I21" s="375">
        <v>0</v>
      </c>
      <c r="J21" s="373">
        <f>D21+F21</f>
        <v>127</v>
      </c>
      <c r="K21" s="374">
        <f>E21+I21</f>
        <v>115</v>
      </c>
      <c r="L21" s="373">
        <f>+C21-K21</f>
        <v>12</v>
      </c>
      <c r="M21" s="373">
        <v>2</v>
      </c>
      <c r="N21" s="373">
        <v>1</v>
      </c>
      <c r="O21" s="426"/>
      <c r="P21" s="376"/>
    </row>
    <row r="22" spans="1:16" s="376" customFormat="1" ht="37.200000000000003" customHeight="1" thickTop="1" thickBot="1">
      <c r="A22" s="373" t="s">
        <v>102</v>
      </c>
      <c r="B22" s="373" t="s">
        <v>107</v>
      </c>
      <c r="C22" s="373">
        <v>127</v>
      </c>
      <c r="D22" s="373"/>
      <c r="E22" s="374">
        <v>111</v>
      </c>
      <c r="F22" s="373">
        <v>0</v>
      </c>
      <c r="G22" s="373">
        <v>17</v>
      </c>
      <c r="H22" s="375">
        <v>0</v>
      </c>
      <c r="I22" s="375">
        <v>0</v>
      </c>
      <c r="J22" s="373">
        <f>D22+F22</f>
        <v>0</v>
      </c>
      <c r="K22" s="374">
        <f>E22+I22</f>
        <v>111</v>
      </c>
      <c r="L22" s="373">
        <f t="shared" ref="L22:L23" si="0">+C22-K22</f>
        <v>16</v>
      </c>
      <c r="M22" s="373">
        <v>0</v>
      </c>
      <c r="N22" s="373">
        <v>0</v>
      </c>
      <c r="O22" s="378"/>
    </row>
    <row r="23" spans="1:16" s="376" customFormat="1" ht="45.6" customHeight="1" thickTop="1" thickBot="1">
      <c r="A23" s="373" t="s">
        <v>105</v>
      </c>
      <c r="B23" s="373" t="s">
        <v>107</v>
      </c>
      <c r="C23" s="373">
        <v>127</v>
      </c>
      <c r="D23" s="373">
        <v>127</v>
      </c>
      <c r="E23" s="374">
        <v>89</v>
      </c>
      <c r="F23" s="373">
        <v>0</v>
      </c>
      <c r="G23" s="373">
        <v>20</v>
      </c>
      <c r="H23" s="375">
        <v>1</v>
      </c>
      <c r="I23" s="375">
        <v>1</v>
      </c>
      <c r="J23" s="373">
        <v>127</v>
      </c>
      <c r="K23" s="374">
        <f>E23+I23</f>
        <v>90</v>
      </c>
      <c r="L23" s="373">
        <f t="shared" si="0"/>
        <v>37</v>
      </c>
      <c r="M23" s="373">
        <v>4</v>
      </c>
      <c r="N23" s="373">
        <v>3</v>
      </c>
      <c r="O23" s="502"/>
    </row>
    <row r="24" spans="1:16" s="376" customFormat="1" ht="42" customHeight="1" thickTop="1" thickBot="1">
      <c r="A24" s="373" t="s">
        <v>104</v>
      </c>
      <c r="B24" s="373" t="s">
        <v>493</v>
      </c>
      <c r="C24" s="373">
        <v>47.84</v>
      </c>
      <c r="D24" s="373">
        <f>C24</f>
        <v>47.84</v>
      </c>
      <c r="E24" s="535">
        <v>3.5790000000000002</v>
      </c>
      <c r="F24" s="373">
        <v>0</v>
      </c>
      <c r="G24" s="373">
        <v>9.4</v>
      </c>
      <c r="H24" s="375">
        <v>0</v>
      </c>
      <c r="I24" s="375">
        <v>0.48</v>
      </c>
      <c r="J24" s="373">
        <v>47.84</v>
      </c>
      <c r="K24" s="373">
        <f>+I24+E24</f>
        <v>4.0590000000000002</v>
      </c>
      <c r="L24" s="373">
        <f t="shared" ref="L24" si="1">+C24-K24</f>
        <v>43.781000000000006</v>
      </c>
      <c r="M24" s="373">
        <v>4.4800000000000004</v>
      </c>
      <c r="N24" s="373">
        <v>1</v>
      </c>
      <c r="O24" s="502" t="s">
        <v>804</v>
      </c>
    </row>
    <row r="25" spans="1:16" ht="15.6" thickTop="1" thickBot="1">
      <c r="A25" s="170"/>
      <c r="G25" s="164" t="s">
        <v>807</v>
      </c>
      <c r="N25" s="682"/>
      <c r="O25" s="682"/>
    </row>
    <row r="26" spans="1:16" ht="17.399999999999999" customHeight="1" thickBot="1">
      <c r="A26" s="639" t="s">
        <v>798</v>
      </c>
      <c r="B26" s="640"/>
      <c r="C26" s="640"/>
      <c r="D26" s="640"/>
      <c r="E26" s="640"/>
      <c r="F26" s="640"/>
      <c r="G26" s="640"/>
      <c r="H26" s="640"/>
      <c r="I26" s="641"/>
    </row>
    <row r="27" spans="1:16" ht="42.6" customHeight="1" thickBot="1">
      <c r="A27" s="485" t="s">
        <v>12</v>
      </c>
      <c r="B27" s="486" t="s">
        <v>678</v>
      </c>
      <c r="C27" s="486" t="s">
        <v>679</v>
      </c>
      <c r="D27" s="680" t="s">
        <v>680</v>
      </c>
      <c r="E27" s="681"/>
      <c r="F27" s="680" t="s">
        <v>698</v>
      </c>
      <c r="G27" s="687"/>
      <c r="H27" s="685" t="s">
        <v>636</v>
      </c>
      <c r="I27" s="686"/>
    </row>
    <row r="28" spans="1:16" ht="42.6" customHeight="1">
      <c r="A28" s="589">
        <v>1</v>
      </c>
      <c r="B28" s="590" t="s">
        <v>105</v>
      </c>
      <c r="C28" s="591" t="s">
        <v>704</v>
      </c>
      <c r="D28" s="688" t="s">
        <v>670</v>
      </c>
      <c r="E28" s="688"/>
      <c r="F28" s="688" t="s">
        <v>151</v>
      </c>
      <c r="G28" s="688"/>
      <c r="H28" s="683"/>
      <c r="I28" s="684"/>
    </row>
    <row r="29" spans="1:16" ht="42.6" customHeight="1">
      <c r="A29" s="592">
        <v>2</v>
      </c>
      <c r="B29" s="593" t="s">
        <v>105</v>
      </c>
      <c r="C29" s="594" t="s">
        <v>705</v>
      </c>
      <c r="D29" s="661" t="s">
        <v>162</v>
      </c>
      <c r="E29" s="662"/>
      <c r="F29" s="663" t="s">
        <v>158</v>
      </c>
      <c r="G29" s="663"/>
      <c r="H29" s="666"/>
      <c r="I29" s="667"/>
    </row>
    <row r="30" spans="1:16" ht="42.6" customHeight="1" thickBot="1">
      <c r="A30" s="595">
        <v>3</v>
      </c>
      <c r="B30" s="596" t="s">
        <v>105</v>
      </c>
      <c r="C30" s="597" t="s">
        <v>706</v>
      </c>
      <c r="D30" s="679" t="s">
        <v>665</v>
      </c>
      <c r="E30" s="679"/>
      <c r="F30" s="674" t="s">
        <v>799</v>
      </c>
      <c r="G30" s="674"/>
      <c r="H30" s="664"/>
      <c r="I30" s="665"/>
    </row>
    <row r="31" spans="1:16" ht="30" customHeight="1" thickBot="1"/>
    <row r="32" spans="1:16" ht="21.6" customHeight="1" thickBot="1">
      <c r="A32" s="657" t="s">
        <v>789</v>
      </c>
      <c r="B32" s="668"/>
      <c r="C32" s="668"/>
      <c r="D32" s="668"/>
      <c r="E32" s="668"/>
      <c r="F32" s="668"/>
      <c r="G32" s="668"/>
      <c r="H32" s="668"/>
      <c r="I32" s="668"/>
      <c r="J32" s="668"/>
      <c r="K32" s="658"/>
    </row>
    <row r="33" spans="1:95" ht="30" customHeight="1" thickBot="1">
      <c r="A33" s="587" t="s">
        <v>12</v>
      </c>
      <c r="B33" s="588" t="s">
        <v>678</v>
      </c>
      <c r="C33" s="588" t="s">
        <v>679</v>
      </c>
      <c r="D33" s="646" t="s">
        <v>514</v>
      </c>
      <c r="E33" s="647"/>
      <c r="F33" s="646" t="s">
        <v>793</v>
      </c>
      <c r="G33" s="648"/>
      <c r="H33" s="646" t="s">
        <v>792</v>
      </c>
      <c r="I33" s="648"/>
      <c r="J33" s="657" t="s">
        <v>636</v>
      </c>
      <c r="K33" s="658"/>
    </row>
    <row r="34" spans="1:95" ht="46.8" customHeight="1" thickBot="1">
      <c r="A34" s="582">
        <v>1</v>
      </c>
      <c r="B34" s="583" t="s">
        <v>790</v>
      </c>
      <c r="C34" s="584" t="s">
        <v>791</v>
      </c>
      <c r="D34" s="649" t="s">
        <v>714</v>
      </c>
      <c r="E34" s="649"/>
      <c r="F34" s="650">
        <v>2.4260000000000002</v>
      </c>
      <c r="G34" s="651"/>
      <c r="H34" s="652" t="s">
        <v>794</v>
      </c>
      <c r="I34" s="653"/>
      <c r="J34" s="659"/>
      <c r="K34" s="660"/>
    </row>
    <row r="35" spans="1:95" ht="46.8" customHeight="1" thickBot="1">
      <c r="A35" s="585">
        <v>2</v>
      </c>
      <c r="B35" s="586" t="s">
        <v>790</v>
      </c>
      <c r="C35" s="584" t="s">
        <v>791</v>
      </c>
      <c r="D35" s="654" t="s">
        <v>783</v>
      </c>
      <c r="E35" s="654"/>
      <c r="F35" s="655">
        <v>4.4800000000000004</v>
      </c>
      <c r="G35" s="656"/>
      <c r="H35" s="871" t="s">
        <v>815</v>
      </c>
      <c r="I35" s="872"/>
      <c r="J35" s="659"/>
      <c r="K35" s="660"/>
    </row>
    <row r="36" spans="1:95" ht="46.8" customHeight="1" thickBot="1">
      <c r="A36" s="585">
        <v>3</v>
      </c>
      <c r="B36" s="586" t="s">
        <v>790</v>
      </c>
      <c r="C36" s="584" t="s">
        <v>791</v>
      </c>
      <c r="D36" s="654" t="s">
        <v>802</v>
      </c>
      <c r="E36" s="654"/>
      <c r="F36" s="655">
        <v>1.98</v>
      </c>
      <c r="G36" s="656"/>
      <c r="H36" s="652" t="s">
        <v>794</v>
      </c>
      <c r="I36" s="653"/>
      <c r="J36" s="659"/>
      <c r="K36" s="660"/>
    </row>
    <row r="37" spans="1:95" ht="30" customHeight="1">
      <c r="A37" s="170"/>
    </row>
    <row r="38" spans="1:95" s="477" customFormat="1" ht="28.2" customHeight="1">
      <c r="A38" s="476" t="s">
        <v>675</v>
      </c>
    </row>
    <row r="39" spans="1:95" s="474" customFormat="1" ht="9" customHeight="1">
      <c r="A39" s="475"/>
      <c r="B39" s="645"/>
      <c r="C39" s="645"/>
      <c r="D39" s="645"/>
      <c r="E39" s="645"/>
      <c r="F39" s="645"/>
      <c r="G39" s="645"/>
    </row>
    <row r="40" spans="1:95" s="474" customFormat="1" ht="24.6" customHeight="1">
      <c r="A40" s="475" t="s">
        <v>677</v>
      </c>
      <c r="B40" s="645" t="s">
        <v>713</v>
      </c>
      <c r="C40" s="645"/>
      <c r="D40" s="645"/>
      <c r="E40" s="645"/>
      <c r="F40" s="645"/>
      <c r="G40" s="645"/>
      <c r="H40" s="645"/>
      <c r="I40" s="645"/>
      <c r="J40" s="645"/>
      <c r="K40" s="473"/>
      <c r="L40" s="473"/>
      <c r="M40" s="481"/>
      <c r="N40" s="481"/>
      <c r="O40" s="481"/>
    </row>
    <row r="41" spans="1:95" s="474" customFormat="1" ht="24.6" customHeight="1">
      <c r="A41" s="475" t="s">
        <v>677</v>
      </c>
      <c r="B41" s="645" t="s">
        <v>801</v>
      </c>
      <c r="C41" s="645"/>
      <c r="D41" s="645"/>
      <c r="E41" s="645"/>
      <c r="F41" s="645"/>
      <c r="G41" s="645"/>
      <c r="H41" s="645"/>
      <c r="I41" s="645"/>
      <c r="J41" s="645"/>
      <c r="K41" s="473"/>
      <c r="L41" s="473"/>
      <c r="M41" s="500"/>
      <c r="N41" s="500"/>
      <c r="O41" s="500"/>
    </row>
    <row r="42" spans="1:95" s="253" customFormat="1" ht="17.399999999999999" customHeight="1">
      <c r="A42" s="475"/>
      <c r="B42" s="645"/>
      <c r="C42" s="645"/>
      <c r="D42" s="645"/>
      <c r="E42" s="645"/>
      <c r="F42" s="645"/>
      <c r="G42" s="645"/>
      <c r="H42" s="645"/>
      <c r="I42" s="645"/>
      <c r="J42" s="645"/>
      <c r="K42" s="473"/>
      <c r="L42" s="473"/>
      <c r="M42" s="470"/>
      <c r="N42" s="470"/>
      <c r="O42" s="470"/>
    </row>
    <row r="43" spans="1:95" ht="15" thickBot="1"/>
    <row r="44" spans="1:95" ht="18.600000000000001" thickBot="1">
      <c r="A44" s="642" t="s">
        <v>480</v>
      </c>
      <c r="B44" s="643"/>
      <c r="C44" s="643"/>
      <c r="D44" s="643"/>
      <c r="E44" s="643"/>
      <c r="F44" s="643"/>
      <c r="G44" s="643"/>
      <c r="H44" s="643"/>
      <c r="I44" s="643"/>
      <c r="J44" s="644"/>
    </row>
    <row r="45" spans="1:95" s="551" customFormat="1" ht="66.599999999999994" customHeight="1" thickBot="1">
      <c r="A45" s="547" t="s">
        <v>768</v>
      </c>
      <c r="B45" s="548" t="s">
        <v>769</v>
      </c>
      <c r="C45" s="706" t="s">
        <v>770</v>
      </c>
      <c r="D45" s="707"/>
      <c r="E45" s="708"/>
      <c r="F45" s="548" t="s">
        <v>372</v>
      </c>
      <c r="G45" s="548" t="s">
        <v>481</v>
      </c>
      <c r="H45" s="549" t="s">
        <v>781</v>
      </c>
      <c r="I45" s="550" t="s">
        <v>771</v>
      </c>
      <c r="J45" s="550" t="s">
        <v>113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52" customFormat="1" ht="33.6" customHeight="1">
      <c r="A46" s="598">
        <v>1</v>
      </c>
      <c r="B46" s="599" t="s">
        <v>482</v>
      </c>
      <c r="C46" s="709" t="s">
        <v>737</v>
      </c>
      <c r="D46" s="709"/>
      <c r="E46" s="709"/>
      <c r="F46" s="600" t="s">
        <v>483</v>
      </c>
      <c r="G46" s="601">
        <v>127</v>
      </c>
      <c r="H46" s="602">
        <v>127</v>
      </c>
      <c r="I46" s="603">
        <f>G46-H46</f>
        <v>0</v>
      </c>
      <c r="J46" s="60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52" customFormat="1" ht="33.6" customHeight="1">
      <c r="A47" s="553">
        <f>A46+1</f>
        <v>2</v>
      </c>
      <c r="B47" s="580" t="s">
        <v>484</v>
      </c>
      <c r="C47" s="704" t="s">
        <v>738</v>
      </c>
      <c r="D47" s="704"/>
      <c r="E47" s="704"/>
      <c r="F47" s="398" t="s">
        <v>483</v>
      </c>
      <c r="G47" s="563">
        <v>127</v>
      </c>
      <c r="H47" s="564">
        <v>127</v>
      </c>
      <c r="I47" s="570">
        <f t="shared" ref="I47:I81" si="2">G47-H47</f>
        <v>0</v>
      </c>
      <c r="J47" s="55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52" customFormat="1" ht="33.6" customHeight="1">
      <c r="A48" s="553">
        <f t="shared" ref="A48:A80" si="3">A47+1</f>
        <v>3</v>
      </c>
      <c r="B48" s="580" t="s">
        <v>485</v>
      </c>
      <c r="C48" s="704" t="s">
        <v>739</v>
      </c>
      <c r="D48" s="704"/>
      <c r="E48" s="704"/>
      <c r="F48" s="398" t="s">
        <v>486</v>
      </c>
      <c r="G48" s="563">
        <v>127</v>
      </c>
      <c r="H48" s="564">
        <v>127</v>
      </c>
      <c r="I48" s="570">
        <f t="shared" si="2"/>
        <v>0</v>
      </c>
      <c r="J48" s="55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55" customFormat="1" ht="33.6" customHeight="1">
      <c r="A49" s="553">
        <f t="shared" si="3"/>
        <v>4</v>
      </c>
      <c r="B49" s="580" t="s">
        <v>772</v>
      </c>
      <c r="C49" s="704" t="s">
        <v>740</v>
      </c>
      <c r="D49" s="704"/>
      <c r="E49" s="704"/>
      <c r="F49" s="398" t="s">
        <v>741</v>
      </c>
      <c r="G49" s="565">
        <v>49.5</v>
      </c>
      <c r="H49" s="566">
        <v>46.875</v>
      </c>
      <c r="I49" s="571">
        <f t="shared" si="2"/>
        <v>2.625</v>
      </c>
      <c r="J49" s="562" t="s">
        <v>808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55" customFormat="1" ht="33.6" customHeight="1">
      <c r="A50" s="553">
        <f t="shared" si="3"/>
        <v>5</v>
      </c>
      <c r="B50" s="580" t="s">
        <v>773</v>
      </c>
      <c r="C50" s="704" t="s">
        <v>742</v>
      </c>
      <c r="D50" s="704"/>
      <c r="E50" s="704"/>
      <c r="F50" s="398" t="s">
        <v>741</v>
      </c>
      <c r="G50" s="565">
        <v>1740</v>
      </c>
      <c r="H50" s="566">
        <v>1601.4110000000001</v>
      </c>
      <c r="I50" s="571">
        <f t="shared" si="2"/>
        <v>138.58899999999994</v>
      </c>
      <c r="J50" s="562" t="s">
        <v>808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55" customFormat="1" ht="33.6" customHeight="1">
      <c r="A51" s="553">
        <f t="shared" si="3"/>
        <v>6</v>
      </c>
      <c r="B51" s="580" t="s">
        <v>774</v>
      </c>
      <c r="C51" s="704" t="s">
        <v>784</v>
      </c>
      <c r="D51" s="704"/>
      <c r="E51" s="704"/>
      <c r="F51" s="398" t="s">
        <v>743</v>
      </c>
      <c r="G51" s="565">
        <v>2224</v>
      </c>
      <c r="H51" s="567">
        <v>2224</v>
      </c>
      <c r="I51" s="570">
        <f t="shared" si="2"/>
        <v>0</v>
      </c>
      <c r="J51" s="55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55" customFormat="1" ht="33.6" customHeight="1">
      <c r="A52" s="553">
        <f t="shared" si="3"/>
        <v>7</v>
      </c>
      <c r="B52" s="580" t="s">
        <v>774</v>
      </c>
      <c r="C52" s="704" t="s">
        <v>785</v>
      </c>
      <c r="D52" s="704"/>
      <c r="E52" s="704"/>
      <c r="F52" s="398" t="s">
        <v>743</v>
      </c>
      <c r="G52" s="565">
        <v>3781</v>
      </c>
      <c r="H52" s="567">
        <v>3781</v>
      </c>
      <c r="I52" s="570">
        <f t="shared" si="2"/>
        <v>0</v>
      </c>
      <c r="J52" s="55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55" customFormat="1" ht="33.6" customHeight="1">
      <c r="A53" s="553">
        <f t="shared" si="3"/>
        <v>8</v>
      </c>
      <c r="B53" s="580" t="s">
        <v>775</v>
      </c>
      <c r="C53" s="704" t="s">
        <v>786</v>
      </c>
      <c r="D53" s="704"/>
      <c r="E53" s="704"/>
      <c r="F53" s="398" t="s">
        <v>744</v>
      </c>
      <c r="G53" s="565">
        <v>528</v>
      </c>
      <c r="H53" s="567">
        <v>528</v>
      </c>
      <c r="I53" s="570">
        <f t="shared" si="2"/>
        <v>0</v>
      </c>
      <c r="J53" s="55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55" customFormat="1" ht="33.6" customHeight="1">
      <c r="A54" s="553">
        <f t="shared" si="3"/>
        <v>9</v>
      </c>
      <c r="B54" s="580" t="s">
        <v>775</v>
      </c>
      <c r="C54" s="704" t="s">
        <v>787</v>
      </c>
      <c r="D54" s="704"/>
      <c r="E54" s="704"/>
      <c r="F54" s="398" t="s">
        <v>744</v>
      </c>
      <c r="G54" s="565">
        <v>45</v>
      </c>
      <c r="H54" s="567">
        <v>45</v>
      </c>
      <c r="I54" s="570">
        <f t="shared" si="2"/>
        <v>0</v>
      </c>
      <c r="J54" s="55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55" customFormat="1" ht="33.6" customHeight="1">
      <c r="A55" s="553">
        <f t="shared" si="3"/>
        <v>10</v>
      </c>
      <c r="B55" s="580" t="s">
        <v>775</v>
      </c>
      <c r="C55" s="704" t="s">
        <v>788</v>
      </c>
      <c r="D55" s="704"/>
      <c r="E55" s="704"/>
      <c r="F55" s="398" t="s">
        <v>744</v>
      </c>
      <c r="G55" s="565">
        <v>468</v>
      </c>
      <c r="H55" s="567">
        <v>468</v>
      </c>
      <c r="I55" s="570">
        <f t="shared" si="2"/>
        <v>0</v>
      </c>
      <c r="J55" s="55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55" customFormat="1" ht="33.6" customHeight="1">
      <c r="A56" s="553">
        <f t="shared" si="3"/>
        <v>11</v>
      </c>
      <c r="B56" s="580" t="s">
        <v>776</v>
      </c>
      <c r="C56" s="704" t="s">
        <v>745</v>
      </c>
      <c r="D56" s="704"/>
      <c r="E56" s="704"/>
      <c r="F56" s="398" t="s">
        <v>743</v>
      </c>
      <c r="G56" s="565">
        <v>828</v>
      </c>
      <c r="H56" s="567">
        <v>828</v>
      </c>
      <c r="I56" s="570">
        <f t="shared" si="2"/>
        <v>0</v>
      </c>
      <c r="J56" s="55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55" customFormat="1" ht="33.6" customHeight="1">
      <c r="A57" s="553">
        <f t="shared" si="3"/>
        <v>12</v>
      </c>
      <c r="B57" s="580" t="s">
        <v>776</v>
      </c>
      <c r="C57" s="704" t="s">
        <v>746</v>
      </c>
      <c r="D57" s="704"/>
      <c r="E57" s="704"/>
      <c r="F57" s="398" t="s">
        <v>743</v>
      </c>
      <c r="G57" s="565">
        <v>338</v>
      </c>
      <c r="H57" s="567">
        <v>338</v>
      </c>
      <c r="I57" s="570">
        <f t="shared" si="2"/>
        <v>0</v>
      </c>
      <c r="J57" s="55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55" customFormat="1" ht="33.6" customHeight="1">
      <c r="A58" s="553">
        <f t="shared" si="3"/>
        <v>13</v>
      </c>
      <c r="B58" s="580" t="s">
        <v>776</v>
      </c>
      <c r="C58" s="704" t="s">
        <v>747</v>
      </c>
      <c r="D58" s="704"/>
      <c r="E58" s="704"/>
      <c r="F58" s="398" t="s">
        <v>743</v>
      </c>
      <c r="G58" s="565">
        <v>5628</v>
      </c>
      <c r="H58" s="567">
        <v>4992</v>
      </c>
      <c r="I58" s="570">
        <f t="shared" si="2"/>
        <v>636</v>
      </c>
      <c r="J58" s="562" t="s">
        <v>808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55" customFormat="1" ht="33.6" customHeight="1">
      <c r="A59" s="553">
        <f t="shared" si="3"/>
        <v>14</v>
      </c>
      <c r="B59" s="580" t="s">
        <v>776</v>
      </c>
      <c r="C59" s="704" t="s">
        <v>748</v>
      </c>
      <c r="D59" s="704"/>
      <c r="E59" s="704"/>
      <c r="F59" s="398" t="s">
        <v>743</v>
      </c>
      <c r="G59" s="565">
        <v>1170</v>
      </c>
      <c r="H59" s="567">
        <v>1170</v>
      </c>
      <c r="I59" s="570">
        <f t="shared" si="2"/>
        <v>0</v>
      </c>
      <c r="J59" s="55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55" customFormat="1" ht="33.6" customHeight="1">
      <c r="A60" s="553">
        <f t="shared" si="3"/>
        <v>15</v>
      </c>
      <c r="B60" s="580" t="s">
        <v>777</v>
      </c>
      <c r="C60" s="704" t="s">
        <v>749</v>
      </c>
      <c r="D60" s="704"/>
      <c r="E60" s="704"/>
      <c r="F60" s="398" t="s">
        <v>743</v>
      </c>
      <c r="G60" s="565">
        <v>26</v>
      </c>
      <c r="H60" s="567">
        <v>26</v>
      </c>
      <c r="I60" s="570">
        <f t="shared" si="2"/>
        <v>0</v>
      </c>
      <c r="J60" s="55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55" customFormat="1" ht="33.6" customHeight="1">
      <c r="A61" s="553">
        <f t="shared" si="3"/>
        <v>16</v>
      </c>
      <c r="B61" s="580" t="s">
        <v>777</v>
      </c>
      <c r="C61" s="704" t="s">
        <v>750</v>
      </c>
      <c r="D61" s="704"/>
      <c r="E61" s="704"/>
      <c r="F61" s="398" t="s">
        <v>743</v>
      </c>
      <c r="G61" s="565">
        <v>169</v>
      </c>
      <c r="H61" s="567">
        <v>169</v>
      </c>
      <c r="I61" s="570">
        <f t="shared" si="2"/>
        <v>0</v>
      </c>
      <c r="J61" s="55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55" customFormat="1" ht="33.6" customHeight="1">
      <c r="A62" s="553">
        <f t="shared" si="3"/>
        <v>17</v>
      </c>
      <c r="B62" s="580" t="s">
        <v>777</v>
      </c>
      <c r="C62" s="704" t="s">
        <v>751</v>
      </c>
      <c r="D62" s="704"/>
      <c r="E62" s="704"/>
      <c r="F62" s="398" t="s">
        <v>743</v>
      </c>
      <c r="G62" s="565">
        <v>340</v>
      </c>
      <c r="H62" s="567">
        <v>340</v>
      </c>
      <c r="I62" s="570">
        <f t="shared" si="2"/>
        <v>0</v>
      </c>
      <c r="J62" s="55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55" customFormat="1" ht="33.6" customHeight="1">
      <c r="A63" s="553">
        <f t="shared" si="3"/>
        <v>18</v>
      </c>
      <c r="B63" s="580" t="s">
        <v>777</v>
      </c>
      <c r="C63" s="704" t="s">
        <v>752</v>
      </c>
      <c r="D63" s="704"/>
      <c r="E63" s="704"/>
      <c r="F63" s="398" t="s">
        <v>743</v>
      </c>
      <c r="G63" s="565">
        <v>88</v>
      </c>
      <c r="H63" s="567">
        <v>88</v>
      </c>
      <c r="I63" s="570">
        <f t="shared" si="2"/>
        <v>0</v>
      </c>
      <c r="J63" s="55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55" customFormat="1" ht="33.6" customHeight="1">
      <c r="A64" s="553">
        <f t="shared" si="3"/>
        <v>19</v>
      </c>
      <c r="B64" s="580" t="s">
        <v>777</v>
      </c>
      <c r="C64" s="704" t="s">
        <v>753</v>
      </c>
      <c r="D64" s="704"/>
      <c r="E64" s="704"/>
      <c r="F64" s="398" t="s">
        <v>743</v>
      </c>
      <c r="G64" s="565">
        <v>81</v>
      </c>
      <c r="H64" s="567">
        <v>81</v>
      </c>
      <c r="I64" s="570">
        <f t="shared" si="2"/>
        <v>0</v>
      </c>
      <c r="J64" s="55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55" customFormat="1" ht="33.6" customHeight="1">
      <c r="A65" s="553">
        <f t="shared" si="3"/>
        <v>20</v>
      </c>
      <c r="B65" s="580" t="s">
        <v>778</v>
      </c>
      <c r="C65" s="704" t="s">
        <v>754</v>
      </c>
      <c r="D65" s="704"/>
      <c r="E65" s="704"/>
      <c r="F65" s="398" t="s">
        <v>741</v>
      </c>
      <c r="G65" s="565">
        <v>50.48</v>
      </c>
      <c r="H65" s="566">
        <v>50.223999999999997</v>
      </c>
      <c r="I65" s="572">
        <f t="shared" si="2"/>
        <v>0.25600000000000023</v>
      </c>
      <c r="J65" s="556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55" customFormat="1" ht="33.6" customHeight="1">
      <c r="A66" s="553">
        <f t="shared" si="3"/>
        <v>21</v>
      </c>
      <c r="B66" s="580" t="s">
        <v>778</v>
      </c>
      <c r="C66" s="704" t="s">
        <v>755</v>
      </c>
      <c r="D66" s="704"/>
      <c r="E66" s="704"/>
      <c r="F66" s="398" t="s">
        <v>743</v>
      </c>
      <c r="G66" s="565">
        <v>88</v>
      </c>
      <c r="H66" s="567">
        <v>88</v>
      </c>
      <c r="I66" s="570">
        <f t="shared" si="2"/>
        <v>0</v>
      </c>
      <c r="J66" s="55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55" customFormat="1" ht="33.6" customHeight="1">
      <c r="A67" s="553">
        <f t="shared" si="3"/>
        <v>22</v>
      </c>
      <c r="B67" s="580" t="s">
        <v>778</v>
      </c>
      <c r="C67" s="704" t="s">
        <v>756</v>
      </c>
      <c r="D67" s="704"/>
      <c r="E67" s="704"/>
      <c r="F67" s="398" t="s">
        <v>744</v>
      </c>
      <c r="G67" s="565">
        <v>2</v>
      </c>
      <c r="H67" s="567">
        <v>2</v>
      </c>
      <c r="I67" s="570">
        <f t="shared" si="2"/>
        <v>0</v>
      </c>
      <c r="J67" s="55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55" customFormat="1" ht="33.6" customHeight="1">
      <c r="A68" s="553">
        <f t="shared" si="3"/>
        <v>23</v>
      </c>
      <c r="B68" s="580" t="s">
        <v>778</v>
      </c>
      <c r="C68" s="704" t="s">
        <v>757</v>
      </c>
      <c r="D68" s="704"/>
      <c r="E68" s="704"/>
      <c r="F68" s="398" t="s">
        <v>744</v>
      </c>
      <c r="G68" s="565">
        <v>11</v>
      </c>
      <c r="H68" s="567">
        <v>11</v>
      </c>
      <c r="I68" s="570">
        <f t="shared" si="2"/>
        <v>0</v>
      </c>
      <c r="J68" s="55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55" customFormat="1" ht="33.6" customHeight="1">
      <c r="A69" s="553">
        <f t="shared" si="3"/>
        <v>24</v>
      </c>
      <c r="B69" s="580" t="s">
        <v>778</v>
      </c>
      <c r="C69" s="704" t="s">
        <v>758</v>
      </c>
      <c r="D69" s="704"/>
      <c r="E69" s="704"/>
      <c r="F69" s="398" t="s">
        <v>744</v>
      </c>
      <c r="G69" s="565">
        <v>27</v>
      </c>
      <c r="H69" s="567">
        <v>27</v>
      </c>
      <c r="I69" s="570">
        <f t="shared" si="2"/>
        <v>0</v>
      </c>
      <c r="J69" s="55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55" customFormat="1" ht="43.2" customHeight="1">
      <c r="A70" s="553">
        <f t="shared" si="3"/>
        <v>25</v>
      </c>
      <c r="B70" s="580" t="s">
        <v>778</v>
      </c>
      <c r="C70" s="704" t="s">
        <v>797</v>
      </c>
      <c r="D70" s="704"/>
      <c r="E70" s="704"/>
      <c r="F70" s="398" t="s">
        <v>744</v>
      </c>
      <c r="G70" s="565">
        <v>0</v>
      </c>
      <c r="H70" s="567">
        <v>0</v>
      </c>
      <c r="I70" s="570">
        <f t="shared" si="2"/>
        <v>0</v>
      </c>
      <c r="J70" s="55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55" customFormat="1" ht="33.6" customHeight="1">
      <c r="A71" s="553">
        <f t="shared" si="3"/>
        <v>26</v>
      </c>
      <c r="B71" s="580" t="s">
        <v>778</v>
      </c>
      <c r="C71" s="704" t="s">
        <v>759</v>
      </c>
      <c r="D71" s="704"/>
      <c r="E71" s="704"/>
      <c r="F71" s="398" t="s">
        <v>743</v>
      </c>
      <c r="G71" s="565">
        <v>489</v>
      </c>
      <c r="H71" s="567">
        <v>489</v>
      </c>
      <c r="I71" s="570">
        <f t="shared" si="2"/>
        <v>0</v>
      </c>
      <c r="J71" s="562" t="s">
        <v>808</v>
      </c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55" customFormat="1" ht="33.6" customHeight="1">
      <c r="A72" s="553">
        <f t="shared" si="3"/>
        <v>27</v>
      </c>
      <c r="B72" s="580" t="s">
        <v>778</v>
      </c>
      <c r="C72" s="704" t="s">
        <v>760</v>
      </c>
      <c r="D72" s="704"/>
      <c r="E72" s="704"/>
      <c r="F72" s="398" t="s">
        <v>743</v>
      </c>
      <c r="G72" s="565">
        <v>457</v>
      </c>
      <c r="H72" s="567">
        <v>457</v>
      </c>
      <c r="I72" s="570">
        <f t="shared" si="2"/>
        <v>0</v>
      </c>
      <c r="J72" s="562" t="s">
        <v>808</v>
      </c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55" customFormat="1" ht="33.6" customHeight="1">
      <c r="A73" s="553">
        <f t="shared" si="3"/>
        <v>28</v>
      </c>
      <c r="B73" s="580" t="s">
        <v>778</v>
      </c>
      <c r="C73" s="704" t="s">
        <v>761</v>
      </c>
      <c r="D73" s="704"/>
      <c r="E73" s="704"/>
      <c r="F73" s="398" t="s">
        <v>743</v>
      </c>
      <c r="G73" s="565">
        <v>13</v>
      </c>
      <c r="H73" s="567">
        <v>13</v>
      </c>
      <c r="I73" s="570">
        <f t="shared" si="2"/>
        <v>0</v>
      </c>
      <c r="J73" s="55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55" customFormat="1" ht="33.6" customHeight="1">
      <c r="A74" s="553">
        <f t="shared" si="3"/>
        <v>29</v>
      </c>
      <c r="B74" s="580" t="s">
        <v>779</v>
      </c>
      <c r="C74" s="704" t="s">
        <v>796</v>
      </c>
      <c r="D74" s="704"/>
      <c r="E74" s="704"/>
      <c r="F74" s="398" t="s">
        <v>743</v>
      </c>
      <c r="G74" s="565">
        <v>0</v>
      </c>
      <c r="H74" s="567">
        <v>0</v>
      </c>
      <c r="I74" s="570">
        <f t="shared" si="2"/>
        <v>0</v>
      </c>
      <c r="J74" s="55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55" customFormat="1" ht="39.6" customHeight="1">
      <c r="A75" s="553">
        <f t="shared" si="3"/>
        <v>30</v>
      </c>
      <c r="B75" s="580" t="s">
        <v>779</v>
      </c>
      <c r="C75" s="704" t="s">
        <v>795</v>
      </c>
      <c r="D75" s="704"/>
      <c r="E75" s="704"/>
      <c r="F75" s="398" t="s">
        <v>743</v>
      </c>
      <c r="G75" s="565">
        <v>7</v>
      </c>
      <c r="H75" s="567">
        <v>0</v>
      </c>
      <c r="I75" s="570">
        <f t="shared" si="2"/>
        <v>7</v>
      </c>
      <c r="J75" s="562" t="s">
        <v>808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55" customFormat="1" ht="33.6" customHeight="1">
      <c r="A76" s="553">
        <f t="shared" si="3"/>
        <v>31</v>
      </c>
      <c r="B76" s="580" t="s">
        <v>780</v>
      </c>
      <c r="C76" s="704" t="s">
        <v>762</v>
      </c>
      <c r="D76" s="704"/>
      <c r="E76" s="704"/>
      <c r="F76" s="398" t="s">
        <v>743</v>
      </c>
      <c r="G76" s="565">
        <v>127</v>
      </c>
      <c r="H76" s="567">
        <v>127</v>
      </c>
      <c r="I76" s="570">
        <f t="shared" si="2"/>
        <v>0</v>
      </c>
      <c r="J76" s="55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55" customFormat="1" ht="33.6" customHeight="1">
      <c r="A77" s="553">
        <f t="shared" si="3"/>
        <v>32</v>
      </c>
      <c r="B77" s="580" t="s">
        <v>780</v>
      </c>
      <c r="C77" s="704" t="s">
        <v>763</v>
      </c>
      <c r="D77" s="704"/>
      <c r="E77" s="704"/>
      <c r="F77" s="398" t="s">
        <v>743</v>
      </c>
      <c r="G77" s="565">
        <v>127</v>
      </c>
      <c r="H77" s="567">
        <v>127</v>
      </c>
      <c r="I77" s="570">
        <f t="shared" si="2"/>
        <v>0</v>
      </c>
      <c r="J77" s="55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55" customFormat="1" ht="33.6" customHeight="1">
      <c r="A78" s="553">
        <f t="shared" si="3"/>
        <v>33</v>
      </c>
      <c r="B78" s="580" t="s">
        <v>780</v>
      </c>
      <c r="C78" s="704" t="s">
        <v>764</v>
      </c>
      <c r="D78" s="704"/>
      <c r="E78" s="704"/>
      <c r="F78" s="398" t="s">
        <v>744</v>
      </c>
      <c r="G78" s="565">
        <v>254</v>
      </c>
      <c r="H78" s="567">
        <v>254</v>
      </c>
      <c r="I78" s="570">
        <f t="shared" si="2"/>
        <v>0</v>
      </c>
      <c r="J78" s="55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55" customFormat="1" ht="33.6" customHeight="1">
      <c r="A79" s="553">
        <f t="shared" si="3"/>
        <v>34</v>
      </c>
      <c r="B79" s="580" t="s">
        <v>780</v>
      </c>
      <c r="C79" s="704" t="s">
        <v>765</v>
      </c>
      <c r="D79" s="704"/>
      <c r="E79" s="704"/>
      <c r="F79" s="398" t="s">
        <v>744</v>
      </c>
      <c r="G79" s="565">
        <v>127</v>
      </c>
      <c r="H79" s="567">
        <v>127</v>
      </c>
      <c r="I79" s="570">
        <f t="shared" si="2"/>
        <v>0</v>
      </c>
      <c r="J79" s="55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55" customFormat="1" ht="33.6" customHeight="1">
      <c r="A80" s="553">
        <f t="shared" si="3"/>
        <v>35</v>
      </c>
      <c r="B80" s="580" t="s">
        <v>780</v>
      </c>
      <c r="C80" s="704" t="s">
        <v>766</v>
      </c>
      <c r="D80" s="704"/>
      <c r="E80" s="704"/>
      <c r="F80" s="398" t="s">
        <v>744</v>
      </c>
      <c r="G80" s="565">
        <v>127</v>
      </c>
      <c r="H80" s="567">
        <v>127</v>
      </c>
      <c r="I80" s="570">
        <f t="shared" si="2"/>
        <v>0</v>
      </c>
      <c r="J80" s="55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55" customFormat="1" ht="33.6" customHeight="1" thickBot="1">
      <c r="A81" s="557">
        <f t="shared" ref="A81" si="4">A80+1</f>
        <v>36</v>
      </c>
      <c r="B81" s="581" t="s">
        <v>780</v>
      </c>
      <c r="C81" s="705" t="s">
        <v>767</v>
      </c>
      <c r="D81" s="705"/>
      <c r="E81" s="705"/>
      <c r="F81" s="546" t="s">
        <v>744</v>
      </c>
      <c r="G81" s="568">
        <v>176</v>
      </c>
      <c r="H81" s="569">
        <v>176</v>
      </c>
      <c r="I81" s="573">
        <f t="shared" si="2"/>
        <v>0</v>
      </c>
      <c r="J81" s="558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55" customFormat="1">
      <c r="B82" s="559"/>
      <c r="C82" s="560"/>
      <c r="D82" s="561"/>
      <c r="E82" s="561"/>
      <c r="F82" s="561"/>
      <c r="G82" s="561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</sheetData>
  <mergeCells count="83">
    <mergeCell ref="B42:J42"/>
    <mergeCell ref="D36:E36"/>
    <mergeCell ref="F36:G36"/>
    <mergeCell ref="H36:I36"/>
    <mergeCell ref="J36:K36"/>
    <mergeCell ref="C45:E45"/>
    <mergeCell ref="C46:E46"/>
    <mergeCell ref="C51:E51"/>
    <mergeCell ref="C50:E50"/>
    <mergeCell ref="C49:E49"/>
    <mergeCell ref="C48:E48"/>
    <mergeCell ref="C47:E47"/>
    <mergeCell ref="C76:E76"/>
    <mergeCell ref="C81:E81"/>
    <mergeCell ref="C80:E80"/>
    <mergeCell ref="C79:E79"/>
    <mergeCell ref="C78:E78"/>
    <mergeCell ref="C77:E77"/>
    <mergeCell ref="C72:E72"/>
    <mergeCell ref="C71:E71"/>
    <mergeCell ref="C75:E75"/>
    <mergeCell ref="C74:E74"/>
    <mergeCell ref="C73:E73"/>
    <mergeCell ref="C70:E70"/>
    <mergeCell ref="C69:E69"/>
    <mergeCell ref="C59:E59"/>
    <mergeCell ref="C58:E58"/>
    <mergeCell ref="C57:E57"/>
    <mergeCell ref="C65:E65"/>
    <mergeCell ref="C64:E64"/>
    <mergeCell ref="C68:E68"/>
    <mergeCell ref="C67:E67"/>
    <mergeCell ref="C66:E66"/>
    <mergeCell ref="C54:E54"/>
    <mergeCell ref="C53:E53"/>
    <mergeCell ref="C52:E52"/>
    <mergeCell ref="C63:E63"/>
    <mergeCell ref="C62:E62"/>
    <mergeCell ref="C61:E61"/>
    <mergeCell ref="C60:E60"/>
    <mergeCell ref="C56:E56"/>
    <mergeCell ref="C55:E55"/>
    <mergeCell ref="B39:G39"/>
    <mergeCell ref="F27:G27"/>
    <mergeCell ref="D28:E28"/>
    <mergeCell ref="A1:A4"/>
    <mergeCell ref="C2:E2"/>
    <mergeCell ref="C3:E3"/>
    <mergeCell ref="C4:E4"/>
    <mergeCell ref="A19:O19"/>
    <mergeCell ref="A8:L8"/>
    <mergeCell ref="M15:N15"/>
    <mergeCell ref="A14:N14"/>
    <mergeCell ref="F30:G30"/>
    <mergeCell ref="M16:N16"/>
    <mergeCell ref="M17:N17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A32:K32"/>
    <mergeCell ref="A26:I26"/>
    <mergeCell ref="A44:J44"/>
    <mergeCell ref="B40:J40"/>
    <mergeCell ref="B41:J41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J33:K33"/>
    <mergeCell ref="J34:K34"/>
    <mergeCell ref="J35:K35"/>
  </mergeCells>
  <phoneticPr fontId="93" type="noConversion"/>
  <conditionalFormatting sqref="D37:D38 C10:K11 D43 D82:D154">
    <cfRule type="cellIs" dxfId="61" priority="6" stopIfTrue="1" operator="greaterThan">
      <formula>600</formula>
    </cfRule>
  </conditionalFormatting>
  <conditionalFormatting sqref="D13">
    <cfRule type="cellIs" dxfId="60" priority="7" stopIfTrue="1" operator="greaterThan">
      <formula>600</formula>
    </cfRule>
  </conditionalFormatting>
  <conditionalFormatting sqref="D16:D18">
    <cfRule type="cellIs" dxfId="59" priority="3" stopIfTrue="1" operator="greaterThan">
      <formula>600</formula>
    </cfRule>
  </conditionalFormatting>
  <conditionalFormatting sqref="D25">
    <cfRule type="cellIs" dxfId="58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5"/>
  <sheetViews>
    <sheetView view="pageBreakPreview" topLeftCell="A220" zoomScale="65" zoomScaleNormal="70" zoomScaleSheetLayoutView="40" workbookViewId="0">
      <selection activeCell="F224" sqref="F224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1.44140625" customWidth="1"/>
    <col min="15" max="15" width="11.5546875" customWidth="1"/>
    <col min="16" max="16" width="37.77734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32" t="s">
        <v>370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4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6"/>
      <c r="P2" s="167"/>
    </row>
    <row r="3" spans="1:16" s="164" customFormat="1" ht="30.6" customHeight="1" thickTop="1" thickBot="1">
      <c r="A3" s="383" t="s">
        <v>381</v>
      </c>
      <c r="B3" s="383" t="s">
        <v>382</v>
      </c>
      <c r="C3" s="384">
        <v>127</v>
      </c>
      <c r="D3" s="384">
        <v>127</v>
      </c>
      <c r="E3" s="384">
        <v>127</v>
      </c>
      <c r="F3" s="384">
        <f>C3-D3</f>
        <v>0</v>
      </c>
      <c r="G3" s="384">
        <v>0</v>
      </c>
      <c r="H3" s="384">
        <v>0</v>
      </c>
      <c r="I3" s="384">
        <v>0</v>
      </c>
      <c r="J3" s="384">
        <f>E3+I3</f>
        <v>127</v>
      </c>
      <c r="K3" s="384">
        <f>D3+G3-J3</f>
        <v>0</v>
      </c>
      <c r="L3" s="444"/>
      <c r="M3" s="177"/>
      <c r="O3" s="167"/>
      <c r="P3" s="167"/>
    </row>
    <row r="4" spans="1:16" s="164" customFormat="1" ht="43.95" customHeight="1" thickTop="1" thickBot="1">
      <c r="A4" s="383" t="s">
        <v>10</v>
      </c>
      <c r="B4" s="383" t="s">
        <v>382</v>
      </c>
      <c r="C4" s="384">
        <v>127</v>
      </c>
      <c r="D4" s="384">
        <v>127</v>
      </c>
      <c r="E4" s="384">
        <v>122</v>
      </c>
      <c r="F4" s="384">
        <f>C4-D4</f>
        <v>0</v>
      </c>
      <c r="G4" s="384">
        <v>0</v>
      </c>
      <c r="H4" s="384">
        <v>5</v>
      </c>
      <c r="I4" s="384">
        <v>5</v>
      </c>
      <c r="J4" s="384">
        <v>127</v>
      </c>
      <c r="K4" s="384">
        <f>D4+G4-J4</f>
        <v>0</v>
      </c>
      <c r="L4" s="444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41" t="s">
        <v>383</v>
      </c>
      <c r="B7" s="742"/>
      <c r="C7" s="742"/>
      <c r="D7" s="742"/>
      <c r="E7" s="742"/>
      <c r="F7" s="742"/>
      <c r="G7" s="742"/>
      <c r="H7" s="742"/>
      <c r="I7" s="742"/>
      <c r="J7" s="742"/>
      <c r="K7" s="742"/>
      <c r="L7" s="742"/>
      <c r="M7" s="742"/>
      <c r="N7" s="743"/>
      <c r="O7" s="167"/>
      <c r="P7" s="167"/>
    </row>
    <row r="8" spans="1:16" s="164" customFormat="1" ht="43.2" customHeight="1" thickBot="1">
      <c r="A8" s="355" t="s">
        <v>371</v>
      </c>
      <c r="B8" s="355" t="s">
        <v>372</v>
      </c>
      <c r="C8" s="355" t="s">
        <v>373</v>
      </c>
      <c r="D8" s="355" t="s">
        <v>374</v>
      </c>
      <c r="E8" s="355" t="s">
        <v>384</v>
      </c>
      <c r="F8" s="355" t="s">
        <v>385</v>
      </c>
      <c r="G8" s="355" t="s">
        <v>386</v>
      </c>
      <c r="H8" s="355" t="s">
        <v>387</v>
      </c>
      <c r="I8" s="355" t="s">
        <v>388</v>
      </c>
      <c r="J8" s="355" t="s">
        <v>389</v>
      </c>
      <c r="K8" s="355" t="s">
        <v>390</v>
      </c>
      <c r="L8" s="356" t="s">
        <v>391</v>
      </c>
      <c r="M8" s="744" t="s">
        <v>113</v>
      </c>
      <c r="N8" s="745"/>
      <c r="O8" s="167"/>
      <c r="P8" s="167"/>
    </row>
    <row r="9" spans="1:16" s="164" customFormat="1" ht="66.599999999999994" customHeight="1" thickTop="1" thickBot="1">
      <c r="A9" s="379" t="s">
        <v>392</v>
      </c>
      <c r="B9" s="379" t="s">
        <v>393</v>
      </c>
      <c r="C9" s="380">
        <v>47.84</v>
      </c>
      <c r="D9" s="381">
        <v>47.84</v>
      </c>
      <c r="E9" s="382">
        <v>47.84</v>
      </c>
      <c r="F9" s="382">
        <f>43.9+3.94</f>
        <v>47.839999999999996</v>
      </c>
      <c r="G9" s="380">
        <v>0</v>
      </c>
      <c r="H9" s="380">
        <v>0</v>
      </c>
      <c r="I9" s="380">
        <v>0</v>
      </c>
      <c r="J9" s="381">
        <v>0</v>
      </c>
      <c r="K9" s="382">
        <v>0</v>
      </c>
      <c r="L9" s="382">
        <f>E9+K9</f>
        <v>47.84</v>
      </c>
      <c r="M9" s="677"/>
      <c r="N9" s="678"/>
      <c r="O9" s="166"/>
    </row>
    <row r="10" spans="1:16" s="164" customFormat="1" ht="39.6" customHeight="1" thickTop="1" thickBot="1">
      <c r="A10" s="379" t="s">
        <v>237</v>
      </c>
      <c r="B10" s="379" t="s">
        <v>393</v>
      </c>
      <c r="C10" s="380">
        <v>47.84</v>
      </c>
      <c r="D10" s="381">
        <v>47.84</v>
      </c>
      <c r="E10" s="382">
        <v>47.84</v>
      </c>
      <c r="F10" s="382">
        <f>43.9+3.94</f>
        <v>47.839999999999996</v>
      </c>
      <c r="G10" s="380">
        <v>0</v>
      </c>
      <c r="H10" s="380">
        <v>0</v>
      </c>
      <c r="I10" s="380">
        <v>0</v>
      </c>
      <c r="J10" s="381">
        <v>0</v>
      </c>
      <c r="K10" s="382">
        <v>0</v>
      </c>
      <c r="L10" s="382">
        <f>E10+K10</f>
        <v>47.84</v>
      </c>
      <c r="M10" s="677"/>
      <c r="N10" s="678"/>
    </row>
    <row r="11" spans="1:16" ht="21" customHeight="1" thickTop="1">
      <c r="A11" s="740" t="s">
        <v>101</v>
      </c>
      <c r="B11" s="740"/>
      <c r="C11" s="740"/>
      <c r="D11" s="740"/>
      <c r="E11" s="740"/>
      <c r="F11" s="740"/>
      <c r="G11" s="740"/>
      <c r="H11" s="740"/>
      <c r="I11" s="740"/>
      <c r="J11" s="740"/>
      <c r="K11" s="740"/>
      <c r="L11" s="740"/>
      <c r="M11" s="740"/>
      <c r="N11" s="740"/>
      <c r="O11" s="740"/>
      <c r="P11" s="740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37" t="s">
        <v>112</v>
      </c>
      <c r="H12" s="738"/>
      <c r="I12" s="738"/>
      <c r="J12" s="739"/>
      <c r="K12" s="162" t="s">
        <v>397</v>
      </c>
      <c r="L12" s="162" t="s">
        <v>398</v>
      </c>
      <c r="M12" s="162" t="s">
        <v>399</v>
      </c>
      <c r="N12" s="737" t="s">
        <v>400</v>
      </c>
      <c r="O12" s="738"/>
      <c r="P12" s="739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35" t="s">
        <v>402</v>
      </c>
      <c r="H13" s="736"/>
      <c r="I13" s="736"/>
      <c r="J13" s="736"/>
      <c r="K13" s="180">
        <v>45465</v>
      </c>
      <c r="L13" s="182" t="s">
        <v>446</v>
      </c>
      <c r="M13" s="178"/>
      <c r="N13" s="726"/>
      <c r="O13" s="726"/>
      <c r="P13" s="726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35" t="s">
        <v>402</v>
      </c>
      <c r="H14" s="736"/>
      <c r="I14" s="736"/>
      <c r="J14" s="736"/>
      <c r="K14" s="180">
        <v>45472</v>
      </c>
      <c r="L14" s="182" t="s">
        <v>446</v>
      </c>
      <c r="M14" s="178"/>
      <c r="N14" s="726"/>
      <c r="O14" s="726"/>
      <c r="P14" s="726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35" t="s">
        <v>402</v>
      </c>
      <c r="H15" s="736"/>
      <c r="I15" s="736"/>
      <c r="J15" s="736"/>
      <c r="K15" s="180">
        <v>45484</v>
      </c>
      <c r="L15" s="182" t="s">
        <v>446</v>
      </c>
      <c r="M15" s="178"/>
      <c r="N15" s="726"/>
      <c r="O15" s="726"/>
      <c r="P15" s="726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35" t="s">
        <v>402</v>
      </c>
      <c r="H16" s="736"/>
      <c r="I16" s="736"/>
      <c r="J16" s="736"/>
      <c r="K16" s="184">
        <v>45489</v>
      </c>
      <c r="L16" s="182" t="s">
        <v>447</v>
      </c>
      <c r="M16" s="182"/>
      <c r="N16" s="726"/>
      <c r="O16" s="726"/>
      <c r="P16" s="726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35" t="s">
        <v>402</v>
      </c>
      <c r="H17" s="736"/>
      <c r="I17" s="736"/>
      <c r="J17" s="736"/>
      <c r="K17" s="184">
        <v>45489</v>
      </c>
      <c r="L17" s="182" t="s">
        <v>443</v>
      </c>
      <c r="M17" s="182"/>
      <c r="N17" s="726"/>
      <c r="O17" s="726"/>
      <c r="P17" s="726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35" t="s">
        <v>402</v>
      </c>
      <c r="H18" s="736"/>
      <c r="I18" s="736"/>
      <c r="J18" s="736"/>
      <c r="K18" s="184">
        <v>45496</v>
      </c>
      <c r="L18" s="182" t="s">
        <v>449</v>
      </c>
      <c r="M18" s="182"/>
      <c r="N18" s="726"/>
      <c r="O18" s="726"/>
      <c r="P18" s="726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35" t="s">
        <v>402</v>
      </c>
      <c r="H19" s="736"/>
      <c r="I19" s="736"/>
      <c r="J19" s="736"/>
      <c r="K19" s="184">
        <v>45485</v>
      </c>
      <c r="L19" s="182" t="s">
        <v>443</v>
      </c>
      <c r="M19" s="182"/>
      <c r="N19" s="726"/>
      <c r="O19" s="726"/>
      <c r="P19" s="726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35" t="s">
        <v>402</v>
      </c>
      <c r="H20" s="736"/>
      <c r="I20" s="736"/>
      <c r="J20" s="736"/>
      <c r="K20" s="184">
        <v>45496</v>
      </c>
      <c r="L20" s="182" t="s">
        <v>443</v>
      </c>
      <c r="M20" s="182"/>
      <c r="N20" s="726"/>
      <c r="O20" s="726"/>
      <c r="P20" s="726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35" t="s">
        <v>402</v>
      </c>
      <c r="H21" s="736"/>
      <c r="I21" s="736"/>
      <c r="J21" s="736"/>
      <c r="K21" s="184">
        <v>45499</v>
      </c>
      <c r="L21" s="182" t="s">
        <v>450</v>
      </c>
      <c r="M21" s="182"/>
      <c r="N21" s="726"/>
      <c r="O21" s="726"/>
      <c r="P21" s="726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35" t="s">
        <v>402</v>
      </c>
      <c r="H22" s="736"/>
      <c r="I22" s="736"/>
      <c r="J22" s="736"/>
      <c r="K22" s="184">
        <v>45504</v>
      </c>
      <c r="L22" s="182" t="s">
        <v>451</v>
      </c>
      <c r="M22" s="182"/>
      <c r="N22" s="726"/>
      <c r="O22" s="726"/>
      <c r="P22" s="726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723" t="s">
        <v>402</v>
      </c>
      <c r="H23" s="724"/>
      <c r="I23" s="724"/>
      <c r="J23" s="724"/>
      <c r="K23" s="184">
        <v>45515</v>
      </c>
      <c r="L23" s="182" t="s">
        <v>450</v>
      </c>
      <c r="M23" s="182"/>
      <c r="N23" s="746"/>
      <c r="O23" s="726"/>
      <c r="P23" s="726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23" t="s">
        <v>402</v>
      </c>
      <c r="H24" s="724"/>
      <c r="I24" s="724"/>
      <c r="J24" s="724"/>
      <c r="K24" s="184">
        <v>45510</v>
      </c>
      <c r="L24" s="182" t="s">
        <v>450</v>
      </c>
      <c r="M24" s="182"/>
      <c r="N24" s="726"/>
      <c r="O24" s="726"/>
      <c r="P24" s="726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723" t="s">
        <v>402</v>
      </c>
      <c r="H25" s="724"/>
      <c r="I25" s="724"/>
      <c r="J25" s="724"/>
      <c r="K25" s="184">
        <v>45507</v>
      </c>
      <c r="L25" s="182" t="s">
        <v>451</v>
      </c>
      <c r="M25" s="182"/>
      <c r="N25" s="726"/>
      <c r="O25" s="726"/>
      <c r="P25" s="726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723" t="s">
        <v>402</v>
      </c>
      <c r="H26" s="724"/>
      <c r="I26" s="724"/>
      <c r="J26" s="724"/>
      <c r="K26" s="184">
        <v>45506</v>
      </c>
      <c r="L26" s="182" t="s">
        <v>449</v>
      </c>
      <c r="M26" s="182"/>
      <c r="N26" s="726"/>
      <c r="O26" s="726"/>
      <c r="P26" s="726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723" t="s">
        <v>402</v>
      </c>
      <c r="H27" s="724"/>
      <c r="I27" s="724"/>
      <c r="J27" s="724"/>
      <c r="K27" s="184">
        <v>45514</v>
      </c>
      <c r="L27" s="182" t="s">
        <v>451</v>
      </c>
      <c r="M27" s="182"/>
      <c r="N27" s="726"/>
      <c r="O27" s="726"/>
      <c r="P27" s="726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723" t="s">
        <v>402</v>
      </c>
      <c r="H28" s="724"/>
      <c r="I28" s="724"/>
      <c r="J28" s="724"/>
      <c r="K28" s="184">
        <v>45514</v>
      </c>
      <c r="L28" s="182" t="s">
        <v>449</v>
      </c>
      <c r="M28" s="182"/>
      <c r="N28" s="726"/>
      <c r="O28" s="726"/>
      <c r="P28" s="726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723" t="s">
        <v>402</v>
      </c>
      <c r="H29" s="724"/>
      <c r="I29" s="724"/>
      <c r="J29" s="724"/>
      <c r="K29" s="184">
        <v>45530</v>
      </c>
      <c r="L29" s="182" t="s">
        <v>451</v>
      </c>
      <c r="M29" s="182"/>
      <c r="N29" s="726"/>
      <c r="O29" s="726"/>
      <c r="P29" s="726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23" t="s">
        <v>402</v>
      </c>
      <c r="H30" s="724"/>
      <c r="I30" s="724"/>
      <c r="J30" s="724"/>
      <c r="K30" s="184">
        <v>45525</v>
      </c>
      <c r="L30" s="182" t="s">
        <v>450</v>
      </c>
      <c r="M30" s="182"/>
      <c r="N30" s="726"/>
      <c r="O30" s="726"/>
      <c r="P30" s="726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723" t="s">
        <v>402</v>
      </c>
      <c r="H31" s="724"/>
      <c r="I31" s="724"/>
      <c r="J31" s="724"/>
      <c r="K31" s="184">
        <v>45531</v>
      </c>
      <c r="L31" s="182" t="s">
        <v>450</v>
      </c>
      <c r="M31" s="182"/>
      <c r="N31" s="726"/>
      <c r="O31" s="726"/>
      <c r="P31" s="726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2" t="s">
        <v>686</v>
      </c>
      <c r="F32" s="185">
        <v>11.42</v>
      </c>
      <c r="G32" s="723" t="s">
        <v>402</v>
      </c>
      <c r="H32" s="724"/>
      <c r="I32" s="724"/>
      <c r="J32" s="724"/>
      <c r="K32" s="184">
        <v>45843</v>
      </c>
      <c r="L32" s="182" t="s">
        <v>599</v>
      </c>
      <c r="M32" s="182"/>
      <c r="N32" s="722"/>
      <c r="O32" s="722"/>
      <c r="P32" s="722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23" t="s">
        <v>402</v>
      </c>
      <c r="H33" s="724"/>
      <c r="I33" s="724"/>
      <c r="J33" s="724"/>
      <c r="K33" s="184">
        <v>45544</v>
      </c>
      <c r="L33" s="182" t="s">
        <v>451</v>
      </c>
      <c r="M33" s="182"/>
      <c r="N33" s="726"/>
      <c r="O33" s="726"/>
      <c r="P33" s="726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723" t="s">
        <v>402</v>
      </c>
      <c r="H34" s="724"/>
      <c r="I34" s="724"/>
      <c r="J34" s="724"/>
      <c r="K34" s="184">
        <v>45538</v>
      </c>
      <c r="L34" s="184" t="s">
        <v>450</v>
      </c>
      <c r="M34" s="182"/>
      <c r="N34" s="726"/>
      <c r="O34" s="726"/>
      <c r="P34" s="726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723" t="s">
        <v>402</v>
      </c>
      <c r="H35" s="724"/>
      <c r="I35" s="724"/>
      <c r="J35" s="724"/>
      <c r="K35" s="184">
        <v>45545</v>
      </c>
      <c r="L35" s="182" t="s">
        <v>450</v>
      </c>
      <c r="M35" s="182"/>
      <c r="N35" s="726"/>
      <c r="O35" s="726"/>
      <c r="P35" s="726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23" t="s">
        <v>402</v>
      </c>
      <c r="H36" s="724"/>
      <c r="I36" s="724"/>
      <c r="J36" s="724"/>
      <c r="K36" s="184">
        <v>45543</v>
      </c>
      <c r="L36" s="182" t="s">
        <v>475</v>
      </c>
      <c r="M36" s="182"/>
      <c r="N36" s="726"/>
      <c r="O36" s="726"/>
      <c r="P36" s="726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723" t="s">
        <v>402</v>
      </c>
      <c r="H37" s="724"/>
      <c r="I37" s="724"/>
      <c r="J37" s="724"/>
      <c r="K37" s="184">
        <v>45547</v>
      </c>
      <c r="L37" s="182" t="s">
        <v>475</v>
      </c>
      <c r="M37" s="182"/>
      <c r="N37" s="726"/>
      <c r="O37" s="726"/>
      <c r="P37" s="726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23" t="s">
        <v>402</v>
      </c>
      <c r="H38" s="724"/>
      <c r="I38" s="724"/>
      <c r="J38" s="724"/>
      <c r="K38" s="184">
        <v>45551</v>
      </c>
      <c r="L38" s="182" t="s">
        <v>475</v>
      </c>
      <c r="M38" s="182"/>
      <c r="N38" s="726"/>
      <c r="O38" s="726"/>
      <c r="P38" s="726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723" t="s">
        <v>402</v>
      </c>
      <c r="H39" s="724"/>
      <c r="I39" s="724"/>
      <c r="J39" s="724"/>
      <c r="K39" s="184">
        <v>45554</v>
      </c>
      <c r="L39" s="182" t="s">
        <v>475</v>
      </c>
      <c r="M39" s="182"/>
      <c r="N39" s="726"/>
      <c r="O39" s="726"/>
      <c r="P39" s="726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23" t="s">
        <v>402</v>
      </c>
      <c r="H40" s="724"/>
      <c r="I40" s="724"/>
      <c r="J40" s="724"/>
      <c r="K40" s="184">
        <v>45680</v>
      </c>
      <c r="L40" s="182" t="s">
        <v>592</v>
      </c>
      <c r="M40" s="182"/>
      <c r="N40" s="722"/>
      <c r="O40" s="722"/>
      <c r="P40" s="722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23" t="s">
        <v>402</v>
      </c>
      <c r="H41" s="724"/>
      <c r="I41" s="724"/>
      <c r="J41" s="724"/>
      <c r="K41" s="184">
        <v>45563</v>
      </c>
      <c r="L41" s="182" t="s">
        <v>475</v>
      </c>
      <c r="M41" s="182"/>
      <c r="N41" s="722"/>
      <c r="O41" s="722"/>
      <c r="P41" s="722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23" t="s">
        <v>402</v>
      </c>
      <c r="H42" s="724"/>
      <c r="I42" s="724"/>
      <c r="J42" s="724"/>
      <c r="K42" s="184">
        <v>45576</v>
      </c>
      <c r="L42" s="182" t="s">
        <v>475</v>
      </c>
      <c r="M42" s="182"/>
      <c r="N42" s="722"/>
      <c r="O42" s="722"/>
      <c r="P42" s="722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723" t="s">
        <v>402</v>
      </c>
      <c r="H43" s="724"/>
      <c r="I43" s="724"/>
      <c r="J43" s="724"/>
      <c r="K43" s="184">
        <v>45568</v>
      </c>
      <c r="L43" s="182" t="s">
        <v>475</v>
      </c>
      <c r="M43" s="182"/>
      <c r="N43" s="722"/>
      <c r="O43" s="722"/>
      <c r="P43" s="722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23" t="s">
        <v>402</v>
      </c>
      <c r="H44" s="724"/>
      <c r="I44" s="724"/>
      <c r="J44" s="724"/>
      <c r="K44" s="184">
        <v>45615</v>
      </c>
      <c r="L44" s="182" t="s">
        <v>492</v>
      </c>
      <c r="M44" s="182"/>
      <c r="N44" s="722"/>
      <c r="O44" s="722"/>
      <c r="P44" s="722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723" t="s">
        <v>402</v>
      </c>
      <c r="H45" s="724"/>
      <c r="I45" s="724"/>
      <c r="J45" s="724"/>
      <c r="K45" s="184">
        <v>45607</v>
      </c>
      <c r="L45" s="182" t="s">
        <v>495</v>
      </c>
      <c r="M45" s="182"/>
      <c r="N45" s="722"/>
      <c r="O45" s="722"/>
      <c r="P45" s="722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723" t="s">
        <v>402</v>
      </c>
      <c r="H46" s="724"/>
      <c r="I46" s="724"/>
      <c r="J46" s="724"/>
      <c r="K46" s="184">
        <v>45584</v>
      </c>
      <c r="L46" s="182" t="s">
        <v>475</v>
      </c>
      <c r="M46" s="182"/>
      <c r="N46" s="272"/>
      <c r="O46" s="272"/>
      <c r="P46" s="272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723" t="s">
        <v>402</v>
      </c>
      <c r="H47" s="724"/>
      <c r="I47" s="724"/>
      <c r="J47" s="724"/>
      <c r="K47" s="184">
        <v>45594</v>
      </c>
      <c r="L47" s="182" t="s">
        <v>491</v>
      </c>
      <c r="M47" s="182"/>
      <c r="N47" s="726"/>
      <c r="O47" s="726"/>
      <c r="P47" s="726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723" t="s">
        <v>402</v>
      </c>
      <c r="H48" s="724"/>
      <c r="I48" s="724"/>
      <c r="J48" s="724"/>
      <c r="K48" s="184">
        <v>45600</v>
      </c>
      <c r="L48" s="182" t="s">
        <v>492</v>
      </c>
      <c r="M48" s="182"/>
      <c r="N48" s="726"/>
      <c r="O48" s="726"/>
      <c r="P48" s="726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723" t="s">
        <v>402</v>
      </c>
      <c r="H49" s="724"/>
      <c r="I49" s="724"/>
      <c r="J49" s="724"/>
      <c r="K49" s="184">
        <v>45618</v>
      </c>
      <c r="L49" s="182" t="s">
        <v>498</v>
      </c>
      <c r="M49" s="182"/>
      <c r="N49" s="722"/>
      <c r="O49" s="722"/>
      <c r="P49" s="722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723" t="s">
        <v>402</v>
      </c>
      <c r="H50" s="724"/>
      <c r="I50" s="724"/>
      <c r="J50" s="724"/>
      <c r="K50" s="184">
        <v>45623</v>
      </c>
      <c r="L50" s="182" t="s">
        <v>491</v>
      </c>
      <c r="M50" s="182"/>
      <c r="N50" s="722"/>
      <c r="O50" s="722"/>
      <c r="P50" s="722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23" t="s">
        <v>402</v>
      </c>
      <c r="H51" s="724"/>
      <c r="I51" s="724"/>
      <c r="J51" s="724"/>
      <c r="K51" s="184">
        <v>45652</v>
      </c>
      <c r="L51" s="182" t="s">
        <v>491</v>
      </c>
      <c r="M51" s="182"/>
      <c r="N51" s="722"/>
      <c r="O51" s="722"/>
      <c r="P51" s="722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723" t="s">
        <v>402</v>
      </c>
      <c r="H52" s="724"/>
      <c r="I52" s="724"/>
      <c r="J52" s="724"/>
      <c r="K52" s="184">
        <v>45698</v>
      </c>
      <c r="L52" s="182" t="s">
        <v>599</v>
      </c>
      <c r="M52" s="182"/>
      <c r="N52" s="722"/>
      <c r="O52" s="722"/>
      <c r="P52" s="722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23" t="s">
        <v>402</v>
      </c>
      <c r="H53" s="724"/>
      <c r="I53" s="724"/>
      <c r="J53" s="724"/>
      <c r="K53" s="184">
        <v>45650</v>
      </c>
      <c r="L53" s="182" t="s">
        <v>498</v>
      </c>
      <c r="M53" s="182"/>
      <c r="N53" s="722"/>
      <c r="O53" s="722"/>
      <c r="P53" s="722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723" t="s">
        <v>402</v>
      </c>
      <c r="H54" s="724"/>
      <c r="I54" s="724"/>
      <c r="J54" s="724"/>
      <c r="K54" s="184">
        <v>45631</v>
      </c>
      <c r="L54" s="182" t="s">
        <v>498</v>
      </c>
      <c r="M54" s="182"/>
      <c r="N54" s="722"/>
      <c r="O54" s="722"/>
      <c r="P54" s="722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723" t="s">
        <v>402</v>
      </c>
      <c r="H55" s="724"/>
      <c r="I55" s="724"/>
      <c r="J55" s="724"/>
      <c r="K55" s="184">
        <v>45644</v>
      </c>
      <c r="L55" s="182" t="s">
        <v>491</v>
      </c>
      <c r="M55" s="182"/>
      <c r="N55" s="722"/>
      <c r="O55" s="722"/>
      <c r="P55" s="722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723" t="s">
        <v>402</v>
      </c>
      <c r="H56" s="724"/>
      <c r="I56" s="724"/>
      <c r="J56" s="724"/>
      <c r="K56" s="184">
        <v>45646</v>
      </c>
      <c r="L56" s="182" t="s">
        <v>491</v>
      </c>
      <c r="M56" s="182"/>
      <c r="N56" s="722"/>
      <c r="O56" s="722"/>
      <c r="P56" s="722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723" t="s">
        <v>402</v>
      </c>
      <c r="H57" s="724"/>
      <c r="I57" s="724"/>
      <c r="J57" s="724"/>
      <c r="K57" s="184">
        <v>45656</v>
      </c>
      <c r="L57" s="182" t="s">
        <v>507</v>
      </c>
      <c r="M57" s="182"/>
      <c r="N57" s="722"/>
      <c r="O57" s="722"/>
      <c r="P57" s="722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723" t="s">
        <v>402</v>
      </c>
      <c r="H58" s="724"/>
      <c r="I58" s="724"/>
      <c r="J58" s="724"/>
      <c r="K58" s="184">
        <v>45678</v>
      </c>
      <c r="L58" s="182" t="s">
        <v>552</v>
      </c>
      <c r="M58" s="182"/>
      <c r="N58" s="722"/>
      <c r="O58" s="722"/>
      <c r="P58" s="722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723" t="s">
        <v>402</v>
      </c>
      <c r="H59" s="724"/>
      <c r="I59" s="724"/>
      <c r="J59" s="724"/>
      <c r="K59" s="184">
        <v>45668</v>
      </c>
      <c r="L59" s="182" t="s">
        <v>552</v>
      </c>
      <c r="M59" s="182"/>
      <c r="N59" s="722"/>
      <c r="O59" s="722"/>
      <c r="P59" s="722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723" t="s">
        <v>402</v>
      </c>
      <c r="H60" s="724"/>
      <c r="I60" s="724"/>
      <c r="J60" s="724"/>
      <c r="K60" s="184">
        <v>45670</v>
      </c>
      <c r="L60" s="182" t="s">
        <v>580</v>
      </c>
      <c r="M60" s="182"/>
      <c r="N60" s="722"/>
      <c r="O60" s="722"/>
      <c r="P60" s="722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723" t="s">
        <v>402</v>
      </c>
      <c r="H61" s="724"/>
      <c r="I61" s="724"/>
      <c r="J61" s="724"/>
      <c r="K61" s="184">
        <v>45737</v>
      </c>
      <c r="L61" s="182" t="s">
        <v>581</v>
      </c>
      <c r="M61" s="182"/>
      <c r="N61" s="722"/>
      <c r="O61" s="722"/>
      <c r="P61" s="722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723" t="s">
        <v>402</v>
      </c>
      <c r="H62" s="724"/>
      <c r="I62" s="724"/>
      <c r="J62" s="724"/>
      <c r="K62" s="184">
        <v>45670</v>
      </c>
      <c r="L62" s="182" t="s">
        <v>498</v>
      </c>
      <c r="M62" s="182"/>
      <c r="N62" s="722"/>
      <c r="O62" s="722"/>
      <c r="P62" s="722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7" t="s">
        <v>664</v>
      </c>
      <c r="F63" s="185">
        <v>32.22</v>
      </c>
      <c r="G63" s="723" t="s">
        <v>402</v>
      </c>
      <c r="H63" s="724"/>
      <c r="I63" s="724"/>
      <c r="J63" s="724"/>
      <c r="K63" s="184">
        <v>45810</v>
      </c>
      <c r="L63" s="182" t="s">
        <v>599</v>
      </c>
      <c r="M63" s="182"/>
      <c r="N63" s="731"/>
      <c r="O63" s="731"/>
      <c r="P63" s="731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723" t="s">
        <v>402</v>
      </c>
      <c r="H64" s="724"/>
      <c r="I64" s="724"/>
      <c r="J64" s="724"/>
      <c r="K64" s="184">
        <v>45681</v>
      </c>
      <c r="L64" s="182" t="s">
        <v>580</v>
      </c>
      <c r="M64" s="182"/>
      <c r="N64" s="722"/>
      <c r="O64" s="722"/>
      <c r="P64" s="722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723" t="s">
        <v>402</v>
      </c>
      <c r="H65" s="724"/>
      <c r="I65" s="724"/>
      <c r="J65" s="724"/>
      <c r="K65" s="184">
        <v>45691</v>
      </c>
      <c r="L65" s="182" t="s">
        <v>552</v>
      </c>
      <c r="M65" s="182"/>
      <c r="N65" s="722"/>
      <c r="O65" s="722"/>
      <c r="P65" s="722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723" t="s">
        <v>402</v>
      </c>
      <c r="H66" s="724"/>
      <c r="I66" s="724"/>
      <c r="J66" s="724"/>
      <c r="K66" s="184">
        <v>45689</v>
      </c>
      <c r="L66" s="182" t="s">
        <v>580</v>
      </c>
      <c r="M66" s="182"/>
      <c r="N66" s="722"/>
      <c r="O66" s="722"/>
      <c r="P66" s="722"/>
    </row>
    <row r="67" spans="1:16" s="153" customFormat="1" ht="33" customHeight="1">
      <c r="A67" s="182">
        <f t="shared" ref="A67:A129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723" t="s">
        <v>402</v>
      </c>
      <c r="H67" s="724"/>
      <c r="I67" s="724"/>
      <c r="J67" s="724"/>
      <c r="K67" s="184">
        <v>45707</v>
      </c>
      <c r="L67" s="182" t="s">
        <v>599</v>
      </c>
      <c r="M67" s="182"/>
      <c r="N67" s="722"/>
      <c r="O67" s="722"/>
      <c r="P67" s="722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723" t="s">
        <v>402</v>
      </c>
      <c r="H68" s="724"/>
      <c r="I68" s="724"/>
      <c r="J68" s="724"/>
      <c r="K68" s="184">
        <v>45708</v>
      </c>
      <c r="L68" s="182" t="s">
        <v>552</v>
      </c>
      <c r="M68" s="182"/>
      <c r="N68" s="722"/>
      <c r="O68" s="722"/>
      <c r="P68" s="722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723" t="s">
        <v>402</v>
      </c>
      <c r="H69" s="724"/>
      <c r="I69" s="724"/>
      <c r="J69" s="724"/>
      <c r="K69" s="184">
        <v>45704</v>
      </c>
      <c r="L69" s="182" t="s">
        <v>580</v>
      </c>
      <c r="M69" s="182"/>
      <c r="N69" s="722"/>
      <c r="O69" s="722"/>
      <c r="P69" s="722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723" t="s">
        <v>402</v>
      </c>
      <c r="H70" s="724"/>
      <c r="I70" s="724"/>
      <c r="J70" s="724"/>
      <c r="K70" s="184">
        <v>45712</v>
      </c>
      <c r="L70" s="182" t="s">
        <v>599</v>
      </c>
      <c r="M70" s="182"/>
      <c r="N70" s="722"/>
      <c r="O70" s="722"/>
      <c r="P70" s="722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723" t="s">
        <v>402</v>
      </c>
      <c r="H71" s="724"/>
      <c r="I71" s="724"/>
      <c r="J71" s="724"/>
      <c r="K71" s="184">
        <v>45717</v>
      </c>
      <c r="L71" s="182" t="s">
        <v>580</v>
      </c>
      <c r="M71" s="182"/>
      <c r="N71" s="722"/>
      <c r="O71" s="722"/>
      <c r="P71" s="722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723" t="s">
        <v>402</v>
      </c>
      <c r="H72" s="724"/>
      <c r="I72" s="724"/>
      <c r="J72" s="724"/>
      <c r="K72" s="184">
        <v>45718</v>
      </c>
      <c r="L72" s="182" t="s">
        <v>552</v>
      </c>
      <c r="M72" s="182"/>
      <c r="N72" s="722"/>
      <c r="O72" s="722"/>
      <c r="P72" s="722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723" t="s">
        <v>402</v>
      </c>
      <c r="H73" s="724"/>
      <c r="I73" s="724"/>
      <c r="J73" s="724"/>
      <c r="K73" s="184">
        <v>45721</v>
      </c>
      <c r="L73" s="182" t="s">
        <v>599</v>
      </c>
      <c r="M73" s="182"/>
      <c r="N73" s="722"/>
      <c r="O73" s="722"/>
      <c r="P73" s="722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723" t="s">
        <v>402</v>
      </c>
      <c r="H74" s="724"/>
      <c r="I74" s="724"/>
      <c r="J74" s="724"/>
      <c r="K74" s="184">
        <v>45740</v>
      </c>
      <c r="L74" s="182" t="s">
        <v>552</v>
      </c>
      <c r="M74" s="182"/>
      <c r="N74" s="727"/>
      <c r="O74" s="727"/>
      <c r="P74" s="727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723" t="s">
        <v>402</v>
      </c>
      <c r="H75" s="724"/>
      <c r="I75" s="724"/>
      <c r="J75" s="724"/>
      <c r="K75" s="184">
        <v>45788</v>
      </c>
      <c r="L75" s="182" t="s">
        <v>653</v>
      </c>
      <c r="M75" s="182"/>
      <c r="N75" s="727"/>
      <c r="O75" s="727"/>
      <c r="P75" s="727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723" t="s">
        <v>402</v>
      </c>
      <c r="H76" s="724"/>
      <c r="I76" s="724"/>
      <c r="J76" s="724"/>
      <c r="K76" s="184">
        <v>45726</v>
      </c>
      <c r="L76" s="182" t="s">
        <v>599</v>
      </c>
      <c r="M76" s="182"/>
      <c r="N76" s="722"/>
      <c r="O76" s="722"/>
      <c r="P76" s="722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23" t="s">
        <v>402</v>
      </c>
      <c r="H77" s="724"/>
      <c r="I77" s="724"/>
      <c r="J77" s="724"/>
      <c r="K77" s="184">
        <v>45728</v>
      </c>
      <c r="L77" s="182" t="s">
        <v>552</v>
      </c>
      <c r="M77" s="182"/>
      <c r="N77" s="722"/>
      <c r="O77" s="722"/>
      <c r="P77" s="722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723" t="s">
        <v>402</v>
      </c>
      <c r="H78" s="724"/>
      <c r="I78" s="724"/>
      <c r="J78" s="724"/>
      <c r="K78" s="184">
        <v>45751</v>
      </c>
      <c r="L78" s="182" t="s">
        <v>651</v>
      </c>
      <c r="M78" s="182"/>
      <c r="N78" s="727"/>
      <c r="O78" s="727"/>
      <c r="P78" s="727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723" t="s">
        <v>402</v>
      </c>
      <c r="H79" s="724"/>
      <c r="I79" s="724"/>
      <c r="J79" s="724"/>
      <c r="K79" s="184">
        <v>45735</v>
      </c>
      <c r="L79" s="182" t="s">
        <v>599</v>
      </c>
      <c r="M79" s="182"/>
      <c r="N79" s="727"/>
      <c r="O79" s="727"/>
      <c r="P79" s="727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723" t="s">
        <v>402</v>
      </c>
      <c r="H80" s="724"/>
      <c r="I80" s="724"/>
      <c r="J80" s="724"/>
      <c r="K80" s="184">
        <v>45740</v>
      </c>
      <c r="L80" s="182" t="s">
        <v>599</v>
      </c>
      <c r="M80" s="182"/>
      <c r="N80" s="727"/>
      <c r="O80" s="727"/>
      <c r="P80" s="727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650</v>
      </c>
      <c r="D81" s="182" t="s">
        <v>239</v>
      </c>
      <c r="E81" s="184">
        <v>45736</v>
      </c>
      <c r="F81" s="185">
        <v>28.1</v>
      </c>
      <c r="G81" s="723" t="s">
        <v>402</v>
      </c>
      <c r="H81" s="724"/>
      <c r="I81" s="724"/>
      <c r="J81" s="724"/>
      <c r="K81" s="184">
        <v>45751</v>
      </c>
      <c r="L81" s="182" t="s">
        <v>599</v>
      </c>
      <c r="M81" s="184"/>
      <c r="N81" s="727"/>
      <c r="O81" s="727"/>
      <c r="P81" s="727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658</v>
      </c>
      <c r="E82" s="184">
        <v>45744</v>
      </c>
      <c r="F82" s="185">
        <v>11.42</v>
      </c>
      <c r="G82" s="723" t="s">
        <v>402</v>
      </c>
      <c r="H82" s="724"/>
      <c r="I82" s="724"/>
      <c r="J82" s="724"/>
      <c r="K82" s="184">
        <v>45758</v>
      </c>
      <c r="L82" s="182" t="s">
        <v>599</v>
      </c>
      <c r="M82" s="182"/>
      <c r="N82" s="727"/>
      <c r="O82" s="727"/>
      <c r="P82" s="727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654</v>
      </c>
      <c r="D83" s="182" t="s">
        <v>239</v>
      </c>
      <c r="E83" s="184">
        <v>45749</v>
      </c>
      <c r="F83" s="185">
        <v>11.42</v>
      </c>
      <c r="G83" s="723" t="s">
        <v>402</v>
      </c>
      <c r="H83" s="724"/>
      <c r="I83" s="724"/>
      <c r="J83" s="724"/>
      <c r="K83" s="184">
        <v>45782</v>
      </c>
      <c r="L83" s="182" t="s">
        <v>651</v>
      </c>
      <c r="M83" s="182"/>
      <c r="N83" s="727"/>
      <c r="O83" s="727"/>
      <c r="P83" s="727"/>
    </row>
    <row r="84" spans="1:16" s="153" customFormat="1" ht="33" customHeight="1">
      <c r="A84" s="182">
        <f t="shared" si="1"/>
        <v>72</v>
      </c>
      <c r="B84" s="183" t="s">
        <v>652</v>
      </c>
      <c r="C84" s="182" t="s">
        <v>476</v>
      </c>
      <c r="D84" s="182" t="s">
        <v>239</v>
      </c>
      <c r="E84" s="184">
        <v>45755</v>
      </c>
      <c r="F84" s="185">
        <v>32.22</v>
      </c>
      <c r="G84" s="723" t="s">
        <v>402</v>
      </c>
      <c r="H84" s="724"/>
      <c r="I84" s="724"/>
      <c r="J84" s="724"/>
      <c r="K84" s="184">
        <v>45778</v>
      </c>
      <c r="L84" s="182" t="s">
        <v>599</v>
      </c>
      <c r="M84" s="182"/>
      <c r="N84" s="728"/>
      <c r="O84" s="728"/>
      <c r="P84" s="728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723" t="s">
        <v>402</v>
      </c>
      <c r="H85" s="724"/>
      <c r="I85" s="724"/>
      <c r="J85" s="724"/>
      <c r="K85" s="184">
        <v>45765</v>
      </c>
      <c r="L85" s="182" t="s">
        <v>599</v>
      </c>
      <c r="M85" s="182"/>
      <c r="N85" s="727"/>
      <c r="O85" s="727"/>
      <c r="P85" s="727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655</v>
      </c>
      <c r="D86" s="182" t="s">
        <v>239</v>
      </c>
      <c r="E86" s="184">
        <v>45760</v>
      </c>
      <c r="F86" s="185">
        <v>11.73</v>
      </c>
      <c r="G86" s="723" t="s">
        <v>402</v>
      </c>
      <c r="H86" s="724"/>
      <c r="I86" s="724"/>
      <c r="J86" s="724"/>
      <c r="K86" s="184">
        <v>45800</v>
      </c>
      <c r="L86" s="182" t="s">
        <v>651</v>
      </c>
      <c r="M86" s="457"/>
      <c r="N86" s="727"/>
      <c r="O86" s="727"/>
      <c r="P86" s="727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654</v>
      </c>
      <c r="D87" s="182" t="s">
        <v>239</v>
      </c>
      <c r="E87" s="184">
        <v>45762</v>
      </c>
      <c r="F87" s="185">
        <v>11.42</v>
      </c>
      <c r="G87" s="723" t="s">
        <v>402</v>
      </c>
      <c r="H87" s="724"/>
      <c r="I87" s="724"/>
      <c r="J87" s="724"/>
      <c r="K87" s="184">
        <v>45792</v>
      </c>
      <c r="L87" s="182" t="s">
        <v>651</v>
      </c>
      <c r="M87" s="182"/>
      <c r="N87" s="727"/>
      <c r="O87" s="727"/>
      <c r="P87" s="727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654</v>
      </c>
      <c r="D88" s="182" t="s">
        <v>239</v>
      </c>
      <c r="E88" s="184">
        <v>45763</v>
      </c>
      <c r="F88" s="185">
        <v>11.42</v>
      </c>
      <c r="G88" s="723" t="s">
        <v>402</v>
      </c>
      <c r="H88" s="724"/>
      <c r="I88" s="724"/>
      <c r="J88" s="724"/>
      <c r="K88" s="184">
        <v>45796</v>
      </c>
      <c r="L88" s="182" t="s">
        <v>651</v>
      </c>
      <c r="M88" s="182"/>
      <c r="N88" s="729"/>
      <c r="O88" s="730"/>
      <c r="P88" s="730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650</v>
      </c>
      <c r="D89" s="182" t="s">
        <v>239</v>
      </c>
      <c r="E89" s="184">
        <v>45764</v>
      </c>
      <c r="F89" s="185">
        <v>11.42</v>
      </c>
      <c r="G89" s="723" t="s">
        <v>402</v>
      </c>
      <c r="H89" s="724"/>
      <c r="I89" s="724"/>
      <c r="J89" s="724"/>
      <c r="K89" s="184">
        <v>45772</v>
      </c>
      <c r="L89" s="182" t="s">
        <v>599</v>
      </c>
      <c r="M89" s="182"/>
      <c r="N89" s="729"/>
      <c r="O89" s="730"/>
      <c r="P89" s="730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659</v>
      </c>
      <c r="D90" s="182" t="s">
        <v>239</v>
      </c>
      <c r="E90" s="184">
        <v>45779</v>
      </c>
      <c r="F90" s="185">
        <v>72.2</v>
      </c>
      <c r="G90" s="723" t="s">
        <v>402</v>
      </c>
      <c r="H90" s="724"/>
      <c r="I90" s="724"/>
      <c r="J90" s="724"/>
      <c r="K90" s="184">
        <v>45791</v>
      </c>
      <c r="L90" s="182" t="s">
        <v>599</v>
      </c>
      <c r="M90" s="182"/>
      <c r="N90" s="729"/>
      <c r="O90" s="730"/>
      <c r="P90" s="730"/>
    </row>
    <row r="91" spans="1:16" s="153" customFormat="1" ht="33" customHeight="1">
      <c r="A91" s="182">
        <f t="shared" si="1"/>
        <v>79</v>
      </c>
      <c r="B91" s="183" t="s">
        <v>661</v>
      </c>
      <c r="C91" s="182" t="s">
        <v>650</v>
      </c>
      <c r="D91" s="182" t="s">
        <v>239</v>
      </c>
      <c r="E91" s="184">
        <v>45787</v>
      </c>
      <c r="F91" s="185">
        <v>28.1</v>
      </c>
      <c r="G91" s="723" t="s">
        <v>402</v>
      </c>
      <c r="H91" s="724"/>
      <c r="I91" s="724"/>
      <c r="J91" s="724"/>
      <c r="K91" s="184">
        <v>45803</v>
      </c>
      <c r="L91" s="182" t="s">
        <v>653</v>
      </c>
      <c r="M91" s="182"/>
      <c r="N91" s="729"/>
      <c r="O91" s="730"/>
      <c r="P91" s="730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723" t="s">
        <v>402</v>
      </c>
      <c r="H92" s="724"/>
      <c r="I92" s="724"/>
      <c r="J92" s="724"/>
      <c r="K92" s="184">
        <v>45800</v>
      </c>
      <c r="L92" s="182" t="s">
        <v>599</v>
      </c>
      <c r="M92" s="182"/>
      <c r="N92" s="729"/>
      <c r="O92" s="730"/>
      <c r="P92" s="730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663</v>
      </c>
      <c r="D93" s="182" t="s">
        <v>239</v>
      </c>
      <c r="E93" s="184">
        <v>45788</v>
      </c>
      <c r="F93" s="185">
        <v>11.73</v>
      </c>
      <c r="G93" s="723" t="s">
        <v>402</v>
      </c>
      <c r="H93" s="724"/>
      <c r="I93" s="724"/>
      <c r="J93" s="724"/>
      <c r="K93" s="184">
        <v>45811</v>
      </c>
      <c r="L93" s="182" t="s">
        <v>653</v>
      </c>
      <c r="M93" s="182"/>
      <c r="N93" s="727"/>
      <c r="O93" s="727"/>
      <c r="P93" s="727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723" t="s">
        <v>402</v>
      </c>
      <c r="H94" s="724"/>
      <c r="I94" s="724"/>
      <c r="J94" s="724"/>
      <c r="K94" s="184">
        <v>45801</v>
      </c>
      <c r="L94" s="182" t="s">
        <v>599</v>
      </c>
      <c r="M94" s="182"/>
      <c r="N94" s="729"/>
      <c r="O94" s="730"/>
      <c r="P94" s="730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663</v>
      </c>
      <c r="D95" s="182" t="s">
        <v>239</v>
      </c>
      <c r="E95" s="184">
        <v>45803</v>
      </c>
      <c r="F95" s="185">
        <v>11.73</v>
      </c>
      <c r="G95" s="723" t="s">
        <v>402</v>
      </c>
      <c r="H95" s="724"/>
      <c r="I95" s="724"/>
      <c r="J95" s="724"/>
      <c r="K95" s="184">
        <v>45817</v>
      </c>
      <c r="L95" s="182" t="s">
        <v>653</v>
      </c>
      <c r="M95" s="182"/>
      <c r="N95" s="727"/>
      <c r="O95" s="727"/>
      <c r="P95" s="727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663</v>
      </c>
      <c r="D96" s="182" t="s">
        <v>239</v>
      </c>
      <c r="E96" s="184">
        <v>45802</v>
      </c>
      <c r="F96" s="185">
        <v>11.73</v>
      </c>
      <c r="G96" s="723" t="s">
        <v>402</v>
      </c>
      <c r="H96" s="724"/>
      <c r="I96" s="724"/>
      <c r="J96" s="724"/>
      <c r="K96" s="184">
        <v>45809</v>
      </c>
      <c r="L96" s="182" t="s">
        <v>651</v>
      </c>
      <c r="M96" s="182"/>
      <c r="N96" s="727"/>
      <c r="O96" s="727"/>
      <c r="P96" s="727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654</v>
      </c>
      <c r="D97" s="182" t="s">
        <v>239</v>
      </c>
      <c r="E97" s="184">
        <v>45810</v>
      </c>
      <c r="F97" s="185">
        <v>11.42</v>
      </c>
      <c r="G97" s="723" t="s">
        <v>402</v>
      </c>
      <c r="H97" s="724"/>
      <c r="I97" s="724"/>
      <c r="J97" s="724"/>
      <c r="K97" s="184">
        <v>45819</v>
      </c>
      <c r="L97" s="182" t="s">
        <v>651</v>
      </c>
      <c r="M97" s="182"/>
      <c r="N97" s="452"/>
      <c r="O97" s="452"/>
      <c r="P97" s="452"/>
    </row>
    <row r="98" spans="1:16" s="153" customFormat="1" ht="33" customHeight="1">
      <c r="A98" s="182">
        <f t="shared" si="1"/>
        <v>86</v>
      </c>
      <c r="B98" s="183" t="s">
        <v>665</v>
      </c>
      <c r="C98" s="182" t="s">
        <v>116</v>
      </c>
      <c r="D98" s="182" t="s">
        <v>239</v>
      </c>
      <c r="E98" s="184">
        <v>45810</v>
      </c>
      <c r="F98" s="185">
        <v>49.3</v>
      </c>
      <c r="G98" s="723" t="s">
        <v>402</v>
      </c>
      <c r="H98" s="724"/>
      <c r="I98" s="724"/>
      <c r="J98" s="724"/>
      <c r="K98" s="184">
        <v>45824</v>
      </c>
      <c r="L98" s="182" t="s">
        <v>599</v>
      </c>
      <c r="M98" s="182"/>
      <c r="N98" s="452"/>
      <c r="O98" s="452"/>
      <c r="P98" s="452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723" t="s">
        <v>402</v>
      </c>
      <c r="H99" s="724"/>
      <c r="I99" s="724"/>
      <c r="J99" s="724"/>
      <c r="K99" s="184">
        <v>45828</v>
      </c>
      <c r="L99" s="182" t="s">
        <v>651</v>
      </c>
      <c r="M99" s="182"/>
      <c r="N99" s="452"/>
      <c r="O99" s="452"/>
      <c r="P99" s="452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723" t="s">
        <v>402</v>
      </c>
      <c r="H100" s="724"/>
      <c r="I100" s="724"/>
      <c r="J100" s="724"/>
      <c r="K100" s="184">
        <v>45818</v>
      </c>
      <c r="L100" s="182" t="s">
        <v>666</v>
      </c>
      <c r="M100" s="182"/>
      <c r="N100" s="452"/>
      <c r="O100" s="452"/>
      <c r="P100" s="452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655</v>
      </c>
      <c r="D101" s="182" t="s">
        <v>239</v>
      </c>
      <c r="E101" s="184">
        <v>45814</v>
      </c>
      <c r="F101" s="185">
        <v>11.73</v>
      </c>
      <c r="G101" s="723" t="s">
        <v>402</v>
      </c>
      <c r="H101" s="724"/>
      <c r="I101" s="724"/>
      <c r="J101" s="724"/>
      <c r="K101" s="184">
        <v>45829</v>
      </c>
      <c r="L101" s="182" t="s">
        <v>668</v>
      </c>
      <c r="M101" s="182"/>
      <c r="N101" s="452"/>
      <c r="O101" s="452"/>
      <c r="P101" s="452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667</v>
      </c>
      <c r="D102" s="182" t="s">
        <v>239</v>
      </c>
      <c r="E102" s="184">
        <v>45817</v>
      </c>
      <c r="F102" s="185">
        <v>34</v>
      </c>
      <c r="G102" s="723" t="s">
        <v>402</v>
      </c>
      <c r="H102" s="724"/>
      <c r="I102" s="724"/>
      <c r="J102" s="724"/>
      <c r="K102" s="184">
        <v>45828</v>
      </c>
      <c r="L102" s="182" t="s">
        <v>653</v>
      </c>
      <c r="M102" s="182"/>
      <c r="N102" s="452"/>
      <c r="O102" s="452"/>
      <c r="P102" s="452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663</v>
      </c>
      <c r="D103" s="182" t="s">
        <v>239</v>
      </c>
      <c r="E103" s="184">
        <v>45818</v>
      </c>
      <c r="F103" s="185">
        <v>11.73</v>
      </c>
      <c r="G103" s="723" t="s">
        <v>402</v>
      </c>
      <c r="H103" s="724"/>
      <c r="I103" s="724"/>
      <c r="J103" s="724"/>
      <c r="K103" s="184">
        <v>45840</v>
      </c>
      <c r="L103" s="182" t="s">
        <v>682</v>
      </c>
      <c r="M103" s="182"/>
      <c r="N103" s="452"/>
      <c r="O103" s="452"/>
      <c r="P103" s="452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655</v>
      </c>
      <c r="D104" s="182" t="s">
        <v>239</v>
      </c>
      <c r="E104" s="184">
        <v>45820</v>
      </c>
      <c r="F104" s="185">
        <v>11.73</v>
      </c>
      <c r="G104" s="723" t="s">
        <v>402</v>
      </c>
      <c r="H104" s="724"/>
      <c r="I104" s="724"/>
      <c r="J104" s="724"/>
      <c r="K104" s="184">
        <v>45838</v>
      </c>
      <c r="L104" s="182" t="s">
        <v>599</v>
      </c>
      <c r="M104" s="182"/>
      <c r="N104" s="452"/>
      <c r="O104" s="452"/>
      <c r="P104" s="452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654</v>
      </c>
      <c r="D105" s="182" t="s">
        <v>239</v>
      </c>
      <c r="E105" s="184">
        <v>45820</v>
      </c>
      <c r="F105" s="185">
        <v>11.42</v>
      </c>
      <c r="G105" s="723" t="s">
        <v>402</v>
      </c>
      <c r="H105" s="724"/>
      <c r="I105" s="724"/>
      <c r="J105" s="724"/>
      <c r="K105" s="184">
        <v>45826</v>
      </c>
      <c r="L105" s="182" t="s">
        <v>666</v>
      </c>
      <c r="M105" s="182"/>
      <c r="N105" s="452"/>
      <c r="O105" s="452"/>
      <c r="P105" s="452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659</v>
      </c>
      <c r="D106" s="182" t="s">
        <v>239</v>
      </c>
      <c r="E106" s="184">
        <v>45824</v>
      </c>
      <c r="F106" s="185">
        <v>99.27</v>
      </c>
      <c r="G106" s="723" t="s">
        <v>402</v>
      </c>
      <c r="H106" s="724"/>
      <c r="I106" s="724"/>
      <c r="J106" s="724"/>
      <c r="K106" s="184">
        <v>45833</v>
      </c>
      <c r="L106" s="182" t="s">
        <v>666</v>
      </c>
      <c r="M106" s="182"/>
      <c r="N106" s="452"/>
      <c r="O106" s="452"/>
      <c r="P106" s="452"/>
    </row>
    <row r="107" spans="1:16" s="153" customFormat="1" ht="33" customHeight="1">
      <c r="A107" s="182">
        <f t="shared" si="1"/>
        <v>95</v>
      </c>
      <c r="B107" s="183" t="s">
        <v>670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23" t="s">
        <v>402</v>
      </c>
      <c r="H107" s="724"/>
      <c r="I107" s="724"/>
      <c r="J107" s="724"/>
      <c r="K107" s="184">
        <v>45839</v>
      </c>
      <c r="L107" s="182" t="s">
        <v>653</v>
      </c>
      <c r="M107" s="182"/>
      <c r="N107" s="452"/>
      <c r="O107" s="452"/>
      <c r="P107" s="452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654</v>
      </c>
      <c r="D108" s="182" t="s">
        <v>239</v>
      </c>
      <c r="E108" s="184">
        <v>45826</v>
      </c>
      <c r="F108" s="185">
        <v>11.42</v>
      </c>
      <c r="G108" s="723" t="s">
        <v>402</v>
      </c>
      <c r="H108" s="724"/>
      <c r="I108" s="724"/>
      <c r="J108" s="724"/>
      <c r="K108" s="184">
        <v>45832</v>
      </c>
      <c r="L108" s="182" t="s">
        <v>666</v>
      </c>
      <c r="M108" s="182"/>
      <c r="N108" s="452"/>
      <c r="O108" s="452"/>
      <c r="P108" s="452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671</v>
      </c>
      <c r="D109" s="182" t="s">
        <v>239</v>
      </c>
      <c r="E109" s="184">
        <v>45831</v>
      </c>
      <c r="F109" s="185">
        <v>11.42</v>
      </c>
      <c r="G109" s="723" t="s">
        <v>402</v>
      </c>
      <c r="H109" s="724"/>
      <c r="I109" s="724"/>
      <c r="J109" s="724"/>
      <c r="K109" s="184">
        <v>45835</v>
      </c>
      <c r="L109" s="182" t="s">
        <v>668</v>
      </c>
      <c r="M109" s="182"/>
      <c r="N109" s="452"/>
      <c r="O109" s="452"/>
      <c r="P109" s="452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654</v>
      </c>
      <c r="D110" s="182" t="s">
        <v>239</v>
      </c>
      <c r="E110" s="184">
        <v>45832</v>
      </c>
      <c r="F110" s="185">
        <v>11.42</v>
      </c>
      <c r="G110" s="723" t="s">
        <v>402</v>
      </c>
      <c r="H110" s="724"/>
      <c r="I110" s="724"/>
      <c r="J110" s="724"/>
      <c r="K110" s="184">
        <v>45847</v>
      </c>
      <c r="L110" s="182" t="s">
        <v>683</v>
      </c>
      <c r="M110" s="182"/>
      <c r="N110" s="452"/>
      <c r="O110" s="452"/>
      <c r="P110" s="452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654</v>
      </c>
      <c r="D111" s="182" t="s">
        <v>239</v>
      </c>
      <c r="E111" s="184">
        <v>45832</v>
      </c>
      <c r="F111" s="185">
        <v>11.42</v>
      </c>
      <c r="G111" s="723" t="s">
        <v>402</v>
      </c>
      <c r="H111" s="724"/>
      <c r="I111" s="724"/>
      <c r="J111" s="724"/>
      <c r="K111" s="184">
        <v>45841</v>
      </c>
      <c r="L111" s="182" t="s">
        <v>674</v>
      </c>
      <c r="M111" s="182"/>
      <c r="N111" s="452"/>
      <c r="O111" s="452"/>
      <c r="P111" s="452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723" t="s">
        <v>402</v>
      </c>
      <c r="H112" s="724"/>
      <c r="I112" s="724"/>
      <c r="J112" s="724"/>
      <c r="K112" s="184">
        <v>45838</v>
      </c>
      <c r="L112" s="182" t="s">
        <v>668</v>
      </c>
      <c r="M112" s="182"/>
      <c r="N112" s="452"/>
      <c r="O112" s="452"/>
      <c r="P112" s="452"/>
    </row>
    <row r="113" spans="1:16" s="153" customFormat="1" ht="33" customHeight="1">
      <c r="A113" s="182">
        <f t="shared" si="1"/>
        <v>101</v>
      </c>
      <c r="B113" s="183" t="s">
        <v>672</v>
      </c>
      <c r="C113" s="182" t="s">
        <v>673</v>
      </c>
      <c r="D113" s="182" t="s">
        <v>239</v>
      </c>
      <c r="E113" s="184">
        <v>45833</v>
      </c>
      <c r="F113" s="185">
        <v>28.1</v>
      </c>
      <c r="G113" s="723" t="s">
        <v>402</v>
      </c>
      <c r="H113" s="724"/>
      <c r="I113" s="724"/>
      <c r="J113" s="724"/>
      <c r="K113" s="184">
        <v>45858</v>
      </c>
      <c r="L113" s="182" t="s">
        <v>683</v>
      </c>
      <c r="M113" s="182"/>
      <c r="N113" s="452"/>
      <c r="O113" s="452"/>
      <c r="P113" s="452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23" t="s">
        <v>402</v>
      </c>
      <c r="H114" s="724"/>
      <c r="I114" s="724"/>
      <c r="J114" s="724"/>
      <c r="K114" s="184">
        <v>45843</v>
      </c>
      <c r="L114" s="182" t="s">
        <v>674</v>
      </c>
      <c r="M114" s="182"/>
      <c r="N114" s="452"/>
      <c r="O114" s="452"/>
      <c r="P114" s="452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676</v>
      </c>
      <c r="D115" s="182" t="s">
        <v>239</v>
      </c>
      <c r="E115" s="184">
        <v>45836</v>
      </c>
      <c r="F115" s="185">
        <v>11.42</v>
      </c>
      <c r="G115" s="723" t="s">
        <v>402</v>
      </c>
      <c r="H115" s="724"/>
      <c r="I115" s="724"/>
      <c r="J115" s="724"/>
      <c r="K115" s="184">
        <v>45861</v>
      </c>
      <c r="L115" s="182" t="s">
        <v>682</v>
      </c>
      <c r="M115" s="182"/>
      <c r="N115" s="452"/>
      <c r="O115" s="452"/>
      <c r="P115" s="452"/>
    </row>
    <row r="116" spans="1:16" s="153" customFormat="1" ht="33" customHeight="1">
      <c r="A116" s="182">
        <f t="shared" si="1"/>
        <v>104</v>
      </c>
      <c r="B116" s="183" t="s">
        <v>681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723" t="s">
        <v>402</v>
      </c>
      <c r="H116" s="724"/>
      <c r="I116" s="724"/>
      <c r="J116" s="724"/>
      <c r="K116" s="184">
        <v>45846</v>
      </c>
      <c r="L116" s="182" t="s">
        <v>599</v>
      </c>
      <c r="M116" s="182"/>
      <c r="N116" s="452"/>
      <c r="O116" s="452"/>
      <c r="P116" s="452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676</v>
      </c>
      <c r="D117" s="182" t="s">
        <v>239</v>
      </c>
      <c r="E117" s="184">
        <v>45837</v>
      </c>
      <c r="F117" s="185">
        <v>11.42</v>
      </c>
      <c r="G117" s="723" t="s">
        <v>402</v>
      </c>
      <c r="H117" s="724"/>
      <c r="I117" s="724"/>
      <c r="J117" s="724"/>
      <c r="K117" s="184">
        <v>45840</v>
      </c>
      <c r="L117" s="182" t="s">
        <v>684</v>
      </c>
      <c r="M117" s="182"/>
      <c r="N117" s="452"/>
      <c r="O117" s="452"/>
      <c r="P117" s="452"/>
    </row>
    <row r="118" spans="1:16" s="153" customFormat="1" ht="33" customHeight="1">
      <c r="A118" s="182">
        <f t="shared" si="1"/>
        <v>106</v>
      </c>
      <c r="B118" s="183" t="s">
        <v>685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723" t="s">
        <v>402</v>
      </c>
      <c r="H118" s="724"/>
      <c r="I118" s="724"/>
      <c r="J118" s="724"/>
      <c r="K118" s="184">
        <v>45851</v>
      </c>
      <c r="L118" s="182" t="s">
        <v>653</v>
      </c>
      <c r="M118" s="182"/>
      <c r="N118" s="452"/>
      <c r="O118" s="452"/>
      <c r="P118" s="452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659</v>
      </c>
      <c r="D119" s="182" t="s">
        <v>239</v>
      </c>
      <c r="E119" s="184">
        <v>45841</v>
      </c>
      <c r="F119" s="185">
        <v>99.27</v>
      </c>
      <c r="G119" s="723" t="s">
        <v>402</v>
      </c>
      <c r="H119" s="724"/>
      <c r="I119" s="724"/>
      <c r="J119" s="724"/>
      <c r="K119" s="184">
        <v>45854</v>
      </c>
      <c r="L119" s="182" t="s">
        <v>688</v>
      </c>
      <c r="M119" s="182"/>
      <c r="N119" s="452"/>
      <c r="O119" s="452"/>
      <c r="P119" s="452"/>
    </row>
    <row r="120" spans="1:16" s="153" customFormat="1" ht="33" customHeight="1">
      <c r="A120" s="182">
        <f t="shared" si="1"/>
        <v>108</v>
      </c>
      <c r="B120" s="183" t="s">
        <v>687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723" t="s">
        <v>402</v>
      </c>
      <c r="H120" s="724"/>
      <c r="I120" s="724"/>
      <c r="J120" s="724"/>
      <c r="K120" s="184">
        <v>45852</v>
      </c>
      <c r="L120" s="182" t="s">
        <v>599</v>
      </c>
      <c r="M120" s="182"/>
      <c r="N120" s="452"/>
      <c r="O120" s="452"/>
      <c r="P120" s="452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723" t="s">
        <v>402</v>
      </c>
      <c r="H121" s="724"/>
      <c r="I121" s="724"/>
      <c r="J121" s="724"/>
      <c r="K121" s="184">
        <v>45848</v>
      </c>
      <c r="L121" s="182" t="s">
        <v>674</v>
      </c>
      <c r="M121" s="182"/>
      <c r="N121" s="452"/>
      <c r="O121" s="452"/>
      <c r="P121" s="452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723" t="s">
        <v>402</v>
      </c>
      <c r="H122" s="724"/>
      <c r="I122" s="724"/>
      <c r="J122" s="724"/>
      <c r="K122" s="184">
        <v>45854</v>
      </c>
      <c r="L122" s="182" t="s">
        <v>682</v>
      </c>
      <c r="M122" s="182"/>
      <c r="N122" s="452"/>
      <c r="O122" s="452"/>
      <c r="P122" s="452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7" t="s">
        <v>689</v>
      </c>
      <c r="F123" s="185">
        <v>11.73</v>
      </c>
      <c r="G123" s="723" t="s">
        <v>402</v>
      </c>
      <c r="H123" s="724"/>
      <c r="I123" s="724"/>
      <c r="J123" s="724"/>
      <c r="K123" s="184">
        <v>45867</v>
      </c>
      <c r="L123" s="182" t="s">
        <v>668</v>
      </c>
      <c r="M123" s="182"/>
      <c r="N123" s="452"/>
      <c r="O123" s="452"/>
      <c r="P123" s="452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723" t="s">
        <v>402</v>
      </c>
      <c r="H124" s="724"/>
      <c r="I124" s="724"/>
      <c r="J124" s="724"/>
      <c r="K124" s="184">
        <v>45856</v>
      </c>
      <c r="L124" s="182" t="s">
        <v>599</v>
      </c>
      <c r="M124" s="182"/>
      <c r="N124" s="452"/>
      <c r="O124" s="452"/>
      <c r="P124" s="452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723" t="s">
        <v>402</v>
      </c>
      <c r="H125" s="724"/>
      <c r="I125" s="724"/>
      <c r="J125" s="724"/>
      <c r="K125" s="184">
        <v>45872</v>
      </c>
      <c r="L125" s="182" t="s">
        <v>803</v>
      </c>
      <c r="M125" s="182"/>
      <c r="N125" s="452"/>
      <c r="O125" s="452"/>
      <c r="P125" s="452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723" t="s">
        <v>402</v>
      </c>
      <c r="H126" s="724"/>
      <c r="I126" s="724"/>
      <c r="J126" s="724"/>
      <c r="K126" s="184">
        <v>45875</v>
      </c>
      <c r="L126" s="182" t="s">
        <v>690</v>
      </c>
      <c r="M126" s="182"/>
      <c r="N126" s="452"/>
      <c r="O126" s="452"/>
      <c r="P126" s="452"/>
    </row>
    <row r="127" spans="1:16" s="153" customFormat="1" ht="33" customHeight="1">
      <c r="A127" s="182">
        <f t="shared" si="1"/>
        <v>115</v>
      </c>
      <c r="B127" s="183" t="s">
        <v>696</v>
      </c>
      <c r="C127" s="182" t="s">
        <v>697</v>
      </c>
      <c r="D127" s="182" t="s">
        <v>239</v>
      </c>
      <c r="E127" s="184">
        <v>45892</v>
      </c>
      <c r="F127" s="185">
        <v>28.1</v>
      </c>
      <c r="G127" s="723" t="s">
        <v>402</v>
      </c>
      <c r="H127" s="724"/>
      <c r="I127" s="724"/>
      <c r="J127" s="724"/>
      <c r="K127" s="184">
        <v>45898</v>
      </c>
      <c r="L127" s="182" t="s">
        <v>690</v>
      </c>
      <c r="M127" s="182"/>
      <c r="N127" s="452"/>
      <c r="O127" s="452"/>
      <c r="P127" s="452"/>
    </row>
    <row r="128" spans="1:16" s="153" customFormat="1" ht="33" customHeight="1">
      <c r="A128" s="488">
        <f t="shared" si="1"/>
        <v>116</v>
      </c>
      <c r="B128" s="631" t="s">
        <v>182</v>
      </c>
      <c r="C128" s="488" t="s">
        <v>448</v>
      </c>
      <c r="D128" s="488" t="s">
        <v>239</v>
      </c>
      <c r="E128" s="632">
        <v>45963</v>
      </c>
      <c r="F128" s="633">
        <v>11.42</v>
      </c>
      <c r="G128" s="773" t="s">
        <v>818</v>
      </c>
      <c r="H128" s="774"/>
      <c r="I128" s="774"/>
      <c r="J128" s="774"/>
      <c r="K128" s="632"/>
      <c r="L128" s="488" t="s">
        <v>811</v>
      </c>
      <c r="M128" s="488"/>
      <c r="N128" s="452"/>
      <c r="O128" s="452"/>
      <c r="P128" s="452"/>
    </row>
    <row r="129" spans="1:16" s="153" customFormat="1" ht="33" customHeight="1">
      <c r="A129" s="488">
        <f t="shared" si="1"/>
        <v>117</v>
      </c>
      <c r="B129" s="631" t="s">
        <v>181</v>
      </c>
      <c r="C129" s="488" t="s">
        <v>401</v>
      </c>
      <c r="D129" s="488" t="s">
        <v>239</v>
      </c>
      <c r="E129" s="632">
        <v>45965</v>
      </c>
      <c r="F129" s="633">
        <v>11.42</v>
      </c>
      <c r="G129" s="773" t="s">
        <v>819</v>
      </c>
      <c r="H129" s="774"/>
      <c r="I129" s="774"/>
      <c r="J129" s="774"/>
      <c r="K129" s="632"/>
      <c r="L129" s="488" t="s">
        <v>812</v>
      </c>
      <c r="M129" s="488"/>
      <c r="N129" s="452"/>
      <c r="O129" s="452"/>
      <c r="P129" s="452"/>
    </row>
    <row r="130" spans="1:16" s="153" customFormat="1" ht="21" customHeight="1">
      <c r="A130" s="284"/>
      <c r="B130" s="183"/>
      <c r="C130" s="182"/>
      <c r="D130" s="182"/>
      <c r="E130" s="285"/>
      <c r="F130" s="454"/>
      <c r="G130" s="455"/>
      <c r="H130" s="455"/>
      <c r="I130" s="455"/>
      <c r="J130" s="285"/>
      <c r="K130" s="182"/>
      <c r="L130" s="284"/>
      <c r="M130" s="154"/>
    </row>
    <row r="131" spans="1:16" ht="21" customHeight="1">
      <c r="A131" s="747" t="s">
        <v>103</v>
      </c>
      <c r="B131" s="747"/>
      <c r="C131" s="747"/>
      <c r="D131" s="747"/>
      <c r="E131" s="747"/>
      <c r="F131" s="747"/>
      <c r="G131" s="747"/>
      <c r="H131" s="747"/>
      <c r="I131" s="747"/>
      <c r="J131" s="747"/>
      <c r="K131" s="747"/>
      <c r="L131" s="747"/>
      <c r="M131" s="747"/>
      <c r="N131" s="747"/>
      <c r="O131" s="747"/>
      <c r="P131" s="747"/>
    </row>
    <row r="132" spans="1:16" s="45" customFormat="1" ht="28.95" customHeight="1" thickBot="1">
      <c r="A132" s="162" t="s">
        <v>403</v>
      </c>
      <c r="B132" s="162" t="s">
        <v>82</v>
      </c>
      <c r="C132" s="162" t="s">
        <v>60</v>
      </c>
      <c r="D132" s="162" t="s">
        <v>238</v>
      </c>
      <c r="E132" s="162" t="s">
        <v>715</v>
      </c>
      <c r="F132" s="162" t="s">
        <v>717</v>
      </c>
      <c r="G132" s="737" t="s">
        <v>112</v>
      </c>
      <c r="H132" s="738"/>
      <c r="I132" s="738"/>
      <c r="J132" s="739"/>
      <c r="K132" s="162" t="s">
        <v>716</v>
      </c>
      <c r="L132" s="162" t="s">
        <v>398</v>
      </c>
      <c r="M132" s="162" t="s">
        <v>399</v>
      </c>
      <c r="N132" s="737" t="s">
        <v>400</v>
      </c>
      <c r="O132" s="738"/>
      <c r="P132" s="739"/>
    </row>
    <row r="133" spans="1:16" s="272" customFormat="1" ht="21" customHeight="1">
      <c r="A133" s="284">
        <v>1</v>
      </c>
      <c r="B133" s="183" t="s">
        <v>16</v>
      </c>
      <c r="C133" s="182" t="s">
        <v>401</v>
      </c>
      <c r="D133" s="284" t="s">
        <v>239</v>
      </c>
      <c r="E133" s="285">
        <v>45574</v>
      </c>
      <c r="F133" s="286">
        <v>27.96</v>
      </c>
      <c r="G133" s="711" t="s">
        <v>402</v>
      </c>
      <c r="H133" s="711"/>
      <c r="I133" s="711"/>
      <c r="J133" s="711"/>
      <c r="K133" s="285">
        <v>45592</v>
      </c>
      <c r="L133" s="284" t="s">
        <v>490</v>
      </c>
      <c r="M133" s="284"/>
      <c r="N133" s="722"/>
      <c r="O133" s="722"/>
      <c r="P133" s="722"/>
    </row>
    <row r="134" spans="1:16" s="45" customFormat="1" ht="21" customHeight="1">
      <c r="A134" s="284">
        <v>2</v>
      </c>
      <c r="B134" s="183" t="s">
        <v>128</v>
      </c>
      <c r="C134" s="182" t="s">
        <v>401</v>
      </c>
      <c r="D134" s="284" t="s">
        <v>239</v>
      </c>
      <c r="E134" s="285">
        <v>45593</v>
      </c>
      <c r="F134" s="286">
        <v>27.96</v>
      </c>
      <c r="G134" s="711" t="s">
        <v>402</v>
      </c>
      <c r="H134" s="711"/>
      <c r="I134" s="711"/>
      <c r="J134" s="711"/>
      <c r="K134" s="285">
        <v>45601</v>
      </c>
      <c r="L134" s="284" t="s">
        <v>490</v>
      </c>
      <c r="M134" s="284"/>
      <c r="N134" s="726"/>
      <c r="O134" s="726"/>
      <c r="P134" s="726"/>
    </row>
    <row r="135" spans="1:16" s="272" customFormat="1" ht="21" customHeight="1">
      <c r="A135" s="284">
        <v>3</v>
      </c>
      <c r="B135" s="287" t="s">
        <v>494</v>
      </c>
      <c r="C135" s="182" t="s">
        <v>401</v>
      </c>
      <c r="D135" s="284" t="s">
        <v>239</v>
      </c>
      <c r="E135" s="285">
        <v>45601</v>
      </c>
      <c r="F135" s="286">
        <v>27.96</v>
      </c>
      <c r="G135" s="711" t="s">
        <v>402</v>
      </c>
      <c r="H135" s="711"/>
      <c r="I135" s="711"/>
      <c r="J135" s="711"/>
      <c r="K135" s="285">
        <v>45609</v>
      </c>
      <c r="L135" s="284" t="s">
        <v>490</v>
      </c>
      <c r="M135" s="284"/>
      <c r="N135" s="722"/>
      <c r="O135" s="722"/>
      <c r="P135" s="722"/>
    </row>
    <row r="136" spans="1:16" s="272" customFormat="1" ht="21" customHeight="1">
      <c r="A136" s="284">
        <v>4</v>
      </c>
      <c r="B136" s="287" t="s">
        <v>18</v>
      </c>
      <c r="C136" s="182" t="s">
        <v>401</v>
      </c>
      <c r="D136" s="284" t="s">
        <v>239</v>
      </c>
      <c r="E136" s="285">
        <v>45610</v>
      </c>
      <c r="F136" s="286">
        <v>27.96</v>
      </c>
      <c r="G136" s="711" t="s">
        <v>402</v>
      </c>
      <c r="H136" s="711"/>
      <c r="I136" s="711"/>
      <c r="J136" s="711"/>
      <c r="K136" s="285">
        <v>45615</v>
      </c>
      <c r="L136" s="284" t="s">
        <v>490</v>
      </c>
      <c r="M136" s="284"/>
      <c r="N136" s="722" t="s">
        <v>501</v>
      </c>
      <c r="O136" s="722"/>
      <c r="P136" s="722"/>
    </row>
    <row r="137" spans="1:16" s="272" customFormat="1" ht="21" customHeight="1">
      <c r="A137" s="284">
        <v>5</v>
      </c>
      <c r="B137" s="287" t="s">
        <v>133</v>
      </c>
      <c r="C137" s="182" t="s">
        <v>401</v>
      </c>
      <c r="D137" s="284" t="s">
        <v>239</v>
      </c>
      <c r="E137" s="285">
        <v>45615</v>
      </c>
      <c r="F137" s="286">
        <v>27.96</v>
      </c>
      <c r="G137" s="711" t="s">
        <v>402</v>
      </c>
      <c r="H137" s="711"/>
      <c r="I137" s="711"/>
      <c r="J137" s="711"/>
      <c r="K137" s="285">
        <v>45620</v>
      </c>
      <c r="L137" s="284" t="s">
        <v>490</v>
      </c>
      <c r="M137" s="284"/>
      <c r="N137" s="722" t="s">
        <v>109</v>
      </c>
      <c r="O137" s="722"/>
      <c r="P137" s="722"/>
    </row>
    <row r="138" spans="1:16" s="272" customFormat="1" ht="21" customHeight="1">
      <c r="A138" s="284">
        <v>6</v>
      </c>
      <c r="B138" s="287" t="s">
        <v>2</v>
      </c>
      <c r="C138" s="182" t="s">
        <v>401</v>
      </c>
      <c r="D138" s="284" t="s">
        <v>239</v>
      </c>
      <c r="E138" s="285">
        <v>45622</v>
      </c>
      <c r="F138" s="286">
        <v>27.96</v>
      </c>
      <c r="G138" s="711" t="s">
        <v>402</v>
      </c>
      <c r="H138" s="711"/>
      <c r="I138" s="711"/>
      <c r="J138" s="711"/>
      <c r="K138" s="285">
        <v>45627</v>
      </c>
      <c r="L138" s="284" t="s">
        <v>490</v>
      </c>
      <c r="M138" s="284"/>
      <c r="N138" s="722"/>
      <c r="O138" s="722"/>
      <c r="P138" s="722"/>
    </row>
    <row r="139" spans="1:16" s="272" customFormat="1" ht="21" customHeight="1">
      <c r="A139" s="284">
        <v>7</v>
      </c>
      <c r="B139" s="287" t="s">
        <v>49</v>
      </c>
      <c r="C139" s="182" t="s">
        <v>401</v>
      </c>
      <c r="D139" s="284" t="s">
        <v>239</v>
      </c>
      <c r="E139" s="285">
        <v>45628</v>
      </c>
      <c r="F139" s="286">
        <v>27.96</v>
      </c>
      <c r="G139" s="711" t="s">
        <v>402</v>
      </c>
      <c r="H139" s="711"/>
      <c r="I139" s="711"/>
      <c r="J139" s="711"/>
      <c r="K139" s="285">
        <v>45632</v>
      </c>
      <c r="L139" s="284" t="s">
        <v>490</v>
      </c>
      <c r="M139" s="284"/>
      <c r="N139" s="722"/>
      <c r="O139" s="722"/>
      <c r="P139" s="722"/>
    </row>
    <row r="140" spans="1:16" s="272" customFormat="1" ht="21" customHeight="1">
      <c r="A140" s="284">
        <v>8</v>
      </c>
      <c r="B140" s="287" t="s">
        <v>52</v>
      </c>
      <c r="C140" s="182" t="s">
        <v>401</v>
      </c>
      <c r="D140" s="284" t="s">
        <v>239</v>
      </c>
      <c r="E140" s="285">
        <v>45629</v>
      </c>
      <c r="F140" s="286">
        <v>27.96</v>
      </c>
      <c r="G140" s="711" t="s">
        <v>402</v>
      </c>
      <c r="H140" s="711"/>
      <c r="I140" s="711"/>
      <c r="J140" s="711"/>
      <c r="K140" s="285">
        <v>45637</v>
      </c>
      <c r="L140" s="284" t="s">
        <v>500</v>
      </c>
      <c r="M140" s="284"/>
      <c r="N140" s="722" t="s">
        <v>501</v>
      </c>
      <c r="O140" s="722"/>
      <c r="P140" s="722"/>
    </row>
    <row r="141" spans="1:16" s="272" customFormat="1" ht="21" customHeight="1">
      <c r="A141" s="284">
        <v>9</v>
      </c>
      <c r="B141" s="287" t="s">
        <v>147</v>
      </c>
      <c r="C141" s="182" t="s">
        <v>401</v>
      </c>
      <c r="D141" s="284" t="s">
        <v>239</v>
      </c>
      <c r="E141" s="285">
        <v>45632</v>
      </c>
      <c r="F141" s="286">
        <v>27.96</v>
      </c>
      <c r="G141" s="711" t="s">
        <v>402</v>
      </c>
      <c r="H141" s="711"/>
      <c r="I141" s="711"/>
      <c r="J141" s="711"/>
      <c r="K141" s="285">
        <v>45637</v>
      </c>
      <c r="L141" s="284" t="s">
        <v>490</v>
      </c>
      <c r="M141" s="284"/>
      <c r="N141" s="722"/>
      <c r="O141" s="722"/>
      <c r="P141" s="722"/>
    </row>
    <row r="142" spans="1:16" s="272" customFormat="1" ht="21" customHeight="1">
      <c r="A142" s="284">
        <v>10</v>
      </c>
      <c r="B142" s="287" t="s">
        <v>148</v>
      </c>
      <c r="C142" s="182" t="s">
        <v>444</v>
      </c>
      <c r="D142" s="284" t="s">
        <v>239</v>
      </c>
      <c r="E142" s="285">
        <v>45638</v>
      </c>
      <c r="F142" s="286">
        <v>29.12</v>
      </c>
      <c r="G142" s="711" t="s">
        <v>402</v>
      </c>
      <c r="H142" s="711"/>
      <c r="I142" s="711"/>
      <c r="J142" s="711"/>
      <c r="K142" s="372">
        <v>45644</v>
      </c>
      <c r="L142" s="284" t="s">
        <v>490</v>
      </c>
      <c r="M142" s="284"/>
      <c r="N142" s="722"/>
      <c r="O142" s="722"/>
      <c r="P142" s="722"/>
    </row>
    <row r="143" spans="1:16" s="272" customFormat="1" ht="21" customHeight="1">
      <c r="A143" s="284">
        <v>11</v>
      </c>
      <c r="B143" s="287" t="s">
        <v>51</v>
      </c>
      <c r="C143" s="182" t="s">
        <v>401</v>
      </c>
      <c r="D143" s="284" t="s">
        <v>239</v>
      </c>
      <c r="E143" s="285">
        <v>45638</v>
      </c>
      <c r="F143" s="286">
        <v>27.96</v>
      </c>
      <c r="G143" s="711" t="s">
        <v>402</v>
      </c>
      <c r="H143" s="711"/>
      <c r="I143" s="711"/>
      <c r="J143" s="711"/>
      <c r="K143" s="285">
        <v>45644</v>
      </c>
      <c r="L143" s="284" t="s">
        <v>500</v>
      </c>
      <c r="M143" s="284"/>
      <c r="N143" s="722"/>
      <c r="O143" s="722"/>
      <c r="P143" s="722"/>
    </row>
    <row r="144" spans="1:16" s="272" customFormat="1" ht="21" customHeight="1">
      <c r="A144" s="284">
        <v>12</v>
      </c>
      <c r="B144" s="287" t="s">
        <v>140</v>
      </c>
      <c r="C144" s="182" t="s">
        <v>444</v>
      </c>
      <c r="D144" s="284" t="s">
        <v>239</v>
      </c>
      <c r="E144" s="285">
        <v>45645</v>
      </c>
      <c r="F144" s="286">
        <v>29.12</v>
      </c>
      <c r="G144" s="711" t="s">
        <v>402</v>
      </c>
      <c r="H144" s="711"/>
      <c r="I144" s="711"/>
      <c r="J144" s="711"/>
      <c r="K144" s="285">
        <v>45653</v>
      </c>
      <c r="L144" s="284" t="s">
        <v>490</v>
      </c>
      <c r="M144" s="284"/>
      <c r="N144" s="722"/>
      <c r="O144" s="722"/>
      <c r="P144" s="722"/>
    </row>
    <row r="145" spans="1:16" s="272" customFormat="1" ht="21" customHeight="1">
      <c r="A145" s="284">
        <v>13</v>
      </c>
      <c r="B145" s="287" t="s">
        <v>136</v>
      </c>
      <c r="C145" s="182" t="s">
        <v>453</v>
      </c>
      <c r="D145" s="284" t="s">
        <v>239</v>
      </c>
      <c r="E145" s="285">
        <v>45645</v>
      </c>
      <c r="F145" s="286">
        <v>34.630000000000003</v>
      </c>
      <c r="G145" s="711" t="s">
        <v>402</v>
      </c>
      <c r="H145" s="711"/>
      <c r="I145" s="711"/>
      <c r="J145" s="711"/>
      <c r="K145" s="285">
        <v>45655</v>
      </c>
      <c r="L145" s="284" t="s">
        <v>500</v>
      </c>
      <c r="M145" s="284"/>
      <c r="N145" s="722"/>
      <c r="O145" s="722"/>
      <c r="P145" s="722"/>
    </row>
    <row r="146" spans="1:16" s="272" customFormat="1" ht="21" customHeight="1">
      <c r="A146" s="284">
        <v>14</v>
      </c>
      <c r="B146" s="287" t="s">
        <v>126</v>
      </c>
      <c r="C146" s="182" t="s">
        <v>401</v>
      </c>
      <c r="D146" s="284" t="s">
        <v>239</v>
      </c>
      <c r="E146" s="285">
        <v>45655</v>
      </c>
      <c r="F146" s="286">
        <v>27.96</v>
      </c>
      <c r="G146" s="711" t="s">
        <v>402</v>
      </c>
      <c r="H146" s="711"/>
      <c r="I146" s="711"/>
      <c r="J146" s="711"/>
      <c r="K146" s="285">
        <v>45296</v>
      </c>
      <c r="L146" s="284" t="s">
        <v>490</v>
      </c>
      <c r="M146" s="284"/>
      <c r="N146" s="722"/>
      <c r="O146" s="722"/>
      <c r="P146" s="722"/>
    </row>
    <row r="147" spans="1:16" s="272" customFormat="1" ht="21" customHeight="1">
      <c r="A147" s="284">
        <v>15</v>
      </c>
      <c r="B147" s="287" t="s">
        <v>143</v>
      </c>
      <c r="C147" s="182" t="s">
        <v>401</v>
      </c>
      <c r="D147" s="284" t="s">
        <v>239</v>
      </c>
      <c r="E147" s="285">
        <v>45656</v>
      </c>
      <c r="F147" s="286">
        <v>27.96</v>
      </c>
      <c r="G147" s="711" t="s">
        <v>402</v>
      </c>
      <c r="H147" s="711"/>
      <c r="I147" s="711"/>
      <c r="J147" s="711"/>
      <c r="K147" s="285">
        <v>45298</v>
      </c>
      <c r="L147" s="284" t="s">
        <v>500</v>
      </c>
      <c r="M147" s="284"/>
      <c r="N147" s="722"/>
      <c r="O147" s="722"/>
      <c r="P147" s="722"/>
    </row>
    <row r="148" spans="1:16" s="272" customFormat="1" ht="21" customHeight="1">
      <c r="A148" s="284">
        <v>16</v>
      </c>
      <c r="B148" s="287" t="s">
        <v>166</v>
      </c>
      <c r="C148" s="182" t="s">
        <v>401</v>
      </c>
      <c r="D148" s="284" t="s">
        <v>239</v>
      </c>
      <c r="E148" s="285">
        <v>45298</v>
      </c>
      <c r="F148" s="286">
        <v>27.96</v>
      </c>
      <c r="G148" s="711" t="s">
        <v>402</v>
      </c>
      <c r="H148" s="711"/>
      <c r="I148" s="711"/>
      <c r="J148" s="711"/>
      <c r="K148" s="285">
        <v>45668</v>
      </c>
      <c r="L148" s="284" t="s">
        <v>490</v>
      </c>
      <c r="M148" s="284"/>
      <c r="N148" s="722"/>
      <c r="O148" s="722"/>
      <c r="P148" s="722"/>
    </row>
    <row r="149" spans="1:16" s="272" customFormat="1" ht="21" customHeight="1">
      <c r="A149" s="284">
        <f t="shared" ref="A149:A154" si="2">A148+1</f>
        <v>17</v>
      </c>
      <c r="B149" s="287" t="s">
        <v>176</v>
      </c>
      <c r="C149" s="182" t="s">
        <v>401</v>
      </c>
      <c r="D149" s="284" t="s">
        <v>239</v>
      </c>
      <c r="E149" s="285">
        <v>45300</v>
      </c>
      <c r="F149" s="286">
        <v>27.96</v>
      </c>
      <c r="G149" s="711" t="s">
        <v>402</v>
      </c>
      <c r="H149" s="711"/>
      <c r="I149" s="711"/>
      <c r="J149" s="711"/>
      <c r="K149" s="285">
        <v>45672</v>
      </c>
      <c r="L149" s="284" t="s">
        <v>500</v>
      </c>
      <c r="M149" s="284"/>
      <c r="N149" s="722"/>
      <c r="O149" s="722"/>
      <c r="P149" s="722"/>
    </row>
    <row r="150" spans="1:16" s="272" customFormat="1" ht="21" customHeight="1">
      <c r="A150" s="284">
        <f t="shared" si="2"/>
        <v>18</v>
      </c>
      <c r="B150" s="287" t="s">
        <v>160</v>
      </c>
      <c r="C150" s="182" t="s">
        <v>444</v>
      </c>
      <c r="D150" s="284" t="s">
        <v>239</v>
      </c>
      <c r="E150" s="285">
        <v>45670</v>
      </c>
      <c r="F150" s="286">
        <v>29</v>
      </c>
      <c r="G150" s="711" t="s">
        <v>402</v>
      </c>
      <c r="H150" s="711"/>
      <c r="I150" s="711"/>
      <c r="J150" s="711"/>
      <c r="K150" s="285">
        <v>45675</v>
      </c>
      <c r="L150" s="284" t="s">
        <v>490</v>
      </c>
      <c r="M150" s="284"/>
      <c r="N150" s="722"/>
      <c r="O150" s="722"/>
      <c r="P150" s="722"/>
    </row>
    <row r="151" spans="1:16" s="272" customFormat="1" ht="21" customHeight="1">
      <c r="A151" s="284">
        <f t="shared" si="2"/>
        <v>19</v>
      </c>
      <c r="B151" s="287" t="s">
        <v>177</v>
      </c>
      <c r="C151" s="182" t="s">
        <v>444</v>
      </c>
      <c r="D151" s="284" t="s">
        <v>239</v>
      </c>
      <c r="E151" s="285">
        <v>45673</v>
      </c>
      <c r="F151" s="286">
        <v>29</v>
      </c>
      <c r="G151" s="711" t="s">
        <v>402</v>
      </c>
      <c r="H151" s="711"/>
      <c r="I151" s="711"/>
      <c r="J151" s="711"/>
      <c r="K151" s="285">
        <v>45680</v>
      </c>
      <c r="L151" s="284" t="s">
        <v>500</v>
      </c>
      <c r="M151" s="284"/>
      <c r="N151" s="722"/>
      <c r="O151" s="722"/>
      <c r="P151" s="722"/>
    </row>
    <row r="152" spans="1:16" s="272" customFormat="1" ht="21" customHeight="1">
      <c r="A152" s="284">
        <f t="shared" si="2"/>
        <v>20</v>
      </c>
      <c r="B152" s="287" t="s">
        <v>156</v>
      </c>
      <c r="C152" s="182" t="s">
        <v>401</v>
      </c>
      <c r="D152" s="284" t="s">
        <v>239</v>
      </c>
      <c r="E152" s="285">
        <v>45673</v>
      </c>
      <c r="F152" s="286">
        <v>28</v>
      </c>
      <c r="G152" s="711" t="s">
        <v>402</v>
      </c>
      <c r="H152" s="711"/>
      <c r="I152" s="711"/>
      <c r="J152" s="711"/>
      <c r="K152" s="285">
        <v>45680</v>
      </c>
      <c r="L152" s="284" t="s">
        <v>490</v>
      </c>
      <c r="M152" s="284"/>
      <c r="N152" s="722"/>
      <c r="O152" s="722"/>
      <c r="P152" s="722"/>
    </row>
    <row r="153" spans="1:16" s="272" customFormat="1" ht="27.6" customHeight="1">
      <c r="A153" s="284">
        <f t="shared" si="2"/>
        <v>21</v>
      </c>
      <c r="B153" s="287" t="s">
        <v>179</v>
      </c>
      <c r="C153" s="182" t="s">
        <v>444</v>
      </c>
      <c r="D153" s="284" t="s">
        <v>239</v>
      </c>
      <c r="E153" s="285">
        <v>45681</v>
      </c>
      <c r="F153" s="286">
        <v>29</v>
      </c>
      <c r="G153" s="711" t="s">
        <v>402</v>
      </c>
      <c r="H153" s="711"/>
      <c r="I153" s="711"/>
      <c r="J153" s="711"/>
      <c r="K153" s="285">
        <v>45699</v>
      </c>
      <c r="L153" s="284" t="s">
        <v>500</v>
      </c>
      <c r="M153" s="284"/>
      <c r="N153" s="725"/>
      <c r="O153" s="725"/>
      <c r="P153" s="725"/>
    </row>
    <row r="154" spans="1:16" s="272" customFormat="1" ht="21" customHeight="1">
      <c r="A154" s="284">
        <f t="shared" si="2"/>
        <v>22</v>
      </c>
      <c r="B154" s="287" t="s">
        <v>17</v>
      </c>
      <c r="C154" s="182" t="s">
        <v>401</v>
      </c>
      <c r="D154" s="284" t="s">
        <v>239</v>
      </c>
      <c r="E154" s="285">
        <v>45681</v>
      </c>
      <c r="F154" s="286">
        <v>28</v>
      </c>
      <c r="G154" s="711" t="s">
        <v>402</v>
      </c>
      <c r="H154" s="711"/>
      <c r="I154" s="711"/>
      <c r="J154" s="711"/>
      <c r="K154" s="285">
        <v>45687</v>
      </c>
      <c r="L154" s="284" t="s">
        <v>490</v>
      </c>
      <c r="M154" s="284"/>
      <c r="N154" s="772"/>
      <c r="O154" s="772"/>
      <c r="P154" s="772"/>
    </row>
    <row r="155" spans="1:16" s="272" customFormat="1" ht="21" customHeight="1">
      <c r="A155" s="284">
        <f t="shared" ref="A155:A197" si="3">A154+1</f>
        <v>23</v>
      </c>
      <c r="B155" s="287" t="s">
        <v>178</v>
      </c>
      <c r="C155" s="182" t="s">
        <v>401</v>
      </c>
      <c r="D155" s="284" t="s">
        <v>239</v>
      </c>
      <c r="E155" s="285">
        <v>45682</v>
      </c>
      <c r="F155" s="286">
        <v>28</v>
      </c>
      <c r="G155" s="711" t="s">
        <v>402</v>
      </c>
      <c r="H155" s="711"/>
      <c r="I155" s="711"/>
      <c r="J155" s="711"/>
      <c r="K155" s="285">
        <v>45690</v>
      </c>
      <c r="L155" s="284" t="s">
        <v>500</v>
      </c>
      <c r="M155" s="284"/>
      <c r="N155" s="722"/>
      <c r="O155" s="722"/>
      <c r="P155" s="722"/>
    </row>
    <row r="156" spans="1:16" s="272" customFormat="1" ht="21" customHeight="1">
      <c r="A156" s="284">
        <f t="shared" si="3"/>
        <v>24</v>
      </c>
      <c r="B156" s="287" t="s">
        <v>137</v>
      </c>
      <c r="C156" s="182" t="s">
        <v>444</v>
      </c>
      <c r="D156" s="284" t="s">
        <v>239</v>
      </c>
      <c r="E156" s="285">
        <v>45688</v>
      </c>
      <c r="F156" s="286">
        <v>29</v>
      </c>
      <c r="G156" s="711" t="s">
        <v>402</v>
      </c>
      <c r="H156" s="711"/>
      <c r="I156" s="711"/>
      <c r="J156" s="711"/>
      <c r="K156" s="285">
        <v>45693</v>
      </c>
      <c r="L156" s="284" t="s">
        <v>490</v>
      </c>
      <c r="M156" s="284"/>
      <c r="N156" s="722"/>
      <c r="O156" s="722"/>
      <c r="P156" s="722"/>
    </row>
    <row r="157" spans="1:16" s="272" customFormat="1" ht="27.6" customHeight="1">
      <c r="A157" s="284">
        <f t="shared" si="3"/>
        <v>25</v>
      </c>
      <c r="B157" s="287" t="s">
        <v>145</v>
      </c>
      <c r="C157" s="182" t="s">
        <v>452</v>
      </c>
      <c r="D157" s="284" t="s">
        <v>239</v>
      </c>
      <c r="E157" s="285">
        <v>45694</v>
      </c>
      <c r="F157" s="286">
        <v>33</v>
      </c>
      <c r="G157" s="711" t="s">
        <v>402</v>
      </c>
      <c r="H157" s="711"/>
      <c r="I157" s="711"/>
      <c r="J157" s="711"/>
      <c r="K157" s="285">
        <v>45699</v>
      </c>
      <c r="L157" s="284" t="s">
        <v>490</v>
      </c>
      <c r="M157" s="284"/>
      <c r="N157" s="725"/>
      <c r="O157" s="725"/>
      <c r="P157" s="725"/>
    </row>
    <row r="158" spans="1:16" s="272" customFormat="1" ht="27.6" customHeight="1">
      <c r="A158" s="284">
        <f t="shared" si="3"/>
        <v>26</v>
      </c>
      <c r="B158" s="287" t="s">
        <v>146</v>
      </c>
      <c r="C158" s="182" t="s">
        <v>444</v>
      </c>
      <c r="D158" s="284" t="s">
        <v>239</v>
      </c>
      <c r="E158" s="285">
        <v>45700</v>
      </c>
      <c r="F158" s="286">
        <v>29</v>
      </c>
      <c r="G158" s="711" t="s">
        <v>402</v>
      </c>
      <c r="H158" s="711"/>
      <c r="I158" s="711"/>
      <c r="J158" s="711"/>
      <c r="K158" s="285">
        <v>45705</v>
      </c>
      <c r="L158" s="284" t="s">
        <v>490</v>
      </c>
      <c r="M158" s="284"/>
      <c r="N158" s="725"/>
      <c r="O158" s="725"/>
      <c r="P158" s="725"/>
    </row>
    <row r="159" spans="1:16" s="272" customFormat="1" ht="27.6" customHeight="1">
      <c r="A159" s="284">
        <f t="shared" si="3"/>
        <v>27</v>
      </c>
      <c r="B159" s="287" t="s">
        <v>175</v>
      </c>
      <c r="C159" s="182" t="s">
        <v>444</v>
      </c>
      <c r="D159" s="284" t="s">
        <v>239</v>
      </c>
      <c r="E159" s="285">
        <v>45700</v>
      </c>
      <c r="F159" s="286">
        <v>29</v>
      </c>
      <c r="G159" s="711" t="s">
        <v>402</v>
      </c>
      <c r="H159" s="711"/>
      <c r="I159" s="711"/>
      <c r="J159" s="711"/>
      <c r="K159" s="285">
        <v>45708</v>
      </c>
      <c r="L159" s="284" t="s">
        <v>490</v>
      </c>
      <c r="M159" s="284"/>
      <c r="N159" s="725"/>
      <c r="O159" s="725"/>
      <c r="P159" s="725"/>
    </row>
    <row r="160" spans="1:16" s="272" customFormat="1" ht="27.6" customHeight="1">
      <c r="A160" s="284">
        <f t="shared" si="3"/>
        <v>28</v>
      </c>
      <c r="B160" s="287" t="s">
        <v>496</v>
      </c>
      <c r="C160" s="182" t="s">
        <v>476</v>
      </c>
      <c r="D160" s="284" t="s">
        <v>239</v>
      </c>
      <c r="E160" s="285">
        <v>45709</v>
      </c>
      <c r="F160" s="286">
        <v>45</v>
      </c>
      <c r="G160" s="711" t="s">
        <v>402</v>
      </c>
      <c r="H160" s="711"/>
      <c r="I160" s="711"/>
      <c r="J160" s="711"/>
      <c r="K160" s="285">
        <v>45714</v>
      </c>
      <c r="L160" s="284" t="s">
        <v>490</v>
      </c>
      <c r="M160" s="284"/>
      <c r="N160" s="725"/>
      <c r="O160" s="725"/>
      <c r="P160" s="725"/>
    </row>
    <row r="161" spans="1:16" s="272" customFormat="1" ht="27.6" customHeight="1">
      <c r="A161" s="284">
        <f t="shared" si="3"/>
        <v>29</v>
      </c>
      <c r="B161" s="287" t="s">
        <v>497</v>
      </c>
      <c r="C161" s="182" t="s">
        <v>476</v>
      </c>
      <c r="D161" s="284" t="s">
        <v>239</v>
      </c>
      <c r="E161" s="285">
        <v>45714</v>
      </c>
      <c r="F161" s="286">
        <v>45</v>
      </c>
      <c r="G161" s="711" t="s">
        <v>402</v>
      </c>
      <c r="H161" s="711"/>
      <c r="I161" s="711"/>
      <c r="J161" s="711"/>
      <c r="K161" s="285">
        <v>45719</v>
      </c>
      <c r="L161" s="284" t="s">
        <v>490</v>
      </c>
      <c r="M161" s="284"/>
      <c r="N161" s="725"/>
      <c r="O161" s="725"/>
      <c r="P161" s="725"/>
    </row>
    <row r="162" spans="1:16" s="272" customFormat="1" ht="27.6" customHeight="1">
      <c r="A162" s="284">
        <f t="shared" si="3"/>
        <v>30</v>
      </c>
      <c r="B162" s="287" t="s">
        <v>505</v>
      </c>
      <c r="C162" s="182" t="s">
        <v>476</v>
      </c>
      <c r="D162" s="284" t="s">
        <v>239</v>
      </c>
      <c r="E162" s="285">
        <v>45719</v>
      </c>
      <c r="F162" s="286">
        <v>45</v>
      </c>
      <c r="G162" s="711" t="s">
        <v>402</v>
      </c>
      <c r="H162" s="711"/>
      <c r="I162" s="711"/>
      <c r="J162" s="711"/>
      <c r="K162" s="285">
        <v>45724</v>
      </c>
      <c r="L162" s="284" t="s">
        <v>490</v>
      </c>
      <c r="M162" s="284"/>
      <c r="N162" s="725"/>
      <c r="O162" s="725"/>
      <c r="P162" s="725"/>
    </row>
    <row r="163" spans="1:16" s="272" customFormat="1" ht="27.6" customHeight="1">
      <c r="A163" s="284">
        <f t="shared" si="3"/>
        <v>31</v>
      </c>
      <c r="B163" s="287" t="s">
        <v>161</v>
      </c>
      <c r="C163" s="182" t="s">
        <v>401</v>
      </c>
      <c r="D163" s="284" t="s">
        <v>239</v>
      </c>
      <c r="E163" s="285">
        <v>45722</v>
      </c>
      <c r="F163" s="286">
        <v>28</v>
      </c>
      <c r="G163" s="711" t="s">
        <v>402</v>
      </c>
      <c r="H163" s="711"/>
      <c r="I163" s="711"/>
      <c r="J163" s="711"/>
      <c r="K163" s="285">
        <v>45727</v>
      </c>
      <c r="L163" s="284" t="s">
        <v>500</v>
      </c>
      <c r="M163" s="284"/>
      <c r="N163" s="725"/>
      <c r="O163" s="725"/>
      <c r="P163" s="725"/>
    </row>
    <row r="164" spans="1:16" s="272" customFormat="1" ht="27.6" customHeight="1">
      <c r="A164" s="284">
        <f t="shared" si="3"/>
        <v>32</v>
      </c>
      <c r="B164" s="287" t="s">
        <v>159</v>
      </c>
      <c r="C164" s="182" t="s">
        <v>476</v>
      </c>
      <c r="D164" s="284" t="s">
        <v>239</v>
      </c>
      <c r="E164" s="285">
        <v>45728</v>
      </c>
      <c r="F164" s="286">
        <v>45</v>
      </c>
      <c r="G164" s="711" t="s">
        <v>402</v>
      </c>
      <c r="H164" s="711"/>
      <c r="I164" s="711"/>
      <c r="J164" s="711"/>
      <c r="K164" s="285">
        <v>45733</v>
      </c>
      <c r="L164" s="284" t="s">
        <v>500</v>
      </c>
      <c r="M164" s="284"/>
      <c r="N164" s="725"/>
      <c r="O164" s="725"/>
      <c r="P164" s="725"/>
    </row>
    <row r="165" spans="1:16" s="272" customFormat="1" ht="27.6" customHeight="1">
      <c r="A165" s="284">
        <f t="shared" si="3"/>
        <v>33</v>
      </c>
      <c r="B165" s="287" t="s">
        <v>503</v>
      </c>
      <c r="C165" s="182" t="s">
        <v>504</v>
      </c>
      <c r="D165" s="284" t="s">
        <v>239</v>
      </c>
      <c r="E165" s="285">
        <v>45734</v>
      </c>
      <c r="F165" s="286">
        <v>54</v>
      </c>
      <c r="G165" s="711" t="s">
        <v>402</v>
      </c>
      <c r="H165" s="711"/>
      <c r="I165" s="711"/>
      <c r="J165" s="711"/>
      <c r="K165" s="285">
        <v>45739</v>
      </c>
      <c r="L165" s="284" t="s">
        <v>500</v>
      </c>
      <c r="M165" s="284"/>
      <c r="N165" s="725"/>
      <c r="O165" s="725"/>
      <c r="P165" s="725"/>
    </row>
    <row r="166" spans="1:16" s="272" customFormat="1" ht="27.6" customHeight="1">
      <c r="A166" s="284">
        <f t="shared" si="3"/>
        <v>34</v>
      </c>
      <c r="B166" s="287" t="s">
        <v>4</v>
      </c>
      <c r="C166" s="182" t="s">
        <v>506</v>
      </c>
      <c r="D166" s="284" t="s">
        <v>239</v>
      </c>
      <c r="E166" s="285">
        <v>45734</v>
      </c>
      <c r="F166" s="286">
        <v>52</v>
      </c>
      <c r="G166" s="711" t="s">
        <v>402</v>
      </c>
      <c r="H166" s="711"/>
      <c r="I166" s="711"/>
      <c r="J166" s="711"/>
      <c r="K166" s="285">
        <v>45744</v>
      </c>
      <c r="L166" s="284" t="s">
        <v>500</v>
      </c>
      <c r="M166" s="284"/>
      <c r="N166" s="725"/>
      <c r="O166" s="725"/>
      <c r="P166" s="725"/>
    </row>
    <row r="167" spans="1:16" s="272" customFormat="1" ht="27.6" customHeight="1">
      <c r="A167" s="284">
        <f t="shared" si="3"/>
        <v>35</v>
      </c>
      <c r="B167" s="287" t="s">
        <v>5</v>
      </c>
      <c r="C167" s="182" t="s">
        <v>401</v>
      </c>
      <c r="D167" s="284" t="s">
        <v>239</v>
      </c>
      <c r="E167" s="285">
        <v>45744</v>
      </c>
      <c r="F167" s="286">
        <v>28</v>
      </c>
      <c r="G167" s="711" t="s">
        <v>402</v>
      </c>
      <c r="H167" s="711"/>
      <c r="I167" s="711"/>
      <c r="J167" s="711"/>
      <c r="K167" s="285">
        <v>45748</v>
      </c>
      <c r="L167" s="284" t="s">
        <v>500</v>
      </c>
      <c r="M167" s="284"/>
      <c r="N167" s="725"/>
      <c r="O167" s="725"/>
      <c r="P167" s="725"/>
    </row>
    <row r="168" spans="1:16" s="272" customFormat="1" ht="27.6" customHeight="1">
      <c r="A168" s="284">
        <f t="shared" si="3"/>
        <v>36</v>
      </c>
      <c r="B168" s="287" t="s">
        <v>50</v>
      </c>
      <c r="C168" s="182" t="s">
        <v>444</v>
      </c>
      <c r="D168" s="284" t="s">
        <v>239</v>
      </c>
      <c r="E168" s="285">
        <v>45749</v>
      </c>
      <c r="F168" s="286">
        <v>29</v>
      </c>
      <c r="G168" s="711" t="s">
        <v>402</v>
      </c>
      <c r="H168" s="711"/>
      <c r="I168" s="711"/>
      <c r="J168" s="711"/>
      <c r="K168" s="285">
        <v>45752</v>
      </c>
      <c r="L168" s="284" t="s">
        <v>500</v>
      </c>
      <c r="M168" s="284"/>
      <c r="N168" s="725"/>
      <c r="O168" s="725"/>
      <c r="P168" s="725"/>
    </row>
    <row r="169" spans="1:16" s="272" customFormat="1" ht="27.6" customHeight="1">
      <c r="A169" s="284">
        <f t="shared" si="3"/>
        <v>37</v>
      </c>
      <c r="B169" s="287" t="s">
        <v>591</v>
      </c>
      <c r="C169" s="182" t="s">
        <v>590</v>
      </c>
      <c r="D169" s="284" t="s">
        <v>239</v>
      </c>
      <c r="E169" s="285">
        <v>45752</v>
      </c>
      <c r="F169" s="286">
        <v>47</v>
      </c>
      <c r="G169" s="711" t="s">
        <v>402</v>
      </c>
      <c r="H169" s="711"/>
      <c r="I169" s="711"/>
      <c r="J169" s="711"/>
      <c r="K169" s="285">
        <v>45757</v>
      </c>
      <c r="L169" s="284" t="s">
        <v>500</v>
      </c>
      <c r="M169" s="284"/>
      <c r="N169" s="725"/>
      <c r="O169" s="725"/>
      <c r="P169" s="725"/>
    </row>
    <row r="170" spans="1:16" s="272" customFormat="1" ht="27.6" customHeight="1">
      <c r="A170" s="284">
        <f t="shared" si="3"/>
        <v>38</v>
      </c>
      <c r="B170" s="287" t="s">
        <v>121</v>
      </c>
      <c r="C170" s="182" t="s">
        <v>595</v>
      </c>
      <c r="D170" s="284" t="s">
        <v>239</v>
      </c>
      <c r="E170" s="285">
        <v>45758</v>
      </c>
      <c r="F170" s="286">
        <v>54</v>
      </c>
      <c r="G170" s="711" t="s">
        <v>402</v>
      </c>
      <c r="H170" s="711"/>
      <c r="I170" s="711"/>
      <c r="J170" s="711"/>
      <c r="K170" s="285">
        <v>45768</v>
      </c>
      <c r="L170" s="284" t="s">
        <v>490</v>
      </c>
      <c r="M170" s="284"/>
      <c r="N170" s="725"/>
      <c r="O170" s="725"/>
      <c r="P170" s="725"/>
    </row>
    <row r="171" spans="1:16" s="272" customFormat="1" ht="27.6" customHeight="1">
      <c r="A171" s="284">
        <f t="shared" si="3"/>
        <v>39</v>
      </c>
      <c r="B171" s="287" t="s">
        <v>180</v>
      </c>
      <c r="C171" s="182" t="s">
        <v>444</v>
      </c>
      <c r="D171" s="284" t="s">
        <v>239</v>
      </c>
      <c r="E171" s="285">
        <v>45759</v>
      </c>
      <c r="F171" s="286">
        <v>29</v>
      </c>
      <c r="G171" s="711" t="s">
        <v>402</v>
      </c>
      <c r="H171" s="711"/>
      <c r="I171" s="711"/>
      <c r="J171" s="711"/>
      <c r="K171" s="285">
        <v>45765</v>
      </c>
      <c r="L171" s="284" t="s">
        <v>500</v>
      </c>
      <c r="M171" s="284"/>
      <c r="N171" s="725"/>
      <c r="O171" s="725"/>
      <c r="P171" s="725"/>
    </row>
    <row r="172" spans="1:16" s="272" customFormat="1" ht="27.6" customHeight="1">
      <c r="A172" s="284">
        <f t="shared" si="3"/>
        <v>40</v>
      </c>
      <c r="B172" s="287" t="s">
        <v>593</v>
      </c>
      <c r="C172" s="182" t="s">
        <v>594</v>
      </c>
      <c r="D172" s="284" t="s">
        <v>239</v>
      </c>
      <c r="E172" s="285">
        <v>45765</v>
      </c>
      <c r="F172" s="286">
        <v>45</v>
      </c>
      <c r="G172" s="711" t="s">
        <v>402</v>
      </c>
      <c r="H172" s="711"/>
      <c r="I172" s="711"/>
      <c r="J172" s="711"/>
      <c r="K172" s="285">
        <v>45773</v>
      </c>
      <c r="L172" s="284" t="s">
        <v>656</v>
      </c>
      <c r="M172" s="284"/>
      <c r="N172" s="775" t="s">
        <v>109</v>
      </c>
      <c r="O172" s="775"/>
      <c r="P172" s="775"/>
    </row>
    <row r="173" spans="1:16" s="272" customFormat="1" ht="27.6" customHeight="1">
      <c r="A173" s="284">
        <f t="shared" si="3"/>
        <v>41</v>
      </c>
      <c r="B173" s="287" t="s">
        <v>489</v>
      </c>
      <c r="C173" s="182" t="s">
        <v>476</v>
      </c>
      <c r="D173" s="284" t="s">
        <v>239</v>
      </c>
      <c r="E173" s="285">
        <v>45769</v>
      </c>
      <c r="F173" s="286">
        <v>45</v>
      </c>
      <c r="G173" s="711" t="s">
        <v>402</v>
      </c>
      <c r="H173" s="711"/>
      <c r="I173" s="711"/>
      <c r="J173" s="711"/>
      <c r="K173" s="285">
        <v>45776</v>
      </c>
      <c r="L173" s="284" t="s">
        <v>657</v>
      </c>
      <c r="M173" s="284"/>
      <c r="N173" s="718"/>
      <c r="O173" s="718"/>
      <c r="P173" s="718"/>
    </row>
    <row r="174" spans="1:16" s="272" customFormat="1" ht="27.6" customHeight="1">
      <c r="A174" s="284">
        <f t="shared" si="3"/>
        <v>42</v>
      </c>
      <c r="B174" s="287" t="s">
        <v>167</v>
      </c>
      <c r="C174" s="182" t="s">
        <v>453</v>
      </c>
      <c r="D174" s="284" t="s">
        <v>239</v>
      </c>
      <c r="E174" s="285">
        <v>45774</v>
      </c>
      <c r="F174" s="286">
        <v>34.630000000000003</v>
      </c>
      <c r="G174" s="711" t="s">
        <v>402</v>
      </c>
      <c r="H174" s="711"/>
      <c r="I174" s="711"/>
      <c r="J174" s="711"/>
      <c r="K174" s="285">
        <v>45780</v>
      </c>
      <c r="L174" s="284" t="s">
        <v>656</v>
      </c>
      <c r="M174" s="284"/>
      <c r="N174" s="718"/>
      <c r="O174" s="718"/>
      <c r="P174" s="718"/>
    </row>
    <row r="175" spans="1:16" s="272" customFormat="1" ht="27.6" customHeight="1">
      <c r="A175" s="284">
        <f t="shared" si="3"/>
        <v>43</v>
      </c>
      <c r="B175" s="287" t="s">
        <v>20</v>
      </c>
      <c r="C175" s="182" t="s">
        <v>444</v>
      </c>
      <c r="D175" s="284" t="s">
        <v>239</v>
      </c>
      <c r="E175" s="285">
        <v>45776</v>
      </c>
      <c r="F175" s="286">
        <v>29</v>
      </c>
      <c r="G175" s="711" t="s">
        <v>402</v>
      </c>
      <c r="H175" s="711"/>
      <c r="I175" s="711"/>
      <c r="J175" s="711"/>
      <c r="K175" s="285">
        <v>45784</v>
      </c>
      <c r="L175" s="284" t="s">
        <v>657</v>
      </c>
      <c r="M175" s="284"/>
      <c r="N175" s="718"/>
      <c r="O175" s="718"/>
      <c r="P175" s="718"/>
    </row>
    <row r="176" spans="1:16" s="272" customFormat="1" ht="27.6" customHeight="1">
      <c r="A176" s="284">
        <f t="shared" si="3"/>
        <v>44</v>
      </c>
      <c r="B176" s="287" t="s">
        <v>37</v>
      </c>
      <c r="C176" s="182" t="s">
        <v>401</v>
      </c>
      <c r="D176" s="284" t="s">
        <v>239</v>
      </c>
      <c r="E176" s="285">
        <v>45782</v>
      </c>
      <c r="F176" s="286">
        <v>28</v>
      </c>
      <c r="G176" s="711" t="s">
        <v>402</v>
      </c>
      <c r="H176" s="711"/>
      <c r="I176" s="711"/>
      <c r="J176" s="711"/>
      <c r="K176" s="285">
        <v>45787</v>
      </c>
      <c r="L176" s="284" t="s">
        <v>656</v>
      </c>
      <c r="M176" s="284"/>
      <c r="N176" s="717" t="s">
        <v>109</v>
      </c>
      <c r="O176" s="717"/>
      <c r="P176" s="717"/>
    </row>
    <row r="177" spans="1:16" s="272" customFormat="1" ht="27.6" customHeight="1">
      <c r="A177" s="284">
        <f t="shared" si="3"/>
        <v>45</v>
      </c>
      <c r="B177" s="287" t="s">
        <v>512</v>
      </c>
      <c r="C177" s="182" t="s">
        <v>476</v>
      </c>
      <c r="D177" s="284" t="s">
        <v>239</v>
      </c>
      <c r="E177" s="285">
        <v>45785</v>
      </c>
      <c r="F177" s="286">
        <v>45</v>
      </c>
      <c r="G177" s="711" t="s">
        <v>402</v>
      </c>
      <c r="H177" s="711"/>
      <c r="I177" s="711"/>
      <c r="J177" s="711"/>
      <c r="K177" s="285">
        <v>45794</v>
      </c>
      <c r="L177" s="284" t="s">
        <v>656</v>
      </c>
      <c r="M177" s="284"/>
      <c r="N177" s="717"/>
      <c r="O177" s="717"/>
      <c r="P177" s="717"/>
    </row>
    <row r="178" spans="1:16" s="272" customFormat="1" ht="27.6" customHeight="1">
      <c r="A178" s="284">
        <f t="shared" si="3"/>
        <v>46</v>
      </c>
      <c r="B178" s="287" t="s">
        <v>157</v>
      </c>
      <c r="C178" s="182" t="s">
        <v>452</v>
      </c>
      <c r="D178" s="284" t="s">
        <v>239</v>
      </c>
      <c r="E178" s="285">
        <v>45788</v>
      </c>
      <c r="F178" s="286">
        <v>33</v>
      </c>
      <c r="G178" s="711" t="s">
        <v>402</v>
      </c>
      <c r="H178" s="711"/>
      <c r="I178" s="711"/>
      <c r="J178" s="711"/>
      <c r="K178" s="285">
        <v>45796</v>
      </c>
      <c r="L178" s="284" t="s">
        <v>657</v>
      </c>
      <c r="M178" s="284"/>
      <c r="N178" s="717"/>
      <c r="O178" s="717"/>
      <c r="P178" s="717"/>
    </row>
    <row r="179" spans="1:16" s="272" customFormat="1" ht="27.6" customHeight="1">
      <c r="A179" s="284">
        <f t="shared" si="3"/>
        <v>47</v>
      </c>
      <c r="B179" s="287" t="s">
        <v>127</v>
      </c>
      <c r="C179" s="182" t="s">
        <v>448</v>
      </c>
      <c r="D179" s="284" t="s">
        <v>239</v>
      </c>
      <c r="E179" s="285">
        <v>45788</v>
      </c>
      <c r="F179" s="286">
        <v>27</v>
      </c>
      <c r="G179" s="711" t="s">
        <v>402</v>
      </c>
      <c r="H179" s="711"/>
      <c r="I179" s="711"/>
      <c r="J179" s="711"/>
      <c r="K179" s="285">
        <v>45803</v>
      </c>
      <c r="L179" s="284" t="s">
        <v>656</v>
      </c>
      <c r="M179" s="284"/>
      <c r="N179" s="717"/>
      <c r="O179" s="717"/>
      <c r="P179" s="717"/>
    </row>
    <row r="180" spans="1:16" s="272" customFormat="1" ht="27.6" customHeight="1">
      <c r="A180" s="284">
        <f t="shared" si="3"/>
        <v>48</v>
      </c>
      <c r="B180" s="287" t="s">
        <v>129</v>
      </c>
      <c r="C180" s="182" t="s">
        <v>444</v>
      </c>
      <c r="D180" s="284" t="s">
        <v>239</v>
      </c>
      <c r="E180" s="285">
        <v>45799</v>
      </c>
      <c r="F180" s="286">
        <v>29</v>
      </c>
      <c r="G180" s="711" t="s">
        <v>402</v>
      </c>
      <c r="H180" s="711"/>
      <c r="I180" s="711"/>
      <c r="J180" s="711"/>
      <c r="K180" s="285">
        <v>45805</v>
      </c>
      <c r="L180" s="284" t="s">
        <v>657</v>
      </c>
      <c r="M180" s="284"/>
      <c r="N180" s="717"/>
      <c r="O180" s="717"/>
      <c r="P180" s="717"/>
    </row>
    <row r="181" spans="1:16" s="272" customFormat="1" ht="27.6" customHeight="1">
      <c r="A181" s="284">
        <f t="shared" si="3"/>
        <v>49</v>
      </c>
      <c r="B181" s="287" t="s">
        <v>132</v>
      </c>
      <c r="C181" s="182" t="s">
        <v>448</v>
      </c>
      <c r="D181" s="284" t="s">
        <v>239</v>
      </c>
      <c r="E181" s="285">
        <v>45807</v>
      </c>
      <c r="F181" s="286">
        <v>27</v>
      </c>
      <c r="G181" s="711" t="s">
        <v>402</v>
      </c>
      <c r="H181" s="711"/>
      <c r="I181" s="711"/>
      <c r="J181" s="711"/>
      <c r="K181" s="285">
        <v>45812</v>
      </c>
      <c r="L181" s="284" t="s">
        <v>656</v>
      </c>
      <c r="M181" s="284"/>
      <c r="N181" s="710"/>
      <c r="O181" s="710"/>
      <c r="P181" s="710"/>
    </row>
    <row r="182" spans="1:16" s="272" customFormat="1" ht="27.6" customHeight="1">
      <c r="A182" s="284">
        <f t="shared" si="3"/>
        <v>50</v>
      </c>
      <c r="B182" s="287" t="s">
        <v>144</v>
      </c>
      <c r="C182" s="182" t="s">
        <v>448</v>
      </c>
      <c r="D182" s="284" t="s">
        <v>239</v>
      </c>
      <c r="E182" s="285">
        <v>45806</v>
      </c>
      <c r="F182" s="286">
        <v>27</v>
      </c>
      <c r="G182" s="711" t="s">
        <v>402</v>
      </c>
      <c r="H182" s="711"/>
      <c r="I182" s="711"/>
      <c r="J182" s="711"/>
      <c r="K182" s="285">
        <v>45810</v>
      </c>
      <c r="L182" s="284" t="s">
        <v>657</v>
      </c>
      <c r="M182" s="284"/>
      <c r="N182" s="710"/>
      <c r="O182" s="710"/>
      <c r="P182" s="710"/>
    </row>
    <row r="183" spans="1:16" s="272" customFormat="1" ht="27.6" customHeight="1">
      <c r="A183" s="284">
        <f t="shared" si="3"/>
        <v>51</v>
      </c>
      <c r="B183" s="287" t="s">
        <v>123</v>
      </c>
      <c r="C183" s="182" t="s">
        <v>448</v>
      </c>
      <c r="D183" s="284" t="s">
        <v>239</v>
      </c>
      <c r="E183" s="285">
        <v>45811</v>
      </c>
      <c r="F183" s="286">
        <v>27</v>
      </c>
      <c r="G183" s="711" t="s">
        <v>402</v>
      </c>
      <c r="H183" s="711"/>
      <c r="I183" s="711"/>
      <c r="J183" s="711"/>
      <c r="K183" s="285">
        <v>45816</v>
      </c>
      <c r="L183" s="284" t="s">
        <v>656</v>
      </c>
      <c r="M183" s="284"/>
      <c r="N183" s="710"/>
      <c r="O183" s="710"/>
      <c r="P183" s="710"/>
    </row>
    <row r="184" spans="1:16" s="272" customFormat="1" ht="27.6" customHeight="1">
      <c r="A184" s="284">
        <f t="shared" si="3"/>
        <v>52</v>
      </c>
      <c r="B184" s="287" t="s">
        <v>124</v>
      </c>
      <c r="C184" s="182" t="s">
        <v>448</v>
      </c>
      <c r="D184" s="284" t="s">
        <v>239</v>
      </c>
      <c r="E184" s="285">
        <v>45817</v>
      </c>
      <c r="F184" s="286">
        <v>27</v>
      </c>
      <c r="G184" s="711" t="s">
        <v>402</v>
      </c>
      <c r="H184" s="711"/>
      <c r="I184" s="711"/>
      <c r="J184" s="711"/>
      <c r="K184" s="285">
        <v>45820</v>
      </c>
      <c r="L184" s="284" t="s">
        <v>656</v>
      </c>
      <c r="M184" s="284"/>
      <c r="N184" s="710"/>
      <c r="O184" s="710"/>
      <c r="P184" s="710"/>
    </row>
    <row r="185" spans="1:16" s="272" customFormat="1" ht="27.6" customHeight="1">
      <c r="A185" s="284">
        <f t="shared" si="3"/>
        <v>53</v>
      </c>
      <c r="B185" s="287" t="s">
        <v>125</v>
      </c>
      <c r="C185" s="182" t="s">
        <v>448</v>
      </c>
      <c r="D185" s="284" t="s">
        <v>239</v>
      </c>
      <c r="E185" s="285">
        <v>45820</v>
      </c>
      <c r="F185" s="286">
        <v>27</v>
      </c>
      <c r="G185" s="711" t="s">
        <v>402</v>
      </c>
      <c r="H185" s="711"/>
      <c r="I185" s="711"/>
      <c r="J185" s="711"/>
      <c r="K185" s="285">
        <v>45825</v>
      </c>
      <c r="L185" s="284" t="s">
        <v>657</v>
      </c>
      <c r="M185" s="284"/>
      <c r="N185" s="710"/>
      <c r="O185" s="710"/>
      <c r="P185" s="710"/>
    </row>
    <row r="186" spans="1:16" s="272" customFormat="1" ht="27.6" customHeight="1">
      <c r="A186" s="284">
        <f t="shared" si="3"/>
        <v>54</v>
      </c>
      <c r="B186" s="469" t="s">
        <v>122</v>
      </c>
      <c r="C186" s="182" t="s">
        <v>669</v>
      </c>
      <c r="D186" s="284" t="s">
        <v>239</v>
      </c>
      <c r="E186" s="285">
        <v>45822</v>
      </c>
      <c r="F186" s="286">
        <v>56</v>
      </c>
      <c r="G186" s="711" t="s">
        <v>402</v>
      </c>
      <c r="H186" s="711"/>
      <c r="I186" s="711"/>
      <c r="J186" s="711"/>
      <c r="K186" s="184">
        <v>45832</v>
      </c>
      <c r="L186" s="284" t="s">
        <v>656</v>
      </c>
      <c r="M186" s="284"/>
      <c r="N186" s="710"/>
      <c r="O186" s="710"/>
      <c r="P186" s="710"/>
    </row>
    <row r="187" spans="1:16" s="272" customFormat="1" ht="27.6" customHeight="1">
      <c r="A187" s="284">
        <f t="shared" si="3"/>
        <v>55</v>
      </c>
      <c r="B187" s="469" t="s">
        <v>630</v>
      </c>
      <c r="C187" s="182" t="s">
        <v>631</v>
      </c>
      <c r="D187" s="284" t="s">
        <v>239</v>
      </c>
      <c r="E187" s="285">
        <v>45827</v>
      </c>
      <c r="F187" s="286">
        <v>47</v>
      </c>
      <c r="G187" s="711" t="s">
        <v>402</v>
      </c>
      <c r="H187" s="711"/>
      <c r="I187" s="711"/>
      <c r="J187" s="711"/>
      <c r="K187" s="184">
        <v>45839</v>
      </c>
      <c r="L187" s="284" t="s">
        <v>657</v>
      </c>
      <c r="M187" s="284"/>
      <c r="N187" s="710"/>
      <c r="O187" s="710"/>
      <c r="P187" s="710"/>
    </row>
    <row r="188" spans="1:16" s="272" customFormat="1" ht="27.6" customHeight="1">
      <c r="A188" s="284">
        <f t="shared" si="3"/>
        <v>56</v>
      </c>
      <c r="B188" s="469" t="s">
        <v>615</v>
      </c>
      <c r="C188" s="182" t="s">
        <v>401</v>
      </c>
      <c r="D188" s="284" t="s">
        <v>239</v>
      </c>
      <c r="E188" s="285">
        <v>45841</v>
      </c>
      <c r="F188" s="286">
        <v>28</v>
      </c>
      <c r="G188" s="711" t="s">
        <v>402</v>
      </c>
      <c r="H188" s="711"/>
      <c r="I188" s="711"/>
      <c r="J188" s="711"/>
      <c r="K188" s="184">
        <v>45850</v>
      </c>
      <c r="L188" s="480" t="s">
        <v>693</v>
      </c>
      <c r="M188" s="284"/>
      <c r="N188" s="710"/>
      <c r="O188" s="710"/>
      <c r="P188" s="710"/>
    </row>
    <row r="189" spans="1:16" s="272" customFormat="1" ht="27.6" customHeight="1">
      <c r="A189" s="284">
        <f t="shared" si="3"/>
        <v>57</v>
      </c>
      <c r="B189" s="469" t="s">
        <v>596</v>
      </c>
      <c r="C189" s="182" t="s">
        <v>595</v>
      </c>
      <c r="D189" s="284" t="s">
        <v>239</v>
      </c>
      <c r="E189" s="285">
        <v>45841</v>
      </c>
      <c r="F189" s="286">
        <v>54</v>
      </c>
      <c r="G189" s="711" t="s">
        <v>402</v>
      </c>
      <c r="H189" s="711"/>
      <c r="I189" s="711"/>
      <c r="J189" s="711"/>
      <c r="K189" s="184">
        <v>45859</v>
      </c>
      <c r="L189" s="284" t="s">
        <v>656</v>
      </c>
      <c r="M189" s="284"/>
      <c r="N189" s="710"/>
      <c r="O189" s="710"/>
      <c r="P189" s="710"/>
    </row>
    <row r="190" spans="1:16" s="272" customFormat="1" ht="27.6" customHeight="1">
      <c r="A190" s="284">
        <f t="shared" si="3"/>
        <v>58</v>
      </c>
      <c r="B190" s="469" t="s">
        <v>518</v>
      </c>
      <c r="C190" s="182" t="s">
        <v>590</v>
      </c>
      <c r="D190" s="284" t="s">
        <v>239</v>
      </c>
      <c r="E190" s="285">
        <v>45841</v>
      </c>
      <c r="F190" s="286">
        <v>47</v>
      </c>
      <c r="G190" s="711" t="s">
        <v>402</v>
      </c>
      <c r="H190" s="711"/>
      <c r="I190" s="711"/>
      <c r="J190" s="711"/>
      <c r="K190" s="184">
        <v>45852</v>
      </c>
      <c r="L190" s="284" t="s">
        <v>694</v>
      </c>
      <c r="M190" s="284"/>
      <c r="N190" s="710"/>
      <c r="O190" s="710"/>
      <c r="P190" s="710"/>
    </row>
    <row r="191" spans="1:16" s="272" customFormat="1" ht="27.6" customHeight="1">
      <c r="A191" s="284">
        <f t="shared" si="3"/>
        <v>59</v>
      </c>
      <c r="B191" s="469" t="s">
        <v>21</v>
      </c>
      <c r="C191" s="182" t="s">
        <v>401</v>
      </c>
      <c r="D191" s="284" t="s">
        <v>239</v>
      </c>
      <c r="E191" s="285">
        <v>45852</v>
      </c>
      <c r="F191" s="286">
        <v>28</v>
      </c>
      <c r="G191" s="711" t="s">
        <v>402</v>
      </c>
      <c r="H191" s="711"/>
      <c r="I191" s="711"/>
      <c r="J191" s="711"/>
      <c r="K191" s="184">
        <v>45858</v>
      </c>
      <c r="L191" s="480" t="s">
        <v>693</v>
      </c>
      <c r="M191" s="284"/>
      <c r="N191" s="710"/>
      <c r="O191" s="710"/>
      <c r="P191" s="710"/>
    </row>
    <row r="192" spans="1:16" s="272" customFormat="1" ht="27.6" customHeight="1">
      <c r="A192" s="284">
        <f t="shared" si="3"/>
        <v>60</v>
      </c>
      <c r="B192" s="469" t="s">
        <v>142</v>
      </c>
      <c r="C192" s="182" t="s">
        <v>453</v>
      </c>
      <c r="D192" s="284" t="s">
        <v>239</v>
      </c>
      <c r="E192" s="285">
        <v>45853</v>
      </c>
      <c r="F192" s="286">
        <v>34.6</v>
      </c>
      <c r="G192" s="711" t="s">
        <v>402</v>
      </c>
      <c r="H192" s="711"/>
      <c r="I192" s="711"/>
      <c r="J192" s="711"/>
      <c r="K192" s="184">
        <v>45861</v>
      </c>
      <c r="L192" s="480" t="s">
        <v>694</v>
      </c>
      <c r="M192" s="284"/>
      <c r="N192" s="710"/>
      <c r="O192" s="710"/>
      <c r="P192" s="710"/>
    </row>
    <row r="193" spans="1:16" s="272" customFormat="1" ht="27.6" customHeight="1">
      <c r="A193" s="284">
        <f t="shared" si="3"/>
        <v>61</v>
      </c>
      <c r="B193" s="469" t="s">
        <v>138</v>
      </c>
      <c r="C193" s="182" t="s">
        <v>453</v>
      </c>
      <c r="D193" s="284" t="s">
        <v>239</v>
      </c>
      <c r="E193" s="285">
        <v>45859</v>
      </c>
      <c r="F193" s="286">
        <v>34.6</v>
      </c>
      <c r="G193" s="711" t="s">
        <v>402</v>
      </c>
      <c r="H193" s="711"/>
      <c r="I193" s="711"/>
      <c r="J193" s="711"/>
      <c r="K193" s="184">
        <v>45869</v>
      </c>
      <c r="L193" s="480" t="s">
        <v>694</v>
      </c>
      <c r="M193" s="284"/>
      <c r="N193" s="710"/>
      <c r="O193" s="710"/>
      <c r="P193" s="710"/>
    </row>
    <row r="194" spans="1:16" s="272" customFormat="1" ht="27.6" customHeight="1">
      <c r="A194" s="284">
        <f t="shared" si="3"/>
        <v>62</v>
      </c>
      <c r="B194" s="469" t="s">
        <v>134</v>
      </c>
      <c r="C194" s="182" t="s">
        <v>401</v>
      </c>
      <c r="D194" s="284" t="s">
        <v>239</v>
      </c>
      <c r="E194" s="285">
        <v>45860</v>
      </c>
      <c r="F194" s="286">
        <v>28</v>
      </c>
      <c r="G194" s="711" t="s">
        <v>402</v>
      </c>
      <c r="H194" s="711"/>
      <c r="I194" s="711"/>
      <c r="J194" s="711"/>
      <c r="K194" s="184">
        <v>45868</v>
      </c>
      <c r="L194" s="480" t="s">
        <v>693</v>
      </c>
      <c r="M194" s="284"/>
      <c r="N194" s="710"/>
      <c r="O194" s="710"/>
      <c r="P194" s="710"/>
    </row>
    <row r="195" spans="1:16" s="272" customFormat="1" ht="27.6" customHeight="1">
      <c r="A195" s="284">
        <f t="shared" si="3"/>
        <v>63</v>
      </c>
      <c r="B195" s="469" t="s">
        <v>130</v>
      </c>
      <c r="C195" s="182" t="s">
        <v>444</v>
      </c>
      <c r="D195" s="284" t="s">
        <v>239</v>
      </c>
      <c r="E195" s="285">
        <v>45859</v>
      </c>
      <c r="F195" s="286">
        <v>29</v>
      </c>
      <c r="G195" s="711" t="s">
        <v>402</v>
      </c>
      <c r="H195" s="711"/>
      <c r="I195" s="711"/>
      <c r="J195" s="711"/>
      <c r="K195" s="184">
        <v>45876</v>
      </c>
      <c r="L195" s="284" t="s">
        <v>692</v>
      </c>
      <c r="M195" s="284"/>
      <c r="N195" s="710"/>
      <c r="O195" s="710"/>
      <c r="P195" s="710"/>
    </row>
    <row r="196" spans="1:16" s="272" customFormat="1" ht="27.6" customHeight="1">
      <c r="A196" s="284">
        <f t="shared" si="3"/>
        <v>64</v>
      </c>
      <c r="B196" s="469" t="s">
        <v>149</v>
      </c>
      <c r="C196" s="182" t="s">
        <v>444</v>
      </c>
      <c r="D196" s="284" t="s">
        <v>239</v>
      </c>
      <c r="E196" s="285">
        <v>45862</v>
      </c>
      <c r="F196" s="286">
        <v>29</v>
      </c>
      <c r="G196" s="711" t="s">
        <v>402</v>
      </c>
      <c r="H196" s="711"/>
      <c r="I196" s="711"/>
      <c r="J196" s="711"/>
      <c r="K196" s="184">
        <v>45875</v>
      </c>
      <c r="L196" s="284" t="s">
        <v>695</v>
      </c>
      <c r="M196" s="284"/>
      <c r="N196" s="712"/>
      <c r="O196" s="712"/>
      <c r="P196" s="712"/>
    </row>
    <row r="197" spans="1:16" s="272" customFormat="1" ht="27.6" customHeight="1">
      <c r="A197" s="284">
        <f t="shared" si="3"/>
        <v>65</v>
      </c>
      <c r="B197" s="469" t="s">
        <v>131</v>
      </c>
      <c r="C197" s="182" t="s">
        <v>444</v>
      </c>
      <c r="D197" s="284" t="s">
        <v>239</v>
      </c>
      <c r="E197" s="285">
        <v>45837</v>
      </c>
      <c r="F197" s="286">
        <v>29</v>
      </c>
      <c r="G197" s="711" t="s">
        <v>402</v>
      </c>
      <c r="H197" s="711"/>
      <c r="I197" s="711"/>
      <c r="J197" s="711"/>
      <c r="K197" s="184">
        <v>45876</v>
      </c>
      <c r="L197" s="480" t="s">
        <v>693</v>
      </c>
      <c r="M197" s="284"/>
      <c r="N197" s="712"/>
      <c r="O197" s="712"/>
      <c r="P197" s="712"/>
    </row>
    <row r="198" spans="1:16" s="430" customFormat="1" ht="27.6" customHeight="1">
      <c r="A198" s="479">
        <f>A197+1</f>
        <v>66</v>
      </c>
      <c r="B198" s="469" t="s">
        <v>19</v>
      </c>
      <c r="C198" s="437" t="s">
        <v>589</v>
      </c>
      <c r="D198" s="479" t="s">
        <v>239</v>
      </c>
      <c r="E198" s="285">
        <v>45875</v>
      </c>
      <c r="F198" s="286">
        <v>54</v>
      </c>
      <c r="G198" s="711" t="s">
        <v>402</v>
      </c>
      <c r="H198" s="711"/>
      <c r="I198" s="711"/>
      <c r="J198" s="711"/>
      <c r="K198" s="184">
        <v>45888</v>
      </c>
      <c r="L198" s="480" t="s">
        <v>694</v>
      </c>
      <c r="M198" s="479"/>
      <c r="N198" s="710"/>
      <c r="O198" s="710"/>
      <c r="P198" s="710"/>
    </row>
    <row r="199" spans="1:16" s="430" customFormat="1" ht="27.6" customHeight="1">
      <c r="A199" s="479">
        <f t="shared" ref="A199:A227" si="4">A198+1</f>
        <v>67</v>
      </c>
      <c r="B199" s="469" t="s">
        <v>139</v>
      </c>
      <c r="C199" s="182" t="s">
        <v>453</v>
      </c>
      <c r="D199" s="479" t="s">
        <v>239</v>
      </c>
      <c r="E199" s="285">
        <v>45876</v>
      </c>
      <c r="F199" s="286">
        <v>34.630000000000003</v>
      </c>
      <c r="G199" s="711" t="s">
        <v>402</v>
      </c>
      <c r="H199" s="711"/>
      <c r="I199" s="711"/>
      <c r="J199" s="711"/>
      <c r="K199" s="184">
        <v>45886</v>
      </c>
      <c r="L199" s="480" t="s">
        <v>693</v>
      </c>
      <c r="M199" s="479"/>
      <c r="N199" s="710"/>
      <c r="O199" s="710"/>
      <c r="P199" s="710"/>
    </row>
    <row r="200" spans="1:16" s="430" customFormat="1" ht="27.6" customHeight="1">
      <c r="A200" s="479">
        <f t="shared" si="4"/>
        <v>68</v>
      </c>
      <c r="B200" s="469" t="s">
        <v>605</v>
      </c>
      <c r="C200" s="182" t="s">
        <v>629</v>
      </c>
      <c r="D200" s="479" t="s">
        <v>239</v>
      </c>
      <c r="E200" s="285">
        <v>45876</v>
      </c>
      <c r="F200" s="286">
        <v>51.6</v>
      </c>
      <c r="G200" s="711" t="s">
        <v>402</v>
      </c>
      <c r="H200" s="711"/>
      <c r="I200" s="711"/>
      <c r="J200" s="711"/>
      <c r="K200" s="184">
        <v>45885</v>
      </c>
      <c r="L200" s="479" t="s">
        <v>691</v>
      </c>
      <c r="M200" s="479"/>
      <c r="N200" s="710"/>
      <c r="O200" s="710"/>
      <c r="P200" s="710"/>
    </row>
    <row r="201" spans="1:16" s="272" customFormat="1" ht="27.6" customHeight="1">
      <c r="A201" s="480">
        <f t="shared" si="4"/>
        <v>69</v>
      </c>
      <c r="B201" s="469" t="s">
        <v>165</v>
      </c>
      <c r="C201" s="182" t="s">
        <v>401</v>
      </c>
      <c r="D201" s="480" t="s">
        <v>239</v>
      </c>
      <c r="E201" s="285">
        <v>45878</v>
      </c>
      <c r="F201" s="286">
        <v>28</v>
      </c>
      <c r="G201" s="711" t="s">
        <v>402</v>
      </c>
      <c r="H201" s="711"/>
      <c r="I201" s="711"/>
      <c r="J201" s="711"/>
      <c r="K201" s="184">
        <v>45891</v>
      </c>
      <c r="L201" s="480" t="s">
        <v>692</v>
      </c>
      <c r="M201" s="480"/>
      <c r="N201" s="710"/>
      <c r="O201" s="710"/>
      <c r="P201" s="710"/>
    </row>
    <row r="202" spans="1:16" s="272" customFormat="1" ht="27.6" customHeight="1">
      <c r="A202" s="493">
        <f t="shared" si="4"/>
        <v>70</v>
      </c>
      <c r="B202" s="469" t="s">
        <v>8</v>
      </c>
      <c r="C202" s="182" t="s">
        <v>452</v>
      </c>
      <c r="D202" s="493" t="s">
        <v>239</v>
      </c>
      <c r="E202" s="285">
        <v>45885</v>
      </c>
      <c r="F202" s="286">
        <v>33</v>
      </c>
      <c r="G202" s="711" t="s">
        <v>402</v>
      </c>
      <c r="H202" s="711"/>
      <c r="I202" s="711"/>
      <c r="J202" s="711"/>
      <c r="K202" s="184">
        <v>45901</v>
      </c>
      <c r="L202" s="493" t="s">
        <v>691</v>
      </c>
      <c r="M202" s="493"/>
      <c r="N202" s="484"/>
      <c r="O202" s="484"/>
      <c r="P202" s="484"/>
    </row>
    <row r="203" spans="1:16" s="272" customFormat="1" ht="27.6" customHeight="1">
      <c r="A203" s="483">
        <f t="shared" si="4"/>
        <v>71</v>
      </c>
      <c r="B203" s="469" t="s">
        <v>150</v>
      </c>
      <c r="C203" s="182" t="s">
        <v>401</v>
      </c>
      <c r="D203" s="483" t="s">
        <v>239</v>
      </c>
      <c r="E203" s="285">
        <v>45887</v>
      </c>
      <c r="F203" s="286">
        <v>28</v>
      </c>
      <c r="G203" s="711" t="s">
        <v>402</v>
      </c>
      <c r="H203" s="711"/>
      <c r="I203" s="711"/>
      <c r="J203" s="711"/>
      <c r="K203" s="184">
        <v>45895</v>
      </c>
      <c r="L203" s="483" t="s">
        <v>693</v>
      </c>
      <c r="M203" s="483"/>
      <c r="N203" s="484"/>
      <c r="O203" s="484"/>
      <c r="P203" s="484"/>
    </row>
    <row r="204" spans="1:16" s="272" customFormat="1" ht="27.6" customHeight="1">
      <c r="A204" s="483">
        <f t="shared" si="4"/>
        <v>72</v>
      </c>
      <c r="B204" s="469" t="s">
        <v>661</v>
      </c>
      <c r="C204" s="182" t="s">
        <v>650</v>
      </c>
      <c r="D204" s="483" t="s">
        <v>239</v>
      </c>
      <c r="E204" s="285">
        <v>45888</v>
      </c>
      <c r="F204" s="286">
        <v>51.6</v>
      </c>
      <c r="G204" s="711" t="s">
        <v>402</v>
      </c>
      <c r="H204" s="711"/>
      <c r="I204" s="711"/>
      <c r="J204" s="711"/>
      <c r="K204" s="184">
        <v>45895</v>
      </c>
      <c r="L204" s="483" t="s">
        <v>691</v>
      </c>
      <c r="M204" s="483"/>
      <c r="N204" s="710"/>
      <c r="O204" s="710"/>
      <c r="P204" s="710"/>
    </row>
    <row r="205" spans="1:16" s="272" customFormat="1" ht="27.6" customHeight="1">
      <c r="A205" s="483">
        <f t="shared" si="4"/>
        <v>73</v>
      </c>
      <c r="B205" s="469" t="s">
        <v>155</v>
      </c>
      <c r="C205" s="182" t="s">
        <v>401</v>
      </c>
      <c r="D205" s="483" t="s">
        <v>239</v>
      </c>
      <c r="E205" s="285">
        <v>45891</v>
      </c>
      <c r="F205" s="286">
        <v>28</v>
      </c>
      <c r="G205" s="711" t="s">
        <v>402</v>
      </c>
      <c r="H205" s="711"/>
      <c r="I205" s="711"/>
      <c r="J205" s="711"/>
      <c r="K205" s="184">
        <v>45895</v>
      </c>
      <c r="L205" s="483" t="s">
        <v>694</v>
      </c>
      <c r="M205" s="483"/>
      <c r="N205" s="710"/>
      <c r="O205" s="710"/>
      <c r="P205" s="710"/>
    </row>
    <row r="206" spans="1:16" s="272" customFormat="1" ht="27.6" customHeight="1">
      <c r="A206" s="545">
        <f t="shared" si="4"/>
        <v>74</v>
      </c>
      <c r="B206" s="469" t="s">
        <v>559</v>
      </c>
      <c r="C206" s="182" t="s">
        <v>401</v>
      </c>
      <c r="D206" s="545" t="s">
        <v>239</v>
      </c>
      <c r="E206" s="285">
        <v>45895</v>
      </c>
      <c r="F206" s="286">
        <v>28</v>
      </c>
      <c r="G206" s="711" t="s">
        <v>402</v>
      </c>
      <c r="H206" s="711"/>
      <c r="I206" s="711"/>
      <c r="J206" s="711"/>
      <c r="K206" s="184">
        <v>45947</v>
      </c>
      <c r="L206" s="545" t="s">
        <v>694</v>
      </c>
      <c r="M206" s="545"/>
      <c r="N206" s="484"/>
      <c r="O206" s="484"/>
      <c r="P206" s="484"/>
    </row>
    <row r="207" spans="1:16" s="272" customFormat="1" ht="27.6" customHeight="1">
      <c r="A207" s="503">
        <f t="shared" si="4"/>
        <v>75</v>
      </c>
      <c r="B207" s="469" t="s">
        <v>119</v>
      </c>
      <c r="C207" s="182" t="s">
        <v>453</v>
      </c>
      <c r="D207" s="503" t="s">
        <v>239</v>
      </c>
      <c r="E207" s="285">
        <v>45900</v>
      </c>
      <c r="F207" s="286">
        <v>35</v>
      </c>
      <c r="G207" s="711" t="s">
        <v>402</v>
      </c>
      <c r="H207" s="711"/>
      <c r="I207" s="711"/>
      <c r="J207" s="711"/>
      <c r="K207" s="184">
        <v>45910</v>
      </c>
      <c r="L207" s="503" t="s">
        <v>693</v>
      </c>
      <c r="M207" s="503"/>
      <c r="N207" s="484"/>
      <c r="O207" s="484"/>
      <c r="P207" s="484"/>
    </row>
    <row r="208" spans="1:16" s="272" customFormat="1" ht="27.6" customHeight="1">
      <c r="A208" s="504">
        <f t="shared" si="4"/>
        <v>76</v>
      </c>
      <c r="B208" s="469" t="s">
        <v>607</v>
      </c>
      <c r="C208" s="182" t="s">
        <v>702</v>
      </c>
      <c r="D208" s="504" t="s">
        <v>239</v>
      </c>
      <c r="E208" s="285">
        <v>45901</v>
      </c>
      <c r="F208" s="286">
        <v>63</v>
      </c>
      <c r="G208" s="711" t="s">
        <v>402</v>
      </c>
      <c r="H208" s="711"/>
      <c r="I208" s="711"/>
      <c r="J208" s="711"/>
      <c r="K208" s="184">
        <v>45912</v>
      </c>
      <c r="L208" s="504" t="s">
        <v>694</v>
      </c>
      <c r="M208" s="504"/>
      <c r="N208" s="484"/>
      <c r="O208" s="484"/>
      <c r="P208" s="484"/>
    </row>
    <row r="209" spans="1:16" s="272" customFormat="1" ht="27.6" customHeight="1">
      <c r="A209" s="501">
        <f t="shared" si="4"/>
        <v>77</v>
      </c>
      <c r="B209" s="469" t="s">
        <v>164</v>
      </c>
      <c r="C209" s="182" t="s">
        <v>401</v>
      </c>
      <c r="D209" s="501" t="s">
        <v>239</v>
      </c>
      <c r="E209" s="285">
        <v>45903</v>
      </c>
      <c r="F209" s="286">
        <v>27.9</v>
      </c>
      <c r="G209" s="711" t="s">
        <v>402</v>
      </c>
      <c r="H209" s="711"/>
      <c r="I209" s="711"/>
      <c r="J209" s="711"/>
      <c r="K209" s="184">
        <v>45907</v>
      </c>
      <c r="L209" s="501" t="s">
        <v>691</v>
      </c>
      <c r="M209" s="501"/>
      <c r="N209" s="484"/>
      <c r="O209" s="484"/>
      <c r="P209" s="484"/>
    </row>
    <row r="210" spans="1:16" s="272" customFormat="1" ht="43.2" customHeight="1">
      <c r="A210" s="518">
        <f t="shared" si="4"/>
        <v>78</v>
      </c>
      <c r="B210" s="469" t="s">
        <v>652</v>
      </c>
      <c r="C210" s="182" t="s">
        <v>476</v>
      </c>
      <c r="D210" s="518" t="s">
        <v>239</v>
      </c>
      <c r="E210" s="285">
        <v>45905</v>
      </c>
      <c r="F210" s="286">
        <v>45</v>
      </c>
      <c r="G210" s="711" t="s">
        <v>402</v>
      </c>
      <c r="H210" s="711"/>
      <c r="I210" s="711"/>
      <c r="J210" s="711"/>
      <c r="K210" s="184">
        <v>45933</v>
      </c>
      <c r="L210" s="518" t="s">
        <v>692</v>
      </c>
      <c r="M210" s="518"/>
      <c r="N210" s="713"/>
      <c r="O210" s="714"/>
      <c r="P210" s="714"/>
    </row>
    <row r="211" spans="1:16" s="430" customFormat="1" ht="34.799999999999997" customHeight="1">
      <c r="A211" s="482">
        <f t="shared" si="4"/>
        <v>79</v>
      </c>
      <c r="B211" s="468" t="s">
        <v>163</v>
      </c>
      <c r="C211" s="488" t="s">
        <v>676</v>
      </c>
      <c r="D211" s="482" t="s">
        <v>239</v>
      </c>
      <c r="E211" s="429">
        <v>45908</v>
      </c>
      <c r="F211" s="428">
        <v>33</v>
      </c>
      <c r="G211" s="719" t="s">
        <v>707</v>
      </c>
      <c r="H211" s="720"/>
      <c r="I211" s="720"/>
      <c r="J211" s="721"/>
      <c r="K211" s="458"/>
      <c r="L211" s="482"/>
      <c r="M211" s="482"/>
      <c r="N211" s="715"/>
      <c r="O211" s="716"/>
      <c r="P211" s="716"/>
    </row>
    <row r="212" spans="1:16" s="272" customFormat="1" ht="27.6" customHeight="1">
      <c r="A212" s="506">
        <f t="shared" si="4"/>
        <v>80</v>
      </c>
      <c r="B212" s="469" t="s">
        <v>40</v>
      </c>
      <c r="C212" s="182" t="s">
        <v>444</v>
      </c>
      <c r="D212" s="506" t="s">
        <v>239</v>
      </c>
      <c r="E212" s="285">
        <v>45909</v>
      </c>
      <c r="F212" s="286">
        <v>29</v>
      </c>
      <c r="G212" s="711" t="s">
        <v>402</v>
      </c>
      <c r="H212" s="711"/>
      <c r="I212" s="711"/>
      <c r="J212" s="711"/>
      <c r="K212" s="184">
        <v>45913</v>
      </c>
      <c r="L212" s="506" t="s">
        <v>691</v>
      </c>
      <c r="M212" s="506"/>
      <c r="N212" s="484"/>
      <c r="O212" s="484"/>
      <c r="P212" s="484"/>
    </row>
    <row r="213" spans="1:16" s="272" customFormat="1" ht="27.6" customHeight="1">
      <c r="A213" s="518">
        <f t="shared" si="4"/>
        <v>81</v>
      </c>
      <c r="B213" s="469" t="s">
        <v>154</v>
      </c>
      <c r="C213" s="182" t="s">
        <v>452</v>
      </c>
      <c r="D213" s="518" t="s">
        <v>239</v>
      </c>
      <c r="E213" s="285">
        <v>45909</v>
      </c>
      <c r="F213" s="286">
        <v>33.299999999999997</v>
      </c>
      <c r="G213" s="711" t="s">
        <v>402</v>
      </c>
      <c r="H213" s="711"/>
      <c r="I213" s="711"/>
      <c r="J213" s="711"/>
      <c r="K213" s="184">
        <v>45930</v>
      </c>
      <c r="L213" s="518" t="s">
        <v>703</v>
      </c>
      <c r="M213" s="518"/>
      <c r="N213" s="484"/>
      <c r="O213" s="484"/>
      <c r="P213" s="484"/>
    </row>
    <row r="214" spans="1:16" s="272" customFormat="1" ht="27.6" customHeight="1">
      <c r="A214" s="512">
        <f t="shared" si="4"/>
        <v>82</v>
      </c>
      <c r="B214" s="469" t="s">
        <v>118</v>
      </c>
      <c r="C214" s="182" t="s">
        <v>452</v>
      </c>
      <c r="D214" s="512" t="s">
        <v>239</v>
      </c>
      <c r="E214" s="285">
        <v>45912</v>
      </c>
      <c r="F214" s="286">
        <v>33.299999999999997</v>
      </c>
      <c r="G214" s="711" t="s">
        <v>402</v>
      </c>
      <c r="H214" s="711"/>
      <c r="I214" s="711"/>
      <c r="J214" s="711"/>
      <c r="K214" s="184">
        <v>45922</v>
      </c>
      <c r="L214" s="512" t="s">
        <v>706</v>
      </c>
      <c r="M214" s="512"/>
      <c r="N214" s="484"/>
      <c r="O214" s="484"/>
      <c r="P214" s="484"/>
    </row>
    <row r="215" spans="1:16" s="272" customFormat="1" ht="27.6" customHeight="1">
      <c r="A215" s="514">
        <f t="shared" si="4"/>
        <v>83</v>
      </c>
      <c r="B215" s="469" t="s">
        <v>562</v>
      </c>
      <c r="C215" s="182" t="s">
        <v>650</v>
      </c>
      <c r="D215" s="514" t="s">
        <v>239</v>
      </c>
      <c r="E215" s="285">
        <v>45914</v>
      </c>
      <c r="F215" s="286">
        <v>51.7</v>
      </c>
      <c r="G215" s="711" t="s">
        <v>402</v>
      </c>
      <c r="H215" s="711"/>
      <c r="I215" s="711"/>
      <c r="J215" s="711"/>
      <c r="K215" s="184">
        <v>45925</v>
      </c>
      <c r="L215" s="514" t="s">
        <v>694</v>
      </c>
      <c r="M215" s="514"/>
      <c r="N215" s="484"/>
      <c r="O215" s="484"/>
      <c r="P215" s="484"/>
    </row>
    <row r="216" spans="1:16" s="272" customFormat="1" ht="34.799999999999997" customHeight="1">
      <c r="A216" s="513">
        <f t="shared" si="4"/>
        <v>84</v>
      </c>
      <c r="B216" s="469" t="s">
        <v>687</v>
      </c>
      <c r="C216" s="182" t="s">
        <v>598</v>
      </c>
      <c r="D216" s="513" t="s">
        <v>239</v>
      </c>
      <c r="E216" s="285">
        <v>45916</v>
      </c>
      <c r="F216" s="286">
        <v>60</v>
      </c>
      <c r="G216" s="711" t="s">
        <v>402</v>
      </c>
      <c r="H216" s="711"/>
      <c r="I216" s="711"/>
      <c r="J216" s="711"/>
      <c r="K216" s="184">
        <v>45923</v>
      </c>
      <c r="L216" s="513" t="s">
        <v>691</v>
      </c>
      <c r="M216" s="513"/>
      <c r="N216" s="713"/>
      <c r="O216" s="714"/>
      <c r="P216" s="714"/>
    </row>
    <row r="217" spans="1:16" s="272" customFormat="1" ht="34.799999999999997" customHeight="1">
      <c r="A217" s="518">
        <f t="shared" si="4"/>
        <v>85</v>
      </c>
      <c r="B217" s="469" t="s">
        <v>117</v>
      </c>
      <c r="C217" s="182" t="s">
        <v>448</v>
      </c>
      <c r="D217" s="518" t="s">
        <v>239</v>
      </c>
      <c r="E217" s="285">
        <v>45922</v>
      </c>
      <c r="F217" s="286">
        <v>27</v>
      </c>
      <c r="G217" s="711" t="s">
        <v>402</v>
      </c>
      <c r="H217" s="711"/>
      <c r="I217" s="711"/>
      <c r="J217" s="711"/>
      <c r="K217" s="184">
        <v>45930</v>
      </c>
      <c r="L217" s="518" t="s">
        <v>706</v>
      </c>
      <c r="M217" s="518"/>
      <c r="N217" s="713"/>
      <c r="O217" s="714"/>
      <c r="P217" s="714"/>
    </row>
    <row r="218" spans="1:16" s="272" customFormat="1" ht="34.799999999999997" customHeight="1">
      <c r="A218" s="518">
        <f t="shared" si="4"/>
        <v>86</v>
      </c>
      <c r="B218" s="469" t="s">
        <v>672</v>
      </c>
      <c r="C218" s="182" t="s">
        <v>673</v>
      </c>
      <c r="D218" s="518" t="s">
        <v>239</v>
      </c>
      <c r="E218" s="285">
        <v>45925</v>
      </c>
      <c r="F218" s="286">
        <v>50</v>
      </c>
      <c r="G218" s="711" t="s">
        <v>402</v>
      </c>
      <c r="H218" s="711"/>
      <c r="I218" s="711"/>
      <c r="J218" s="711"/>
      <c r="K218" s="184">
        <v>45931</v>
      </c>
      <c r="L218" s="518" t="s">
        <v>691</v>
      </c>
      <c r="M218" s="518"/>
      <c r="N218" s="713"/>
      <c r="O218" s="714"/>
      <c r="P218" s="714"/>
    </row>
    <row r="219" spans="1:16" s="272" customFormat="1" ht="34.799999999999997" customHeight="1">
      <c r="A219" s="536">
        <f t="shared" si="4"/>
        <v>87</v>
      </c>
      <c r="B219" s="469" t="s">
        <v>173</v>
      </c>
      <c r="C219" s="182" t="s">
        <v>448</v>
      </c>
      <c r="D219" s="536" t="s">
        <v>239</v>
      </c>
      <c r="E219" s="285">
        <v>45928</v>
      </c>
      <c r="F219" s="286">
        <v>27</v>
      </c>
      <c r="G219" s="711" t="s">
        <v>402</v>
      </c>
      <c r="H219" s="711"/>
      <c r="I219" s="711"/>
      <c r="J219" s="711"/>
      <c r="K219" s="184">
        <v>45935</v>
      </c>
      <c r="L219" s="536" t="s">
        <v>694</v>
      </c>
      <c r="M219" s="536"/>
      <c r="N219" s="713"/>
      <c r="O219" s="714"/>
      <c r="P219" s="714"/>
    </row>
    <row r="220" spans="1:16" s="272" customFormat="1" ht="34.799999999999997" customHeight="1">
      <c r="A220" s="545">
        <f t="shared" si="4"/>
        <v>88</v>
      </c>
      <c r="B220" s="469" t="s">
        <v>696</v>
      </c>
      <c r="C220" s="182" t="s">
        <v>697</v>
      </c>
      <c r="D220" s="545" t="s">
        <v>239</v>
      </c>
      <c r="E220" s="285">
        <v>45929</v>
      </c>
      <c r="F220" s="286">
        <v>60</v>
      </c>
      <c r="G220" s="711" t="s">
        <v>402</v>
      </c>
      <c r="H220" s="711"/>
      <c r="I220" s="711"/>
      <c r="J220" s="711"/>
      <c r="K220" s="184">
        <v>45947</v>
      </c>
      <c r="L220" s="545" t="s">
        <v>703</v>
      </c>
      <c r="M220" s="545"/>
      <c r="N220" s="713"/>
      <c r="O220" s="714"/>
      <c r="P220" s="714"/>
    </row>
    <row r="221" spans="1:16" s="272" customFormat="1" ht="34.799999999999997" customHeight="1">
      <c r="A221" s="545">
        <f t="shared" si="4"/>
        <v>89</v>
      </c>
      <c r="B221" s="469" t="s">
        <v>597</v>
      </c>
      <c r="C221" s="182" t="s">
        <v>598</v>
      </c>
      <c r="D221" s="545" t="s">
        <v>239</v>
      </c>
      <c r="E221" s="285">
        <v>45934</v>
      </c>
      <c r="F221" s="286">
        <v>60</v>
      </c>
      <c r="G221" s="711" t="s">
        <v>402</v>
      </c>
      <c r="H221" s="711"/>
      <c r="I221" s="711"/>
      <c r="J221" s="711"/>
      <c r="K221" s="184">
        <v>45947</v>
      </c>
      <c r="L221" s="545" t="s">
        <v>706</v>
      </c>
      <c r="M221" s="545"/>
      <c r="N221" s="713"/>
      <c r="O221" s="714"/>
      <c r="P221" s="714"/>
    </row>
    <row r="222" spans="1:16" s="430" customFormat="1" ht="34.799999999999997" customHeight="1">
      <c r="A222" s="482">
        <f t="shared" si="4"/>
        <v>90</v>
      </c>
      <c r="B222" s="468" t="s">
        <v>665</v>
      </c>
      <c r="C222" s="488" t="s">
        <v>116</v>
      </c>
      <c r="D222" s="482" t="s">
        <v>239</v>
      </c>
      <c r="E222" s="429">
        <v>45946</v>
      </c>
      <c r="F222" s="428">
        <v>89</v>
      </c>
      <c r="G222" s="881" t="s">
        <v>810</v>
      </c>
      <c r="H222" s="882"/>
      <c r="I222" s="882"/>
      <c r="J222" s="882"/>
      <c r="K222" s="458"/>
      <c r="L222" s="482" t="s">
        <v>706</v>
      </c>
      <c r="M222" s="482">
        <v>33</v>
      </c>
      <c r="N222" s="715"/>
      <c r="O222" s="716"/>
      <c r="P222" s="716"/>
    </row>
    <row r="223" spans="1:16" s="430" customFormat="1" ht="34.799999999999997" customHeight="1">
      <c r="A223" s="482">
        <f t="shared" si="4"/>
        <v>91</v>
      </c>
      <c r="B223" s="468" t="s">
        <v>670</v>
      </c>
      <c r="C223" s="488" t="s">
        <v>116</v>
      </c>
      <c r="D223" s="482" t="s">
        <v>239</v>
      </c>
      <c r="E223" s="429">
        <v>45946</v>
      </c>
      <c r="F223" s="428">
        <v>89</v>
      </c>
      <c r="G223" s="881" t="s">
        <v>805</v>
      </c>
      <c r="H223" s="882"/>
      <c r="I223" s="882"/>
      <c r="J223" s="882"/>
      <c r="K223" s="458"/>
      <c r="L223" s="482" t="s">
        <v>703</v>
      </c>
      <c r="M223" s="482">
        <v>20</v>
      </c>
      <c r="N223" s="715"/>
      <c r="O223" s="716"/>
      <c r="P223" s="716"/>
    </row>
    <row r="224" spans="1:16" s="272" customFormat="1" ht="34.799999999999997" customHeight="1">
      <c r="A224" s="605">
        <f t="shared" si="4"/>
        <v>92</v>
      </c>
      <c r="B224" s="469" t="s">
        <v>561</v>
      </c>
      <c r="C224" s="182" t="s">
        <v>401</v>
      </c>
      <c r="D224" s="605" t="s">
        <v>239</v>
      </c>
      <c r="E224" s="285">
        <v>45948</v>
      </c>
      <c r="F224" s="286">
        <v>28</v>
      </c>
      <c r="G224" s="711" t="s">
        <v>402</v>
      </c>
      <c r="H224" s="711"/>
      <c r="I224" s="711"/>
      <c r="J224" s="711"/>
      <c r="K224" s="184">
        <v>45957</v>
      </c>
      <c r="L224" s="605" t="s">
        <v>694</v>
      </c>
      <c r="M224" s="605"/>
      <c r="N224" s="713"/>
      <c r="O224" s="714"/>
      <c r="P224" s="714"/>
    </row>
    <row r="225" spans="1:16" s="272" customFormat="1" ht="34.799999999999997" customHeight="1">
      <c r="A225" s="636">
        <f t="shared" si="4"/>
        <v>93</v>
      </c>
      <c r="B225" s="469" t="s">
        <v>162</v>
      </c>
      <c r="C225" s="182" t="s">
        <v>401</v>
      </c>
      <c r="D225" s="636" t="s">
        <v>239</v>
      </c>
      <c r="E225" s="285">
        <v>45959</v>
      </c>
      <c r="F225" s="286">
        <v>28</v>
      </c>
      <c r="G225" s="711" t="s">
        <v>402</v>
      </c>
      <c r="H225" s="711"/>
      <c r="I225" s="711"/>
      <c r="J225" s="711"/>
      <c r="K225" s="184">
        <v>45967</v>
      </c>
      <c r="L225" s="636" t="s">
        <v>694</v>
      </c>
      <c r="M225" s="636">
        <v>31</v>
      </c>
      <c r="N225" s="713"/>
      <c r="O225" s="714"/>
      <c r="P225" s="714"/>
    </row>
    <row r="226" spans="1:16" s="430" customFormat="1" ht="34.799999999999997" customHeight="1">
      <c r="A226" s="482">
        <f t="shared" si="4"/>
        <v>94</v>
      </c>
      <c r="B226" s="468" t="s">
        <v>158</v>
      </c>
      <c r="C226" s="488" t="s">
        <v>401</v>
      </c>
      <c r="D226" s="482" t="s">
        <v>239</v>
      </c>
      <c r="E226" s="429">
        <v>45965</v>
      </c>
      <c r="F226" s="428">
        <v>28</v>
      </c>
      <c r="G226" s="881" t="s">
        <v>816</v>
      </c>
      <c r="H226" s="882"/>
      <c r="I226" s="882"/>
      <c r="J226" s="882"/>
      <c r="K226" s="458"/>
      <c r="L226" s="482" t="s">
        <v>694</v>
      </c>
      <c r="M226" s="482"/>
      <c r="N226" s="715"/>
      <c r="O226" s="716"/>
      <c r="P226" s="716"/>
    </row>
    <row r="227" spans="1:16" s="430" customFormat="1" ht="34.799999999999997" customHeight="1">
      <c r="A227" s="482">
        <f t="shared" si="4"/>
        <v>95</v>
      </c>
      <c r="B227" s="468" t="s">
        <v>151</v>
      </c>
      <c r="C227" s="488" t="s">
        <v>401</v>
      </c>
      <c r="D227" s="482" t="s">
        <v>239</v>
      </c>
      <c r="E227" s="429">
        <v>45967</v>
      </c>
      <c r="F227" s="428">
        <v>28</v>
      </c>
      <c r="G227" s="881" t="s">
        <v>820</v>
      </c>
      <c r="H227" s="882"/>
      <c r="I227" s="882"/>
      <c r="J227" s="882"/>
      <c r="K227" s="458"/>
      <c r="L227" s="482" t="s">
        <v>703</v>
      </c>
      <c r="M227" s="482">
        <v>7</v>
      </c>
      <c r="N227" s="715"/>
      <c r="O227" s="716"/>
      <c r="P227" s="716"/>
    </row>
    <row r="228" spans="1:16" s="2" customFormat="1" ht="21" customHeight="1" thickBot="1">
      <c r="A228" s="45"/>
      <c r="B228" s="151"/>
      <c r="F228" s="152"/>
      <c r="G228" s="771"/>
      <c r="H228" s="771"/>
      <c r="I228" s="771"/>
      <c r="J228" s="771"/>
      <c r="N228" s="771"/>
      <c r="O228" s="771"/>
      <c r="P228" s="771"/>
    </row>
    <row r="229" spans="1:16" ht="21" customHeight="1" thickBot="1">
      <c r="A229" s="878" t="s">
        <v>104</v>
      </c>
      <c r="B229" s="879"/>
      <c r="C229" s="879"/>
      <c r="D229" s="879"/>
      <c r="E229" s="879"/>
      <c r="F229" s="879"/>
      <c r="G229" s="879"/>
      <c r="H229" s="879"/>
      <c r="I229" s="879"/>
      <c r="J229" s="879"/>
      <c r="K229" s="880"/>
      <c r="L229" s="153"/>
      <c r="M229" s="153"/>
      <c r="N229" s="153"/>
      <c r="O229" s="153"/>
      <c r="P229" s="153"/>
    </row>
    <row r="230" spans="1:16" ht="27" customHeight="1" thickBot="1">
      <c r="A230" s="624" t="s">
        <v>394</v>
      </c>
      <c r="B230" s="625" t="s">
        <v>110</v>
      </c>
      <c r="C230" s="625" t="s">
        <v>404</v>
      </c>
      <c r="D230" s="751" t="s">
        <v>112</v>
      </c>
      <c r="E230" s="751"/>
      <c r="F230" s="751"/>
      <c r="G230" s="751"/>
      <c r="H230" s="625" t="s">
        <v>398</v>
      </c>
      <c r="I230" s="625" t="s">
        <v>399</v>
      </c>
      <c r="J230" s="751" t="s">
        <v>113</v>
      </c>
      <c r="K230" s="768"/>
      <c r="L230" s="153"/>
      <c r="M230" s="153"/>
      <c r="N230" s="153"/>
      <c r="O230" s="153"/>
      <c r="P230" s="153"/>
    </row>
    <row r="231" spans="1:16" s="153" customFormat="1" ht="27.6" customHeight="1">
      <c r="A231" s="626">
        <v>1</v>
      </c>
      <c r="B231" s="627" t="s">
        <v>709</v>
      </c>
      <c r="C231" s="628">
        <v>1.1060000000000001</v>
      </c>
      <c r="D231" s="873" t="s">
        <v>402</v>
      </c>
      <c r="E231" s="873"/>
      <c r="F231" s="873"/>
      <c r="G231" s="873"/>
      <c r="H231" s="629" t="s">
        <v>710</v>
      </c>
      <c r="I231" s="630"/>
      <c r="J231" s="766"/>
      <c r="K231" s="767"/>
    </row>
    <row r="232" spans="1:16" s="153" customFormat="1" ht="30" customHeight="1">
      <c r="A232" s="606">
        <v>2</v>
      </c>
      <c r="B232" s="150" t="s">
        <v>712</v>
      </c>
      <c r="C232" s="89">
        <v>2.4729999999999999</v>
      </c>
      <c r="D232" s="874" t="s">
        <v>402</v>
      </c>
      <c r="E232" s="874"/>
      <c r="F232" s="874"/>
      <c r="G232" s="874"/>
      <c r="H232" s="47" t="s">
        <v>710</v>
      </c>
      <c r="I232" s="614"/>
      <c r="J232" s="722"/>
      <c r="K232" s="765"/>
    </row>
    <row r="233" spans="1:16" s="153" customFormat="1" ht="35.4" customHeight="1">
      <c r="A233" s="606">
        <v>3</v>
      </c>
      <c r="B233" s="150" t="s">
        <v>714</v>
      </c>
      <c r="C233" s="89">
        <v>2.4260000000000002</v>
      </c>
      <c r="D233" s="875" t="s">
        <v>782</v>
      </c>
      <c r="E233" s="875"/>
      <c r="F233" s="875"/>
      <c r="G233" s="875"/>
      <c r="H233" s="47" t="s">
        <v>710</v>
      </c>
      <c r="I233" s="614"/>
      <c r="J233" s="763"/>
      <c r="K233" s="764"/>
    </row>
    <row r="234" spans="1:16" s="153" customFormat="1" ht="35.4" customHeight="1">
      <c r="A234" s="606">
        <v>4</v>
      </c>
      <c r="B234" s="150" t="s">
        <v>783</v>
      </c>
      <c r="C234" s="89">
        <v>4.4800000000000004</v>
      </c>
      <c r="D234" s="876" t="s">
        <v>815</v>
      </c>
      <c r="E234" s="876"/>
      <c r="F234" s="876"/>
      <c r="G234" s="876"/>
      <c r="H234" s="47" t="s">
        <v>710</v>
      </c>
      <c r="I234" s="44">
        <v>50</v>
      </c>
      <c r="J234" s="763"/>
      <c r="K234" s="764"/>
    </row>
    <row r="235" spans="1:16" s="153" customFormat="1" ht="35.4" customHeight="1">
      <c r="A235" s="620">
        <v>5</v>
      </c>
      <c r="B235" s="621" t="s">
        <v>802</v>
      </c>
      <c r="C235" s="622">
        <v>1.98</v>
      </c>
      <c r="D235" s="875" t="s">
        <v>782</v>
      </c>
      <c r="E235" s="875"/>
      <c r="F235" s="875"/>
      <c r="G235" s="875"/>
      <c r="H235" s="623" t="s">
        <v>710</v>
      </c>
      <c r="I235" s="44"/>
      <c r="J235" s="769"/>
      <c r="K235" s="770"/>
    </row>
    <row r="236" spans="1:16" s="153" customFormat="1" ht="35.4" customHeight="1" thickBot="1">
      <c r="A236" s="607">
        <v>6</v>
      </c>
      <c r="B236" s="608" t="s">
        <v>809</v>
      </c>
      <c r="C236" s="609">
        <v>0.48</v>
      </c>
      <c r="D236" s="877" t="s">
        <v>700</v>
      </c>
      <c r="E236" s="877"/>
      <c r="F236" s="877"/>
      <c r="G236" s="877"/>
      <c r="H236" s="613" t="s">
        <v>710</v>
      </c>
      <c r="I236" s="610"/>
      <c r="J236" s="761">
        <v>45964</v>
      </c>
      <c r="K236" s="762"/>
    </row>
    <row r="237" spans="1:16" s="153" customFormat="1" ht="35.4" customHeight="1">
      <c r="A237" s="615"/>
      <c r="B237" s="616"/>
      <c r="C237" s="617"/>
      <c r="D237" s="618"/>
      <c r="E237" s="618"/>
      <c r="F237" s="618"/>
      <c r="G237" s="618"/>
      <c r="H237" s="618"/>
      <c r="I237" s="615"/>
      <c r="J237" s="619"/>
      <c r="K237" s="619"/>
    </row>
    <row r="238" spans="1:16" ht="21" customHeight="1"/>
    <row r="239" spans="1:16" ht="21" customHeight="1"/>
    <row r="240" spans="1:16" ht="21" customHeight="1">
      <c r="A240" s="758" t="s">
        <v>405</v>
      </c>
      <c r="B240" s="759"/>
      <c r="C240" s="759"/>
      <c r="D240" s="759"/>
      <c r="E240" s="759"/>
      <c r="F240" s="759"/>
      <c r="G240" s="759"/>
      <c r="H240" s="759"/>
      <c r="I240" s="759"/>
      <c r="J240" s="760"/>
    </row>
    <row r="241" spans="1:16" ht="28.95" customHeight="1" thickBot="1">
      <c r="A241" s="162" t="s">
        <v>394</v>
      </c>
      <c r="B241" s="162" t="s">
        <v>110</v>
      </c>
      <c r="C241" s="162" t="s">
        <v>404</v>
      </c>
      <c r="D241" s="752" t="s">
        <v>112</v>
      </c>
      <c r="E241" s="753"/>
      <c r="F241" s="753"/>
      <c r="G241" s="754"/>
      <c r="H241" s="162" t="s">
        <v>398</v>
      </c>
      <c r="I241" s="162" t="s">
        <v>399</v>
      </c>
      <c r="J241" s="162" t="s">
        <v>113</v>
      </c>
      <c r="K241" s="153"/>
      <c r="L241" s="153"/>
      <c r="M241" s="153"/>
      <c r="N241" s="153"/>
      <c r="O241" s="153"/>
      <c r="P241" s="153"/>
    </row>
    <row r="242" spans="1:16" ht="21" customHeight="1">
      <c r="A242" s="43"/>
      <c r="B242" s="150"/>
      <c r="C242" s="89"/>
      <c r="D242" s="755"/>
      <c r="E242" s="756"/>
      <c r="F242" s="756"/>
      <c r="G242" s="757"/>
      <c r="H242" s="47"/>
      <c r="I242" s="43"/>
      <c r="J242" s="154"/>
    </row>
    <row r="243" spans="1:16" ht="21" customHeight="1">
      <c r="A243" s="43"/>
      <c r="B243" s="150"/>
      <c r="C243" s="89"/>
      <c r="D243" s="748"/>
      <c r="E243" s="749"/>
      <c r="F243" s="749"/>
      <c r="G243" s="750"/>
      <c r="H243" s="47"/>
      <c r="I243" s="43"/>
      <c r="J243" s="154"/>
    </row>
    <row r="244" spans="1:16" ht="21" customHeight="1">
      <c r="A244" s="43"/>
      <c r="B244" s="150"/>
      <c r="C244" s="89"/>
      <c r="D244" s="748"/>
      <c r="E244" s="749"/>
      <c r="F244" s="749"/>
      <c r="G244" s="750"/>
      <c r="H244" s="47"/>
      <c r="I244" s="43"/>
      <c r="J244" s="154"/>
    </row>
    <row r="245" spans="1:16" ht="21" customHeight="1">
      <c r="A245" s="43"/>
      <c r="B245" s="155"/>
      <c r="C245" s="156"/>
      <c r="D245" s="748"/>
      <c r="E245" s="749"/>
      <c r="F245" s="749"/>
      <c r="G245" s="750"/>
      <c r="H245" s="157"/>
      <c r="I245" s="90"/>
      <c r="J245" s="158"/>
    </row>
  </sheetData>
  <autoFilter ref="A132:P215">
    <filterColumn colId="6" showButton="0"/>
    <filterColumn colId="7" showButton="0"/>
    <filterColumn colId="8" showButton="0"/>
    <filterColumn colId="13" showButton="0"/>
    <filterColumn colId="14" showButton="0"/>
  </autoFilter>
  <mergeCells count="414">
    <mergeCell ref="N227:P227"/>
    <mergeCell ref="N226:P226"/>
    <mergeCell ref="G128:J128"/>
    <mergeCell ref="G129:J129"/>
    <mergeCell ref="N225:P225"/>
    <mergeCell ref="N166:P166"/>
    <mergeCell ref="G171:J171"/>
    <mergeCell ref="N170:P170"/>
    <mergeCell ref="G169:J169"/>
    <mergeCell ref="G179:J179"/>
    <mergeCell ref="G157:J157"/>
    <mergeCell ref="N168:P168"/>
    <mergeCell ref="G158:J158"/>
    <mergeCell ref="N172:P172"/>
    <mergeCell ref="G170:J170"/>
    <mergeCell ref="N171:P171"/>
    <mergeCell ref="N164:P164"/>
    <mergeCell ref="N167:P167"/>
    <mergeCell ref="G165:J165"/>
    <mergeCell ref="G164:J164"/>
    <mergeCell ref="N165:P165"/>
    <mergeCell ref="G162:J162"/>
    <mergeCell ref="N157:P157"/>
    <mergeCell ref="N158:P158"/>
    <mergeCell ref="N169:P169"/>
    <mergeCell ref="G167:J167"/>
    <mergeCell ref="G159:J159"/>
    <mergeCell ref="G160:J160"/>
    <mergeCell ref="G163:J163"/>
    <mergeCell ref="G148:J148"/>
    <mergeCell ref="G145:J145"/>
    <mergeCell ref="G146:J146"/>
    <mergeCell ref="N154:P154"/>
    <mergeCell ref="N146:P146"/>
    <mergeCell ref="N150:P150"/>
    <mergeCell ref="N148:P148"/>
    <mergeCell ref="G152:J152"/>
    <mergeCell ref="G147:J147"/>
    <mergeCell ref="N228:P228"/>
    <mergeCell ref="G228:J228"/>
    <mergeCell ref="G200:J200"/>
    <mergeCell ref="N200:P200"/>
    <mergeCell ref="G174:J174"/>
    <mergeCell ref="N177:P177"/>
    <mergeCell ref="G202:J202"/>
    <mergeCell ref="G203:J203"/>
    <mergeCell ref="G204:J204"/>
    <mergeCell ref="N204:P204"/>
    <mergeCell ref="G205:J205"/>
    <mergeCell ref="N205:P205"/>
    <mergeCell ref="G190:J190"/>
    <mergeCell ref="N190:P190"/>
    <mergeCell ref="G206:J206"/>
    <mergeCell ref="G212:J212"/>
    <mergeCell ref="G213:J213"/>
    <mergeCell ref="G207:J207"/>
    <mergeCell ref="G186:J186"/>
    <mergeCell ref="N186:P186"/>
    <mergeCell ref="N196:P196"/>
    <mergeCell ref="N187:P187"/>
    <mergeCell ref="N185:P185"/>
    <mergeCell ref="N183:P183"/>
    <mergeCell ref="D245:G245"/>
    <mergeCell ref="D230:G230"/>
    <mergeCell ref="D231:G231"/>
    <mergeCell ref="D232:G232"/>
    <mergeCell ref="D233:G233"/>
    <mergeCell ref="D234:G234"/>
    <mergeCell ref="D241:G241"/>
    <mergeCell ref="D242:G242"/>
    <mergeCell ref="D243:G243"/>
    <mergeCell ref="D244:G244"/>
    <mergeCell ref="A240:J240"/>
    <mergeCell ref="D236:G236"/>
    <mergeCell ref="J236:K236"/>
    <mergeCell ref="J234:K234"/>
    <mergeCell ref="J233:K233"/>
    <mergeCell ref="J232:K232"/>
    <mergeCell ref="J231:K231"/>
    <mergeCell ref="J230:K230"/>
    <mergeCell ref="D235:G235"/>
    <mergeCell ref="J235:K235"/>
    <mergeCell ref="G184:J184"/>
    <mergeCell ref="G223:J223"/>
    <mergeCell ref="G192:J192"/>
    <mergeCell ref="G181:J181"/>
    <mergeCell ref="G187:J187"/>
    <mergeCell ref="G185:J185"/>
    <mergeCell ref="A229:K229"/>
    <mergeCell ref="G182:J182"/>
    <mergeCell ref="G191:J191"/>
    <mergeCell ref="G215:J215"/>
    <mergeCell ref="G216:J216"/>
    <mergeCell ref="G217:J217"/>
    <mergeCell ref="G201:J201"/>
    <mergeCell ref="G219:J219"/>
    <mergeCell ref="G221:J221"/>
    <mergeCell ref="G183:J183"/>
    <mergeCell ref="G225:J225"/>
    <mergeCell ref="G226:J226"/>
    <mergeCell ref="G227:J227"/>
    <mergeCell ref="N42:P42"/>
    <mergeCell ref="N37:P37"/>
    <mergeCell ref="G30:J30"/>
    <mergeCell ref="G35:J35"/>
    <mergeCell ref="N35:P35"/>
    <mergeCell ref="G23:J23"/>
    <mergeCell ref="G208:J208"/>
    <mergeCell ref="G209:J209"/>
    <mergeCell ref="G199:J199"/>
    <mergeCell ref="G132:J132"/>
    <mergeCell ref="A131:P131"/>
    <mergeCell ref="N182:P182"/>
    <mergeCell ref="N136:P136"/>
    <mergeCell ref="N132:P132"/>
    <mergeCell ref="N140:P140"/>
    <mergeCell ref="G153:J153"/>
    <mergeCell ref="G154:J154"/>
    <mergeCell ref="G149:J149"/>
    <mergeCell ref="G156:J156"/>
    <mergeCell ref="G155:J155"/>
    <mergeCell ref="N162:P162"/>
    <mergeCell ref="G161:J161"/>
    <mergeCell ref="N161:P161"/>
    <mergeCell ref="G166:J166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G125:J125"/>
    <mergeCell ref="G118:J118"/>
    <mergeCell ref="N133:P133"/>
    <mergeCell ref="G168:J168"/>
    <mergeCell ref="G139:J139"/>
    <mergeCell ref="N139:P139"/>
    <mergeCell ref="N155:P155"/>
    <mergeCell ref="G151:J151"/>
    <mergeCell ref="N153:P153"/>
    <mergeCell ref="N151:P151"/>
    <mergeCell ref="N149:P149"/>
    <mergeCell ref="N163:P163"/>
    <mergeCell ref="N156:P156"/>
    <mergeCell ref="N152:P152"/>
    <mergeCell ref="N159:P159"/>
    <mergeCell ref="N160:P160"/>
    <mergeCell ref="G150:J150"/>
    <mergeCell ref="N141:P141"/>
    <mergeCell ref="G138:J138"/>
    <mergeCell ref="N135:P135"/>
    <mergeCell ref="G134:J134"/>
    <mergeCell ref="N137:P137"/>
    <mergeCell ref="N134:P134"/>
    <mergeCell ref="N138:P138"/>
    <mergeCell ref="G136:J136"/>
    <mergeCell ref="G133:J133"/>
    <mergeCell ref="N147:P147"/>
    <mergeCell ref="G142:J142"/>
    <mergeCell ref="N144:P144"/>
    <mergeCell ref="G140:J140"/>
    <mergeCell ref="N142:P142"/>
    <mergeCell ref="N145:P145"/>
    <mergeCell ref="N143:P143"/>
    <mergeCell ref="G143:J143"/>
    <mergeCell ref="G141:J141"/>
    <mergeCell ref="G144:J144"/>
    <mergeCell ref="G137:J137"/>
    <mergeCell ref="G135:J135"/>
    <mergeCell ref="G172:J172"/>
    <mergeCell ref="N180:P180"/>
    <mergeCell ref="G180:J180"/>
    <mergeCell ref="N174:P174"/>
    <mergeCell ref="N173:P173"/>
    <mergeCell ref="N179:P179"/>
    <mergeCell ref="G178:J178"/>
    <mergeCell ref="G176:J176"/>
    <mergeCell ref="G175:J175"/>
    <mergeCell ref="G173:J173"/>
    <mergeCell ref="N176:P176"/>
    <mergeCell ref="G177:J177"/>
    <mergeCell ref="N181:P181"/>
    <mergeCell ref="N184:P184"/>
    <mergeCell ref="N178:P178"/>
    <mergeCell ref="N175:P175"/>
    <mergeCell ref="N210:P210"/>
    <mergeCell ref="N211:P211"/>
    <mergeCell ref="G214:J214"/>
    <mergeCell ref="G211:J211"/>
    <mergeCell ref="G210:J210"/>
    <mergeCell ref="N191:P191"/>
    <mergeCell ref="G189:J189"/>
    <mergeCell ref="N189:P189"/>
    <mergeCell ref="G188:J188"/>
    <mergeCell ref="N188:P188"/>
    <mergeCell ref="N201:P201"/>
    <mergeCell ref="G198:J198"/>
    <mergeCell ref="N198:P198"/>
    <mergeCell ref="G194:J194"/>
    <mergeCell ref="N194:P194"/>
    <mergeCell ref="G195:J195"/>
    <mergeCell ref="N195:P195"/>
    <mergeCell ref="N192:P192"/>
    <mergeCell ref="G193:J193"/>
    <mergeCell ref="N193:P193"/>
    <mergeCell ref="N199:P199"/>
    <mergeCell ref="G197:J197"/>
    <mergeCell ref="N197:P197"/>
    <mergeCell ref="G196:J196"/>
    <mergeCell ref="N224:P224"/>
    <mergeCell ref="N221:P221"/>
    <mergeCell ref="N219:P219"/>
    <mergeCell ref="G220:J220"/>
    <mergeCell ref="N220:P220"/>
    <mergeCell ref="G218:J218"/>
    <mergeCell ref="N218:P218"/>
    <mergeCell ref="N217:P217"/>
    <mergeCell ref="N216:P216"/>
    <mergeCell ref="N222:P222"/>
    <mergeCell ref="N223:P223"/>
    <mergeCell ref="G222:J222"/>
    <mergeCell ref="G224:J224"/>
  </mergeCells>
  <phoneticPr fontId="93" type="noConversion"/>
  <conditionalFormatting sqref="B13:B37 B40:B50">
    <cfRule type="duplicateValues" dxfId="57" priority="108"/>
  </conditionalFormatting>
  <conditionalFormatting sqref="B51:B70">
    <cfRule type="duplicateValues" dxfId="56" priority="110"/>
  </conditionalFormatting>
  <conditionalFormatting sqref="B71:B127">
    <cfRule type="duplicateValues" dxfId="55" priority="112"/>
  </conditionalFormatting>
  <conditionalFormatting sqref="B130">
    <cfRule type="duplicateValues" dxfId="54" priority="49"/>
  </conditionalFormatting>
  <conditionalFormatting sqref="B231:B233">
    <cfRule type="duplicateValues" dxfId="53" priority="104" stopIfTrue="1"/>
    <cfRule type="duplicateValues" dxfId="52" priority="105" stopIfTrue="1"/>
  </conditionalFormatting>
  <conditionalFormatting sqref="B242:B244">
    <cfRule type="duplicateValues" dxfId="51" priority="100" stopIfTrue="1"/>
    <cfRule type="duplicateValues" dxfId="50" priority="101" stopIfTrue="1"/>
  </conditionalFormatting>
  <conditionalFormatting sqref="B245">
    <cfRule type="duplicateValues" dxfId="49" priority="102" stopIfTrue="1"/>
    <cfRule type="duplicateValues" dxfId="48" priority="103" stopIfTrue="1"/>
  </conditionalFormatting>
  <conditionalFormatting sqref="D6">
    <cfRule type="cellIs" dxfId="47" priority="54" stopIfTrue="1" operator="greaterThan">
      <formula>600</formula>
    </cfRule>
  </conditionalFormatting>
  <conditionalFormatting sqref="D9:D10">
    <cfRule type="cellIs" dxfId="46" priority="45" stopIfTrue="1" operator="greaterThan">
      <formula>600</formula>
    </cfRule>
  </conditionalFormatting>
  <conditionalFormatting sqref="C3:K4">
    <cfRule type="cellIs" dxfId="45" priority="5" stopIfTrue="1" operator="greaterThan">
      <formula>600</formula>
    </cfRule>
  </conditionalFormatting>
  <conditionalFormatting sqref="B234:B237">
    <cfRule type="duplicateValues" dxfId="44" priority="3" stopIfTrue="1"/>
    <cfRule type="duplicateValues" dxfId="43" priority="4" stopIfTrue="1"/>
  </conditionalFormatting>
  <conditionalFormatting sqref="B128">
    <cfRule type="duplicateValues" dxfId="42" priority="2"/>
  </conditionalFormatting>
  <conditionalFormatting sqref="B129">
    <cfRule type="duplicateValues" dxfId="41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opLeftCell="A90" zoomScale="80" zoomScaleNormal="80" workbookViewId="0">
      <selection activeCell="G94" sqref="G94:J94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47" t="s">
        <v>103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715</v>
      </c>
      <c r="F2" s="162" t="s">
        <v>717</v>
      </c>
      <c r="G2" s="737" t="s">
        <v>112</v>
      </c>
      <c r="H2" s="738"/>
      <c r="I2" s="738"/>
      <c r="J2" s="739"/>
      <c r="K2" s="162" t="s">
        <v>716</v>
      </c>
      <c r="L2" s="162" t="s">
        <v>398</v>
      </c>
      <c r="M2" s="162" t="s">
        <v>399</v>
      </c>
      <c r="N2" s="883" t="s">
        <v>400</v>
      </c>
      <c r="O2" s="884"/>
      <c r="P2" s="885"/>
    </row>
    <row r="3" spans="1:16">
      <c r="A3" s="574">
        <v>1</v>
      </c>
      <c r="B3" s="575" t="s">
        <v>16</v>
      </c>
      <c r="C3" s="574" t="s">
        <v>401</v>
      </c>
      <c r="D3" s="574" t="s">
        <v>239</v>
      </c>
      <c r="E3" s="576">
        <v>45574</v>
      </c>
      <c r="F3" s="577">
        <v>27.96</v>
      </c>
      <c r="G3" s="776" t="s">
        <v>402</v>
      </c>
      <c r="H3" s="776"/>
      <c r="I3" s="776"/>
      <c r="J3" s="776"/>
      <c r="K3" s="576">
        <v>45592</v>
      </c>
      <c r="L3" s="574" t="s">
        <v>490</v>
      </c>
      <c r="M3" s="537"/>
      <c r="N3" s="722"/>
      <c r="O3" s="722"/>
      <c r="P3" s="722"/>
    </row>
    <row r="4" spans="1:16">
      <c r="A4" s="574">
        <v>2</v>
      </c>
      <c r="B4" s="575" t="s">
        <v>128</v>
      </c>
      <c r="C4" s="574" t="s">
        <v>401</v>
      </c>
      <c r="D4" s="574" t="s">
        <v>239</v>
      </c>
      <c r="E4" s="576">
        <v>45593</v>
      </c>
      <c r="F4" s="577">
        <v>27.96</v>
      </c>
      <c r="G4" s="776" t="s">
        <v>402</v>
      </c>
      <c r="H4" s="776"/>
      <c r="I4" s="776"/>
      <c r="J4" s="776"/>
      <c r="K4" s="576">
        <v>45601</v>
      </c>
      <c r="L4" s="574" t="s">
        <v>490</v>
      </c>
      <c r="M4" s="537"/>
      <c r="N4" s="726"/>
      <c r="O4" s="726"/>
      <c r="P4" s="726"/>
    </row>
    <row r="5" spans="1:16">
      <c r="A5" s="574">
        <v>3</v>
      </c>
      <c r="B5" s="578" t="s">
        <v>494</v>
      </c>
      <c r="C5" s="574" t="s">
        <v>401</v>
      </c>
      <c r="D5" s="574" t="s">
        <v>239</v>
      </c>
      <c r="E5" s="576">
        <v>45601</v>
      </c>
      <c r="F5" s="577">
        <v>27.96</v>
      </c>
      <c r="G5" s="776" t="s">
        <v>402</v>
      </c>
      <c r="H5" s="776"/>
      <c r="I5" s="776"/>
      <c r="J5" s="776"/>
      <c r="K5" s="576">
        <v>45609</v>
      </c>
      <c r="L5" s="574" t="s">
        <v>490</v>
      </c>
      <c r="M5" s="537"/>
      <c r="N5" s="722"/>
      <c r="O5" s="722"/>
      <c r="P5" s="722"/>
    </row>
    <row r="6" spans="1:16">
      <c r="A6" s="574">
        <v>4</v>
      </c>
      <c r="B6" s="578" t="s">
        <v>18</v>
      </c>
      <c r="C6" s="574" t="s">
        <v>401</v>
      </c>
      <c r="D6" s="574" t="s">
        <v>239</v>
      </c>
      <c r="E6" s="576">
        <v>45610</v>
      </c>
      <c r="F6" s="577">
        <v>27.96</v>
      </c>
      <c r="G6" s="776" t="s">
        <v>402</v>
      </c>
      <c r="H6" s="776"/>
      <c r="I6" s="776"/>
      <c r="J6" s="776"/>
      <c r="K6" s="576">
        <v>45615</v>
      </c>
      <c r="L6" s="574" t="s">
        <v>490</v>
      </c>
      <c r="M6" s="537"/>
      <c r="N6" s="722" t="s">
        <v>501</v>
      </c>
      <c r="O6" s="722"/>
      <c r="P6" s="722"/>
    </row>
    <row r="7" spans="1:16">
      <c r="A7" s="574">
        <v>5</v>
      </c>
      <c r="B7" s="578" t="s">
        <v>133</v>
      </c>
      <c r="C7" s="574" t="s">
        <v>401</v>
      </c>
      <c r="D7" s="574" t="s">
        <v>239</v>
      </c>
      <c r="E7" s="576">
        <v>45615</v>
      </c>
      <c r="F7" s="577">
        <v>27.96</v>
      </c>
      <c r="G7" s="776" t="s">
        <v>402</v>
      </c>
      <c r="H7" s="776"/>
      <c r="I7" s="776"/>
      <c r="J7" s="776"/>
      <c r="K7" s="576">
        <v>45620</v>
      </c>
      <c r="L7" s="574" t="s">
        <v>490</v>
      </c>
      <c r="M7" s="537"/>
      <c r="N7" s="722" t="s">
        <v>109</v>
      </c>
      <c r="O7" s="722"/>
      <c r="P7" s="722"/>
    </row>
    <row r="8" spans="1:16">
      <c r="A8" s="574">
        <v>6</v>
      </c>
      <c r="B8" s="578" t="s">
        <v>2</v>
      </c>
      <c r="C8" s="574" t="s">
        <v>401</v>
      </c>
      <c r="D8" s="574" t="s">
        <v>239</v>
      </c>
      <c r="E8" s="576">
        <v>45622</v>
      </c>
      <c r="F8" s="577">
        <v>27.96</v>
      </c>
      <c r="G8" s="776" t="s">
        <v>402</v>
      </c>
      <c r="H8" s="776"/>
      <c r="I8" s="776"/>
      <c r="J8" s="776"/>
      <c r="K8" s="576">
        <v>45627</v>
      </c>
      <c r="L8" s="574" t="s">
        <v>490</v>
      </c>
      <c r="M8" s="537"/>
      <c r="N8" s="722"/>
      <c r="O8" s="722"/>
      <c r="P8" s="722"/>
    </row>
    <row r="9" spans="1:16">
      <c r="A9" s="574">
        <v>7</v>
      </c>
      <c r="B9" s="578" t="s">
        <v>49</v>
      </c>
      <c r="C9" s="574" t="s">
        <v>401</v>
      </c>
      <c r="D9" s="574" t="s">
        <v>239</v>
      </c>
      <c r="E9" s="576">
        <v>45628</v>
      </c>
      <c r="F9" s="577">
        <v>27.96</v>
      </c>
      <c r="G9" s="776" t="s">
        <v>402</v>
      </c>
      <c r="H9" s="776"/>
      <c r="I9" s="776"/>
      <c r="J9" s="776"/>
      <c r="K9" s="576">
        <v>45632</v>
      </c>
      <c r="L9" s="574" t="s">
        <v>490</v>
      </c>
      <c r="M9" s="537"/>
      <c r="N9" s="722"/>
      <c r="O9" s="722"/>
      <c r="P9" s="722"/>
    </row>
    <row r="10" spans="1:16">
      <c r="A10" s="574">
        <v>8</v>
      </c>
      <c r="B10" s="578" t="s">
        <v>52</v>
      </c>
      <c r="C10" s="574" t="s">
        <v>401</v>
      </c>
      <c r="D10" s="574" t="s">
        <v>239</v>
      </c>
      <c r="E10" s="576">
        <v>45629</v>
      </c>
      <c r="F10" s="577">
        <v>27.96</v>
      </c>
      <c r="G10" s="776" t="s">
        <v>402</v>
      </c>
      <c r="H10" s="776"/>
      <c r="I10" s="776"/>
      <c r="J10" s="776"/>
      <c r="K10" s="576">
        <v>45637</v>
      </c>
      <c r="L10" s="574" t="s">
        <v>500</v>
      </c>
      <c r="M10" s="537"/>
      <c r="N10" s="722" t="s">
        <v>501</v>
      </c>
      <c r="O10" s="722"/>
      <c r="P10" s="722"/>
    </row>
    <row r="11" spans="1:16">
      <c r="A11" s="574">
        <v>9</v>
      </c>
      <c r="B11" s="578" t="s">
        <v>147</v>
      </c>
      <c r="C11" s="574" t="s">
        <v>401</v>
      </c>
      <c r="D11" s="574" t="s">
        <v>239</v>
      </c>
      <c r="E11" s="576">
        <v>45632</v>
      </c>
      <c r="F11" s="577">
        <v>27.96</v>
      </c>
      <c r="G11" s="776" t="s">
        <v>402</v>
      </c>
      <c r="H11" s="776"/>
      <c r="I11" s="776"/>
      <c r="J11" s="776"/>
      <c r="K11" s="576">
        <v>45637</v>
      </c>
      <c r="L11" s="574" t="s">
        <v>490</v>
      </c>
      <c r="M11" s="537"/>
      <c r="N11" s="722"/>
      <c r="O11" s="722"/>
      <c r="P11" s="722"/>
    </row>
    <row r="12" spans="1:16">
      <c r="A12" s="574">
        <v>10</v>
      </c>
      <c r="B12" s="578" t="s">
        <v>148</v>
      </c>
      <c r="C12" s="574" t="s">
        <v>444</v>
      </c>
      <c r="D12" s="574" t="s">
        <v>239</v>
      </c>
      <c r="E12" s="576">
        <v>45638</v>
      </c>
      <c r="F12" s="577">
        <v>29.12</v>
      </c>
      <c r="G12" s="776" t="s">
        <v>402</v>
      </c>
      <c r="H12" s="776"/>
      <c r="I12" s="776"/>
      <c r="J12" s="776"/>
      <c r="K12" s="579">
        <v>45644</v>
      </c>
      <c r="L12" s="574" t="s">
        <v>490</v>
      </c>
      <c r="M12" s="537"/>
      <c r="N12" s="722"/>
      <c r="O12" s="722"/>
      <c r="P12" s="722"/>
    </row>
    <row r="13" spans="1:16">
      <c r="A13" s="574">
        <v>11</v>
      </c>
      <c r="B13" s="578" t="s">
        <v>51</v>
      </c>
      <c r="C13" s="574" t="s">
        <v>401</v>
      </c>
      <c r="D13" s="574" t="s">
        <v>239</v>
      </c>
      <c r="E13" s="576">
        <v>45638</v>
      </c>
      <c r="F13" s="577">
        <v>27.96</v>
      </c>
      <c r="G13" s="776" t="s">
        <v>402</v>
      </c>
      <c r="H13" s="776"/>
      <c r="I13" s="776"/>
      <c r="J13" s="776"/>
      <c r="K13" s="576">
        <v>45644</v>
      </c>
      <c r="L13" s="574" t="s">
        <v>500</v>
      </c>
      <c r="M13" s="537"/>
      <c r="N13" s="722"/>
      <c r="O13" s="722"/>
      <c r="P13" s="722"/>
    </row>
    <row r="14" spans="1:16">
      <c r="A14" s="574">
        <v>12</v>
      </c>
      <c r="B14" s="578" t="s">
        <v>140</v>
      </c>
      <c r="C14" s="574" t="s">
        <v>444</v>
      </c>
      <c r="D14" s="574" t="s">
        <v>239</v>
      </c>
      <c r="E14" s="576">
        <v>45645</v>
      </c>
      <c r="F14" s="577">
        <v>29.12</v>
      </c>
      <c r="G14" s="776" t="s">
        <v>402</v>
      </c>
      <c r="H14" s="776"/>
      <c r="I14" s="776"/>
      <c r="J14" s="776"/>
      <c r="K14" s="576">
        <v>45653</v>
      </c>
      <c r="L14" s="574" t="s">
        <v>490</v>
      </c>
      <c r="M14" s="537"/>
      <c r="N14" s="722"/>
      <c r="O14" s="722"/>
      <c r="P14" s="722"/>
    </row>
    <row r="15" spans="1:16">
      <c r="A15" s="574">
        <v>13</v>
      </c>
      <c r="B15" s="578" t="s">
        <v>136</v>
      </c>
      <c r="C15" s="574" t="s">
        <v>453</v>
      </c>
      <c r="D15" s="574" t="s">
        <v>239</v>
      </c>
      <c r="E15" s="576">
        <v>45645</v>
      </c>
      <c r="F15" s="577">
        <v>34.630000000000003</v>
      </c>
      <c r="G15" s="776" t="s">
        <v>402</v>
      </c>
      <c r="H15" s="776"/>
      <c r="I15" s="776"/>
      <c r="J15" s="776"/>
      <c r="K15" s="576">
        <v>45655</v>
      </c>
      <c r="L15" s="574" t="s">
        <v>500</v>
      </c>
      <c r="M15" s="537"/>
      <c r="N15" s="722"/>
      <c r="O15" s="722"/>
      <c r="P15" s="722"/>
    </row>
    <row r="16" spans="1:16">
      <c r="A16" s="574">
        <v>14</v>
      </c>
      <c r="B16" s="578" t="s">
        <v>126</v>
      </c>
      <c r="C16" s="574" t="s">
        <v>401</v>
      </c>
      <c r="D16" s="574" t="s">
        <v>239</v>
      </c>
      <c r="E16" s="576">
        <v>45655</v>
      </c>
      <c r="F16" s="577">
        <v>27.96</v>
      </c>
      <c r="G16" s="776" t="s">
        <v>402</v>
      </c>
      <c r="H16" s="776"/>
      <c r="I16" s="776"/>
      <c r="J16" s="776"/>
      <c r="K16" s="576">
        <v>45296</v>
      </c>
      <c r="L16" s="574" t="s">
        <v>490</v>
      </c>
      <c r="M16" s="537"/>
      <c r="N16" s="722"/>
      <c r="O16" s="722"/>
      <c r="P16" s="722"/>
    </row>
    <row r="17" spans="1:16">
      <c r="A17" s="574">
        <v>15</v>
      </c>
      <c r="B17" s="578" t="s">
        <v>143</v>
      </c>
      <c r="C17" s="574" t="s">
        <v>401</v>
      </c>
      <c r="D17" s="574" t="s">
        <v>239</v>
      </c>
      <c r="E17" s="576">
        <v>45656</v>
      </c>
      <c r="F17" s="577">
        <v>27.96</v>
      </c>
      <c r="G17" s="776" t="s">
        <v>402</v>
      </c>
      <c r="H17" s="776"/>
      <c r="I17" s="776"/>
      <c r="J17" s="776"/>
      <c r="K17" s="576">
        <v>45298</v>
      </c>
      <c r="L17" s="574" t="s">
        <v>500</v>
      </c>
      <c r="M17" s="537"/>
      <c r="N17" s="722"/>
      <c r="O17" s="722"/>
      <c r="P17" s="722"/>
    </row>
    <row r="18" spans="1:16">
      <c r="A18" s="574">
        <v>16</v>
      </c>
      <c r="B18" s="578" t="s">
        <v>166</v>
      </c>
      <c r="C18" s="574" t="s">
        <v>401</v>
      </c>
      <c r="D18" s="574" t="s">
        <v>239</v>
      </c>
      <c r="E18" s="576">
        <v>45298</v>
      </c>
      <c r="F18" s="577">
        <v>27.96</v>
      </c>
      <c r="G18" s="776" t="s">
        <v>402</v>
      </c>
      <c r="H18" s="776"/>
      <c r="I18" s="776"/>
      <c r="J18" s="776"/>
      <c r="K18" s="576">
        <v>45668</v>
      </c>
      <c r="L18" s="574" t="s">
        <v>490</v>
      </c>
      <c r="M18" s="537"/>
      <c r="N18" s="722"/>
      <c r="O18" s="722"/>
      <c r="P18" s="722"/>
    </row>
    <row r="19" spans="1:16">
      <c r="A19" s="574">
        <f t="shared" ref="A19:A67" si="0">A18+1</f>
        <v>17</v>
      </c>
      <c r="B19" s="578" t="s">
        <v>176</v>
      </c>
      <c r="C19" s="574" t="s">
        <v>401</v>
      </c>
      <c r="D19" s="574" t="s">
        <v>239</v>
      </c>
      <c r="E19" s="576">
        <v>45300</v>
      </c>
      <c r="F19" s="577">
        <v>27.96</v>
      </c>
      <c r="G19" s="776" t="s">
        <v>402</v>
      </c>
      <c r="H19" s="776"/>
      <c r="I19" s="776"/>
      <c r="J19" s="776"/>
      <c r="K19" s="576">
        <v>45672</v>
      </c>
      <c r="L19" s="574" t="s">
        <v>500</v>
      </c>
      <c r="M19" s="537"/>
      <c r="N19" s="722"/>
      <c r="O19" s="722"/>
      <c r="P19" s="722"/>
    </row>
    <row r="20" spans="1:16">
      <c r="A20" s="574">
        <f t="shared" si="0"/>
        <v>18</v>
      </c>
      <c r="B20" s="578" t="s">
        <v>160</v>
      </c>
      <c r="C20" s="574" t="s">
        <v>444</v>
      </c>
      <c r="D20" s="574" t="s">
        <v>239</v>
      </c>
      <c r="E20" s="576">
        <v>45670</v>
      </c>
      <c r="F20" s="577">
        <v>29</v>
      </c>
      <c r="G20" s="776" t="s">
        <v>402</v>
      </c>
      <c r="H20" s="776"/>
      <c r="I20" s="776"/>
      <c r="J20" s="776"/>
      <c r="K20" s="576">
        <v>45675</v>
      </c>
      <c r="L20" s="574" t="s">
        <v>490</v>
      </c>
      <c r="M20" s="537"/>
      <c r="N20" s="722"/>
      <c r="O20" s="722"/>
      <c r="P20" s="722"/>
    </row>
    <row r="21" spans="1:16">
      <c r="A21" s="574">
        <f t="shared" si="0"/>
        <v>19</v>
      </c>
      <c r="B21" s="578" t="s">
        <v>177</v>
      </c>
      <c r="C21" s="574" t="s">
        <v>444</v>
      </c>
      <c r="D21" s="574" t="s">
        <v>239</v>
      </c>
      <c r="E21" s="576">
        <v>45673</v>
      </c>
      <c r="F21" s="577">
        <v>29</v>
      </c>
      <c r="G21" s="776" t="s">
        <v>402</v>
      </c>
      <c r="H21" s="776"/>
      <c r="I21" s="776"/>
      <c r="J21" s="776"/>
      <c r="K21" s="576">
        <v>45680</v>
      </c>
      <c r="L21" s="574" t="s">
        <v>500</v>
      </c>
      <c r="M21" s="537"/>
      <c r="N21" s="722"/>
      <c r="O21" s="722"/>
      <c r="P21" s="722"/>
    </row>
    <row r="22" spans="1:16">
      <c r="A22" s="574">
        <f t="shared" si="0"/>
        <v>20</v>
      </c>
      <c r="B22" s="578" t="s">
        <v>156</v>
      </c>
      <c r="C22" s="574" t="s">
        <v>401</v>
      </c>
      <c r="D22" s="574" t="s">
        <v>239</v>
      </c>
      <c r="E22" s="576">
        <v>45673</v>
      </c>
      <c r="F22" s="577">
        <v>28</v>
      </c>
      <c r="G22" s="776" t="s">
        <v>402</v>
      </c>
      <c r="H22" s="776"/>
      <c r="I22" s="776"/>
      <c r="J22" s="776"/>
      <c r="K22" s="576">
        <v>45680</v>
      </c>
      <c r="L22" s="574" t="s">
        <v>490</v>
      </c>
      <c r="M22" s="537"/>
      <c r="N22" s="722"/>
      <c r="O22" s="722"/>
      <c r="P22" s="722"/>
    </row>
    <row r="23" spans="1:16">
      <c r="A23" s="574">
        <f t="shared" si="0"/>
        <v>21</v>
      </c>
      <c r="B23" s="578" t="s">
        <v>179</v>
      </c>
      <c r="C23" s="574" t="s">
        <v>444</v>
      </c>
      <c r="D23" s="574" t="s">
        <v>239</v>
      </c>
      <c r="E23" s="576">
        <v>45681</v>
      </c>
      <c r="F23" s="577">
        <v>29</v>
      </c>
      <c r="G23" s="776" t="s">
        <v>402</v>
      </c>
      <c r="H23" s="776"/>
      <c r="I23" s="776"/>
      <c r="J23" s="776"/>
      <c r="K23" s="576">
        <v>45699</v>
      </c>
      <c r="L23" s="574" t="s">
        <v>500</v>
      </c>
      <c r="M23" s="537"/>
      <c r="N23" s="725"/>
      <c r="O23" s="725"/>
      <c r="P23" s="725"/>
    </row>
    <row r="24" spans="1:16">
      <c r="A24" s="574">
        <f t="shared" si="0"/>
        <v>22</v>
      </c>
      <c r="B24" s="578" t="s">
        <v>17</v>
      </c>
      <c r="C24" s="574" t="s">
        <v>401</v>
      </c>
      <c r="D24" s="574" t="s">
        <v>239</v>
      </c>
      <c r="E24" s="576">
        <v>45681</v>
      </c>
      <c r="F24" s="577">
        <v>28</v>
      </c>
      <c r="G24" s="776" t="s">
        <v>402</v>
      </c>
      <c r="H24" s="776"/>
      <c r="I24" s="776"/>
      <c r="J24" s="776"/>
      <c r="K24" s="576">
        <v>45687</v>
      </c>
      <c r="L24" s="574" t="s">
        <v>490</v>
      </c>
      <c r="M24" s="537"/>
      <c r="N24" s="772"/>
      <c r="O24" s="772"/>
      <c r="P24" s="772"/>
    </row>
    <row r="25" spans="1:16">
      <c r="A25" s="574">
        <f t="shared" si="0"/>
        <v>23</v>
      </c>
      <c r="B25" s="578" t="s">
        <v>178</v>
      </c>
      <c r="C25" s="574" t="s">
        <v>401</v>
      </c>
      <c r="D25" s="574" t="s">
        <v>239</v>
      </c>
      <c r="E25" s="576">
        <v>45682</v>
      </c>
      <c r="F25" s="577">
        <v>28</v>
      </c>
      <c r="G25" s="776" t="s">
        <v>402</v>
      </c>
      <c r="H25" s="776"/>
      <c r="I25" s="776"/>
      <c r="J25" s="776"/>
      <c r="K25" s="576">
        <v>45690</v>
      </c>
      <c r="L25" s="574" t="s">
        <v>500</v>
      </c>
      <c r="M25" s="537"/>
      <c r="N25" s="722"/>
      <c r="O25" s="722"/>
      <c r="P25" s="722"/>
    </row>
    <row r="26" spans="1:16">
      <c r="A26" s="574">
        <f t="shared" si="0"/>
        <v>24</v>
      </c>
      <c r="B26" s="578" t="s">
        <v>137</v>
      </c>
      <c r="C26" s="574" t="s">
        <v>444</v>
      </c>
      <c r="D26" s="574" t="s">
        <v>239</v>
      </c>
      <c r="E26" s="576">
        <v>45688</v>
      </c>
      <c r="F26" s="577">
        <v>29</v>
      </c>
      <c r="G26" s="776" t="s">
        <v>402</v>
      </c>
      <c r="H26" s="776"/>
      <c r="I26" s="776"/>
      <c r="J26" s="776"/>
      <c r="K26" s="576">
        <v>45693</v>
      </c>
      <c r="L26" s="574" t="s">
        <v>490</v>
      </c>
      <c r="M26" s="537"/>
      <c r="N26" s="722"/>
      <c r="O26" s="722"/>
      <c r="P26" s="722"/>
    </row>
    <row r="27" spans="1:16">
      <c r="A27" s="574">
        <f t="shared" si="0"/>
        <v>25</v>
      </c>
      <c r="B27" s="578" t="s">
        <v>145</v>
      </c>
      <c r="C27" s="574" t="s">
        <v>452</v>
      </c>
      <c r="D27" s="574" t="s">
        <v>239</v>
      </c>
      <c r="E27" s="576">
        <v>45694</v>
      </c>
      <c r="F27" s="577">
        <v>33</v>
      </c>
      <c r="G27" s="776" t="s">
        <v>402</v>
      </c>
      <c r="H27" s="776"/>
      <c r="I27" s="776"/>
      <c r="J27" s="776"/>
      <c r="K27" s="576">
        <v>45699</v>
      </c>
      <c r="L27" s="574" t="s">
        <v>490</v>
      </c>
      <c r="M27" s="537"/>
      <c r="N27" s="725"/>
      <c r="O27" s="725"/>
      <c r="P27" s="725"/>
    </row>
    <row r="28" spans="1:16">
      <c r="A28" s="574">
        <f t="shared" si="0"/>
        <v>26</v>
      </c>
      <c r="B28" s="578" t="s">
        <v>146</v>
      </c>
      <c r="C28" s="574" t="s">
        <v>444</v>
      </c>
      <c r="D28" s="574" t="s">
        <v>239</v>
      </c>
      <c r="E28" s="576">
        <v>45700</v>
      </c>
      <c r="F28" s="577">
        <v>29</v>
      </c>
      <c r="G28" s="776" t="s">
        <v>402</v>
      </c>
      <c r="H28" s="776"/>
      <c r="I28" s="776"/>
      <c r="J28" s="776"/>
      <c r="K28" s="576">
        <v>45705</v>
      </c>
      <c r="L28" s="574" t="s">
        <v>490</v>
      </c>
      <c r="M28" s="537"/>
      <c r="N28" s="725"/>
      <c r="O28" s="725"/>
      <c r="P28" s="725"/>
    </row>
    <row r="29" spans="1:16">
      <c r="A29" s="574">
        <f t="shared" si="0"/>
        <v>27</v>
      </c>
      <c r="B29" s="578" t="s">
        <v>175</v>
      </c>
      <c r="C29" s="574" t="s">
        <v>444</v>
      </c>
      <c r="D29" s="574" t="s">
        <v>239</v>
      </c>
      <c r="E29" s="576">
        <v>45700</v>
      </c>
      <c r="F29" s="577">
        <v>29</v>
      </c>
      <c r="G29" s="776" t="s">
        <v>402</v>
      </c>
      <c r="H29" s="776"/>
      <c r="I29" s="776"/>
      <c r="J29" s="776"/>
      <c r="K29" s="576">
        <v>45708</v>
      </c>
      <c r="L29" s="574" t="s">
        <v>490</v>
      </c>
      <c r="M29" s="537"/>
      <c r="N29" s="725"/>
      <c r="O29" s="725"/>
      <c r="P29" s="725"/>
    </row>
    <row r="30" spans="1:16">
      <c r="A30" s="574">
        <f t="shared" si="0"/>
        <v>28</v>
      </c>
      <c r="B30" s="578" t="s">
        <v>496</v>
      </c>
      <c r="C30" s="574" t="s">
        <v>476</v>
      </c>
      <c r="D30" s="574" t="s">
        <v>239</v>
      </c>
      <c r="E30" s="576">
        <v>45709</v>
      </c>
      <c r="F30" s="577">
        <v>45</v>
      </c>
      <c r="G30" s="776" t="s">
        <v>402</v>
      </c>
      <c r="H30" s="776"/>
      <c r="I30" s="776"/>
      <c r="J30" s="776"/>
      <c r="K30" s="576">
        <v>45714</v>
      </c>
      <c r="L30" s="574" t="s">
        <v>490</v>
      </c>
      <c r="M30" s="537"/>
      <c r="N30" s="725"/>
      <c r="O30" s="725"/>
      <c r="P30" s="725"/>
    </row>
    <row r="31" spans="1:16">
      <c r="A31" s="574">
        <f t="shared" si="0"/>
        <v>29</v>
      </c>
      <c r="B31" s="578" t="s">
        <v>497</v>
      </c>
      <c r="C31" s="574" t="s">
        <v>476</v>
      </c>
      <c r="D31" s="574" t="s">
        <v>239</v>
      </c>
      <c r="E31" s="576">
        <v>45714</v>
      </c>
      <c r="F31" s="577">
        <v>45</v>
      </c>
      <c r="G31" s="776" t="s">
        <v>402</v>
      </c>
      <c r="H31" s="776"/>
      <c r="I31" s="776"/>
      <c r="J31" s="776"/>
      <c r="K31" s="576">
        <v>45719</v>
      </c>
      <c r="L31" s="574" t="s">
        <v>490</v>
      </c>
      <c r="M31" s="537"/>
      <c r="N31" s="725"/>
      <c r="O31" s="725"/>
      <c r="P31" s="725"/>
    </row>
    <row r="32" spans="1:16">
      <c r="A32" s="574">
        <f t="shared" si="0"/>
        <v>30</v>
      </c>
      <c r="B32" s="578" t="s">
        <v>505</v>
      </c>
      <c r="C32" s="574" t="s">
        <v>476</v>
      </c>
      <c r="D32" s="574" t="s">
        <v>239</v>
      </c>
      <c r="E32" s="576">
        <v>45719</v>
      </c>
      <c r="F32" s="577">
        <v>45</v>
      </c>
      <c r="G32" s="776" t="s">
        <v>402</v>
      </c>
      <c r="H32" s="776"/>
      <c r="I32" s="776"/>
      <c r="J32" s="776"/>
      <c r="K32" s="576">
        <v>45724</v>
      </c>
      <c r="L32" s="574" t="s">
        <v>490</v>
      </c>
      <c r="M32" s="537"/>
      <c r="N32" s="725"/>
      <c r="O32" s="725"/>
      <c r="P32" s="725"/>
    </row>
    <row r="33" spans="1:16">
      <c r="A33" s="574">
        <f t="shared" si="0"/>
        <v>31</v>
      </c>
      <c r="B33" s="578" t="s">
        <v>161</v>
      </c>
      <c r="C33" s="574" t="s">
        <v>401</v>
      </c>
      <c r="D33" s="574" t="s">
        <v>239</v>
      </c>
      <c r="E33" s="576">
        <v>45722</v>
      </c>
      <c r="F33" s="577">
        <v>28</v>
      </c>
      <c r="G33" s="776" t="s">
        <v>402</v>
      </c>
      <c r="H33" s="776"/>
      <c r="I33" s="776"/>
      <c r="J33" s="776"/>
      <c r="K33" s="576">
        <v>45727</v>
      </c>
      <c r="L33" s="574" t="s">
        <v>500</v>
      </c>
      <c r="M33" s="537"/>
      <c r="N33" s="725"/>
      <c r="O33" s="725"/>
      <c r="P33" s="725"/>
    </row>
    <row r="34" spans="1:16">
      <c r="A34" s="574">
        <f t="shared" si="0"/>
        <v>32</v>
      </c>
      <c r="B34" s="578" t="s">
        <v>159</v>
      </c>
      <c r="C34" s="574" t="s">
        <v>476</v>
      </c>
      <c r="D34" s="574" t="s">
        <v>239</v>
      </c>
      <c r="E34" s="576">
        <v>45728</v>
      </c>
      <c r="F34" s="577">
        <v>45</v>
      </c>
      <c r="G34" s="776" t="s">
        <v>402</v>
      </c>
      <c r="H34" s="776"/>
      <c r="I34" s="776"/>
      <c r="J34" s="776"/>
      <c r="K34" s="576">
        <v>45733</v>
      </c>
      <c r="L34" s="574" t="s">
        <v>500</v>
      </c>
      <c r="M34" s="537"/>
      <c r="N34" s="725"/>
      <c r="O34" s="725"/>
      <c r="P34" s="725"/>
    </row>
    <row r="35" spans="1:16">
      <c r="A35" s="574">
        <f t="shared" si="0"/>
        <v>33</v>
      </c>
      <c r="B35" s="578" t="s">
        <v>503</v>
      </c>
      <c r="C35" s="574" t="s">
        <v>504</v>
      </c>
      <c r="D35" s="574" t="s">
        <v>239</v>
      </c>
      <c r="E35" s="576">
        <v>45734</v>
      </c>
      <c r="F35" s="577">
        <v>54</v>
      </c>
      <c r="G35" s="776" t="s">
        <v>402</v>
      </c>
      <c r="H35" s="776"/>
      <c r="I35" s="776"/>
      <c r="J35" s="776"/>
      <c r="K35" s="576">
        <v>45739</v>
      </c>
      <c r="L35" s="574" t="s">
        <v>500</v>
      </c>
      <c r="M35" s="537"/>
      <c r="N35" s="725"/>
      <c r="O35" s="725"/>
      <c r="P35" s="725"/>
    </row>
    <row r="36" spans="1:16">
      <c r="A36" s="574">
        <f t="shared" si="0"/>
        <v>34</v>
      </c>
      <c r="B36" s="578" t="s">
        <v>4</v>
      </c>
      <c r="C36" s="574" t="s">
        <v>506</v>
      </c>
      <c r="D36" s="574" t="s">
        <v>239</v>
      </c>
      <c r="E36" s="576">
        <v>45734</v>
      </c>
      <c r="F36" s="577">
        <v>52</v>
      </c>
      <c r="G36" s="776" t="s">
        <v>402</v>
      </c>
      <c r="H36" s="776"/>
      <c r="I36" s="776"/>
      <c r="J36" s="776"/>
      <c r="K36" s="576">
        <v>45744</v>
      </c>
      <c r="L36" s="574" t="s">
        <v>500</v>
      </c>
      <c r="M36" s="537"/>
      <c r="N36" s="725"/>
      <c r="O36" s="725"/>
      <c r="P36" s="725"/>
    </row>
    <row r="37" spans="1:16">
      <c r="A37" s="574">
        <f t="shared" si="0"/>
        <v>35</v>
      </c>
      <c r="B37" s="578" t="s">
        <v>5</v>
      </c>
      <c r="C37" s="574" t="s">
        <v>401</v>
      </c>
      <c r="D37" s="574" t="s">
        <v>239</v>
      </c>
      <c r="E37" s="576">
        <v>45744</v>
      </c>
      <c r="F37" s="577">
        <v>28</v>
      </c>
      <c r="G37" s="776" t="s">
        <v>402</v>
      </c>
      <c r="H37" s="776"/>
      <c r="I37" s="776"/>
      <c r="J37" s="776"/>
      <c r="K37" s="576">
        <v>45748</v>
      </c>
      <c r="L37" s="574" t="s">
        <v>500</v>
      </c>
      <c r="M37" s="537"/>
      <c r="N37" s="725"/>
      <c r="O37" s="725"/>
      <c r="P37" s="725"/>
    </row>
    <row r="38" spans="1:16">
      <c r="A38" s="574">
        <f t="shared" si="0"/>
        <v>36</v>
      </c>
      <c r="B38" s="578" t="s">
        <v>50</v>
      </c>
      <c r="C38" s="574" t="s">
        <v>444</v>
      </c>
      <c r="D38" s="574" t="s">
        <v>239</v>
      </c>
      <c r="E38" s="576">
        <v>45749</v>
      </c>
      <c r="F38" s="577">
        <v>29</v>
      </c>
      <c r="G38" s="776" t="s">
        <v>402</v>
      </c>
      <c r="H38" s="776"/>
      <c r="I38" s="776"/>
      <c r="J38" s="776"/>
      <c r="K38" s="576">
        <v>45752</v>
      </c>
      <c r="L38" s="574" t="s">
        <v>500</v>
      </c>
      <c r="M38" s="537"/>
      <c r="N38" s="725"/>
      <c r="O38" s="725"/>
      <c r="P38" s="725"/>
    </row>
    <row r="39" spans="1:16">
      <c r="A39" s="574">
        <f t="shared" si="0"/>
        <v>37</v>
      </c>
      <c r="B39" s="578" t="s">
        <v>591</v>
      </c>
      <c r="C39" s="574" t="s">
        <v>590</v>
      </c>
      <c r="D39" s="574" t="s">
        <v>239</v>
      </c>
      <c r="E39" s="576">
        <v>45752</v>
      </c>
      <c r="F39" s="577">
        <v>47</v>
      </c>
      <c r="G39" s="776" t="s">
        <v>402</v>
      </c>
      <c r="H39" s="776"/>
      <c r="I39" s="776"/>
      <c r="J39" s="776"/>
      <c r="K39" s="576">
        <v>45757</v>
      </c>
      <c r="L39" s="574" t="s">
        <v>500</v>
      </c>
      <c r="M39" s="537"/>
      <c r="N39" s="725"/>
      <c r="O39" s="725"/>
      <c r="P39" s="725"/>
    </row>
    <row r="40" spans="1:16">
      <c r="A40" s="574">
        <f t="shared" si="0"/>
        <v>38</v>
      </c>
      <c r="B40" s="578" t="s">
        <v>121</v>
      </c>
      <c r="C40" s="574" t="s">
        <v>595</v>
      </c>
      <c r="D40" s="574" t="s">
        <v>239</v>
      </c>
      <c r="E40" s="576">
        <v>45758</v>
      </c>
      <c r="F40" s="577">
        <v>54</v>
      </c>
      <c r="G40" s="776" t="s">
        <v>402</v>
      </c>
      <c r="H40" s="776"/>
      <c r="I40" s="776"/>
      <c r="J40" s="776"/>
      <c r="K40" s="576">
        <v>45768</v>
      </c>
      <c r="L40" s="574" t="s">
        <v>490</v>
      </c>
      <c r="M40" s="537"/>
      <c r="N40" s="725"/>
      <c r="O40" s="725"/>
      <c r="P40" s="725"/>
    </row>
    <row r="41" spans="1:16">
      <c r="A41" s="574">
        <f t="shared" si="0"/>
        <v>39</v>
      </c>
      <c r="B41" s="578" t="s">
        <v>180</v>
      </c>
      <c r="C41" s="574" t="s">
        <v>444</v>
      </c>
      <c r="D41" s="574" t="s">
        <v>239</v>
      </c>
      <c r="E41" s="576">
        <v>45759</v>
      </c>
      <c r="F41" s="577">
        <v>29</v>
      </c>
      <c r="G41" s="776" t="s">
        <v>402</v>
      </c>
      <c r="H41" s="776"/>
      <c r="I41" s="776"/>
      <c r="J41" s="776"/>
      <c r="K41" s="576">
        <v>45765</v>
      </c>
      <c r="L41" s="574" t="s">
        <v>500</v>
      </c>
      <c r="M41" s="537"/>
      <c r="N41" s="725"/>
      <c r="O41" s="725"/>
      <c r="P41" s="725"/>
    </row>
    <row r="42" spans="1:16" ht="18">
      <c r="A42" s="574">
        <f t="shared" si="0"/>
        <v>40</v>
      </c>
      <c r="B42" s="578" t="s">
        <v>593</v>
      </c>
      <c r="C42" s="574" t="s">
        <v>594</v>
      </c>
      <c r="D42" s="574" t="s">
        <v>239</v>
      </c>
      <c r="E42" s="576">
        <v>45765</v>
      </c>
      <c r="F42" s="577">
        <v>45</v>
      </c>
      <c r="G42" s="776" t="s">
        <v>402</v>
      </c>
      <c r="H42" s="776"/>
      <c r="I42" s="776"/>
      <c r="J42" s="776"/>
      <c r="K42" s="576">
        <v>45773</v>
      </c>
      <c r="L42" s="574" t="s">
        <v>656</v>
      </c>
      <c r="M42" s="537"/>
      <c r="N42" s="775" t="s">
        <v>109</v>
      </c>
      <c r="O42" s="775"/>
      <c r="P42" s="775"/>
    </row>
    <row r="43" spans="1:16" ht="28.8">
      <c r="A43" s="574">
        <f t="shared" si="0"/>
        <v>41</v>
      </c>
      <c r="B43" s="578" t="s">
        <v>489</v>
      </c>
      <c r="C43" s="574" t="s">
        <v>476</v>
      </c>
      <c r="D43" s="574" t="s">
        <v>239</v>
      </c>
      <c r="E43" s="576">
        <v>45769</v>
      </c>
      <c r="F43" s="577">
        <v>45</v>
      </c>
      <c r="G43" s="776" t="s">
        <v>402</v>
      </c>
      <c r="H43" s="776"/>
      <c r="I43" s="776"/>
      <c r="J43" s="776"/>
      <c r="K43" s="576">
        <v>45776</v>
      </c>
      <c r="L43" s="574" t="s">
        <v>657</v>
      </c>
      <c r="M43" s="537"/>
      <c r="N43" s="718"/>
      <c r="O43" s="718"/>
      <c r="P43" s="718"/>
    </row>
    <row r="44" spans="1:16" ht="28.8">
      <c r="A44" s="574">
        <f t="shared" si="0"/>
        <v>42</v>
      </c>
      <c r="B44" s="578" t="s">
        <v>167</v>
      </c>
      <c r="C44" s="574" t="s">
        <v>453</v>
      </c>
      <c r="D44" s="574" t="s">
        <v>239</v>
      </c>
      <c r="E44" s="576">
        <v>45774</v>
      </c>
      <c r="F44" s="577">
        <v>34.630000000000003</v>
      </c>
      <c r="G44" s="776" t="s">
        <v>402</v>
      </c>
      <c r="H44" s="776"/>
      <c r="I44" s="776"/>
      <c r="J44" s="776"/>
      <c r="K44" s="576">
        <v>45780</v>
      </c>
      <c r="L44" s="574" t="s">
        <v>656</v>
      </c>
      <c r="M44" s="537"/>
      <c r="N44" s="718"/>
      <c r="O44" s="718"/>
      <c r="P44" s="718"/>
    </row>
    <row r="45" spans="1:16" ht="28.8">
      <c r="A45" s="574">
        <f t="shared" si="0"/>
        <v>43</v>
      </c>
      <c r="B45" s="578" t="s">
        <v>20</v>
      </c>
      <c r="C45" s="574" t="s">
        <v>444</v>
      </c>
      <c r="D45" s="574" t="s">
        <v>239</v>
      </c>
      <c r="E45" s="576">
        <v>45776</v>
      </c>
      <c r="F45" s="577">
        <v>29</v>
      </c>
      <c r="G45" s="776" t="s">
        <v>402</v>
      </c>
      <c r="H45" s="776"/>
      <c r="I45" s="776"/>
      <c r="J45" s="776"/>
      <c r="K45" s="576">
        <v>45784</v>
      </c>
      <c r="L45" s="574" t="s">
        <v>657</v>
      </c>
      <c r="M45" s="537"/>
      <c r="N45" s="718"/>
      <c r="O45" s="718"/>
      <c r="P45" s="718"/>
    </row>
    <row r="46" spans="1:16" ht="21">
      <c r="A46" s="574">
        <f t="shared" si="0"/>
        <v>44</v>
      </c>
      <c r="B46" s="578" t="s">
        <v>37</v>
      </c>
      <c r="C46" s="574" t="s">
        <v>401</v>
      </c>
      <c r="D46" s="574" t="s">
        <v>239</v>
      </c>
      <c r="E46" s="576">
        <v>45782</v>
      </c>
      <c r="F46" s="577">
        <v>28</v>
      </c>
      <c r="G46" s="776" t="s">
        <v>402</v>
      </c>
      <c r="H46" s="776"/>
      <c r="I46" s="776"/>
      <c r="J46" s="776"/>
      <c r="K46" s="576">
        <v>45787</v>
      </c>
      <c r="L46" s="574" t="s">
        <v>656</v>
      </c>
      <c r="M46" s="537"/>
      <c r="N46" s="717" t="s">
        <v>109</v>
      </c>
      <c r="O46" s="717"/>
      <c r="P46" s="717"/>
    </row>
    <row r="47" spans="1:16" ht="21">
      <c r="A47" s="574">
        <f t="shared" si="0"/>
        <v>45</v>
      </c>
      <c r="B47" s="578" t="s">
        <v>512</v>
      </c>
      <c r="C47" s="574" t="s">
        <v>476</v>
      </c>
      <c r="D47" s="574" t="s">
        <v>239</v>
      </c>
      <c r="E47" s="576">
        <v>45785</v>
      </c>
      <c r="F47" s="577">
        <v>45</v>
      </c>
      <c r="G47" s="776" t="s">
        <v>402</v>
      </c>
      <c r="H47" s="776"/>
      <c r="I47" s="776"/>
      <c r="J47" s="776"/>
      <c r="K47" s="576">
        <v>45794</v>
      </c>
      <c r="L47" s="574" t="s">
        <v>656</v>
      </c>
      <c r="M47" s="537"/>
      <c r="N47" s="717"/>
      <c r="O47" s="717"/>
      <c r="P47" s="717"/>
    </row>
    <row r="48" spans="1:16" ht="21">
      <c r="A48" s="574">
        <f t="shared" si="0"/>
        <v>46</v>
      </c>
      <c r="B48" s="578" t="s">
        <v>157</v>
      </c>
      <c r="C48" s="574" t="s">
        <v>452</v>
      </c>
      <c r="D48" s="574" t="s">
        <v>239</v>
      </c>
      <c r="E48" s="576">
        <v>45788</v>
      </c>
      <c r="F48" s="577">
        <v>33</v>
      </c>
      <c r="G48" s="776" t="s">
        <v>402</v>
      </c>
      <c r="H48" s="776"/>
      <c r="I48" s="776"/>
      <c r="J48" s="776"/>
      <c r="K48" s="576">
        <v>45796</v>
      </c>
      <c r="L48" s="574" t="s">
        <v>657</v>
      </c>
      <c r="M48" s="537"/>
      <c r="N48" s="717"/>
      <c r="O48" s="717"/>
      <c r="P48" s="717"/>
    </row>
    <row r="49" spans="1:16" ht="21">
      <c r="A49" s="574">
        <f t="shared" si="0"/>
        <v>47</v>
      </c>
      <c r="B49" s="578" t="s">
        <v>127</v>
      </c>
      <c r="C49" s="574" t="s">
        <v>448</v>
      </c>
      <c r="D49" s="574" t="s">
        <v>239</v>
      </c>
      <c r="E49" s="576">
        <v>45788</v>
      </c>
      <c r="F49" s="577">
        <v>27</v>
      </c>
      <c r="G49" s="776" t="s">
        <v>402</v>
      </c>
      <c r="H49" s="776"/>
      <c r="I49" s="776"/>
      <c r="J49" s="776"/>
      <c r="K49" s="576">
        <v>45803</v>
      </c>
      <c r="L49" s="574" t="s">
        <v>656</v>
      </c>
      <c r="M49" s="537"/>
      <c r="N49" s="717"/>
      <c r="O49" s="717"/>
      <c r="P49" s="717"/>
    </row>
    <row r="50" spans="1:16" ht="21">
      <c r="A50" s="574">
        <f t="shared" si="0"/>
        <v>48</v>
      </c>
      <c r="B50" s="578" t="s">
        <v>129</v>
      </c>
      <c r="C50" s="574" t="s">
        <v>444</v>
      </c>
      <c r="D50" s="574" t="s">
        <v>239</v>
      </c>
      <c r="E50" s="576">
        <v>45799</v>
      </c>
      <c r="F50" s="577">
        <v>29</v>
      </c>
      <c r="G50" s="776" t="s">
        <v>402</v>
      </c>
      <c r="H50" s="776"/>
      <c r="I50" s="776"/>
      <c r="J50" s="776"/>
      <c r="K50" s="576">
        <v>45805</v>
      </c>
      <c r="L50" s="574" t="s">
        <v>657</v>
      </c>
      <c r="M50" s="537"/>
      <c r="N50" s="717"/>
      <c r="O50" s="717"/>
      <c r="P50" s="717"/>
    </row>
    <row r="51" spans="1:16" ht="25.8">
      <c r="A51" s="574">
        <f t="shared" si="0"/>
        <v>49</v>
      </c>
      <c r="B51" s="578" t="s">
        <v>132</v>
      </c>
      <c r="C51" s="574" t="s">
        <v>448</v>
      </c>
      <c r="D51" s="574" t="s">
        <v>239</v>
      </c>
      <c r="E51" s="576">
        <v>45807</v>
      </c>
      <c r="F51" s="577">
        <v>27</v>
      </c>
      <c r="G51" s="776" t="s">
        <v>402</v>
      </c>
      <c r="H51" s="776"/>
      <c r="I51" s="776"/>
      <c r="J51" s="776"/>
      <c r="K51" s="576">
        <v>45812</v>
      </c>
      <c r="L51" s="574" t="s">
        <v>656</v>
      </c>
      <c r="M51" s="537"/>
      <c r="N51" s="710"/>
      <c r="O51" s="710"/>
      <c r="P51" s="710"/>
    </row>
    <row r="52" spans="1:16" ht="25.8">
      <c r="A52" s="574">
        <f t="shared" si="0"/>
        <v>50</v>
      </c>
      <c r="B52" s="578" t="s">
        <v>144</v>
      </c>
      <c r="C52" s="574" t="s">
        <v>448</v>
      </c>
      <c r="D52" s="574" t="s">
        <v>239</v>
      </c>
      <c r="E52" s="576">
        <v>45806</v>
      </c>
      <c r="F52" s="577">
        <v>27</v>
      </c>
      <c r="G52" s="776" t="s">
        <v>402</v>
      </c>
      <c r="H52" s="776"/>
      <c r="I52" s="776"/>
      <c r="J52" s="776"/>
      <c r="K52" s="576">
        <v>45810</v>
      </c>
      <c r="L52" s="574" t="s">
        <v>657</v>
      </c>
      <c r="M52" s="537"/>
      <c r="N52" s="710"/>
      <c r="O52" s="710"/>
      <c r="P52" s="710"/>
    </row>
    <row r="53" spans="1:16" ht="25.8">
      <c r="A53" s="574">
        <f t="shared" si="0"/>
        <v>51</v>
      </c>
      <c r="B53" s="578" t="s">
        <v>123</v>
      </c>
      <c r="C53" s="574" t="s">
        <v>448</v>
      </c>
      <c r="D53" s="574" t="s">
        <v>239</v>
      </c>
      <c r="E53" s="576">
        <v>45811</v>
      </c>
      <c r="F53" s="577">
        <v>27</v>
      </c>
      <c r="G53" s="776" t="s">
        <v>402</v>
      </c>
      <c r="H53" s="776"/>
      <c r="I53" s="776"/>
      <c r="J53" s="776"/>
      <c r="K53" s="576">
        <v>45816</v>
      </c>
      <c r="L53" s="574" t="s">
        <v>656</v>
      </c>
      <c r="M53" s="537"/>
      <c r="N53" s="710"/>
      <c r="O53" s="710"/>
      <c r="P53" s="710"/>
    </row>
    <row r="54" spans="1:16" ht="25.8">
      <c r="A54" s="574">
        <f t="shared" si="0"/>
        <v>52</v>
      </c>
      <c r="B54" s="578" t="s">
        <v>124</v>
      </c>
      <c r="C54" s="574" t="s">
        <v>448</v>
      </c>
      <c r="D54" s="574" t="s">
        <v>239</v>
      </c>
      <c r="E54" s="576">
        <v>45817</v>
      </c>
      <c r="F54" s="577">
        <v>27</v>
      </c>
      <c r="G54" s="776" t="s">
        <v>402</v>
      </c>
      <c r="H54" s="776"/>
      <c r="I54" s="776"/>
      <c r="J54" s="776"/>
      <c r="K54" s="576">
        <v>45820</v>
      </c>
      <c r="L54" s="574" t="s">
        <v>656</v>
      </c>
      <c r="M54" s="537"/>
      <c r="N54" s="710"/>
      <c r="O54" s="710"/>
      <c r="P54" s="710"/>
    </row>
    <row r="55" spans="1:16" ht="25.8">
      <c r="A55" s="574">
        <f t="shared" si="0"/>
        <v>53</v>
      </c>
      <c r="B55" s="578" t="s">
        <v>125</v>
      </c>
      <c r="C55" s="574" t="s">
        <v>448</v>
      </c>
      <c r="D55" s="574" t="s">
        <v>239</v>
      </c>
      <c r="E55" s="576">
        <v>45820</v>
      </c>
      <c r="F55" s="577">
        <v>27</v>
      </c>
      <c r="G55" s="776" t="s">
        <v>402</v>
      </c>
      <c r="H55" s="776"/>
      <c r="I55" s="776"/>
      <c r="J55" s="776"/>
      <c r="K55" s="576">
        <v>45825</v>
      </c>
      <c r="L55" s="574" t="s">
        <v>657</v>
      </c>
      <c r="M55" s="537"/>
      <c r="N55" s="710"/>
      <c r="O55" s="710"/>
      <c r="P55" s="710"/>
    </row>
    <row r="56" spans="1:16" ht="25.8">
      <c r="A56" s="574">
        <f t="shared" si="0"/>
        <v>54</v>
      </c>
      <c r="B56" s="575" t="s">
        <v>122</v>
      </c>
      <c r="C56" s="574" t="s">
        <v>669</v>
      </c>
      <c r="D56" s="574" t="s">
        <v>239</v>
      </c>
      <c r="E56" s="576">
        <v>45822</v>
      </c>
      <c r="F56" s="577">
        <v>56</v>
      </c>
      <c r="G56" s="776" t="s">
        <v>402</v>
      </c>
      <c r="H56" s="776"/>
      <c r="I56" s="776"/>
      <c r="J56" s="776"/>
      <c r="K56" s="576">
        <v>45832</v>
      </c>
      <c r="L56" s="574" t="s">
        <v>656</v>
      </c>
      <c r="M56" s="537"/>
      <c r="N56" s="710"/>
      <c r="O56" s="710"/>
      <c r="P56" s="710"/>
    </row>
    <row r="57" spans="1:16" ht="25.8">
      <c r="A57" s="574">
        <f t="shared" si="0"/>
        <v>55</v>
      </c>
      <c r="B57" s="575" t="s">
        <v>630</v>
      </c>
      <c r="C57" s="574" t="s">
        <v>631</v>
      </c>
      <c r="D57" s="574" t="s">
        <v>239</v>
      </c>
      <c r="E57" s="576">
        <v>45827</v>
      </c>
      <c r="F57" s="577">
        <v>47</v>
      </c>
      <c r="G57" s="776" t="s">
        <v>402</v>
      </c>
      <c r="H57" s="776"/>
      <c r="I57" s="776"/>
      <c r="J57" s="776"/>
      <c r="K57" s="576">
        <v>45839</v>
      </c>
      <c r="L57" s="574" t="s">
        <v>657</v>
      </c>
      <c r="M57" s="537"/>
      <c r="N57" s="710"/>
      <c r="O57" s="710"/>
      <c r="P57" s="710"/>
    </row>
    <row r="58" spans="1:16" ht="25.8">
      <c r="A58" s="574">
        <f t="shared" si="0"/>
        <v>56</v>
      </c>
      <c r="B58" s="575" t="s">
        <v>615</v>
      </c>
      <c r="C58" s="574" t="s">
        <v>401</v>
      </c>
      <c r="D58" s="574" t="s">
        <v>239</v>
      </c>
      <c r="E58" s="576">
        <v>45841</v>
      </c>
      <c r="F58" s="577">
        <v>28</v>
      </c>
      <c r="G58" s="776" t="s">
        <v>402</v>
      </c>
      <c r="H58" s="776"/>
      <c r="I58" s="776"/>
      <c r="J58" s="776"/>
      <c r="K58" s="576">
        <v>45850</v>
      </c>
      <c r="L58" s="574" t="s">
        <v>693</v>
      </c>
      <c r="M58" s="537"/>
      <c r="N58" s="710"/>
      <c r="O58" s="710"/>
      <c r="P58" s="710"/>
    </row>
    <row r="59" spans="1:16" ht="25.8">
      <c r="A59" s="574">
        <f t="shared" si="0"/>
        <v>57</v>
      </c>
      <c r="B59" s="575" t="s">
        <v>596</v>
      </c>
      <c r="C59" s="574" t="s">
        <v>595</v>
      </c>
      <c r="D59" s="574" t="s">
        <v>239</v>
      </c>
      <c r="E59" s="576">
        <v>45841</v>
      </c>
      <c r="F59" s="577">
        <v>54</v>
      </c>
      <c r="G59" s="776" t="s">
        <v>402</v>
      </c>
      <c r="H59" s="776"/>
      <c r="I59" s="776"/>
      <c r="J59" s="776"/>
      <c r="K59" s="576">
        <v>45859</v>
      </c>
      <c r="L59" s="574" t="s">
        <v>656</v>
      </c>
      <c r="M59" s="537"/>
      <c r="N59" s="710"/>
      <c r="O59" s="710"/>
      <c r="P59" s="710"/>
    </row>
    <row r="60" spans="1:16" ht="25.8">
      <c r="A60" s="574">
        <f t="shared" si="0"/>
        <v>58</v>
      </c>
      <c r="B60" s="575" t="s">
        <v>518</v>
      </c>
      <c r="C60" s="574" t="s">
        <v>590</v>
      </c>
      <c r="D60" s="574" t="s">
        <v>239</v>
      </c>
      <c r="E60" s="576">
        <v>45841</v>
      </c>
      <c r="F60" s="577">
        <v>47</v>
      </c>
      <c r="G60" s="776" t="s">
        <v>402</v>
      </c>
      <c r="H60" s="776"/>
      <c r="I60" s="776"/>
      <c r="J60" s="776"/>
      <c r="K60" s="576">
        <v>45852</v>
      </c>
      <c r="L60" s="574" t="s">
        <v>694</v>
      </c>
      <c r="M60" s="537"/>
      <c r="N60" s="710"/>
      <c r="O60" s="710"/>
      <c r="P60" s="710"/>
    </row>
    <row r="61" spans="1:16" ht="25.8">
      <c r="A61" s="574">
        <f t="shared" si="0"/>
        <v>59</v>
      </c>
      <c r="B61" s="575" t="s">
        <v>21</v>
      </c>
      <c r="C61" s="574" t="s">
        <v>401</v>
      </c>
      <c r="D61" s="574" t="s">
        <v>239</v>
      </c>
      <c r="E61" s="576">
        <v>45852</v>
      </c>
      <c r="F61" s="577">
        <v>28</v>
      </c>
      <c r="G61" s="776" t="s">
        <v>402</v>
      </c>
      <c r="H61" s="776"/>
      <c r="I61" s="776"/>
      <c r="J61" s="776"/>
      <c r="K61" s="576">
        <v>45858</v>
      </c>
      <c r="L61" s="574" t="s">
        <v>693</v>
      </c>
      <c r="M61" s="537"/>
      <c r="N61" s="710"/>
      <c r="O61" s="710"/>
      <c r="P61" s="710"/>
    </row>
    <row r="62" spans="1:16" ht="25.8">
      <c r="A62" s="574">
        <f t="shared" si="0"/>
        <v>60</v>
      </c>
      <c r="B62" s="575" t="s">
        <v>142</v>
      </c>
      <c r="C62" s="574" t="s">
        <v>453</v>
      </c>
      <c r="D62" s="574" t="s">
        <v>239</v>
      </c>
      <c r="E62" s="576">
        <v>45853</v>
      </c>
      <c r="F62" s="577">
        <v>34.6</v>
      </c>
      <c r="G62" s="776" t="s">
        <v>402</v>
      </c>
      <c r="H62" s="776"/>
      <c r="I62" s="776"/>
      <c r="J62" s="776"/>
      <c r="K62" s="576">
        <v>45861</v>
      </c>
      <c r="L62" s="574" t="s">
        <v>694</v>
      </c>
      <c r="M62" s="537"/>
      <c r="N62" s="710"/>
      <c r="O62" s="710"/>
      <c r="P62" s="710"/>
    </row>
    <row r="63" spans="1:16" ht="25.8">
      <c r="A63" s="574">
        <f t="shared" si="0"/>
        <v>61</v>
      </c>
      <c r="B63" s="575" t="s">
        <v>138</v>
      </c>
      <c r="C63" s="574" t="s">
        <v>453</v>
      </c>
      <c r="D63" s="574" t="s">
        <v>239</v>
      </c>
      <c r="E63" s="576">
        <v>45859</v>
      </c>
      <c r="F63" s="577">
        <v>34.6</v>
      </c>
      <c r="G63" s="776" t="s">
        <v>402</v>
      </c>
      <c r="H63" s="776"/>
      <c r="I63" s="776"/>
      <c r="J63" s="776"/>
      <c r="K63" s="576">
        <v>45869</v>
      </c>
      <c r="L63" s="574" t="s">
        <v>694</v>
      </c>
      <c r="M63" s="537"/>
      <c r="N63" s="710"/>
      <c r="O63" s="710"/>
      <c r="P63" s="710"/>
    </row>
    <row r="64" spans="1:16" ht="25.8">
      <c r="A64" s="574">
        <f t="shared" si="0"/>
        <v>62</v>
      </c>
      <c r="B64" s="575" t="s">
        <v>134</v>
      </c>
      <c r="C64" s="574" t="s">
        <v>401</v>
      </c>
      <c r="D64" s="574" t="s">
        <v>239</v>
      </c>
      <c r="E64" s="576">
        <v>45860</v>
      </c>
      <c r="F64" s="577">
        <v>28</v>
      </c>
      <c r="G64" s="776" t="s">
        <v>402</v>
      </c>
      <c r="H64" s="776"/>
      <c r="I64" s="776"/>
      <c r="J64" s="776"/>
      <c r="K64" s="576">
        <v>45868</v>
      </c>
      <c r="L64" s="574" t="s">
        <v>693</v>
      </c>
      <c r="M64" s="537"/>
      <c r="N64" s="710"/>
      <c r="O64" s="710"/>
      <c r="P64" s="710"/>
    </row>
    <row r="65" spans="1:16" ht="25.8">
      <c r="A65" s="574">
        <f t="shared" si="0"/>
        <v>63</v>
      </c>
      <c r="B65" s="575" t="s">
        <v>130</v>
      </c>
      <c r="C65" s="574" t="s">
        <v>444</v>
      </c>
      <c r="D65" s="574" t="s">
        <v>239</v>
      </c>
      <c r="E65" s="576">
        <v>45859</v>
      </c>
      <c r="F65" s="577">
        <v>29</v>
      </c>
      <c r="G65" s="776" t="s">
        <v>402</v>
      </c>
      <c r="H65" s="776"/>
      <c r="I65" s="776"/>
      <c r="J65" s="776"/>
      <c r="K65" s="576">
        <v>45876</v>
      </c>
      <c r="L65" s="574" t="s">
        <v>692</v>
      </c>
      <c r="M65" s="537"/>
      <c r="N65" s="710"/>
      <c r="O65" s="710"/>
      <c r="P65" s="710"/>
    </row>
    <row r="66" spans="1:16" ht="15.6">
      <c r="A66" s="574">
        <f t="shared" si="0"/>
        <v>64</v>
      </c>
      <c r="B66" s="575" t="s">
        <v>149</v>
      </c>
      <c r="C66" s="574" t="s">
        <v>444</v>
      </c>
      <c r="D66" s="574" t="s">
        <v>239</v>
      </c>
      <c r="E66" s="576">
        <v>45862</v>
      </c>
      <c r="F66" s="577">
        <v>29</v>
      </c>
      <c r="G66" s="776" t="s">
        <v>402</v>
      </c>
      <c r="H66" s="776"/>
      <c r="I66" s="776"/>
      <c r="J66" s="776"/>
      <c r="K66" s="576">
        <v>45875</v>
      </c>
      <c r="L66" s="574" t="s">
        <v>695</v>
      </c>
      <c r="M66" s="537"/>
      <c r="N66" s="712"/>
      <c r="O66" s="712"/>
      <c r="P66" s="712"/>
    </row>
    <row r="67" spans="1:16" ht="15.6">
      <c r="A67" s="574">
        <f t="shared" si="0"/>
        <v>65</v>
      </c>
      <c r="B67" s="575" t="s">
        <v>131</v>
      </c>
      <c r="C67" s="574" t="s">
        <v>444</v>
      </c>
      <c r="D67" s="574" t="s">
        <v>239</v>
      </c>
      <c r="E67" s="576">
        <v>45837</v>
      </c>
      <c r="F67" s="577">
        <v>29</v>
      </c>
      <c r="G67" s="776" t="s">
        <v>402</v>
      </c>
      <c r="H67" s="776"/>
      <c r="I67" s="776"/>
      <c r="J67" s="776"/>
      <c r="K67" s="576">
        <v>45876</v>
      </c>
      <c r="L67" s="574" t="s">
        <v>693</v>
      </c>
      <c r="M67" s="537"/>
      <c r="N67" s="712"/>
      <c r="O67" s="712"/>
      <c r="P67" s="712"/>
    </row>
    <row r="68" spans="1:16" ht="25.8">
      <c r="A68" s="574">
        <f>A67+1</f>
        <v>66</v>
      </c>
      <c r="B68" s="575" t="s">
        <v>19</v>
      </c>
      <c r="C68" s="574" t="s">
        <v>589</v>
      </c>
      <c r="D68" s="574" t="s">
        <v>239</v>
      </c>
      <c r="E68" s="576">
        <v>45875</v>
      </c>
      <c r="F68" s="577">
        <v>54</v>
      </c>
      <c r="G68" s="776" t="s">
        <v>402</v>
      </c>
      <c r="H68" s="776"/>
      <c r="I68" s="776"/>
      <c r="J68" s="776"/>
      <c r="K68" s="576">
        <v>45888</v>
      </c>
      <c r="L68" s="574" t="s">
        <v>694</v>
      </c>
      <c r="M68" s="537"/>
      <c r="N68" s="710"/>
      <c r="O68" s="710"/>
      <c r="P68" s="710"/>
    </row>
    <row r="69" spans="1:16" ht="25.8">
      <c r="A69" s="574">
        <f t="shared" ref="A69:A97" si="1">A68+1</f>
        <v>67</v>
      </c>
      <c r="B69" s="575" t="s">
        <v>139</v>
      </c>
      <c r="C69" s="574" t="s">
        <v>453</v>
      </c>
      <c r="D69" s="574" t="s">
        <v>239</v>
      </c>
      <c r="E69" s="576">
        <v>45876</v>
      </c>
      <c r="F69" s="577">
        <v>34.630000000000003</v>
      </c>
      <c r="G69" s="776" t="s">
        <v>402</v>
      </c>
      <c r="H69" s="776"/>
      <c r="I69" s="776"/>
      <c r="J69" s="776"/>
      <c r="K69" s="576">
        <v>45886</v>
      </c>
      <c r="L69" s="574" t="s">
        <v>693</v>
      </c>
      <c r="M69" s="537"/>
      <c r="N69" s="710"/>
      <c r="O69" s="710"/>
      <c r="P69" s="710"/>
    </row>
    <row r="70" spans="1:16" ht="25.8">
      <c r="A70" s="574">
        <f t="shared" si="1"/>
        <v>68</v>
      </c>
      <c r="B70" s="575" t="s">
        <v>605</v>
      </c>
      <c r="C70" s="574" t="s">
        <v>629</v>
      </c>
      <c r="D70" s="574" t="s">
        <v>239</v>
      </c>
      <c r="E70" s="576">
        <v>45876</v>
      </c>
      <c r="F70" s="577">
        <v>51.6</v>
      </c>
      <c r="G70" s="776" t="s">
        <v>402</v>
      </c>
      <c r="H70" s="776"/>
      <c r="I70" s="776"/>
      <c r="J70" s="776"/>
      <c r="K70" s="576">
        <v>45885</v>
      </c>
      <c r="L70" s="574" t="s">
        <v>691</v>
      </c>
      <c r="M70" s="537"/>
      <c r="N70" s="710"/>
      <c r="O70" s="710"/>
      <c r="P70" s="710"/>
    </row>
    <row r="71" spans="1:16" ht="25.8">
      <c r="A71" s="574">
        <f t="shared" si="1"/>
        <v>69</v>
      </c>
      <c r="B71" s="575" t="s">
        <v>165</v>
      </c>
      <c r="C71" s="574" t="s">
        <v>401</v>
      </c>
      <c r="D71" s="574" t="s">
        <v>239</v>
      </c>
      <c r="E71" s="576">
        <v>45878</v>
      </c>
      <c r="F71" s="577">
        <v>28</v>
      </c>
      <c r="G71" s="776" t="s">
        <v>402</v>
      </c>
      <c r="H71" s="776"/>
      <c r="I71" s="776"/>
      <c r="J71" s="776"/>
      <c r="K71" s="576">
        <v>45891</v>
      </c>
      <c r="L71" s="574" t="s">
        <v>692</v>
      </c>
      <c r="M71" s="537"/>
      <c r="N71" s="710"/>
      <c r="O71" s="710"/>
      <c r="P71" s="710"/>
    </row>
    <row r="72" spans="1:16" ht="25.8">
      <c r="A72" s="574">
        <f t="shared" si="1"/>
        <v>70</v>
      </c>
      <c r="B72" s="575" t="s">
        <v>8</v>
      </c>
      <c r="C72" s="574" t="s">
        <v>452</v>
      </c>
      <c r="D72" s="574" t="s">
        <v>239</v>
      </c>
      <c r="E72" s="576">
        <v>45885</v>
      </c>
      <c r="F72" s="577">
        <v>33</v>
      </c>
      <c r="G72" s="776" t="s">
        <v>402</v>
      </c>
      <c r="H72" s="776"/>
      <c r="I72" s="776"/>
      <c r="J72" s="776"/>
      <c r="K72" s="576">
        <v>45901</v>
      </c>
      <c r="L72" s="574" t="s">
        <v>691</v>
      </c>
      <c r="M72" s="537"/>
      <c r="N72" s="710"/>
      <c r="O72" s="710"/>
      <c r="P72" s="710"/>
    </row>
    <row r="73" spans="1:16" ht="25.8">
      <c r="A73" s="574">
        <f t="shared" si="1"/>
        <v>71</v>
      </c>
      <c r="B73" s="575" t="s">
        <v>150</v>
      </c>
      <c r="C73" s="574" t="s">
        <v>401</v>
      </c>
      <c r="D73" s="574" t="s">
        <v>239</v>
      </c>
      <c r="E73" s="576">
        <v>45887</v>
      </c>
      <c r="F73" s="577">
        <v>28</v>
      </c>
      <c r="G73" s="776" t="s">
        <v>402</v>
      </c>
      <c r="H73" s="776"/>
      <c r="I73" s="776"/>
      <c r="J73" s="776"/>
      <c r="K73" s="576">
        <v>45895</v>
      </c>
      <c r="L73" s="574" t="s">
        <v>693</v>
      </c>
      <c r="M73" s="537"/>
      <c r="N73" s="710"/>
      <c r="O73" s="710"/>
      <c r="P73" s="710"/>
    </row>
    <row r="74" spans="1:16" ht="25.8">
      <c r="A74" s="574">
        <f t="shared" si="1"/>
        <v>72</v>
      </c>
      <c r="B74" s="575" t="s">
        <v>661</v>
      </c>
      <c r="C74" s="574" t="s">
        <v>650</v>
      </c>
      <c r="D74" s="574" t="s">
        <v>239</v>
      </c>
      <c r="E74" s="576">
        <v>45888</v>
      </c>
      <c r="F74" s="577">
        <v>51.6</v>
      </c>
      <c r="G74" s="776" t="s">
        <v>402</v>
      </c>
      <c r="H74" s="776"/>
      <c r="I74" s="776"/>
      <c r="J74" s="776"/>
      <c r="K74" s="576">
        <v>45895</v>
      </c>
      <c r="L74" s="574" t="s">
        <v>691</v>
      </c>
      <c r="M74" s="537"/>
      <c r="N74" s="710"/>
      <c r="O74" s="710"/>
      <c r="P74" s="710"/>
    </row>
    <row r="75" spans="1:16" ht="25.8">
      <c r="A75" s="574">
        <f t="shared" si="1"/>
        <v>73</v>
      </c>
      <c r="B75" s="575" t="s">
        <v>155</v>
      </c>
      <c r="C75" s="574" t="s">
        <v>401</v>
      </c>
      <c r="D75" s="574" t="s">
        <v>239</v>
      </c>
      <c r="E75" s="576">
        <v>45891</v>
      </c>
      <c r="F75" s="577">
        <v>28</v>
      </c>
      <c r="G75" s="776" t="s">
        <v>402</v>
      </c>
      <c r="H75" s="776"/>
      <c r="I75" s="776"/>
      <c r="J75" s="776"/>
      <c r="K75" s="576">
        <v>45895</v>
      </c>
      <c r="L75" s="574" t="s">
        <v>694</v>
      </c>
      <c r="M75" s="537"/>
      <c r="N75" s="710"/>
      <c r="O75" s="710"/>
      <c r="P75" s="710"/>
    </row>
    <row r="76" spans="1:16" s="272" customFormat="1" ht="27.6" customHeight="1">
      <c r="A76" s="545">
        <f t="shared" si="1"/>
        <v>74</v>
      </c>
      <c r="B76" s="469" t="s">
        <v>559</v>
      </c>
      <c r="C76" s="182" t="s">
        <v>401</v>
      </c>
      <c r="D76" s="545" t="s">
        <v>239</v>
      </c>
      <c r="E76" s="285">
        <v>45895</v>
      </c>
      <c r="F76" s="286">
        <v>28</v>
      </c>
      <c r="G76" s="711" t="s">
        <v>402</v>
      </c>
      <c r="H76" s="711"/>
      <c r="I76" s="711"/>
      <c r="J76" s="711"/>
      <c r="K76" s="184">
        <v>45947</v>
      </c>
      <c r="L76" s="545" t="s">
        <v>694</v>
      </c>
      <c r="M76" s="545"/>
      <c r="N76" s="710"/>
      <c r="O76" s="710"/>
      <c r="P76" s="710"/>
    </row>
    <row r="77" spans="1:16" s="272" customFormat="1" ht="27.6" customHeight="1">
      <c r="A77" s="605">
        <f t="shared" si="1"/>
        <v>75</v>
      </c>
      <c r="B77" s="469" t="s">
        <v>119</v>
      </c>
      <c r="C77" s="182" t="s">
        <v>453</v>
      </c>
      <c r="D77" s="605" t="s">
        <v>239</v>
      </c>
      <c r="E77" s="285">
        <v>45900</v>
      </c>
      <c r="F77" s="286">
        <v>35</v>
      </c>
      <c r="G77" s="711" t="s">
        <v>402</v>
      </c>
      <c r="H77" s="711"/>
      <c r="I77" s="711"/>
      <c r="J77" s="711"/>
      <c r="K77" s="184">
        <v>45910</v>
      </c>
      <c r="L77" s="605" t="s">
        <v>693</v>
      </c>
      <c r="M77" s="605"/>
      <c r="N77" s="637"/>
      <c r="O77" s="637"/>
      <c r="P77" s="637"/>
    </row>
    <row r="78" spans="1:16" s="272" customFormat="1" ht="27.6" customHeight="1">
      <c r="A78" s="605">
        <f t="shared" si="1"/>
        <v>76</v>
      </c>
      <c r="B78" s="469" t="s">
        <v>607</v>
      </c>
      <c r="C78" s="182" t="s">
        <v>702</v>
      </c>
      <c r="D78" s="605" t="s">
        <v>239</v>
      </c>
      <c r="E78" s="285">
        <v>45901</v>
      </c>
      <c r="F78" s="286">
        <v>63</v>
      </c>
      <c r="G78" s="711" t="s">
        <v>402</v>
      </c>
      <c r="H78" s="711"/>
      <c r="I78" s="711"/>
      <c r="J78" s="711"/>
      <c r="K78" s="184">
        <v>45912</v>
      </c>
      <c r="L78" s="605" t="s">
        <v>694</v>
      </c>
      <c r="M78" s="605"/>
      <c r="N78" s="637"/>
      <c r="O78" s="637"/>
      <c r="P78" s="637"/>
    </row>
    <row r="79" spans="1:16" s="272" customFormat="1" ht="27.6" customHeight="1">
      <c r="A79" s="605">
        <f t="shared" si="1"/>
        <v>77</v>
      </c>
      <c r="B79" s="469" t="s">
        <v>164</v>
      </c>
      <c r="C79" s="182" t="s">
        <v>401</v>
      </c>
      <c r="D79" s="605" t="s">
        <v>239</v>
      </c>
      <c r="E79" s="285">
        <v>45903</v>
      </c>
      <c r="F79" s="286">
        <v>27.9</v>
      </c>
      <c r="G79" s="711" t="s">
        <v>402</v>
      </c>
      <c r="H79" s="711"/>
      <c r="I79" s="711"/>
      <c r="J79" s="711"/>
      <c r="K79" s="184">
        <v>45907</v>
      </c>
      <c r="L79" s="605" t="s">
        <v>691</v>
      </c>
      <c r="M79" s="605"/>
      <c r="N79" s="637"/>
      <c r="O79" s="637"/>
      <c r="P79" s="637"/>
    </row>
    <row r="80" spans="1:16" s="272" customFormat="1" ht="43.2" customHeight="1">
      <c r="A80" s="605">
        <f t="shared" si="1"/>
        <v>78</v>
      </c>
      <c r="B80" s="469" t="s">
        <v>652</v>
      </c>
      <c r="C80" s="182" t="s">
        <v>476</v>
      </c>
      <c r="D80" s="605" t="s">
        <v>239</v>
      </c>
      <c r="E80" s="285">
        <v>45905</v>
      </c>
      <c r="F80" s="286">
        <v>45</v>
      </c>
      <c r="G80" s="711" t="s">
        <v>402</v>
      </c>
      <c r="H80" s="711"/>
      <c r="I80" s="711"/>
      <c r="J80" s="711"/>
      <c r="K80" s="184">
        <v>45933</v>
      </c>
      <c r="L80" s="605" t="s">
        <v>692</v>
      </c>
      <c r="M80" s="605"/>
      <c r="N80" s="704"/>
      <c r="O80" s="704"/>
      <c r="P80" s="704"/>
    </row>
    <row r="81" spans="1:16" s="430" customFormat="1" ht="34.799999999999997" customHeight="1">
      <c r="A81" s="482">
        <f t="shared" si="1"/>
        <v>79</v>
      </c>
      <c r="B81" s="468" t="s">
        <v>163</v>
      </c>
      <c r="C81" s="488" t="s">
        <v>676</v>
      </c>
      <c r="D81" s="482" t="s">
        <v>239</v>
      </c>
      <c r="E81" s="429">
        <v>45908</v>
      </c>
      <c r="F81" s="428">
        <v>33</v>
      </c>
      <c r="G81" s="719" t="s">
        <v>707</v>
      </c>
      <c r="H81" s="720"/>
      <c r="I81" s="720"/>
      <c r="J81" s="721"/>
      <c r="K81" s="458"/>
      <c r="L81" s="482" t="s">
        <v>691</v>
      </c>
      <c r="M81" s="482"/>
      <c r="N81" s="886"/>
      <c r="O81" s="886"/>
      <c r="P81" s="886"/>
    </row>
    <row r="82" spans="1:16" s="272" customFormat="1" ht="27.6" customHeight="1">
      <c r="A82" s="605">
        <f t="shared" si="1"/>
        <v>80</v>
      </c>
      <c r="B82" s="469" t="s">
        <v>40</v>
      </c>
      <c r="C82" s="182" t="s">
        <v>444</v>
      </c>
      <c r="D82" s="605" t="s">
        <v>239</v>
      </c>
      <c r="E82" s="285">
        <v>45909</v>
      </c>
      <c r="F82" s="286">
        <v>29</v>
      </c>
      <c r="G82" s="711" t="s">
        <v>402</v>
      </c>
      <c r="H82" s="711"/>
      <c r="I82" s="711"/>
      <c r="J82" s="711"/>
      <c r="K82" s="184">
        <v>45913</v>
      </c>
      <c r="L82" s="605" t="s">
        <v>691</v>
      </c>
      <c r="M82" s="605"/>
      <c r="N82" s="637"/>
      <c r="O82" s="637"/>
      <c r="P82" s="637"/>
    </row>
    <row r="83" spans="1:16" s="272" customFormat="1" ht="27.6" customHeight="1">
      <c r="A83" s="605">
        <f t="shared" si="1"/>
        <v>81</v>
      </c>
      <c r="B83" s="469" t="s">
        <v>154</v>
      </c>
      <c r="C83" s="182" t="s">
        <v>452</v>
      </c>
      <c r="D83" s="605" t="s">
        <v>239</v>
      </c>
      <c r="E83" s="285">
        <v>45909</v>
      </c>
      <c r="F83" s="286">
        <v>33.299999999999997</v>
      </c>
      <c r="G83" s="711" t="s">
        <v>402</v>
      </c>
      <c r="H83" s="711"/>
      <c r="I83" s="711"/>
      <c r="J83" s="711"/>
      <c r="K83" s="184">
        <v>45930</v>
      </c>
      <c r="L83" s="605" t="s">
        <v>703</v>
      </c>
      <c r="M83" s="605"/>
      <c r="N83" s="637"/>
      <c r="O83" s="637"/>
      <c r="P83" s="637"/>
    </row>
    <row r="84" spans="1:16" s="272" customFormat="1" ht="27.6" customHeight="1">
      <c r="A84" s="605">
        <f t="shared" si="1"/>
        <v>82</v>
      </c>
      <c r="B84" s="469" t="s">
        <v>118</v>
      </c>
      <c r="C84" s="182" t="s">
        <v>452</v>
      </c>
      <c r="D84" s="605" t="s">
        <v>239</v>
      </c>
      <c r="E84" s="285">
        <v>45912</v>
      </c>
      <c r="F84" s="286">
        <v>33.299999999999997</v>
      </c>
      <c r="G84" s="711" t="s">
        <v>402</v>
      </c>
      <c r="H84" s="711"/>
      <c r="I84" s="711"/>
      <c r="J84" s="711"/>
      <c r="K84" s="184">
        <v>45922</v>
      </c>
      <c r="L84" s="605" t="s">
        <v>706</v>
      </c>
      <c r="M84" s="605"/>
      <c r="N84" s="637"/>
      <c r="O84" s="637"/>
      <c r="P84" s="637"/>
    </row>
    <row r="85" spans="1:16" s="272" customFormat="1" ht="27.6" customHeight="1">
      <c r="A85" s="605">
        <f t="shared" si="1"/>
        <v>83</v>
      </c>
      <c r="B85" s="469" t="s">
        <v>562</v>
      </c>
      <c r="C85" s="182" t="s">
        <v>650</v>
      </c>
      <c r="D85" s="605" t="s">
        <v>239</v>
      </c>
      <c r="E85" s="285">
        <v>45914</v>
      </c>
      <c r="F85" s="286">
        <v>51.7</v>
      </c>
      <c r="G85" s="711" t="s">
        <v>402</v>
      </c>
      <c r="H85" s="711"/>
      <c r="I85" s="711"/>
      <c r="J85" s="711"/>
      <c r="K85" s="184">
        <v>45925</v>
      </c>
      <c r="L85" s="605" t="s">
        <v>694</v>
      </c>
      <c r="M85" s="605"/>
      <c r="N85" s="637"/>
      <c r="O85" s="637"/>
      <c r="P85" s="637"/>
    </row>
    <row r="86" spans="1:16" s="272" customFormat="1" ht="34.799999999999997" customHeight="1">
      <c r="A86" s="605">
        <f t="shared" si="1"/>
        <v>84</v>
      </c>
      <c r="B86" s="469" t="s">
        <v>687</v>
      </c>
      <c r="C86" s="182" t="s">
        <v>598</v>
      </c>
      <c r="D86" s="605" t="s">
        <v>239</v>
      </c>
      <c r="E86" s="285">
        <v>45916</v>
      </c>
      <c r="F86" s="286">
        <v>60</v>
      </c>
      <c r="G86" s="711" t="s">
        <v>402</v>
      </c>
      <c r="H86" s="711"/>
      <c r="I86" s="711"/>
      <c r="J86" s="711"/>
      <c r="K86" s="184">
        <v>45923</v>
      </c>
      <c r="L86" s="605" t="s">
        <v>691</v>
      </c>
      <c r="M86" s="605"/>
      <c r="N86" s="704"/>
      <c r="O86" s="704"/>
      <c r="P86" s="704"/>
    </row>
    <row r="87" spans="1:16" s="272" customFormat="1" ht="34.799999999999997" customHeight="1">
      <c r="A87" s="605">
        <f t="shared" si="1"/>
        <v>85</v>
      </c>
      <c r="B87" s="469" t="s">
        <v>117</v>
      </c>
      <c r="C87" s="182" t="s">
        <v>448</v>
      </c>
      <c r="D87" s="605" t="s">
        <v>239</v>
      </c>
      <c r="E87" s="285">
        <v>45922</v>
      </c>
      <c r="F87" s="286">
        <v>27</v>
      </c>
      <c r="G87" s="711" t="s">
        <v>402</v>
      </c>
      <c r="H87" s="711"/>
      <c r="I87" s="711"/>
      <c r="J87" s="711"/>
      <c r="K87" s="184">
        <v>45930</v>
      </c>
      <c r="L87" s="605" t="s">
        <v>706</v>
      </c>
      <c r="M87" s="605"/>
      <c r="N87" s="704"/>
      <c r="O87" s="704"/>
      <c r="P87" s="704"/>
    </row>
    <row r="88" spans="1:16" s="272" customFormat="1" ht="34.799999999999997" customHeight="1">
      <c r="A88" s="605">
        <f t="shared" si="1"/>
        <v>86</v>
      </c>
      <c r="B88" s="469" t="s">
        <v>672</v>
      </c>
      <c r="C88" s="182" t="s">
        <v>673</v>
      </c>
      <c r="D88" s="605" t="s">
        <v>239</v>
      </c>
      <c r="E88" s="285">
        <v>45925</v>
      </c>
      <c r="F88" s="286">
        <v>50</v>
      </c>
      <c r="G88" s="711" t="s">
        <v>402</v>
      </c>
      <c r="H88" s="711"/>
      <c r="I88" s="711"/>
      <c r="J88" s="711"/>
      <c r="K88" s="184">
        <v>45931</v>
      </c>
      <c r="L88" s="605" t="s">
        <v>691</v>
      </c>
      <c r="M88" s="605"/>
      <c r="N88" s="704"/>
      <c r="O88" s="704"/>
      <c r="P88" s="704"/>
    </row>
    <row r="89" spans="1:16" s="272" customFormat="1" ht="34.799999999999997" customHeight="1">
      <c r="A89" s="605">
        <f t="shared" si="1"/>
        <v>87</v>
      </c>
      <c r="B89" s="469" t="s">
        <v>173</v>
      </c>
      <c r="C89" s="182" t="s">
        <v>448</v>
      </c>
      <c r="D89" s="605" t="s">
        <v>239</v>
      </c>
      <c r="E89" s="285">
        <v>45928</v>
      </c>
      <c r="F89" s="286">
        <v>27</v>
      </c>
      <c r="G89" s="711" t="s">
        <v>402</v>
      </c>
      <c r="H89" s="711"/>
      <c r="I89" s="711"/>
      <c r="J89" s="711"/>
      <c r="K89" s="184">
        <v>45935</v>
      </c>
      <c r="L89" s="605" t="s">
        <v>694</v>
      </c>
      <c r="M89" s="605"/>
      <c r="N89" s="704"/>
      <c r="O89" s="704"/>
      <c r="P89" s="704"/>
    </row>
    <row r="90" spans="1:16" s="272" customFormat="1" ht="34.799999999999997" customHeight="1">
      <c r="A90" s="605">
        <f t="shared" si="1"/>
        <v>88</v>
      </c>
      <c r="B90" s="469" t="s">
        <v>696</v>
      </c>
      <c r="C90" s="182" t="s">
        <v>697</v>
      </c>
      <c r="D90" s="605" t="s">
        <v>239</v>
      </c>
      <c r="E90" s="285">
        <v>45929</v>
      </c>
      <c r="F90" s="286">
        <v>60</v>
      </c>
      <c r="G90" s="711" t="s">
        <v>402</v>
      </c>
      <c r="H90" s="711"/>
      <c r="I90" s="711"/>
      <c r="J90" s="711"/>
      <c r="K90" s="184">
        <v>45947</v>
      </c>
      <c r="L90" s="605" t="s">
        <v>703</v>
      </c>
      <c r="M90" s="605"/>
      <c r="N90" s="704"/>
      <c r="O90" s="704"/>
      <c r="P90" s="704"/>
    </row>
    <row r="91" spans="1:16" s="272" customFormat="1" ht="34.799999999999997" customHeight="1">
      <c r="A91" s="605">
        <f t="shared" si="1"/>
        <v>89</v>
      </c>
      <c r="B91" s="469" t="s">
        <v>597</v>
      </c>
      <c r="C91" s="182" t="s">
        <v>598</v>
      </c>
      <c r="D91" s="605" t="s">
        <v>239</v>
      </c>
      <c r="E91" s="285">
        <v>45934</v>
      </c>
      <c r="F91" s="286">
        <v>60</v>
      </c>
      <c r="G91" s="711" t="s">
        <v>402</v>
      </c>
      <c r="H91" s="711"/>
      <c r="I91" s="711"/>
      <c r="J91" s="711"/>
      <c r="K91" s="184">
        <v>45947</v>
      </c>
      <c r="L91" s="605" t="s">
        <v>706</v>
      </c>
      <c r="M91" s="605"/>
      <c r="N91" s="704"/>
      <c r="O91" s="704"/>
      <c r="P91" s="704"/>
    </row>
    <row r="92" spans="1:16" s="430" customFormat="1" ht="34.799999999999997" customHeight="1">
      <c r="A92" s="482">
        <f t="shared" si="1"/>
        <v>90</v>
      </c>
      <c r="B92" s="468" t="s">
        <v>665</v>
      </c>
      <c r="C92" s="488" t="s">
        <v>116</v>
      </c>
      <c r="D92" s="482" t="s">
        <v>239</v>
      </c>
      <c r="E92" s="429">
        <v>45946</v>
      </c>
      <c r="F92" s="428">
        <v>89</v>
      </c>
      <c r="G92" s="881" t="s">
        <v>810</v>
      </c>
      <c r="H92" s="882"/>
      <c r="I92" s="882"/>
      <c r="J92" s="882"/>
      <c r="K92" s="458"/>
      <c r="L92" s="482" t="s">
        <v>706</v>
      </c>
      <c r="M92" s="482">
        <v>33</v>
      </c>
      <c r="N92" s="886"/>
      <c r="O92" s="886"/>
      <c r="P92" s="886"/>
    </row>
    <row r="93" spans="1:16" s="430" customFormat="1" ht="34.799999999999997" customHeight="1">
      <c r="A93" s="482">
        <f t="shared" si="1"/>
        <v>91</v>
      </c>
      <c r="B93" s="468" t="s">
        <v>670</v>
      </c>
      <c r="C93" s="488" t="s">
        <v>116</v>
      </c>
      <c r="D93" s="482" t="s">
        <v>239</v>
      </c>
      <c r="E93" s="429">
        <v>45946</v>
      </c>
      <c r="F93" s="428">
        <v>89</v>
      </c>
      <c r="G93" s="881" t="s">
        <v>805</v>
      </c>
      <c r="H93" s="882"/>
      <c r="I93" s="882"/>
      <c r="J93" s="882"/>
      <c r="K93" s="458"/>
      <c r="L93" s="482" t="s">
        <v>703</v>
      </c>
      <c r="M93" s="482">
        <v>20</v>
      </c>
      <c r="N93" s="886"/>
      <c r="O93" s="886"/>
      <c r="P93" s="886"/>
    </row>
    <row r="94" spans="1:16" s="272" customFormat="1" ht="34.799999999999997" customHeight="1">
      <c r="A94" s="636">
        <f t="shared" si="1"/>
        <v>92</v>
      </c>
      <c r="B94" s="469" t="s">
        <v>561</v>
      </c>
      <c r="C94" s="182" t="s">
        <v>401</v>
      </c>
      <c r="D94" s="636" t="s">
        <v>239</v>
      </c>
      <c r="E94" s="285">
        <v>45948</v>
      </c>
      <c r="F94" s="286">
        <v>28</v>
      </c>
      <c r="G94" s="711" t="s">
        <v>402</v>
      </c>
      <c r="H94" s="711"/>
      <c r="I94" s="711"/>
      <c r="J94" s="711"/>
      <c r="K94" s="184">
        <v>45957</v>
      </c>
      <c r="L94" s="636" t="s">
        <v>694</v>
      </c>
      <c r="M94" s="636"/>
      <c r="N94" s="704"/>
      <c r="O94" s="704"/>
      <c r="P94" s="704"/>
    </row>
    <row r="95" spans="1:16" s="272" customFormat="1" ht="34.799999999999997" customHeight="1">
      <c r="A95" s="636">
        <f t="shared" si="1"/>
        <v>93</v>
      </c>
      <c r="B95" s="469" t="s">
        <v>162</v>
      </c>
      <c r="C95" s="182" t="s">
        <v>401</v>
      </c>
      <c r="D95" s="636" t="s">
        <v>239</v>
      </c>
      <c r="E95" s="285">
        <v>45959</v>
      </c>
      <c r="F95" s="286">
        <v>28</v>
      </c>
      <c r="G95" s="711" t="s">
        <v>402</v>
      </c>
      <c r="H95" s="711"/>
      <c r="I95" s="711"/>
      <c r="J95" s="711"/>
      <c r="K95" s="184">
        <v>45967</v>
      </c>
      <c r="L95" s="636" t="s">
        <v>694</v>
      </c>
      <c r="M95" s="636">
        <v>31</v>
      </c>
      <c r="N95" s="704"/>
      <c r="O95" s="704"/>
      <c r="P95" s="704"/>
    </row>
    <row r="96" spans="1:16" s="430" customFormat="1" ht="34.799999999999997" customHeight="1">
      <c r="A96" s="482">
        <f t="shared" si="1"/>
        <v>94</v>
      </c>
      <c r="B96" s="468" t="s">
        <v>158</v>
      </c>
      <c r="C96" s="488" t="s">
        <v>401</v>
      </c>
      <c r="D96" s="482" t="s">
        <v>239</v>
      </c>
      <c r="E96" s="429">
        <v>45965</v>
      </c>
      <c r="F96" s="428">
        <v>28</v>
      </c>
      <c r="G96" s="881" t="s">
        <v>816</v>
      </c>
      <c r="H96" s="882"/>
      <c r="I96" s="882"/>
      <c r="J96" s="882"/>
      <c r="K96" s="458"/>
      <c r="L96" s="482" t="s">
        <v>694</v>
      </c>
      <c r="M96" s="482"/>
      <c r="N96" s="886"/>
      <c r="O96" s="886"/>
      <c r="P96" s="886"/>
    </row>
    <row r="97" spans="1:16" s="430" customFormat="1" ht="34.799999999999997" customHeight="1">
      <c r="A97" s="482">
        <f t="shared" si="1"/>
        <v>95</v>
      </c>
      <c r="B97" s="468" t="s">
        <v>151</v>
      </c>
      <c r="C97" s="488" t="s">
        <v>401</v>
      </c>
      <c r="D97" s="482" t="s">
        <v>239</v>
      </c>
      <c r="E97" s="429">
        <v>45967</v>
      </c>
      <c r="F97" s="428">
        <v>28</v>
      </c>
      <c r="G97" s="881" t="s">
        <v>820</v>
      </c>
      <c r="H97" s="882"/>
      <c r="I97" s="882"/>
      <c r="J97" s="882"/>
      <c r="K97" s="458"/>
      <c r="L97" s="482" t="s">
        <v>703</v>
      </c>
      <c r="M97" s="482">
        <v>7</v>
      </c>
      <c r="N97" s="886"/>
      <c r="O97" s="886"/>
      <c r="P97" s="886"/>
    </row>
  </sheetData>
  <mergeCells count="186">
    <mergeCell ref="G97:J97"/>
    <mergeCell ref="N97:P97"/>
    <mergeCell ref="G96:J96"/>
    <mergeCell ref="N96:P96"/>
    <mergeCell ref="G95:J95"/>
    <mergeCell ref="N95:P95"/>
    <mergeCell ref="G92:J92"/>
    <mergeCell ref="N92:P92"/>
    <mergeCell ref="G93:J93"/>
    <mergeCell ref="N93:P93"/>
    <mergeCell ref="G5:J5"/>
    <mergeCell ref="N5:P5"/>
    <mergeCell ref="G6:J6"/>
    <mergeCell ref="N6:P6"/>
    <mergeCell ref="G7:J7"/>
    <mergeCell ref="N7:P7"/>
    <mergeCell ref="G12:J12"/>
    <mergeCell ref="N12:P12"/>
    <mergeCell ref="G13:J13"/>
    <mergeCell ref="N13:P13"/>
    <mergeCell ref="G17:J17"/>
    <mergeCell ref="N17:P17"/>
    <mergeCell ref="G18:J18"/>
    <mergeCell ref="N18:P18"/>
    <mergeCell ref="G19:J19"/>
    <mergeCell ref="N19:P19"/>
    <mergeCell ref="G14:J14"/>
    <mergeCell ref="N14:P14"/>
    <mergeCell ref="G15:J15"/>
    <mergeCell ref="N15:P15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26:J26"/>
    <mergeCell ref="N26:P26"/>
    <mergeCell ref="G27:J27"/>
    <mergeCell ref="N27:P27"/>
    <mergeCell ref="G28:J28"/>
    <mergeCell ref="N28:P28"/>
    <mergeCell ref="G16:J16"/>
    <mergeCell ref="N16:P16"/>
    <mergeCell ref="G23:J23"/>
    <mergeCell ref="N23:P23"/>
    <mergeCell ref="G24:J24"/>
    <mergeCell ref="N24:P24"/>
    <mergeCell ref="G25:J25"/>
    <mergeCell ref="N25:P25"/>
    <mergeCell ref="G20:J20"/>
    <mergeCell ref="N20:P20"/>
    <mergeCell ref="G21:J21"/>
    <mergeCell ref="N21:P21"/>
    <mergeCell ref="G22:J22"/>
    <mergeCell ref="N22:P22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83:J83"/>
    <mergeCell ref="G75:J75"/>
    <mergeCell ref="N75:P75"/>
    <mergeCell ref="G76:J76"/>
    <mergeCell ref="G77:J77"/>
    <mergeCell ref="G78:J78"/>
    <mergeCell ref="G79:J79"/>
    <mergeCell ref="G71:J71"/>
    <mergeCell ref="N71:P71"/>
    <mergeCell ref="G72:J72"/>
    <mergeCell ref="G73:J73"/>
    <mergeCell ref="G74:J74"/>
    <mergeCell ref="N74:P74"/>
    <mergeCell ref="G94:J94"/>
    <mergeCell ref="N94:P94"/>
    <mergeCell ref="N72:P72"/>
    <mergeCell ref="N73:P73"/>
    <mergeCell ref="N76:P76"/>
    <mergeCell ref="G91:J91"/>
    <mergeCell ref="N91:P91"/>
    <mergeCell ref="G88:J88"/>
    <mergeCell ref="N88:P88"/>
    <mergeCell ref="G89:J89"/>
    <mergeCell ref="N89:P89"/>
    <mergeCell ref="G90:J90"/>
    <mergeCell ref="N90:P90"/>
    <mergeCell ref="G84:J84"/>
    <mergeCell ref="G85:J85"/>
    <mergeCell ref="G86:J86"/>
    <mergeCell ref="N86:P86"/>
    <mergeCell ref="G87:J87"/>
    <mergeCell ref="N87:P87"/>
    <mergeCell ref="G80:J80"/>
    <mergeCell ref="N80:P80"/>
    <mergeCell ref="G81:J81"/>
    <mergeCell ref="N81:P81"/>
    <mergeCell ref="G82:J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" zoomScale="70" zoomScaleNormal="100" zoomScaleSheetLayoutView="70" workbookViewId="0">
      <selection activeCell="B102" sqref="B102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38"/>
    </row>
    <row r="2" spans="1:37" s="46" customFormat="1" ht="23.4" thickBot="1">
      <c r="A2" s="127"/>
      <c r="B2" s="836" t="s">
        <v>235</v>
      </c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837"/>
      <c r="O2" s="837"/>
      <c r="P2" s="837"/>
      <c r="Q2" s="837"/>
      <c r="R2" s="837"/>
      <c r="S2" s="837"/>
      <c r="T2" s="837"/>
      <c r="U2" s="837"/>
      <c r="V2" s="837"/>
      <c r="W2" s="201"/>
    </row>
    <row r="3" spans="1:37" s="206" customFormat="1" ht="13.95" customHeight="1" thickBot="1">
      <c r="A3" s="370"/>
      <c r="B3" s="822" t="s">
        <v>435</v>
      </c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4"/>
      <c r="R3" s="128"/>
      <c r="S3" s="202"/>
      <c r="T3" s="203"/>
      <c r="U3" s="811"/>
      <c r="V3" s="811"/>
      <c r="W3" s="10"/>
      <c r="AA3" s="371"/>
    </row>
    <row r="4" spans="1:37" s="206" customFormat="1" ht="13.95" customHeight="1" thickBot="1">
      <c r="A4" s="370"/>
      <c r="B4" s="825" t="s">
        <v>436</v>
      </c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7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70"/>
      <c r="B5" s="159" t="s">
        <v>437</v>
      </c>
      <c r="C5" s="828" t="s">
        <v>371</v>
      </c>
      <c r="D5" s="828"/>
      <c r="E5" s="828"/>
      <c r="F5" s="828"/>
      <c r="G5" s="828" t="s">
        <v>438</v>
      </c>
      <c r="H5" s="828"/>
      <c r="I5" s="828" t="s">
        <v>439</v>
      </c>
      <c r="J5" s="828"/>
      <c r="K5" s="828"/>
      <c r="L5" s="828" t="s">
        <v>55</v>
      </c>
      <c r="M5" s="828"/>
      <c r="N5" s="828"/>
      <c r="O5" s="828" t="s">
        <v>57</v>
      </c>
      <c r="P5" s="828"/>
      <c r="Q5" s="829"/>
      <c r="R5" s="128"/>
      <c r="S5" s="202"/>
      <c r="T5" s="203"/>
      <c r="U5" s="811"/>
      <c r="V5" s="811"/>
      <c r="W5" s="10"/>
      <c r="AA5" s="371"/>
    </row>
    <row r="6" spans="1:37" s="206" customFormat="1" ht="13.95" customHeight="1">
      <c r="A6" s="370"/>
      <c r="B6" s="160">
        <v>1</v>
      </c>
      <c r="C6" s="830" t="s">
        <v>392</v>
      </c>
      <c r="D6" s="830"/>
      <c r="E6" s="830"/>
      <c r="F6" s="830"/>
      <c r="G6" s="830" t="s">
        <v>108</v>
      </c>
      <c r="H6" s="830"/>
      <c r="I6" s="830">
        <v>47.84</v>
      </c>
      <c r="J6" s="830"/>
      <c r="K6" s="830"/>
      <c r="L6" s="830">
        <v>47.84</v>
      </c>
      <c r="M6" s="830"/>
      <c r="N6" s="830"/>
      <c r="O6" s="830">
        <f t="shared" ref="O6:O12" si="0">I6-L6</f>
        <v>0</v>
      </c>
      <c r="P6" s="830"/>
      <c r="Q6" s="831"/>
      <c r="R6" s="128"/>
      <c r="S6" s="128"/>
      <c r="T6" s="128"/>
      <c r="U6" s="128"/>
      <c r="V6" s="204"/>
      <c r="W6" s="40"/>
    </row>
    <row r="7" spans="1:37" s="206" customFormat="1" ht="13.95" customHeight="1">
      <c r="A7" s="370"/>
      <c r="B7" s="161">
        <v>2</v>
      </c>
      <c r="C7" s="820" t="s">
        <v>237</v>
      </c>
      <c r="D7" s="820"/>
      <c r="E7" s="820"/>
      <c r="F7" s="820"/>
      <c r="G7" s="820" t="s">
        <v>108</v>
      </c>
      <c r="H7" s="820"/>
      <c r="I7" s="830">
        <v>47.84</v>
      </c>
      <c r="J7" s="830"/>
      <c r="K7" s="830"/>
      <c r="L7" s="830">
        <v>47.84</v>
      </c>
      <c r="M7" s="830"/>
      <c r="N7" s="830"/>
      <c r="O7" s="820">
        <f t="shared" si="0"/>
        <v>0</v>
      </c>
      <c r="P7" s="820"/>
      <c r="Q7" s="821"/>
      <c r="R7" s="128"/>
      <c r="S7" s="202"/>
      <c r="T7" s="203"/>
      <c r="U7" s="811"/>
      <c r="V7" s="811"/>
      <c r="W7" s="10"/>
      <c r="AA7" s="371"/>
    </row>
    <row r="8" spans="1:37" s="206" customFormat="1" ht="13.95" customHeight="1">
      <c r="A8" s="370"/>
      <c r="B8" s="161">
        <v>3</v>
      </c>
      <c r="C8" s="820" t="s">
        <v>101</v>
      </c>
      <c r="D8" s="820"/>
      <c r="E8" s="820"/>
      <c r="F8" s="820"/>
      <c r="G8" s="820" t="s">
        <v>107</v>
      </c>
      <c r="H8" s="820"/>
      <c r="I8" s="820">
        <v>127</v>
      </c>
      <c r="J8" s="820"/>
      <c r="K8" s="820"/>
      <c r="L8" s="820">
        <v>115</v>
      </c>
      <c r="M8" s="820"/>
      <c r="N8" s="820"/>
      <c r="O8" s="820">
        <f t="shared" si="0"/>
        <v>12</v>
      </c>
      <c r="P8" s="820"/>
      <c r="Q8" s="821"/>
      <c r="R8" s="128"/>
      <c r="S8" s="128"/>
      <c r="T8" s="128"/>
      <c r="U8" s="128"/>
      <c r="V8" s="204"/>
      <c r="W8" s="40"/>
    </row>
    <row r="9" spans="1:37" s="206" customFormat="1" ht="13.95" customHeight="1">
      <c r="A9" s="370"/>
      <c r="B9" s="161">
        <v>4</v>
      </c>
      <c r="C9" s="820" t="s">
        <v>102</v>
      </c>
      <c r="D9" s="820"/>
      <c r="E9" s="820"/>
      <c r="F9" s="820"/>
      <c r="G9" s="820" t="s">
        <v>107</v>
      </c>
      <c r="H9" s="820"/>
      <c r="I9" s="820">
        <v>127</v>
      </c>
      <c r="J9" s="820"/>
      <c r="K9" s="820"/>
      <c r="L9" s="820">
        <v>111</v>
      </c>
      <c r="M9" s="820"/>
      <c r="N9" s="820"/>
      <c r="O9" s="820">
        <f t="shared" si="0"/>
        <v>16</v>
      </c>
      <c r="P9" s="820"/>
      <c r="Q9" s="821"/>
      <c r="R9" s="128"/>
      <c r="S9" s="202"/>
      <c r="T9" s="203"/>
      <c r="U9" s="811"/>
      <c r="V9" s="811"/>
      <c r="W9" s="10"/>
      <c r="AA9" s="371"/>
    </row>
    <row r="10" spans="1:37" s="206" customFormat="1" ht="13.95" customHeight="1">
      <c r="A10" s="370"/>
      <c r="B10" s="161">
        <v>5</v>
      </c>
      <c r="C10" s="820" t="s">
        <v>103</v>
      </c>
      <c r="D10" s="820"/>
      <c r="E10" s="820"/>
      <c r="F10" s="820"/>
      <c r="G10" s="820" t="s">
        <v>107</v>
      </c>
      <c r="H10" s="820"/>
      <c r="I10" s="820">
        <v>127</v>
      </c>
      <c r="J10" s="820"/>
      <c r="K10" s="820"/>
      <c r="L10" s="820">
        <v>90</v>
      </c>
      <c r="M10" s="820"/>
      <c r="N10" s="820"/>
      <c r="O10" s="820">
        <f t="shared" si="0"/>
        <v>37</v>
      </c>
      <c r="P10" s="820"/>
      <c r="Q10" s="821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70"/>
      <c r="B11" s="161">
        <v>7</v>
      </c>
      <c r="C11" s="820" t="s">
        <v>440</v>
      </c>
      <c r="D11" s="820"/>
      <c r="E11" s="820"/>
      <c r="F11" s="820"/>
      <c r="G11" s="820" t="s">
        <v>108</v>
      </c>
      <c r="H11" s="820"/>
      <c r="I11" s="820">
        <v>47.84</v>
      </c>
      <c r="J11" s="820"/>
      <c r="K11" s="820"/>
      <c r="L11" s="820">
        <f>3.579+0.48</f>
        <v>4.0590000000000002</v>
      </c>
      <c r="M11" s="820"/>
      <c r="N11" s="820"/>
      <c r="O11" s="820">
        <f t="shared" si="0"/>
        <v>43.781000000000006</v>
      </c>
      <c r="P11" s="820"/>
      <c r="Q11" s="821"/>
      <c r="R11" s="128"/>
      <c r="T11" s="204" t="s">
        <v>441</v>
      </c>
      <c r="U11" s="424">
        <f>(W17+W26+W37+W46+W55+W65+W74+W83+W92+W101+W110+W119+W129+W139)/1000</f>
        <v>47.835704</v>
      </c>
      <c r="W11" s="40"/>
    </row>
    <row r="12" spans="1:37" s="206" customFormat="1" ht="13.95" customHeight="1" thickBot="1">
      <c r="A12" s="370"/>
      <c r="B12" s="149">
        <v>8</v>
      </c>
      <c r="C12" s="809" t="s">
        <v>442</v>
      </c>
      <c r="D12" s="809"/>
      <c r="E12" s="809"/>
      <c r="F12" s="809"/>
      <c r="G12" s="809" t="s">
        <v>107</v>
      </c>
      <c r="H12" s="809"/>
      <c r="I12" s="809">
        <v>47.84</v>
      </c>
      <c r="J12" s="809"/>
      <c r="K12" s="809"/>
      <c r="L12" s="809">
        <v>1.1060000000000001</v>
      </c>
      <c r="M12" s="809"/>
      <c r="N12" s="809"/>
      <c r="O12" s="809">
        <f t="shared" si="0"/>
        <v>46.734000000000002</v>
      </c>
      <c r="P12" s="809"/>
      <c r="Q12" s="835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797"/>
      <c r="C13" s="798"/>
      <c r="D13" s="798"/>
      <c r="E13" s="798"/>
      <c r="F13" s="798"/>
      <c r="G13" s="798"/>
      <c r="H13" s="798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798"/>
      <c r="W13" s="799"/>
      <c r="AK13" s="9" t="s">
        <v>98</v>
      </c>
    </row>
    <row r="14" spans="1:37" ht="13.8">
      <c r="A14" s="11"/>
      <c r="B14" s="797" t="s">
        <v>195</v>
      </c>
      <c r="C14" s="798"/>
      <c r="D14" s="798"/>
      <c r="E14" s="798"/>
      <c r="F14" s="798"/>
      <c r="G14" s="798"/>
      <c r="H14" s="798"/>
      <c r="I14" s="798"/>
      <c r="J14" s="798"/>
      <c r="K14" s="798"/>
      <c r="L14" s="798"/>
      <c r="M14" s="798"/>
      <c r="N14" s="798"/>
      <c r="O14" s="798"/>
      <c r="P14" s="798"/>
      <c r="Q14" s="798"/>
      <c r="R14" s="798"/>
      <c r="S14" s="798"/>
      <c r="T14" s="798"/>
      <c r="U14" s="798"/>
      <c r="V14" s="798"/>
      <c r="W14" s="799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662</v>
      </c>
      <c r="J18" s="215"/>
      <c r="K18" s="163" t="s">
        <v>662</v>
      </c>
      <c r="M18" s="163" t="s">
        <v>662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8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1"/>
      <c r="E19" s="193"/>
      <c r="G19" s="271"/>
      <c r="I19" s="193"/>
      <c r="K19" s="193"/>
      <c r="M19" s="193"/>
      <c r="O19" s="271"/>
      <c r="Q19" s="271"/>
      <c r="R19" s="121"/>
      <c r="S19" s="271"/>
      <c r="T19" s="121"/>
      <c r="U19" s="271"/>
      <c r="V19" s="121"/>
      <c r="W19" s="64"/>
      <c r="X19" s="31">
        <v>0</v>
      </c>
      <c r="Y19" s="31">
        <f>COUNTIF($B$19:$U$19,"WIP")</f>
        <v>0</v>
      </c>
      <c r="Z19" s="31">
        <v>1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1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8</v>
      </c>
      <c r="AC21" s="31" t="s">
        <v>95</v>
      </c>
    </row>
    <row r="22" spans="1:29" s="105" customFormat="1" ht="13.5" customHeight="1">
      <c r="A22" s="104"/>
      <c r="B22" s="108"/>
      <c r="C22" s="818">
        <f>(D17)/1000</f>
        <v>0.249635</v>
      </c>
      <c r="D22" s="818"/>
      <c r="E22" s="818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  <c r="Q22" s="802"/>
      <c r="R22" s="802"/>
      <c r="S22" s="802"/>
      <c r="T22" s="802"/>
      <c r="U22" s="802"/>
      <c r="V22" s="802"/>
      <c r="W22" s="129"/>
    </row>
    <row r="23" spans="1:29" s="31" customFormat="1" ht="11.55" customHeight="1">
      <c r="A23" s="61"/>
      <c r="B23" s="61"/>
      <c r="D23" s="800" t="s">
        <v>197</v>
      </c>
      <c r="E23" s="800"/>
      <c r="F23" s="800"/>
      <c r="G23" s="219"/>
      <c r="H23" s="219"/>
      <c r="J23" s="218" t="s">
        <v>198</v>
      </c>
      <c r="P23" s="219"/>
      <c r="Q23" s="219"/>
      <c r="R23" s="219"/>
      <c r="S23" s="813" t="s">
        <v>199</v>
      </c>
      <c r="T23" s="813"/>
      <c r="U23" s="813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70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0</v>
      </c>
      <c r="AC27" s="31" t="s">
        <v>65</v>
      </c>
    </row>
    <row r="28" spans="1:29" s="31" customFormat="1" ht="13.8" thickBot="1">
      <c r="A28" s="61"/>
      <c r="B28" s="61"/>
      <c r="C28" s="271"/>
      <c r="E28" s="271"/>
      <c r="G28" s="271"/>
      <c r="I28" s="271"/>
      <c r="K28" s="271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02">
        <f>(F17+H17+J17+L17+N17+P17+R17+T17+V17+D26+H26+F26+J26)/1000</f>
        <v>4.9324240000000001</v>
      </c>
      <c r="D31" s="802"/>
      <c r="E31" s="802"/>
      <c r="F31" s="802"/>
      <c r="G31" s="802"/>
      <c r="H31" s="802"/>
      <c r="I31" s="802"/>
      <c r="J31" s="802"/>
      <c r="K31" s="802"/>
      <c r="L31" s="109"/>
      <c r="M31" s="220"/>
      <c r="N31" s="220"/>
      <c r="O31" s="220"/>
      <c r="P31" s="817"/>
      <c r="Q31" s="817"/>
      <c r="R31" s="817"/>
      <c r="S31" s="817"/>
      <c r="T31" s="817"/>
      <c r="U31" s="817"/>
      <c r="V31" s="817"/>
      <c r="W31" s="110"/>
    </row>
    <row r="32" spans="1:29" s="31" customFormat="1" ht="15.75" customHeight="1">
      <c r="A32" s="61"/>
      <c r="B32" s="65"/>
      <c r="C32" s="800" t="s">
        <v>199</v>
      </c>
      <c r="D32" s="800"/>
      <c r="E32" s="800"/>
      <c r="O32" s="816"/>
      <c r="P32" s="816"/>
      <c r="Q32" s="816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13</v>
      </c>
      <c r="AA33" s="53">
        <f t="shared" si="1"/>
        <v>0</v>
      </c>
      <c r="AB33" s="53">
        <f t="shared" si="1"/>
        <v>0</v>
      </c>
      <c r="AC33" s="39" t="s">
        <v>93</v>
      </c>
    </row>
    <row r="34" spans="1:31" s="31" customFormat="1" ht="13.8">
      <c r="A34" s="61"/>
      <c r="B34" s="797" t="s">
        <v>194</v>
      </c>
      <c r="C34" s="798"/>
      <c r="D34" s="798"/>
      <c r="E34" s="798"/>
      <c r="F34" s="798"/>
      <c r="G34" s="798"/>
      <c r="H34" s="798"/>
      <c r="I34" s="798"/>
      <c r="J34" s="798"/>
      <c r="K34" s="798"/>
      <c r="L34" s="798"/>
      <c r="M34" s="798"/>
      <c r="N34" s="798"/>
      <c r="O34" s="798"/>
      <c r="P34" s="798"/>
      <c r="Q34" s="798"/>
      <c r="R34" s="798"/>
      <c r="S34" s="798"/>
      <c r="T34" s="798"/>
      <c r="U34" s="798"/>
      <c r="V34" s="798"/>
      <c r="W34" s="799"/>
      <c r="X34" s="53">
        <f>X19+X28</f>
        <v>0</v>
      </c>
      <c r="Y34" s="53">
        <f t="shared" si="1"/>
        <v>0</v>
      </c>
      <c r="Z34" s="53">
        <f t="shared" si="1"/>
        <v>1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1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13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662</v>
      </c>
      <c r="O38" s="163" t="s">
        <v>662</v>
      </c>
      <c r="Q38" s="163" t="s">
        <v>239</v>
      </c>
      <c r="S38" s="163" t="s">
        <v>239</v>
      </c>
      <c r="U38" s="163" t="s">
        <v>662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v>0</v>
      </c>
      <c r="AC38" s="31" t="s">
        <v>65</v>
      </c>
    </row>
    <row r="39" spans="1:31" s="31" customFormat="1" ht="13.8" thickBot="1">
      <c r="A39" s="61"/>
      <c r="B39" s="61"/>
      <c r="C39" s="193"/>
      <c r="E39" s="271"/>
      <c r="G39" s="193"/>
      <c r="I39" s="193"/>
      <c r="K39" s="271"/>
      <c r="M39" s="271"/>
      <c r="O39" s="271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f>L37+N37+P37+R37+T37+V37</f>
        <v>2208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14">
        <f>(L26+D37+F37+H37+J37)/1000</f>
        <v>1.9834580000000002</v>
      </c>
      <c r="D42" s="815"/>
      <c r="E42" s="814"/>
      <c r="F42" s="814"/>
      <c r="G42" s="814"/>
      <c r="H42" s="814"/>
      <c r="I42" s="814"/>
      <c r="J42" s="814"/>
      <c r="K42" s="814"/>
      <c r="L42" s="814"/>
      <c r="M42" s="814"/>
      <c r="N42" s="814"/>
      <c r="O42" s="814"/>
      <c r="P42" s="814"/>
      <c r="Q42" s="814"/>
      <c r="R42" s="814"/>
      <c r="S42" s="814"/>
      <c r="T42" s="814"/>
      <c r="U42" s="814"/>
      <c r="V42" s="814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05" t="s">
        <v>200</v>
      </c>
      <c r="H43" s="805"/>
      <c r="I43" s="118"/>
      <c r="J43" s="118"/>
      <c r="K43" s="118"/>
      <c r="L43" s="805"/>
      <c r="M43" s="805"/>
      <c r="N43" s="118"/>
      <c r="O43" s="118"/>
      <c r="P43" s="118"/>
      <c r="Q43" s="225"/>
      <c r="R43" s="225"/>
      <c r="S43" s="225"/>
      <c r="T43" s="805" t="s">
        <v>202</v>
      </c>
      <c r="U43" s="805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662</v>
      </c>
      <c r="J47" s="230"/>
      <c r="K47" s="163" t="s">
        <v>662</v>
      </c>
      <c r="L47" s="31"/>
      <c r="M47" s="163" t="s">
        <v>239</v>
      </c>
      <c r="N47" s="31"/>
      <c r="O47" s="163" t="s">
        <v>239</v>
      </c>
      <c r="P47" s="31"/>
      <c r="Q47" s="163" t="s">
        <v>662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</f>
        <v>480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1"/>
      <c r="L48" s="31"/>
      <c r="M48" s="193"/>
      <c r="N48" s="31"/>
      <c r="O48" s="193"/>
      <c r="P48" s="31"/>
      <c r="Q48" s="193"/>
      <c r="R48" s="31"/>
      <c r="S48" s="193"/>
      <c r="T48" s="31"/>
      <c r="U48" s="271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f>D46+F46+H46+J46+L46+N46</f>
        <v>2272.02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02">
        <f>SUM(L37+N37+P37+R37+T37+H46+J46+L46+N46+D46+V37+F46)/1000</f>
        <v>4.4800200000000006</v>
      </c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>
        <f>(P46+R46)/1000</f>
        <v>0.77731500000000009</v>
      </c>
      <c r="P51" s="802"/>
      <c r="Q51" s="802"/>
      <c r="R51" s="802"/>
      <c r="S51" s="802"/>
      <c r="T51" s="802"/>
      <c r="U51" s="802"/>
      <c r="V51" s="802"/>
      <c r="W51" s="106"/>
    </row>
    <row r="52" spans="1:29" s="99" customFormat="1" ht="12" customHeight="1">
      <c r="A52" s="102"/>
      <c r="B52" s="100"/>
      <c r="C52" s="800"/>
      <c r="D52" s="800"/>
      <c r="E52" s="800"/>
      <c r="F52" s="231"/>
      <c r="G52" s="231"/>
      <c r="H52" s="231"/>
      <c r="I52" s="231"/>
      <c r="J52" s="796" t="s">
        <v>203</v>
      </c>
      <c r="K52" s="796"/>
      <c r="L52" s="796"/>
      <c r="M52" s="231"/>
      <c r="N52" s="231"/>
      <c r="O52" s="806"/>
      <c r="P52" s="806"/>
      <c r="Q52" s="806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8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1"/>
      <c r="D57" s="31"/>
      <c r="E57" s="72"/>
      <c r="F57" s="31"/>
      <c r="G57" s="271"/>
      <c r="H57" s="31"/>
      <c r="I57" s="271"/>
      <c r="J57" s="31"/>
      <c r="K57" s="193"/>
      <c r="L57" s="31"/>
      <c r="M57" s="271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1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3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8</v>
      </c>
      <c r="AC59" s="9" t="s">
        <v>95</v>
      </c>
    </row>
    <row r="60" spans="1:29" s="103" customFormat="1" ht="13.5" customHeight="1">
      <c r="A60" s="107"/>
      <c r="B60" s="104"/>
      <c r="C60" s="802">
        <f>SUM(T46+V46+D55+F55)/1000</f>
        <v>1.7277819999999999</v>
      </c>
      <c r="D60" s="802"/>
      <c r="E60" s="802"/>
      <c r="F60" s="802"/>
      <c r="G60" s="802">
        <f>SUM(H55+J55)/1000</f>
        <v>0.83175999999999994</v>
      </c>
      <c r="H60" s="802"/>
      <c r="I60" s="802"/>
      <c r="J60" s="802"/>
      <c r="K60" s="802">
        <f>SUM(L55)/1000</f>
        <v>0.23086999999999999</v>
      </c>
      <c r="L60" s="802"/>
      <c r="M60" s="802"/>
      <c r="N60" s="802"/>
      <c r="O60" s="802"/>
      <c r="P60" s="802"/>
      <c r="Q60" s="802"/>
      <c r="R60" s="802"/>
      <c r="S60" s="802"/>
      <c r="T60" s="802"/>
      <c r="U60" s="802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800"/>
      <c r="K61" s="800"/>
      <c r="L61" s="800"/>
      <c r="M61" s="231"/>
      <c r="N61" s="231"/>
      <c r="O61" s="231"/>
      <c r="P61" s="231"/>
      <c r="Q61" s="231"/>
      <c r="R61" s="819" t="s">
        <v>211</v>
      </c>
      <c r="S61" s="819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7"/>
      <c r="F65" s="231">
        <f>VLOOKUP(E68,[18]TS!$B$10:$D$253,3,0)</f>
        <v>380</v>
      </c>
      <c r="G65" s="231"/>
      <c r="H65" s="231">
        <f>VLOOKUP(G68,[18]TS!$B$10:$D$253,3,0)</f>
        <v>475</v>
      </c>
      <c r="I65" s="517"/>
      <c r="J65" s="231">
        <f>VLOOKUP(I68,[18]TS!$B$10:$D$253,3,0)</f>
        <v>380</v>
      </c>
      <c r="K65" s="517"/>
      <c r="L65" s="231">
        <f>VLOOKUP(K68,[18]TS!$B$10:$D$253,3,0)</f>
        <v>390</v>
      </c>
      <c r="M65" s="517"/>
      <c r="N65" s="231">
        <f>VLOOKUP(M68,[18]TS!$B$10:$D$253,3,0)</f>
        <v>465</v>
      </c>
      <c r="O65" s="517"/>
      <c r="P65" s="231">
        <f>VLOOKUP(O68,[18]TS!$B$10:$D$253,3,0)</f>
        <v>383.20800000000003</v>
      </c>
      <c r="Q65" s="214"/>
      <c r="R65" s="515">
        <f>VLOOKUP(Q68,[18]TS!$B$10:$D$253,3,0)</f>
        <v>380</v>
      </c>
      <c r="S65" s="516"/>
      <c r="T65" s="515">
        <f>VLOOKUP(S68,[18]TS!$B$10:$D$253,3,0)</f>
        <v>348</v>
      </c>
      <c r="U65" s="516"/>
      <c r="V65" s="515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662</v>
      </c>
      <c r="P66" s="31"/>
      <c r="Q66" s="385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1"/>
      <c r="F67" s="31"/>
      <c r="G67" s="193"/>
      <c r="H67" s="31"/>
      <c r="I67" s="193"/>
      <c r="J67" s="31"/>
      <c r="K67" s="186"/>
      <c r="L67" s="31"/>
      <c r="M67" s="193"/>
      <c r="N67" s="31"/>
      <c r="O67" s="271"/>
      <c r="P67" s="31"/>
      <c r="Q67" s="271"/>
      <c r="R67" s="31"/>
      <c r="S67" s="193"/>
      <c r="T67" s="31"/>
      <c r="U67" s="271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02">
        <f>SUM(N55+P55+R55+T55+V55+D65)/1000</f>
        <v>2.4264510000000001</v>
      </c>
      <c r="D70" s="802"/>
      <c r="E70" s="802">
        <f>SUM(F65+H65+J65+L65+N65+P65)/1000</f>
        <v>2.4732080000000001</v>
      </c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802"/>
      <c r="R70" s="802">
        <f>SUM(R65+T65+V65)/1000</f>
        <v>1.1057840000000001</v>
      </c>
      <c r="S70" s="802"/>
      <c r="T70" s="802"/>
      <c r="U70" s="802"/>
      <c r="V70" s="802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800" t="s">
        <v>213</v>
      </c>
      <c r="U71" s="800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662</v>
      </c>
      <c r="F75" s="31"/>
      <c r="G75" s="163" t="s">
        <v>662</v>
      </c>
      <c r="H75" s="31"/>
      <c r="I75" s="163" t="s">
        <v>662</v>
      </c>
      <c r="J75" s="31"/>
      <c r="K75" s="163" t="s">
        <v>662</v>
      </c>
      <c r="L75" s="31"/>
      <c r="M75" s="163" t="s">
        <v>662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662</v>
      </c>
      <c r="V75" s="31"/>
      <c r="W75" s="12"/>
      <c r="X75" s="9">
        <v>10</v>
      </c>
      <c r="Y75" s="9">
        <v>10</v>
      </c>
      <c r="Z75" s="9">
        <v>7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1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7"/>
      <c r="P76" s="31"/>
      <c r="Q76" s="271"/>
      <c r="R76" s="31"/>
      <c r="S76" s="271"/>
      <c r="T76" s="31"/>
      <c r="U76" s="186"/>
      <c r="V76" s="31"/>
      <c r="W76" s="12"/>
      <c r="X76" s="9">
        <v>0</v>
      </c>
      <c r="Y76" s="9">
        <v>0</v>
      </c>
      <c r="Z76" s="9">
        <v>1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2</v>
      </c>
      <c r="AA78" s="9">
        <f>Z75-AA76-AA77-AA75</f>
        <v>7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02">
        <f>SUM(D74+F74+H74+J74)/1000</f>
        <v>1.4447999999999999</v>
      </c>
      <c r="D79" s="802"/>
      <c r="E79" s="802"/>
      <c r="F79" s="802"/>
      <c r="G79" s="802"/>
      <c r="H79" s="802"/>
      <c r="I79" s="802"/>
      <c r="J79" s="802"/>
      <c r="K79" s="802"/>
      <c r="L79" s="802">
        <f>SUM(N74+L74)/1000</f>
        <v>0.69755800000000001</v>
      </c>
      <c r="M79" s="802"/>
      <c r="N79" s="802"/>
      <c r="O79" s="802"/>
      <c r="P79" s="802">
        <f>SUM(P74+R74+T74+V74)/1000</f>
        <v>1.514518</v>
      </c>
      <c r="Q79" s="802"/>
      <c r="R79" s="802"/>
      <c r="S79" s="802"/>
      <c r="T79" s="802"/>
      <c r="U79" s="802"/>
      <c r="V79" s="802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45</v>
      </c>
      <c r="AA79" s="96">
        <f t="shared" si="2"/>
        <v>0</v>
      </c>
      <c r="AB79" s="96">
        <f t="shared" si="2"/>
        <v>4058.9920000000002</v>
      </c>
      <c r="AC79" s="97" t="s">
        <v>93</v>
      </c>
    </row>
    <row r="80" spans="1:35" s="99" customFormat="1" ht="17.25" customHeight="1">
      <c r="A80" s="102"/>
      <c r="B80" s="100"/>
      <c r="C80" s="800" t="s">
        <v>213</v>
      </c>
      <c r="D80" s="800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800" t="s">
        <v>215</v>
      </c>
      <c r="U80" s="800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2</v>
      </c>
      <c r="AA80" s="94">
        <f t="shared" si="2"/>
        <v>0</v>
      </c>
      <c r="AB80" s="94">
        <f t="shared" si="2"/>
        <v>4480.0200000000004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2</v>
      </c>
      <c r="AA82" s="74">
        <f t="shared" si="2"/>
        <v>45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662</v>
      </c>
      <c r="J84" s="31"/>
      <c r="K84" s="163" t="s">
        <v>239</v>
      </c>
      <c r="L84" s="31"/>
      <c r="M84" s="163" t="s">
        <v>239</v>
      </c>
      <c r="N84" s="31"/>
      <c r="O84" s="163" t="s">
        <v>660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8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1"/>
      <c r="D85" s="31"/>
      <c r="E85" s="193"/>
      <c r="F85" s="31"/>
      <c r="G85" s="271"/>
      <c r="H85" s="31"/>
      <c r="I85" s="193"/>
      <c r="J85" s="31"/>
      <c r="K85" s="271"/>
      <c r="L85" s="31"/>
      <c r="M85" s="271"/>
      <c r="N85" s="31"/>
      <c r="O85" s="193"/>
      <c r="P85" s="31"/>
      <c r="Q85" s="271"/>
      <c r="R85" s="31"/>
      <c r="S85" s="271"/>
      <c r="T85" s="31"/>
      <c r="U85" s="271"/>
      <c r="V85" s="31"/>
      <c r="W85" s="14"/>
      <c r="X85" s="9">
        <v>0</v>
      </c>
      <c r="Y85" s="9">
        <f>COUNTIF($B$85:$U$85,"WIP")</f>
        <v>0</v>
      </c>
      <c r="Z85" s="9">
        <v>1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8</v>
      </c>
      <c r="AC87" s="9" t="s">
        <v>95</v>
      </c>
    </row>
    <row r="88" spans="1:29" s="91" customFormat="1" ht="16.5" customHeight="1">
      <c r="A88" s="130"/>
      <c r="B88" s="92"/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  <c r="O88" s="802"/>
      <c r="P88" s="802"/>
      <c r="Q88" s="802"/>
      <c r="R88" s="802"/>
      <c r="S88" s="802"/>
      <c r="T88" s="802"/>
      <c r="U88" s="802"/>
      <c r="V88" s="802"/>
      <c r="W88" s="93"/>
    </row>
    <row r="89" spans="1:29" s="99" customFormat="1" ht="17.25" customHeight="1" thickBot="1">
      <c r="A89" s="102"/>
      <c r="B89" s="113"/>
      <c r="C89" s="812" t="s">
        <v>215</v>
      </c>
      <c r="D89" s="812"/>
      <c r="E89" s="812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12" t="s">
        <v>217</v>
      </c>
      <c r="V89" s="812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660</v>
      </c>
      <c r="D93" s="31"/>
      <c r="E93" s="163" t="s">
        <v>660</v>
      </c>
      <c r="F93" s="31"/>
      <c r="G93" s="163" t="s">
        <v>660</v>
      </c>
      <c r="H93" s="31"/>
      <c r="I93" s="163" t="s">
        <v>660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660</v>
      </c>
      <c r="V93" s="31"/>
      <c r="W93" s="14"/>
      <c r="X93" s="9">
        <v>10</v>
      </c>
      <c r="Y93" s="9">
        <v>10</v>
      </c>
      <c r="Z93" s="9">
        <v>6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6"/>
      <c r="L94" s="31"/>
      <c r="M94" s="268"/>
      <c r="N94" s="31"/>
      <c r="O94" s="268"/>
      <c r="P94" s="31"/>
      <c r="Q94" s="448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3</v>
      </c>
      <c r="AA96" s="9">
        <f>Z93-AA94-AA95-AA93</f>
        <v>6</v>
      </c>
      <c r="AC96" s="9" t="s">
        <v>95</v>
      </c>
    </row>
    <row r="97" spans="1:33" s="91" customFormat="1" ht="16.5" customHeight="1">
      <c r="A97" s="130"/>
      <c r="B97" s="92"/>
      <c r="C97" s="802">
        <f>SUM(D83+F83+H83+J83+L83+N83+P83+R83+T83+V83+D92+F92+H92+J92+L92+N92)/1000</f>
        <v>6.292249</v>
      </c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  <c r="O97" s="802">
        <f>(P92+R92)/1000</f>
        <v>0.81344499999999997</v>
      </c>
      <c r="P97" s="802"/>
      <c r="Q97" s="802"/>
      <c r="R97" s="802"/>
      <c r="S97" s="802"/>
      <c r="T97" s="802"/>
      <c r="U97" s="802"/>
      <c r="V97" s="802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800" t="s">
        <v>218</v>
      </c>
      <c r="K98" s="800"/>
      <c r="L98" s="231"/>
      <c r="M98" s="231"/>
      <c r="N98" s="246" t="s">
        <v>210</v>
      </c>
      <c r="O98" s="231"/>
      <c r="P98" s="231"/>
      <c r="Q98" s="231"/>
      <c r="R98" s="231"/>
      <c r="S98" s="231"/>
      <c r="T98" s="800" t="s">
        <v>219</v>
      </c>
      <c r="U98" s="800"/>
      <c r="V98" s="800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660</v>
      </c>
      <c r="D102" s="31"/>
      <c r="E102" s="163" t="s">
        <v>239</v>
      </c>
      <c r="F102" s="31"/>
      <c r="G102" s="443"/>
      <c r="H102" s="31"/>
      <c r="I102" s="443"/>
      <c r="J102" s="63"/>
      <c r="K102" s="119"/>
      <c r="L102" s="31"/>
      <c r="M102" s="269" t="s">
        <v>85</v>
      </c>
      <c r="N102" s="31"/>
      <c r="O102" s="269"/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5</v>
      </c>
      <c r="Y102" s="9">
        <v>4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9"/>
      <c r="D103" s="31"/>
      <c r="E103" s="268"/>
      <c r="F103" s="31"/>
      <c r="G103" s="119"/>
      <c r="H103" s="31"/>
      <c r="I103" s="119"/>
      <c r="J103" s="31"/>
      <c r="K103" s="119"/>
      <c r="L103" s="31"/>
      <c r="M103" s="119"/>
      <c r="N103" s="31"/>
      <c r="O103" s="119"/>
      <c r="P103" s="31"/>
      <c r="Q103" s="268"/>
      <c r="R103" s="31"/>
      <c r="S103" s="119"/>
      <c r="T103" s="31"/>
      <c r="U103" s="268"/>
      <c r="V103" s="31"/>
      <c r="W103" s="14"/>
      <c r="X103" s="9">
        <f>COUNTIF($B$102:$U$102,"WIP")</f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1</v>
      </c>
      <c r="Z105" s="9">
        <f>X102-Z102-Z103-Z104</f>
        <v>2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802">
        <f>(T92+V92+D101+F101+H101+J101)/1000</f>
        <v>2.3581080000000001</v>
      </c>
      <c r="D106" s="802"/>
      <c r="E106" s="802"/>
      <c r="F106" s="802"/>
      <c r="G106" s="802"/>
      <c r="H106" s="802"/>
      <c r="I106" s="802"/>
      <c r="J106" s="802"/>
      <c r="K106" s="802"/>
      <c r="L106" s="801">
        <f>L101/1000</f>
        <v>0.41721900000000001</v>
      </c>
      <c r="M106" s="801"/>
      <c r="N106" s="801">
        <f>N101/1000</f>
        <v>0.24960199999999999</v>
      </c>
      <c r="O106" s="801"/>
      <c r="P106" s="801">
        <f>P101/1000</f>
        <v>0.33360199999999995</v>
      </c>
      <c r="Q106" s="801"/>
      <c r="R106" s="802">
        <f>SUM(R101+T101+V101)/1000</f>
        <v>1.034098</v>
      </c>
      <c r="S106" s="802"/>
      <c r="T106" s="802"/>
      <c r="U106" s="802"/>
      <c r="V106" s="802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04" t="s">
        <v>220</v>
      </c>
      <c r="U107" s="804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658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7"/>
      <c r="H112" s="31"/>
      <c r="I112" s="447"/>
      <c r="J112" s="31"/>
      <c r="K112" s="120"/>
      <c r="L112" s="31"/>
      <c r="M112" s="427"/>
      <c r="N112" s="31"/>
      <c r="O112" s="427"/>
      <c r="P112" s="31"/>
      <c r="Q112" s="427"/>
      <c r="R112" s="31"/>
      <c r="S112" s="120"/>
      <c r="T112" s="31"/>
      <c r="U112" s="451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01">
        <f>D110/1000</f>
        <v>0.25861600000000001</v>
      </c>
      <c r="D115" s="801"/>
      <c r="E115" s="801"/>
      <c r="F115" s="801">
        <f>SUM(F110+H110+J110+L110+N110)/1000</f>
        <v>1.8366929999999999</v>
      </c>
      <c r="G115" s="801"/>
      <c r="H115" s="801"/>
      <c r="I115" s="801"/>
      <c r="J115" s="801"/>
      <c r="K115" s="801"/>
      <c r="L115" s="801"/>
      <c r="M115" s="801"/>
      <c r="N115" s="801"/>
      <c r="O115" s="801"/>
      <c r="P115" s="801"/>
      <c r="Q115" s="801"/>
      <c r="R115" s="801"/>
      <c r="S115" s="801"/>
      <c r="T115" s="801"/>
      <c r="U115" s="801"/>
      <c r="V115" s="801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3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612" t="s">
        <v>239</v>
      </c>
      <c r="F120" s="31"/>
      <c r="G120" s="612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660</v>
      </c>
      <c r="T120" s="31"/>
      <c r="U120" s="163" t="s">
        <v>660</v>
      </c>
      <c r="V120" s="31"/>
      <c r="W120" s="14"/>
      <c r="X120" s="9">
        <v>7</v>
      </c>
      <c r="Y120" s="9">
        <v>6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5"/>
      <c r="D121" s="31"/>
      <c r="E121" s="120"/>
      <c r="F121" s="31"/>
      <c r="G121" s="120"/>
      <c r="H121" s="31"/>
      <c r="I121" s="456"/>
      <c r="J121" s="31"/>
      <c r="K121" s="120"/>
      <c r="L121" s="31"/>
      <c r="M121" s="427"/>
      <c r="N121" s="31"/>
      <c r="O121" s="427"/>
      <c r="P121" s="31"/>
      <c r="Q121" s="120"/>
      <c r="R121" s="31"/>
      <c r="S121" s="427"/>
      <c r="T121" s="31"/>
      <c r="U121" s="445"/>
      <c r="V121" s="31"/>
      <c r="W121" s="14"/>
      <c r="X121" s="9">
        <v>2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5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801">
        <f>SUM(P110+D119+R110+T110+V110+F119+H119)/1000</f>
        <v>2.7044899999999998</v>
      </c>
      <c r="D124" s="801"/>
      <c r="E124" s="801"/>
      <c r="F124" s="801"/>
      <c r="G124" s="801"/>
      <c r="H124" s="801"/>
      <c r="I124" s="801"/>
      <c r="J124" s="801">
        <f>(J119+L119+N119+P119)/1000</f>
        <v>1.5064919999999999</v>
      </c>
      <c r="K124" s="801"/>
      <c r="L124" s="801"/>
      <c r="M124" s="801"/>
      <c r="N124" s="801"/>
      <c r="O124" s="801"/>
      <c r="P124" s="801"/>
      <c r="Q124" s="801"/>
      <c r="R124" s="801"/>
      <c r="S124" s="801"/>
      <c r="T124" s="801"/>
      <c r="U124" s="801"/>
      <c r="V124" s="801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800" t="s">
        <v>222</v>
      </c>
      <c r="O125" s="800"/>
      <c r="P125" s="231"/>
      <c r="Q125" s="231"/>
      <c r="R125" s="231"/>
      <c r="S125" s="800"/>
      <c r="T125" s="800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4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1"/>
      <c r="H131" s="31"/>
      <c r="I131" s="72"/>
      <c r="J131" s="31"/>
      <c r="K131" s="271"/>
      <c r="L131" s="31"/>
      <c r="M131" s="427"/>
      <c r="N131" s="31"/>
      <c r="O131" s="427"/>
      <c r="P131" s="31"/>
      <c r="Q131" s="120"/>
      <c r="S131" s="427"/>
      <c r="U131" s="451"/>
      <c r="W131" s="14"/>
      <c r="X131" s="9">
        <f>COUNTIF($B$130:$U$130,"WIP")</f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3" t="s">
        <v>556</v>
      </c>
      <c r="J132" s="216"/>
      <c r="K132" s="216" t="s">
        <v>193</v>
      </c>
      <c r="L132" s="216"/>
      <c r="M132" s="363" t="s">
        <v>558</v>
      </c>
      <c r="N132" s="216"/>
      <c r="O132" s="363" t="s">
        <v>559</v>
      </c>
      <c r="P132" s="216"/>
      <c r="Q132" s="363" t="s">
        <v>560</v>
      </c>
      <c r="S132" s="363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5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832">
        <f>(R119+T119+V119+D129)/1000</f>
        <v>1.5358099999999999</v>
      </c>
      <c r="D134" s="833"/>
      <c r="E134" s="832">
        <f>F129/1000</f>
        <v>0.203902</v>
      </c>
      <c r="F134" s="834"/>
      <c r="G134" s="833"/>
      <c r="H134" s="801">
        <f>(H129+J129)/1000</f>
        <v>0.70279600000000009</v>
      </c>
      <c r="I134" s="801"/>
      <c r="J134" s="801"/>
      <c r="K134" s="801"/>
      <c r="L134" s="832">
        <f>(L129+N129+P129+R129+T129)/1000</f>
        <v>1.941201</v>
      </c>
      <c r="M134" s="834"/>
      <c r="N134" s="834"/>
      <c r="O134" s="834"/>
      <c r="P134" s="834"/>
      <c r="Q134" s="834"/>
      <c r="R134" s="834"/>
      <c r="S134" s="834"/>
      <c r="T134" s="834"/>
      <c r="U134" s="833"/>
      <c r="V134" s="832">
        <f>V129/1000</f>
        <v>0.35808600000000002</v>
      </c>
      <c r="W134" s="833"/>
    </row>
    <row r="135" spans="1:29" s="99" customFormat="1" ht="17.25" customHeight="1" thickBot="1">
      <c r="A135" s="132"/>
      <c r="B135" s="113"/>
      <c r="C135" s="812" t="s">
        <v>223</v>
      </c>
      <c r="D135" s="812"/>
      <c r="E135" s="812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07" t="s">
        <v>625</v>
      </c>
      <c r="D144" s="808"/>
      <c r="E144" s="808"/>
      <c r="F144" s="808"/>
      <c r="G144" s="808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51</v>
      </c>
      <c r="Y147" s="52">
        <f t="shared" si="3"/>
        <v>47</v>
      </c>
      <c r="Z147" s="52">
        <f t="shared" si="3"/>
        <v>32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2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711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4</v>
      </c>
      <c r="Z150" s="52">
        <f t="shared" si="3"/>
        <v>17</v>
      </c>
      <c r="AA150" s="52">
        <f t="shared" si="3"/>
        <v>32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115</v>
      </c>
      <c r="Y152" s="53">
        <f t="shared" si="4"/>
        <v>111</v>
      </c>
      <c r="Z152" s="53">
        <f t="shared" si="4"/>
        <v>90</v>
      </c>
      <c r="AA152" s="53">
        <f t="shared" si="4"/>
        <v>0</v>
      </c>
      <c r="AB152" s="53">
        <f t="shared" si="4"/>
        <v>4058.9920000000002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2</v>
      </c>
      <c r="Y153" s="53">
        <f t="shared" si="4"/>
        <v>0</v>
      </c>
      <c r="Z153" s="53">
        <f t="shared" si="4"/>
        <v>4</v>
      </c>
      <c r="AA153" s="53">
        <f t="shared" si="4"/>
        <v>0</v>
      </c>
      <c r="AB153" s="53">
        <f t="shared" si="4"/>
        <v>4480.0200000000004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2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4</v>
      </c>
      <c r="Z155" s="53">
        <f t="shared" si="4"/>
        <v>19</v>
      </c>
      <c r="AA155" s="53">
        <f t="shared" si="4"/>
        <v>90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03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03"/>
      <c r="E159" s="137"/>
      <c r="F159" s="138" t="s">
        <v>78</v>
      </c>
      <c r="G159" s="135" t="s">
        <v>60</v>
      </c>
      <c r="H159" s="138"/>
      <c r="I159" s="87"/>
      <c r="J159" s="794" t="s">
        <v>208</v>
      </c>
      <c r="K159" s="795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5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777" t="s">
        <v>114</v>
      </c>
      <c r="C167" s="778"/>
      <c r="D167" s="778"/>
      <c r="E167" s="778"/>
      <c r="F167" s="778"/>
      <c r="G167" s="778"/>
      <c r="H167" s="778"/>
      <c r="I167" s="778"/>
      <c r="J167" s="778"/>
      <c r="K167" s="778"/>
      <c r="L167" s="778"/>
      <c r="M167" s="778"/>
      <c r="N167" s="778"/>
      <c r="O167" s="778"/>
      <c r="P167" s="778"/>
      <c r="Q167" s="778"/>
      <c r="R167" s="778"/>
      <c r="S167" s="778"/>
      <c r="T167" s="778"/>
      <c r="U167" s="778"/>
      <c r="V167" s="778"/>
      <c r="W167" s="779"/>
    </row>
    <row r="168" spans="2:23" ht="17.55" customHeight="1">
      <c r="B168" s="789" t="s">
        <v>99</v>
      </c>
      <c r="C168" s="780" t="s">
        <v>100</v>
      </c>
      <c r="D168" s="792" t="s">
        <v>97</v>
      </c>
      <c r="E168" s="792" t="s">
        <v>111</v>
      </c>
      <c r="F168" s="780" t="s">
        <v>101</v>
      </c>
      <c r="G168" s="780"/>
      <c r="H168" s="780"/>
      <c r="I168" s="780"/>
      <c r="J168" s="780"/>
      <c r="K168" s="780" t="s">
        <v>102</v>
      </c>
      <c r="L168" s="780"/>
      <c r="M168" s="780"/>
      <c r="N168" s="780" t="s">
        <v>103</v>
      </c>
      <c r="O168" s="780"/>
      <c r="P168" s="780"/>
      <c r="Q168" s="780"/>
      <c r="R168" s="780"/>
      <c r="S168" s="780" t="s">
        <v>104</v>
      </c>
      <c r="T168" s="780"/>
      <c r="U168" s="780"/>
      <c r="V168" s="780"/>
      <c r="W168" s="781"/>
    </row>
    <row r="169" spans="2:23" ht="21.75" customHeight="1">
      <c r="B169" s="790"/>
      <c r="C169" s="791"/>
      <c r="D169" s="793"/>
      <c r="E169" s="793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787" t="s">
        <v>225</v>
      </c>
      <c r="C170" s="125" t="s">
        <v>196</v>
      </c>
      <c r="D170" s="255">
        <v>15</v>
      </c>
      <c r="E170" s="449">
        <f>(W17+W26)/1000</f>
        <v>5.5670590000000004</v>
      </c>
      <c r="F170" s="276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3">
        <f t="shared" ref="M170:M173" si="5">D170-K170-L170</f>
        <v>0</v>
      </c>
      <c r="N170" s="255">
        <f>Z33</f>
        <v>13</v>
      </c>
      <c r="O170" s="259">
        <f>Z34</f>
        <v>1</v>
      </c>
      <c r="P170" s="259">
        <f>Z35</f>
        <v>1</v>
      </c>
      <c r="Q170" s="259">
        <v>1</v>
      </c>
      <c r="R170" s="255">
        <f>D170-N170</f>
        <v>2</v>
      </c>
      <c r="S170" s="260">
        <f>AB33</f>
        <v>0</v>
      </c>
      <c r="T170" s="525">
        <f>AB34</f>
        <v>0</v>
      </c>
      <c r="U170" s="525">
        <f>AB35</f>
        <v>0</v>
      </c>
      <c r="V170" s="525">
        <f>AB36</f>
        <v>0</v>
      </c>
      <c r="W170" s="526">
        <f>E170-S170</f>
        <v>5.5670590000000004</v>
      </c>
    </row>
    <row r="171" spans="2:23" s="49" customFormat="1" ht="28.95" customHeight="1" thickBot="1">
      <c r="B171" s="788"/>
      <c r="C171" s="55" t="s">
        <v>11</v>
      </c>
      <c r="D171" s="277">
        <f t="shared" ref="D171:W171" si="6">SUM(D170:D170)</f>
        <v>15</v>
      </c>
      <c r="E171" s="277">
        <f t="shared" si="6"/>
        <v>5.5670590000000004</v>
      </c>
      <c r="F171" s="277">
        <f t="shared" si="6"/>
        <v>15</v>
      </c>
      <c r="G171" s="274">
        <f t="shared" si="6"/>
        <v>0</v>
      </c>
      <c r="H171" s="274">
        <f t="shared" si="6"/>
        <v>0</v>
      </c>
      <c r="I171" s="274">
        <f t="shared" si="6"/>
        <v>0</v>
      </c>
      <c r="J171" s="274">
        <f t="shared" si="6"/>
        <v>0</v>
      </c>
      <c r="K171" s="274">
        <f t="shared" si="6"/>
        <v>15</v>
      </c>
      <c r="L171" s="274">
        <f t="shared" si="6"/>
        <v>0</v>
      </c>
      <c r="M171" s="274">
        <f t="shared" si="6"/>
        <v>0</v>
      </c>
      <c r="N171" s="274">
        <f t="shared" si="6"/>
        <v>13</v>
      </c>
      <c r="O171" s="274">
        <f t="shared" si="6"/>
        <v>1</v>
      </c>
      <c r="P171" s="274">
        <f t="shared" si="6"/>
        <v>1</v>
      </c>
      <c r="Q171" s="274">
        <f>Q170</f>
        <v>1</v>
      </c>
      <c r="R171" s="274">
        <f t="shared" si="6"/>
        <v>2</v>
      </c>
      <c r="S171" s="520">
        <f t="shared" si="6"/>
        <v>0</v>
      </c>
      <c r="T171" s="527">
        <f t="shared" si="6"/>
        <v>0</v>
      </c>
      <c r="U171" s="527">
        <f t="shared" si="6"/>
        <v>0</v>
      </c>
      <c r="V171" s="527">
        <f t="shared" si="6"/>
        <v>0</v>
      </c>
      <c r="W171" s="528">
        <f t="shared" si="6"/>
        <v>5.5670590000000004</v>
      </c>
    </row>
    <row r="172" spans="2:23" s="258" customFormat="1" ht="22.5" customHeight="1">
      <c r="B172" s="782" t="s">
        <v>226</v>
      </c>
      <c r="C172" s="254" t="s">
        <v>201</v>
      </c>
      <c r="D172" s="255">
        <v>50</v>
      </c>
      <c r="E172" s="450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3">
        <f t="shared" si="5"/>
        <v>1</v>
      </c>
      <c r="N172" s="256">
        <f>Z79</f>
        <v>45</v>
      </c>
      <c r="O172" s="257">
        <f>Z80</f>
        <v>2</v>
      </c>
      <c r="P172" s="257">
        <f>Z81</f>
        <v>0</v>
      </c>
      <c r="Q172" s="257">
        <v>4</v>
      </c>
      <c r="R172" s="256">
        <f t="shared" ref="R172:R173" si="8">D172-N172</f>
        <v>5</v>
      </c>
      <c r="S172" s="521">
        <f>AB79/1000</f>
        <v>4.0589919999999999</v>
      </c>
      <c r="T172" s="529">
        <f>AB80/1000</f>
        <v>4.4800200000000006</v>
      </c>
      <c r="U172" s="529">
        <f>AB81/1000</f>
        <v>2.4264510000000001</v>
      </c>
      <c r="V172" s="529">
        <f>AB82</f>
        <v>0</v>
      </c>
      <c r="W172" s="530">
        <f t="shared" ref="W172:W173" si="9">E172-S172</f>
        <v>15.249532000000002</v>
      </c>
    </row>
    <row r="173" spans="2:23" s="258" customFormat="1" ht="22.5" customHeight="1">
      <c r="B173" s="783"/>
      <c r="C173" s="254" t="s">
        <v>216</v>
      </c>
      <c r="D173" s="255">
        <v>62</v>
      </c>
      <c r="E173" s="449">
        <f>(W83+W92+W101+W110+W119+W129+W139)/1000</f>
        <v>22.960121000000001</v>
      </c>
      <c r="F173" s="255">
        <f>X147</f>
        <v>51</v>
      </c>
      <c r="G173" s="259">
        <f>X148</f>
        <v>2</v>
      </c>
      <c r="H173" s="259">
        <f>X149</f>
        <v>0</v>
      </c>
      <c r="I173" s="259">
        <f>X150</f>
        <v>0</v>
      </c>
      <c r="J173" s="255">
        <f t="shared" si="7"/>
        <v>11</v>
      </c>
      <c r="K173" s="255">
        <f>Y147</f>
        <v>47</v>
      </c>
      <c r="L173" s="259">
        <f>Y149</f>
        <v>0</v>
      </c>
      <c r="M173" s="275">
        <f t="shared" si="5"/>
        <v>15</v>
      </c>
      <c r="N173" s="255">
        <f>Z147</f>
        <v>32</v>
      </c>
      <c r="O173" s="259">
        <f>Z148</f>
        <v>1</v>
      </c>
      <c r="P173" s="259">
        <f>Z149</f>
        <v>1</v>
      </c>
      <c r="Q173" s="259">
        <v>1</v>
      </c>
      <c r="R173" s="255">
        <f t="shared" si="8"/>
        <v>30</v>
      </c>
      <c r="S173" s="522">
        <f>AB147/1000</f>
        <v>0</v>
      </c>
      <c r="T173" s="525">
        <f>AB148/1000</f>
        <v>0</v>
      </c>
      <c r="U173" s="525">
        <f>AB149</f>
        <v>0</v>
      </c>
      <c r="V173" s="525">
        <f>AB150</f>
        <v>0</v>
      </c>
      <c r="W173" s="526">
        <f t="shared" si="9"/>
        <v>22.960121000000001</v>
      </c>
    </row>
    <row r="174" spans="2:23" s="263" customFormat="1" ht="22.5" customHeight="1">
      <c r="B174" s="784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100</v>
      </c>
      <c r="G174" s="262">
        <f t="shared" si="10"/>
        <v>2</v>
      </c>
      <c r="H174" s="262">
        <f t="shared" si="10"/>
        <v>0</v>
      </c>
      <c r="I174" s="262">
        <f t="shared" si="10"/>
        <v>0</v>
      </c>
      <c r="J174" s="262">
        <f t="shared" si="10"/>
        <v>12</v>
      </c>
      <c r="K174" s="262">
        <f t="shared" si="10"/>
        <v>96</v>
      </c>
      <c r="L174" s="262">
        <f t="shared" si="10"/>
        <v>0</v>
      </c>
      <c r="M174" s="262">
        <f t="shared" si="10"/>
        <v>16</v>
      </c>
      <c r="N174" s="262">
        <f t="shared" si="10"/>
        <v>77</v>
      </c>
      <c r="O174" s="262">
        <f t="shared" si="10"/>
        <v>3</v>
      </c>
      <c r="P174" s="262">
        <f t="shared" si="10"/>
        <v>1</v>
      </c>
      <c r="Q174" s="262">
        <f t="shared" si="10"/>
        <v>5</v>
      </c>
      <c r="R174" s="262">
        <f t="shared" si="10"/>
        <v>35</v>
      </c>
      <c r="S174" s="523">
        <f t="shared" si="10"/>
        <v>4.0589919999999999</v>
      </c>
      <c r="T174" s="531">
        <f t="shared" si="10"/>
        <v>4.4800200000000006</v>
      </c>
      <c r="U174" s="531">
        <f t="shared" si="10"/>
        <v>2.4264510000000001</v>
      </c>
      <c r="V174" s="531">
        <f t="shared" si="10"/>
        <v>0</v>
      </c>
      <c r="W174" s="532">
        <f t="shared" si="10"/>
        <v>38.209653000000003</v>
      </c>
    </row>
    <row r="175" spans="2:23" s="266" customFormat="1" ht="25.5" customHeight="1" thickBot="1">
      <c r="B175" s="785" t="s">
        <v>11</v>
      </c>
      <c r="C175" s="786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115</v>
      </c>
      <c r="G175" s="265">
        <f t="shared" si="11"/>
        <v>2</v>
      </c>
      <c r="H175" s="265">
        <f t="shared" si="11"/>
        <v>0</v>
      </c>
      <c r="I175" s="265">
        <f t="shared" si="11"/>
        <v>0</v>
      </c>
      <c r="J175" s="265">
        <f t="shared" si="11"/>
        <v>12</v>
      </c>
      <c r="K175" s="265">
        <f>K171+K174</f>
        <v>111</v>
      </c>
      <c r="L175" s="265">
        <f t="shared" si="11"/>
        <v>0</v>
      </c>
      <c r="M175" s="265">
        <f t="shared" si="11"/>
        <v>16</v>
      </c>
      <c r="N175" s="265">
        <f t="shared" si="11"/>
        <v>90</v>
      </c>
      <c r="O175" s="265">
        <f t="shared" si="11"/>
        <v>4</v>
      </c>
      <c r="P175" s="265">
        <f t="shared" si="11"/>
        <v>2</v>
      </c>
      <c r="Q175" s="265">
        <v>6</v>
      </c>
      <c r="R175" s="265">
        <f t="shared" si="11"/>
        <v>37</v>
      </c>
      <c r="S175" s="524">
        <f t="shared" si="11"/>
        <v>4.0589919999999999</v>
      </c>
      <c r="T175" s="533">
        <f t="shared" si="11"/>
        <v>4.4800200000000006</v>
      </c>
      <c r="U175" s="533">
        <f t="shared" si="11"/>
        <v>2.4264510000000001</v>
      </c>
      <c r="V175" s="533">
        <f t="shared" si="11"/>
        <v>0</v>
      </c>
      <c r="W175" s="534">
        <f t="shared" si="11"/>
        <v>43.776712000000003</v>
      </c>
    </row>
    <row r="177" spans="7:7">
      <c r="G177" s="50"/>
    </row>
    <row r="180" spans="7:7">
      <c r="G180" s="50"/>
    </row>
  </sheetData>
  <mergeCells count="129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7"/>
  <sheetViews>
    <sheetView zoomScale="80" zoomScaleNormal="80" workbookViewId="0">
      <selection activeCell="F10" sqref="F10"/>
    </sheetView>
  </sheetViews>
  <sheetFormatPr defaultColWidth="9.21875" defaultRowHeight="15.6"/>
  <cols>
    <col min="1" max="1" width="6.21875" style="45" customWidth="1"/>
    <col min="2" max="5" width="21" style="440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38" t="s">
        <v>634</v>
      </c>
      <c r="B1" s="839"/>
      <c r="C1" s="839"/>
      <c r="D1" s="839"/>
      <c r="E1" s="839"/>
      <c r="F1" s="839"/>
      <c r="G1" s="839"/>
      <c r="H1" s="839"/>
    </row>
    <row r="2" spans="1:8" s="434" customFormat="1" ht="54" customHeight="1">
      <c r="A2" s="431" t="s">
        <v>437</v>
      </c>
      <c r="B2" s="432" t="s">
        <v>632</v>
      </c>
      <c r="C2" s="431" t="s">
        <v>14</v>
      </c>
      <c r="D2" s="431" t="s">
        <v>638</v>
      </c>
      <c r="E2" s="431" t="s">
        <v>100</v>
      </c>
      <c r="F2" s="433" t="s">
        <v>633</v>
      </c>
      <c r="G2" s="433" t="s">
        <v>635</v>
      </c>
      <c r="H2" s="433" t="s">
        <v>636</v>
      </c>
    </row>
    <row r="3" spans="1:8" ht="18" customHeight="1">
      <c r="A3" s="435"/>
      <c r="B3" s="435"/>
      <c r="C3" s="435"/>
      <c r="D3" s="435"/>
      <c r="E3" s="435"/>
      <c r="F3" s="435"/>
      <c r="G3" s="435"/>
      <c r="H3" s="435"/>
    </row>
    <row r="4" spans="1:8" ht="19.95" customHeight="1">
      <c r="A4" s="43">
        <v>1</v>
      </c>
      <c r="B4" s="438" t="s">
        <v>22</v>
      </c>
      <c r="C4" s="438" t="s">
        <v>554</v>
      </c>
      <c r="D4" s="438" t="s">
        <v>640</v>
      </c>
      <c r="E4" s="436" t="s">
        <v>639</v>
      </c>
      <c r="F4" s="441" t="s">
        <v>61</v>
      </c>
      <c r="G4" s="441" t="s">
        <v>61</v>
      </c>
      <c r="H4" s="442" t="s">
        <v>637</v>
      </c>
    </row>
    <row r="5" spans="1:8" ht="19.95" customHeight="1">
      <c r="A5" s="43">
        <f>A4+1</f>
        <v>2</v>
      </c>
      <c r="B5" s="437" t="s">
        <v>616</v>
      </c>
      <c r="C5" s="437" t="s">
        <v>458</v>
      </c>
      <c r="D5" s="437" t="s">
        <v>642</v>
      </c>
      <c r="E5" s="437" t="s">
        <v>641</v>
      </c>
      <c r="F5" s="284" t="s">
        <v>61</v>
      </c>
      <c r="G5" s="441" t="s">
        <v>61</v>
      </c>
      <c r="H5" s="442" t="s">
        <v>637</v>
      </c>
    </row>
    <row r="6" spans="1:8" ht="19.95" customHeight="1">
      <c r="A6" s="43">
        <f t="shared" ref="A6:A15" si="0">A5+1</f>
        <v>3</v>
      </c>
      <c r="B6" s="437" t="s">
        <v>617</v>
      </c>
      <c r="C6" s="437" t="s">
        <v>508</v>
      </c>
      <c r="D6" s="437" t="s">
        <v>642</v>
      </c>
      <c r="E6" s="437" t="s">
        <v>641</v>
      </c>
      <c r="F6" s="284" t="s">
        <v>61</v>
      </c>
      <c r="G6" s="441" t="s">
        <v>61</v>
      </c>
      <c r="H6" s="442" t="s">
        <v>637</v>
      </c>
    </row>
    <row r="7" spans="1:8" ht="19.95" customHeight="1">
      <c r="A7" s="43">
        <f t="shared" si="0"/>
        <v>4</v>
      </c>
      <c r="B7" s="436" t="s">
        <v>41</v>
      </c>
      <c r="C7" s="436" t="s">
        <v>468</v>
      </c>
      <c r="D7" s="436" t="s">
        <v>643</v>
      </c>
      <c r="E7" s="436" t="s">
        <v>641</v>
      </c>
      <c r="F7" s="284" t="s">
        <v>61</v>
      </c>
      <c r="G7" s="441" t="s">
        <v>61</v>
      </c>
      <c r="H7" s="442" t="s">
        <v>637</v>
      </c>
    </row>
    <row r="8" spans="1:8" ht="19.95" customHeight="1">
      <c r="A8" s="43">
        <f t="shared" si="0"/>
        <v>5</v>
      </c>
      <c r="B8" s="436" t="s">
        <v>42</v>
      </c>
      <c r="C8" s="436" t="s">
        <v>469</v>
      </c>
      <c r="D8" s="436" t="s">
        <v>643</v>
      </c>
      <c r="E8" s="436" t="s">
        <v>641</v>
      </c>
      <c r="F8" s="284" t="s">
        <v>85</v>
      </c>
      <c r="G8" s="441" t="s">
        <v>61</v>
      </c>
      <c r="H8" s="442" t="s">
        <v>637</v>
      </c>
    </row>
    <row r="9" spans="1:8" ht="19.95" customHeight="1">
      <c r="A9" s="43">
        <f t="shared" si="0"/>
        <v>6</v>
      </c>
      <c r="B9" s="436" t="s">
        <v>43</v>
      </c>
      <c r="C9" s="436" t="s">
        <v>470</v>
      </c>
      <c r="D9" s="436" t="s">
        <v>643</v>
      </c>
      <c r="E9" s="436" t="s">
        <v>641</v>
      </c>
      <c r="F9" s="284" t="s">
        <v>61</v>
      </c>
      <c r="G9" s="441" t="s">
        <v>61</v>
      </c>
      <c r="H9" s="442" t="s">
        <v>637</v>
      </c>
    </row>
    <row r="10" spans="1:8" ht="19.95" customHeight="1">
      <c r="A10" s="487">
        <f t="shared" si="0"/>
        <v>7</v>
      </c>
      <c r="B10" s="437" t="s">
        <v>181</v>
      </c>
      <c r="C10" s="437" t="s">
        <v>455</v>
      </c>
      <c r="D10" s="437" t="s">
        <v>644</v>
      </c>
      <c r="E10" s="437" t="s">
        <v>641</v>
      </c>
      <c r="F10" s="285" t="s">
        <v>56</v>
      </c>
      <c r="G10" s="492" t="s">
        <v>56</v>
      </c>
      <c r="H10" s="611" t="s">
        <v>813</v>
      </c>
    </row>
    <row r="11" spans="1:8" ht="19.95" customHeight="1">
      <c r="A11" s="487">
        <f t="shared" si="0"/>
        <v>8</v>
      </c>
      <c r="B11" s="437" t="s">
        <v>182</v>
      </c>
      <c r="C11" s="437" t="s">
        <v>457</v>
      </c>
      <c r="D11" s="437" t="s">
        <v>644</v>
      </c>
      <c r="E11" s="437" t="s">
        <v>641</v>
      </c>
      <c r="F11" s="285" t="s">
        <v>56</v>
      </c>
      <c r="G11" s="492" t="s">
        <v>56</v>
      </c>
      <c r="H11" s="611" t="s">
        <v>813</v>
      </c>
    </row>
    <row r="12" spans="1:8" ht="19.95" customHeight="1">
      <c r="A12" s="487">
        <f t="shared" si="0"/>
        <v>9</v>
      </c>
      <c r="B12" s="436" t="s">
        <v>54</v>
      </c>
      <c r="C12" s="436" t="s">
        <v>472</v>
      </c>
      <c r="D12" s="436" t="s">
        <v>645</v>
      </c>
      <c r="E12" s="436" t="s">
        <v>646</v>
      </c>
      <c r="F12" s="284" t="s">
        <v>61</v>
      </c>
      <c r="G12" s="441" t="s">
        <v>61</v>
      </c>
      <c r="H12" s="442" t="s">
        <v>637</v>
      </c>
    </row>
    <row r="13" spans="1:8" ht="19.95" customHeight="1">
      <c r="A13" s="487">
        <f t="shared" si="0"/>
        <v>10</v>
      </c>
      <c r="B13" s="437" t="s">
        <v>556</v>
      </c>
      <c r="C13" s="437" t="s">
        <v>457</v>
      </c>
      <c r="D13" s="437" t="s">
        <v>647</v>
      </c>
      <c r="E13" s="437" t="s">
        <v>646</v>
      </c>
      <c r="F13" s="284" t="s">
        <v>61</v>
      </c>
      <c r="G13" s="441" t="s">
        <v>61</v>
      </c>
      <c r="H13" s="442" t="s">
        <v>637</v>
      </c>
    </row>
    <row r="14" spans="1:8" ht="19.95" customHeight="1">
      <c r="A14" s="487">
        <f t="shared" si="0"/>
        <v>11</v>
      </c>
      <c r="B14" s="437" t="s">
        <v>560</v>
      </c>
      <c r="C14" s="437" t="s">
        <v>455</v>
      </c>
      <c r="D14" s="437" t="s">
        <v>648</v>
      </c>
      <c r="E14" s="437" t="s">
        <v>646</v>
      </c>
      <c r="F14" s="284" t="s">
        <v>61</v>
      </c>
      <c r="G14" s="441" t="s">
        <v>61</v>
      </c>
      <c r="H14" s="442" t="s">
        <v>637</v>
      </c>
    </row>
    <row r="15" spans="1:8" ht="19.95" customHeight="1">
      <c r="A15" s="487">
        <f t="shared" si="0"/>
        <v>12</v>
      </c>
      <c r="B15" s="436" t="s">
        <v>608</v>
      </c>
      <c r="C15" s="436" t="s">
        <v>511</v>
      </c>
      <c r="D15" s="436" t="s">
        <v>649</v>
      </c>
      <c r="E15" s="436" t="s">
        <v>646</v>
      </c>
      <c r="F15" s="284" t="s">
        <v>61</v>
      </c>
      <c r="G15" s="441" t="s">
        <v>61</v>
      </c>
      <c r="H15" s="442" t="s">
        <v>637</v>
      </c>
    </row>
    <row r="16" spans="1:8">
      <c r="A16" s="43"/>
      <c r="B16" s="439" t="s">
        <v>618</v>
      </c>
      <c r="C16" s="439" t="s">
        <v>618</v>
      </c>
      <c r="D16" s="436" t="s">
        <v>649</v>
      </c>
      <c r="E16" s="436" t="s">
        <v>646</v>
      </c>
      <c r="F16" s="284"/>
      <c r="G16" s="284"/>
      <c r="H16" s="284"/>
    </row>
    <row r="17" spans="1:8">
      <c r="A17" s="43"/>
      <c r="B17" s="437"/>
      <c r="C17" s="437"/>
      <c r="D17" s="437"/>
      <c r="E17" s="437"/>
      <c r="F17" s="284"/>
      <c r="G17" s="284"/>
      <c r="H17" s="284"/>
    </row>
  </sheetData>
  <autoFilter ref="A3:AD16"/>
  <mergeCells count="1">
    <mergeCell ref="A1:H1"/>
  </mergeCells>
  <conditionalFormatting sqref="H1:H9 H12:H1048576">
    <cfRule type="containsText" dxfId="40" priority="9" operator="containsText" text="Pending">
      <formula>NOT(ISERROR(SEARCH("Pending",H1)))</formula>
    </cfRule>
  </conditionalFormatting>
  <conditionalFormatting sqref="F5:F9 H4:H9 H12:H17 F12:F17">
    <cfRule type="containsText" dxfId="39" priority="23" operator="containsText" text="WIP">
      <formula>NOT(ISERROR(SEARCH("WIP",F4)))</formula>
    </cfRule>
    <cfRule type="containsText" dxfId="38" priority="24" operator="containsText" text="ROW">
      <formula>NOT(ISERROR(SEARCH("ROW",F4)))</formula>
    </cfRule>
    <cfRule type="containsText" dxfId="37" priority="25" operator="containsText" text="Pending">
      <formula>NOT(ISERROR(SEARCH("Pending",F4)))</formula>
    </cfRule>
    <cfRule type="containsText" dxfId="36" priority="26" operator="containsText" text="Completed">
      <formula>NOT(ISERROR(SEARCH("Completed",F4)))</formula>
    </cfRule>
  </conditionalFormatting>
  <conditionalFormatting sqref="F10:F11">
    <cfRule type="containsText" dxfId="35" priority="2" operator="containsText" text="PENDING">
      <formula>NOT(ISERROR(SEARCH("PENDING",F10)))</formula>
    </cfRule>
    <cfRule type="containsText" dxfId="34" priority="3" operator="containsText" text="COMPLETED">
      <formula>NOT(ISERROR(SEARCH("COMPLETED",F10)))</formula>
    </cfRule>
    <cfRule type="cellIs" dxfId="33" priority="4" operator="greaterThan">
      <formula>0</formula>
    </cfRule>
  </conditionalFormatting>
  <conditionalFormatting sqref="F10:F11">
    <cfRule type="containsText" dxfId="32" priority="1" operator="containsText" text="WIP">
      <formula>NOT(ISERROR(SEARCH("WIP",F10)))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42"/>
  <sheetViews>
    <sheetView topLeftCell="A4" workbookViewId="0">
      <selection activeCell="A14" sqref="A14:A42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1" t="s">
        <v>437</v>
      </c>
      <c r="B4" s="432" t="s">
        <v>632</v>
      </c>
      <c r="C4" s="431" t="s">
        <v>14</v>
      </c>
      <c r="D4" s="433" t="s">
        <v>633</v>
      </c>
      <c r="E4" s="433" t="s">
        <v>699</v>
      </c>
      <c r="F4" s="433" t="s">
        <v>635</v>
      </c>
      <c r="G4" s="433" t="s">
        <v>636</v>
      </c>
    </row>
    <row r="5" spans="1:7">
      <c r="A5" s="435"/>
      <c r="B5" s="435"/>
      <c r="C5" s="435"/>
      <c r="D5" s="435"/>
      <c r="E5" s="435"/>
      <c r="F5" s="435"/>
      <c r="G5" s="435"/>
    </row>
    <row r="6" spans="1:7">
      <c r="A6" s="489">
        <v>1</v>
      </c>
      <c r="B6" s="491" t="s">
        <v>24</v>
      </c>
      <c r="C6" s="438" t="s">
        <v>509</v>
      </c>
      <c r="D6" s="285" t="s">
        <v>700</v>
      </c>
      <c r="E6" s="285" t="s">
        <v>56</v>
      </c>
      <c r="F6" s="492" t="s">
        <v>56</v>
      </c>
      <c r="G6" s="611" t="s">
        <v>806</v>
      </c>
    </row>
    <row r="7" spans="1:7">
      <c r="A7" s="519">
        <f t="shared" ref="A7:A42" si="0">A6+1</f>
        <v>2</v>
      </c>
      <c r="B7" s="490" t="s">
        <v>120</v>
      </c>
      <c r="C7" s="490" t="s">
        <v>456</v>
      </c>
      <c r="D7" s="285" t="s">
        <v>700</v>
      </c>
      <c r="E7" s="285" t="s">
        <v>701</v>
      </c>
      <c r="F7" s="441" t="s">
        <v>61</v>
      </c>
      <c r="G7" s="505" t="s">
        <v>637</v>
      </c>
    </row>
    <row r="8" spans="1:7">
      <c r="A8" s="519">
        <f t="shared" si="0"/>
        <v>3</v>
      </c>
      <c r="B8" s="438" t="s">
        <v>22</v>
      </c>
      <c r="C8" s="438" t="s">
        <v>554</v>
      </c>
      <c r="D8" s="285" t="s">
        <v>701</v>
      </c>
      <c r="E8" s="285" t="s">
        <v>701</v>
      </c>
      <c r="F8" s="441" t="s">
        <v>61</v>
      </c>
      <c r="G8" s="442" t="s">
        <v>637</v>
      </c>
    </row>
    <row r="9" spans="1:7">
      <c r="A9" s="519">
        <f t="shared" si="0"/>
        <v>4</v>
      </c>
      <c r="B9" s="438" t="s">
        <v>29</v>
      </c>
      <c r="C9" s="438" t="s">
        <v>509</v>
      </c>
      <c r="D9" s="285" t="s">
        <v>700</v>
      </c>
      <c r="E9" s="285" t="s">
        <v>56</v>
      </c>
      <c r="F9" s="492" t="s">
        <v>56</v>
      </c>
      <c r="G9" s="611" t="s">
        <v>806</v>
      </c>
    </row>
    <row r="10" spans="1:7" ht="15.6">
      <c r="A10" s="519">
        <f t="shared" si="0"/>
        <v>5</v>
      </c>
      <c r="B10" s="437" t="s">
        <v>151</v>
      </c>
      <c r="C10" s="437" t="s">
        <v>455</v>
      </c>
      <c r="D10" s="285" t="s">
        <v>700</v>
      </c>
      <c r="E10" s="285" t="s">
        <v>56</v>
      </c>
      <c r="F10" s="441" t="s">
        <v>61</v>
      </c>
      <c r="G10" s="634" t="s">
        <v>821</v>
      </c>
    </row>
    <row r="11" spans="1:7" ht="15.6">
      <c r="A11" s="519">
        <f t="shared" si="0"/>
        <v>6</v>
      </c>
      <c r="B11" s="437" t="s">
        <v>152</v>
      </c>
      <c r="C11" s="437" t="s">
        <v>457</v>
      </c>
      <c r="D11" s="285" t="s">
        <v>700</v>
      </c>
      <c r="E11" s="285" t="s">
        <v>701</v>
      </c>
      <c r="F11" s="441" t="s">
        <v>61</v>
      </c>
      <c r="G11" s="442" t="s">
        <v>637</v>
      </c>
    </row>
    <row r="12" spans="1:7" ht="15.6">
      <c r="A12" s="519">
        <f t="shared" si="0"/>
        <v>7</v>
      </c>
      <c r="B12" s="437" t="s">
        <v>153</v>
      </c>
      <c r="C12" s="437" t="s">
        <v>455</v>
      </c>
      <c r="D12" s="285" t="s">
        <v>700</v>
      </c>
      <c r="E12" s="285" t="s">
        <v>701</v>
      </c>
      <c r="F12" s="441" t="s">
        <v>61</v>
      </c>
      <c r="G12" s="442" t="s">
        <v>637</v>
      </c>
    </row>
    <row r="13" spans="1:7" ht="15.6">
      <c r="A13" s="519">
        <f t="shared" si="0"/>
        <v>8</v>
      </c>
      <c r="B13" s="437" t="s">
        <v>6</v>
      </c>
      <c r="C13" s="437" t="s">
        <v>457</v>
      </c>
      <c r="D13" s="285" t="s">
        <v>700</v>
      </c>
      <c r="E13" s="285" t="s">
        <v>701</v>
      </c>
      <c r="F13" s="441" t="s">
        <v>61</v>
      </c>
      <c r="G13" s="442" t="s">
        <v>637</v>
      </c>
    </row>
    <row r="14" spans="1:7" ht="15.6">
      <c r="A14" s="519">
        <f t="shared" si="0"/>
        <v>9</v>
      </c>
      <c r="B14" s="437" t="s">
        <v>158</v>
      </c>
      <c r="C14" s="437" t="s">
        <v>455</v>
      </c>
      <c r="D14" s="285" t="s">
        <v>700</v>
      </c>
      <c r="E14" s="285" t="s">
        <v>56</v>
      </c>
      <c r="F14" s="492" t="s">
        <v>56</v>
      </c>
      <c r="G14" s="634" t="s">
        <v>817</v>
      </c>
    </row>
    <row r="15" spans="1:7" ht="15.6">
      <c r="A15" s="638">
        <f t="shared" si="0"/>
        <v>10</v>
      </c>
      <c r="B15" s="437" t="s">
        <v>163</v>
      </c>
      <c r="C15" s="437" t="s">
        <v>508</v>
      </c>
      <c r="D15" s="285" t="s">
        <v>700</v>
      </c>
      <c r="E15" s="285" t="s">
        <v>701</v>
      </c>
      <c r="F15" s="441" t="s">
        <v>61</v>
      </c>
      <c r="G15" s="505" t="s">
        <v>637</v>
      </c>
    </row>
    <row r="16" spans="1:7" ht="15.6">
      <c r="A16" s="638">
        <f t="shared" si="0"/>
        <v>11</v>
      </c>
      <c r="B16" s="436" t="s">
        <v>38</v>
      </c>
      <c r="C16" s="436" t="s">
        <v>469</v>
      </c>
      <c r="D16" s="285" t="s">
        <v>700</v>
      </c>
      <c r="E16" s="285" t="s">
        <v>701</v>
      </c>
      <c r="F16" s="441" t="s">
        <v>61</v>
      </c>
      <c r="G16" s="442" t="s">
        <v>637</v>
      </c>
    </row>
    <row r="17" spans="1:7" ht="15.6">
      <c r="A17" s="638">
        <f t="shared" si="0"/>
        <v>12</v>
      </c>
      <c r="B17" s="437" t="s">
        <v>168</v>
      </c>
      <c r="C17" s="437" t="s">
        <v>456</v>
      </c>
      <c r="D17" s="285" t="s">
        <v>700</v>
      </c>
      <c r="E17" s="285" t="s">
        <v>701</v>
      </c>
      <c r="F17" s="441" t="s">
        <v>61</v>
      </c>
      <c r="G17" s="442" t="s">
        <v>637</v>
      </c>
    </row>
    <row r="18" spans="1:7" ht="15.6">
      <c r="A18" s="638">
        <f t="shared" si="0"/>
        <v>13</v>
      </c>
      <c r="B18" s="436" t="s">
        <v>39</v>
      </c>
      <c r="C18" s="436" t="s">
        <v>473</v>
      </c>
      <c r="D18" s="285" t="s">
        <v>700</v>
      </c>
      <c r="E18" s="285" t="s">
        <v>701</v>
      </c>
      <c r="F18" s="441" t="s">
        <v>61</v>
      </c>
      <c r="G18" s="442" t="s">
        <v>637</v>
      </c>
    </row>
    <row r="19" spans="1:7" ht="15.6">
      <c r="A19" s="638">
        <f t="shared" si="0"/>
        <v>14</v>
      </c>
      <c r="B19" s="437" t="s">
        <v>616</v>
      </c>
      <c r="C19" s="437" t="s">
        <v>458</v>
      </c>
      <c r="D19" s="285" t="s">
        <v>701</v>
      </c>
      <c r="E19" s="285" t="s">
        <v>701</v>
      </c>
      <c r="F19" s="441" t="s">
        <v>61</v>
      </c>
      <c r="G19" s="442" t="s">
        <v>637</v>
      </c>
    </row>
    <row r="20" spans="1:7" ht="15.6">
      <c r="A20" s="638">
        <f t="shared" si="0"/>
        <v>15</v>
      </c>
      <c r="B20" s="437" t="s">
        <v>617</v>
      </c>
      <c r="C20" s="437" t="s">
        <v>508</v>
      </c>
      <c r="D20" s="285" t="s">
        <v>701</v>
      </c>
      <c r="E20" s="285" t="s">
        <v>701</v>
      </c>
      <c r="F20" s="441" t="s">
        <v>61</v>
      </c>
      <c r="G20" s="442" t="s">
        <v>637</v>
      </c>
    </row>
    <row r="21" spans="1:7" ht="15.6">
      <c r="A21" s="638">
        <f t="shared" si="0"/>
        <v>16</v>
      </c>
      <c r="B21" s="436" t="s">
        <v>41</v>
      </c>
      <c r="C21" s="436" t="s">
        <v>468</v>
      </c>
      <c r="D21" s="285" t="s">
        <v>701</v>
      </c>
      <c r="E21" s="285" t="s">
        <v>701</v>
      </c>
      <c r="F21" s="441" t="s">
        <v>61</v>
      </c>
      <c r="G21" s="442" t="s">
        <v>637</v>
      </c>
    </row>
    <row r="22" spans="1:7" ht="15.6">
      <c r="A22" s="638">
        <f t="shared" si="0"/>
        <v>17</v>
      </c>
      <c r="B22" s="436" t="s">
        <v>42</v>
      </c>
      <c r="C22" s="436" t="s">
        <v>469</v>
      </c>
      <c r="D22" s="285" t="s">
        <v>701</v>
      </c>
      <c r="E22" s="285" t="s">
        <v>701</v>
      </c>
      <c r="F22" s="441" t="s">
        <v>61</v>
      </c>
      <c r="G22" s="442" t="s">
        <v>637</v>
      </c>
    </row>
    <row r="23" spans="1:7" ht="15.6">
      <c r="A23" s="638">
        <f t="shared" si="0"/>
        <v>18</v>
      </c>
      <c r="B23" s="436" t="s">
        <v>43</v>
      </c>
      <c r="C23" s="436" t="s">
        <v>470</v>
      </c>
      <c r="D23" s="285" t="s">
        <v>701</v>
      </c>
      <c r="E23" s="285" t="s">
        <v>701</v>
      </c>
      <c r="F23" s="441" t="s">
        <v>61</v>
      </c>
      <c r="G23" s="442" t="s">
        <v>637</v>
      </c>
    </row>
    <row r="24" spans="1:7" ht="15.6">
      <c r="A24" s="638">
        <f t="shared" si="0"/>
        <v>19</v>
      </c>
      <c r="B24" s="437" t="s">
        <v>171</v>
      </c>
      <c r="C24" s="437" t="s">
        <v>457</v>
      </c>
      <c r="D24" s="285" t="s">
        <v>700</v>
      </c>
      <c r="E24" s="285" t="s">
        <v>701</v>
      </c>
      <c r="F24" s="441" t="s">
        <v>61</v>
      </c>
      <c r="G24" s="442" t="s">
        <v>637</v>
      </c>
    </row>
    <row r="25" spans="1:7" ht="15.6">
      <c r="A25" s="638">
        <f t="shared" si="0"/>
        <v>20</v>
      </c>
      <c r="B25" s="437" t="s">
        <v>172</v>
      </c>
      <c r="C25" s="437" t="s">
        <v>457</v>
      </c>
      <c r="D25" s="285" t="s">
        <v>700</v>
      </c>
      <c r="E25" s="285" t="s">
        <v>701</v>
      </c>
      <c r="F25" s="441" t="s">
        <v>61</v>
      </c>
      <c r="G25" s="442" t="s">
        <v>637</v>
      </c>
    </row>
    <row r="26" spans="1:7" ht="15.6">
      <c r="A26" s="638">
        <f t="shared" si="0"/>
        <v>21</v>
      </c>
      <c r="B26" s="437" t="s">
        <v>174</v>
      </c>
      <c r="C26" s="437" t="s">
        <v>457</v>
      </c>
      <c r="D26" s="285" t="s">
        <v>700</v>
      </c>
      <c r="E26" s="285" t="s">
        <v>701</v>
      </c>
      <c r="F26" s="441" t="s">
        <v>61</v>
      </c>
      <c r="G26" s="442" t="s">
        <v>637</v>
      </c>
    </row>
    <row r="27" spans="1:7" ht="15.6">
      <c r="A27" s="638">
        <f t="shared" si="0"/>
        <v>22</v>
      </c>
      <c r="B27" s="437" t="s">
        <v>181</v>
      </c>
      <c r="C27" s="437" t="s">
        <v>455</v>
      </c>
      <c r="D27" s="285" t="s">
        <v>701</v>
      </c>
      <c r="E27" s="285" t="s">
        <v>701</v>
      </c>
      <c r="F27" s="441" t="s">
        <v>61</v>
      </c>
      <c r="G27" s="442" t="s">
        <v>637</v>
      </c>
    </row>
    <row r="28" spans="1:7" ht="15.6">
      <c r="A28" s="638">
        <f t="shared" si="0"/>
        <v>23</v>
      </c>
      <c r="B28" s="437" t="s">
        <v>182</v>
      </c>
      <c r="C28" s="437" t="s">
        <v>457</v>
      </c>
      <c r="D28" s="285" t="s">
        <v>701</v>
      </c>
      <c r="E28" s="285" t="s">
        <v>701</v>
      </c>
      <c r="F28" s="441" t="s">
        <v>61</v>
      </c>
      <c r="G28" s="442" t="s">
        <v>637</v>
      </c>
    </row>
    <row r="29" spans="1:7" ht="15.6">
      <c r="A29" s="638">
        <f t="shared" si="0"/>
        <v>24</v>
      </c>
      <c r="B29" s="437" t="s">
        <v>183</v>
      </c>
      <c r="C29" s="437" t="s">
        <v>465</v>
      </c>
      <c r="D29" s="285" t="s">
        <v>700</v>
      </c>
      <c r="E29" s="285" t="s">
        <v>701</v>
      </c>
      <c r="F29" s="441" t="s">
        <v>61</v>
      </c>
      <c r="G29" s="442" t="s">
        <v>637</v>
      </c>
    </row>
    <row r="30" spans="1:7" ht="15.6">
      <c r="A30" s="638">
        <f t="shared" si="0"/>
        <v>25</v>
      </c>
      <c r="B30" s="437" t="s">
        <v>184</v>
      </c>
      <c r="C30" s="437" t="s">
        <v>457</v>
      </c>
      <c r="D30" s="285" t="s">
        <v>700</v>
      </c>
      <c r="E30" s="285" t="s">
        <v>701</v>
      </c>
      <c r="F30" s="441" t="s">
        <v>61</v>
      </c>
      <c r="G30" s="442" t="s">
        <v>637</v>
      </c>
    </row>
    <row r="31" spans="1:7" ht="15.6">
      <c r="A31" s="638">
        <f t="shared" si="0"/>
        <v>26</v>
      </c>
      <c r="B31" s="436" t="s">
        <v>185</v>
      </c>
      <c r="C31" s="436" t="s">
        <v>463</v>
      </c>
      <c r="D31" s="285" t="s">
        <v>700</v>
      </c>
      <c r="E31" s="285" t="s">
        <v>701</v>
      </c>
      <c r="F31" s="441" t="s">
        <v>61</v>
      </c>
      <c r="G31" s="442" t="s">
        <v>637</v>
      </c>
    </row>
    <row r="32" spans="1:7" ht="15.6">
      <c r="A32" s="638">
        <f t="shared" si="0"/>
        <v>27</v>
      </c>
      <c r="B32" s="436" t="s">
        <v>54</v>
      </c>
      <c r="C32" s="436" t="s">
        <v>472</v>
      </c>
      <c r="D32" s="285" t="s">
        <v>701</v>
      </c>
      <c r="E32" s="285" t="s">
        <v>701</v>
      </c>
      <c r="F32" s="441" t="s">
        <v>61</v>
      </c>
      <c r="G32" s="442" t="s">
        <v>637</v>
      </c>
    </row>
    <row r="33" spans="1:7" ht="15.6">
      <c r="A33" s="638">
        <f t="shared" si="0"/>
        <v>28</v>
      </c>
      <c r="B33" s="437" t="s">
        <v>186</v>
      </c>
      <c r="C33" s="437" t="s">
        <v>508</v>
      </c>
      <c r="D33" s="285" t="s">
        <v>700</v>
      </c>
      <c r="E33" s="285" t="s">
        <v>701</v>
      </c>
      <c r="F33" s="441" t="s">
        <v>61</v>
      </c>
      <c r="G33" s="442" t="s">
        <v>637</v>
      </c>
    </row>
    <row r="34" spans="1:7" ht="15.6">
      <c r="A34" s="638">
        <f t="shared" si="0"/>
        <v>29</v>
      </c>
      <c r="B34" s="437" t="s">
        <v>187</v>
      </c>
      <c r="C34" s="437" t="s">
        <v>455</v>
      </c>
      <c r="D34" s="285" t="s">
        <v>700</v>
      </c>
      <c r="E34" s="285" t="s">
        <v>701</v>
      </c>
      <c r="F34" s="441" t="s">
        <v>61</v>
      </c>
      <c r="G34" s="442" t="s">
        <v>637</v>
      </c>
    </row>
    <row r="35" spans="1:7" ht="15.6">
      <c r="A35" s="638">
        <f t="shared" si="0"/>
        <v>30</v>
      </c>
      <c r="B35" s="437" t="s">
        <v>188</v>
      </c>
      <c r="C35" s="437" t="s">
        <v>457</v>
      </c>
      <c r="D35" s="285" t="s">
        <v>700</v>
      </c>
      <c r="E35" s="285" t="s">
        <v>701</v>
      </c>
      <c r="F35" s="441" t="s">
        <v>61</v>
      </c>
      <c r="G35" s="442" t="s">
        <v>637</v>
      </c>
    </row>
    <row r="36" spans="1:7" ht="15.6">
      <c r="A36" s="638">
        <f t="shared" si="0"/>
        <v>31</v>
      </c>
      <c r="B36" s="436" t="s">
        <v>553</v>
      </c>
      <c r="C36" s="436" t="s">
        <v>554</v>
      </c>
      <c r="D36" s="285" t="s">
        <v>700</v>
      </c>
      <c r="E36" s="285" t="s">
        <v>701</v>
      </c>
      <c r="F36" s="441" t="s">
        <v>61</v>
      </c>
      <c r="G36" s="442" t="s">
        <v>637</v>
      </c>
    </row>
    <row r="37" spans="1:7" ht="15.6">
      <c r="A37" s="638">
        <f t="shared" si="0"/>
        <v>32</v>
      </c>
      <c r="B37" s="436" t="s">
        <v>555</v>
      </c>
      <c r="C37" s="436" t="s">
        <v>554</v>
      </c>
      <c r="D37" s="285" t="s">
        <v>700</v>
      </c>
      <c r="E37" s="285" t="s">
        <v>701</v>
      </c>
      <c r="F37" s="441" t="s">
        <v>61</v>
      </c>
      <c r="G37" s="442" t="s">
        <v>637</v>
      </c>
    </row>
    <row r="38" spans="1:7" ht="15.6">
      <c r="A38" s="638">
        <f t="shared" si="0"/>
        <v>33</v>
      </c>
      <c r="B38" s="437" t="s">
        <v>556</v>
      </c>
      <c r="C38" s="437" t="s">
        <v>457</v>
      </c>
      <c r="D38" s="285" t="s">
        <v>701</v>
      </c>
      <c r="E38" s="285" t="s">
        <v>701</v>
      </c>
      <c r="F38" s="441" t="s">
        <v>61</v>
      </c>
      <c r="G38" s="442" t="s">
        <v>637</v>
      </c>
    </row>
    <row r="39" spans="1:7" ht="15.6">
      <c r="A39" s="638">
        <f t="shared" si="0"/>
        <v>34</v>
      </c>
      <c r="B39" s="436" t="s">
        <v>557</v>
      </c>
      <c r="C39" s="436" t="s">
        <v>462</v>
      </c>
      <c r="D39" s="285" t="s">
        <v>700</v>
      </c>
      <c r="E39" s="285" t="s">
        <v>701</v>
      </c>
      <c r="F39" s="441" t="s">
        <v>61</v>
      </c>
      <c r="G39" s="442" t="s">
        <v>637</v>
      </c>
    </row>
    <row r="40" spans="1:7" ht="15.6">
      <c r="A40" s="638">
        <f t="shared" si="0"/>
        <v>35</v>
      </c>
      <c r="B40" s="437" t="s">
        <v>558</v>
      </c>
      <c r="C40" s="437" t="s">
        <v>465</v>
      </c>
      <c r="D40" s="285" t="s">
        <v>700</v>
      </c>
      <c r="E40" s="285" t="s">
        <v>701</v>
      </c>
      <c r="F40" s="441" t="s">
        <v>61</v>
      </c>
      <c r="G40" s="442" t="s">
        <v>637</v>
      </c>
    </row>
    <row r="41" spans="1:7" ht="15.6">
      <c r="A41" s="638">
        <f t="shared" si="0"/>
        <v>36</v>
      </c>
      <c r="B41" s="437" t="s">
        <v>560</v>
      </c>
      <c r="C41" s="437" t="s">
        <v>455</v>
      </c>
      <c r="D41" s="285" t="s">
        <v>701</v>
      </c>
      <c r="E41" s="285" t="s">
        <v>701</v>
      </c>
      <c r="F41" s="441" t="s">
        <v>61</v>
      </c>
      <c r="G41" s="442" t="s">
        <v>637</v>
      </c>
    </row>
    <row r="42" spans="1:7" ht="15.6">
      <c r="A42" s="638">
        <f t="shared" si="0"/>
        <v>37</v>
      </c>
      <c r="B42" s="436" t="s">
        <v>608</v>
      </c>
      <c r="C42" s="436" t="s">
        <v>511</v>
      </c>
      <c r="D42" s="285" t="s">
        <v>701</v>
      </c>
      <c r="E42" s="285" t="s">
        <v>701</v>
      </c>
      <c r="F42" s="441" t="s">
        <v>61</v>
      </c>
      <c r="G42" s="442" t="s">
        <v>637</v>
      </c>
    </row>
  </sheetData>
  <autoFilter ref="A5:G42"/>
  <conditionalFormatting sqref="D8:E8 D6:D7 E6 D11:E13 D15:E42 D14 D9:D10">
    <cfRule type="containsText" dxfId="31" priority="126" operator="containsText" text="PENDING">
      <formula>NOT(ISERROR(SEARCH("PENDING",D6)))</formula>
    </cfRule>
    <cfRule type="containsText" dxfId="30" priority="127" operator="containsText" text="COMPLETED">
      <formula>NOT(ISERROR(SEARCH("COMPLETED",D6)))</formula>
    </cfRule>
    <cfRule type="cellIs" dxfId="29" priority="134" operator="greaterThan">
      <formula>0</formula>
    </cfRule>
  </conditionalFormatting>
  <conditionalFormatting sqref="G4:G5">
    <cfRule type="containsText" dxfId="28" priority="128" operator="containsText" text="Pending">
      <formula>NOT(ISERROR(SEARCH("Pending",G4)))</formula>
    </cfRule>
  </conditionalFormatting>
  <conditionalFormatting sqref="E8 E6 E11:E13 E15:E42">
    <cfRule type="containsText" dxfId="27" priority="125" operator="containsText" text="WIP">
      <formula>NOT(ISERROR(SEARCH("WIP",E6)))</formula>
    </cfRule>
  </conditionalFormatting>
  <conditionalFormatting sqref="G7:G8 G11:G13 G15:G42">
    <cfRule type="containsText" dxfId="26" priority="120" operator="containsText" text="Pending">
      <formula>NOT(ISERROR(SEARCH("Pending",G7)))</formula>
    </cfRule>
  </conditionalFormatting>
  <conditionalFormatting sqref="G7:G8 G11:G13 G15:G42">
    <cfRule type="containsText" dxfId="25" priority="121" operator="containsText" text="WIP">
      <formula>NOT(ISERROR(SEARCH("WIP",G7)))</formula>
    </cfRule>
    <cfRule type="containsText" dxfId="24" priority="122" operator="containsText" text="ROW">
      <formula>NOT(ISERROR(SEARCH("ROW",G7)))</formula>
    </cfRule>
    <cfRule type="containsText" dxfId="23" priority="123" operator="containsText" text="Pending">
      <formula>NOT(ISERROR(SEARCH("Pending",G7)))</formula>
    </cfRule>
    <cfRule type="containsText" dxfId="22" priority="124" operator="containsText" text="Completed">
      <formula>NOT(ISERROR(SEARCH("Completed",G7)))</formula>
    </cfRule>
  </conditionalFormatting>
  <conditionalFormatting sqref="E7">
    <cfRule type="containsText" dxfId="21" priority="60" operator="containsText" text="PENDING">
      <formula>NOT(ISERROR(SEARCH("PENDING",E7)))</formula>
    </cfRule>
    <cfRule type="containsText" dxfId="20" priority="61" operator="containsText" text="COMPLETED">
      <formula>NOT(ISERROR(SEARCH("COMPLETED",E7)))</formula>
    </cfRule>
    <cfRule type="cellIs" dxfId="19" priority="62" operator="greaterThan">
      <formula>0</formula>
    </cfRule>
  </conditionalFormatting>
  <conditionalFormatting sqref="E7">
    <cfRule type="containsText" dxfId="18" priority="59" operator="containsText" text="WIP">
      <formula>NOT(ISERROR(SEARCH("WIP",E7)))</formula>
    </cfRule>
  </conditionalFormatting>
  <conditionalFormatting sqref="E9">
    <cfRule type="containsText" dxfId="17" priority="18" operator="containsText" text="PENDING">
      <formula>NOT(ISERROR(SEARCH("PENDING",E9)))</formula>
    </cfRule>
    <cfRule type="containsText" dxfId="16" priority="19" operator="containsText" text="COMPLETED">
      <formula>NOT(ISERROR(SEARCH("COMPLETED",E9)))</formula>
    </cfRule>
    <cfRule type="cellIs" dxfId="15" priority="20" operator="greaterThan">
      <formula>0</formula>
    </cfRule>
  </conditionalFormatting>
  <conditionalFormatting sqref="E9">
    <cfRule type="containsText" dxfId="14" priority="17" operator="containsText" text="WIP">
      <formula>NOT(ISERROR(SEARCH("WIP",E9)))</formula>
    </cfRule>
  </conditionalFormatting>
  <conditionalFormatting sqref="E14">
    <cfRule type="containsText" dxfId="9" priority="6" operator="containsText" text="PENDING">
      <formula>NOT(ISERROR(SEARCH("PENDING",E14)))</formula>
    </cfRule>
    <cfRule type="containsText" dxfId="8" priority="7" operator="containsText" text="COMPLETED">
      <formula>NOT(ISERROR(SEARCH("COMPLETED",E14)))</formula>
    </cfRule>
    <cfRule type="cellIs" dxfId="7" priority="8" operator="greaterThan">
      <formula>0</formula>
    </cfRule>
  </conditionalFormatting>
  <conditionalFormatting sqref="E14">
    <cfRule type="containsText" dxfId="6" priority="5" operator="containsText" text="WIP">
      <formula>NOT(ISERROR(SEARCH("WIP",E14)))</formula>
    </cfRule>
  </conditionalFormatting>
  <conditionalFormatting sqref="E10">
    <cfRule type="containsText" dxfId="5" priority="2" operator="containsText" text="PENDING">
      <formula>NOT(ISERROR(SEARCH("PENDING",E10)))</formula>
    </cfRule>
    <cfRule type="containsText" dxfId="4" priority="3" operator="containsText" text="COMPLETED">
      <formula>NOT(ISERROR(SEARCH("COMPLETED",E10)))</formula>
    </cfRule>
    <cfRule type="cellIs" dxfId="3" priority="4" operator="greaterThan">
      <formula>0</formula>
    </cfRule>
  </conditionalFormatting>
  <conditionalFormatting sqref="E10">
    <cfRule type="containsText" dxfId="2" priority="1" operator="containsText" text="WIP">
      <formula>NOT(ISERROR(SEARCH("WIP",E10)))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E17" sqref="E17"/>
    </sheetView>
  </sheetViews>
  <sheetFormatPr defaultRowHeight="18"/>
  <cols>
    <col min="1" max="1" width="7.88671875" style="387" customWidth="1"/>
    <col min="2" max="4" width="10.44140625" style="388" customWidth="1"/>
    <col min="5" max="5" width="12.5546875" style="389" customWidth="1"/>
    <col min="6" max="7" width="12.5546875" style="388" customWidth="1"/>
    <col min="8" max="10" width="12.5546875" style="440" customWidth="1"/>
  </cols>
  <sheetData>
    <row r="1" spans="1:12" ht="7.95" customHeight="1" thickBot="1"/>
    <row r="2" spans="1:12" s="32" customFormat="1" ht="15" customHeight="1">
      <c r="A2" s="842" t="s">
        <v>520</v>
      </c>
      <c r="B2" s="843"/>
      <c r="C2" s="843"/>
      <c r="D2" s="843"/>
      <c r="E2" s="843"/>
      <c r="F2" s="843"/>
      <c r="G2" s="843"/>
      <c r="H2" s="843"/>
      <c r="I2" s="843"/>
      <c r="J2" s="844"/>
    </row>
    <row r="3" spans="1:12" ht="15.6">
      <c r="A3" s="849" t="s">
        <v>513</v>
      </c>
      <c r="B3" s="845" t="s">
        <v>514</v>
      </c>
      <c r="C3" s="845"/>
      <c r="D3" s="840" t="s">
        <v>600</v>
      </c>
      <c r="E3" s="840" t="s">
        <v>601</v>
      </c>
      <c r="F3" s="840" t="s">
        <v>602</v>
      </c>
      <c r="G3" s="840" t="s">
        <v>603</v>
      </c>
      <c r="H3" s="845" t="s">
        <v>109</v>
      </c>
      <c r="I3" s="845" t="s">
        <v>501</v>
      </c>
      <c r="J3" s="846" t="s">
        <v>515</v>
      </c>
    </row>
    <row r="4" spans="1:12" ht="26.55" customHeight="1">
      <c r="A4" s="849"/>
      <c r="B4" s="390" t="s">
        <v>516</v>
      </c>
      <c r="C4" s="390" t="s">
        <v>517</v>
      </c>
      <c r="D4" s="841"/>
      <c r="E4" s="841"/>
      <c r="F4" s="841"/>
      <c r="G4" s="841"/>
      <c r="H4" s="845"/>
      <c r="I4" s="845"/>
      <c r="J4" s="846"/>
    </row>
    <row r="5" spans="1:12" ht="18" customHeight="1">
      <c r="A5" s="391">
        <v>1</v>
      </c>
      <c r="B5" s="392" t="s">
        <v>23</v>
      </c>
      <c r="C5" s="392" t="s">
        <v>24</v>
      </c>
      <c r="D5" s="393">
        <v>249.63499999999999</v>
      </c>
      <c r="E5" s="394">
        <v>0</v>
      </c>
      <c r="F5" s="395"/>
      <c r="G5" s="396">
        <f>D5</f>
        <v>249.63499999999999</v>
      </c>
      <c r="H5" s="494">
        <v>1</v>
      </c>
      <c r="I5" s="494">
        <v>1</v>
      </c>
      <c r="J5" s="495">
        <v>0</v>
      </c>
    </row>
    <row r="6" spans="1:12" ht="18" customHeight="1">
      <c r="A6" s="391">
        <f>A5+1</f>
        <v>2</v>
      </c>
      <c r="B6" s="392" t="str">
        <f>C5</f>
        <v>AP33</v>
      </c>
      <c r="C6" s="392" t="s">
        <v>121</v>
      </c>
      <c r="D6" s="393">
        <v>2015</v>
      </c>
      <c r="E6" s="394">
        <v>4</v>
      </c>
      <c r="F6" s="396">
        <f>D6</f>
        <v>2015</v>
      </c>
      <c r="G6" s="395"/>
      <c r="H6" s="494">
        <v>1</v>
      </c>
      <c r="I6" s="494">
        <v>1</v>
      </c>
      <c r="J6" s="495">
        <v>1</v>
      </c>
    </row>
    <row r="7" spans="1:12" ht="18" customHeight="1">
      <c r="A7" s="391">
        <f t="shared" ref="A7:A43" si="0">A6+1</f>
        <v>3</v>
      </c>
      <c r="B7" s="392" t="str">
        <f t="shared" ref="B7:B43" si="1">C6</f>
        <v>33/5</v>
      </c>
      <c r="C7" s="392" t="s">
        <v>122</v>
      </c>
      <c r="D7" s="393">
        <v>380</v>
      </c>
      <c r="E7" s="394">
        <v>0</v>
      </c>
      <c r="F7" s="395"/>
      <c r="G7" s="396">
        <f>D7</f>
        <v>380</v>
      </c>
      <c r="H7" s="494">
        <v>0</v>
      </c>
      <c r="I7" s="494">
        <v>0</v>
      </c>
      <c r="J7" s="495">
        <v>0</v>
      </c>
    </row>
    <row r="8" spans="1:12" ht="18" customHeight="1">
      <c r="A8" s="391">
        <f t="shared" si="0"/>
        <v>4</v>
      </c>
      <c r="B8" s="392" t="str">
        <f t="shared" si="1"/>
        <v>33/6</v>
      </c>
      <c r="C8" s="392" t="s">
        <v>489</v>
      </c>
      <c r="D8" s="393">
        <v>2537.42</v>
      </c>
      <c r="E8" s="394">
        <v>6</v>
      </c>
      <c r="F8" s="396">
        <f t="shared" ref="F8:F10" si="2">D8</f>
        <v>2537.42</v>
      </c>
      <c r="G8" s="396"/>
      <c r="H8" s="494">
        <v>2</v>
      </c>
      <c r="I8" s="494">
        <v>6</v>
      </c>
      <c r="J8" s="495">
        <v>2</v>
      </c>
    </row>
    <row r="9" spans="1:12" ht="18" customHeight="1">
      <c r="A9" s="391">
        <f t="shared" si="0"/>
        <v>5</v>
      </c>
      <c r="B9" s="392" t="str">
        <f t="shared" si="1"/>
        <v>34/0</v>
      </c>
      <c r="C9" s="392" t="s">
        <v>26</v>
      </c>
      <c r="D9" s="393">
        <v>1983.46</v>
      </c>
      <c r="E9" s="394">
        <v>4</v>
      </c>
      <c r="F9" s="396">
        <f t="shared" si="2"/>
        <v>1983.46</v>
      </c>
      <c r="G9" s="396"/>
      <c r="H9" s="494">
        <v>5</v>
      </c>
      <c r="I9" s="494">
        <v>3</v>
      </c>
      <c r="J9" s="495">
        <v>0</v>
      </c>
      <c r="L9" s="478"/>
    </row>
    <row r="10" spans="1:12" ht="18" customHeight="1">
      <c r="A10" s="391">
        <f t="shared" si="0"/>
        <v>6</v>
      </c>
      <c r="B10" s="392" t="str">
        <f t="shared" si="1"/>
        <v>AP35</v>
      </c>
      <c r="C10" s="392" t="s">
        <v>27</v>
      </c>
      <c r="D10" s="393">
        <v>4480.0200000000004</v>
      </c>
      <c r="E10" s="394">
        <v>11</v>
      </c>
      <c r="F10" s="396">
        <f t="shared" si="2"/>
        <v>4480.0200000000004</v>
      </c>
      <c r="G10" s="396"/>
      <c r="H10" s="494">
        <v>8</v>
      </c>
      <c r="I10" s="494">
        <v>3</v>
      </c>
      <c r="J10" s="495">
        <v>0</v>
      </c>
      <c r="L10" s="478"/>
    </row>
    <row r="11" spans="1:12" ht="18" customHeight="1">
      <c r="A11" s="391">
        <f t="shared" si="0"/>
        <v>7</v>
      </c>
      <c r="B11" s="392" t="str">
        <f t="shared" si="1"/>
        <v>AP36</v>
      </c>
      <c r="C11" s="392" t="s">
        <v>19</v>
      </c>
      <c r="D11" s="635">
        <v>480</v>
      </c>
      <c r="E11" s="394">
        <v>0</v>
      </c>
      <c r="F11" s="396"/>
      <c r="G11" s="396">
        <f t="shared" ref="G11:G12" si="3">D11</f>
        <v>480</v>
      </c>
      <c r="H11" s="494">
        <v>0</v>
      </c>
      <c r="I11" s="494">
        <v>0</v>
      </c>
      <c r="J11" s="495">
        <v>0</v>
      </c>
      <c r="L11" s="478"/>
    </row>
    <row r="12" spans="1:12" ht="18" customHeight="1">
      <c r="A12" s="391">
        <f t="shared" si="0"/>
        <v>8</v>
      </c>
      <c r="B12" s="392" t="str">
        <f t="shared" si="1"/>
        <v>36/1</v>
      </c>
      <c r="C12" s="392" t="s">
        <v>518</v>
      </c>
      <c r="D12" s="393">
        <v>297.32</v>
      </c>
      <c r="E12" s="394">
        <v>0</v>
      </c>
      <c r="F12" s="396"/>
      <c r="G12" s="396">
        <f t="shared" si="3"/>
        <v>297.32</v>
      </c>
      <c r="H12" s="494">
        <v>0</v>
      </c>
      <c r="I12" s="494">
        <v>0</v>
      </c>
      <c r="J12" s="495">
        <v>0</v>
      </c>
      <c r="L12" s="478"/>
    </row>
    <row r="13" spans="1:12" ht="15" customHeight="1">
      <c r="A13" s="391">
        <f t="shared" si="0"/>
        <v>9</v>
      </c>
      <c r="B13" s="392" t="str">
        <f t="shared" si="1"/>
        <v>37/0</v>
      </c>
      <c r="C13" s="392" t="s">
        <v>22</v>
      </c>
      <c r="D13" s="393">
        <v>1258.78</v>
      </c>
      <c r="E13" s="394">
        <v>2</v>
      </c>
      <c r="F13" s="396">
        <f t="shared" ref="F13:F14" si="4">D13</f>
        <v>1258.78</v>
      </c>
      <c r="G13" s="396"/>
      <c r="H13" s="494">
        <v>2</v>
      </c>
      <c r="I13" s="494">
        <v>2</v>
      </c>
      <c r="J13" s="495">
        <v>0</v>
      </c>
      <c r="L13" s="478"/>
    </row>
    <row r="14" spans="1:12" ht="15" customHeight="1">
      <c r="A14" s="391">
        <f t="shared" si="0"/>
        <v>10</v>
      </c>
      <c r="B14" s="392" t="str">
        <f t="shared" si="1"/>
        <v>AP38</v>
      </c>
      <c r="C14" s="392" t="s">
        <v>29</v>
      </c>
      <c r="D14" s="393">
        <v>1284.8800000000001</v>
      </c>
      <c r="E14" s="394">
        <v>2</v>
      </c>
      <c r="F14" s="396">
        <f t="shared" si="4"/>
        <v>1284.8800000000001</v>
      </c>
      <c r="G14" s="396"/>
      <c r="H14" s="494">
        <v>4</v>
      </c>
      <c r="I14" s="494">
        <v>2</v>
      </c>
      <c r="J14" s="495">
        <v>0</v>
      </c>
    </row>
    <row r="15" spans="1:12" ht="15" customHeight="1">
      <c r="A15" s="391">
        <f t="shared" si="0"/>
        <v>11</v>
      </c>
      <c r="B15" s="392" t="str">
        <f t="shared" si="1"/>
        <v>AP39</v>
      </c>
      <c r="C15" s="392" t="s">
        <v>30</v>
      </c>
      <c r="D15" s="393">
        <v>248.04</v>
      </c>
      <c r="E15" s="394">
        <v>0</v>
      </c>
      <c r="F15" s="396"/>
      <c r="G15" s="396">
        <f>D15</f>
        <v>248.04</v>
      </c>
      <c r="H15" s="494">
        <v>1</v>
      </c>
      <c r="I15" s="494">
        <v>0</v>
      </c>
      <c r="J15" s="495">
        <v>0</v>
      </c>
    </row>
    <row r="16" spans="1:12" ht="15" customHeight="1">
      <c r="A16" s="391">
        <f t="shared" si="0"/>
        <v>12</v>
      </c>
      <c r="B16" s="392" t="str">
        <f t="shared" si="1"/>
        <v>AP40</v>
      </c>
      <c r="C16" s="392" t="s">
        <v>31</v>
      </c>
      <c r="D16" s="393">
        <v>2426.4499999999998</v>
      </c>
      <c r="E16" s="394">
        <v>5</v>
      </c>
      <c r="F16" s="396">
        <f t="shared" ref="F16:F20" si="5">D16</f>
        <v>2426.4499999999998</v>
      </c>
      <c r="G16" s="396"/>
      <c r="H16" s="494">
        <v>2</v>
      </c>
      <c r="I16" s="494">
        <v>2</v>
      </c>
      <c r="J16" s="495">
        <v>0</v>
      </c>
    </row>
    <row r="17" spans="1:10" ht="15" customHeight="1">
      <c r="A17" s="391">
        <f t="shared" si="0"/>
        <v>13</v>
      </c>
      <c r="B17" s="392" t="str">
        <f t="shared" si="1"/>
        <v>AP41</v>
      </c>
      <c r="C17" s="392" t="s">
        <v>32</v>
      </c>
      <c r="D17" s="635">
        <v>2473.21</v>
      </c>
      <c r="E17" s="394">
        <v>5</v>
      </c>
      <c r="F17" s="396">
        <f t="shared" si="5"/>
        <v>2473.21</v>
      </c>
      <c r="G17" s="396"/>
      <c r="H17" s="494">
        <v>2</v>
      </c>
      <c r="I17" s="494">
        <v>1</v>
      </c>
      <c r="J17" s="495">
        <v>0</v>
      </c>
    </row>
    <row r="18" spans="1:10" ht="15" customHeight="1">
      <c r="A18" s="391">
        <f t="shared" si="0"/>
        <v>14</v>
      </c>
      <c r="B18" s="392" t="str">
        <f t="shared" si="1"/>
        <v>AP42</v>
      </c>
      <c r="C18" s="392" t="s">
        <v>33</v>
      </c>
      <c r="D18" s="635">
        <v>1105.78</v>
      </c>
      <c r="E18" s="394">
        <v>2</v>
      </c>
      <c r="F18" s="396">
        <f t="shared" si="5"/>
        <v>1105.78</v>
      </c>
      <c r="G18" s="396"/>
      <c r="H18" s="494">
        <v>2</v>
      </c>
      <c r="I18" s="494">
        <v>3</v>
      </c>
      <c r="J18" s="495">
        <v>0</v>
      </c>
    </row>
    <row r="19" spans="1:10" ht="15" customHeight="1">
      <c r="A19" s="391">
        <f t="shared" si="0"/>
        <v>15</v>
      </c>
      <c r="B19" s="392" t="str">
        <f t="shared" si="1"/>
        <v>AP43</v>
      </c>
      <c r="C19" s="392" t="s">
        <v>34</v>
      </c>
      <c r="D19" s="393">
        <v>1444.8</v>
      </c>
      <c r="E19" s="394">
        <v>3</v>
      </c>
      <c r="F19" s="396">
        <f t="shared" si="5"/>
        <v>1444.8</v>
      </c>
      <c r="G19" s="396"/>
      <c r="H19" s="494">
        <v>4</v>
      </c>
      <c r="I19" s="494">
        <v>1</v>
      </c>
      <c r="J19" s="495">
        <v>0</v>
      </c>
    </row>
    <row r="20" spans="1:10" ht="15" customHeight="1">
      <c r="A20" s="391">
        <f t="shared" si="0"/>
        <v>16</v>
      </c>
      <c r="B20" s="392" t="str">
        <f t="shared" si="1"/>
        <v>AP44</v>
      </c>
      <c r="C20" s="392" t="s">
        <v>35</v>
      </c>
      <c r="D20" s="393">
        <v>697.56</v>
      </c>
      <c r="E20" s="394">
        <v>1</v>
      </c>
      <c r="F20" s="396">
        <f t="shared" si="5"/>
        <v>697.56</v>
      </c>
      <c r="G20" s="396"/>
      <c r="H20" s="494">
        <v>2</v>
      </c>
      <c r="I20" s="494">
        <v>2</v>
      </c>
      <c r="J20" s="495">
        <v>0</v>
      </c>
    </row>
    <row r="21" spans="1:10" ht="15" customHeight="1">
      <c r="A21" s="391">
        <f t="shared" si="0"/>
        <v>17</v>
      </c>
      <c r="B21" s="392" t="str">
        <f t="shared" si="1"/>
        <v>AP45</v>
      </c>
      <c r="C21" s="392" t="s">
        <v>4</v>
      </c>
      <c r="D21" s="393">
        <v>242</v>
      </c>
      <c r="E21" s="394">
        <v>0</v>
      </c>
      <c r="F21" s="396"/>
      <c r="G21" s="396">
        <f>D21</f>
        <v>242</v>
      </c>
      <c r="H21" s="494">
        <v>0</v>
      </c>
      <c r="I21" s="494">
        <v>0</v>
      </c>
      <c r="J21" s="495">
        <v>0</v>
      </c>
    </row>
    <row r="22" spans="1:10" ht="15" customHeight="1">
      <c r="A22" s="391">
        <f t="shared" si="0"/>
        <v>18</v>
      </c>
      <c r="B22" s="392" t="str">
        <f t="shared" si="1"/>
        <v>45/1</v>
      </c>
      <c r="C22" s="392" t="s">
        <v>36</v>
      </c>
      <c r="D22" s="393">
        <v>1272.52</v>
      </c>
      <c r="E22" s="394">
        <v>2</v>
      </c>
      <c r="F22" s="396">
        <f t="shared" ref="F22:F27" si="6">D22</f>
        <v>1272.52</v>
      </c>
      <c r="G22" s="396"/>
      <c r="H22" s="494">
        <v>5</v>
      </c>
      <c r="I22" s="494">
        <v>2</v>
      </c>
      <c r="J22" s="495">
        <v>0</v>
      </c>
    </row>
    <row r="23" spans="1:10" ht="15" customHeight="1">
      <c r="A23" s="391">
        <f t="shared" si="0"/>
        <v>19</v>
      </c>
      <c r="B23" s="392" t="str">
        <f t="shared" si="1"/>
        <v>AP46</v>
      </c>
      <c r="C23" s="392" t="s">
        <v>159</v>
      </c>
      <c r="D23" s="393">
        <v>2745</v>
      </c>
      <c r="E23" s="394">
        <v>6</v>
      </c>
      <c r="F23" s="396">
        <f t="shared" si="6"/>
        <v>2745</v>
      </c>
      <c r="G23" s="396"/>
      <c r="H23" s="494">
        <v>5</v>
      </c>
      <c r="I23" s="494">
        <v>6</v>
      </c>
      <c r="J23" s="495">
        <v>1</v>
      </c>
    </row>
    <row r="24" spans="1:10" ht="15" customHeight="1">
      <c r="A24" s="391">
        <f t="shared" si="0"/>
        <v>20</v>
      </c>
      <c r="B24" s="392" t="str">
        <f t="shared" si="1"/>
        <v>46/7</v>
      </c>
      <c r="C24" s="392" t="s">
        <v>604</v>
      </c>
      <c r="D24" s="393">
        <v>3547.25</v>
      </c>
      <c r="E24" s="394">
        <v>8</v>
      </c>
      <c r="F24" s="396">
        <f t="shared" si="6"/>
        <v>3547.25</v>
      </c>
      <c r="G24" s="396"/>
      <c r="H24" s="494">
        <v>8</v>
      </c>
      <c r="I24" s="494">
        <v>4</v>
      </c>
      <c r="J24" s="495">
        <v>1</v>
      </c>
    </row>
    <row r="25" spans="1:10" ht="15" customHeight="1">
      <c r="A25" s="391">
        <f>A23+1</f>
        <v>20</v>
      </c>
      <c r="B25" s="392" t="str">
        <f t="shared" si="1"/>
        <v>AP47/0</v>
      </c>
      <c r="C25" s="392" t="s">
        <v>39</v>
      </c>
      <c r="D25" s="393">
        <v>813.45</v>
      </c>
      <c r="E25" s="394">
        <v>1</v>
      </c>
      <c r="F25" s="396">
        <f t="shared" si="6"/>
        <v>813.45</v>
      </c>
      <c r="G25" s="396"/>
      <c r="H25" s="494">
        <v>3</v>
      </c>
      <c r="I25" s="494">
        <v>1</v>
      </c>
      <c r="J25" s="495">
        <v>1</v>
      </c>
    </row>
    <row r="26" spans="1:10" ht="15" customHeight="1">
      <c r="A26" s="391">
        <f t="shared" si="0"/>
        <v>21</v>
      </c>
      <c r="B26" s="392" t="str">
        <f t="shared" si="1"/>
        <v>AP48</v>
      </c>
      <c r="C26" s="392" t="s">
        <v>605</v>
      </c>
      <c r="D26" s="393">
        <v>1257.06</v>
      </c>
      <c r="E26" s="394">
        <v>2</v>
      </c>
      <c r="F26" s="396">
        <f t="shared" si="6"/>
        <v>1257.06</v>
      </c>
      <c r="G26" s="396"/>
      <c r="H26" s="494">
        <v>5</v>
      </c>
      <c r="I26" s="494">
        <v>4</v>
      </c>
      <c r="J26" s="495">
        <v>1</v>
      </c>
    </row>
    <row r="27" spans="1:10" ht="15" customHeight="1">
      <c r="A27" s="391"/>
      <c r="B27" s="392" t="str">
        <f t="shared" si="1"/>
        <v>48A/0</v>
      </c>
      <c r="C27" s="397" t="s">
        <v>606</v>
      </c>
      <c r="D27" s="393">
        <v>1101.05</v>
      </c>
      <c r="E27" s="394">
        <v>2</v>
      </c>
      <c r="F27" s="396">
        <f t="shared" si="6"/>
        <v>1101.05</v>
      </c>
      <c r="G27" s="396"/>
      <c r="H27" s="494">
        <v>3</v>
      </c>
      <c r="I27" s="494"/>
      <c r="J27" s="495"/>
    </row>
    <row r="28" spans="1:10" ht="15" customHeight="1">
      <c r="A28" s="391">
        <f>A26+1</f>
        <v>22</v>
      </c>
      <c r="B28" s="392" t="str">
        <f t="shared" si="1"/>
        <v>49/0</v>
      </c>
      <c r="C28" s="392" t="s">
        <v>42</v>
      </c>
      <c r="D28" s="393">
        <v>417.22</v>
      </c>
      <c r="E28" s="394">
        <v>0</v>
      </c>
      <c r="F28" s="396"/>
      <c r="G28" s="396">
        <f t="shared" ref="G28:G30" si="7">D28</f>
        <v>417.22</v>
      </c>
      <c r="H28" s="494">
        <v>2</v>
      </c>
      <c r="I28" s="494">
        <v>0</v>
      </c>
      <c r="J28" s="495">
        <v>0</v>
      </c>
    </row>
    <row r="29" spans="1:10" ht="15" customHeight="1">
      <c r="A29" s="391">
        <f t="shared" si="0"/>
        <v>23</v>
      </c>
      <c r="B29" s="392" t="str">
        <f t="shared" si="1"/>
        <v>AP50</v>
      </c>
      <c r="C29" s="392" t="s">
        <v>43</v>
      </c>
      <c r="D29" s="393">
        <v>249.6</v>
      </c>
      <c r="E29" s="394">
        <v>0</v>
      </c>
      <c r="F29" s="396"/>
      <c r="G29" s="396">
        <f t="shared" si="7"/>
        <v>249.6</v>
      </c>
      <c r="H29" s="494">
        <v>0</v>
      </c>
      <c r="I29" s="494">
        <v>3</v>
      </c>
      <c r="J29" s="495">
        <v>0</v>
      </c>
    </row>
    <row r="30" spans="1:10" ht="15" customHeight="1">
      <c r="A30" s="391">
        <f t="shared" si="0"/>
        <v>24</v>
      </c>
      <c r="B30" s="392" t="str">
        <f t="shared" si="1"/>
        <v>AP51</v>
      </c>
      <c r="C30" s="392" t="s">
        <v>44</v>
      </c>
      <c r="D30" s="393">
        <v>333.6</v>
      </c>
      <c r="E30" s="394">
        <v>0</v>
      </c>
      <c r="F30" s="396"/>
      <c r="G30" s="396">
        <f t="shared" si="7"/>
        <v>333.6</v>
      </c>
      <c r="H30" s="494">
        <v>0</v>
      </c>
      <c r="I30" s="494">
        <v>0</v>
      </c>
      <c r="J30" s="495">
        <v>0</v>
      </c>
    </row>
    <row r="31" spans="1:10" ht="15" customHeight="1">
      <c r="A31" s="391">
        <f t="shared" si="0"/>
        <v>25</v>
      </c>
      <c r="B31" s="392" t="str">
        <f t="shared" si="1"/>
        <v>AP52</v>
      </c>
      <c r="C31" s="392" t="s">
        <v>45</v>
      </c>
      <c r="D31" s="393">
        <v>1034.0999999999999</v>
      </c>
      <c r="E31" s="394">
        <v>2</v>
      </c>
      <c r="F31" s="396">
        <f>D31</f>
        <v>1034.0999999999999</v>
      </c>
      <c r="G31" s="396"/>
      <c r="H31" s="494">
        <v>1</v>
      </c>
      <c r="I31" s="494">
        <v>0</v>
      </c>
      <c r="J31" s="495">
        <v>0</v>
      </c>
    </row>
    <row r="32" spans="1:10" ht="15" customHeight="1">
      <c r="A32" s="391">
        <f t="shared" si="0"/>
        <v>26</v>
      </c>
      <c r="B32" s="392" t="str">
        <f t="shared" si="1"/>
        <v>AP53</v>
      </c>
      <c r="C32" s="392" t="s">
        <v>46</v>
      </c>
      <c r="D32" s="393">
        <v>258.62</v>
      </c>
      <c r="E32" s="394">
        <v>0</v>
      </c>
      <c r="F32" s="396"/>
      <c r="G32" s="396">
        <f>D32</f>
        <v>258.62</v>
      </c>
      <c r="H32" s="494">
        <v>0</v>
      </c>
      <c r="I32" s="494">
        <v>0</v>
      </c>
      <c r="J32" s="495">
        <v>0</v>
      </c>
    </row>
    <row r="33" spans="1:15" ht="15" customHeight="1">
      <c r="A33" s="391">
        <f t="shared" si="0"/>
        <v>27</v>
      </c>
      <c r="B33" s="392" t="str">
        <f t="shared" si="1"/>
        <v>AP54</v>
      </c>
      <c r="C33" s="392" t="s">
        <v>47</v>
      </c>
      <c r="D33" s="393">
        <v>1836.69</v>
      </c>
      <c r="E33" s="394">
        <v>4</v>
      </c>
      <c r="F33" s="396">
        <f t="shared" ref="F33:F35" si="8">D33</f>
        <v>1836.69</v>
      </c>
      <c r="G33" s="396"/>
      <c r="H33" s="494">
        <v>11</v>
      </c>
      <c r="I33" s="494">
        <v>12</v>
      </c>
      <c r="J33" s="495">
        <v>0</v>
      </c>
    </row>
    <row r="34" spans="1:15" ht="15" customHeight="1">
      <c r="A34" s="391">
        <f t="shared" si="0"/>
        <v>28</v>
      </c>
      <c r="B34" s="392" t="str">
        <f t="shared" si="1"/>
        <v>AP55</v>
      </c>
      <c r="C34" s="392" t="s">
        <v>48</v>
      </c>
      <c r="D34" s="393">
        <v>2704.49</v>
      </c>
      <c r="E34" s="394">
        <v>6</v>
      </c>
      <c r="F34" s="396">
        <f t="shared" si="8"/>
        <v>2704.49</v>
      </c>
      <c r="G34" s="396"/>
      <c r="H34" s="494">
        <v>13</v>
      </c>
      <c r="I34" s="494">
        <v>5</v>
      </c>
      <c r="J34" s="495">
        <v>0</v>
      </c>
    </row>
    <row r="35" spans="1:15" ht="15" customHeight="1">
      <c r="A35" s="391">
        <f t="shared" si="0"/>
        <v>29</v>
      </c>
      <c r="B35" s="392" t="str">
        <f t="shared" si="1"/>
        <v>AP56</v>
      </c>
      <c r="C35" s="392" t="s">
        <v>185</v>
      </c>
      <c r="D35" s="393">
        <v>1230</v>
      </c>
      <c r="E35" s="394">
        <v>2</v>
      </c>
      <c r="F35" s="396">
        <f t="shared" si="8"/>
        <v>1230</v>
      </c>
      <c r="G35" s="396"/>
      <c r="H35" s="494">
        <v>4</v>
      </c>
      <c r="I35" s="494">
        <v>2</v>
      </c>
      <c r="J35" s="495"/>
    </row>
    <row r="36" spans="1:15" ht="18" customHeight="1">
      <c r="A36" s="391">
        <f t="shared" si="0"/>
        <v>30</v>
      </c>
      <c r="B36" s="392" t="str">
        <f t="shared" si="1"/>
        <v>56/3</v>
      </c>
      <c r="C36" s="398" t="s">
        <v>519</v>
      </c>
      <c r="D36" s="399">
        <v>276.49</v>
      </c>
      <c r="E36" s="394">
        <v>0</v>
      </c>
      <c r="F36" s="396"/>
      <c r="G36" s="396">
        <f>D36</f>
        <v>276.49</v>
      </c>
      <c r="H36" s="496">
        <v>0</v>
      </c>
      <c r="I36" s="496">
        <v>3</v>
      </c>
      <c r="J36" s="497">
        <v>0</v>
      </c>
    </row>
    <row r="37" spans="1:15" ht="18" customHeight="1">
      <c r="A37" s="391">
        <f t="shared" si="0"/>
        <v>31</v>
      </c>
      <c r="B37" s="392" t="str">
        <f t="shared" si="1"/>
        <v>57/0</v>
      </c>
      <c r="C37" s="400" t="s">
        <v>553</v>
      </c>
      <c r="D37" s="401">
        <v>1535.81</v>
      </c>
      <c r="E37" s="394">
        <v>3</v>
      </c>
      <c r="F37" s="396">
        <f>D37</f>
        <v>1535.81</v>
      </c>
      <c r="G37" s="396"/>
      <c r="H37" s="496">
        <v>10</v>
      </c>
      <c r="I37" s="496">
        <v>3</v>
      </c>
      <c r="J37" s="497">
        <v>0</v>
      </c>
      <c r="O37" s="2"/>
    </row>
    <row r="38" spans="1:15" ht="18" customHeight="1">
      <c r="A38" s="391">
        <f t="shared" si="0"/>
        <v>32</v>
      </c>
      <c r="B38" s="392" t="str">
        <f t="shared" si="1"/>
        <v>58/0</v>
      </c>
      <c r="C38" s="400" t="s">
        <v>555</v>
      </c>
      <c r="D38" s="401">
        <v>203.9</v>
      </c>
      <c r="E38" s="394">
        <v>0</v>
      </c>
      <c r="F38" s="396"/>
      <c r="G38" s="396">
        <f>D38</f>
        <v>203.9</v>
      </c>
      <c r="H38" s="496">
        <v>0</v>
      </c>
      <c r="I38" s="496">
        <v>0</v>
      </c>
      <c r="J38" s="497">
        <v>0</v>
      </c>
    </row>
    <row r="39" spans="1:15" ht="18" customHeight="1">
      <c r="A39" s="391">
        <f t="shared" si="0"/>
        <v>33</v>
      </c>
      <c r="B39" s="392" t="str">
        <f t="shared" si="1"/>
        <v>59/0</v>
      </c>
      <c r="C39" s="400" t="s">
        <v>557</v>
      </c>
      <c r="D39" s="401">
        <v>702.8</v>
      </c>
      <c r="E39" s="394">
        <v>1</v>
      </c>
      <c r="F39" s="396">
        <f t="shared" ref="F39:F40" si="9">D39</f>
        <v>702.8</v>
      </c>
      <c r="G39" s="396"/>
      <c r="H39" s="496">
        <v>5</v>
      </c>
      <c r="I39" s="496">
        <v>1</v>
      </c>
      <c r="J39" s="497">
        <v>0</v>
      </c>
    </row>
    <row r="40" spans="1:15" ht="18" customHeight="1">
      <c r="A40" s="391">
        <f t="shared" si="0"/>
        <v>34</v>
      </c>
      <c r="B40" s="392" t="str">
        <f t="shared" si="1"/>
        <v>60/0</v>
      </c>
      <c r="C40" s="400" t="s">
        <v>562</v>
      </c>
      <c r="D40" s="401">
        <v>1942</v>
      </c>
      <c r="E40" s="394">
        <v>4</v>
      </c>
      <c r="F40" s="396">
        <f t="shared" si="9"/>
        <v>1942</v>
      </c>
      <c r="G40" s="396"/>
      <c r="H40" s="496">
        <v>10</v>
      </c>
      <c r="I40" s="496">
        <v>1</v>
      </c>
      <c r="J40" s="497">
        <v>0</v>
      </c>
    </row>
    <row r="41" spans="1:15" ht="18" customHeight="1">
      <c r="A41" s="391">
        <f t="shared" si="0"/>
        <v>35</v>
      </c>
      <c r="B41" s="392" t="str">
        <f t="shared" si="1"/>
        <v>61/0</v>
      </c>
      <c r="C41" s="400" t="s">
        <v>607</v>
      </c>
      <c r="D41" s="401">
        <v>358.1</v>
      </c>
      <c r="E41" s="394">
        <v>0</v>
      </c>
      <c r="F41" s="395"/>
      <c r="G41" s="396">
        <f t="shared" ref="G41:G43" si="10">D41</f>
        <v>358.1</v>
      </c>
      <c r="H41" s="496">
        <v>1</v>
      </c>
      <c r="I41" s="494">
        <v>0</v>
      </c>
      <c r="J41" s="495">
        <v>0</v>
      </c>
    </row>
    <row r="42" spans="1:15" ht="18" customHeight="1">
      <c r="A42" s="391">
        <f t="shared" si="0"/>
        <v>36</v>
      </c>
      <c r="B42" s="392" t="str">
        <f t="shared" si="1"/>
        <v>62/0</v>
      </c>
      <c r="C42" s="400" t="s">
        <v>608</v>
      </c>
      <c r="D42" s="401">
        <v>278.7</v>
      </c>
      <c r="E42" s="394">
        <v>0</v>
      </c>
      <c r="F42" s="395"/>
      <c r="G42" s="396">
        <f t="shared" si="10"/>
        <v>278.7</v>
      </c>
      <c r="H42" s="494">
        <v>0</v>
      </c>
      <c r="I42" s="496">
        <v>1</v>
      </c>
      <c r="J42" s="495">
        <v>0</v>
      </c>
    </row>
    <row r="43" spans="1:15" ht="18" customHeight="1">
      <c r="A43" s="391">
        <f t="shared" si="0"/>
        <v>37</v>
      </c>
      <c r="B43" s="392" t="str">
        <f t="shared" si="1"/>
        <v>63/0</v>
      </c>
      <c r="C43" s="400" t="s">
        <v>609</v>
      </c>
      <c r="D43" s="401">
        <v>135</v>
      </c>
      <c r="E43" s="394">
        <v>0</v>
      </c>
      <c r="F43" s="395"/>
      <c r="G43" s="396">
        <f t="shared" si="10"/>
        <v>135</v>
      </c>
      <c r="H43" s="494">
        <v>0</v>
      </c>
      <c r="I43" s="496">
        <v>1</v>
      </c>
      <c r="J43" s="495">
        <v>0</v>
      </c>
    </row>
    <row r="44" spans="1:15" s="405" customFormat="1" ht="15" thickBot="1">
      <c r="A44" s="847" t="s">
        <v>58</v>
      </c>
      <c r="B44" s="848"/>
      <c r="C44" s="848"/>
      <c r="D44" s="402">
        <f>SUM(D5:D43)</f>
        <v>47837.805</v>
      </c>
      <c r="E44" s="403">
        <f>SUM(E5:E43)</f>
        <v>88</v>
      </c>
      <c r="F44" s="404">
        <f>SUM(F5:F43)/1000</f>
        <v>43.429580000000001</v>
      </c>
      <c r="G44" s="404">
        <f>SUM(G5:G43)/1000</f>
        <v>4.4082249999999998</v>
      </c>
      <c r="H44" s="498">
        <f>SUM(H5:H43)</f>
        <v>122</v>
      </c>
      <c r="I44" s="498">
        <f>SUM(I5:I43)</f>
        <v>76</v>
      </c>
      <c r="J44" s="499">
        <f>SUM(J5:J43)</f>
        <v>7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4" customWidth="1"/>
    <col min="2" max="2" width="14.88671875" style="314" customWidth="1"/>
    <col min="3" max="3" width="15.109375" style="314" customWidth="1"/>
    <col min="4" max="4" width="57" style="303" customWidth="1"/>
    <col min="5" max="5" width="16.21875" style="303" customWidth="1"/>
    <col min="6" max="6" width="16.21875" style="315" customWidth="1"/>
    <col min="7" max="7" width="19.33203125" style="316" customWidth="1"/>
    <col min="8" max="8" width="16.21875" style="317" customWidth="1"/>
    <col min="9" max="9" width="16.21875" style="318" customWidth="1"/>
    <col min="10" max="10" width="30.5546875" style="303" customWidth="1"/>
    <col min="11" max="256" width="9.21875" style="303"/>
    <col min="257" max="257" width="19.88671875" style="303" customWidth="1"/>
    <col min="258" max="258" width="14.88671875" style="303" customWidth="1"/>
    <col min="259" max="259" width="15.109375" style="303" customWidth="1"/>
    <col min="260" max="260" width="57" style="303" customWidth="1"/>
    <col min="261" max="265" width="16.21875" style="303" customWidth="1"/>
    <col min="266" max="266" width="30.5546875" style="303" customWidth="1"/>
    <col min="267" max="512" width="9.21875" style="303"/>
    <col min="513" max="513" width="19.88671875" style="303" customWidth="1"/>
    <col min="514" max="514" width="14.88671875" style="303" customWidth="1"/>
    <col min="515" max="515" width="15.109375" style="303" customWidth="1"/>
    <col min="516" max="516" width="57" style="303" customWidth="1"/>
    <col min="517" max="521" width="16.21875" style="303" customWidth="1"/>
    <col min="522" max="522" width="30.5546875" style="303" customWidth="1"/>
    <col min="523" max="768" width="9.21875" style="303"/>
    <col min="769" max="769" width="19.88671875" style="303" customWidth="1"/>
    <col min="770" max="770" width="14.88671875" style="303" customWidth="1"/>
    <col min="771" max="771" width="15.109375" style="303" customWidth="1"/>
    <col min="772" max="772" width="57" style="303" customWidth="1"/>
    <col min="773" max="777" width="16.21875" style="303" customWidth="1"/>
    <col min="778" max="778" width="30.5546875" style="303" customWidth="1"/>
    <col min="779" max="1024" width="9.21875" style="303"/>
    <col min="1025" max="1025" width="19.88671875" style="303" customWidth="1"/>
    <col min="1026" max="1026" width="14.88671875" style="303" customWidth="1"/>
    <col min="1027" max="1027" width="15.109375" style="303" customWidth="1"/>
    <col min="1028" max="1028" width="57" style="303" customWidth="1"/>
    <col min="1029" max="1033" width="16.21875" style="303" customWidth="1"/>
    <col min="1034" max="1034" width="30.5546875" style="303" customWidth="1"/>
    <col min="1035" max="1280" width="9.21875" style="303"/>
    <col min="1281" max="1281" width="19.88671875" style="303" customWidth="1"/>
    <col min="1282" max="1282" width="14.88671875" style="303" customWidth="1"/>
    <col min="1283" max="1283" width="15.109375" style="303" customWidth="1"/>
    <col min="1284" max="1284" width="57" style="303" customWidth="1"/>
    <col min="1285" max="1289" width="16.21875" style="303" customWidth="1"/>
    <col min="1290" max="1290" width="30.5546875" style="303" customWidth="1"/>
    <col min="1291" max="1536" width="9.21875" style="303"/>
    <col min="1537" max="1537" width="19.88671875" style="303" customWidth="1"/>
    <col min="1538" max="1538" width="14.88671875" style="303" customWidth="1"/>
    <col min="1539" max="1539" width="15.109375" style="303" customWidth="1"/>
    <col min="1540" max="1540" width="57" style="303" customWidth="1"/>
    <col min="1541" max="1545" width="16.21875" style="303" customWidth="1"/>
    <col min="1546" max="1546" width="30.5546875" style="303" customWidth="1"/>
    <col min="1547" max="1792" width="9.21875" style="303"/>
    <col min="1793" max="1793" width="19.88671875" style="303" customWidth="1"/>
    <col min="1794" max="1794" width="14.88671875" style="303" customWidth="1"/>
    <col min="1795" max="1795" width="15.109375" style="303" customWidth="1"/>
    <col min="1796" max="1796" width="57" style="303" customWidth="1"/>
    <col min="1797" max="1801" width="16.21875" style="303" customWidth="1"/>
    <col min="1802" max="1802" width="30.5546875" style="303" customWidth="1"/>
    <col min="1803" max="2048" width="9.21875" style="303"/>
    <col min="2049" max="2049" width="19.88671875" style="303" customWidth="1"/>
    <col min="2050" max="2050" width="14.88671875" style="303" customWidth="1"/>
    <col min="2051" max="2051" width="15.109375" style="303" customWidth="1"/>
    <col min="2052" max="2052" width="57" style="303" customWidth="1"/>
    <col min="2053" max="2057" width="16.21875" style="303" customWidth="1"/>
    <col min="2058" max="2058" width="30.5546875" style="303" customWidth="1"/>
    <col min="2059" max="2304" width="9.21875" style="303"/>
    <col min="2305" max="2305" width="19.88671875" style="303" customWidth="1"/>
    <col min="2306" max="2306" width="14.88671875" style="303" customWidth="1"/>
    <col min="2307" max="2307" width="15.109375" style="303" customWidth="1"/>
    <col min="2308" max="2308" width="57" style="303" customWidth="1"/>
    <col min="2309" max="2313" width="16.21875" style="303" customWidth="1"/>
    <col min="2314" max="2314" width="30.5546875" style="303" customWidth="1"/>
    <col min="2315" max="2560" width="9.21875" style="303"/>
    <col min="2561" max="2561" width="19.88671875" style="303" customWidth="1"/>
    <col min="2562" max="2562" width="14.88671875" style="303" customWidth="1"/>
    <col min="2563" max="2563" width="15.109375" style="303" customWidth="1"/>
    <col min="2564" max="2564" width="57" style="303" customWidth="1"/>
    <col min="2565" max="2569" width="16.21875" style="303" customWidth="1"/>
    <col min="2570" max="2570" width="30.5546875" style="303" customWidth="1"/>
    <col min="2571" max="2816" width="9.21875" style="303"/>
    <col min="2817" max="2817" width="19.88671875" style="303" customWidth="1"/>
    <col min="2818" max="2818" width="14.88671875" style="303" customWidth="1"/>
    <col min="2819" max="2819" width="15.109375" style="303" customWidth="1"/>
    <col min="2820" max="2820" width="57" style="303" customWidth="1"/>
    <col min="2821" max="2825" width="16.21875" style="303" customWidth="1"/>
    <col min="2826" max="2826" width="30.5546875" style="303" customWidth="1"/>
    <col min="2827" max="3072" width="9.21875" style="303"/>
    <col min="3073" max="3073" width="19.88671875" style="303" customWidth="1"/>
    <col min="3074" max="3074" width="14.88671875" style="303" customWidth="1"/>
    <col min="3075" max="3075" width="15.109375" style="303" customWidth="1"/>
    <col min="3076" max="3076" width="57" style="303" customWidth="1"/>
    <col min="3077" max="3081" width="16.21875" style="303" customWidth="1"/>
    <col min="3082" max="3082" width="30.5546875" style="303" customWidth="1"/>
    <col min="3083" max="3328" width="9.21875" style="303"/>
    <col min="3329" max="3329" width="19.88671875" style="303" customWidth="1"/>
    <col min="3330" max="3330" width="14.88671875" style="303" customWidth="1"/>
    <col min="3331" max="3331" width="15.109375" style="303" customWidth="1"/>
    <col min="3332" max="3332" width="57" style="303" customWidth="1"/>
    <col min="3333" max="3337" width="16.21875" style="303" customWidth="1"/>
    <col min="3338" max="3338" width="30.5546875" style="303" customWidth="1"/>
    <col min="3339" max="3584" width="9.21875" style="303"/>
    <col min="3585" max="3585" width="19.88671875" style="303" customWidth="1"/>
    <col min="3586" max="3586" width="14.88671875" style="303" customWidth="1"/>
    <col min="3587" max="3587" width="15.109375" style="303" customWidth="1"/>
    <col min="3588" max="3588" width="57" style="303" customWidth="1"/>
    <col min="3589" max="3593" width="16.21875" style="303" customWidth="1"/>
    <col min="3594" max="3594" width="30.5546875" style="303" customWidth="1"/>
    <col min="3595" max="3840" width="9.21875" style="303"/>
    <col min="3841" max="3841" width="19.88671875" style="303" customWidth="1"/>
    <col min="3842" max="3842" width="14.88671875" style="303" customWidth="1"/>
    <col min="3843" max="3843" width="15.109375" style="303" customWidth="1"/>
    <col min="3844" max="3844" width="57" style="303" customWidth="1"/>
    <col min="3845" max="3849" width="16.21875" style="303" customWidth="1"/>
    <col min="3850" max="3850" width="30.5546875" style="303" customWidth="1"/>
    <col min="3851" max="4096" width="9.21875" style="303"/>
    <col min="4097" max="4097" width="19.88671875" style="303" customWidth="1"/>
    <col min="4098" max="4098" width="14.88671875" style="303" customWidth="1"/>
    <col min="4099" max="4099" width="15.109375" style="303" customWidth="1"/>
    <col min="4100" max="4100" width="57" style="303" customWidth="1"/>
    <col min="4101" max="4105" width="16.21875" style="303" customWidth="1"/>
    <col min="4106" max="4106" width="30.5546875" style="303" customWidth="1"/>
    <col min="4107" max="4352" width="9.21875" style="303"/>
    <col min="4353" max="4353" width="19.88671875" style="303" customWidth="1"/>
    <col min="4354" max="4354" width="14.88671875" style="303" customWidth="1"/>
    <col min="4355" max="4355" width="15.109375" style="303" customWidth="1"/>
    <col min="4356" max="4356" width="57" style="303" customWidth="1"/>
    <col min="4357" max="4361" width="16.21875" style="303" customWidth="1"/>
    <col min="4362" max="4362" width="30.5546875" style="303" customWidth="1"/>
    <col min="4363" max="4608" width="9.21875" style="303"/>
    <col min="4609" max="4609" width="19.88671875" style="303" customWidth="1"/>
    <col min="4610" max="4610" width="14.88671875" style="303" customWidth="1"/>
    <col min="4611" max="4611" width="15.109375" style="303" customWidth="1"/>
    <col min="4612" max="4612" width="57" style="303" customWidth="1"/>
    <col min="4613" max="4617" width="16.21875" style="303" customWidth="1"/>
    <col min="4618" max="4618" width="30.5546875" style="303" customWidth="1"/>
    <col min="4619" max="4864" width="9.21875" style="303"/>
    <col min="4865" max="4865" width="19.88671875" style="303" customWidth="1"/>
    <col min="4866" max="4866" width="14.88671875" style="303" customWidth="1"/>
    <col min="4867" max="4867" width="15.109375" style="303" customWidth="1"/>
    <col min="4868" max="4868" width="57" style="303" customWidth="1"/>
    <col min="4869" max="4873" width="16.21875" style="303" customWidth="1"/>
    <col min="4874" max="4874" width="30.5546875" style="303" customWidth="1"/>
    <col min="4875" max="5120" width="9.21875" style="303"/>
    <col min="5121" max="5121" width="19.88671875" style="303" customWidth="1"/>
    <col min="5122" max="5122" width="14.88671875" style="303" customWidth="1"/>
    <col min="5123" max="5123" width="15.109375" style="303" customWidth="1"/>
    <col min="5124" max="5124" width="57" style="303" customWidth="1"/>
    <col min="5125" max="5129" width="16.21875" style="303" customWidth="1"/>
    <col min="5130" max="5130" width="30.5546875" style="303" customWidth="1"/>
    <col min="5131" max="5376" width="9.21875" style="303"/>
    <col min="5377" max="5377" width="19.88671875" style="303" customWidth="1"/>
    <col min="5378" max="5378" width="14.88671875" style="303" customWidth="1"/>
    <col min="5379" max="5379" width="15.109375" style="303" customWidth="1"/>
    <col min="5380" max="5380" width="57" style="303" customWidth="1"/>
    <col min="5381" max="5385" width="16.21875" style="303" customWidth="1"/>
    <col min="5386" max="5386" width="30.5546875" style="303" customWidth="1"/>
    <col min="5387" max="5632" width="9.21875" style="303"/>
    <col min="5633" max="5633" width="19.88671875" style="303" customWidth="1"/>
    <col min="5634" max="5634" width="14.88671875" style="303" customWidth="1"/>
    <col min="5635" max="5635" width="15.109375" style="303" customWidth="1"/>
    <col min="5636" max="5636" width="57" style="303" customWidth="1"/>
    <col min="5637" max="5641" width="16.21875" style="303" customWidth="1"/>
    <col min="5642" max="5642" width="30.5546875" style="303" customWidth="1"/>
    <col min="5643" max="5888" width="9.21875" style="303"/>
    <col min="5889" max="5889" width="19.88671875" style="303" customWidth="1"/>
    <col min="5890" max="5890" width="14.88671875" style="303" customWidth="1"/>
    <col min="5891" max="5891" width="15.109375" style="303" customWidth="1"/>
    <col min="5892" max="5892" width="57" style="303" customWidth="1"/>
    <col min="5893" max="5897" width="16.21875" style="303" customWidth="1"/>
    <col min="5898" max="5898" width="30.5546875" style="303" customWidth="1"/>
    <col min="5899" max="6144" width="9.21875" style="303"/>
    <col min="6145" max="6145" width="19.88671875" style="303" customWidth="1"/>
    <col min="6146" max="6146" width="14.88671875" style="303" customWidth="1"/>
    <col min="6147" max="6147" width="15.109375" style="303" customWidth="1"/>
    <col min="6148" max="6148" width="57" style="303" customWidth="1"/>
    <col min="6149" max="6153" width="16.21875" style="303" customWidth="1"/>
    <col min="6154" max="6154" width="30.5546875" style="303" customWidth="1"/>
    <col min="6155" max="6400" width="9.21875" style="303"/>
    <col min="6401" max="6401" width="19.88671875" style="303" customWidth="1"/>
    <col min="6402" max="6402" width="14.88671875" style="303" customWidth="1"/>
    <col min="6403" max="6403" width="15.109375" style="303" customWidth="1"/>
    <col min="6404" max="6404" width="57" style="303" customWidth="1"/>
    <col min="6405" max="6409" width="16.21875" style="303" customWidth="1"/>
    <col min="6410" max="6410" width="30.5546875" style="303" customWidth="1"/>
    <col min="6411" max="6656" width="9.21875" style="303"/>
    <col min="6657" max="6657" width="19.88671875" style="303" customWidth="1"/>
    <col min="6658" max="6658" width="14.88671875" style="303" customWidth="1"/>
    <col min="6659" max="6659" width="15.109375" style="303" customWidth="1"/>
    <col min="6660" max="6660" width="57" style="303" customWidth="1"/>
    <col min="6661" max="6665" width="16.21875" style="303" customWidth="1"/>
    <col min="6666" max="6666" width="30.5546875" style="303" customWidth="1"/>
    <col min="6667" max="6912" width="9.21875" style="303"/>
    <col min="6913" max="6913" width="19.88671875" style="303" customWidth="1"/>
    <col min="6914" max="6914" width="14.88671875" style="303" customWidth="1"/>
    <col min="6915" max="6915" width="15.109375" style="303" customWidth="1"/>
    <col min="6916" max="6916" width="57" style="303" customWidth="1"/>
    <col min="6917" max="6921" width="16.21875" style="303" customWidth="1"/>
    <col min="6922" max="6922" width="30.5546875" style="303" customWidth="1"/>
    <col min="6923" max="7168" width="9.21875" style="303"/>
    <col min="7169" max="7169" width="19.88671875" style="303" customWidth="1"/>
    <col min="7170" max="7170" width="14.88671875" style="303" customWidth="1"/>
    <col min="7171" max="7171" width="15.109375" style="303" customWidth="1"/>
    <col min="7172" max="7172" width="57" style="303" customWidth="1"/>
    <col min="7173" max="7177" width="16.21875" style="303" customWidth="1"/>
    <col min="7178" max="7178" width="30.5546875" style="303" customWidth="1"/>
    <col min="7179" max="7424" width="9.21875" style="303"/>
    <col min="7425" max="7425" width="19.88671875" style="303" customWidth="1"/>
    <col min="7426" max="7426" width="14.88671875" style="303" customWidth="1"/>
    <col min="7427" max="7427" width="15.109375" style="303" customWidth="1"/>
    <col min="7428" max="7428" width="57" style="303" customWidth="1"/>
    <col min="7429" max="7433" width="16.21875" style="303" customWidth="1"/>
    <col min="7434" max="7434" width="30.5546875" style="303" customWidth="1"/>
    <col min="7435" max="7680" width="9.21875" style="303"/>
    <col min="7681" max="7681" width="19.88671875" style="303" customWidth="1"/>
    <col min="7682" max="7682" width="14.88671875" style="303" customWidth="1"/>
    <col min="7683" max="7683" width="15.109375" style="303" customWidth="1"/>
    <col min="7684" max="7684" width="57" style="303" customWidth="1"/>
    <col min="7685" max="7689" width="16.21875" style="303" customWidth="1"/>
    <col min="7690" max="7690" width="30.5546875" style="303" customWidth="1"/>
    <col min="7691" max="7936" width="9.21875" style="303"/>
    <col min="7937" max="7937" width="19.88671875" style="303" customWidth="1"/>
    <col min="7938" max="7938" width="14.88671875" style="303" customWidth="1"/>
    <col min="7939" max="7939" width="15.109375" style="303" customWidth="1"/>
    <col min="7940" max="7940" width="57" style="303" customWidth="1"/>
    <col min="7941" max="7945" width="16.21875" style="303" customWidth="1"/>
    <col min="7946" max="7946" width="30.5546875" style="303" customWidth="1"/>
    <col min="7947" max="8192" width="9.21875" style="303"/>
    <col min="8193" max="8193" width="19.88671875" style="303" customWidth="1"/>
    <col min="8194" max="8194" width="14.88671875" style="303" customWidth="1"/>
    <col min="8195" max="8195" width="15.109375" style="303" customWidth="1"/>
    <col min="8196" max="8196" width="57" style="303" customWidth="1"/>
    <col min="8197" max="8201" width="16.21875" style="303" customWidth="1"/>
    <col min="8202" max="8202" width="30.5546875" style="303" customWidth="1"/>
    <col min="8203" max="8448" width="9.21875" style="303"/>
    <col min="8449" max="8449" width="19.88671875" style="303" customWidth="1"/>
    <col min="8450" max="8450" width="14.88671875" style="303" customWidth="1"/>
    <col min="8451" max="8451" width="15.109375" style="303" customWidth="1"/>
    <col min="8452" max="8452" width="57" style="303" customWidth="1"/>
    <col min="8453" max="8457" width="16.21875" style="303" customWidth="1"/>
    <col min="8458" max="8458" width="30.5546875" style="303" customWidth="1"/>
    <col min="8459" max="8704" width="9.21875" style="303"/>
    <col min="8705" max="8705" width="19.88671875" style="303" customWidth="1"/>
    <col min="8706" max="8706" width="14.88671875" style="303" customWidth="1"/>
    <col min="8707" max="8707" width="15.109375" style="303" customWidth="1"/>
    <col min="8708" max="8708" width="57" style="303" customWidth="1"/>
    <col min="8709" max="8713" width="16.21875" style="303" customWidth="1"/>
    <col min="8714" max="8714" width="30.5546875" style="303" customWidth="1"/>
    <col min="8715" max="8960" width="9.21875" style="303"/>
    <col min="8961" max="8961" width="19.88671875" style="303" customWidth="1"/>
    <col min="8962" max="8962" width="14.88671875" style="303" customWidth="1"/>
    <col min="8963" max="8963" width="15.109375" style="303" customWidth="1"/>
    <col min="8964" max="8964" width="57" style="303" customWidth="1"/>
    <col min="8965" max="8969" width="16.21875" style="303" customWidth="1"/>
    <col min="8970" max="8970" width="30.5546875" style="303" customWidth="1"/>
    <col min="8971" max="9216" width="9.21875" style="303"/>
    <col min="9217" max="9217" width="19.88671875" style="303" customWidth="1"/>
    <col min="9218" max="9218" width="14.88671875" style="303" customWidth="1"/>
    <col min="9219" max="9219" width="15.109375" style="303" customWidth="1"/>
    <col min="9220" max="9220" width="57" style="303" customWidth="1"/>
    <col min="9221" max="9225" width="16.21875" style="303" customWidth="1"/>
    <col min="9226" max="9226" width="30.5546875" style="303" customWidth="1"/>
    <col min="9227" max="9472" width="9.21875" style="303"/>
    <col min="9473" max="9473" width="19.88671875" style="303" customWidth="1"/>
    <col min="9474" max="9474" width="14.88671875" style="303" customWidth="1"/>
    <col min="9475" max="9475" width="15.109375" style="303" customWidth="1"/>
    <col min="9476" max="9476" width="57" style="303" customWidth="1"/>
    <col min="9477" max="9481" width="16.21875" style="303" customWidth="1"/>
    <col min="9482" max="9482" width="30.5546875" style="303" customWidth="1"/>
    <col min="9483" max="9728" width="9.21875" style="303"/>
    <col min="9729" max="9729" width="19.88671875" style="303" customWidth="1"/>
    <col min="9730" max="9730" width="14.88671875" style="303" customWidth="1"/>
    <col min="9731" max="9731" width="15.109375" style="303" customWidth="1"/>
    <col min="9732" max="9732" width="57" style="303" customWidth="1"/>
    <col min="9733" max="9737" width="16.21875" style="303" customWidth="1"/>
    <col min="9738" max="9738" width="30.5546875" style="303" customWidth="1"/>
    <col min="9739" max="9984" width="9.21875" style="303"/>
    <col min="9985" max="9985" width="19.88671875" style="303" customWidth="1"/>
    <col min="9986" max="9986" width="14.88671875" style="303" customWidth="1"/>
    <col min="9987" max="9987" width="15.109375" style="303" customWidth="1"/>
    <col min="9988" max="9988" width="57" style="303" customWidth="1"/>
    <col min="9989" max="9993" width="16.21875" style="303" customWidth="1"/>
    <col min="9994" max="9994" width="30.5546875" style="303" customWidth="1"/>
    <col min="9995" max="10240" width="9.21875" style="303"/>
    <col min="10241" max="10241" width="19.88671875" style="303" customWidth="1"/>
    <col min="10242" max="10242" width="14.88671875" style="303" customWidth="1"/>
    <col min="10243" max="10243" width="15.109375" style="303" customWidth="1"/>
    <col min="10244" max="10244" width="57" style="303" customWidth="1"/>
    <col min="10245" max="10249" width="16.21875" style="303" customWidth="1"/>
    <col min="10250" max="10250" width="30.5546875" style="303" customWidth="1"/>
    <col min="10251" max="10496" width="9.21875" style="303"/>
    <col min="10497" max="10497" width="19.88671875" style="303" customWidth="1"/>
    <col min="10498" max="10498" width="14.88671875" style="303" customWidth="1"/>
    <col min="10499" max="10499" width="15.109375" style="303" customWidth="1"/>
    <col min="10500" max="10500" width="57" style="303" customWidth="1"/>
    <col min="10501" max="10505" width="16.21875" style="303" customWidth="1"/>
    <col min="10506" max="10506" width="30.5546875" style="303" customWidth="1"/>
    <col min="10507" max="10752" width="9.21875" style="303"/>
    <col min="10753" max="10753" width="19.88671875" style="303" customWidth="1"/>
    <col min="10754" max="10754" width="14.88671875" style="303" customWidth="1"/>
    <col min="10755" max="10755" width="15.109375" style="303" customWidth="1"/>
    <col min="10756" max="10756" width="57" style="303" customWidth="1"/>
    <col min="10757" max="10761" width="16.21875" style="303" customWidth="1"/>
    <col min="10762" max="10762" width="30.5546875" style="303" customWidth="1"/>
    <col min="10763" max="11008" width="9.21875" style="303"/>
    <col min="11009" max="11009" width="19.88671875" style="303" customWidth="1"/>
    <col min="11010" max="11010" width="14.88671875" style="303" customWidth="1"/>
    <col min="11011" max="11011" width="15.109375" style="303" customWidth="1"/>
    <col min="11012" max="11012" width="57" style="303" customWidth="1"/>
    <col min="11013" max="11017" width="16.21875" style="303" customWidth="1"/>
    <col min="11018" max="11018" width="30.5546875" style="303" customWidth="1"/>
    <col min="11019" max="11264" width="9.21875" style="303"/>
    <col min="11265" max="11265" width="19.88671875" style="303" customWidth="1"/>
    <col min="11266" max="11266" width="14.88671875" style="303" customWidth="1"/>
    <col min="11267" max="11267" width="15.109375" style="303" customWidth="1"/>
    <col min="11268" max="11268" width="57" style="303" customWidth="1"/>
    <col min="11269" max="11273" width="16.21875" style="303" customWidth="1"/>
    <col min="11274" max="11274" width="30.5546875" style="303" customWidth="1"/>
    <col min="11275" max="11520" width="9.21875" style="303"/>
    <col min="11521" max="11521" width="19.88671875" style="303" customWidth="1"/>
    <col min="11522" max="11522" width="14.88671875" style="303" customWidth="1"/>
    <col min="11523" max="11523" width="15.109375" style="303" customWidth="1"/>
    <col min="11524" max="11524" width="57" style="303" customWidth="1"/>
    <col min="11525" max="11529" width="16.21875" style="303" customWidth="1"/>
    <col min="11530" max="11530" width="30.5546875" style="303" customWidth="1"/>
    <col min="11531" max="11776" width="9.21875" style="303"/>
    <col min="11777" max="11777" width="19.88671875" style="303" customWidth="1"/>
    <col min="11778" max="11778" width="14.88671875" style="303" customWidth="1"/>
    <col min="11779" max="11779" width="15.109375" style="303" customWidth="1"/>
    <col min="11780" max="11780" width="57" style="303" customWidth="1"/>
    <col min="11781" max="11785" width="16.21875" style="303" customWidth="1"/>
    <col min="11786" max="11786" width="30.5546875" style="303" customWidth="1"/>
    <col min="11787" max="12032" width="9.21875" style="303"/>
    <col min="12033" max="12033" width="19.88671875" style="303" customWidth="1"/>
    <col min="12034" max="12034" width="14.88671875" style="303" customWidth="1"/>
    <col min="12035" max="12035" width="15.109375" style="303" customWidth="1"/>
    <col min="12036" max="12036" width="57" style="303" customWidth="1"/>
    <col min="12037" max="12041" width="16.21875" style="303" customWidth="1"/>
    <col min="12042" max="12042" width="30.5546875" style="303" customWidth="1"/>
    <col min="12043" max="12288" width="9.21875" style="303"/>
    <col min="12289" max="12289" width="19.88671875" style="303" customWidth="1"/>
    <col min="12290" max="12290" width="14.88671875" style="303" customWidth="1"/>
    <col min="12291" max="12291" width="15.109375" style="303" customWidth="1"/>
    <col min="12292" max="12292" width="57" style="303" customWidth="1"/>
    <col min="12293" max="12297" width="16.21875" style="303" customWidth="1"/>
    <col min="12298" max="12298" width="30.5546875" style="303" customWidth="1"/>
    <col min="12299" max="12544" width="9.21875" style="303"/>
    <col min="12545" max="12545" width="19.88671875" style="303" customWidth="1"/>
    <col min="12546" max="12546" width="14.88671875" style="303" customWidth="1"/>
    <col min="12547" max="12547" width="15.109375" style="303" customWidth="1"/>
    <col min="12548" max="12548" width="57" style="303" customWidth="1"/>
    <col min="12549" max="12553" width="16.21875" style="303" customWidth="1"/>
    <col min="12554" max="12554" width="30.5546875" style="303" customWidth="1"/>
    <col min="12555" max="12800" width="9.21875" style="303"/>
    <col min="12801" max="12801" width="19.88671875" style="303" customWidth="1"/>
    <col min="12802" max="12802" width="14.88671875" style="303" customWidth="1"/>
    <col min="12803" max="12803" width="15.109375" style="303" customWidth="1"/>
    <col min="12804" max="12804" width="57" style="303" customWidth="1"/>
    <col min="12805" max="12809" width="16.21875" style="303" customWidth="1"/>
    <col min="12810" max="12810" width="30.5546875" style="303" customWidth="1"/>
    <col min="12811" max="13056" width="9.21875" style="303"/>
    <col min="13057" max="13057" width="19.88671875" style="303" customWidth="1"/>
    <col min="13058" max="13058" width="14.88671875" style="303" customWidth="1"/>
    <col min="13059" max="13059" width="15.109375" style="303" customWidth="1"/>
    <col min="13060" max="13060" width="57" style="303" customWidth="1"/>
    <col min="13061" max="13065" width="16.21875" style="303" customWidth="1"/>
    <col min="13066" max="13066" width="30.5546875" style="303" customWidth="1"/>
    <col min="13067" max="13312" width="9.21875" style="303"/>
    <col min="13313" max="13313" width="19.88671875" style="303" customWidth="1"/>
    <col min="13314" max="13314" width="14.88671875" style="303" customWidth="1"/>
    <col min="13315" max="13315" width="15.109375" style="303" customWidth="1"/>
    <col min="13316" max="13316" width="57" style="303" customWidth="1"/>
    <col min="13317" max="13321" width="16.21875" style="303" customWidth="1"/>
    <col min="13322" max="13322" width="30.5546875" style="303" customWidth="1"/>
    <col min="13323" max="13568" width="9.21875" style="303"/>
    <col min="13569" max="13569" width="19.88671875" style="303" customWidth="1"/>
    <col min="13570" max="13570" width="14.88671875" style="303" customWidth="1"/>
    <col min="13571" max="13571" width="15.109375" style="303" customWidth="1"/>
    <col min="13572" max="13572" width="57" style="303" customWidth="1"/>
    <col min="13573" max="13577" width="16.21875" style="303" customWidth="1"/>
    <col min="13578" max="13578" width="30.5546875" style="303" customWidth="1"/>
    <col min="13579" max="13824" width="9.21875" style="303"/>
    <col min="13825" max="13825" width="19.88671875" style="303" customWidth="1"/>
    <col min="13826" max="13826" width="14.88671875" style="303" customWidth="1"/>
    <col min="13827" max="13827" width="15.109375" style="303" customWidth="1"/>
    <col min="13828" max="13828" width="57" style="303" customWidth="1"/>
    <col min="13829" max="13833" width="16.21875" style="303" customWidth="1"/>
    <col min="13834" max="13834" width="30.5546875" style="303" customWidth="1"/>
    <col min="13835" max="14080" width="9.21875" style="303"/>
    <col min="14081" max="14081" width="19.88671875" style="303" customWidth="1"/>
    <col min="14082" max="14082" width="14.88671875" style="303" customWidth="1"/>
    <col min="14083" max="14083" width="15.109375" style="303" customWidth="1"/>
    <col min="14084" max="14084" width="57" style="303" customWidth="1"/>
    <col min="14085" max="14089" width="16.21875" style="303" customWidth="1"/>
    <col min="14090" max="14090" width="30.5546875" style="303" customWidth="1"/>
    <col min="14091" max="14336" width="9.21875" style="303"/>
    <col min="14337" max="14337" width="19.88671875" style="303" customWidth="1"/>
    <col min="14338" max="14338" width="14.88671875" style="303" customWidth="1"/>
    <col min="14339" max="14339" width="15.109375" style="303" customWidth="1"/>
    <col min="14340" max="14340" width="57" style="303" customWidth="1"/>
    <col min="14341" max="14345" width="16.21875" style="303" customWidth="1"/>
    <col min="14346" max="14346" width="30.5546875" style="303" customWidth="1"/>
    <col min="14347" max="14592" width="9.21875" style="303"/>
    <col min="14593" max="14593" width="19.88671875" style="303" customWidth="1"/>
    <col min="14594" max="14594" width="14.88671875" style="303" customWidth="1"/>
    <col min="14595" max="14595" width="15.109375" style="303" customWidth="1"/>
    <col min="14596" max="14596" width="57" style="303" customWidth="1"/>
    <col min="14597" max="14601" width="16.21875" style="303" customWidth="1"/>
    <col min="14602" max="14602" width="30.5546875" style="303" customWidth="1"/>
    <col min="14603" max="14848" width="9.21875" style="303"/>
    <col min="14849" max="14849" width="19.88671875" style="303" customWidth="1"/>
    <col min="14850" max="14850" width="14.88671875" style="303" customWidth="1"/>
    <col min="14851" max="14851" width="15.109375" style="303" customWidth="1"/>
    <col min="14852" max="14852" width="57" style="303" customWidth="1"/>
    <col min="14853" max="14857" width="16.21875" style="303" customWidth="1"/>
    <col min="14858" max="14858" width="30.5546875" style="303" customWidth="1"/>
    <col min="14859" max="15104" width="9.21875" style="303"/>
    <col min="15105" max="15105" width="19.88671875" style="303" customWidth="1"/>
    <col min="15106" max="15106" width="14.88671875" style="303" customWidth="1"/>
    <col min="15107" max="15107" width="15.109375" style="303" customWidth="1"/>
    <col min="15108" max="15108" width="57" style="303" customWidth="1"/>
    <col min="15109" max="15113" width="16.21875" style="303" customWidth="1"/>
    <col min="15114" max="15114" width="30.5546875" style="303" customWidth="1"/>
    <col min="15115" max="15360" width="9.21875" style="303"/>
    <col min="15361" max="15361" width="19.88671875" style="303" customWidth="1"/>
    <col min="15362" max="15362" width="14.88671875" style="303" customWidth="1"/>
    <col min="15363" max="15363" width="15.109375" style="303" customWidth="1"/>
    <col min="15364" max="15364" width="57" style="303" customWidth="1"/>
    <col min="15365" max="15369" width="16.21875" style="303" customWidth="1"/>
    <col min="15370" max="15370" width="30.5546875" style="303" customWidth="1"/>
    <col min="15371" max="15616" width="9.21875" style="303"/>
    <col min="15617" max="15617" width="19.88671875" style="303" customWidth="1"/>
    <col min="15618" max="15618" width="14.88671875" style="303" customWidth="1"/>
    <col min="15619" max="15619" width="15.109375" style="303" customWidth="1"/>
    <col min="15620" max="15620" width="57" style="303" customWidth="1"/>
    <col min="15621" max="15625" width="16.21875" style="303" customWidth="1"/>
    <col min="15626" max="15626" width="30.5546875" style="303" customWidth="1"/>
    <col min="15627" max="15872" width="9.21875" style="303"/>
    <col min="15873" max="15873" width="19.88671875" style="303" customWidth="1"/>
    <col min="15874" max="15874" width="14.88671875" style="303" customWidth="1"/>
    <col min="15875" max="15875" width="15.109375" style="303" customWidth="1"/>
    <col min="15876" max="15876" width="57" style="303" customWidth="1"/>
    <col min="15877" max="15881" width="16.21875" style="303" customWidth="1"/>
    <col min="15882" max="15882" width="30.5546875" style="303" customWidth="1"/>
    <col min="15883" max="16128" width="9.21875" style="303"/>
    <col min="16129" max="16129" width="19.88671875" style="303" customWidth="1"/>
    <col min="16130" max="16130" width="14.88671875" style="303" customWidth="1"/>
    <col min="16131" max="16131" width="15.109375" style="303" customWidth="1"/>
    <col min="16132" max="16132" width="57" style="303" customWidth="1"/>
    <col min="16133" max="16137" width="16.21875" style="303" customWidth="1"/>
    <col min="16138" max="16138" width="30.5546875" style="303" customWidth="1"/>
    <col min="16139" max="16384" width="9.21875" style="303"/>
  </cols>
  <sheetData>
    <row r="1" spans="1:10" s="294" customFormat="1" ht="18">
      <c r="A1" s="850" t="s">
        <v>521</v>
      </c>
      <c r="B1" s="851"/>
      <c r="C1" s="851"/>
      <c r="D1" s="290"/>
      <c r="E1" s="290"/>
      <c r="F1" s="289"/>
      <c r="G1" s="291"/>
      <c r="H1" s="289"/>
      <c r="I1" s="292"/>
      <c r="J1" s="293"/>
    </row>
    <row r="2" spans="1:10" s="294" customFormat="1" ht="18">
      <c r="A2" s="852" t="str">
        <f>[19]Transmittal!B11</f>
        <v>765kV D/c  Koppal II (PS)-Raichur (Part-1) transmission line project</v>
      </c>
      <c r="B2" s="853"/>
      <c r="C2" s="853"/>
      <c r="D2" s="853"/>
      <c r="E2" s="853"/>
      <c r="F2" s="853"/>
      <c r="G2" s="854"/>
      <c r="H2" s="295"/>
      <c r="I2" s="296"/>
      <c r="J2" s="297"/>
    </row>
    <row r="3" spans="1:10">
      <c r="A3" s="298"/>
      <c r="B3" s="299"/>
      <c r="C3" s="299"/>
      <c r="D3" s="299"/>
      <c r="E3" s="299"/>
      <c r="F3" s="299"/>
      <c r="G3" s="300"/>
      <c r="H3" s="299"/>
      <c r="I3" s="301"/>
      <c r="J3" s="302"/>
    </row>
    <row r="4" spans="1:10" ht="15" thickBot="1">
      <c r="A4" s="298"/>
      <c r="B4" s="299"/>
      <c r="C4" s="299"/>
      <c r="D4" s="299"/>
      <c r="E4" s="299"/>
      <c r="F4" s="299"/>
      <c r="G4" s="300"/>
      <c r="H4" s="299"/>
      <c r="I4" s="301"/>
      <c r="J4" s="302"/>
    </row>
    <row r="5" spans="1:10" s="304" customFormat="1" ht="18">
      <c r="A5" s="327" t="s">
        <v>522</v>
      </c>
      <c r="B5" s="328" t="s">
        <v>523</v>
      </c>
      <c r="C5" s="328" t="s">
        <v>524</v>
      </c>
      <c r="D5" s="328" t="s">
        <v>525</v>
      </c>
      <c r="E5" s="328" t="s">
        <v>526</v>
      </c>
      <c r="F5" s="329" t="s">
        <v>527</v>
      </c>
      <c r="G5" s="329" t="s">
        <v>528</v>
      </c>
      <c r="H5" s="330" t="s">
        <v>529</v>
      </c>
      <c r="I5" s="328" t="s">
        <v>11</v>
      </c>
      <c r="J5" s="331" t="s">
        <v>113</v>
      </c>
    </row>
    <row r="6" spans="1:10" s="309" customFormat="1" ht="18">
      <c r="A6" s="305" t="s">
        <v>530</v>
      </c>
      <c r="B6" s="306">
        <v>6</v>
      </c>
      <c r="C6" s="306">
        <v>3</v>
      </c>
      <c r="D6" s="306">
        <v>0</v>
      </c>
      <c r="E6" s="306">
        <v>0</v>
      </c>
      <c r="F6" s="306">
        <v>4</v>
      </c>
      <c r="G6" s="307">
        <v>1</v>
      </c>
      <c r="H6" s="306">
        <v>0</v>
      </c>
      <c r="I6" s="308">
        <f>SUM(B6:H6)</f>
        <v>14</v>
      </c>
      <c r="J6" s="332"/>
    </row>
    <row r="7" spans="1:10" s="309" customFormat="1" ht="36">
      <c r="A7" s="305" t="s">
        <v>531</v>
      </c>
      <c r="B7" s="306">
        <v>0</v>
      </c>
      <c r="C7" s="306">
        <v>0</v>
      </c>
      <c r="D7" s="306">
        <v>0</v>
      </c>
      <c r="E7" s="306">
        <v>0</v>
      </c>
      <c r="F7" s="306">
        <v>0</v>
      </c>
      <c r="G7" s="306">
        <v>0</v>
      </c>
      <c r="H7" s="306">
        <v>0</v>
      </c>
      <c r="I7" s="308">
        <f>SUM(B7:H7)</f>
        <v>0</v>
      </c>
      <c r="J7" s="333"/>
    </row>
    <row r="8" spans="1:10" s="309" customFormat="1" ht="36">
      <c r="A8" s="305" t="s">
        <v>532</v>
      </c>
      <c r="B8" s="306">
        <v>0</v>
      </c>
      <c r="C8" s="306">
        <v>0</v>
      </c>
      <c r="D8" s="306">
        <v>0</v>
      </c>
      <c r="E8" s="306">
        <v>0</v>
      </c>
      <c r="F8" s="306">
        <v>0</v>
      </c>
      <c r="G8" s="306">
        <v>0</v>
      </c>
      <c r="H8" s="306">
        <v>0</v>
      </c>
      <c r="I8" s="308">
        <f>SUM(B8:H8)</f>
        <v>0</v>
      </c>
      <c r="J8" s="333"/>
    </row>
    <row r="9" spans="1:10" s="309" customFormat="1" ht="36.6" thickBot="1">
      <c r="A9" s="334" t="s">
        <v>533</v>
      </c>
      <c r="B9" s="335">
        <v>0</v>
      </c>
      <c r="C9" s="335">
        <v>0</v>
      </c>
      <c r="D9" s="335">
        <f t="shared" ref="D9:I9" si="0">D6-D8</f>
        <v>0</v>
      </c>
      <c r="E9" s="335">
        <f>E6-E8</f>
        <v>0</v>
      </c>
      <c r="F9" s="335">
        <f t="shared" si="0"/>
        <v>4</v>
      </c>
      <c r="G9" s="335">
        <v>0</v>
      </c>
      <c r="H9" s="335">
        <f t="shared" si="0"/>
        <v>0</v>
      </c>
      <c r="I9" s="336">
        <f t="shared" si="0"/>
        <v>14</v>
      </c>
      <c r="J9" s="337"/>
    </row>
    <row r="10" spans="1:10" s="309" customFormat="1" ht="18.600000000000001" thickBot="1">
      <c r="A10" s="325"/>
      <c r="B10" s="326"/>
      <c r="C10" s="326"/>
      <c r="D10" s="326"/>
      <c r="E10" s="326"/>
      <c r="F10" s="326"/>
      <c r="G10" s="322"/>
      <c r="H10" s="322"/>
      <c r="I10" s="323"/>
      <c r="J10" s="324"/>
    </row>
    <row r="11" spans="1:10" ht="29.55" customHeight="1" thickBot="1">
      <c r="A11" s="855" t="s">
        <v>534</v>
      </c>
      <c r="B11" s="856"/>
      <c r="C11" s="856"/>
      <c r="D11" s="856"/>
      <c r="E11" s="856"/>
      <c r="F11" s="856"/>
      <c r="G11" s="856"/>
      <c r="H11" s="856"/>
      <c r="I11" s="857"/>
      <c r="J11" s="319"/>
    </row>
    <row r="12" spans="1:10" s="309" customFormat="1" ht="54">
      <c r="A12" s="508" t="s">
        <v>437</v>
      </c>
      <c r="B12" s="509" t="s">
        <v>535</v>
      </c>
      <c r="C12" s="509" t="s">
        <v>536</v>
      </c>
      <c r="D12" s="509" t="s">
        <v>537</v>
      </c>
      <c r="E12" s="509" t="s">
        <v>538</v>
      </c>
      <c r="F12" s="509" t="s">
        <v>611</v>
      </c>
      <c r="G12" s="509" t="s">
        <v>612</v>
      </c>
      <c r="H12" s="510" t="s">
        <v>613</v>
      </c>
      <c r="I12" s="510" t="s">
        <v>113</v>
      </c>
      <c r="J12" s="320"/>
    </row>
    <row r="13" spans="1:10" s="311" customFormat="1" ht="24.6" customHeight="1">
      <c r="A13" s="338">
        <v>1</v>
      </c>
      <c r="B13" s="339" t="s">
        <v>121</v>
      </c>
      <c r="C13" s="340" t="s">
        <v>122</v>
      </c>
      <c r="D13" s="310" t="s">
        <v>539</v>
      </c>
      <c r="E13" s="341" t="s">
        <v>540</v>
      </c>
      <c r="F13" s="406">
        <v>45576</v>
      </c>
      <c r="G13" s="407" t="s">
        <v>55</v>
      </c>
      <c r="H13" s="410" t="s">
        <v>614</v>
      </c>
      <c r="I13" s="507" t="s">
        <v>708</v>
      </c>
      <c r="J13" s="321"/>
    </row>
    <row r="14" spans="1:10" s="312" customFormat="1" ht="24.6" customHeight="1">
      <c r="A14" s="338">
        <f>A13+1</f>
        <v>2</v>
      </c>
      <c r="B14" s="340" t="s">
        <v>19</v>
      </c>
      <c r="C14" s="340" t="s">
        <v>28</v>
      </c>
      <c r="D14" s="342" t="s">
        <v>541</v>
      </c>
      <c r="E14" s="341" t="s">
        <v>540</v>
      </c>
      <c r="F14" s="406">
        <v>45576</v>
      </c>
      <c r="G14" s="407" t="s">
        <v>55</v>
      </c>
      <c r="H14" s="410" t="s">
        <v>614</v>
      </c>
      <c r="I14" s="507" t="s">
        <v>708</v>
      </c>
      <c r="J14" s="321"/>
    </row>
    <row r="15" spans="1:10" s="312" customFormat="1" ht="24.6" customHeight="1">
      <c r="A15" s="338">
        <f t="shared" ref="A15:A26" si="1">A14+1</f>
        <v>3</v>
      </c>
      <c r="B15" s="340" t="s">
        <v>35</v>
      </c>
      <c r="C15" s="340" t="s">
        <v>4</v>
      </c>
      <c r="D15" s="342" t="s">
        <v>541</v>
      </c>
      <c r="E15" s="341" t="s">
        <v>540</v>
      </c>
      <c r="F15" s="406">
        <v>45576</v>
      </c>
      <c r="G15" s="407" t="s">
        <v>55</v>
      </c>
      <c r="H15" s="410" t="s">
        <v>614</v>
      </c>
      <c r="I15" s="507" t="s">
        <v>708</v>
      </c>
      <c r="J15" s="321"/>
    </row>
    <row r="16" spans="1:10" s="312" customFormat="1" ht="24.6" customHeight="1">
      <c r="A16" s="338">
        <f t="shared" si="1"/>
        <v>4</v>
      </c>
      <c r="B16" s="340" t="s">
        <v>45</v>
      </c>
      <c r="C16" s="340" t="s">
        <v>46</v>
      </c>
      <c r="D16" s="342" t="s">
        <v>542</v>
      </c>
      <c r="E16" s="341" t="s">
        <v>540</v>
      </c>
      <c r="F16" s="406">
        <v>45576</v>
      </c>
      <c r="G16" s="407" t="s">
        <v>55</v>
      </c>
      <c r="H16" s="410" t="s">
        <v>614</v>
      </c>
      <c r="I16" s="507" t="s">
        <v>708</v>
      </c>
      <c r="J16" s="321"/>
    </row>
    <row r="17" spans="1:10" s="312" customFormat="1" ht="24.6" customHeight="1">
      <c r="A17" s="338">
        <f t="shared" si="1"/>
        <v>5</v>
      </c>
      <c r="B17" s="340" t="s">
        <v>190</v>
      </c>
      <c r="C17" s="340" t="s">
        <v>192</v>
      </c>
      <c r="D17" s="342" t="s">
        <v>610</v>
      </c>
      <c r="E17" s="341" t="s">
        <v>540</v>
      </c>
      <c r="F17" s="406">
        <v>45687</v>
      </c>
      <c r="G17" s="407" t="s">
        <v>55</v>
      </c>
      <c r="H17" s="410" t="s">
        <v>614</v>
      </c>
      <c r="I17" s="507" t="s">
        <v>708</v>
      </c>
      <c r="J17" s="321"/>
    </row>
    <row r="18" spans="1:10" s="312" customFormat="1" ht="24.6" customHeight="1">
      <c r="A18" s="338">
        <f t="shared" si="1"/>
        <v>6</v>
      </c>
      <c r="B18" s="340" t="s">
        <v>185</v>
      </c>
      <c r="C18" s="340" t="s">
        <v>54</v>
      </c>
      <c r="D18" s="343" t="s">
        <v>543</v>
      </c>
      <c r="E18" s="341" t="s">
        <v>540</v>
      </c>
      <c r="F18" s="406">
        <v>45645</v>
      </c>
      <c r="G18" s="407" t="s">
        <v>55</v>
      </c>
      <c r="H18" s="410" t="s">
        <v>614</v>
      </c>
      <c r="I18" s="507" t="s">
        <v>708</v>
      </c>
      <c r="J18" s="321"/>
    </row>
    <row r="19" spans="1:10" s="311" customFormat="1" ht="24.6" customHeight="1">
      <c r="A19" s="338">
        <f t="shared" si="1"/>
        <v>7</v>
      </c>
      <c r="B19" s="340" t="s">
        <v>23</v>
      </c>
      <c r="C19" s="340" t="s">
        <v>24</v>
      </c>
      <c r="D19" s="310" t="s">
        <v>544</v>
      </c>
      <c r="E19" s="341" t="s">
        <v>540</v>
      </c>
      <c r="F19" s="406">
        <v>45576</v>
      </c>
      <c r="G19" s="407" t="s">
        <v>55</v>
      </c>
      <c r="H19" s="410" t="s">
        <v>614</v>
      </c>
      <c r="I19" s="507" t="s">
        <v>708</v>
      </c>
      <c r="J19" s="321"/>
    </row>
    <row r="20" spans="1:10" s="312" customFormat="1" ht="24.6" customHeight="1">
      <c r="A20" s="338">
        <f t="shared" si="1"/>
        <v>8</v>
      </c>
      <c r="B20" s="340" t="s">
        <v>29</v>
      </c>
      <c r="C20" s="340" t="s">
        <v>30</v>
      </c>
      <c r="D20" s="342" t="s">
        <v>207</v>
      </c>
      <c r="E20" s="341" t="s">
        <v>540</v>
      </c>
      <c r="F20" s="406">
        <v>45576</v>
      </c>
      <c r="G20" s="407" t="s">
        <v>55</v>
      </c>
      <c r="H20" s="410" t="s">
        <v>614</v>
      </c>
      <c r="I20" s="507" t="s">
        <v>708</v>
      </c>
      <c r="J20" s="321"/>
    </row>
    <row r="21" spans="1:10" s="312" customFormat="1" ht="24.6" customHeight="1">
      <c r="A21" s="338">
        <f t="shared" si="1"/>
        <v>9</v>
      </c>
      <c r="B21" s="340" t="s">
        <v>29</v>
      </c>
      <c r="C21" s="340" t="s">
        <v>30</v>
      </c>
      <c r="D21" s="342" t="s">
        <v>207</v>
      </c>
      <c r="E21" s="341" t="s">
        <v>540</v>
      </c>
      <c r="F21" s="406">
        <v>45576</v>
      </c>
      <c r="G21" s="407" t="s">
        <v>55</v>
      </c>
      <c r="H21" s="410" t="s">
        <v>614</v>
      </c>
      <c r="I21" s="507" t="s">
        <v>708</v>
      </c>
      <c r="J21" s="321"/>
    </row>
    <row r="22" spans="1:10" s="312" customFormat="1" ht="24.6" customHeight="1">
      <c r="A22" s="338">
        <f t="shared" si="1"/>
        <v>10</v>
      </c>
      <c r="B22" s="344" t="s">
        <v>122</v>
      </c>
      <c r="C22" s="344" t="s">
        <v>123</v>
      </c>
      <c r="D22" s="342" t="s">
        <v>545</v>
      </c>
      <c r="E22" s="341" t="s">
        <v>546</v>
      </c>
      <c r="F22" s="406"/>
      <c r="G22" s="408"/>
      <c r="H22" s="410"/>
      <c r="I22" s="410"/>
      <c r="J22" s="321"/>
    </row>
    <row r="23" spans="1:10" s="312" customFormat="1" ht="24.6" customHeight="1">
      <c r="A23" s="338">
        <f t="shared" si="1"/>
        <v>11</v>
      </c>
      <c r="B23" s="344" t="s">
        <v>22</v>
      </c>
      <c r="C23" s="344" t="s">
        <v>142</v>
      </c>
      <c r="D23" s="342" t="s">
        <v>547</v>
      </c>
      <c r="E23" s="341" t="s">
        <v>546</v>
      </c>
      <c r="F23" s="406"/>
      <c r="G23" s="408"/>
      <c r="H23" s="410"/>
      <c r="I23" s="410"/>
      <c r="J23" s="321"/>
    </row>
    <row r="24" spans="1:10" s="312" customFormat="1" ht="24.6" customHeight="1">
      <c r="A24" s="338">
        <f t="shared" si="1"/>
        <v>12</v>
      </c>
      <c r="B24" s="340" t="s">
        <v>185</v>
      </c>
      <c r="C24" s="340" t="s">
        <v>54</v>
      </c>
      <c r="D24" s="345" t="s">
        <v>548</v>
      </c>
      <c r="E24" s="346" t="s">
        <v>546</v>
      </c>
      <c r="F24" s="406"/>
      <c r="G24" s="408"/>
      <c r="H24" s="410"/>
      <c r="I24" s="410"/>
      <c r="J24" s="321"/>
    </row>
    <row r="25" spans="1:10" s="312" customFormat="1" ht="24.6" customHeight="1">
      <c r="A25" s="338">
        <f t="shared" si="1"/>
        <v>13</v>
      </c>
      <c r="B25" s="344" t="s">
        <v>187</v>
      </c>
      <c r="C25" s="344" t="s">
        <v>188</v>
      </c>
      <c r="D25" s="342" t="s">
        <v>549</v>
      </c>
      <c r="E25" s="341" t="s">
        <v>546</v>
      </c>
      <c r="F25" s="406"/>
      <c r="G25" s="408"/>
      <c r="H25" s="410"/>
      <c r="I25" s="410"/>
      <c r="J25" s="321"/>
    </row>
    <row r="26" spans="1:10" s="312" customFormat="1" ht="24.6" customHeight="1" thickBot="1">
      <c r="A26" s="411">
        <f t="shared" si="1"/>
        <v>14</v>
      </c>
      <c r="B26" s="347" t="s">
        <v>42</v>
      </c>
      <c r="C26" s="347" t="s">
        <v>43</v>
      </c>
      <c r="D26" s="348" t="s">
        <v>550</v>
      </c>
      <c r="E26" s="349" t="s">
        <v>551</v>
      </c>
      <c r="F26" s="409">
        <v>45549</v>
      </c>
      <c r="G26" s="413" t="s">
        <v>55</v>
      </c>
      <c r="H26" s="412" t="s">
        <v>614</v>
      </c>
      <c r="I26" s="511" t="s">
        <v>708</v>
      </c>
      <c r="J26" s="321"/>
    </row>
    <row r="27" spans="1:10" ht="18">
      <c r="A27" s="313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44" customFormat="1" ht="28.8">
      <c r="A1" s="543" t="s">
        <v>406</v>
      </c>
      <c r="B1" s="543" t="s">
        <v>411</v>
      </c>
      <c r="C1" s="543" t="s">
        <v>414</v>
      </c>
      <c r="D1" s="543" t="s">
        <v>477</v>
      </c>
      <c r="E1" s="543" t="s">
        <v>718</v>
      </c>
      <c r="F1" s="543" t="s">
        <v>419</v>
      </c>
      <c r="G1" s="543" t="s">
        <v>413</v>
      </c>
      <c r="H1" s="543" t="s">
        <v>417</v>
      </c>
      <c r="I1" s="543" t="s">
        <v>421</v>
      </c>
      <c r="J1" s="543" t="s">
        <v>719</v>
      </c>
      <c r="K1" s="543" t="s">
        <v>720</v>
      </c>
    </row>
    <row r="2" spans="1:11" ht="43.2">
      <c r="A2" s="453" t="s">
        <v>722</v>
      </c>
      <c r="B2" s="539" t="s">
        <v>723</v>
      </c>
      <c r="C2" s="453" t="s">
        <v>721</v>
      </c>
      <c r="D2" s="538" t="s">
        <v>478</v>
      </c>
      <c r="E2" s="538" t="s">
        <v>416</v>
      </c>
      <c r="F2" s="453" t="s">
        <v>724</v>
      </c>
      <c r="G2" s="453" t="s">
        <v>814</v>
      </c>
      <c r="H2" s="453" t="s">
        <v>418</v>
      </c>
      <c r="I2" s="453" t="s">
        <v>422</v>
      </c>
      <c r="J2" s="453" t="s">
        <v>725</v>
      </c>
      <c r="K2" s="453" t="s">
        <v>726</v>
      </c>
    </row>
    <row r="3" spans="1:11" ht="28.8">
      <c r="A3" s="540"/>
      <c r="B3" s="540"/>
      <c r="C3" s="540"/>
      <c r="D3" s="540"/>
      <c r="E3" s="540"/>
      <c r="F3" s="540"/>
      <c r="G3" s="540"/>
      <c r="H3" s="540"/>
      <c r="I3" s="540"/>
      <c r="J3" s="541" t="s">
        <v>724</v>
      </c>
      <c r="K3" s="453" t="s">
        <v>727</v>
      </c>
    </row>
    <row r="4" spans="1:11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453" t="s">
        <v>728</v>
      </c>
    </row>
    <row r="5" spans="1:11">
      <c r="A5" s="540"/>
      <c r="B5" s="540"/>
      <c r="C5" s="540"/>
      <c r="D5" s="540"/>
      <c r="E5" s="540"/>
      <c r="F5" s="540"/>
      <c r="G5" s="540"/>
      <c r="H5" s="540"/>
      <c r="I5" s="540"/>
      <c r="J5" s="540"/>
      <c r="K5" s="453" t="s">
        <v>729</v>
      </c>
    </row>
    <row r="6" spans="1:11">
      <c r="A6" s="540"/>
      <c r="B6" s="540"/>
      <c r="C6" s="540"/>
      <c r="D6" s="540"/>
      <c r="E6" s="540"/>
      <c r="F6" s="540"/>
      <c r="G6" s="540"/>
      <c r="H6" s="540"/>
      <c r="I6" s="540"/>
      <c r="J6" s="540"/>
      <c r="K6" s="453" t="s">
        <v>730</v>
      </c>
    </row>
    <row r="7" spans="1:11">
      <c r="A7" s="540"/>
      <c r="B7" s="540"/>
      <c r="C7" s="540"/>
      <c r="D7" s="540"/>
      <c r="E7" s="540"/>
      <c r="F7" s="540"/>
      <c r="G7" s="540"/>
      <c r="H7" s="540"/>
      <c r="I7" s="540"/>
      <c r="J7" s="540"/>
      <c r="K7" s="453" t="s">
        <v>731</v>
      </c>
    </row>
    <row r="8" spans="1:11">
      <c r="A8" s="540"/>
      <c r="B8" s="540"/>
      <c r="C8" s="540"/>
      <c r="D8" s="540"/>
      <c r="E8" s="540"/>
      <c r="F8" s="540"/>
      <c r="G8" s="540"/>
      <c r="H8" s="540"/>
      <c r="I8" s="540"/>
      <c r="J8" s="540"/>
      <c r="K8" s="453" t="s">
        <v>732</v>
      </c>
    </row>
    <row r="9" spans="1:11">
      <c r="A9" s="540"/>
      <c r="B9" s="540"/>
      <c r="C9" s="540"/>
      <c r="D9" s="540"/>
      <c r="E9" s="540"/>
      <c r="F9" s="540"/>
      <c r="G9" s="540"/>
      <c r="H9" s="540"/>
      <c r="I9" s="540"/>
      <c r="J9" s="540"/>
      <c r="K9" s="453" t="s">
        <v>733</v>
      </c>
    </row>
    <row r="10" spans="1:11">
      <c r="A10" s="540"/>
      <c r="B10" s="540"/>
      <c r="C10" s="540"/>
      <c r="D10" s="540"/>
      <c r="E10" s="540"/>
      <c r="F10" s="540"/>
      <c r="G10" s="540"/>
      <c r="H10" s="540"/>
      <c r="I10" s="540"/>
      <c r="J10" s="540"/>
      <c r="K10" s="453" t="s">
        <v>734</v>
      </c>
    </row>
    <row r="11" spans="1:11">
      <c r="A11" s="540"/>
      <c r="B11" s="540"/>
      <c r="C11" s="540"/>
      <c r="D11" s="540"/>
      <c r="E11" s="540"/>
      <c r="F11" s="540"/>
      <c r="G11" s="540"/>
      <c r="H11" s="540"/>
      <c r="I11" s="540"/>
      <c r="J11" s="540"/>
      <c r="K11" s="453" t="s">
        <v>735</v>
      </c>
    </row>
    <row r="12" spans="1:11">
      <c r="A12" s="540"/>
      <c r="B12" s="540"/>
      <c r="C12" s="540"/>
      <c r="D12" s="540"/>
      <c r="E12" s="540"/>
      <c r="F12" s="540"/>
      <c r="G12" s="540"/>
      <c r="H12" s="540"/>
      <c r="I12" s="540"/>
      <c r="J12" s="540"/>
      <c r="K12" s="453" t="s">
        <v>736</v>
      </c>
    </row>
    <row r="13" spans="1:11">
      <c r="A13" s="540"/>
      <c r="B13" s="540"/>
      <c r="C13" s="540"/>
      <c r="D13" s="540"/>
      <c r="E13" s="540"/>
      <c r="F13" s="540"/>
      <c r="G13" s="540"/>
      <c r="H13" s="540"/>
      <c r="I13" s="540"/>
      <c r="J13" s="540"/>
      <c r="K13" s="540"/>
    </row>
    <row r="14" spans="1:11">
      <c r="A14" s="540"/>
      <c r="B14" s="540"/>
      <c r="C14" s="540"/>
      <c r="D14" s="540"/>
      <c r="E14" s="540"/>
      <c r="F14" s="540"/>
      <c r="G14" s="540"/>
      <c r="H14" s="540"/>
      <c r="I14" s="540"/>
      <c r="J14" s="540"/>
      <c r="K14" s="540"/>
    </row>
    <row r="15" spans="1:11">
      <c r="A15" s="542"/>
      <c r="B15" s="542"/>
      <c r="C15" s="542"/>
      <c r="D15" s="542"/>
      <c r="E15" s="542"/>
      <c r="F15" s="542"/>
      <c r="G15" s="542"/>
      <c r="H15" s="542"/>
      <c r="I15" s="542"/>
      <c r="J15" s="542"/>
      <c r="K15" s="542"/>
    </row>
    <row r="16" spans="1:11">
      <c r="A16" s="542"/>
      <c r="B16" s="542"/>
      <c r="C16" s="542"/>
      <c r="D16" s="542"/>
      <c r="E16" s="542"/>
      <c r="F16" s="542"/>
      <c r="G16" s="542"/>
      <c r="H16" s="542"/>
      <c r="I16" s="542"/>
      <c r="J16" s="542"/>
      <c r="K16" s="542"/>
    </row>
    <row r="17" spans="1:11">
      <c r="A17" s="542"/>
      <c r="B17" s="542"/>
      <c r="C17" s="542"/>
      <c r="D17" s="542"/>
      <c r="E17" s="542"/>
      <c r="F17" s="542"/>
      <c r="G17" s="542"/>
      <c r="H17" s="542"/>
      <c r="I17" s="542"/>
      <c r="J17" s="542"/>
      <c r="K17" s="542"/>
    </row>
    <row r="18" spans="1:11">
      <c r="A18" s="542"/>
      <c r="B18" s="542"/>
      <c r="C18" s="542"/>
      <c r="D18" s="542"/>
      <c r="E18" s="542"/>
      <c r="F18" s="542"/>
      <c r="G18" s="542"/>
      <c r="H18" s="542"/>
      <c r="I18" s="542"/>
      <c r="J18" s="542"/>
      <c r="K18" s="542"/>
    </row>
    <row r="19" spans="1:11">
      <c r="A19" s="542"/>
      <c r="B19" s="542"/>
      <c r="C19" s="542"/>
      <c r="D19" s="542"/>
      <c r="E19" s="542"/>
      <c r="F19" s="542"/>
      <c r="G19" s="542"/>
      <c r="H19" s="542"/>
      <c r="I19" s="542"/>
      <c r="J19" s="542"/>
      <c r="K19" s="542"/>
    </row>
    <row r="20" spans="1:11">
      <c r="A20" s="542"/>
      <c r="B20" s="542"/>
      <c r="C20" s="542"/>
      <c r="D20" s="542"/>
      <c r="E20" s="542"/>
      <c r="F20" s="542"/>
      <c r="G20" s="542"/>
      <c r="H20" s="542"/>
      <c r="I20" s="542"/>
      <c r="J20" s="542"/>
      <c r="K20" s="54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61" t="s">
        <v>234</v>
      </c>
      <c r="B6" s="861"/>
      <c r="C6" s="861"/>
      <c r="D6" s="861"/>
      <c r="E6" s="861"/>
      <c r="F6" s="861"/>
    </row>
    <row r="7" spans="1:27" ht="15" thickBot="1"/>
    <row r="8" spans="1:27" ht="15" customHeight="1">
      <c r="A8" s="862" t="s">
        <v>12</v>
      </c>
      <c r="B8" s="864" t="s">
        <v>13</v>
      </c>
      <c r="C8" s="866" t="s">
        <v>14</v>
      </c>
      <c r="D8" s="868" t="s">
        <v>15</v>
      </c>
    </row>
    <row r="9" spans="1:27" ht="15" thickBot="1">
      <c r="A9" s="863"/>
      <c r="B9" s="865"/>
      <c r="C9" s="867"/>
      <c r="D9" s="869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7">
        <v>249.63499999999999</v>
      </c>
      <c r="E10" s="70" t="s">
        <v>224</v>
      </c>
      <c r="F10" s="858"/>
      <c r="G10" s="858"/>
      <c r="H10" s="858"/>
      <c r="I10" s="858"/>
      <c r="J10" s="858"/>
      <c r="K10" s="859"/>
      <c r="L10" s="859"/>
      <c r="M10" s="859"/>
      <c r="N10" s="859"/>
      <c r="O10" s="859"/>
      <c r="P10" s="859"/>
      <c r="Q10" s="859"/>
      <c r="R10" s="859"/>
      <c r="S10" s="860"/>
    </row>
    <row r="11" spans="1:27" ht="19.2" customHeight="1">
      <c r="A11" s="1"/>
      <c r="B11" s="59"/>
      <c r="C11" s="200"/>
      <c r="D11" s="417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7">
        <v>425</v>
      </c>
      <c r="E12" s="365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8"/>
    </row>
    <row r="13" spans="1:27" ht="16.2" thickBot="1">
      <c r="A13" s="1"/>
      <c r="B13" s="59"/>
      <c r="C13" s="200"/>
      <c r="D13" s="417"/>
      <c r="E13" s="365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8"/>
      <c r="U13" s="6">
        <v>113</v>
      </c>
      <c r="V13" s="60" t="s">
        <v>54</v>
      </c>
      <c r="W13" s="281" t="s">
        <v>471</v>
      </c>
      <c r="Y13" s="200" t="s">
        <v>519</v>
      </c>
      <c r="Z13" s="200" t="s">
        <v>468</v>
      </c>
      <c r="AA13" s="350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7">
        <v>425</v>
      </c>
      <c r="E14" s="365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8"/>
      <c r="U14" s="6"/>
      <c r="V14" s="59"/>
      <c r="W14" s="59"/>
      <c r="Y14" s="200"/>
      <c r="Z14" s="200"/>
      <c r="AA14" s="350"/>
    </row>
    <row r="15" spans="1:27" ht="15.6">
      <c r="A15" s="1"/>
      <c r="B15" s="59"/>
      <c r="C15" s="200"/>
      <c r="D15" s="417"/>
      <c r="E15" s="365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8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50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7">
        <v>390</v>
      </c>
      <c r="E16" s="365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8"/>
      <c r="U16" s="6"/>
      <c r="V16" s="59"/>
      <c r="W16" s="59"/>
      <c r="Y16" s="200"/>
      <c r="Z16" s="200"/>
      <c r="AA16" s="350"/>
    </row>
    <row r="17" spans="1:27" ht="15.6">
      <c r="A17" s="1"/>
      <c r="B17" s="59"/>
      <c r="C17" s="200"/>
      <c r="D17" s="417"/>
      <c r="E17" s="365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8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50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7">
        <v>265</v>
      </c>
      <c r="E18" s="365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8"/>
      <c r="U18" s="6"/>
      <c r="V18" s="59"/>
      <c r="W18" s="59"/>
      <c r="Y18" s="200"/>
      <c r="Z18" s="200"/>
      <c r="AA18" s="350"/>
    </row>
    <row r="19" spans="1:27" ht="16.2" thickBot="1">
      <c r="A19" s="1"/>
      <c r="B19" s="59"/>
      <c r="C19" s="200"/>
      <c r="D19" s="417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50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7">
        <v>510</v>
      </c>
      <c r="U20" s="6"/>
      <c r="V20" s="59"/>
      <c r="W20" s="59"/>
      <c r="Y20" s="200"/>
      <c r="Z20" s="200"/>
      <c r="AA20" s="350"/>
    </row>
    <row r="21" spans="1:27" ht="15">
      <c r="A21" s="1"/>
      <c r="B21" s="59"/>
      <c r="C21" s="200"/>
      <c r="D21" s="417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50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7">
        <v>380</v>
      </c>
      <c r="U22" s="6"/>
      <c r="V22" s="59"/>
      <c r="W22" s="59"/>
      <c r="Y22" s="200"/>
      <c r="Z22" s="200"/>
      <c r="AA22" s="350"/>
    </row>
    <row r="23" spans="1:27" ht="15">
      <c r="A23" s="1"/>
      <c r="B23" s="59"/>
      <c r="C23" s="200"/>
      <c r="D23" s="417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50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7">
        <v>420</v>
      </c>
      <c r="U24" s="6"/>
      <c r="V24" s="59"/>
      <c r="W24" s="59"/>
      <c r="Y24" s="200"/>
      <c r="Z24" s="200"/>
      <c r="AA24" s="350"/>
    </row>
    <row r="25" spans="1:27" ht="15.6" thickBot="1">
      <c r="A25" s="1"/>
      <c r="B25" s="59"/>
      <c r="C25" s="200"/>
      <c r="D25" s="417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50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7">
        <v>335</v>
      </c>
      <c r="F26" s="858"/>
      <c r="G26" s="858"/>
      <c r="H26" s="858"/>
      <c r="I26" s="858"/>
      <c r="J26" s="858"/>
      <c r="K26" s="859"/>
      <c r="L26" s="859"/>
      <c r="M26" s="859"/>
      <c r="N26" s="859"/>
      <c r="O26" s="859"/>
      <c r="P26" s="859"/>
      <c r="Q26" s="859"/>
      <c r="R26" s="859"/>
      <c r="S26" s="860"/>
      <c r="U26" s="6"/>
      <c r="V26" s="59"/>
      <c r="W26" s="59"/>
      <c r="Y26" s="200"/>
      <c r="Z26" s="200"/>
      <c r="AA26" s="350"/>
    </row>
    <row r="27" spans="1:27" ht="15.6">
      <c r="A27" s="1"/>
      <c r="B27" s="59"/>
      <c r="C27" s="200"/>
      <c r="D27" s="417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50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7">
        <v>345</v>
      </c>
      <c r="E28" s="365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50"/>
    </row>
    <row r="29" spans="1:27" ht="15.6">
      <c r="A29" s="1"/>
      <c r="B29" s="59"/>
      <c r="C29" s="200"/>
      <c r="D29" s="417"/>
      <c r="E29" s="365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50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7">
        <v>365</v>
      </c>
      <c r="E30" s="365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50"/>
    </row>
    <row r="31" spans="1:27" ht="15.6">
      <c r="A31" s="1"/>
      <c r="B31" s="59"/>
      <c r="C31" s="200"/>
      <c r="D31" s="417"/>
      <c r="E31" s="365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50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7">
        <v>356</v>
      </c>
      <c r="E32" s="365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50"/>
    </row>
    <row r="33" spans="1:27" ht="15.6">
      <c r="A33" s="1"/>
      <c r="B33" s="59"/>
      <c r="C33" s="200"/>
      <c r="D33" s="417"/>
      <c r="E33" s="365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50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7">
        <v>332</v>
      </c>
      <c r="E34" s="365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50"/>
    </row>
    <row r="35" spans="1:27" ht="16.2" thickBot="1">
      <c r="A35" s="1"/>
      <c r="B35" s="59"/>
      <c r="C35" s="200"/>
      <c r="D35" s="417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50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7">
        <v>384.42399999999998</v>
      </c>
      <c r="U36" s="2"/>
      <c r="V36" s="2"/>
      <c r="Y36" s="200"/>
      <c r="Z36" s="200"/>
      <c r="AA36" s="350"/>
    </row>
    <row r="37" spans="1:27" ht="15">
      <c r="A37" s="1"/>
      <c r="B37" s="59"/>
      <c r="C37" s="59"/>
      <c r="D37" s="417"/>
      <c r="U37" s="2"/>
      <c r="V37" s="2"/>
      <c r="Y37" s="200" t="s">
        <v>562</v>
      </c>
      <c r="Z37" s="200" t="s">
        <v>563</v>
      </c>
      <c r="AA37" s="350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6">
        <v>385</v>
      </c>
      <c r="U38" s="2"/>
      <c r="V38" s="2"/>
    </row>
    <row r="39" spans="1:27" ht="18">
      <c r="A39" s="1"/>
      <c r="B39" s="59"/>
      <c r="C39" s="187"/>
      <c r="D39" s="416"/>
      <c r="U39" s="2"/>
      <c r="V39" s="2"/>
      <c r="Y39" s="351" t="s">
        <v>564</v>
      </c>
      <c r="Z39" s="352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6">
        <v>423</v>
      </c>
      <c r="U40" s="2"/>
      <c r="V40" s="2"/>
      <c r="Y40" s="353"/>
      <c r="Z40" s="354"/>
    </row>
    <row r="41" spans="1:27" ht="18">
      <c r="A41" s="1"/>
      <c r="B41" s="59"/>
      <c r="C41" s="187"/>
      <c r="D41" s="416"/>
      <c r="U41" s="2"/>
      <c r="V41" s="2"/>
      <c r="Y41" s="351" t="s">
        <v>566</v>
      </c>
      <c r="Z41" s="352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6">
        <v>382</v>
      </c>
    </row>
    <row r="43" spans="1:27" ht="15">
      <c r="A43" s="1"/>
      <c r="B43" s="59"/>
      <c r="C43" s="187"/>
      <c r="D43" s="416"/>
    </row>
    <row r="44" spans="1:27" ht="15">
      <c r="A44" s="1">
        <v>18</v>
      </c>
      <c r="B44" s="59" t="s">
        <v>18</v>
      </c>
      <c r="C44" s="187" t="s">
        <v>455</v>
      </c>
      <c r="D44" s="416">
        <v>405</v>
      </c>
    </row>
    <row r="45" spans="1:27" ht="15">
      <c r="A45" s="1"/>
      <c r="B45" s="59"/>
      <c r="C45" s="187"/>
      <c r="D45" s="416"/>
    </row>
    <row r="46" spans="1:27" ht="15">
      <c r="A46" s="1">
        <v>19</v>
      </c>
      <c r="B46" s="59" t="s">
        <v>129</v>
      </c>
      <c r="C46" s="187" t="s">
        <v>456</v>
      </c>
      <c r="D46" s="416">
        <v>388.45800000000003</v>
      </c>
    </row>
    <row r="47" spans="1:27" ht="15">
      <c r="A47" s="1"/>
      <c r="B47" s="59"/>
      <c r="C47" s="187"/>
      <c r="D47" s="416"/>
    </row>
    <row r="48" spans="1:27" ht="15">
      <c r="A48" s="1">
        <v>20</v>
      </c>
      <c r="B48" s="60" t="s">
        <v>26</v>
      </c>
      <c r="C48" s="187" t="s">
        <v>454</v>
      </c>
      <c r="D48" s="416">
        <v>405</v>
      </c>
    </row>
    <row r="49" spans="1:4" ht="15">
      <c r="A49" s="1"/>
      <c r="B49" s="59"/>
      <c r="C49" s="187"/>
      <c r="D49" s="416"/>
    </row>
    <row r="50" spans="1:4" ht="15">
      <c r="A50" s="1">
        <v>21</v>
      </c>
      <c r="B50" s="59" t="s">
        <v>130</v>
      </c>
      <c r="C50" s="187" t="s">
        <v>456</v>
      </c>
      <c r="D50" s="416">
        <v>360</v>
      </c>
    </row>
    <row r="51" spans="1:4" ht="15">
      <c r="A51" s="1"/>
      <c r="B51" s="59"/>
      <c r="C51" s="187"/>
      <c r="D51" s="416"/>
    </row>
    <row r="52" spans="1:4" ht="15">
      <c r="A52" s="1">
        <v>22</v>
      </c>
      <c r="B52" s="59" t="s">
        <v>131</v>
      </c>
      <c r="C52" s="187" t="s">
        <v>456</v>
      </c>
      <c r="D52" s="416">
        <v>390</v>
      </c>
    </row>
    <row r="53" spans="1:4" ht="15">
      <c r="A53" s="1"/>
      <c r="B53" s="59"/>
      <c r="C53" s="187"/>
      <c r="D53" s="416"/>
    </row>
    <row r="54" spans="1:4" ht="15">
      <c r="A54" s="1">
        <v>23</v>
      </c>
      <c r="B54" s="59" t="s">
        <v>132</v>
      </c>
      <c r="C54" s="187" t="s">
        <v>457</v>
      </c>
      <c r="D54" s="416">
        <v>325</v>
      </c>
    </row>
    <row r="55" spans="1:4" ht="15">
      <c r="A55" s="1"/>
      <c r="B55" s="59"/>
      <c r="C55" s="187"/>
      <c r="D55" s="416"/>
    </row>
    <row r="56" spans="1:4" ht="15">
      <c r="A56" s="1">
        <v>24</v>
      </c>
      <c r="B56" s="59" t="s">
        <v>133</v>
      </c>
      <c r="C56" s="187" t="s">
        <v>455</v>
      </c>
      <c r="D56" s="416">
        <v>430</v>
      </c>
    </row>
    <row r="57" spans="1:4" ht="15">
      <c r="A57" s="1"/>
      <c r="B57" s="59"/>
      <c r="C57" s="187"/>
      <c r="D57" s="416"/>
    </row>
    <row r="58" spans="1:4" ht="15">
      <c r="A58" s="1">
        <v>25</v>
      </c>
      <c r="B58" s="59" t="s">
        <v>134</v>
      </c>
      <c r="C58" s="187" t="s">
        <v>455</v>
      </c>
      <c r="D58" s="416">
        <v>298</v>
      </c>
    </row>
    <row r="59" spans="1:4" ht="15">
      <c r="A59" s="1"/>
      <c r="B59" s="59"/>
      <c r="C59" s="187"/>
      <c r="D59" s="416"/>
    </row>
    <row r="60" spans="1:4" ht="15">
      <c r="A60" s="1">
        <v>26</v>
      </c>
      <c r="B60" s="59" t="s">
        <v>135</v>
      </c>
      <c r="C60" s="187" t="s">
        <v>455</v>
      </c>
      <c r="D60" s="416">
        <v>422</v>
      </c>
    </row>
    <row r="61" spans="1:4" ht="15">
      <c r="A61" s="1"/>
      <c r="B61" s="59"/>
      <c r="C61" s="187"/>
      <c r="D61" s="416"/>
    </row>
    <row r="62" spans="1:4" ht="15">
      <c r="A62" s="1">
        <v>27</v>
      </c>
      <c r="B62" s="59" t="s">
        <v>136</v>
      </c>
      <c r="C62" s="187" t="s">
        <v>458</v>
      </c>
      <c r="D62" s="416">
        <v>345</v>
      </c>
    </row>
    <row r="63" spans="1:4" ht="15">
      <c r="A63" s="1"/>
      <c r="B63" s="59"/>
      <c r="C63" s="187"/>
      <c r="D63" s="416"/>
    </row>
    <row r="64" spans="1:4" ht="15">
      <c r="A64" s="1">
        <v>28</v>
      </c>
      <c r="B64" s="59" t="s">
        <v>137</v>
      </c>
      <c r="C64" s="187" t="s">
        <v>456</v>
      </c>
      <c r="D64" s="416">
        <v>370</v>
      </c>
    </row>
    <row r="65" spans="1:4" ht="15">
      <c r="A65" s="1"/>
      <c r="B65" s="59"/>
      <c r="C65" s="187"/>
      <c r="D65" s="416"/>
    </row>
    <row r="66" spans="1:4" ht="15">
      <c r="A66" s="1">
        <v>29</v>
      </c>
      <c r="B66" s="59" t="s">
        <v>138</v>
      </c>
      <c r="C66" s="187" t="s">
        <v>458</v>
      </c>
      <c r="D66" s="416">
        <v>320</v>
      </c>
    </row>
    <row r="67" spans="1:4" ht="15">
      <c r="A67" s="1"/>
      <c r="B67" s="59"/>
      <c r="C67" s="187"/>
      <c r="D67" s="416"/>
    </row>
    <row r="68" spans="1:4" ht="15">
      <c r="A68" s="1">
        <v>30</v>
      </c>
      <c r="B68" s="59" t="s">
        <v>139</v>
      </c>
      <c r="C68" s="187" t="s">
        <v>458</v>
      </c>
      <c r="D68" s="416">
        <v>390</v>
      </c>
    </row>
    <row r="69" spans="1:4" ht="15">
      <c r="A69" s="1"/>
      <c r="B69" s="59"/>
      <c r="C69" s="187"/>
      <c r="D69" s="416"/>
    </row>
    <row r="70" spans="1:4" ht="15">
      <c r="A70" s="1">
        <v>31</v>
      </c>
      <c r="B70" s="59" t="s">
        <v>140</v>
      </c>
      <c r="C70" s="187" t="s">
        <v>456</v>
      </c>
      <c r="D70" s="416">
        <v>425.02</v>
      </c>
    </row>
    <row r="71" spans="1:4" ht="15">
      <c r="A71" s="1"/>
      <c r="B71" s="59"/>
      <c r="C71" s="187"/>
      <c r="D71" s="416"/>
    </row>
    <row r="72" spans="1:4" ht="15">
      <c r="A72" s="1">
        <v>32</v>
      </c>
      <c r="B72" s="60" t="s">
        <v>27</v>
      </c>
      <c r="C72" s="187" t="s">
        <v>459</v>
      </c>
      <c r="D72" s="416">
        <v>480</v>
      </c>
    </row>
    <row r="73" spans="1:4" ht="15">
      <c r="A73" s="1"/>
      <c r="B73" s="59"/>
      <c r="C73" s="187"/>
      <c r="D73" s="416"/>
    </row>
    <row r="74" spans="1:4" ht="15">
      <c r="A74" s="1">
        <v>33</v>
      </c>
      <c r="B74" s="59" t="s">
        <v>19</v>
      </c>
      <c r="C74" s="187" t="s">
        <v>460</v>
      </c>
      <c r="D74" s="416">
        <v>297.315</v>
      </c>
    </row>
    <row r="75" spans="1:4" ht="15">
      <c r="A75" s="1"/>
      <c r="B75" s="59"/>
      <c r="C75" s="187"/>
      <c r="D75" s="416"/>
    </row>
    <row r="76" spans="1:4" ht="15">
      <c r="A76" s="1">
        <v>34</v>
      </c>
      <c r="B76" s="60" t="s">
        <v>28</v>
      </c>
      <c r="C76" s="187" t="s">
        <v>466</v>
      </c>
      <c r="D76" s="416">
        <v>417</v>
      </c>
    </row>
    <row r="77" spans="1:4" ht="15">
      <c r="A77" s="1"/>
      <c r="B77" s="59"/>
      <c r="C77" s="187"/>
      <c r="D77" s="416"/>
    </row>
    <row r="78" spans="1:4" ht="15">
      <c r="A78" s="1">
        <v>35</v>
      </c>
      <c r="B78" s="59" t="s">
        <v>20</v>
      </c>
      <c r="C78" s="187" t="s">
        <v>456</v>
      </c>
      <c r="D78" s="416">
        <v>409</v>
      </c>
    </row>
    <row r="79" spans="1:4" ht="15">
      <c r="A79" s="1"/>
      <c r="B79" s="59"/>
      <c r="C79" s="187"/>
      <c r="D79" s="416"/>
    </row>
    <row r="80" spans="1:4" ht="15">
      <c r="A80" s="1">
        <v>36</v>
      </c>
      <c r="B80" s="59" t="s">
        <v>21</v>
      </c>
      <c r="C80" s="187" t="s">
        <v>455</v>
      </c>
      <c r="D80" s="416">
        <v>432.78199999999998</v>
      </c>
    </row>
    <row r="81" spans="1:4" ht="15">
      <c r="A81" s="1"/>
      <c r="B81" s="59"/>
      <c r="C81" s="187"/>
      <c r="D81" s="416"/>
    </row>
    <row r="82" spans="1:4" ht="15">
      <c r="A82" s="414">
        <v>37</v>
      </c>
      <c r="B82" s="59" t="s">
        <v>22</v>
      </c>
      <c r="C82" s="187" t="s">
        <v>554</v>
      </c>
      <c r="D82" s="416">
        <v>469</v>
      </c>
    </row>
    <row r="83" spans="1:4" ht="15">
      <c r="A83" s="414"/>
      <c r="B83" s="59"/>
      <c r="C83" s="187"/>
      <c r="D83" s="416"/>
    </row>
    <row r="84" spans="1:4" ht="15">
      <c r="A84" s="414">
        <v>38</v>
      </c>
      <c r="B84" s="60" t="s">
        <v>142</v>
      </c>
      <c r="C84" s="187" t="s">
        <v>458</v>
      </c>
      <c r="D84" s="416">
        <v>387</v>
      </c>
    </row>
    <row r="85" spans="1:4" ht="15">
      <c r="A85" s="414"/>
      <c r="B85" s="59"/>
      <c r="C85" s="187"/>
      <c r="D85" s="416"/>
    </row>
    <row r="86" spans="1:4" ht="15">
      <c r="A86" s="414">
        <v>39</v>
      </c>
      <c r="B86" s="59" t="s">
        <v>615</v>
      </c>
      <c r="C86" s="187" t="s">
        <v>455</v>
      </c>
      <c r="D86" s="416">
        <v>428.87599999999998</v>
      </c>
    </row>
    <row r="87" spans="1:4" ht="15">
      <c r="A87" s="1"/>
      <c r="B87" s="59"/>
      <c r="C87" s="187"/>
      <c r="D87" s="416"/>
    </row>
    <row r="88" spans="1:4" ht="15">
      <c r="A88" s="1">
        <v>40</v>
      </c>
      <c r="B88" s="60" t="s">
        <v>29</v>
      </c>
      <c r="C88" s="187" t="s">
        <v>509</v>
      </c>
      <c r="D88" s="416">
        <v>248.03800000000001</v>
      </c>
    </row>
    <row r="89" spans="1:4" ht="15">
      <c r="A89" s="1"/>
      <c r="B89" s="59"/>
      <c r="C89" s="187"/>
      <c r="D89" s="416"/>
    </row>
    <row r="90" spans="1:4" ht="15">
      <c r="A90" s="1">
        <v>41</v>
      </c>
      <c r="B90" s="60" t="s">
        <v>30</v>
      </c>
      <c r="C90" s="187" t="s">
        <v>464</v>
      </c>
      <c r="D90" s="416">
        <v>430</v>
      </c>
    </row>
    <row r="91" spans="1:4" ht="15">
      <c r="A91" s="1"/>
      <c r="B91" s="59"/>
      <c r="C91" s="187"/>
      <c r="D91" s="416"/>
    </row>
    <row r="92" spans="1:4" ht="15">
      <c r="A92" s="1">
        <v>42</v>
      </c>
      <c r="B92" s="59" t="s">
        <v>2</v>
      </c>
      <c r="C92" s="187" t="s">
        <v>455</v>
      </c>
      <c r="D92" s="416">
        <v>400</v>
      </c>
    </row>
    <row r="93" spans="1:4" ht="15">
      <c r="A93" s="1"/>
      <c r="B93" s="59"/>
      <c r="C93" s="187"/>
      <c r="D93" s="416"/>
    </row>
    <row r="94" spans="1:4" ht="15">
      <c r="A94" s="1">
        <v>43</v>
      </c>
      <c r="B94" s="59" t="s">
        <v>49</v>
      </c>
      <c r="C94" s="187" t="s">
        <v>455</v>
      </c>
      <c r="D94" s="416">
        <v>410</v>
      </c>
    </row>
    <row r="95" spans="1:4" ht="15">
      <c r="A95" s="1"/>
      <c r="B95" s="59"/>
      <c r="C95" s="187"/>
      <c r="D95" s="416"/>
    </row>
    <row r="96" spans="1:4" ht="15">
      <c r="A96" s="1">
        <v>44</v>
      </c>
      <c r="B96" s="59" t="s">
        <v>50</v>
      </c>
      <c r="C96" s="187" t="s">
        <v>456</v>
      </c>
      <c r="D96" s="416">
        <v>435</v>
      </c>
    </row>
    <row r="97" spans="1:4" ht="15">
      <c r="A97" s="1"/>
      <c r="B97" s="59"/>
      <c r="C97" s="187"/>
      <c r="D97" s="416"/>
    </row>
    <row r="98" spans="1:4" ht="15">
      <c r="A98" s="1">
        <v>45</v>
      </c>
      <c r="B98" s="59" t="s">
        <v>143</v>
      </c>
      <c r="C98" s="187" t="s">
        <v>455</v>
      </c>
      <c r="D98" s="416">
        <v>360</v>
      </c>
    </row>
    <row r="99" spans="1:4" ht="15">
      <c r="A99" s="1"/>
      <c r="B99" s="59"/>
      <c r="C99" s="187"/>
      <c r="D99" s="416"/>
    </row>
    <row r="100" spans="1:4" ht="15">
      <c r="A100" s="1">
        <v>46</v>
      </c>
      <c r="B100" s="59" t="s">
        <v>144</v>
      </c>
      <c r="C100" s="187" t="s">
        <v>457</v>
      </c>
      <c r="D100" s="416">
        <v>391.45100000000002</v>
      </c>
    </row>
    <row r="101" spans="1:4" ht="15">
      <c r="A101" s="1"/>
      <c r="B101" s="59"/>
      <c r="C101" s="187"/>
      <c r="D101" s="416"/>
    </row>
    <row r="102" spans="1:4" ht="15">
      <c r="A102" s="1">
        <v>47</v>
      </c>
      <c r="B102" s="60" t="s">
        <v>31</v>
      </c>
      <c r="C102" s="187" t="s">
        <v>454</v>
      </c>
      <c r="D102" s="416">
        <v>380</v>
      </c>
    </row>
    <row r="103" spans="1:4" ht="15">
      <c r="A103" s="1"/>
      <c r="B103" s="59"/>
      <c r="C103" s="187"/>
      <c r="D103" s="416"/>
    </row>
    <row r="104" spans="1:4" ht="15">
      <c r="A104" s="1">
        <v>48</v>
      </c>
      <c r="B104" s="59" t="s">
        <v>145</v>
      </c>
      <c r="C104" s="187" t="s">
        <v>465</v>
      </c>
      <c r="D104" s="416">
        <v>475</v>
      </c>
    </row>
    <row r="105" spans="1:4" ht="15">
      <c r="A105" s="1"/>
      <c r="B105" s="59"/>
      <c r="C105" s="187"/>
      <c r="D105" s="416"/>
    </row>
    <row r="106" spans="1:4" ht="15">
      <c r="A106" s="1">
        <v>49</v>
      </c>
      <c r="B106" s="59" t="s">
        <v>146</v>
      </c>
      <c r="C106" s="187" t="s">
        <v>456</v>
      </c>
      <c r="D106" s="416">
        <v>380</v>
      </c>
    </row>
    <row r="107" spans="1:4" ht="15">
      <c r="A107" s="1"/>
      <c r="B107" s="59"/>
      <c r="C107" s="187"/>
      <c r="D107" s="416"/>
    </row>
    <row r="108" spans="1:4" ht="15">
      <c r="A108" s="1">
        <v>50</v>
      </c>
      <c r="B108" s="59" t="s">
        <v>147</v>
      </c>
      <c r="C108" s="187" t="s">
        <v>455</v>
      </c>
      <c r="D108" s="416">
        <v>390</v>
      </c>
    </row>
    <row r="109" spans="1:4" ht="15">
      <c r="A109" s="1"/>
      <c r="B109" s="59"/>
      <c r="C109" s="187"/>
      <c r="D109" s="416"/>
    </row>
    <row r="110" spans="1:4" ht="15">
      <c r="A110" s="1">
        <v>51</v>
      </c>
      <c r="B110" s="59" t="s">
        <v>148</v>
      </c>
      <c r="C110" s="187" t="s">
        <v>456</v>
      </c>
      <c r="D110" s="416">
        <v>465</v>
      </c>
    </row>
    <row r="111" spans="1:4" ht="15">
      <c r="A111" s="1"/>
      <c r="B111" s="59"/>
      <c r="C111" s="187"/>
      <c r="D111" s="416"/>
    </row>
    <row r="112" spans="1:4" ht="15">
      <c r="A112" s="1">
        <v>52</v>
      </c>
      <c r="B112" s="59" t="s">
        <v>149</v>
      </c>
      <c r="C112" s="187" t="s">
        <v>456</v>
      </c>
      <c r="D112" s="416">
        <v>383.20800000000003</v>
      </c>
    </row>
    <row r="113" spans="1:4" ht="15">
      <c r="A113" s="1"/>
      <c r="B113" s="59"/>
      <c r="C113" s="187"/>
      <c r="D113" s="416"/>
    </row>
    <row r="114" spans="1:4" ht="15">
      <c r="A114" s="1">
        <v>53</v>
      </c>
      <c r="B114" s="60" t="s">
        <v>32</v>
      </c>
      <c r="C114" s="187" t="s">
        <v>466</v>
      </c>
      <c r="D114" s="416">
        <v>380</v>
      </c>
    </row>
    <row r="115" spans="1:4" ht="15">
      <c r="A115" s="1"/>
      <c r="B115" s="59"/>
      <c r="C115" s="187"/>
      <c r="D115" s="416"/>
    </row>
    <row r="116" spans="1:4" ht="15">
      <c r="A116" s="1">
        <v>54</v>
      </c>
      <c r="B116" s="59" t="s">
        <v>51</v>
      </c>
      <c r="C116" s="187" t="s">
        <v>455</v>
      </c>
      <c r="D116" s="416">
        <v>348</v>
      </c>
    </row>
    <row r="117" spans="1:4" ht="15">
      <c r="A117" s="1"/>
      <c r="B117" s="59"/>
      <c r="C117" s="187"/>
      <c r="D117" s="416"/>
    </row>
    <row r="118" spans="1:4" ht="15">
      <c r="A118" s="1">
        <v>55</v>
      </c>
      <c r="B118" s="59" t="s">
        <v>52</v>
      </c>
      <c r="C118" s="187" t="s">
        <v>455</v>
      </c>
      <c r="D118" s="416">
        <v>377.78399999999999</v>
      </c>
    </row>
    <row r="119" spans="1:4" ht="15">
      <c r="A119" s="1"/>
      <c r="B119" s="59"/>
      <c r="C119" s="187"/>
      <c r="D119" s="416"/>
    </row>
    <row r="120" spans="1:4" ht="15">
      <c r="A120" s="1">
        <v>56</v>
      </c>
      <c r="B120" s="60" t="s">
        <v>33</v>
      </c>
      <c r="C120" s="187" t="s">
        <v>454</v>
      </c>
      <c r="D120" s="416">
        <v>410</v>
      </c>
    </row>
    <row r="121" spans="1:4" ht="15">
      <c r="A121" s="1"/>
      <c r="B121" s="59"/>
      <c r="C121" s="187"/>
      <c r="D121" s="416"/>
    </row>
    <row r="122" spans="1:4" ht="15">
      <c r="A122" s="1">
        <v>57</v>
      </c>
      <c r="B122" s="59" t="s">
        <v>150</v>
      </c>
      <c r="C122" s="187" t="s">
        <v>455</v>
      </c>
      <c r="D122" s="416">
        <v>380</v>
      </c>
    </row>
    <row r="123" spans="1:4" ht="15">
      <c r="A123" s="1"/>
      <c r="B123" s="59"/>
      <c r="C123" s="187"/>
      <c r="D123" s="416"/>
    </row>
    <row r="124" spans="1:4" ht="15">
      <c r="A124" s="1">
        <v>58</v>
      </c>
      <c r="B124" s="59" t="s">
        <v>151</v>
      </c>
      <c r="C124" s="187" t="s">
        <v>455</v>
      </c>
      <c r="D124" s="416">
        <v>325</v>
      </c>
    </row>
    <row r="125" spans="1:4" ht="15">
      <c r="A125" s="1"/>
      <c r="B125" s="59"/>
      <c r="C125" s="187"/>
      <c r="D125" s="416"/>
    </row>
    <row r="126" spans="1:4" ht="15">
      <c r="A126" s="1">
        <v>59</v>
      </c>
      <c r="B126" s="59" t="s">
        <v>152</v>
      </c>
      <c r="C126" s="187" t="s">
        <v>457</v>
      </c>
      <c r="D126" s="416">
        <v>329.8</v>
      </c>
    </row>
    <row r="127" spans="1:4" ht="15">
      <c r="A127" s="1"/>
      <c r="B127" s="59"/>
      <c r="C127" s="187"/>
      <c r="D127" s="416"/>
    </row>
    <row r="128" spans="1:4" ht="15">
      <c r="A128" s="1">
        <v>60</v>
      </c>
      <c r="B128" s="60" t="s">
        <v>34</v>
      </c>
      <c r="C128" s="187" t="s">
        <v>467</v>
      </c>
      <c r="D128" s="416">
        <v>385</v>
      </c>
    </row>
    <row r="129" spans="1:4" ht="15">
      <c r="A129" s="1"/>
      <c r="B129" s="59"/>
      <c r="C129" s="187"/>
      <c r="D129" s="416"/>
    </row>
    <row r="130" spans="1:4" ht="15">
      <c r="A130" s="1">
        <v>61</v>
      </c>
      <c r="B130" s="59" t="s">
        <v>153</v>
      </c>
      <c r="C130" s="187" t="s">
        <v>455</v>
      </c>
      <c r="D130" s="416">
        <v>312.55799999999999</v>
      </c>
    </row>
    <row r="131" spans="1:4" ht="15">
      <c r="A131" s="1"/>
      <c r="B131" s="59"/>
      <c r="C131" s="187"/>
      <c r="D131" s="416"/>
    </row>
    <row r="132" spans="1:4" ht="15">
      <c r="A132" s="1">
        <v>62</v>
      </c>
      <c r="B132" s="60" t="s">
        <v>35</v>
      </c>
      <c r="C132" s="187" t="s">
        <v>468</v>
      </c>
      <c r="D132" s="416">
        <v>242</v>
      </c>
    </row>
    <row r="133" spans="1:4" ht="15">
      <c r="A133" s="1"/>
      <c r="B133" s="59"/>
      <c r="C133" s="187"/>
      <c r="D133" s="416"/>
    </row>
    <row r="134" spans="1:4" ht="15">
      <c r="A134" s="1">
        <v>63</v>
      </c>
      <c r="B134" s="59" t="s">
        <v>4</v>
      </c>
      <c r="C134" s="187" t="s">
        <v>463</v>
      </c>
      <c r="D134" s="416">
        <v>464</v>
      </c>
    </row>
    <row r="135" spans="1:4" ht="15">
      <c r="A135" s="1"/>
      <c r="B135" s="59"/>
      <c r="C135" s="187"/>
      <c r="D135" s="416"/>
    </row>
    <row r="136" spans="1:4" ht="15">
      <c r="A136" s="1">
        <v>64</v>
      </c>
      <c r="B136" s="59" t="s">
        <v>5</v>
      </c>
      <c r="C136" s="188" t="s">
        <v>455</v>
      </c>
      <c r="D136" s="416">
        <v>391</v>
      </c>
    </row>
    <row r="137" spans="1:4" ht="15">
      <c r="A137" s="1"/>
      <c r="B137" s="59"/>
      <c r="C137" s="187"/>
      <c r="D137" s="416"/>
    </row>
    <row r="138" spans="1:4" ht="15">
      <c r="A138" s="1">
        <v>65</v>
      </c>
      <c r="B138" s="59" t="s">
        <v>154</v>
      </c>
      <c r="C138" s="187" t="s">
        <v>465</v>
      </c>
      <c r="D138" s="416">
        <v>417.51799999999997</v>
      </c>
    </row>
    <row r="139" spans="1:4" ht="15">
      <c r="A139" s="1"/>
      <c r="B139" s="59"/>
      <c r="C139" s="187"/>
      <c r="D139" s="417"/>
    </row>
    <row r="140" spans="1:4" ht="15">
      <c r="A140" s="1">
        <v>66</v>
      </c>
      <c r="B140" s="60" t="s">
        <v>36</v>
      </c>
      <c r="C140" s="189" t="s">
        <v>454</v>
      </c>
      <c r="D140" s="418">
        <v>315</v>
      </c>
    </row>
    <row r="141" spans="1:4">
      <c r="A141" s="1"/>
      <c r="B141" s="59"/>
      <c r="C141" s="59"/>
      <c r="D141" s="418"/>
    </row>
    <row r="142" spans="1:4" ht="15">
      <c r="A142" s="1">
        <v>67</v>
      </c>
      <c r="B142" s="59" t="s">
        <v>6</v>
      </c>
      <c r="C142" s="187" t="s">
        <v>457</v>
      </c>
      <c r="D142" s="418">
        <v>375</v>
      </c>
    </row>
    <row r="143" spans="1:4" ht="15">
      <c r="A143" s="1"/>
      <c r="B143" s="59"/>
      <c r="C143" s="187"/>
      <c r="D143" s="418"/>
    </row>
    <row r="144" spans="1:4" ht="15">
      <c r="A144" s="1">
        <v>68</v>
      </c>
      <c r="B144" s="59" t="s">
        <v>37</v>
      </c>
      <c r="C144" s="187" t="s">
        <v>455</v>
      </c>
      <c r="D144" s="418">
        <v>416</v>
      </c>
    </row>
    <row r="145" spans="1:4" ht="15">
      <c r="A145" s="1"/>
      <c r="B145" s="59"/>
      <c r="C145" s="187"/>
      <c r="D145" s="418"/>
    </row>
    <row r="146" spans="1:4" ht="15">
      <c r="A146" s="1">
        <v>69</v>
      </c>
      <c r="B146" s="59" t="s">
        <v>155</v>
      </c>
      <c r="C146" s="187" t="s">
        <v>455</v>
      </c>
      <c r="D146" s="418">
        <v>422</v>
      </c>
    </row>
    <row r="147" spans="1:4" ht="15">
      <c r="A147" s="1"/>
      <c r="B147" s="59"/>
      <c r="C147" s="187"/>
      <c r="D147" s="418"/>
    </row>
    <row r="148" spans="1:4" ht="15">
      <c r="A148" s="1">
        <v>70</v>
      </c>
      <c r="B148" s="59" t="s">
        <v>156</v>
      </c>
      <c r="C148" s="187" t="s">
        <v>455</v>
      </c>
      <c r="D148" s="418">
        <v>388</v>
      </c>
    </row>
    <row r="149" spans="1:4" ht="15">
      <c r="A149" s="1"/>
      <c r="B149" s="59"/>
      <c r="C149" s="187"/>
      <c r="D149" s="418"/>
    </row>
    <row r="150" spans="1:4" ht="15">
      <c r="A150" s="1">
        <v>71</v>
      </c>
      <c r="B150" s="59" t="s">
        <v>157</v>
      </c>
      <c r="C150" s="187" t="s">
        <v>465</v>
      </c>
      <c r="D150" s="418">
        <v>409</v>
      </c>
    </row>
    <row r="151" spans="1:4" ht="15">
      <c r="A151" s="1"/>
      <c r="B151" s="59"/>
      <c r="C151" s="187"/>
      <c r="D151" s="418"/>
    </row>
    <row r="152" spans="1:4" ht="15">
      <c r="A152" s="1">
        <v>72</v>
      </c>
      <c r="B152" s="59" t="s">
        <v>158</v>
      </c>
      <c r="C152" s="187" t="s">
        <v>455</v>
      </c>
      <c r="D152" s="418">
        <v>420</v>
      </c>
    </row>
    <row r="153" spans="1:4" ht="15">
      <c r="A153" s="1"/>
      <c r="B153" s="59"/>
      <c r="C153" s="187"/>
      <c r="D153" s="418"/>
    </row>
    <row r="154" spans="1:4" ht="15">
      <c r="A154" s="1">
        <v>73</v>
      </c>
      <c r="B154" s="59" t="s">
        <v>159</v>
      </c>
      <c r="C154" s="187" t="s">
        <v>454</v>
      </c>
      <c r="D154" s="418">
        <v>399</v>
      </c>
    </row>
    <row r="155" spans="1:4" ht="15">
      <c r="A155" s="1"/>
      <c r="B155" s="59"/>
      <c r="C155" s="187"/>
      <c r="D155" s="418"/>
    </row>
    <row r="156" spans="1:4" ht="15">
      <c r="A156" s="1">
        <v>74</v>
      </c>
      <c r="B156" s="59" t="s">
        <v>160</v>
      </c>
      <c r="C156" s="187" t="s">
        <v>456</v>
      </c>
      <c r="D156" s="418">
        <v>381</v>
      </c>
    </row>
    <row r="157" spans="1:4" ht="15">
      <c r="A157" s="1"/>
      <c r="B157" s="59"/>
      <c r="C157" s="187"/>
      <c r="D157" s="418"/>
    </row>
    <row r="158" spans="1:4" ht="15">
      <c r="A158" s="1">
        <v>75</v>
      </c>
      <c r="B158" s="59" t="s">
        <v>161</v>
      </c>
      <c r="C158" s="187" t="s">
        <v>455</v>
      </c>
      <c r="D158" s="418">
        <v>382</v>
      </c>
    </row>
    <row r="159" spans="1:4" ht="15">
      <c r="A159" s="1"/>
      <c r="B159" s="59"/>
      <c r="C159" s="187"/>
      <c r="D159" s="418"/>
    </row>
    <row r="160" spans="1:4" ht="15">
      <c r="A160" s="1">
        <v>76</v>
      </c>
      <c r="B160" s="59" t="s">
        <v>162</v>
      </c>
      <c r="C160" s="187" t="s">
        <v>455</v>
      </c>
      <c r="D160" s="418">
        <v>391</v>
      </c>
    </row>
    <row r="161" spans="1:4" ht="15">
      <c r="A161" s="1"/>
      <c r="B161" s="59"/>
      <c r="C161" s="187"/>
      <c r="D161" s="418"/>
    </row>
    <row r="162" spans="1:4" ht="15">
      <c r="A162" s="1">
        <v>77</v>
      </c>
      <c r="B162" s="59" t="s">
        <v>163</v>
      </c>
      <c r="C162" s="187" t="s">
        <v>508</v>
      </c>
      <c r="D162" s="418">
        <v>433</v>
      </c>
    </row>
    <row r="163" spans="1:4" ht="15">
      <c r="A163" s="1"/>
      <c r="B163" s="59"/>
      <c r="C163" s="187"/>
      <c r="D163" s="418"/>
    </row>
    <row r="164" spans="1:4" ht="15">
      <c r="A164" s="1">
        <v>78</v>
      </c>
      <c r="B164" s="59" t="s">
        <v>164</v>
      </c>
      <c r="C164" s="187" t="s">
        <v>455</v>
      </c>
      <c r="D164" s="418">
        <v>415</v>
      </c>
    </row>
    <row r="165" spans="1:4" ht="15">
      <c r="A165" s="1"/>
      <c r="B165" s="59"/>
      <c r="C165" s="187"/>
      <c r="D165" s="418"/>
    </row>
    <row r="166" spans="1:4" ht="15">
      <c r="A166" s="1">
        <v>79</v>
      </c>
      <c r="B166" s="59" t="s">
        <v>165</v>
      </c>
      <c r="C166" s="187" t="s">
        <v>455</v>
      </c>
      <c r="D166" s="418">
        <v>430</v>
      </c>
    </row>
    <row r="167" spans="1:4" ht="15">
      <c r="A167" s="1"/>
      <c r="B167" s="59"/>
      <c r="C167" s="187"/>
      <c r="D167" s="418"/>
    </row>
    <row r="168" spans="1:4" ht="15">
      <c r="A168" s="1">
        <v>80</v>
      </c>
      <c r="B168" s="59" t="s">
        <v>166</v>
      </c>
      <c r="C168" s="187" t="s">
        <v>455</v>
      </c>
      <c r="D168" s="418">
        <v>314</v>
      </c>
    </row>
    <row r="169" spans="1:4" ht="15">
      <c r="A169" s="1"/>
      <c r="B169" s="59"/>
      <c r="C169" s="187"/>
      <c r="D169" s="418"/>
    </row>
    <row r="170" spans="1:4" ht="15">
      <c r="A170" s="1">
        <v>81</v>
      </c>
      <c r="B170" s="59" t="s">
        <v>167</v>
      </c>
      <c r="C170" s="187" t="s">
        <v>458</v>
      </c>
      <c r="D170" s="418">
        <v>402.24900000000002</v>
      </c>
    </row>
    <row r="171" spans="1:4" ht="15">
      <c r="A171" s="1"/>
      <c r="B171" s="59"/>
      <c r="C171" s="187"/>
      <c r="D171" s="419"/>
    </row>
    <row r="172" spans="1:4" ht="15">
      <c r="A172" s="1">
        <v>82</v>
      </c>
      <c r="B172" s="60" t="s">
        <v>38</v>
      </c>
      <c r="C172" s="187" t="s">
        <v>469</v>
      </c>
      <c r="D172" s="419">
        <v>394</v>
      </c>
    </row>
    <row r="173" spans="1:4">
      <c r="A173" s="6"/>
      <c r="B173" s="59"/>
      <c r="C173" s="59"/>
      <c r="D173" s="419"/>
    </row>
    <row r="174" spans="1:4">
      <c r="A174" s="6">
        <f>A172+1</f>
        <v>83</v>
      </c>
      <c r="B174" s="59" t="s">
        <v>168</v>
      </c>
      <c r="C174" s="59" t="s">
        <v>456</v>
      </c>
      <c r="D174" s="419">
        <v>419.44499999999999</v>
      </c>
    </row>
    <row r="175" spans="1:4">
      <c r="A175" s="6"/>
      <c r="B175" s="59"/>
      <c r="C175" s="59"/>
      <c r="D175" s="419"/>
    </row>
    <row r="176" spans="1:4">
      <c r="A176" s="6">
        <f>A174+1</f>
        <v>84</v>
      </c>
      <c r="B176" s="60" t="s">
        <v>39</v>
      </c>
      <c r="C176" s="60" t="s">
        <v>473</v>
      </c>
      <c r="D176" s="419">
        <v>402</v>
      </c>
    </row>
    <row r="177" spans="1:18" ht="15">
      <c r="A177" s="6"/>
      <c r="B177" s="59"/>
      <c r="C177" s="59"/>
      <c r="D177" s="41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9">
        <v>426</v>
      </c>
      <c r="M178" s="3"/>
      <c r="N178" s="3"/>
      <c r="O178" s="3"/>
      <c r="P178" s="3"/>
      <c r="Q178" s="4"/>
      <c r="R178" s="4"/>
    </row>
    <row r="179" spans="1:18" ht="15">
      <c r="A179" s="415"/>
      <c r="B179" s="59"/>
      <c r="C179" s="59"/>
      <c r="D179" s="419"/>
      <c r="M179" s="3"/>
      <c r="N179" s="3"/>
      <c r="O179" s="3"/>
      <c r="P179" s="3"/>
      <c r="Q179" s="4"/>
      <c r="R179" s="4"/>
    </row>
    <row r="180" spans="1:18" ht="15">
      <c r="A180" s="415">
        <f>A178+1</f>
        <v>86</v>
      </c>
      <c r="B180" s="59" t="s">
        <v>40</v>
      </c>
      <c r="C180" s="59" t="s">
        <v>456</v>
      </c>
      <c r="D180" s="419">
        <v>429.05900000000003</v>
      </c>
      <c r="M180" s="3"/>
      <c r="N180" s="3"/>
      <c r="O180" s="3"/>
      <c r="P180" s="3"/>
      <c r="Q180" s="4"/>
      <c r="R180" s="4"/>
    </row>
    <row r="181" spans="1:18" ht="15">
      <c r="A181" s="415"/>
      <c r="B181" s="59"/>
      <c r="C181" s="59"/>
      <c r="D181" s="419"/>
      <c r="M181" s="3"/>
      <c r="N181" s="3"/>
      <c r="O181" s="3"/>
      <c r="P181" s="3"/>
      <c r="Q181" s="4"/>
      <c r="R181" s="4"/>
    </row>
    <row r="182" spans="1:18" ht="15">
      <c r="A182" s="415">
        <f>A180+1</f>
        <v>87</v>
      </c>
      <c r="B182" s="59" t="s">
        <v>620</v>
      </c>
      <c r="C182" s="59" t="s">
        <v>469</v>
      </c>
      <c r="D182" s="419">
        <v>336</v>
      </c>
      <c r="M182" s="3"/>
      <c r="N182" s="3"/>
      <c r="O182" s="3"/>
      <c r="P182" s="3"/>
      <c r="Q182" s="4"/>
      <c r="R182" s="4"/>
    </row>
    <row r="183" spans="1:18" ht="15">
      <c r="A183" s="415"/>
      <c r="B183" s="59"/>
      <c r="C183" s="59"/>
      <c r="D183" s="419"/>
      <c r="M183" s="3"/>
      <c r="N183" s="3"/>
      <c r="O183" s="3"/>
      <c r="P183" s="3"/>
      <c r="Q183" s="4"/>
      <c r="R183" s="4"/>
    </row>
    <row r="184" spans="1:18" ht="15">
      <c r="A184" s="415">
        <f>A182+1</f>
        <v>88</v>
      </c>
      <c r="B184" s="59" t="s">
        <v>616</v>
      </c>
      <c r="C184" s="59" t="s">
        <v>458</v>
      </c>
      <c r="D184" s="419">
        <v>441</v>
      </c>
      <c r="M184" s="3"/>
      <c r="N184" s="3"/>
      <c r="O184" s="3"/>
      <c r="P184" s="3"/>
      <c r="Q184" s="4"/>
      <c r="R184" s="4"/>
    </row>
    <row r="185" spans="1:18" ht="15">
      <c r="A185" s="415"/>
      <c r="B185" s="59"/>
      <c r="C185" s="59"/>
      <c r="D185" s="419"/>
      <c r="M185" s="3"/>
      <c r="N185" s="3"/>
      <c r="O185" s="3"/>
      <c r="P185" s="3"/>
      <c r="Q185" s="4"/>
      <c r="R185" s="4"/>
    </row>
    <row r="186" spans="1:18" ht="15">
      <c r="A186" s="415">
        <f>A184+1</f>
        <v>89</v>
      </c>
      <c r="B186" s="59" t="s">
        <v>617</v>
      </c>
      <c r="C186" s="59" t="s">
        <v>508</v>
      </c>
      <c r="D186" s="419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6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6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6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6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6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6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6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6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6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6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6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6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6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6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6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6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6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6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6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6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6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6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6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6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6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6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6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6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6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6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6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6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6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6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6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6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6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2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2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2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2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2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2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2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1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1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1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1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1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1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1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1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1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1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1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1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7" t="s">
        <v>556</v>
      </c>
      <c r="C246" s="200" t="s">
        <v>457</v>
      </c>
      <c r="D246" s="421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1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1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1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7" t="s">
        <v>558</v>
      </c>
      <c r="C250" s="200" t="s">
        <v>465</v>
      </c>
      <c r="D250" s="421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1"/>
      <c r="M251" s="3"/>
      <c r="N251" s="3"/>
      <c r="O251" s="3"/>
      <c r="P251" s="3"/>
      <c r="Q251" s="4"/>
      <c r="R251" s="4"/>
    </row>
    <row r="252" spans="1:18" ht="15">
      <c r="A252" s="358">
        <f>A250+1</f>
        <v>122</v>
      </c>
      <c r="B252" s="357" t="s">
        <v>559</v>
      </c>
      <c r="C252" s="200" t="s">
        <v>455</v>
      </c>
      <c r="D252" s="421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1"/>
      <c r="M253" s="3"/>
      <c r="N253" s="3"/>
      <c r="O253" s="3"/>
      <c r="P253" s="3"/>
      <c r="Q253" s="4"/>
      <c r="R253" s="4"/>
    </row>
    <row r="254" spans="1:18" ht="15">
      <c r="A254" s="358">
        <f>A252+1</f>
        <v>123</v>
      </c>
      <c r="B254" s="357" t="s">
        <v>560</v>
      </c>
      <c r="C254" s="200" t="s">
        <v>455</v>
      </c>
      <c r="D254" s="421">
        <v>357</v>
      </c>
    </row>
    <row r="255" spans="1:18" ht="15">
      <c r="A255" s="358"/>
      <c r="B255" s="200"/>
      <c r="C255" s="200"/>
      <c r="D255" s="421"/>
    </row>
    <row r="256" spans="1:18" ht="15">
      <c r="A256" s="358">
        <f>A254+1</f>
        <v>124</v>
      </c>
      <c r="B256" s="357" t="s">
        <v>561</v>
      </c>
      <c r="C256" s="200" t="s">
        <v>455</v>
      </c>
      <c r="D256" s="421">
        <v>372.20100000000002</v>
      </c>
    </row>
    <row r="257" spans="1:4" ht="15">
      <c r="A257" s="358"/>
      <c r="B257" s="200"/>
      <c r="C257" s="200"/>
      <c r="D257" s="421"/>
    </row>
    <row r="258" spans="1:4" ht="15">
      <c r="A258" s="358">
        <f>A256+1</f>
        <v>125</v>
      </c>
      <c r="B258" s="60" t="s">
        <v>567</v>
      </c>
      <c r="C258" s="200" t="s">
        <v>462</v>
      </c>
      <c r="D258" s="421">
        <v>358.08600000000001</v>
      </c>
    </row>
    <row r="259" spans="1:4">
      <c r="A259" s="358"/>
      <c r="B259" s="359"/>
      <c r="C259" s="359"/>
      <c r="D259" s="422"/>
    </row>
    <row r="260" spans="1:4" ht="18">
      <c r="A260" s="358">
        <f>A258+1</f>
        <v>126</v>
      </c>
      <c r="B260" s="60" t="s">
        <v>568</v>
      </c>
      <c r="C260" s="360" t="s">
        <v>511</v>
      </c>
      <c r="D260" s="421">
        <v>278.70400000000001</v>
      </c>
    </row>
    <row r="261" spans="1:4" ht="18">
      <c r="A261" s="358"/>
      <c r="B261" s="361"/>
      <c r="C261" s="362"/>
      <c r="D261" s="422"/>
    </row>
    <row r="262" spans="1:4" ht="18">
      <c r="A262" s="358">
        <f>A260+1</f>
        <v>127</v>
      </c>
      <c r="B262" s="60" t="s">
        <v>569</v>
      </c>
      <c r="C262" s="360" t="s">
        <v>511</v>
      </c>
      <c r="D262" s="421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61" t="s">
        <v>234</v>
      </c>
      <c r="B6" s="861"/>
      <c r="C6" s="861"/>
      <c r="D6" s="861"/>
      <c r="E6" s="861"/>
      <c r="F6" s="861"/>
    </row>
    <row r="7" spans="1:27" ht="15" thickBot="1"/>
    <row r="8" spans="1:27" ht="15" customHeight="1">
      <c r="A8" s="862" t="s">
        <v>12</v>
      </c>
      <c r="B8" s="864" t="s">
        <v>13</v>
      </c>
      <c r="C8" s="866" t="s">
        <v>14</v>
      </c>
      <c r="D8" s="868" t="s">
        <v>15</v>
      </c>
    </row>
    <row r="9" spans="1:27" ht="15" thickBot="1">
      <c r="A9" s="863"/>
      <c r="B9" s="865"/>
      <c r="C9" s="867"/>
      <c r="D9" s="869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8">
        <v>249.63499999999999</v>
      </c>
      <c r="E10" s="70" t="s">
        <v>224</v>
      </c>
      <c r="F10" s="870"/>
      <c r="G10" s="858"/>
      <c r="H10" s="858"/>
      <c r="I10" s="858"/>
      <c r="J10" s="858"/>
      <c r="K10" s="859"/>
      <c r="L10" s="859"/>
      <c r="M10" s="859"/>
      <c r="N10" s="859"/>
      <c r="O10" s="859"/>
      <c r="P10" s="859"/>
      <c r="Q10" s="859"/>
      <c r="R10" s="859"/>
      <c r="S10" s="860"/>
    </row>
    <row r="11" spans="1:27" ht="19.2" customHeight="1">
      <c r="A11" s="1"/>
      <c r="B11" s="59"/>
      <c r="C11" s="200"/>
      <c r="D11" s="278"/>
      <c r="F11" s="36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8">
        <v>425</v>
      </c>
      <c r="E12" s="365" t="s">
        <v>582</v>
      </c>
      <c r="F12" s="367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8">
        <f>S28-S12</f>
        <v>2</v>
      </c>
    </row>
    <row r="13" spans="1:27" ht="16.2" thickBot="1">
      <c r="A13" s="1"/>
      <c r="B13" s="59"/>
      <c r="C13" s="200"/>
      <c r="D13" s="278"/>
      <c r="E13" s="365" t="s">
        <v>583</v>
      </c>
      <c r="F13" s="367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8">
        <f t="shared" ref="T13:T18" si="1">S29-S13</f>
        <v>0</v>
      </c>
      <c r="U13" s="6">
        <v>113</v>
      </c>
      <c r="V13" s="60" t="s">
        <v>54</v>
      </c>
      <c r="W13" s="281" t="s">
        <v>471</v>
      </c>
      <c r="Y13" s="200" t="s">
        <v>519</v>
      </c>
      <c r="Z13" s="200" t="s">
        <v>468</v>
      </c>
      <c r="AA13" s="350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8">
        <v>425</v>
      </c>
      <c r="E14" s="365" t="s">
        <v>584</v>
      </c>
      <c r="F14" s="367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8">
        <f t="shared" si="1"/>
        <v>0</v>
      </c>
      <c r="U14" s="6"/>
      <c r="V14" s="59"/>
      <c r="W14" s="59"/>
      <c r="Y14" s="200"/>
      <c r="Z14" s="200"/>
      <c r="AA14" s="350"/>
    </row>
    <row r="15" spans="1:27" ht="15.6">
      <c r="A15" s="1"/>
      <c r="B15" s="59"/>
      <c r="C15" s="200"/>
      <c r="D15" s="278"/>
      <c r="E15" s="365" t="s">
        <v>585</v>
      </c>
      <c r="F15" s="367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8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50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8">
        <v>390</v>
      </c>
      <c r="E16" s="365" t="s">
        <v>586</v>
      </c>
      <c r="F16" s="367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8">
        <f t="shared" si="1"/>
        <v>1</v>
      </c>
      <c r="U16" s="6"/>
      <c r="V16" s="59"/>
      <c r="W16" s="59"/>
      <c r="Y16" s="200"/>
      <c r="Z16" s="200"/>
      <c r="AA16" s="350"/>
    </row>
    <row r="17" spans="1:27" ht="15.6">
      <c r="A17" s="1"/>
      <c r="B17" s="59"/>
      <c r="C17" s="200"/>
      <c r="D17" s="278"/>
      <c r="E17" s="365" t="s">
        <v>587</v>
      </c>
      <c r="F17" s="367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8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50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8">
        <v>265</v>
      </c>
      <c r="E18" s="365" t="s">
        <v>588</v>
      </c>
      <c r="F18" s="368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8">
        <f t="shared" si="1"/>
        <v>2</v>
      </c>
      <c r="U18" s="6"/>
      <c r="V18" s="59"/>
      <c r="W18" s="59"/>
      <c r="Y18" s="200"/>
      <c r="Z18" s="200"/>
      <c r="AA18" s="350"/>
    </row>
    <row r="19" spans="1:27" ht="16.2" thickBot="1">
      <c r="A19" s="1"/>
      <c r="B19" s="59"/>
      <c r="C19" s="200"/>
      <c r="D19" s="278"/>
      <c r="E19" s="365"/>
      <c r="F19" s="369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50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8">
        <v>510</v>
      </c>
      <c r="E20" s="365"/>
      <c r="U20" s="6"/>
      <c r="V20" s="59"/>
      <c r="W20" s="59"/>
      <c r="Y20" s="200"/>
      <c r="Z20" s="200"/>
      <c r="AA20" s="350"/>
    </row>
    <row r="21" spans="1:27" ht="15.6">
      <c r="A21" s="1"/>
      <c r="B21" s="59"/>
      <c r="C21" s="200"/>
      <c r="D21" s="278"/>
      <c r="E21" s="365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50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8">
        <v>380</v>
      </c>
      <c r="E22" s="365"/>
      <c r="U22" s="6"/>
      <c r="V22" s="59"/>
      <c r="W22" s="59"/>
      <c r="Y22" s="200"/>
      <c r="Z22" s="200"/>
      <c r="AA22" s="350"/>
    </row>
    <row r="23" spans="1:27" ht="15.6">
      <c r="A23" s="1"/>
      <c r="B23" s="59"/>
      <c r="C23" s="200"/>
      <c r="D23" s="278"/>
      <c r="E23" s="365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50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8">
        <v>420</v>
      </c>
      <c r="E24" s="365"/>
      <c r="U24" s="6"/>
      <c r="V24" s="59"/>
      <c r="W24" s="59"/>
      <c r="Y24" s="200"/>
      <c r="Z24" s="200"/>
      <c r="AA24" s="350"/>
    </row>
    <row r="25" spans="1:27" ht="16.2" thickBot="1">
      <c r="A25" s="1"/>
      <c r="B25" s="59"/>
      <c r="C25" s="200"/>
      <c r="D25" s="278"/>
      <c r="E25" s="365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50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8">
        <v>335</v>
      </c>
      <c r="E26" s="365"/>
      <c r="F26" s="858"/>
      <c r="G26" s="858"/>
      <c r="H26" s="858"/>
      <c r="I26" s="858"/>
      <c r="J26" s="858"/>
      <c r="K26" s="859"/>
      <c r="L26" s="859"/>
      <c r="M26" s="859"/>
      <c r="N26" s="859"/>
      <c r="O26" s="859"/>
      <c r="P26" s="859"/>
      <c r="Q26" s="859"/>
      <c r="R26" s="859"/>
      <c r="S26" s="860"/>
      <c r="U26" s="6"/>
      <c r="V26" s="59"/>
      <c r="W26" s="59"/>
      <c r="Y26" s="200"/>
      <c r="Z26" s="200"/>
      <c r="AA26" s="350"/>
    </row>
    <row r="27" spans="1:27" ht="15.6">
      <c r="A27" s="1"/>
      <c r="B27" s="59"/>
      <c r="C27" s="200"/>
      <c r="D27" s="278"/>
      <c r="E27" s="365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50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8">
        <v>345</v>
      </c>
      <c r="E28" s="365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50"/>
    </row>
    <row r="29" spans="1:27" ht="15.6">
      <c r="A29" s="1"/>
      <c r="B29" s="59"/>
      <c r="C29" s="200"/>
      <c r="D29" s="278"/>
      <c r="E29" s="365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50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8">
        <v>365</v>
      </c>
      <c r="E30" s="365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50"/>
    </row>
    <row r="31" spans="1:27" ht="15.6">
      <c r="A31" s="1"/>
      <c r="B31" s="59"/>
      <c r="C31" s="200"/>
      <c r="D31" s="278"/>
      <c r="E31" s="365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50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8">
        <v>356</v>
      </c>
      <c r="E32" s="365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50"/>
    </row>
    <row r="33" spans="1:27" ht="15.6">
      <c r="A33" s="1"/>
      <c r="B33" s="59"/>
      <c r="C33" s="200"/>
      <c r="D33" s="278"/>
      <c r="E33" s="365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50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8">
        <v>332</v>
      </c>
      <c r="E34" s="365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50"/>
    </row>
    <row r="35" spans="1:27" ht="16.2" thickBot="1">
      <c r="A35" s="1"/>
      <c r="B35" s="59"/>
      <c r="C35" s="200"/>
      <c r="D35" s="278"/>
      <c r="E35" s="365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50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8">
        <v>384.42399999999998</v>
      </c>
      <c r="E36" s="365"/>
      <c r="U36" s="2"/>
      <c r="V36" s="2"/>
      <c r="Y36" s="200"/>
      <c r="Z36" s="200"/>
      <c r="AA36" s="350"/>
    </row>
    <row r="37" spans="1:27" ht="15.6">
      <c r="A37" s="1"/>
      <c r="B37" s="59"/>
      <c r="C37" s="59"/>
      <c r="D37" s="278"/>
      <c r="E37" s="365"/>
      <c r="U37" s="2"/>
      <c r="V37" s="2"/>
      <c r="Y37" s="200" t="s">
        <v>562</v>
      </c>
      <c r="Z37" s="200" t="s">
        <v>563</v>
      </c>
      <c r="AA37" s="350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9">
        <v>385</v>
      </c>
      <c r="E38" s="365"/>
      <c r="U38" s="2"/>
      <c r="V38" s="2"/>
    </row>
    <row r="39" spans="1:27" ht="18">
      <c r="A39" s="1"/>
      <c r="B39" s="59"/>
      <c r="C39" s="187"/>
      <c r="D39" s="279"/>
      <c r="E39" s="365"/>
      <c r="U39" s="2"/>
      <c r="V39" s="2"/>
      <c r="Y39" s="351" t="s">
        <v>564</v>
      </c>
      <c r="Z39" s="352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5"/>
      <c r="U40" s="2"/>
      <c r="V40" s="2"/>
      <c r="Y40" s="353"/>
      <c r="Z40" s="354"/>
    </row>
    <row r="41" spans="1:27" ht="18">
      <c r="A41" s="1"/>
      <c r="B41" s="59"/>
      <c r="C41" s="187"/>
      <c r="D41" s="197"/>
      <c r="E41" s="365"/>
      <c r="U41" s="2"/>
      <c r="V41" s="2"/>
      <c r="Y41" s="351" t="s">
        <v>566</v>
      </c>
      <c r="Z41" s="352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5"/>
    </row>
    <row r="43" spans="1:27" ht="15.6">
      <c r="A43" s="1"/>
      <c r="B43" s="59"/>
      <c r="C43" s="187"/>
      <c r="D43" s="197"/>
      <c r="E43" s="365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5"/>
    </row>
    <row r="45" spans="1:27" ht="15.6">
      <c r="A45" s="1"/>
      <c r="B45" s="59"/>
      <c r="C45" s="187"/>
      <c r="D45" s="197"/>
      <c r="E45" s="365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5"/>
    </row>
    <row r="47" spans="1:27" ht="15.6">
      <c r="A47" s="1"/>
      <c r="B47" s="59"/>
      <c r="C47" s="187"/>
      <c r="D47" s="197"/>
      <c r="E47" s="365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5"/>
    </row>
    <row r="49" spans="1:5" ht="15.6">
      <c r="A49" s="1"/>
      <c r="B49" s="59"/>
      <c r="C49" s="187"/>
      <c r="D49" s="197"/>
      <c r="E49" s="365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5"/>
    </row>
    <row r="51" spans="1:5" ht="15.6">
      <c r="A51" s="1"/>
      <c r="B51" s="59"/>
      <c r="C51" s="187"/>
      <c r="D51" s="197"/>
      <c r="E51" s="365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5"/>
    </row>
    <row r="53" spans="1:5" ht="15.6">
      <c r="A53" s="1"/>
      <c r="B53" s="59"/>
      <c r="C53" s="187"/>
      <c r="D53" s="197"/>
      <c r="E53" s="365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5"/>
    </row>
    <row r="55" spans="1:5" ht="15.6">
      <c r="A55" s="1"/>
      <c r="B55" s="59"/>
      <c r="C55" s="187"/>
      <c r="D55" s="197"/>
      <c r="E55" s="365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5"/>
    </row>
    <row r="57" spans="1:5" ht="15.6">
      <c r="A57" s="1"/>
      <c r="B57" s="59"/>
      <c r="C57" s="187"/>
      <c r="D57" s="197"/>
      <c r="E57" s="365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5"/>
    </row>
    <row r="59" spans="1:5" ht="15.6">
      <c r="A59" s="1"/>
      <c r="B59" s="59"/>
      <c r="C59" s="187"/>
      <c r="D59" s="197"/>
      <c r="E59" s="365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5"/>
    </row>
    <row r="61" spans="1:5" ht="15.6">
      <c r="A61" s="1"/>
      <c r="B61" s="59"/>
      <c r="C61" s="187"/>
      <c r="D61" s="197"/>
      <c r="E61" s="365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5"/>
    </row>
    <row r="63" spans="1:5" ht="15.6">
      <c r="A63" s="1"/>
      <c r="B63" s="59"/>
      <c r="C63" s="187"/>
      <c r="D63" s="197"/>
      <c r="E63" s="365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5"/>
    </row>
    <row r="65" spans="1:5" ht="15.6">
      <c r="A65" s="1"/>
      <c r="B65" s="59"/>
      <c r="C65" s="187"/>
      <c r="D65" s="197"/>
      <c r="E65" s="365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5"/>
    </row>
    <row r="67" spans="1:5" ht="15.6">
      <c r="A67" s="1"/>
      <c r="B67" s="59"/>
      <c r="C67" s="187"/>
      <c r="D67" s="197"/>
      <c r="E67" s="365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5"/>
    </row>
    <row r="69" spans="1:5" ht="15.6">
      <c r="A69" s="1"/>
      <c r="B69" s="59"/>
      <c r="C69" s="187"/>
      <c r="D69" s="197"/>
      <c r="E69" s="365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5"/>
    </row>
    <row r="71" spans="1:5" ht="15.6">
      <c r="A71" s="1"/>
      <c r="B71" s="59"/>
      <c r="C71" s="187"/>
      <c r="D71" s="197"/>
      <c r="E71" s="365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5"/>
    </row>
    <row r="73" spans="1:5" ht="15.6">
      <c r="A73" s="1"/>
      <c r="B73" s="59"/>
      <c r="C73" s="187"/>
      <c r="D73" s="197"/>
      <c r="E73" s="365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5"/>
    </row>
    <row r="75" spans="1:5" ht="15.6">
      <c r="A75" s="1"/>
      <c r="B75" s="59"/>
      <c r="C75" s="187"/>
      <c r="D75" s="197"/>
      <c r="E75" s="365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5"/>
    </row>
    <row r="77" spans="1:5" ht="15.6">
      <c r="A77" s="1"/>
      <c r="B77" s="59"/>
      <c r="C77" s="187"/>
      <c r="D77" s="197"/>
      <c r="E77" s="365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5"/>
    </row>
    <row r="79" spans="1:5" ht="15.6">
      <c r="A79" s="1"/>
      <c r="B79" s="59"/>
      <c r="C79" s="187"/>
      <c r="D79" s="197"/>
      <c r="E79" s="365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5"/>
    </row>
    <row r="81" spans="1:5" ht="15.6">
      <c r="A81" s="1"/>
      <c r="B81" s="59"/>
      <c r="C81" s="187"/>
      <c r="D81" s="197"/>
      <c r="E81" s="365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5"/>
    </row>
    <row r="83" spans="1:5" ht="15.6">
      <c r="A83" s="1"/>
      <c r="B83" s="59"/>
      <c r="C83" s="187"/>
      <c r="D83" s="197"/>
      <c r="E83" s="365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5"/>
    </row>
    <row r="85" spans="1:5" ht="15.6">
      <c r="A85" s="1"/>
      <c r="B85" s="59"/>
      <c r="C85" s="187"/>
      <c r="D85" s="197"/>
      <c r="E85" s="365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5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3">
        <v>315</v>
      </c>
    </row>
    <row r="141" spans="1:4">
      <c r="A141" s="1"/>
      <c r="B141" s="59"/>
      <c r="C141" s="59"/>
      <c r="D141" s="283"/>
    </row>
    <row r="142" spans="1:4" ht="15">
      <c r="A142" s="1">
        <v>67</v>
      </c>
      <c r="B142" s="59" t="s">
        <v>6</v>
      </c>
      <c r="C142" s="187" t="s">
        <v>457</v>
      </c>
      <c r="D142" s="283">
        <v>375</v>
      </c>
    </row>
    <row r="143" spans="1:4" ht="15">
      <c r="A143" s="1"/>
      <c r="B143" s="59"/>
      <c r="C143" s="187"/>
      <c r="D143" s="283"/>
    </row>
    <row r="144" spans="1:4" ht="15">
      <c r="A144" s="1">
        <v>68</v>
      </c>
      <c r="B144" s="59" t="s">
        <v>37</v>
      </c>
      <c r="C144" s="187" t="s">
        <v>455</v>
      </c>
      <c r="D144" s="283">
        <v>416</v>
      </c>
    </row>
    <row r="145" spans="1:4" ht="15">
      <c r="A145" s="1"/>
      <c r="B145" s="59"/>
      <c r="C145" s="187"/>
      <c r="D145" s="283"/>
    </row>
    <row r="146" spans="1:4" ht="15">
      <c r="A146" s="1">
        <v>69</v>
      </c>
      <c r="B146" s="59" t="s">
        <v>155</v>
      </c>
      <c r="C146" s="187" t="s">
        <v>455</v>
      </c>
      <c r="D146" s="283">
        <v>422</v>
      </c>
    </row>
    <row r="147" spans="1:4" ht="15">
      <c r="A147" s="1"/>
      <c r="B147" s="59"/>
      <c r="C147" s="187"/>
      <c r="D147" s="283"/>
    </row>
    <row r="148" spans="1:4" ht="15">
      <c r="A148" s="1">
        <v>70</v>
      </c>
      <c r="B148" s="59" t="s">
        <v>156</v>
      </c>
      <c r="C148" s="187" t="s">
        <v>455</v>
      </c>
      <c r="D148" s="283">
        <v>388</v>
      </c>
    </row>
    <row r="149" spans="1:4" ht="15">
      <c r="A149" s="1"/>
      <c r="B149" s="59"/>
      <c r="C149" s="187"/>
      <c r="D149" s="283"/>
    </row>
    <row r="150" spans="1:4" ht="15">
      <c r="A150" s="1">
        <v>71</v>
      </c>
      <c r="B150" s="59" t="s">
        <v>157</v>
      </c>
      <c r="C150" s="187" t="s">
        <v>465</v>
      </c>
      <c r="D150" s="283">
        <v>409</v>
      </c>
    </row>
    <row r="151" spans="1:4" ht="15">
      <c r="A151" s="1"/>
      <c r="B151" s="59"/>
      <c r="C151" s="187"/>
      <c r="D151" s="283"/>
    </row>
    <row r="152" spans="1:4" ht="15">
      <c r="A152" s="1">
        <v>72</v>
      </c>
      <c r="B152" s="59" t="s">
        <v>158</v>
      </c>
      <c r="C152" s="187" t="s">
        <v>455</v>
      </c>
      <c r="D152" s="283">
        <v>420</v>
      </c>
    </row>
    <row r="153" spans="1:4" ht="15">
      <c r="A153" s="1"/>
      <c r="B153" s="59"/>
      <c r="C153" s="187"/>
      <c r="D153" s="283"/>
    </row>
    <row r="154" spans="1:4" ht="15">
      <c r="A154" s="1">
        <v>73</v>
      </c>
      <c r="B154" s="59" t="s">
        <v>159</v>
      </c>
      <c r="C154" s="187" t="s">
        <v>454</v>
      </c>
      <c r="D154" s="283">
        <v>399</v>
      </c>
    </row>
    <row r="155" spans="1:4" ht="15">
      <c r="A155" s="1"/>
      <c r="B155" s="59"/>
      <c r="C155" s="187"/>
      <c r="D155" s="283"/>
    </row>
    <row r="156" spans="1:4" ht="15">
      <c r="A156" s="1">
        <v>74</v>
      </c>
      <c r="B156" s="59" t="s">
        <v>160</v>
      </c>
      <c r="C156" s="187" t="s">
        <v>456</v>
      </c>
      <c r="D156" s="283">
        <v>381</v>
      </c>
    </row>
    <row r="157" spans="1:4" ht="15">
      <c r="A157" s="1"/>
      <c r="B157" s="59"/>
      <c r="C157" s="187"/>
      <c r="D157" s="283"/>
    </row>
    <row r="158" spans="1:4" ht="15">
      <c r="A158" s="1">
        <v>75</v>
      </c>
      <c r="B158" s="59" t="s">
        <v>161</v>
      </c>
      <c r="C158" s="187" t="s">
        <v>455</v>
      </c>
      <c r="D158" s="283">
        <v>382</v>
      </c>
    </row>
    <row r="159" spans="1:4" ht="15">
      <c r="A159" s="1"/>
      <c r="B159" s="59"/>
      <c r="C159" s="187"/>
      <c r="D159" s="283"/>
    </row>
    <row r="160" spans="1:4" ht="15">
      <c r="A160" s="1">
        <v>76</v>
      </c>
      <c r="B160" s="59" t="s">
        <v>162</v>
      </c>
      <c r="C160" s="187" t="s">
        <v>455</v>
      </c>
      <c r="D160" s="283">
        <v>391</v>
      </c>
    </row>
    <row r="161" spans="1:4" ht="15">
      <c r="A161" s="1"/>
      <c r="B161" s="59"/>
      <c r="C161" s="187"/>
      <c r="D161" s="283"/>
    </row>
    <row r="162" spans="1:4" ht="15">
      <c r="A162" s="1">
        <v>77</v>
      </c>
      <c r="B162" s="59" t="s">
        <v>163</v>
      </c>
      <c r="C162" s="187" t="s">
        <v>508</v>
      </c>
      <c r="D162" s="283">
        <v>433</v>
      </c>
    </row>
    <row r="163" spans="1:4" ht="15">
      <c r="A163" s="1"/>
      <c r="B163" s="59"/>
      <c r="C163" s="187"/>
      <c r="D163" s="283"/>
    </row>
    <row r="164" spans="1:4" ht="15">
      <c r="A164" s="1">
        <v>78</v>
      </c>
      <c r="B164" s="59" t="s">
        <v>164</v>
      </c>
      <c r="C164" s="187" t="s">
        <v>455</v>
      </c>
      <c r="D164" s="283">
        <v>415</v>
      </c>
    </row>
    <row r="165" spans="1:4" ht="15">
      <c r="A165" s="1"/>
      <c r="B165" s="59"/>
      <c r="C165" s="187"/>
      <c r="D165" s="283"/>
    </row>
    <row r="166" spans="1:4" ht="15">
      <c r="A166" s="1">
        <v>79</v>
      </c>
      <c r="B166" s="59" t="s">
        <v>165</v>
      </c>
      <c r="C166" s="187" t="s">
        <v>455</v>
      </c>
      <c r="D166" s="283">
        <v>430</v>
      </c>
    </row>
    <row r="167" spans="1:4" ht="15">
      <c r="A167" s="1"/>
      <c r="B167" s="59"/>
      <c r="C167" s="187"/>
      <c r="D167" s="283"/>
    </row>
    <row r="168" spans="1:4" ht="15">
      <c r="A168" s="1">
        <v>80</v>
      </c>
      <c r="B168" s="59" t="s">
        <v>166</v>
      </c>
      <c r="C168" s="187" t="s">
        <v>455</v>
      </c>
      <c r="D168" s="283">
        <v>314</v>
      </c>
    </row>
    <row r="169" spans="1:4" ht="15">
      <c r="A169" s="1"/>
      <c r="B169" s="59"/>
      <c r="C169" s="187"/>
      <c r="D169" s="283"/>
    </row>
    <row r="170" spans="1:4" ht="15">
      <c r="A170" s="1">
        <v>81</v>
      </c>
      <c r="B170" s="59" t="s">
        <v>167</v>
      </c>
      <c r="C170" s="187" t="s">
        <v>458</v>
      </c>
      <c r="D170" s="283">
        <v>402.24900000000002</v>
      </c>
    </row>
    <row r="171" spans="1:4" ht="15">
      <c r="A171" s="1"/>
      <c r="B171" s="59"/>
      <c r="C171" s="187"/>
      <c r="D171" s="280"/>
    </row>
    <row r="172" spans="1:4" ht="15">
      <c r="A172" s="1">
        <v>82</v>
      </c>
      <c r="B172" s="60" t="s">
        <v>38</v>
      </c>
      <c r="C172" s="187" t="s">
        <v>469</v>
      </c>
      <c r="D172" s="280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2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2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2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2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2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2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2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5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5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5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5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5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5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5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5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5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5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5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5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7" t="s">
        <v>556</v>
      </c>
      <c r="C246" s="200" t="s">
        <v>457</v>
      </c>
      <c r="D246" s="35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5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5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5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7" t="s">
        <v>558</v>
      </c>
      <c r="C250" s="200" t="s">
        <v>465</v>
      </c>
      <c r="D250" s="35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50"/>
      <c r="M251" s="3"/>
      <c r="N251" s="3"/>
      <c r="O251" s="3"/>
      <c r="P251" s="3"/>
      <c r="Q251" s="4"/>
      <c r="R251" s="4"/>
    </row>
    <row r="252" spans="1:18" ht="15">
      <c r="A252" s="358">
        <f>A250+1</f>
        <v>122</v>
      </c>
      <c r="B252" s="357" t="s">
        <v>559</v>
      </c>
      <c r="C252" s="200" t="s">
        <v>455</v>
      </c>
      <c r="D252" s="35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50"/>
      <c r="M253" s="3"/>
      <c r="N253" s="3"/>
      <c r="O253" s="3"/>
      <c r="P253" s="3"/>
      <c r="Q253" s="4"/>
      <c r="R253" s="4"/>
    </row>
    <row r="254" spans="1:18" ht="15">
      <c r="A254" s="358">
        <f>A252+1</f>
        <v>123</v>
      </c>
      <c r="B254" s="357" t="s">
        <v>560</v>
      </c>
      <c r="C254" s="200" t="s">
        <v>455</v>
      </c>
      <c r="D254" s="350">
        <v>357</v>
      </c>
    </row>
    <row r="255" spans="1:18" ht="15">
      <c r="A255" s="358"/>
      <c r="B255" s="200"/>
      <c r="C255" s="200"/>
      <c r="D255" s="350"/>
    </row>
    <row r="256" spans="1:18" ht="15">
      <c r="A256" s="358">
        <f>A254+1</f>
        <v>124</v>
      </c>
      <c r="B256" s="357" t="s">
        <v>561</v>
      </c>
      <c r="C256" s="200" t="s">
        <v>508</v>
      </c>
      <c r="D256" s="350">
        <v>402.19900000000001</v>
      </c>
    </row>
    <row r="257" spans="1:4" ht="15">
      <c r="A257" s="358"/>
      <c r="B257" s="200"/>
      <c r="C257" s="200"/>
      <c r="D257" s="350"/>
    </row>
    <row r="258" spans="1:4" ht="15">
      <c r="A258" s="358">
        <f>A256+1</f>
        <v>125</v>
      </c>
      <c r="B258" s="60" t="s">
        <v>567</v>
      </c>
      <c r="C258" s="200" t="s">
        <v>471</v>
      </c>
      <c r="D258" s="350">
        <v>419</v>
      </c>
    </row>
    <row r="259" spans="1:4">
      <c r="A259" s="358"/>
      <c r="B259" s="359"/>
      <c r="C259" s="359"/>
      <c r="D259" s="359"/>
    </row>
    <row r="260" spans="1:4" ht="18">
      <c r="A260" s="358">
        <f>A258+1</f>
        <v>126</v>
      </c>
      <c r="B260" s="60" t="s">
        <v>568</v>
      </c>
      <c r="C260" s="360" t="s">
        <v>511</v>
      </c>
      <c r="D260" s="350">
        <v>231</v>
      </c>
    </row>
    <row r="261" spans="1:4" ht="18">
      <c r="A261" s="358"/>
      <c r="B261" s="361"/>
      <c r="C261" s="362"/>
      <c r="D261" s="359"/>
    </row>
    <row r="262" spans="1:4" ht="18">
      <c r="A262" s="358">
        <f>A260+1</f>
        <v>127</v>
      </c>
      <c r="B262" s="60" t="s">
        <v>569</v>
      </c>
      <c r="C262" s="360" t="s">
        <v>511</v>
      </c>
      <c r="D262" s="350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2025-11-02T06:31:21Z</cp:lastPrinted>
  <dcterms:created xsi:type="dcterms:W3CDTF">2016-07-05T06:15:08Z</dcterms:created>
  <dcterms:modified xsi:type="dcterms:W3CDTF">2025-11-06T17:46:04Z</dcterms:modified>
</cp:coreProperties>
</file>