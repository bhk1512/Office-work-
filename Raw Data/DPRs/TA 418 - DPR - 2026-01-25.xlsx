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6576" windowHeight="8748" tabRatio="641" firstSheet="5" activeTab="9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Compiled'!$A$2:$P$96</definedName>
    <definedName name="_xlnm._FilterDatabase" localSheetId="6" hidden="1">'PENDING ERE DETAILS'!$A$5:$G$17</definedName>
    <definedName name="_xlnm._FilterDatabase" localSheetId="5" hidden="1">'PENDING FDN DETAILS'!$A$3:$AD$5</definedName>
    <definedName name="_xlnm._FilterDatabase" localSheetId="1" hidden="1">Progress!$A$141:$P$223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9" i="22" l="1"/>
  <c r="A119" i="52"/>
  <c r="A120" i="52" s="1"/>
  <c r="A121" i="52" s="1"/>
  <c r="A260" i="36"/>
  <c r="A14" i="51" l="1"/>
  <c r="A15" i="51"/>
  <c r="A16" i="51" s="1"/>
  <c r="A17" i="51" s="1"/>
  <c r="A259" i="36"/>
  <c r="AB28" i="22"/>
  <c r="A113" i="52"/>
  <c r="A114" i="52" s="1"/>
  <c r="A115" i="52" s="1"/>
  <c r="A116" i="52" s="1"/>
  <c r="A117" i="52" s="1"/>
  <c r="A118" i="52" s="1"/>
  <c r="A258" i="36"/>
  <c r="A257" i="36"/>
  <c r="A110" i="52" l="1"/>
  <c r="A111" i="52" s="1"/>
  <c r="A112" i="52" s="1"/>
  <c r="A109" i="52"/>
  <c r="A254" i="36"/>
  <c r="A255" i="36" s="1"/>
  <c r="A256" i="36" s="1"/>
  <c r="A138" i="36" l="1"/>
  <c r="A253" i="36" l="1"/>
  <c r="H57" i="44"/>
  <c r="A252" i="36" l="1"/>
  <c r="H58" i="44"/>
  <c r="T8" i="22" l="1"/>
  <c r="A251" i="36"/>
  <c r="H66" i="44"/>
  <c r="K23" i="44"/>
  <c r="AB56" i="22" l="1"/>
  <c r="AB66" i="22"/>
  <c r="A108" i="52" l="1"/>
  <c r="A250" i="36"/>
  <c r="A107" i="52" l="1"/>
  <c r="A249" i="36"/>
  <c r="A81" i="52" l="1"/>
  <c r="A248" i="36"/>
  <c r="A7" i="51" l="1"/>
  <c r="A8" i="51" s="1"/>
  <c r="A9" i="51" s="1"/>
  <c r="A10" i="51" s="1"/>
  <c r="A11" i="51" s="1"/>
  <c r="A12" i="51" s="1"/>
  <c r="A13" i="51" s="1"/>
  <c r="S170" i="22"/>
  <c r="AB38" i="22"/>
  <c r="AB47" i="22" l="1"/>
  <c r="A55" i="44" l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I89" i="44" l="1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A89" i="44"/>
  <c r="I57" i="44"/>
  <c r="I56" i="44"/>
  <c r="I55" i="44"/>
  <c r="I54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K21" i="44" l="1"/>
  <c r="K10" i="44" l="1"/>
  <c r="D23" i="44" l="1"/>
  <c r="T173" i="22" l="1"/>
  <c r="S173" i="22"/>
  <c r="K4" i="36" l="1"/>
  <c r="F4" i="36"/>
  <c r="K3" i="36"/>
  <c r="J3" i="36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M44" i="45"/>
  <c r="L44" i="45"/>
  <c r="K44" i="45"/>
  <c r="H44" i="45"/>
  <c r="D44" i="45"/>
  <c r="J43" i="45"/>
  <c r="B43" i="45"/>
  <c r="J42" i="45"/>
  <c r="B42" i="45"/>
  <c r="J41" i="45"/>
  <c r="B41" i="45"/>
  <c r="I40" i="45"/>
  <c r="B40" i="45"/>
  <c r="I39" i="45"/>
  <c r="B39" i="45"/>
  <c r="J38" i="45"/>
  <c r="B38" i="45"/>
  <c r="I37" i="45"/>
  <c r="B37" i="45"/>
  <c r="J36" i="45"/>
  <c r="B36" i="45"/>
  <c r="I35" i="45"/>
  <c r="B35" i="45"/>
  <c r="I34" i="45"/>
  <c r="B34" i="45"/>
  <c r="I33" i="45"/>
  <c r="B33" i="45"/>
  <c r="J32" i="45"/>
  <c r="B32" i="45"/>
  <c r="I31" i="45"/>
  <c r="B31" i="45"/>
  <c r="J30" i="45"/>
  <c r="B30" i="45"/>
  <c r="J29" i="45"/>
  <c r="B29" i="45"/>
  <c r="J28" i="45"/>
  <c r="B28" i="45"/>
  <c r="I27" i="45"/>
  <c r="B27" i="45"/>
  <c r="I26" i="45"/>
  <c r="B26" i="45"/>
  <c r="I25" i="45"/>
  <c r="B25" i="45"/>
  <c r="I24" i="45"/>
  <c r="B24" i="45"/>
  <c r="I23" i="45"/>
  <c r="B23" i="45"/>
  <c r="I22" i="45"/>
  <c r="B22" i="45"/>
  <c r="J21" i="45"/>
  <c r="B21" i="45"/>
  <c r="I20" i="45"/>
  <c r="B20" i="45"/>
  <c r="I19" i="45"/>
  <c r="B19" i="45"/>
  <c r="I18" i="45"/>
  <c r="B18" i="45"/>
  <c r="I17" i="45"/>
  <c r="B17" i="45"/>
  <c r="I16" i="45"/>
  <c r="B16" i="45"/>
  <c r="J15" i="45"/>
  <c r="B15" i="45"/>
  <c r="I14" i="45"/>
  <c r="B14" i="45"/>
  <c r="I13" i="45"/>
  <c r="B13" i="45"/>
  <c r="J12" i="45"/>
  <c r="J5" i="45"/>
  <c r="J7" i="45"/>
  <c r="J11" i="45"/>
  <c r="J44" i="45"/>
  <c r="B12" i="45"/>
  <c r="B11" i="45"/>
  <c r="I10" i="45"/>
  <c r="B10" i="45"/>
  <c r="I9" i="45"/>
  <c r="B9" i="45"/>
  <c r="I8" i="45"/>
  <c r="B8" i="45"/>
  <c r="B7" i="45"/>
  <c r="I6" i="45"/>
  <c r="I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U172" i="22" l="1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W172" i="22" l="1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<sst xmlns="http://schemas.openxmlformats.org/spreadsheetml/2006/main" count="5017" uniqueCount="907">
  <si>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</si>
  <si>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</si>
  <si>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</si>
  <si>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</si>
  <si>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</si>
  <si>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</si>
  <si>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</si>
  <si>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</si>
  <si>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</si>
  <si>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</si>
  <si>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</si>
  <si>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</si>
  <si>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</si>
  <si>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</si>
  <si>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</si>
  <si>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</si>
  <si>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</si>
  <si>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</si>
  <si>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</si>
  <si>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</si>
  <si>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</si>
  <si>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</si>
  <si>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</si>
  <si>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</si>
  <si>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</si>
  <si>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</si>
  <si>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</si>
  <si>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</si>
  <si>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</si>
  <si>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</si>
  <si>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</si>
  <si>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</si>
  <si>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</si>
  <si>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</si>
  <si>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</si>
  <si>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</si>
  <si>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</si>
  <si>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</si>
  <si>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</si>
  <si>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</si>
  <si>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</si>
  <si>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</si>
  <si>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</si>
  <si>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</si>
  <si>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</si>
  <si>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</si>
  <si>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</si>
  <si>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</si>
  <si>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</si>
  <si>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</si>
  <si>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</si>
  <si>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</si>
  <si>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</si>
  <si>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</si>
  <si>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</si>
  <si>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</si>
  <si>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</si>
  <si>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</si>
  <si>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</si>
  <si>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</si>
  <si>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</si>
  <si>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</si>
  <si>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</si>
  <si>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</si>
  <si>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</si>
  <si>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</si>
  <si>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</si>
  <si>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</si>
  <si>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</si>
  <si>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</si>
  <si>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</si>
  <si>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</si>
  <si>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</si>
  <si>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</si>
  <si>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</si>
  <si>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</si>
  <si>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</si>
  <si>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</si>
  <si>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</si>
  <si>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</si>
  <si>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</si>
  <si>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</si>
  <si>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</si>
  <si>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</si>
  <si>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</si>
  <si>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</si>
  <si>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</si>
  <si>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</si>
  <si>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</si>
  <si>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</si>
  <si>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</si>
  <si>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</si>
  <si>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</si>
  <si>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</si>
  <si>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</si>
  <si>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</si>
  <si>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</si>
  <si>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</si>
  <si>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</si>
  <si>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</si>
  <si>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</si>
  <si>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</si>
  <si>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</si>
  <si>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</si>
  <si>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</si>
  <si>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</si>
  <si>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</si>
  <si>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</si>
  <si>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</si>
  <si>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</si>
  <si>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</si>
  <si>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</si>
  <si>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</si>
  <si>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</si>
  <si>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</si>
  <si>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</si>
  <si>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</si>
  <si>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</si>
  <si>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</si>
  <si>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</si>
  <si>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</si>
  <si>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</si>
  <si>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</si>
  <si>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</si>
  <si>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</si>
  <si>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</si>
  <si>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</si>
  <si>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</si>
  <si>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</si>
  <si>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</si>
  <si>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</si>
  <si>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</si>
  <si>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</si>
  <si>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</si>
  <si>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</si>
  <si>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</si>
  <si>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</si>
  <si>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</si>
  <si>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</si>
  <si>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</si>
  <si>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</si>
  <si>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</si>
  <si>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</si>
  <si>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</si>
  <si>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</si>
  <si>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</si>
  <si>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</si>
  <si>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</si>
  <si>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</si>
  <si>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</si>
  <si>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</si>
  <si>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</si>
  <si>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</si>
  <si>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</si>
  <si>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</si>
  <si>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</si>
  <si>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</si>
  <si>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</si>
  <si>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</si>
  <si>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</si>
  <si>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</si>
  <si>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</si>
  <si>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</si>
  <si>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</si>
  <si>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</si>
  <si>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</si>
  <si>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</si>
  <si>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</si>
  <si>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</si>
  <si>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</si>
  <si>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</si>
  <si>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</si>
  <si>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</si>
  <si>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</si>
  <si>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</si>
  <si>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</si>
  <si>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</si>
  <si>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</si>
  <si>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</si>
  <si>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</si>
  <si>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</si>
  <si>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</si>
  <si>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</si>
  <si>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</si>
  <si>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</si>
  <si>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</si>
  <si>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</si>
  <si>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</si>
  <si>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</si>
  <si>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</si>
  <si>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</si>
  <si>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</si>
  <si>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</si>
  <si>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</si>
  <si>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</si>
  <si>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</si>
  <si>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</si>
  <si>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</si>
  <si>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</si>
  <si>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</si>
  <si>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</si>
  <si>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</si>
  <si>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</si>
  <si>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</si>
  <si>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</si>
  <si>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</si>
  <si>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</si>
  <si>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</si>
  <si>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</si>
  <si>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</si>
  <si>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</si>
  <si>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</si>
  <si>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</si>
  <si>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</si>
  <si>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</si>
  <si>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</si>
  <si>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</si>
  <si>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</si>
  <si>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</si>
  <si>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</si>
  <si>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</si>
  <si>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</si>
  <si>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</si>
  <si>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</si>
  <si>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</si>
  <si>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</si>
  <si>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</si>
  <si>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</si>
  <si>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</si>
  <si>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</si>
  <si>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</si>
  <si>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</si>
  <si>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</si>
  <si>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</si>
  <si>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</si>
  <si>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</si>
  <si>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</si>
  <si>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</si>
  <si>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</si>
  <si>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</si>
  <si>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</si>
  <si>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</si>
  <si>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</si>
  <si>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</si>
  <si>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</si>
  <si>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</si>
  <si>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</si>
  <si>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</si>
  <si>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</si>
  <si>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</si>
  <si>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</si>
  <si>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</si>
  <si>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</si>
  <si>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</si>
  <si>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</si>
  <si>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</si>
  <si>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</si>
  <si>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</si>
  <si>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</si>
  <si>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</si>
  <si>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</si>
  <si>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</si>
  <si>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</si>
  <si>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</si>
  <si>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</si>
  <si>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</si>
  <si>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</si>
  <si>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</si>
  <si>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</si>
  <si>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</si>
  <si>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</si>
  <si>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</si>
  <si>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</si>
  <si>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</si>
  <si>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</si>
  <si>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</si>
  <si>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</si>
  <si>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</si>
  <si>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</si>
  <si>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</si>
  <si>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</si>
  <si>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</si>
  <si>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</si>
  <si>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</si>
  <si>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</si>
  <si>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</si>
  <si>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</si>
  <si>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</si>
  <si>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</si>
  <si>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</si>
  <si>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</si>
  <si>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</si>
  <si>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</si>
  <si>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</si>
  <si>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</si>
  <si>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</si>
  <si>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</si>
  <si>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</si>
  <si>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</si>
  <si>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</si>
  <si>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</si>
  <si>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</si>
  <si>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</si>
  <si>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</si>
  <si>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</si>
  <si>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</si>
  <si>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</si>
  <si>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</si>
  <si>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</si>
  <si>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</si>
  <si>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</si>
  <si>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</si>
  <si>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</si>
  <si>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</si>
  <si>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</si>
  <si>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</si>
  <si>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</si>
  <si>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</si>
  <si>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</si>
  <si>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</si>
  <si>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</si>
  <si>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</si>
  <si>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</si>
  <si>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</si>
  <si>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</si>
  <si>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</si>
  <si>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</si>
  <si>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</si>
  <si>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</si>
  <si>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</si>
  <si>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</si>
  <si>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</si>
  <si>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</si>
  <si>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</si>
  <si>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</si>
  <si>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</si>
  <si>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</si>
  <si>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</si>
  <si>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</si>
  <si>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</si>
  <si>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</si>
  <si>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</si>
  <si>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</si>
  <si>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</si>
  <si>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</si>
  <si>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</si>
  <si>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</si>
  <si>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</si>
  <si>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</si>
  <si>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</si>
  <si>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</si>
  <si>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</si>
  <si>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</si>
  <si>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</si>
  <si>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</si>
  <si>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</si>
  <si>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</si>
  <si>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</si>
  <si>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</si>
  <si>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</si>
  <si>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</si>
  <si>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</si>
  <si>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</si>
  <si>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</si>
  <si>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</si>
  <si>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</si>
  <si>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</si>
  <si>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</si>
  <si>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</si>
  <si>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</si>
  <si>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</si>
  <si>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</si>
  <si>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</si>
  <si>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</si>
  <si>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</si>
  <si>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</si>
  <si>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</si>
  <si>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</si>
  <si>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</si>
  <si>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</si>
  <si>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</si>
  <si>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</si>
  <si>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</si>
  <si>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</si>
  <si>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</si>
  <si>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</si>
  <si>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</si>
  <si>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</si>
  <si>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</si>
  <si>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</si>
  <si>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</si>
  <si>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</si>
  <si>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</si>
  <si>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</si>
  <si>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</si>
  <si>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</si>
  <si>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</si>
  <si>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</si>
  <si>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</si>
  <si>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</si>
  <si>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</si>
  <si>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</si>
  <si>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</si>
  <si>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</si>
  <si>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</si>
  <si>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</si>
  <si>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</si>
  <si>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</si>
  <si>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</si>
  <si>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</si>
  <si>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</si>
  <si>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</si>
  <si>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</si>
  <si>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</si>
  <si>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</si>
  <si>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</si>
  <si>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</si>
  <si>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</si>
  <si>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</si>
  <si>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</si>
  <si>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</si>
  <si>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</si>
  <si>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</si>
  <si>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</si>
  <si>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</si>
  <si>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</si>
  <si>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</si>
  <si>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</si>
  <si>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</si>
  <si>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</si>
  <si>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</si>
  <si>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</si>
  <si>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</si>
  <si>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</si>
  <si>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</si>
  <si>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</si>
  <si>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</si>
  <si>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</si>
  <si>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</si>
  <si>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</si>
  <si>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</si>
  <si>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</si>
  <si>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</si>
  <si>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</si>
  <si>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</si>
  <si>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</si>
  <si>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</si>
  <si>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</si>
  <si>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</si>
  <si>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</si>
  <si>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</si>
  <si>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</si>
  <si>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</si>
  <si>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</si>
  <si>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</si>
  <si>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</si>
  <si>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</si>
  <si>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</si>
  <si>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</si>
  <si>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</si>
  <si>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</si>
  <si>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</si>
  <si>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</si>
  <si>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</si>
  <si>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</si>
  <si>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</si>
  <si>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</si>
  <si>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</si>
  <si>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</si>
  <si>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</si>
  <si>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</si>
  <si>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</si>
  <si>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</si>
  <si>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</si>
  <si>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</si>
  <si>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</si>
  <si>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</si>
  <si>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</si>
  <si>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</si>
  <si>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</si>
  <si>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</si>
  <si>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</si>
  <si>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</si>
  <si>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</si>
  <si>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</si>
  <si>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</si>
  <si>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</si>
  <si>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</si>
  <si>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</si>
  <si>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</si>
  <si>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</si>
  <si>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</si>
  <si>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</si>
  <si>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</si>
  <si>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</si>
  <si>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</si>
  <si>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</si>
  <si>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</si>
  <si>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</si>
  <si>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</si>
  <si>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</si>
  <si>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</si>
  <si>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</si>
  <si>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</si>
  <si>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</si>
  <si>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</si>
  <si>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</si>
  <si>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</si>
  <si>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</si>
  <si>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</si>
  <si>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</si>
  <si>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</si>
  <si>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</si>
  <si>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</si>
  <si>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</si>
  <si>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</si>
  <si>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</si>
  <si>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</si>
  <si>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</si>
  <si>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</si>
  <si>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</si>
  <si>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</si>
  <si>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</si>
  <si>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</si>
  <si>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</si>
  <si>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</si>
  <si>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</si>
  <si>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</si>
  <si>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</si>
  <si>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</si>
  <si>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</si>
  <si>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</si>
  <si>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</si>
  <si>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</si>
  <si>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</si>
  <si>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</si>
  <si>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</si>
  <si>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</si>
  <si>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</si>
  <si>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</si>
  <si>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</si>
  <si>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</si>
  <si>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</si>
  <si>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</si>
  <si>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</si>
  <si>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</si>
  <si>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</si>
  <si>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</si>
  <si>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</si>
  <si>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</si>
  <si>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</si>
  <si>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</si>
  <si>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</si>
  <si>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</si>
  <si>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</si>
  <si>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</si>
  <si>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</si>
  <si>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</si>
  <si>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</si>
  <si>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</si>
  <si>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</si>
  <si>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</si>
  <si>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</si>
  <si>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</si>
  <si>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</si>
  <si>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</si>
  <si>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</si>
  <si>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</si>
  <si>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</si>
  <si>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</si>
  <si>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</si>
  <si>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</si>
  <si>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</si>
  <si>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</si>
  <si>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</si>
  <si>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</si>
  <si>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</si>
  <si>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</si>
  <si>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</si>
  <si>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</si>
  <si>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</si>
  <si>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</si>
  <si>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</si>
  <si>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</si>
  <si>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</si>
  <si>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</si>
  <si>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</si>
  <si>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</si>
  <si>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</si>
  <si>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</si>
  <si>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</si>
  <si>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</si>
  <si>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</si>
  <si>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</si>
  <si>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</si>
  <si>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</si>
  <si>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</si>
  <si>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</si>
  <si>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</si>
  <si>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</si>
  <si>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</si>
  <si>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</si>
  <si>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</si>
  <si>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</si>
  <si>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</si>
  <si>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</si>
  <si>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</si>
  <si>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</si>
  <si>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</si>
  <si>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</si>
  <si>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</si>
  <si>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</si>
  <si>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</si>
  <si>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</si>
  <si>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</si>
  <si>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</si>
  <si>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</si>
  <si>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</si>
  <si>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</si>
  <si>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</si>
  <si>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</si>
  <si>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</si>
  <si>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</si>
  <si>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</si>
  <si>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</si>
  <si>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</si>
  <si>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</si>
  <si>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</si>
  <si>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</si>
  <si>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</si>
  <si>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</si>
  <si>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</si>
  <si>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</si>
  <si>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</si>
  <si>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</si>
  <si>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</si>
  <si>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</si>
  <si>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</si>
  <si>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</si>
  <si>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</si>
  <si>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</si>
  <si>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</si>
  <si>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</si>
  <si>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</si>
  <si>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</si>
  <si>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</si>
  <si>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</si>
  <si>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</si>
  <si>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</si>
  <si>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</si>
  <si>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</si>
  <si>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</si>
  <si>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</si>
  <si>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</si>
  <si>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</si>
  <si>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</si>
  <si>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</si>
  <si>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</si>
  <si>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</si>
  <si>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</si>
  <si>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</si>
  <si>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</si>
  <si>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</si>
  <si>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</si>
  <si>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</si>
  <si>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</si>
  <si>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</si>
  <si>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</si>
  <si>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</si>
  <si>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</si>
  <si>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</si>
  <si>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</si>
  <si>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</si>
  <si>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</si>
  <si>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</si>
  <si>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</si>
  <si>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</si>
  <si>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</si>
  <si>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</si>
  <si>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</si>
  <si>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</si>
  <si>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</si>
  <si>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</si>
  <si>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</si>
  <si>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</si>
  <si>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</si>
  <si>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</si>
  <si>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</si>
  <si>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</si>
  <si>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</si>
  <si>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</si>
  <si>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</si>
  <si>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</si>
  <si>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</si>
  <si>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</si>
  <si>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</si>
  <si>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</si>
  <si>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</si>
  <si>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</si>
  <si>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</si>
  <si>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</si>
  <si>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</si>
  <si>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</si>
  <si>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</si>
  <si>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</si>
  <si>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</si>
  <si>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</si>
  <si>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</si>
  <si>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</si>
  <si>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</si>
  <si>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</si>
  <si>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</si>
  <si>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</si>
  <si>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</si>
  <si>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</si>
  <si>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</si>
  <si>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</si>
  <si>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</si>
  <si>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</si>
  <si>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</si>
  <si>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</si>
  <si>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</si>
  <si>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</si>
  <si>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</si>
  <si>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</si>
  <si>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</si>
  <si>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</si>
  <si>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</si>
  <si>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</si>
  <si>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</si>
  <si>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</si>
  <si>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</si>
  <si>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</si>
  <si>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</si>
  <si>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</si>
  <si>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</si>
  <si>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</si>
  <si>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</si>
  <si>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</si>
  <si>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</si>
  <si>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</si>
  <si>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</si>
  <si>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</si>
  <si>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</si>
  <si>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</si>
  <si>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</si>
  <si>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</si>
  <si>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</si>
  <si>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</si>
  <si>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</si>
  <si>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</si>
  <si>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</si>
  <si>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</si>
  <si>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</si>
  <si>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</si>
  <si>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</si>
  <si>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</si>
  <si>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</si>
  <si>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</si>
  <si>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</si>
  <si>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</si>
  <si>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</si>
  <si>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</si>
  <si>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</si>
  <si>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</si>
  <si>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</si>
  <si>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</si>
  <si>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</si>
  <si>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</si>
  <si>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</si>
  <si>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</si>
  <si>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</si>
  <si>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</si>
  <si>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</si>
  <si>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</si>
  <si>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</si>
  <si>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</si>
  <si>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</si>
  <si>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</si>
  <si>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</si>
  <si>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</si>
  <si>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</si>
  <si>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</si>
  <si>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</si>
  <si>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</si>
  <si>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</si>
  <si>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</si>
  <si>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</si>
  <si>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</si>
  <si>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</si>
  <si>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</si>
  <si>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</si>
  <si>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</si>
  <si>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</si>
  <si>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</si>
  <si>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</si>
  <si>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</si>
  <si>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</si>
  <si>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</si>
  <si>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</si>
  <si>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</si>
  <si>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</si>
  <si>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</si>
  <si>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</si>
  <si>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</si>
  <si>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</si>
  <si>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</si>
  <si>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</si>
  <si>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</si>
  <si>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</si>
  <si>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</si>
  <si>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</si>
  <si>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</si>
  <si>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</si>
  <si>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</si>
  <si>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</si>
  <si>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</si>
  <si>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</si>
  <si>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</si>
  <si>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</si>
  <si>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</si>
  <si>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</si>
  <si>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</si>
  <si>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</si>
  <si>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</si>
  <si>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</si>
  <si>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</si>
  <si>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</si>
  <si>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</si>
  <si>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</si>
  <si>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</si>
  <si>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</si>
  <si>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</si>
  <si>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</si>
  <si>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</si>
  <si>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</si>
  <si>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</si>
  <si>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</si>
  <si>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</si>
  <si>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</si>
  <si>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</si>
  <si>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</si>
  <si>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</si>
  <si>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</si>
  <si>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</si>
  <si>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</si>
  <si>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</si>
  <si>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</si>
  <si>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</si>
  <si>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</si>
  <si>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</si>
  <si>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</si>
  <si>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41/0-42/0 FS    40/0 - 41/0 PO</t>
  </si>
  <si>
    <t>33/0 - 33/5        I H</t>
  </si>
  <si>
    <t>40/0 - 41/0 PO</t>
  </si>
  <si>
    <t>DATE:</t>
  </si>
  <si>
    <t>IDLE @58/0</t>
  </si>
  <si>
    <t>IDLE @57/1</t>
  </si>
  <si>
    <t>40/0 - 41/0 E/w  PO</t>
  </si>
  <si>
    <t>41/2,41/3 :CLP        41/0 -41/3 :Right SPR</t>
  </si>
  <si>
    <t>KEC - 03 (Barkat Ali)</t>
  </si>
  <si>
    <t>M/s BARKAT ALI3</t>
  </si>
  <si>
    <t>Gang - 5</t>
  </si>
  <si>
    <t>Gang Reached</t>
  </si>
  <si>
    <t>40/0-41/0 : FS           41/0 -41/3 Left SPR</t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</si>
  <si>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</si>
  <si>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</si>
  <si>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</si>
  <si>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</si>
  <si>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</si>
  <si>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>Jumpering Completed (41/0) - 05/01/26</t>
  </si>
  <si>
    <t>40/0-41/0 : Spacer.</t>
  </si>
  <si>
    <t>M/s RAMAVATH  (HL)</t>
  </si>
  <si>
    <t>Foundation Balance</t>
  </si>
  <si>
    <t>Erection Balance</t>
  </si>
  <si>
    <t>Stretch Readiness</t>
  </si>
  <si>
    <t>-</t>
  </si>
  <si>
    <t>38/0</t>
  </si>
  <si>
    <t>49/0 , 50/0</t>
  </si>
  <si>
    <t>50/0, 51/0</t>
  </si>
  <si>
    <t>Ready</t>
  </si>
  <si>
    <t>Pending</t>
  </si>
  <si>
    <t>GANG IDLE</t>
  </si>
  <si>
    <t>No work. (ROW)</t>
  </si>
  <si>
    <t>IDLE @57/3</t>
  </si>
  <si>
    <t>M/s Vijo</t>
  </si>
  <si>
    <t>Will Supplied in 4th Week of Jan'26</t>
  </si>
  <si>
    <t xml:space="preserve"> Insulator hoisting work Completed</t>
  </si>
  <si>
    <t>57/0, 57/2</t>
  </si>
  <si>
    <t>GANG -2 (VIJO)</t>
  </si>
  <si>
    <t>IDLE @57/0</t>
  </si>
  <si>
    <t>Reached Site</t>
  </si>
  <si>
    <t>PayingOut Under Progress</t>
  </si>
  <si>
    <t>33/5 - 33/6</t>
  </si>
  <si>
    <t>Foundation:-
1)Team01 - Manpower (16) and Machinery Idle.</t>
  </si>
  <si>
    <t>* Today team idle details:- manpower - 16 Nos</t>
  </si>
  <si>
    <t>M/s Ramawat (H/L)</t>
  </si>
  <si>
    <t>2nd Section work under progress.</t>
  </si>
  <si>
    <t>Cage 01 Section work under progress.</t>
  </si>
  <si>
    <t xml:space="preserve"> PayingOut work</t>
  </si>
  <si>
    <t>Ramawat (HL)</t>
  </si>
  <si>
    <t>Haque</t>
  </si>
  <si>
    <t>IDLE @54/2</t>
  </si>
  <si>
    <t>33/6 - 34/0 : Cabling</t>
  </si>
  <si>
    <t>33/6 - 34/0 : PayingOut</t>
  </si>
  <si>
    <t>33/5 - 33/5 : PayingOut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</si>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</sst>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u/>
      <sz val="16"/>
      <color rgb="FFFF0000"/>
      <name val="Calibri Light"/>
      <family val="1"/>
      <scheme val="major"/>
    </font>
    <font>
      <sz val="14"/>
      <color theme="2" tint="-0.74999237037263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993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9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9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9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8" fontId="147" fillId="3" borderId="1" xfId="0" applyNumberFormat="1" applyFont="1" applyFill="1" applyBorder="1" applyAlignment="1">
      <alignment horizontal="center" vertical="center" wrapText="1"/>
    </xf>
    <xf numFmtId="208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8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8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6" fillId="75" borderId="1" xfId="206" applyNumberFormat="1" applyFont="1" applyFill="1" applyBorder="1" applyAlignment="1">
      <alignment horizontal="center" vertical="center" wrapText="1"/>
    </xf>
    <xf numFmtId="168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8" fontId="148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08" fontId="148" fillId="3" borderId="1" xfId="0" applyNumberFormat="1" applyFont="1" applyFill="1" applyBorder="1" applyAlignment="1">
      <alignment horizontal="center" vertical="center" wrapText="1"/>
    </xf>
    <xf numFmtId="208" fontId="148" fillId="3" borderId="9" xfId="0" applyNumberFormat="1" applyFont="1" applyFill="1" applyBorder="1" applyAlignment="1">
      <alignment horizontal="center" vertical="center" wrapText="1"/>
    </xf>
    <xf numFmtId="208" fontId="133" fillId="3" borderId="1" xfId="0" applyNumberFormat="1" applyFont="1" applyFill="1" applyBorder="1" applyAlignment="1">
      <alignment horizontal="center" vertical="center"/>
    </xf>
    <xf numFmtId="208" fontId="133" fillId="3" borderId="9" xfId="0" applyNumberFormat="1" applyFont="1" applyFill="1" applyBorder="1" applyAlignment="1">
      <alignment horizontal="center" vertical="center"/>
    </xf>
    <xf numFmtId="208" fontId="167" fillId="3" borderId="11" xfId="0" applyNumberFormat="1" applyFont="1" applyFill="1" applyBorder="1" applyAlignment="1">
      <alignment horizontal="center" vertical="center"/>
    </xf>
    <xf numFmtId="208" fontId="167" fillId="3" borderId="42" xfId="0" applyNumberFormat="1" applyFont="1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NumberFormat="1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8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3" borderId="10" xfId="0" applyNumberFormat="1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133" fillId="57" borderId="1" xfId="0" applyNumberFormat="1" applyFont="1" applyFill="1" applyBorder="1" applyAlignment="1">
      <alignment horizontal="center" vertical="center"/>
    </xf>
    <xf numFmtId="168" fontId="147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Border="1" applyAlignment="1">
      <alignment horizontal="center" vertical="center" wrapText="1"/>
    </xf>
    <xf numFmtId="169" fontId="163" fillId="0" borderId="0" xfId="0" applyNumberFormat="1" applyFont="1" applyBorder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9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9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77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0" fillId="0" borderId="49" xfId="0" applyBorder="1" applyAlignment="1">
      <alignment horizontal="center" vertical="center" wrapText="1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16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137" fillId="88" borderId="2" xfId="0" applyNumberFormat="1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8" borderId="120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1" xfId="0" applyFont="1" applyFill="1" applyBorder="1" applyAlignment="1">
      <alignment horizontal="center" vertical="center"/>
    </xf>
    <xf numFmtId="0" fontId="195" fillId="0" borderId="81" xfId="0" applyFont="1" applyBorder="1" applyAlignment="1">
      <alignment horizontal="center" vertical="center" wrapText="1"/>
    </xf>
    <xf numFmtId="0" fontId="129" fillId="68" borderId="41" xfId="0" applyFont="1" applyFill="1" applyBorder="1" applyAlignment="1">
      <alignment horizontal="center" vertical="center"/>
    </xf>
    <xf numFmtId="0" fontId="87" fillId="85" borderId="53" xfId="0" applyFont="1" applyFill="1" applyBorder="1" applyAlignment="1">
      <alignment horizontal="center" vertical="center" wrapText="1"/>
    </xf>
    <xf numFmtId="0" fontId="87" fillId="85" borderId="31" xfId="0" applyFont="1" applyFill="1" applyBorder="1" applyAlignment="1">
      <alignment horizontal="center" vertical="center" wrapText="1"/>
    </xf>
    <xf numFmtId="0" fontId="87" fillId="84" borderId="31" xfId="0" applyFont="1" applyFill="1" applyBorder="1" applyAlignment="1">
      <alignment horizontal="center" vertical="center" wrapText="1"/>
    </xf>
    <xf numFmtId="0" fontId="87" fillId="77" borderId="31" xfId="0" applyFont="1" applyFill="1" applyBorder="1" applyAlignment="1">
      <alignment horizontal="center" vertical="center" wrapText="1"/>
    </xf>
    <xf numFmtId="0" fontId="87" fillId="77" borderId="122" xfId="0" applyFont="1" applyFill="1" applyBorder="1" applyAlignment="1">
      <alignment horizontal="center" vertical="center"/>
    </xf>
    <xf numFmtId="0" fontId="186" fillId="3" borderId="1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/>
    </xf>
    <xf numFmtId="0" fontId="167" fillId="3" borderId="1" xfId="0" applyFont="1" applyFill="1" applyBorder="1" applyAlignment="1">
      <alignment horizontal="center" vertical="center"/>
    </xf>
    <xf numFmtId="0" fontId="189" fillId="68" borderId="11" xfId="0" applyFont="1" applyFill="1" applyBorder="1" applyAlignment="1">
      <alignment horizontal="center" vertical="center"/>
    </xf>
    <xf numFmtId="0" fontId="129" fillId="68" borderId="11" xfId="0" applyFont="1" applyFill="1" applyBorder="1" applyAlignment="1">
      <alignment horizontal="center" vertical="center" wrapText="1"/>
    </xf>
    <xf numFmtId="168" fontId="164" fillId="3" borderId="1" xfId="0" applyNumberFormat="1" applyFont="1" applyFill="1" applyBorder="1" applyAlignment="1">
      <alignment horizontal="center" vertical="center" wrapText="1"/>
    </xf>
    <xf numFmtId="168" fontId="164" fillId="3" borderId="1" xfId="0" quotePrefix="1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4" fillId="57" borderId="1" xfId="0" applyFont="1" applyFill="1" applyBorder="1" applyAlignment="1">
      <alignment horizontal="center" vertical="center" wrapText="1"/>
    </xf>
    <xf numFmtId="0" fontId="186" fillId="5" borderId="1" xfId="0" applyFont="1" applyFill="1" applyBorder="1" applyAlignment="1">
      <alignment horizontal="center" vertical="center" wrapText="1"/>
    </xf>
    <xf numFmtId="0" fontId="187" fillId="84" borderId="1" xfId="0" applyFont="1" applyFill="1" applyBorder="1" applyAlignment="1">
      <alignment horizontal="center" vertical="center" wrapText="1"/>
    </xf>
    <xf numFmtId="0" fontId="119" fillId="71" borderId="1" xfId="0" applyFont="1" applyFill="1" applyBorder="1" applyAlignment="1">
      <alignment horizontal="center" vertical="center"/>
    </xf>
    <xf numFmtId="0" fontId="196" fillId="71" borderId="1" xfId="0" applyFont="1" applyFill="1" applyBorder="1" applyAlignment="1">
      <alignment horizontal="center" vertical="center" wrapText="1"/>
    </xf>
    <xf numFmtId="0" fontId="126" fillId="84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2" fontId="190" fillId="68" borderId="11" xfId="0" applyNumberFormat="1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90" fillId="68" borderId="11" xfId="0" applyFont="1" applyFill="1" applyBorder="1" applyAlignment="1">
      <alignment horizontal="center" vertical="center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194" fillId="0" borderId="0" xfId="0" applyFont="1" applyAlignment="1">
      <alignment horizontal="left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140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48" fillId="57" borderId="45" xfId="0" applyFont="1" applyFill="1" applyBorder="1" applyAlignment="1">
      <alignment horizontal="center" vertical="center" wrapText="1"/>
    </xf>
    <xf numFmtId="0" fontId="148" fillId="57" borderId="31" xfId="0" applyFont="1" applyFill="1" applyBorder="1" applyAlignment="1">
      <alignment horizontal="center" vertical="center" wrapText="1"/>
    </xf>
    <xf numFmtId="0" fontId="148" fillId="57" borderId="49" xfId="0" applyFont="1" applyFill="1" applyBorder="1" applyAlignment="1">
      <alignment horizontal="center" vertical="center" wrapText="1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62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33" fillId="0" borderId="1" xfId="0" applyFont="1" applyBorder="1" applyAlignment="1">
      <alignment horizontal="center" vertical="center" wrapText="1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64" fillId="74" borderId="1" xfId="0" applyFont="1" applyFill="1" applyBorder="1" applyAlignment="1">
      <alignment horizontal="center" vertical="center" wrapText="1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9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97" fillId="71" borderId="1" xfId="0" applyFont="1" applyFill="1" applyBorder="1" applyAlignment="1">
      <alignment horizontal="center" vertical="center"/>
    </xf>
    <xf numFmtId="0" fontId="129" fillId="68" borderId="7" xfId="0" applyFont="1" applyFill="1" applyBorder="1" applyAlignment="1">
      <alignment horizontal="center" vertical="center"/>
    </xf>
    <xf numFmtId="0" fontId="129" fillId="68" borderId="10" xfId="0" applyFont="1" applyFill="1" applyBorder="1" applyAlignment="1">
      <alignment horizontal="center" vertical="center" wrapText="1"/>
    </xf>
    <xf numFmtId="0" fontId="189" fillId="68" borderId="10" xfId="0" applyFont="1" applyFill="1" applyBorder="1" applyAlignment="1">
      <alignment horizontal="center" vertical="center"/>
    </xf>
    <xf numFmtId="0" fontId="190" fillId="68" borderId="10" xfId="0" applyFont="1" applyFill="1" applyBorder="1" applyAlignment="1">
      <alignment horizontal="center" vertical="center"/>
    </xf>
    <xf numFmtId="2" fontId="190" fillId="68" borderId="10" xfId="0" applyNumberFormat="1" applyFont="1" applyFill="1" applyBorder="1" applyAlignment="1">
      <alignment horizontal="center" vertical="center"/>
    </xf>
    <xf numFmtId="0" fontId="177" fillId="68" borderId="10" xfId="0" applyFont="1" applyFill="1" applyBorder="1" applyAlignment="1">
      <alignment horizontal="center" vertical="center" wrapText="1"/>
    </xf>
    <xf numFmtId="0" fontId="198" fillId="68" borderId="10" xfId="0" applyFont="1" applyFill="1" applyBorder="1" applyAlignment="1">
      <alignment horizontal="center" vertical="center" wrapText="1"/>
    </xf>
    <xf numFmtId="0" fontId="198" fillId="68" borderId="8" xfId="0" applyFont="1" applyFill="1" applyBorder="1" applyAlignment="1">
      <alignment horizontal="center" vertical="center" wrapText="1"/>
    </xf>
    <xf numFmtId="0" fontId="177" fillId="68" borderId="11" xfId="0" applyFont="1" applyFill="1" applyBorder="1" applyAlignment="1">
      <alignment horizontal="center" vertical="center" wrapText="1"/>
    </xf>
    <xf numFmtId="0" fontId="198" fillId="68" borderId="11" xfId="0" applyFont="1" applyFill="1" applyBorder="1" applyAlignment="1">
      <alignment horizontal="center" vertical="center" wrapText="1"/>
    </xf>
    <xf numFmtId="0" fontId="198" fillId="68" borderId="42" xfId="0" applyFont="1" applyFill="1" applyBorder="1" applyAlignment="1">
      <alignment horizontal="center" vertical="center" wrapText="1"/>
    </xf>
    <xf numFmtId="168" fontId="147" fillId="57" borderId="1" xfId="0" applyNumberFormat="1" applyFont="1" applyFill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9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B7ECF5"/>
      <color rgb="FF00FFFF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127</xdr:row>
      <xdr:rowOff>38766</xdr:rowOff>
    </xdr:from>
    <xdr:to>
      <xdr:col>2</xdr:col>
      <xdr:colOff>647700</xdr:colOff>
      <xdr:row>128</xdr:row>
      <xdr:rowOff>149962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71500" y="23089266"/>
          <a:ext cx="666750" cy="39694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342900</xdr:colOff>
      <xdr:row>15</xdr:row>
      <xdr:rowOff>95250</xdr:rowOff>
    </xdr:from>
    <xdr:to>
      <xdr:col>18</xdr:col>
      <xdr:colOff>309281</xdr:colOff>
      <xdr:row>15</xdr:row>
      <xdr:rowOff>207844</xdr:rowOff>
    </xdr:to>
    <xdr:sp macro="" textlink="">
      <xdr:nvSpPr>
        <xdr:cNvPr id="1172" name="Moon 1136"/>
        <xdr:cNvSpPr/>
      </xdr:nvSpPr>
      <xdr:spPr>
        <a:xfrm>
          <a:off x="9782175" y="258127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342900</xdr:colOff>
      <xdr:row>15</xdr:row>
      <xdr:rowOff>66675</xdr:rowOff>
    </xdr:from>
    <xdr:to>
      <xdr:col>20</xdr:col>
      <xdr:colOff>309281</xdr:colOff>
      <xdr:row>15</xdr:row>
      <xdr:rowOff>179269</xdr:rowOff>
    </xdr:to>
    <xdr:sp macro="" textlink="">
      <xdr:nvSpPr>
        <xdr:cNvPr id="1173" name="Moon 1136"/>
        <xdr:cNvSpPr/>
      </xdr:nvSpPr>
      <xdr:spPr>
        <a:xfrm>
          <a:off x="11039475" y="25527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390525</xdr:colOff>
      <xdr:row>24</xdr:row>
      <xdr:rowOff>95250</xdr:rowOff>
    </xdr:from>
    <xdr:to>
      <xdr:col>4</xdr:col>
      <xdr:colOff>309281</xdr:colOff>
      <xdr:row>24</xdr:row>
      <xdr:rowOff>207844</xdr:rowOff>
    </xdr:to>
    <xdr:sp macro="" textlink="">
      <xdr:nvSpPr>
        <xdr:cNvPr id="1174" name="Moon 1136"/>
        <xdr:cNvSpPr/>
      </xdr:nvSpPr>
      <xdr:spPr>
        <a:xfrm>
          <a:off x="981075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314325</xdr:colOff>
      <xdr:row>24</xdr:row>
      <xdr:rowOff>95250</xdr:rowOff>
    </xdr:from>
    <xdr:to>
      <xdr:col>6</xdr:col>
      <xdr:colOff>280706</xdr:colOff>
      <xdr:row>24</xdr:row>
      <xdr:rowOff>207844</xdr:rowOff>
    </xdr:to>
    <xdr:sp macro="" textlink="">
      <xdr:nvSpPr>
        <xdr:cNvPr id="1175" name="Moon 1136"/>
        <xdr:cNvSpPr/>
      </xdr:nvSpPr>
      <xdr:spPr>
        <a:xfrm>
          <a:off x="2209800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323850</xdr:colOff>
      <xdr:row>24</xdr:row>
      <xdr:rowOff>85725</xdr:rowOff>
    </xdr:from>
    <xdr:to>
      <xdr:col>8</xdr:col>
      <xdr:colOff>290231</xdr:colOff>
      <xdr:row>24</xdr:row>
      <xdr:rowOff>198319</xdr:rowOff>
    </xdr:to>
    <xdr:sp macro="" textlink="">
      <xdr:nvSpPr>
        <xdr:cNvPr id="1176" name="Moon 1136"/>
        <xdr:cNvSpPr/>
      </xdr:nvSpPr>
      <xdr:spPr>
        <a:xfrm>
          <a:off x="347662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342900</xdr:colOff>
      <xdr:row>24</xdr:row>
      <xdr:rowOff>85725</xdr:rowOff>
    </xdr:from>
    <xdr:to>
      <xdr:col>10</xdr:col>
      <xdr:colOff>309281</xdr:colOff>
      <xdr:row>24</xdr:row>
      <xdr:rowOff>198319</xdr:rowOff>
    </xdr:to>
    <xdr:sp macro="" textlink="">
      <xdr:nvSpPr>
        <xdr:cNvPr id="1177" name="Moon 1136"/>
        <xdr:cNvSpPr/>
      </xdr:nvSpPr>
      <xdr:spPr>
        <a:xfrm>
          <a:off x="475297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342900</xdr:colOff>
      <xdr:row>15</xdr:row>
      <xdr:rowOff>85725</xdr:rowOff>
    </xdr:from>
    <xdr:to>
      <xdr:col>16</xdr:col>
      <xdr:colOff>309281</xdr:colOff>
      <xdr:row>15</xdr:row>
      <xdr:rowOff>198319</xdr:rowOff>
    </xdr:to>
    <xdr:sp macro="" textlink="">
      <xdr:nvSpPr>
        <xdr:cNvPr id="1171" name="Moon 1136"/>
        <xdr:cNvSpPr/>
      </xdr:nvSpPr>
      <xdr:spPr>
        <a:xfrm>
          <a:off x="8524875" y="257175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0"/>
  <sheetViews>
    <sheetView topLeftCell="A28" zoomScale="70" zoomScaleNormal="70" workbookViewId="0">
      <selection activeCell="D33" sqref="D33:E33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83" t="s">
        <v>487</v>
      </c>
      <c r="B1" s="172" t="s">
        <v>406</v>
      </c>
      <c r="C1" s="720" t="s">
        <v>407</v>
      </c>
      <c r="D1" s="173" t="s">
        <v>408</v>
      </c>
      <c r="E1" s="174">
        <v>46046</v>
      </c>
      <c r="F1" s="172"/>
      <c r="G1" s="171"/>
      <c r="H1" s="172" t="s">
        <v>409</v>
      </c>
      <c r="I1" s="175" t="s">
        <v>410</v>
      </c>
    </row>
    <row r="2" spans="1:16" ht="30.6" customHeight="1" thickTop="1" thickBot="1">
      <c r="A2" s="784"/>
      <c r="B2" s="172" t="s">
        <v>411</v>
      </c>
      <c r="C2" s="786" t="s">
        <v>412</v>
      </c>
      <c r="D2" s="787"/>
      <c r="E2" s="788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1.95" customHeight="1" thickTop="1" thickBot="1">
      <c r="A3" s="784"/>
      <c r="B3" s="172" t="s">
        <v>414</v>
      </c>
      <c r="C3" s="786" t="s">
        <v>415</v>
      </c>
      <c r="D3" s="787"/>
      <c r="E3" s="788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.4" thickTop="1" thickBot="1">
      <c r="A4" s="785"/>
      <c r="B4" s="172" t="s">
        <v>397</v>
      </c>
      <c r="C4" s="789" t="s">
        <v>416</v>
      </c>
      <c r="D4" s="790"/>
      <c r="E4" s="791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95" t="s">
        <v>370</v>
      </c>
      <c r="B7" s="796"/>
      <c r="C7" s="796"/>
      <c r="D7" s="796"/>
      <c r="E7" s="796"/>
      <c r="F7" s="796"/>
      <c r="G7" s="796"/>
      <c r="H7" s="796"/>
      <c r="I7" s="796"/>
      <c r="J7" s="796"/>
      <c r="K7" s="796"/>
      <c r="L7" s="797"/>
      <c r="O7" s="167"/>
      <c r="P7" s="167"/>
    </row>
    <row r="8" spans="1:16" ht="28.8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" customHeight="1" thickBot="1">
      <c r="A13" s="800" t="s">
        <v>383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1"/>
      <c r="N13" s="802"/>
      <c r="O13" s="167"/>
      <c r="P13" s="167"/>
    </row>
    <row r="14" spans="1:16" ht="47.5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98" t="s">
        <v>113</v>
      </c>
      <c r="N14" s="799"/>
      <c r="O14" s="167"/>
      <c r="P14" s="167"/>
    </row>
    <row r="15" spans="1:16" s="659" customFormat="1" ht="66.599999999999994" customHeight="1" thickBot="1">
      <c r="A15" s="654" t="s">
        <v>392</v>
      </c>
      <c r="B15" s="654" t="s">
        <v>393</v>
      </c>
      <c r="C15" s="655">
        <v>47.84</v>
      </c>
      <c r="D15" s="656">
        <v>47.84</v>
      </c>
      <c r="E15" s="657">
        <v>47.84</v>
      </c>
      <c r="F15" s="657">
        <f>43.9+3.94</f>
        <v>47.839999999999996</v>
      </c>
      <c r="G15" s="655">
        <v>0</v>
      </c>
      <c r="H15" s="655">
        <v>0</v>
      </c>
      <c r="I15" s="655">
        <v>0</v>
      </c>
      <c r="J15" s="656">
        <v>0</v>
      </c>
      <c r="K15" s="657">
        <v>0</v>
      </c>
      <c r="L15" s="657">
        <f>E15+K15</f>
        <v>47.84</v>
      </c>
      <c r="M15" s="803"/>
      <c r="N15" s="804"/>
      <c r="O15" s="658"/>
    </row>
    <row r="16" spans="1:16" s="659" customFormat="1" ht="39.6" customHeight="1" thickTop="1" thickBot="1">
      <c r="A16" s="376" t="s">
        <v>237</v>
      </c>
      <c r="B16" s="376" t="s">
        <v>393</v>
      </c>
      <c r="C16" s="660">
        <v>47.84</v>
      </c>
      <c r="D16" s="377">
        <v>47.84</v>
      </c>
      <c r="E16" s="661">
        <v>47.84</v>
      </c>
      <c r="F16" s="657">
        <f>43.9+3.94</f>
        <v>47.839999999999996</v>
      </c>
      <c r="G16" s="660">
        <v>0</v>
      </c>
      <c r="H16" s="660">
        <v>0</v>
      </c>
      <c r="I16" s="660">
        <v>0</v>
      </c>
      <c r="J16" s="377">
        <v>0</v>
      </c>
      <c r="K16" s="661">
        <v>0</v>
      </c>
      <c r="L16" s="661">
        <f>E16+K16</f>
        <v>47.84</v>
      </c>
      <c r="M16" s="805"/>
      <c r="N16" s="806"/>
    </row>
    <row r="17" spans="1:16" ht="15.6" thickTop="1" thickBot="1">
      <c r="P17" s="168"/>
    </row>
    <row r="18" spans="1:16" s="169" customFormat="1" ht="22.2" customHeight="1" thickTop="1" thickBot="1">
      <c r="A18" s="792" t="s">
        <v>423</v>
      </c>
      <c r="B18" s="793"/>
      <c r="C18" s="793"/>
      <c r="D18" s="793"/>
      <c r="E18" s="793"/>
      <c r="F18" s="793"/>
      <c r="G18" s="793"/>
      <c r="H18" s="793"/>
      <c r="I18" s="793"/>
      <c r="J18" s="793"/>
      <c r="K18" s="793"/>
      <c r="L18" s="793"/>
      <c r="M18" s="793"/>
      <c r="N18" s="793"/>
      <c r="O18" s="794"/>
    </row>
    <row r="19" spans="1:16" s="169" customFormat="1" ht="42.6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52" customFormat="1" ht="37.200000000000003" customHeight="1" thickTop="1" thickBot="1">
      <c r="A20" s="647" t="s">
        <v>101</v>
      </c>
      <c r="B20" s="647" t="s">
        <v>107</v>
      </c>
      <c r="C20" s="647">
        <v>127</v>
      </c>
      <c r="D20" s="647">
        <v>127</v>
      </c>
      <c r="E20" s="648">
        <v>125</v>
      </c>
      <c r="F20" s="647">
        <v>0</v>
      </c>
      <c r="G20" s="647">
        <v>2</v>
      </c>
      <c r="H20" s="649">
        <v>0</v>
      </c>
      <c r="I20" s="649">
        <v>1</v>
      </c>
      <c r="J20" s="647">
        <f>D20+F20</f>
        <v>127</v>
      </c>
      <c r="K20" s="648">
        <f>E20+I20</f>
        <v>126</v>
      </c>
      <c r="L20" s="647">
        <f>+C20-K20</f>
        <v>1</v>
      </c>
      <c r="M20" s="647">
        <v>0</v>
      </c>
      <c r="N20" s="647">
        <v>1</v>
      </c>
      <c r="O20" s="650"/>
      <c r="P20" s="651"/>
    </row>
    <row r="21" spans="1:16" s="651" customFormat="1" ht="37.200000000000003" customHeight="1" thickTop="1" thickBot="1">
      <c r="A21" s="647" t="s">
        <v>102</v>
      </c>
      <c r="B21" s="647" t="s">
        <v>107</v>
      </c>
      <c r="C21" s="647">
        <v>127</v>
      </c>
      <c r="D21" s="647"/>
      <c r="E21" s="648">
        <v>123</v>
      </c>
      <c r="F21" s="647">
        <v>0</v>
      </c>
      <c r="G21" s="647">
        <v>4</v>
      </c>
      <c r="H21" s="649">
        <v>0</v>
      </c>
      <c r="I21" s="649">
        <v>1</v>
      </c>
      <c r="J21" s="647">
        <f>D21+F21</f>
        <v>0</v>
      </c>
      <c r="K21" s="648">
        <f>E21+I21</f>
        <v>124</v>
      </c>
      <c r="L21" s="647">
        <f t="shared" ref="L21:L22" si="0">+C21-K21</f>
        <v>3</v>
      </c>
      <c r="M21" s="647">
        <v>0</v>
      </c>
      <c r="N21" s="647">
        <v>0</v>
      </c>
      <c r="O21" s="647"/>
    </row>
    <row r="22" spans="1:16" s="651" customFormat="1" ht="45.6" customHeight="1" thickTop="1" thickBot="1">
      <c r="A22" s="647" t="s">
        <v>105</v>
      </c>
      <c r="B22" s="647" t="s">
        <v>107</v>
      </c>
      <c r="C22" s="647">
        <v>127</v>
      </c>
      <c r="D22" s="647">
        <v>127</v>
      </c>
      <c r="E22" s="648">
        <v>108</v>
      </c>
      <c r="F22" s="647">
        <v>0</v>
      </c>
      <c r="G22" s="647">
        <v>17</v>
      </c>
      <c r="H22" s="649">
        <v>0</v>
      </c>
      <c r="I22" s="649">
        <v>7</v>
      </c>
      <c r="J22" s="647">
        <v>127</v>
      </c>
      <c r="K22" s="648">
        <f>E22+I22</f>
        <v>115</v>
      </c>
      <c r="L22" s="647">
        <f t="shared" si="0"/>
        <v>12</v>
      </c>
      <c r="M22" s="647">
        <v>3</v>
      </c>
      <c r="N22" s="647">
        <v>3</v>
      </c>
      <c r="O22" s="650"/>
    </row>
    <row r="23" spans="1:16" s="651" customFormat="1" ht="42" customHeight="1" thickTop="1" thickBot="1">
      <c r="A23" s="647" t="s">
        <v>851</v>
      </c>
      <c r="B23" s="647" t="s">
        <v>493</v>
      </c>
      <c r="C23" s="647">
        <v>47.84</v>
      </c>
      <c r="D23" s="647">
        <f>C23</f>
        <v>47.84</v>
      </c>
      <c r="E23" s="653">
        <v>12.95</v>
      </c>
      <c r="F23" s="647">
        <v>0</v>
      </c>
      <c r="G23" s="647">
        <v>13.28</v>
      </c>
      <c r="H23" s="649">
        <v>0</v>
      </c>
      <c r="I23" s="649">
        <v>0</v>
      </c>
      <c r="J23" s="647">
        <v>47.84</v>
      </c>
      <c r="K23" s="676">
        <f>E23+I23</f>
        <v>12.95</v>
      </c>
      <c r="L23" s="647">
        <f t="shared" ref="L23" si="1">+C23-K23</f>
        <v>34.89</v>
      </c>
      <c r="M23" s="647">
        <v>2.9169999999999998</v>
      </c>
      <c r="N23" s="647">
        <v>3</v>
      </c>
      <c r="O23" s="650"/>
    </row>
    <row r="24" spans="1:16" s="371" customFormat="1" ht="38.4" customHeight="1" thickTop="1" thickBot="1">
      <c r="A24" s="581"/>
      <c r="B24" s="581"/>
      <c r="C24" s="581"/>
      <c r="D24" s="581"/>
      <c r="E24" s="582"/>
      <c r="F24" s="581"/>
      <c r="G24" s="581"/>
      <c r="H24" s="581"/>
      <c r="I24" s="581"/>
      <c r="J24" s="581"/>
      <c r="K24" s="581"/>
      <c r="L24" s="581"/>
      <c r="M24" s="581"/>
      <c r="N24" s="581"/>
      <c r="O24" s="581"/>
    </row>
    <row r="25" spans="1:16" s="371" customFormat="1" ht="19.8" customHeight="1">
      <c r="A25" s="773" t="s">
        <v>823</v>
      </c>
      <c r="B25" s="774"/>
      <c r="C25" s="774"/>
      <c r="D25" s="774"/>
      <c r="E25" s="774"/>
      <c r="F25" s="774"/>
      <c r="G25" s="774"/>
      <c r="H25" s="774"/>
      <c r="I25" s="775"/>
      <c r="J25" s="581"/>
      <c r="K25" s="581"/>
      <c r="L25" s="581"/>
      <c r="M25" s="581"/>
      <c r="N25" s="581"/>
      <c r="O25" s="581"/>
    </row>
    <row r="26" spans="1:16" s="646" customFormat="1" ht="32.4" customHeight="1" thickBot="1">
      <c r="A26" s="667" t="s">
        <v>12</v>
      </c>
      <c r="B26" s="668" t="s">
        <v>671</v>
      </c>
      <c r="C26" s="668" t="s">
        <v>672</v>
      </c>
      <c r="D26" s="776" t="s">
        <v>673</v>
      </c>
      <c r="E26" s="776"/>
      <c r="F26" s="776" t="s">
        <v>691</v>
      </c>
      <c r="G26" s="776"/>
      <c r="H26" s="776" t="s">
        <v>636</v>
      </c>
      <c r="I26" s="777"/>
      <c r="J26" s="581"/>
      <c r="K26" s="581"/>
      <c r="L26" s="581"/>
      <c r="M26" s="581"/>
      <c r="N26" s="581"/>
      <c r="O26" s="581"/>
    </row>
    <row r="27" spans="1:16" s="371" customFormat="1" ht="42" customHeight="1">
      <c r="A27" s="669">
        <v>1</v>
      </c>
      <c r="B27" s="670" t="s">
        <v>811</v>
      </c>
      <c r="C27" s="671" t="s">
        <v>885</v>
      </c>
      <c r="D27" s="778" t="s">
        <v>789</v>
      </c>
      <c r="E27" s="778"/>
      <c r="F27" s="778" t="s">
        <v>789</v>
      </c>
      <c r="G27" s="778"/>
      <c r="H27" s="779" t="s">
        <v>882</v>
      </c>
      <c r="I27" s="780"/>
      <c r="J27" s="581"/>
      <c r="K27" s="581"/>
      <c r="L27" s="581"/>
      <c r="M27" s="581"/>
      <c r="N27" s="581"/>
      <c r="O27" s="581"/>
    </row>
    <row r="28" spans="1:16" ht="29.4" customHeight="1">
      <c r="A28" s="170"/>
      <c r="G28" s="164" t="s">
        <v>794</v>
      </c>
      <c r="N28" s="581"/>
      <c r="O28" s="581"/>
    </row>
    <row r="29" spans="1:16" ht="21" customHeight="1">
      <c r="A29" s="739" t="s">
        <v>788</v>
      </c>
      <c r="B29" s="739"/>
      <c r="C29" s="739"/>
      <c r="D29" s="739"/>
      <c r="E29" s="739"/>
      <c r="F29" s="739"/>
      <c r="G29" s="739"/>
      <c r="H29" s="739"/>
      <c r="I29" s="739"/>
    </row>
    <row r="30" spans="1:16" s="640" customFormat="1" ht="40.799999999999997" customHeight="1">
      <c r="A30" s="645" t="s">
        <v>12</v>
      </c>
      <c r="B30" s="645" t="s">
        <v>671</v>
      </c>
      <c r="C30" s="645" t="s">
        <v>672</v>
      </c>
      <c r="D30" s="742" t="s">
        <v>673</v>
      </c>
      <c r="E30" s="742"/>
      <c r="F30" s="742" t="s">
        <v>691</v>
      </c>
      <c r="G30" s="742"/>
      <c r="H30" s="742" t="s">
        <v>636</v>
      </c>
      <c r="I30" s="742"/>
    </row>
    <row r="31" spans="1:16" ht="42.6" customHeight="1">
      <c r="A31" s="642">
        <v>1</v>
      </c>
      <c r="B31" s="643" t="s">
        <v>105</v>
      </c>
      <c r="C31" s="644" t="s">
        <v>697</v>
      </c>
      <c r="D31" s="980" t="s">
        <v>181</v>
      </c>
      <c r="E31" s="740"/>
      <c r="F31" s="740" t="s">
        <v>789</v>
      </c>
      <c r="G31" s="740"/>
      <c r="H31" s="741"/>
      <c r="I31" s="741"/>
    </row>
    <row r="32" spans="1:16" ht="42.6" customHeight="1">
      <c r="A32" s="642">
        <v>2</v>
      </c>
      <c r="B32" s="643" t="s">
        <v>105</v>
      </c>
      <c r="C32" s="673" t="s">
        <v>698</v>
      </c>
      <c r="D32" s="980" t="s">
        <v>519</v>
      </c>
      <c r="E32" s="740"/>
      <c r="F32" s="740" t="s">
        <v>789</v>
      </c>
      <c r="G32" s="740"/>
      <c r="H32" s="741"/>
      <c r="I32" s="741"/>
    </row>
    <row r="33" spans="1:15" ht="42.6" customHeight="1">
      <c r="A33" s="642">
        <v>3</v>
      </c>
      <c r="B33" s="643" t="s">
        <v>105</v>
      </c>
      <c r="C33" s="644" t="s">
        <v>699</v>
      </c>
      <c r="D33" s="743" t="s">
        <v>174</v>
      </c>
      <c r="E33" s="743"/>
      <c r="F33" s="740" t="s">
        <v>789</v>
      </c>
      <c r="G33" s="740"/>
      <c r="H33" s="741"/>
      <c r="I33" s="741"/>
    </row>
    <row r="34" spans="1:15" ht="30" customHeight="1" thickBot="1"/>
    <row r="35" spans="1:15" ht="21.6" customHeight="1" thickBot="1">
      <c r="A35" s="747" t="s">
        <v>780</v>
      </c>
      <c r="B35" s="748"/>
      <c r="C35" s="748"/>
      <c r="D35" s="748"/>
      <c r="E35" s="748"/>
      <c r="F35" s="748"/>
      <c r="G35" s="748"/>
      <c r="H35" s="748"/>
      <c r="I35" s="748"/>
      <c r="J35" s="748"/>
      <c r="K35" s="749"/>
    </row>
    <row r="36" spans="1:15" ht="30" customHeight="1" thickBot="1">
      <c r="A36" s="583" t="s">
        <v>12</v>
      </c>
      <c r="B36" s="584" t="s">
        <v>671</v>
      </c>
      <c r="C36" s="584" t="s">
        <v>672</v>
      </c>
      <c r="D36" s="744" t="s">
        <v>514</v>
      </c>
      <c r="E36" s="745"/>
      <c r="F36" s="744" t="s">
        <v>784</v>
      </c>
      <c r="G36" s="746"/>
      <c r="H36" s="744" t="s">
        <v>783</v>
      </c>
      <c r="I36" s="746"/>
      <c r="J36" s="750" t="s">
        <v>636</v>
      </c>
      <c r="K36" s="751"/>
    </row>
    <row r="37" spans="1:15" ht="46.8" customHeight="1">
      <c r="A37" s="981">
        <v>1</v>
      </c>
      <c r="B37" s="982" t="s">
        <v>781</v>
      </c>
      <c r="C37" s="983" t="s">
        <v>782</v>
      </c>
      <c r="D37" s="984" t="s">
        <v>847</v>
      </c>
      <c r="E37" s="984"/>
      <c r="F37" s="985">
        <v>2.5369999999999999</v>
      </c>
      <c r="G37" s="985"/>
      <c r="H37" s="986" t="s">
        <v>56</v>
      </c>
      <c r="I37" s="986"/>
      <c r="J37" s="987" t="s">
        <v>892</v>
      </c>
      <c r="K37" s="988"/>
    </row>
    <row r="38" spans="1:15" ht="46.8" customHeight="1" thickBot="1">
      <c r="A38" s="721">
        <v>2</v>
      </c>
      <c r="B38" s="731" t="s">
        <v>781</v>
      </c>
      <c r="C38" s="730" t="s">
        <v>896</v>
      </c>
      <c r="D38" s="756" t="s">
        <v>893</v>
      </c>
      <c r="E38" s="756"/>
      <c r="F38" s="754">
        <v>0.38</v>
      </c>
      <c r="G38" s="754"/>
      <c r="H38" s="989" t="s">
        <v>56</v>
      </c>
      <c r="I38" s="989"/>
      <c r="J38" s="990" t="s">
        <v>892</v>
      </c>
      <c r="K38" s="991"/>
    </row>
    <row r="39" spans="1:15" ht="30" customHeight="1">
      <c r="A39" s="170"/>
    </row>
    <row r="40" spans="1:15" s="460" customFormat="1" ht="28.2" customHeight="1">
      <c r="A40" s="679" t="s">
        <v>668</v>
      </c>
    </row>
    <row r="41" spans="1:15" s="458" customFormat="1" ht="9" customHeight="1">
      <c r="A41" s="459"/>
      <c r="B41" s="755"/>
      <c r="C41" s="755"/>
      <c r="D41" s="755"/>
      <c r="E41" s="755"/>
      <c r="F41" s="755"/>
      <c r="G41" s="755"/>
    </row>
    <row r="42" spans="1:15" s="458" customFormat="1" ht="24.6" customHeight="1">
      <c r="A42" s="677" t="s">
        <v>670</v>
      </c>
      <c r="B42" s="753" t="s">
        <v>807</v>
      </c>
      <c r="C42" s="753"/>
      <c r="D42" s="753"/>
      <c r="E42" s="753"/>
      <c r="F42" s="753"/>
      <c r="G42" s="753"/>
      <c r="H42" s="753"/>
      <c r="I42" s="753"/>
      <c r="J42" s="753"/>
      <c r="K42" s="457"/>
      <c r="L42" s="457"/>
      <c r="M42" s="475"/>
      <c r="N42" s="475"/>
      <c r="O42" s="475"/>
    </row>
    <row r="43" spans="1:15" s="458" customFormat="1" ht="24.6" customHeight="1">
      <c r="A43" s="677" t="s">
        <v>670</v>
      </c>
      <c r="B43" s="753" t="s">
        <v>705</v>
      </c>
      <c r="C43" s="753"/>
      <c r="D43" s="753"/>
      <c r="E43" s="753"/>
      <c r="F43" s="753"/>
      <c r="G43" s="753"/>
      <c r="H43" s="753"/>
      <c r="I43" s="753"/>
      <c r="J43" s="753"/>
      <c r="K43" s="457"/>
      <c r="L43" s="457"/>
      <c r="M43" s="464"/>
      <c r="N43" s="464"/>
      <c r="O43" s="464"/>
    </row>
    <row r="44" spans="1:15" s="458" customFormat="1" ht="24.6" customHeight="1">
      <c r="A44" s="677" t="s">
        <v>670</v>
      </c>
      <c r="B44" s="753" t="s">
        <v>791</v>
      </c>
      <c r="C44" s="753"/>
      <c r="D44" s="753"/>
      <c r="E44" s="753"/>
      <c r="F44" s="753"/>
      <c r="G44" s="753"/>
      <c r="H44" s="753"/>
      <c r="I44" s="753"/>
      <c r="J44" s="753"/>
      <c r="K44" s="457"/>
      <c r="L44" s="457"/>
      <c r="M44" s="475"/>
      <c r="N44" s="475"/>
      <c r="O44" s="475"/>
    </row>
    <row r="45" spans="1:15" s="458" customFormat="1" ht="24.6" customHeight="1">
      <c r="A45" s="459"/>
      <c r="B45" s="674"/>
      <c r="C45" s="674"/>
      <c r="D45" s="674"/>
      <c r="E45" s="674"/>
      <c r="F45" s="674"/>
      <c r="G45" s="674"/>
      <c r="H45" s="674"/>
      <c r="I45" s="674"/>
      <c r="J45" s="674"/>
      <c r="K45" s="457"/>
      <c r="L45" s="457"/>
      <c r="M45" s="475"/>
      <c r="N45" s="475"/>
      <c r="O45" s="475"/>
    </row>
    <row r="46" spans="1:15" s="458" customFormat="1" ht="39" customHeight="1" thickBot="1">
      <c r="A46" s="763" t="s">
        <v>895</v>
      </c>
      <c r="B46" s="763"/>
      <c r="C46" s="763"/>
      <c r="D46" s="763"/>
      <c r="E46" s="763"/>
      <c r="F46" s="763"/>
      <c r="G46" s="763"/>
      <c r="H46" s="763"/>
      <c r="I46" s="674"/>
      <c r="J46" s="674"/>
      <c r="K46" s="457"/>
      <c r="L46" s="457"/>
      <c r="M46" s="475"/>
      <c r="N46" s="475"/>
      <c r="O46" s="475"/>
    </row>
    <row r="47" spans="1:15" s="458" customFormat="1" ht="24.6" customHeight="1">
      <c r="A47" s="459"/>
      <c r="B47" s="764" t="s">
        <v>894</v>
      </c>
      <c r="C47" s="765"/>
      <c r="D47" s="765"/>
      <c r="E47" s="765"/>
      <c r="F47" s="765"/>
      <c r="G47" s="765"/>
      <c r="H47" s="765"/>
      <c r="I47" s="765"/>
      <c r="J47" s="766"/>
      <c r="K47" s="457"/>
      <c r="L47" s="457"/>
      <c r="M47" s="475"/>
      <c r="N47" s="475"/>
      <c r="O47" s="475"/>
    </row>
    <row r="48" spans="1:15" s="458" customFormat="1" ht="24.6" customHeight="1">
      <c r="A48" s="459"/>
      <c r="B48" s="767"/>
      <c r="C48" s="768"/>
      <c r="D48" s="768"/>
      <c r="E48" s="768"/>
      <c r="F48" s="768"/>
      <c r="G48" s="768"/>
      <c r="H48" s="768"/>
      <c r="I48" s="768"/>
      <c r="J48" s="769"/>
      <c r="K48" s="457"/>
      <c r="L48" s="457"/>
      <c r="M48" s="475"/>
      <c r="N48" s="475"/>
      <c r="O48" s="475"/>
    </row>
    <row r="49" spans="1:95" s="458" customFormat="1" ht="23.4" customHeight="1" thickBot="1">
      <c r="A49" s="459"/>
      <c r="B49" s="770"/>
      <c r="C49" s="771"/>
      <c r="D49" s="771"/>
      <c r="E49" s="771"/>
      <c r="F49" s="771"/>
      <c r="G49" s="771"/>
      <c r="H49" s="771"/>
      <c r="I49" s="771"/>
      <c r="J49" s="772"/>
      <c r="K49" s="457"/>
      <c r="L49" s="457"/>
      <c r="M49" s="475"/>
      <c r="N49" s="475"/>
      <c r="O49" s="475"/>
    </row>
    <row r="50" spans="1:95" s="252" customFormat="1" ht="17.399999999999999" customHeight="1">
      <c r="A50" s="459"/>
      <c r="B50" s="755"/>
      <c r="C50" s="755"/>
      <c r="D50" s="755"/>
      <c r="E50" s="755"/>
      <c r="F50" s="755"/>
      <c r="G50" s="755"/>
      <c r="H50" s="755"/>
      <c r="I50" s="755"/>
      <c r="J50" s="755"/>
      <c r="K50" s="457"/>
      <c r="L50" s="457"/>
      <c r="M50" s="456"/>
      <c r="N50" s="456"/>
      <c r="O50" s="456"/>
    </row>
    <row r="51" spans="1:95" ht="15" thickBot="1"/>
    <row r="52" spans="1:95" ht="25.8" thickBot="1">
      <c r="A52" s="757" t="s">
        <v>480</v>
      </c>
      <c r="B52" s="758"/>
      <c r="C52" s="758"/>
      <c r="D52" s="758"/>
      <c r="E52" s="758"/>
      <c r="F52" s="758"/>
      <c r="G52" s="758"/>
      <c r="H52" s="758"/>
      <c r="I52" s="758"/>
      <c r="J52" s="759"/>
    </row>
    <row r="53" spans="1:95" s="641" customFormat="1" ht="66.599999999999994" customHeight="1" thickBot="1">
      <c r="A53" s="636" t="s">
        <v>760</v>
      </c>
      <c r="B53" s="637" t="s">
        <v>761</v>
      </c>
      <c r="C53" s="760" t="s">
        <v>762</v>
      </c>
      <c r="D53" s="761"/>
      <c r="E53" s="762"/>
      <c r="F53" s="637" t="s">
        <v>372</v>
      </c>
      <c r="G53" s="637" t="s">
        <v>481</v>
      </c>
      <c r="H53" s="638" t="s">
        <v>773</v>
      </c>
      <c r="I53" s="639" t="s">
        <v>763</v>
      </c>
      <c r="J53" s="639" t="s">
        <v>113</v>
      </c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40"/>
      <c r="AB53" s="640"/>
      <c r="AC53" s="640"/>
      <c r="AD53" s="640"/>
      <c r="AE53" s="640"/>
      <c r="AF53" s="640"/>
      <c r="AG53" s="640"/>
      <c r="AH53" s="640"/>
      <c r="AI53" s="640"/>
      <c r="AJ53" s="640"/>
      <c r="AK53" s="640"/>
      <c r="AL53" s="640"/>
      <c r="AM53" s="640"/>
      <c r="AN53" s="640"/>
      <c r="AO53" s="640"/>
      <c r="AP53" s="640"/>
      <c r="AQ53" s="640"/>
      <c r="AR53" s="640"/>
      <c r="AS53" s="640"/>
      <c r="AT53" s="640"/>
      <c r="AU53" s="640"/>
      <c r="AV53" s="640"/>
      <c r="AW53" s="640"/>
      <c r="AX53" s="640"/>
      <c r="AY53" s="640"/>
      <c r="AZ53" s="640"/>
      <c r="BA53" s="640"/>
      <c r="BB53" s="640"/>
      <c r="BC53" s="640"/>
      <c r="BD53" s="640"/>
      <c r="BE53" s="640"/>
      <c r="BF53" s="640"/>
      <c r="BG53" s="640"/>
      <c r="BH53" s="640"/>
      <c r="BI53" s="640"/>
      <c r="BJ53" s="640"/>
      <c r="BK53" s="640"/>
      <c r="BL53" s="640"/>
      <c r="BM53" s="640"/>
      <c r="BN53" s="640"/>
      <c r="BO53" s="640"/>
      <c r="BP53" s="640"/>
      <c r="BQ53" s="640"/>
      <c r="BR53" s="640"/>
      <c r="BS53" s="640"/>
      <c r="BT53" s="640"/>
      <c r="BU53" s="640"/>
      <c r="BV53" s="640"/>
      <c r="BW53" s="640"/>
      <c r="BX53" s="640"/>
      <c r="BY53" s="640"/>
      <c r="BZ53" s="640"/>
      <c r="CA53" s="640"/>
      <c r="CB53" s="640"/>
      <c r="CC53" s="640"/>
      <c r="CD53" s="640"/>
      <c r="CE53" s="640"/>
      <c r="CF53" s="640"/>
      <c r="CG53" s="640"/>
      <c r="CH53" s="640"/>
      <c r="CI53" s="640"/>
      <c r="CJ53" s="640"/>
      <c r="CK53" s="640"/>
      <c r="CL53" s="640"/>
      <c r="CM53" s="640"/>
      <c r="CN53" s="640"/>
      <c r="CO53" s="640"/>
      <c r="CP53" s="640"/>
      <c r="CQ53" s="640"/>
    </row>
    <row r="54" spans="1:95" s="518" customFormat="1" ht="33.6" customHeight="1">
      <c r="A54" s="548">
        <v>1</v>
      </c>
      <c r="B54" s="549" t="s">
        <v>482</v>
      </c>
      <c r="C54" s="752" t="s">
        <v>729</v>
      </c>
      <c r="D54" s="752"/>
      <c r="E54" s="752"/>
      <c r="F54" s="550" t="s">
        <v>483</v>
      </c>
      <c r="G54" s="551">
        <v>127</v>
      </c>
      <c r="H54" s="552">
        <v>127</v>
      </c>
      <c r="I54" s="553">
        <f>G54-H54</f>
        <v>0</v>
      </c>
      <c r="J54" s="55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18" customFormat="1" ht="33.6" customHeight="1">
      <c r="A55" s="519">
        <f>A54+1</f>
        <v>2</v>
      </c>
      <c r="B55" s="546" t="s">
        <v>484</v>
      </c>
      <c r="C55" s="781" t="s">
        <v>730</v>
      </c>
      <c r="D55" s="781"/>
      <c r="E55" s="781"/>
      <c r="F55" s="391" t="s">
        <v>483</v>
      </c>
      <c r="G55" s="529">
        <v>127</v>
      </c>
      <c r="H55" s="530">
        <v>127</v>
      </c>
      <c r="I55" s="536">
        <f t="shared" ref="I55:I89" si="2">G55-H55</f>
        <v>0</v>
      </c>
      <c r="J55" s="520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18" customFormat="1" ht="33.6" customHeight="1">
      <c r="A56" s="519">
        <f t="shared" ref="A56:A88" si="3">A55+1</f>
        <v>3</v>
      </c>
      <c r="B56" s="546" t="s">
        <v>485</v>
      </c>
      <c r="C56" s="781" t="s">
        <v>731</v>
      </c>
      <c r="D56" s="781"/>
      <c r="E56" s="781"/>
      <c r="F56" s="391" t="s">
        <v>486</v>
      </c>
      <c r="G56" s="529">
        <v>127</v>
      </c>
      <c r="H56" s="530">
        <v>127</v>
      </c>
      <c r="I56" s="536">
        <f t="shared" si="2"/>
        <v>0</v>
      </c>
      <c r="J56" s="520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21" customFormat="1" ht="33.6" customHeight="1">
      <c r="A57" s="519">
        <f t="shared" si="3"/>
        <v>4</v>
      </c>
      <c r="B57" s="546" t="s">
        <v>764</v>
      </c>
      <c r="C57" s="781" t="s">
        <v>732</v>
      </c>
      <c r="D57" s="781"/>
      <c r="E57" s="781"/>
      <c r="F57" s="391" t="s">
        <v>733</v>
      </c>
      <c r="G57" s="531">
        <v>49.5</v>
      </c>
      <c r="H57" s="532">
        <f>46.875+3.5</f>
        <v>50.375</v>
      </c>
      <c r="I57" s="537">
        <f t="shared" si="2"/>
        <v>-0.875</v>
      </c>
      <c r="J57" s="528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21" customFormat="1" ht="33.6" customHeight="1">
      <c r="A58" s="519">
        <f t="shared" si="3"/>
        <v>5</v>
      </c>
      <c r="B58" s="546" t="s">
        <v>765</v>
      </c>
      <c r="C58" s="781" t="s">
        <v>734</v>
      </c>
      <c r="D58" s="781"/>
      <c r="E58" s="781"/>
      <c r="F58" s="391" t="s">
        <v>733</v>
      </c>
      <c r="G58" s="531">
        <v>1740</v>
      </c>
      <c r="H58" s="532">
        <f>1601.411+138</f>
        <v>1739.4110000000001</v>
      </c>
      <c r="I58" s="537">
        <f t="shared" si="2"/>
        <v>0.58899999999994179</v>
      </c>
      <c r="J58" s="528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21" customFormat="1" ht="33.6" customHeight="1">
      <c r="A59" s="519">
        <f t="shared" si="3"/>
        <v>6</v>
      </c>
      <c r="B59" s="546" t="s">
        <v>766</v>
      </c>
      <c r="C59" s="781" t="s">
        <v>775</v>
      </c>
      <c r="D59" s="781"/>
      <c r="E59" s="781"/>
      <c r="F59" s="391" t="s">
        <v>735</v>
      </c>
      <c r="G59" s="531">
        <v>2224</v>
      </c>
      <c r="H59" s="533">
        <v>2224</v>
      </c>
      <c r="I59" s="536">
        <f t="shared" si="2"/>
        <v>0</v>
      </c>
      <c r="J59" s="520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21" customFormat="1" ht="33.6" customHeight="1">
      <c r="A60" s="519">
        <f t="shared" si="3"/>
        <v>7</v>
      </c>
      <c r="B60" s="546" t="s">
        <v>766</v>
      </c>
      <c r="C60" s="781" t="s">
        <v>776</v>
      </c>
      <c r="D60" s="781"/>
      <c r="E60" s="781"/>
      <c r="F60" s="391" t="s">
        <v>735</v>
      </c>
      <c r="G60" s="531">
        <v>3781</v>
      </c>
      <c r="H60" s="533">
        <v>3781</v>
      </c>
      <c r="I60" s="536">
        <f t="shared" si="2"/>
        <v>0</v>
      </c>
      <c r="J60" s="520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21" customFormat="1" ht="33.6" customHeight="1">
      <c r="A61" s="519">
        <f t="shared" si="3"/>
        <v>8</v>
      </c>
      <c r="B61" s="546" t="s">
        <v>767</v>
      </c>
      <c r="C61" s="781" t="s">
        <v>777</v>
      </c>
      <c r="D61" s="781"/>
      <c r="E61" s="781"/>
      <c r="F61" s="391" t="s">
        <v>736</v>
      </c>
      <c r="G61" s="531">
        <v>528</v>
      </c>
      <c r="H61" s="533">
        <v>528</v>
      </c>
      <c r="I61" s="536">
        <f t="shared" si="2"/>
        <v>0</v>
      </c>
      <c r="J61" s="520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21" customFormat="1" ht="33.6" customHeight="1">
      <c r="A62" s="519">
        <f t="shared" si="3"/>
        <v>9</v>
      </c>
      <c r="B62" s="546" t="s">
        <v>767</v>
      </c>
      <c r="C62" s="781" t="s">
        <v>778</v>
      </c>
      <c r="D62" s="781"/>
      <c r="E62" s="781"/>
      <c r="F62" s="391" t="s">
        <v>736</v>
      </c>
      <c r="G62" s="531">
        <v>45</v>
      </c>
      <c r="H62" s="533">
        <v>45</v>
      </c>
      <c r="I62" s="536">
        <f t="shared" si="2"/>
        <v>0</v>
      </c>
      <c r="J62" s="520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21" customFormat="1" ht="33.6" customHeight="1">
      <c r="A63" s="519">
        <f t="shared" si="3"/>
        <v>10</v>
      </c>
      <c r="B63" s="546" t="s">
        <v>767</v>
      </c>
      <c r="C63" s="781" t="s">
        <v>779</v>
      </c>
      <c r="D63" s="781"/>
      <c r="E63" s="781"/>
      <c r="F63" s="391" t="s">
        <v>736</v>
      </c>
      <c r="G63" s="531">
        <v>468</v>
      </c>
      <c r="H63" s="533">
        <v>468</v>
      </c>
      <c r="I63" s="536">
        <f t="shared" si="2"/>
        <v>0</v>
      </c>
      <c r="J63" s="520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21" customFormat="1" ht="33.6" customHeight="1">
      <c r="A64" s="519">
        <f t="shared" si="3"/>
        <v>11</v>
      </c>
      <c r="B64" s="546" t="s">
        <v>768</v>
      </c>
      <c r="C64" s="781" t="s">
        <v>737</v>
      </c>
      <c r="D64" s="781"/>
      <c r="E64" s="781"/>
      <c r="F64" s="391" t="s">
        <v>735</v>
      </c>
      <c r="G64" s="531">
        <v>828</v>
      </c>
      <c r="H64" s="533">
        <v>828</v>
      </c>
      <c r="I64" s="536">
        <f t="shared" si="2"/>
        <v>0</v>
      </c>
      <c r="J64" s="520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21" customFormat="1" ht="33.6" customHeight="1">
      <c r="A65" s="519">
        <f t="shared" si="3"/>
        <v>12</v>
      </c>
      <c r="B65" s="546" t="s">
        <v>768</v>
      </c>
      <c r="C65" s="781" t="s">
        <v>738</v>
      </c>
      <c r="D65" s="781"/>
      <c r="E65" s="781"/>
      <c r="F65" s="391" t="s">
        <v>735</v>
      </c>
      <c r="G65" s="531">
        <v>338</v>
      </c>
      <c r="H65" s="533">
        <v>338</v>
      </c>
      <c r="I65" s="536">
        <f t="shared" si="2"/>
        <v>0</v>
      </c>
      <c r="J65" s="520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21" customFormat="1" ht="33.6" customHeight="1">
      <c r="A66" s="519">
        <f t="shared" si="3"/>
        <v>13</v>
      </c>
      <c r="B66" s="546" t="s">
        <v>768</v>
      </c>
      <c r="C66" s="781" t="s">
        <v>739</v>
      </c>
      <c r="D66" s="781"/>
      <c r="E66" s="781"/>
      <c r="F66" s="391" t="s">
        <v>735</v>
      </c>
      <c r="G66" s="531">
        <v>5628</v>
      </c>
      <c r="H66" s="533">
        <f>4992+468</f>
        <v>5460</v>
      </c>
      <c r="I66" s="536">
        <f t="shared" si="2"/>
        <v>168</v>
      </c>
      <c r="J66" s="528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21" customFormat="1" ht="33.6" customHeight="1">
      <c r="A67" s="519">
        <f t="shared" si="3"/>
        <v>14</v>
      </c>
      <c r="B67" s="546" t="s">
        <v>768</v>
      </c>
      <c r="C67" s="781" t="s">
        <v>740</v>
      </c>
      <c r="D67" s="781"/>
      <c r="E67" s="781"/>
      <c r="F67" s="391" t="s">
        <v>735</v>
      </c>
      <c r="G67" s="531">
        <v>1170</v>
      </c>
      <c r="H67" s="533">
        <v>1170</v>
      </c>
      <c r="I67" s="536">
        <f t="shared" si="2"/>
        <v>0</v>
      </c>
      <c r="J67" s="520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21" customFormat="1" ht="33.6" customHeight="1">
      <c r="A68" s="519">
        <f t="shared" si="3"/>
        <v>15</v>
      </c>
      <c r="B68" s="546" t="s">
        <v>769</v>
      </c>
      <c r="C68" s="781" t="s">
        <v>741</v>
      </c>
      <c r="D68" s="781"/>
      <c r="E68" s="781"/>
      <c r="F68" s="391" t="s">
        <v>735</v>
      </c>
      <c r="G68" s="531">
        <v>26</v>
      </c>
      <c r="H68" s="533">
        <v>26</v>
      </c>
      <c r="I68" s="536">
        <f t="shared" si="2"/>
        <v>0</v>
      </c>
      <c r="J68" s="520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21" customFormat="1" ht="33.6" customHeight="1">
      <c r="A69" s="519">
        <f t="shared" si="3"/>
        <v>16</v>
      </c>
      <c r="B69" s="546" t="s">
        <v>769</v>
      </c>
      <c r="C69" s="781" t="s">
        <v>742</v>
      </c>
      <c r="D69" s="781"/>
      <c r="E69" s="781"/>
      <c r="F69" s="391" t="s">
        <v>735</v>
      </c>
      <c r="G69" s="531">
        <v>169</v>
      </c>
      <c r="H69" s="533">
        <v>169</v>
      </c>
      <c r="I69" s="536">
        <f t="shared" si="2"/>
        <v>0</v>
      </c>
      <c r="J69" s="520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21" customFormat="1" ht="33.6" customHeight="1">
      <c r="A70" s="519">
        <f t="shared" si="3"/>
        <v>17</v>
      </c>
      <c r="B70" s="546" t="s">
        <v>769</v>
      </c>
      <c r="C70" s="781" t="s">
        <v>743</v>
      </c>
      <c r="D70" s="781"/>
      <c r="E70" s="781"/>
      <c r="F70" s="391" t="s">
        <v>735</v>
      </c>
      <c r="G70" s="531">
        <v>340</v>
      </c>
      <c r="H70" s="533">
        <v>340</v>
      </c>
      <c r="I70" s="536">
        <f t="shared" si="2"/>
        <v>0</v>
      </c>
      <c r="J70" s="520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21" customFormat="1" ht="33.6" customHeight="1">
      <c r="A71" s="519">
        <f t="shared" si="3"/>
        <v>18</v>
      </c>
      <c r="B71" s="546" t="s">
        <v>769</v>
      </c>
      <c r="C71" s="781" t="s">
        <v>744</v>
      </c>
      <c r="D71" s="781"/>
      <c r="E71" s="781"/>
      <c r="F71" s="391" t="s">
        <v>735</v>
      </c>
      <c r="G71" s="531">
        <v>88</v>
      </c>
      <c r="H71" s="533">
        <v>88</v>
      </c>
      <c r="I71" s="536">
        <f t="shared" si="2"/>
        <v>0</v>
      </c>
      <c r="J71" s="520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21" customFormat="1" ht="33.6" customHeight="1">
      <c r="A72" s="519">
        <f t="shared" si="3"/>
        <v>19</v>
      </c>
      <c r="B72" s="546" t="s">
        <v>769</v>
      </c>
      <c r="C72" s="781" t="s">
        <v>745</v>
      </c>
      <c r="D72" s="781"/>
      <c r="E72" s="781"/>
      <c r="F72" s="391" t="s">
        <v>735</v>
      </c>
      <c r="G72" s="531">
        <v>81</v>
      </c>
      <c r="H72" s="533">
        <v>81</v>
      </c>
      <c r="I72" s="536">
        <f t="shared" si="2"/>
        <v>0</v>
      </c>
      <c r="J72" s="520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21" customFormat="1" ht="33.6" customHeight="1">
      <c r="A73" s="519">
        <f t="shared" si="3"/>
        <v>20</v>
      </c>
      <c r="B73" s="546" t="s">
        <v>770</v>
      </c>
      <c r="C73" s="781" t="s">
        <v>746</v>
      </c>
      <c r="D73" s="781"/>
      <c r="E73" s="781"/>
      <c r="F73" s="391" t="s">
        <v>733</v>
      </c>
      <c r="G73" s="531">
        <v>50.48</v>
      </c>
      <c r="H73" s="532">
        <v>50.223999999999997</v>
      </c>
      <c r="I73" s="538">
        <f t="shared" si="2"/>
        <v>0.25600000000000023</v>
      </c>
      <c r="J73" s="522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21" customFormat="1" ht="33.6" customHeight="1">
      <c r="A74" s="519">
        <f t="shared" si="3"/>
        <v>21</v>
      </c>
      <c r="B74" s="546" t="s">
        <v>770</v>
      </c>
      <c r="C74" s="781" t="s">
        <v>747</v>
      </c>
      <c r="D74" s="781"/>
      <c r="E74" s="781"/>
      <c r="F74" s="391" t="s">
        <v>735</v>
      </c>
      <c r="G74" s="531">
        <v>88</v>
      </c>
      <c r="H74" s="533">
        <v>88</v>
      </c>
      <c r="I74" s="536">
        <f t="shared" si="2"/>
        <v>0</v>
      </c>
      <c r="J74" s="520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21" customFormat="1" ht="33.6" customHeight="1">
      <c r="A75" s="519">
        <f t="shared" si="3"/>
        <v>22</v>
      </c>
      <c r="B75" s="546" t="s">
        <v>770</v>
      </c>
      <c r="C75" s="781" t="s">
        <v>748</v>
      </c>
      <c r="D75" s="781"/>
      <c r="E75" s="781"/>
      <c r="F75" s="391" t="s">
        <v>736</v>
      </c>
      <c r="G75" s="531">
        <v>2</v>
      </c>
      <c r="H75" s="533">
        <v>2</v>
      </c>
      <c r="I75" s="536">
        <f t="shared" si="2"/>
        <v>0</v>
      </c>
      <c r="J75" s="520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21" customFormat="1" ht="33.6" customHeight="1">
      <c r="A76" s="519">
        <f t="shared" si="3"/>
        <v>23</v>
      </c>
      <c r="B76" s="546" t="s">
        <v>770</v>
      </c>
      <c r="C76" s="781" t="s">
        <v>749</v>
      </c>
      <c r="D76" s="781"/>
      <c r="E76" s="781"/>
      <c r="F76" s="391" t="s">
        <v>736</v>
      </c>
      <c r="G76" s="531">
        <v>11</v>
      </c>
      <c r="H76" s="533">
        <v>11</v>
      </c>
      <c r="I76" s="536">
        <f t="shared" si="2"/>
        <v>0</v>
      </c>
      <c r="J76" s="520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21" customFormat="1" ht="33.6" customHeight="1">
      <c r="A77" s="519">
        <f t="shared" si="3"/>
        <v>24</v>
      </c>
      <c r="B77" s="546" t="s">
        <v>770</v>
      </c>
      <c r="C77" s="781" t="s">
        <v>750</v>
      </c>
      <c r="D77" s="781"/>
      <c r="E77" s="781"/>
      <c r="F77" s="391" t="s">
        <v>736</v>
      </c>
      <c r="G77" s="531">
        <v>27</v>
      </c>
      <c r="H77" s="533">
        <v>27</v>
      </c>
      <c r="I77" s="536">
        <f t="shared" si="2"/>
        <v>0</v>
      </c>
      <c r="J77" s="520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21" customFormat="1" ht="43.2" customHeight="1">
      <c r="A78" s="519">
        <f t="shared" si="3"/>
        <v>25</v>
      </c>
      <c r="B78" s="546" t="s">
        <v>770</v>
      </c>
      <c r="C78" s="781" t="s">
        <v>787</v>
      </c>
      <c r="D78" s="781"/>
      <c r="E78" s="781"/>
      <c r="F78" s="391" t="s">
        <v>736</v>
      </c>
      <c r="G78" s="531">
        <v>0</v>
      </c>
      <c r="H78" s="533">
        <v>0</v>
      </c>
      <c r="I78" s="536">
        <f t="shared" si="2"/>
        <v>0</v>
      </c>
      <c r="J78" s="520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21" customFormat="1" ht="33.6" customHeight="1">
      <c r="A79" s="519">
        <f t="shared" si="3"/>
        <v>26</v>
      </c>
      <c r="B79" s="546" t="s">
        <v>770</v>
      </c>
      <c r="C79" s="781" t="s">
        <v>751</v>
      </c>
      <c r="D79" s="781"/>
      <c r="E79" s="781"/>
      <c r="F79" s="391" t="s">
        <v>735</v>
      </c>
      <c r="G79" s="531">
        <v>489</v>
      </c>
      <c r="H79" s="533">
        <v>489</v>
      </c>
      <c r="I79" s="536">
        <f t="shared" si="2"/>
        <v>0</v>
      </c>
      <c r="J79" s="528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21" customFormat="1" ht="33.6" customHeight="1">
      <c r="A80" s="519">
        <f t="shared" si="3"/>
        <v>27</v>
      </c>
      <c r="B80" s="546" t="s">
        <v>770</v>
      </c>
      <c r="C80" s="781" t="s">
        <v>752</v>
      </c>
      <c r="D80" s="781"/>
      <c r="E80" s="781"/>
      <c r="F80" s="391" t="s">
        <v>735</v>
      </c>
      <c r="G80" s="531">
        <v>457</v>
      </c>
      <c r="H80" s="533">
        <v>457</v>
      </c>
      <c r="I80" s="536">
        <f t="shared" si="2"/>
        <v>0</v>
      </c>
      <c r="J80" s="528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21" customFormat="1" ht="33.6" customHeight="1">
      <c r="A81" s="519">
        <f t="shared" si="3"/>
        <v>28</v>
      </c>
      <c r="B81" s="546" t="s">
        <v>770</v>
      </c>
      <c r="C81" s="781" t="s">
        <v>753</v>
      </c>
      <c r="D81" s="781"/>
      <c r="E81" s="781"/>
      <c r="F81" s="391" t="s">
        <v>735</v>
      </c>
      <c r="G81" s="531">
        <v>13</v>
      </c>
      <c r="H81" s="533">
        <v>13</v>
      </c>
      <c r="I81" s="536">
        <f t="shared" si="2"/>
        <v>0</v>
      </c>
      <c r="J81" s="520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21" customFormat="1" ht="33.6" customHeight="1">
      <c r="A82" s="519">
        <f t="shared" si="3"/>
        <v>29</v>
      </c>
      <c r="B82" s="546" t="s">
        <v>771</v>
      </c>
      <c r="C82" s="781" t="s">
        <v>786</v>
      </c>
      <c r="D82" s="781"/>
      <c r="E82" s="781"/>
      <c r="F82" s="391" t="s">
        <v>735</v>
      </c>
      <c r="G82" s="531">
        <v>0</v>
      </c>
      <c r="H82" s="533">
        <v>0</v>
      </c>
      <c r="I82" s="536">
        <f t="shared" si="2"/>
        <v>0</v>
      </c>
      <c r="J82" s="520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21" customFormat="1" ht="39.6" customHeight="1">
      <c r="A83" s="519">
        <f t="shared" si="3"/>
        <v>30</v>
      </c>
      <c r="B83" s="546" t="s">
        <v>771</v>
      </c>
      <c r="C83" s="781" t="s">
        <v>785</v>
      </c>
      <c r="D83" s="781"/>
      <c r="E83" s="781"/>
      <c r="F83" s="391" t="s">
        <v>735</v>
      </c>
      <c r="G83" s="531">
        <v>7</v>
      </c>
      <c r="H83" s="533">
        <v>0</v>
      </c>
      <c r="I83" s="536">
        <f t="shared" si="2"/>
        <v>7</v>
      </c>
      <c r="J83" s="528" t="s">
        <v>886</v>
      </c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21" customFormat="1" ht="33.6" customHeight="1">
      <c r="A84" s="519">
        <f t="shared" si="3"/>
        <v>31</v>
      </c>
      <c r="B84" s="546" t="s">
        <v>772</v>
      </c>
      <c r="C84" s="781" t="s">
        <v>754</v>
      </c>
      <c r="D84" s="781"/>
      <c r="E84" s="781"/>
      <c r="F84" s="391" t="s">
        <v>735</v>
      </c>
      <c r="G84" s="531">
        <v>127</v>
      </c>
      <c r="H84" s="533">
        <v>127</v>
      </c>
      <c r="I84" s="536">
        <f t="shared" si="2"/>
        <v>0</v>
      </c>
      <c r="J84" s="520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21" customFormat="1" ht="33.6" customHeight="1">
      <c r="A85" s="519">
        <f t="shared" si="3"/>
        <v>32</v>
      </c>
      <c r="B85" s="546" t="s">
        <v>772</v>
      </c>
      <c r="C85" s="781" t="s">
        <v>755</v>
      </c>
      <c r="D85" s="781"/>
      <c r="E85" s="781"/>
      <c r="F85" s="391" t="s">
        <v>735</v>
      </c>
      <c r="G85" s="531">
        <v>127</v>
      </c>
      <c r="H85" s="533">
        <v>127</v>
      </c>
      <c r="I85" s="536">
        <f t="shared" si="2"/>
        <v>0</v>
      </c>
      <c r="J85" s="520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21" customFormat="1" ht="33.6" customHeight="1">
      <c r="A86" s="519">
        <f t="shared" si="3"/>
        <v>33</v>
      </c>
      <c r="B86" s="546" t="s">
        <v>772</v>
      </c>
      <c r="C86" s="781" t="s">
        <v>756</v>
      </c>
      <c r="D86" s="781"/>
      <c r="E86" s="781"/>
      <c r="F86" s="391" t="s">
        <v>736</v>
      </c>
      <c r="G86" s="531">
        <v>254</v>
      </c>
      <c r="H86" s="533">
        <v>254</v>
      </c>
      <c r="I86" s="536">
        <f t="shared" si="2"/>
        <v>0</v>
      </c>
      <c r="J86" s="520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21" customFormat="1" ht="33.6" customHeight="1">
      <c r="A87" s="519">
        <f t="shared" si="3"/>
        <v>34</v>
      </c>
      <c r="B87" s="546" t="s">
        <v>772</v>
      </c>
      <c r="C87" s="781" t="s">
        <v>757</v>
      </c>
      <c r="D87" s="781"/>
      <c r="E87" s="781"/>
      <c r="F87" s="391" t="s">
        <v>736</v>
      </c>
      <c r="G87" s="531">
        <v>127</v>
      </c>
      <c r="H87" s="533">
        <v>127</v>
      </c>
      <c r="I87" s="536">
        <f t="shared" si="2"/>
        <v>0</v>
      </c>
      <c r="J87" s="520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21" customFormat="1" ht="33.6" customHeight="1">
      <c r="A88" s="519">
        <f t="shared" si="3"/>
        <v>35</v>
      </c>
      <c r="B88" s="546" t="s">
        <v>772</v>
      </c>
      <c r="C88" s="781" t="s">
        <v>758</v>
      </c>
      <c r="D88" s="781"/>
      <c r="E88" s="781"/>
      <c r="F88" s="391" t="s">
        <v>736</v>
      </c>
      <c r="G88" s="531">
        <v>127</v>
      </c>
      <c r="H88" s="533">
        <v>127</v>
      </c>
      <c r="I88" s="536">
        <f t="shared" si="2"/>
        <v>0</v>
      </c>
      <c r="J88" s="520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21" customFormat="1" ht="33.6" customHeight="1" thickBot="1">
      <c r="A89" s="523">
        <f t="shared" ref="A89" si="4">A88+1</f>
        <v>36</v>
      </c>
      <c r="B89" s="547" t="s">
        <v>772</v>
      </c>
      <c r="C89" s="782" t="s">
        <v>759</v>
      </c>
      <c r="D89" s="782"/>
      <c r="E89" s="782"/>
      <c r="F89" s="517" t="s">
        <v>736</v>
      </c>
      <c r="G89" s="534">
        <v>176</v>
      </c>
      <c r="H89" s="535">
        <v>176</v>
      </c>
      <c r="I89" s="539">
        <f t="shared" si="2"/>
        <v>0</v>
      </c>
      <c r="J89" s="52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21" customFormat="1">
      <c r="B90" s="525"/>
      <c r="C90" s="526"/>
      <c r="D90" s="527"/>
      <c r="E90" s="527"/>
      <c r="F90" s="527"/>
      <c r="G90" s="527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</sheetData>
  <mergeCells count="88"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  <mergeCell ref="C62:E62"/>
    <mergeCell ref="C61:E61"/>
    <mergeCell ref="C60:E60"/>
    <mergeCell ref="C71:E71"/>
    <mergeCell ref="C70:E70"/>
    <mergeCell ref="C69:E69"/>
    <mergeCell ref="C68:E68"/>
    <mergeCell ref="C64:E64"/>
    <mergeCell ref="C63:E63"/>
    <mergeCell ref="C78:E78"/>
    <mergeCell ref="C77:E77"/>
    <mergeCell ref="C67:E67"/>
    <mergeCell ref="C66:E66"/>
    <mergeCell ref="C65:E65"/>
    <mergeCell ref="C73:E73"/>
    <mergeCell ref="C72:E72"/>
    <mergeCell ref="C76:E76"/>
    <mergeCell ref="C75:E75"/>
    <mergeCell ref="C74:E74"/>
    <mergeCell ref="C80:E80"/>
    <mergeCell ref="C79:E79"/>
    <mergeCell ref="C83:E83"/>
    <mergeCell ref="C82:E82"/>
    <mergeCell ref="C81:E81"/>
    <mergeCell ref="C84:E84"/>
    <mergeCell ref="C89:E89"/>
    <mergeCell ref="C88:E88"/>
    <mergeCell ref="C87:E87"/>
    <mergeCell ref="C86:E86"/>
    <mergeCell ref="C85:E85"/>
    <mergeCell ref="C59:E59"/>
    <mergeCell ref="C58:E58"/>
    <mergeCell ref="C57:E57"/>
    <mergeCell ref="C56:E56"/>
    <mergeCell ref="C55:E55"/>
    <mergeCell ref="A25:I25"/>
    <mergeCell ref="D26:E26"/>
    <mergeCell ref="F26:G26"/>
    <mergeCell ref="H26:I26"/>
    <mergeCell ref="D27:E27"/>
    <mergeCell ref="F27:G27"/>
    <mergeCell ref="H27:I27"/>
    <mergeCell ref="C54:E54"/>
    <mergeCell ref="B42:J42"/>
    <mergeCell ref="F38:G38"/>
    <mergeCell ref="H38:I38"/>
    <mergeCell ref="J38:K38"/>
    <mergeCell ref="B41:G41"/>
    <mergeCell ref="D38:E38"/>
    <mergeCell ref="A52:J52"/>
    <mergeCell ref="B43:J43"/>
    <mergeCell ref="B44:J44"/>
    <mergeCell ref="C53:E53"/>
    <mergeCell ref="B50:J50"/>
    <mergeCell ref="A46:H46"/>
    <mergeCell ref="B47:J49"/>
    <mergeCell ref="D36:E36"/>
    <mergeCell ref="F36:G36"/>
    <mergeCell ref="H36:I36"/>
    <mergeCell ref="H33:I33"/>
    <mergeCell ref="A35:K35"/>
    <mergeCell ref="J36:K36"/>
    <mergeCell ref="J37:K37"/>
    <mergeCell ref="D37:E37"/>
    <mergeCell ref="F37:G37"/>
    <mergeCell ref="H37:I37"/>
    <mergeCell ref="A29:I29"/>
    <mergeCell ref="D32:E32"/>
    <mergeCell ref="F32:G32"/>
    <mergeCell ref="H32:I32"/>
    <mergeCell ref="F30:G30"/>
    <mergeCell ref="H31:I31"/>
    <mergeCell ref="H30:I30"/>
    <mergeCell ref="D31:E31"/>
    <mergeCell ref="F31:G31"/>
    <mergeCell ref="D30:E30"/>
    <mergeCell ref="F33:G33"/>
    <mergeCell ref="D33:E33"/>
  </mergeCells>
  <phoneticPr fontId="93" type="noConversion"/>
  <conditionalFormatting sqref="D39:D40 C9:K10 D51 D90:D162">
    <cfRule type="cellIs" dxfId="91" priority="6" stopIfTrue="1" operator="greaterThan">
      <formula>600</formula>
    </cfRule>
  </conditionalFormatting>
  <conditionalFormatting sqref="D12">
    <cfRule type="cellIs" dxfId="90" priority="7" stopIfTrue="1" operator="greaterThan">
      <formula>600</formula>
    </cfRule>
  </conditionalFormatting>
  <conditionalFormatting sqref="D15:D17">
    <cfRule type="cellIs" dxfId="89" priority="3" stopIfTrue="1" operator="greaterThan">
      <formula>600</formula>
    </cfRule>
  </conditionalFormatting>
  <conditionalFormatting sqref="D28">
    <cfRule type="cellIs" dxfId="88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view="pageBreakPreview" topLeftCell="A250" zoomScale="70" zoomScaleNormal="70" zoomScaleSheetLayoutView="70" workbookViewId="0">
      <selection activeCell="A258" sqref="A258:XFD260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856" t="s">
        <v>370</v>
      </c>
      <c r="B1" s="857"/>
      <c r="C1" s="857"/>
      <c r="D1" s="857"/>
      <c r="E1" s="857"/>
      <c r="F1" s="857"/>
      <c r="G1" s="857"/>
      <c r="H1" s="857"/>
      <c r="I1" s="857"/>
      <c r="J1" s="857"/>
      <c r="K1" s="857"/>
      <c r="L1" s="858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3.95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860" t="s">
        <v>383</v>
      </c>
      <c r="B7" s="861"/>
      <c r="C7" s="861"/>
      <c r="D7" s="861"/>
      <c r="E7" s="861"/>
      <c r="F7" s="861"/>
      <c r="G7" s="861"/>
      <c r="H7" s="861"/>
      <c r="I7" s="861"/>
      <c r="J7" s="861"/>
      <c r="K7" s="861"/>
      <c r="L7" s="861"/>
      <c r="M7" s="861"/>
      <c r="N7" s="862"/>
      <c r="O7" s="167"/>
      <c r="P7" s="167"/>
    </row>
    <row r="8" spans="1:16" s="164" customFormat="1" ht="43.2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46" t="s">
        <v>113</v>
      </c>
      <c r="N8" s="846"/>
      <c r="O8" s="167"/>
      <c r="P8" s="167"/>
    </row>
    <row r="9" spans="1:16" s="164" customFormat="1" ht="66.599999999999994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47"/>
      <c r="N9" s="848"/>
      <c r="O9" s="166"/>
    </row>
    <row r="10" spans="1:16" s="164" customFormat="1" ht="39.6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49"/>
      <c r="N10" s="850"/>
    </row>
    <row r="11" spans="1:16" ht="21" customHeight="1" thickTop="1">
      <c r="A11" s="859" t="s">
        <v>101</v>
      </c>
      <c r="B11" s="859"/>
      <c r="C11" s="859"/>
      <c r="D11" s="859"/>
      <c r="E11" s="859"/>
      <c r="F11" s="859"/>
      <c r="G11" s="859"/>
      <c r="H11" s="859"/>
      <c r="I11" s="859"/>
      <c r="J11" s="859"/>
      <c r="K11" s="859"/>
      <c r="L11" s="859"/>
      <c r="M11" s="859"/>
      <c r="N11" s="859"/>
      <c r="O11" s="859"/>
      <c r="P11" s="859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839" t="s">
        <v>112</v>
      </c>
      <c r="H12" s="840"/>
      <c r="I12" s="840"/>
      <c r="J12" s="841"/>
      <c r="K12" s="162" t="s">
        <v>397</v>
      </c>
      <c r="L12" s="162" t="s">
        <v>398</v>
      </c>
      <c r="M12" s="162" t="s">
        <v>399</v>
      </c>
      <c r="N12" s="839" t="s">
        <v>400</v>
      </c>
      <c r="O12" s="840"/>
      <c r="P12" s="841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53" t="s">
        <v>402</v>
      </c>
      <c r="H13" s="854"/>
      <c r="I13" s="854"/>
      <c r="J13" s="854"/>
      <c r="K13" s="179">
        <v>45465</v>
      </c>
      <c r="L13" s="181" t="s">
        <v>446</v>
      </c>
      <c r="M13" s="177"/>
      <c r="N13" s="851"/>
      <c r="O13" s="851"/>
      <c r="P13" s="851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53" t="s">
        <v>402</v>
      </c>
      <c r="H14" s="854"/>
      <c r="I14" s="854"/>
      <c r="J14" s="854"/>
      <c r="K14" s="179">
        <v>45472</v>
      </c>
      <c r="L14" s="181" t="s">
        <v>446</v>
      </c>
      <c r="M14" s="177"/>
      <c r="N14" s="851"/>
      <c r="O14" s="851"/>
      <c r="P14" s="851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53" t="s">
        <v>402</v>
      </c>
      <c r="H15" s="854"/>
      <c r="I15" s="854"/>
      <c r="J15" s="854"/>
      <c r="K15" s="179">
        <v>45484</v>
      </c>
      <c r="L15" s="181" t="s">
        <v>446</v>
      </c>
      <c r="M15" s="177"/>
      <c r="N15" s="851"/>
      <c r="O15" s="851"/>
      <c r="P15" s="851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53" t="s">
        <v>402</v>
      </c>
      <c r="H16" s="854"/>
      <c r="I16" s="854"/>
      <c r="J16" s="854"/>
      <c r="K16" s="183">
        <v>45489</v>
      </c>
      <c r="L16" s="181" t="s">
        <v>447</v>
      </c>
      <c r="M16" s="181"/>
      <c r="N16" s="851"/>
      <c r="O16" s="851"/>
      <c r="P16" s="851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53" t="s">
        <v>402</v>
      </c>
      <c r="H17" s="854"/>
      <c r="I17" s="854"/>
      <c r="J17" s="854"/>
      <c r="K17" s="183">
        <v>45489</v>
      </c>
      <c r="L17" s="181" t="s">
        <v>443</v>
      </c>
      <c r="M17" s="181"/>
      <c r="N17" s="851"/>
      <c r="O17" s="851"/>
      <c r="P17" s="851"/>
    </row>
    <row r="18" spans="1:16" s="32" customFormat="1" ht="35.549999999999997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53" t="s">
        <v>402</v>
      </c>
      <c r="H18" s="854"/>
      <c r="I18" s="854"/>
      <c r="J18" s="854"/>
      <c r="K18" s="183">
        <v>45496</v>
      </c>
      <c r="L18" s="181" t="s">
        <v>449</v>
      </c>
      <c r="M18" s="181"/>
      <c r="N18" s="851"/>
      <c r="O18" s="851"/>
      <c r="P18" s="851"/>
    </row>
    <row r="19" spans="1:16" s="32" customFormat="1" ht="35.549999999999997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53" t="s">
        <v>402</v>
      </c>
      <c r="H19" s="854"/>
      <c r="I19" s="854"/>
      <c r="J19" s="854"/>
      <c r="K19" s="183">
        <v>45485</v>
      </c>
      <c r="L19" s="181" t="s">
        <v>443</v>
      </c>
      <c r="M19" s="181"/>
      <c r="N19" s="851"/>
      <c r="O19" s="851"/>
      <c r="P19" s="851"/>
    </row>
    <row r="20" spans="1:16" s="32" customFormat="1" ht="35.549999999999997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53" t="s">
        <v>402</v>
      </c>
      <c r="H20" s="854"/>
      <c r="I20" s="854"/>
      <c r="J20" s="854"/>
      <c r="K20" s="183">
        <v>45496</v>
      </c>
      <c r="L20" s="181" t="s">
        <v>443</v>
      </c>
      <c r="M20" s="181"/>
      <c r="N20" s="851"/>
      <c r="O20" s="851"/>
      <c r="P20" s="851"/>
    </row>
    <row r="21" spans="1:16" s="32" customFormat="1" ht="35.549999999999997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53" t="s">
        <v>402</v>
      </c>
      <c r="H21" s="854"/>
      <c r="I21" s="854"/>
      <c r="J21" s="854"/>
      <c r="K21" s="183">
        <v>45499</v>
      </c>
      <c r="L21" s="181" t="s">
        <v>450</v>
      </c>
      <c r="M21" s="181"/>
      <c r="N21" s="851"/>
      <c r="O21" s="851"/>
      <c r="P21" s="851"/>
    </row>
    <row r="22" spans="1:16" s="32" customFormat="1" ht="35.549999999999997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53" t="s">
        <v>402</v>
      </c>
      <c r="H22" s="854"/>
      <c r="I22" s="854"/>
      <c r="J22" s="854"/>
      <c r="K22" s="183">
        <v>45504</v>
      </c>
      <c r="L22" s="181" t="s">
        <v>451</v>
      </c>
      <c r="M22" s="181"/>
      <c r="N22" s="851"/>
      <c r="O22" s="851"/>
      <c r="P22" s="851"/>
    </row>
    <row r="23" spans="1:16" s="32" customFormat="1" ht="35.549999999999997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821" t="s">
        <v>402</v>
      </c>
      <c r="H23" s="822"/>
      <c r="I23" s="822"/>
      <c r="J23" s="822"/>
      <c r="K23" s="183">
        <v>45515</v>
      </c>
      <c r="L23" s="181" t="s">
        <v>450</v>
      </c>
      <c r="M23" s="181"/>
      <c r="N23" s="852"/>
      <c r="O23" s="851"/>
      <c r="P23" s="851"/>
    </row>
    <row r="24" spans="1:16" s="32" customFormat="1" ht="35.549999999999997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821" t="s">
        <v>402</v>
      </c>
      <c r="H24" s="822"/>
      <c r="I24" s="822"/>
      <c r="J24" s="822"/>
      <c r="K24" s="183">
        <v>45510</v>
      </c>
      <c r="L24" s="181" t="s">
        <v>450</v>
      </c>
      <c r="M24" s="181"/>
      <c r="N24" s="851"/>
      <c r="O24" s="851"/>
      <c r="P24" s="851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821" t="s">
        <v>402</v>
      </c>
      <c r="H25" s="822"/>
      <c r="I25" s="822"/>
      <c r="J25" s="822"/>
      <c r="K25" s="183">
        <v>45507</v>
      </c>
      <c r="L25" s="181" t="s">
        <v>451</v>
      </c>
      <c r="M25" s="181"/>
      <c r="N25" s="851"/>
      <c r="O25" s="851"/>
      <c r="P25" s="851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821" t="s">
        <v>402</v>
      </c>
      <c r="H26" s="822"/>
      <c r="I26" s="822"/>
      <c r="J26" s="822"/>
      <c r="K26" s="183">
        <v>45506</v>
      </c>
      <c r="L26" s="181" t="s">
        <v>449</v>
      </c>
      <c r="M26" s="181"/>
      <c r="N26" s="851"/>
      <c r="O26" s="851"/>
      <c r="P26" s="851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821" t="s">
        <v>402</v>
      </c>
      <c r="H27" s="822"/>
      <c r="I27" s="822"/>
      <c r="J27" s="822"/>
      <c r="K27" s="183">
        <v>45514</v>
      </c>
      <c r="L27" s="181" t="s">
        <v>451</v>
      </c>
      <c r="M27" s="181"/>
      <c r="N27" s="851"/>
      <c r="O27" s="851"/>
      <c r="P27" s="851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821" t="s">
        <v>402</v>
      </c>
      <c r="H28" s="822"/>
      <c r="I28" s="822"/>
      <c r="J28" s="822"/>
      <c r="K28" s="183">
        <v>45514</v>
      </c>
      <c r="L28" s="181" t="s">
        <v>449</v>
      </c>
      <c r="M28" s="181"/>
      <c r="N28" s="851"/>
      <c r="O28" s="851"/>
      <c r="P28" s="851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821" t="s">
        <v>402</v>
      </c>
      <c r="H29" s="822"/>
      <c r="I29" s="822"/>
      <c r="J29" s="822"/>
      <c r="K29" s="183">
        <v>45530</v>
      </c>
      <c r="L29" s="181" t="s">
        <v>451</v>
      </c>
      <c r="M29" s="181"/>
      <c r="N29" s="851"/>
      <c r="O29" s="851"/>
      <c r="P29" s="851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821" t="s">
        <v>402</v>
      </c>
      <c r="H30" s="822"/>
      <c r="I30" s="822"/>
      <c r="J30" s="822"/>
      <c r="K30" s="183">
        <v>45525</v>
      </c>
      <c r="L30" s="181" t="s">
        <v>450</v>
      </c>
      <c r="M30" s="181"/>
      <c r="N30" s="851"/>
      <c r="O30" s="851"/>
      <c r="P30" s="851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821" t="s">
        <v>402</v>
      </c>
      <c r="H31" s="822"/>
      <c r="I31" s="822"/>
      <c r="J31" s="822"/>
      <c r="K31" s="183">
        <v>45531</v>
      </c>
      <c r="L31" s="181" t="s">
        <v>450</v>
      </c>
      <c r="M31" s="181"/>
      <c r="N31" s="851"/>
      <c r="O31" s="851"/>
      <c r="P31" s="851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821" t="s">
        <v>402</v>
      </c>
      <c r="H32" s="822"/>
      <c r="I32" s="822"/>
      <c r="J32" s="822"/>
      <c r="K32" s="183">
        <v>45843</v>
      </c>
      <c r="L32" s="181" t="s">
        <v>599</v>
      </c>
      <c r="M32" s="181"/>
      <c r="N32" s="843"/>
      <c r="O32" s="843"/>
      <c r="P32" s="843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821" t="s">
        <v>402</v>
      </c>
      <c r="H33" s="822"/>
      <c r="I33" s="822"/>
      <c r="J33" s="822"/>
      <c r="K33" s="183">
        <v>45544</v>
      </c>
      <c r="L33" s="181" t="s">
        <v>451</v>
      </c>
      <c r="M33" s="181"/>
      <c r="N33" s="851"/>
      <c r="O33" s="851"/>
      <c r="P33" s="851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821" t="s">
        <v>402</v>
      </c>
      <c r="H34" s="822"/>
      <c r="I34" s="822"/>
      <c r="J34" s="822"/>
      <c r="K34" s="183">
        <v>45538</v>
      </c>
      <c r="L34" s="183" t="s">
        <v>450</v>
      </c>
      <c r="M34" s="181"/>
      <c r="N34" s="851"/>
      <c r="O34" s="851"/>
      <c r="P34" s="851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821" t="s">
        <v>402</v>
      </c>
      <c r="H35" s="822"/>
      <c r="I35" s="822"/>
      <c r="J35" s="822"/>
      <c r="K35" s="183">
        <v>45545</v>
      </c>
      <c r="L35" s="181" t="s">
        <v>450</v>
      </c>
      <c r="M35" s="181"/>
      <c r="N35" s="851"/>
      <c r="O35" s="851"/>
      <c r="P35" s="851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821" t="s">
        <v>402</v>
      </c>
      <c r="H36" s="822"/>
      <c r="I36" s="822"/>
      <c r="J36" s="822"/>
      <c r="K36" s="183">
        <v>45543</v>
      </c>
      <c r="L36" s="181" t="s">
        <v>475</v>
      </c>
      <c r="M36" s="181"/>
      <c r="N36" s="851"/>
      <c r="O36" s="851"/>
      <c r="P36" s="851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821" t="s">
        <v>402</v>
      </c>
      <c r="H37" s="822"/>
      <c r="I37" s="822"/>
      <c r="J37" s="822"/>
      <c r="K37" s="183">
        <v>45547</v>
      </c>
      <c r="L37" s="181" t="s">
        <v>475</v>
      </c>
      <c r="M37" s="181"/>
      <c r="N37" s="851"/>
      <c r="O37" s="851"/>
      <c r="P37" s="851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821" t="s">
        <v>402</v>
      </c>
      <c r="H38" s="822"/>
      <c r="I38" s="822"/>
      <c r="J38" s="822"/>
      <c r="K38" s="183">
        <v>45551</v>
      </c>
      <c r="L38" s="181" t="s">
        <v>475</v>
      </c>
      <c r="M38" s="181"/>
      <c r="N38" s="851"/>
      <c r="O38" s="851"/>
      <c r="P38" s="851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821" t="s">
        <v>402</v>
      </c>
      <c r="H39" s="822"/>
      <c r="I39" s="822"/>
      <c r="J39" s="822"/>
      <c r="K39" s="183">
        <v>45554</v>
      </c>
      <c r="L39" s="181" t="s">
        <v>475</v>
      </c>
      <c r="M39" s="181"/>
      <c r="N39" s="851"/>
      <c r="O39" s="851"/>
      <c r="P39" s="851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821" t="s">
        <v>402</v>
      </c>
      <c r="H40" s="822"/>
      <c r="I40" s="822"/>
      <c r="J40" s="822"/>
      <c r="K40" s="183">
        <v>45680</v>
      </c>
      <c r="L40" s="181" t="s">
        <v>592</v>
      </c>
      <c r="M40" s="181"/>
      <c r="N40" s="843"/>
      <c r="O40" s="843"/>
      <c r="P40" s="843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821" t="s">
        <v>402</v>
      </c>
      <c r="H41" s="822"/>
      <c r="I41" s="822"/>
      <c r="J41" s="822"/>
      <c r="K41" s="183">
        <v>45563</v>
      </c>
      <c r="L41" s="181" t="s">
        <v>475</v>
      </c>
      <c r="M41" s="181"/>
      <c r="N41" s="843"/>
      <c r="O41" s="843"/>
      <c r="P41" s="843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821" t="s">
        <v>402</v>
      </c>
      <c r="H42" s="822"/>
      <c r="I42" s="822"/>
      <c r="J42" s="822"/>
      <c r="K42" s="183">
        <v>45576</v>
      </c>
      <c r="L42" s="181" t="s">
        <v>475</v>
      </c>
      <c r="M42" s="181"/>
      <c r="N42" s="843"/>
      <c r="O42" s="843"/>
      <c r="P42" s="843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821" t="s">
        <v>402</v>
      </c>
      <c r="H43" s="822"/>
      <c r="I43" s="822"/>
      <c r="J43" s="822"/>
      <c r="K43" s="183">
        <v>45568</v>
      </c>
      <c r="L43" s="181" t="s">
        <v>475</v>
      </c>
      <c r="M43" s="181"/>
      <c r="N43" s="843"/>
      <c r="O43" s="843"/>
      <c r="P43" s="843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821" t="s">
        <v>402</v>
      </c>
      <c r="H44" s="822"/>
      <c r="I44" s="822"/>
      <c r="J44" s="822"/>
      <c r="K44" s="183">
        <v>45615</v>
      </c>
      <c r="L44" s="181" t="s">
        <v>492</v>
      </c>
      <c r="M44" s="181"/>
      <c r="N44" s="843"/>
      <c r="O44" s="843"/>
      <c r="P44" s="843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821" t="s">
        <v>402</v>
      </c>
      <c r="H45" s="822"/>
      <c r="I45" s="822"/>
      <c r="J45" s="822"/>
      <c r="K45" s="183">
        <v>45607</v>
      </c>
      <c r="L45" s="181" t="s">
        <v>495</v>
      </c>
      <c r="M45" s="181"/>
      <c r="N45" s="843"/>
      <c r="O45" s="843"/>
      <c r="P45" s="843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821" t="s">
        <v>402</v>
      </c>
      <c r="H46" s="822"/>
      <c r="I46" s="822"/>
      <c r="J46" s="822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821" t="s">
        <v>402</v>
      </c>
      <c r="H47" s="822"/>
      <c r="I47" s="822"/>
      <c r="J47" s="822"/>
      <c r="K47" s="183">
        <v>45594</v>
      </c>
      <c r="L47" s="181" t="s">
        <v>491</v>
      </c>
      <c r="M47" s="181"/>
      <c r="N47" s="851"/>
      <c r="O47" s="851"/>
      <c r="P47" s="851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821" t="s">
        <v>402</v>
      </c>
      <c r="H48" s="822"/>
      <c r="I48" s="822"/>
      <c r="J48" s="822"/>
      <c r="K48" s="183">
        <v>45600</v>
      </c>
      <c r="L48" s="181" t="s">
        <v>492</v>
      </c>
      <c r="M48" s="181"/>
      <c r="N48" s="851"/>
      <c r="O48" s="851"/>
      <c r="P48" s="851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821" t="s">
        <v>402</v>
      </c>
      <c r="H49" s="822"/>
      <c r="I49" s="822"/>
      <c r="J49" s="822"/>
      <c r="K49" s="183">
        <v>45618</v>
      </c>
      <c r="L49" s="181" t="s">
        <v>498</v>
      </c>
      <c r="M49" s="181"/>
      <c r="N49" s="843"/>
      <c r="O49" s="843"/>
      <c r="P49" s="843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821" t="s">
        <v>402</v>
      </c>
      <c r="H50" s="822"/>
      <c r="I50" s="822"/>
      <c r="J50" s="822"/>
      <c r="K50" s="183">
        <v>45623</v>
      </c>
      <c r="L50" s="181" t="s">
        <v>491</v>
      </c>
      <c r="M50" s="181"/>
      <c r="N50" s="843"/>
      <c r="O50" s="843"/>
      <c r="P50" s="843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821" t="s">
        <v>402</v>
      </c>
      <c r="H51" s="822"/>
      <c r="I51" s="822"/>
      <c r="J51" s="822"/>
      <c r="K51" s="183">
        <v>45652</v>
      </c>
      <c r="L51" s="181" t="s">
        <v>491</v>
      </c>
      <c r="M51" s="181"/>
      <c r="N51" s="843"/>
      <c r="O51" s="843"/>
      <c r="P51" s="843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821" t="s">
        <v>402</v>
      </c>
      <c r="H52" s="822"/>
      <c r="I52" s="822"/>
      <c r="J52" s="822"/>
      <c r="K52" s="183">
        <v>45698</v>
      </c>
      <c r="L52" s="181" t="s">
        <v>599</v>
      </c>
      <c r="M52" s="181"/>
      <c r="N52" s="843"/>
      <c r="O52" s="843"/>
      <c r="P52" s="843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821" t="s">
        <v>402</v>
      </c>
      <c r="H53" s="822"/>
      <c r="I53" s="822"/>
      <c r="J53" s="822"/>
      <c r="K53" s="183">
        <v>45650</v>
      </c>
      <c r="L53" s="181" t="s">
        <v>498</v>
      </c>
      <c r="M53" s="181"/>
      <c r="N53" s="843"/>
      <c r="O53" s="843"/>
      <c r="P53" s="843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821" t="s">
        <v>402</v>
      </c>
      <c r="H54" s="822"/>
      <c r="I54" s="822"/>
      <c r="J54" s="822"/>
      <c r="K54" s="183">
        <v>45631</v>
      </c>
      <c r="L54" s="181" t="s">
        <v>498</v>
      </c>
      <c r="M54" s="181"/>
      <c r="N54" s="843"/>
      <c r="O54" s="843"/>
      <c r="P54" s="843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821" t="s">
        <v>402</v>
      </c>
      <c r="H55" s="822"/>
      <c r="I55" s="822"/>
      <c r="J55" s="822"/>
      <c r="K55" s="183">
        <v>45644</v>
      </c>
      <c r="L55" s="181" t="s">
        <v>491</v>
      </c>
      <c r="M55" s="181"/>
      <c r="N55" s="843"/>
      <c r="O55" s="843"/>
      <c r="P55" s="843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821" t="s">
        <v>402</v>
      </c>
      <c r="H56" s="822"/>
      <c r="I56" s="822"/>
      <c r="J56" s="822"/>
      <c r="K56" s="183">
        <v>45646</v>
      </c>
      <c r="L56" s="181" t="s">
        <v>491</v>
      </c>
      <c r="M56" s="181"/>
      <c r="N56" s="843"/>
      <c r="O56" s="843"/>
      <c r="P56" s="843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821" t="s">
        <v>402</v>
      </c>
      <c r="H57" s="822"/>
      <c r="I57" s="822"/>
      <c r="J57" s="822"/>
      <c r="K57" s="183">
        <v>45656</v>
      </c>
      <c r="L57" s="181" t="s">
        <v>507</v>
      </c>
      <c r="M57" s="181"/>
      <c r="N57" s="843"/>
      <c r="O57" s="843"/>
      <c r="P57" s="843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821" t="s">
        <v>402</v>
      </c>
      <c r="H58" s="822"/>
      <c r="I58" s="822"/>
      <c r="J58" s="822"/>
      <c r="K58" s="183">
        <v>45678</v>
      </c>
      <c r="L58" s="181" t="s">
        <v>552</v>
      </c>
      <c r="M58" s="181"/>
      <c r="N58" s="843"/>
      <c r="O58" s="843"/>
      <c r="P58" s="843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821" t="s">
        <v>402</v>
      </c>
      <c r="H59" s="822"/>
      <c r="I59" s="822"/>
      <c r="J59" s="822"/>
      <c r="K59" s="183">
        <v>45668</v>
      </c>
      <c r="L59" s="181" t="s">
        <v>552</v>
      </c>
      <c r="M59" s="181"/>
      <c r="N59" s="843"/>
      <c r="O59" s="843"/>
      <c r="P59" s="843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821" t="s">
        <v>402</v>
      </c>
      <c r="H60" s="822"/>
      <c r="I60" s="822"/>
      <c r="J60" s="822"/>
      <c r="K60" s="183">
        <v>45670</v>
      </c>
      <c r="L60" s="181" t="s">
        <v>580</v>
      </c>
      <c r="M60" s="181"/>
      <c r="N60" s="843"/>
      <c r="O60" s="843"/>
      <c r="P60" s="843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821" t="s">
        <v>402</v>
      </c>
      <c r="H61" s="822"/>
      <c r="I61" s="822"/>
      <c r="J61" s="822"/>
      <c r="K61" s="183">
        <v>45737</v>
      </c>
      <c r="L61" s="181" t="s">
        <v>581</v>
      </c>
      <c r="M61" s="181"/>
      <c r="N61" s="843"/>
      <c r="O61" s="843"/>
      <c r="P61" s="843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821" t="s">
        <v>402</v>
      </c>
      <c r="H62" s="822"/>
      <c r="I62" s="822"/>
      <c r="J62" s="822"/>
      <c r="K62" s="183">
        <v>45670</v>
      </c>
      <c r="L62" s="181" t="s">
        <v>498</v>
      </c>
      <c r="M62" s="181"/>
      <c r="N62" s="843"/>
      <c r="O62" s="843"/>
      <c r="P62" s="843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821" t="s">
        <v>402</v>
      </c>
      <c r="H63" s="822"/>
      <c r="I63" s="822"/>
      <c r="J63" s="822"/>
      <c r="K63" s="183">
        <v>45810</v>
      </c>
      <c r="L63" s="181" t="s">
        <v>599</v>
      </c>
      <c r="M63" s="181"/>
      <c r="N63" s="855"/>
      <c r="O63" s="855"/>
      <c r="P63" s="855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821" t="s">
        <v>402</v>
      </c>
      <c r="H64" s="822"/>
      <c r="I64" s="822"/>
      <c r="J64" s="822"/>
      <c r="K64" s="183">
        <v>45681</v>
      </c>
      <c r="L64" s="181" t="s">
        <v>580</v>
      </c>
      <c r="M64" s="181"/>
      <c r="N64" s="843"/>
      <c r="O64" s="843"/>
      <c r="P64" s="843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821" t="s">
        <v>402</v>
      </c>
      <c r="H65" s="822"/>
      <c r="I65" s="822"/>
      <c r="J65" s="822"/>
      <c r="K65" s="183">
        <v>45691</v>
      </c>
      <c r="L65" s="181" t="s">
        <v>552</v>
      </c>
      <c r="M65" s="181"/>
      <c r="N65" s="843"/>
      <c r="O65" s="843"/>
      <c r="P65" s="843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821" t="s">
        <v>402</v>
      </c>
      <c r="H66" s="822"/>
      <c r="I66" s="822"/>
      <c r="J66" s="822"/>
      <c r="K66" s="183">
        <v>45689</v>
      </c>
      <c r="L66" s="181" t="s">
        <v>580</v>
      </c>
      <c r="M66" s="181"/>
      <c r="N66" s="843"/>
      <c r="O66" s="843"/>
      <c r="P66" s="843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821" t="s">
        <v>402</v>
      </c>
      <c r="H67" s="822"/>
      <c r="I67" s="822"/>
      <c r="J67" s="822"/>
      <c r="K67" s="183">
        <v>45707</v>
      </c>
      <c r="L67" s="181" t="s">
        <v>599</v>
      </c>
      <c r="M67" s="181"/>
      <c r="N67" s="843"/>
      <c r="O67" s="843"/>
      <c r="P67" s="843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821" t="s">
        <v>402</v>
      </c>
      <c r="H68" s="822"/>
      <c r="I68" s="822"/>
      <c r="J68" s="822"/>
      <c r="K68" s="183">
        <v>45708</v>
      </c>
      <c r="L68" s="181" t="s">
        <v>552</v>
      </c>
      <c r="M68" s="181"/>
      <c r="N68" s="843"/>
      <c r="O68" s="843"/>
      <c r="P68" s="843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821" t="s">
        <v>402</v>
      </c>
      <c r="H69" s="822"/>
      <c r="I69" s="822"/>
      <c r="J69" s="822"/>
      <c r="K69" s="183">
        <v>45704</v>
      </c>
      <c r="L69" s="181" t="s">
        <v>580</v>
      </c>
      <c r="M69" s="181"/>
      <c r="N69" s="843"/>
      <c r="O69" s="843"/>
      <c r="P69" s="843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821" t="s">
        <v>402</v>
      </c>
      <c r="H70" s="822"/>
      <c r="I70" s="822"/>
      <c r="J70" s="822"/>
      <c r="K70" s="183">
        <v>45712</v>
      </c>
      <c r="L70" s="181" t="s">
        <v>599</v>
      </c>
      <c r="M70" s="181"/>
      <c r="N70" s="843"/>
      <c r="O70" s="843"/>
      <c r="P70" s="843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821" t="s">
        <v>402</v>
      </c>
      <c r="H71" s="822"/>
      <c r="I71" s="822"/>
      <c r="J71" s="822"/>
      <c r="K71" s="183">
        <v>45717</v>
      </c>
      <c r="L71" s="181" t="s">
        <v>580</v>
      </c>
      <c r="M71" s="181"/>
      <c r="N71" s="843"/>
      <c r="O71" s="843"/>
      <c r="P71" s="843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821" t="s">
        <v>402</v>
      </c>
      <c r="H72" s="822"/>
      <c r="I72" s="822"/>
      <c r="J72" s="822"/>
      <c r="K72" s="183">
        <v>45718</v>
      </c>
      <c r="L72" s="181" t="s">
        <v>552</v>
      </c>
      <c r="M72" s="181"/>
      <c r="N72" s="843"/>
      <c r="O72" s="843"/>
      <c r="P72" s="843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821" t="s">
        <v>402</v>
      </c>
      <c r="H73" s="822"/>
      <c r="I73" s="822"/>
      <c r="J73" s="822"/>
      <c r="K73" s="183">
        <v>45721</v>
      </c>
      <c r="L73" s="181" t="s">
        <v>599</v>
      </c>
      <c r="M73" s="181"/>
      <c r="N73" s="843"/>
      <c r="O73" s="843"/>
      <c r="P73" s="843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821" t="s">
        <v>402</v>
      </c>
      <c r="H74" s="822"/>
      <c r="I74" s="822"/>
      <c r="J74" s="822"/>
      <c r="K74" s="183">
        <v>45740</v>
      </c>
      <c r="L74" s="181" t="s">
        <v>552</v>
      </c>
      <c r="M74" s="181"/>
      <c r="N74" s="863"/>
      <c r="O74" s="863"/>
      <c r="P74" s="863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821" t="s">
        <v>402</v>
      </c>
      <c r="H75" s="822"/>
      <c r="I75" s="822"/>
      <c r="J75" s="822"/>
      <c r="K75" s="183">
        <v>45788</v>
      </c>
      <c r="L75" s="181" t="s">
        <v>646</v>
      </c>
      <c r="M75" s="181"/>
      <c r="N75" s="863"/>
      <c r="O75" s="863"/>
      <c r="P75" s="863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821" t="s">
        <v>402</v>
      </c>
      <c r="H76" s="822"/>
      <c r="I76" s="822"/>
      <c r="J76" s="822"/>
      <c r="K76" s="183">
        <v>45726</v>
      </c>
      <c r="L76" s="181" t="s">
        <v>599</v>
      </c>
      <c r="M76" s="181"/>
      <c r="N76" s="843"/>
      <c r="O76" s="843"/>
      <c r="P76" s="843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821" t="s">
        <v>402</v>
      </c>
      <c r="H77" s="822"/>
      <c r="I77" s="822"/>
      <c r="J77" s="822"/>
      <c r="K77" s="183">
        <v>45728</v>
      </c>
      <c r="L77" s="181" t="s">
        <v>552</v>
      </c>
      <c r="M77" s="181"/>
      <c r="N77" s="843"/>
      <c r="O77" s="843"/>
      <c r="P77" s="843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821" t="s">
        <v>402</v>
      </c>
      <c r="H78" s="822"/>
      <c r="I78" s="822"/>
      <c r="J78" s="822"/>
      <c r="K78" s="183">
        <v>45751</v>
      </c>
      <c r="L78" s="181" t="s">
        <v>644</v>
      </c>
      <c r="M78" s="181"/>
      <c r="N78" s="863"/>
      <c r="O78" s="863"/>
      <c r="P78" s="863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821" t="s">
        <v>402</v>
      </c>
      <c r="H79" s="822"/>
      <c r="I79" s="822"/>
      <c r="J79" s="822"/>
      <c r="K79" s="183">
        <v>45735</v>
      </c>
      <c r="L79" s="181" t="s">
        <v>599</v>
      </c>
      <c r="M79" s="181"/>
      <c r="N79" s="863"/>
      <c r="O79" s="863"/>
      <c r="P79" s="863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821" t="s">
        <v>402</v>
      </c>
      <c r="H80" s="822"/>
      <c r="I80" s="822"/>
      <c r="J80" s="822"/>
      <c r="K80" s="183">
        <v>45740</v>
      </c>
      <c r="L80" s="181" t="s">
        <v>599</v>
      </c>
      <c r="M80" s="181"/>
      <c r="N80" s="863"/>
      <c r="O80" s="863"/>
      <c r="P80" s="863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821" t="s">
        <v>402</v>
      </c>
      <c r="H81" s="822"/>
      <c r="I81" s="822"/>
      <c r="J81" s="822"/>
      <c r="K81" s="183">
        <v>45751</v>
      </c>
      <c r="L81" s="181" t="s">
        <v>599</v>
      </c>
      <c r="M81" s="183"/>
      <c r="N81" s="863"/>
      <c r="O81" s="863"/>
      <c r="P81" s="863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821" t="s">
        <v>402</v>
      </c>
      <c r="H82" s="822"/>
      <c r="I82" s="822"/>
      <c r="J82" s="822"/>
      <c r="K82" s="183">
        <v>45758</v>
      </c>
      <c r="L82" s="181" t="s">
        <v>599</v>
      </c>
      <c r="M82" s="181"/>
      <c r="N82" s="863"/>
      <c r="O82" s="863"/>
      <c r="P82" s="863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821" t="s">
        <v>402</v>
      </c>
      <c r="H83" s="822"/>
      <c r="I83" s="822"/>
      <c r="J83" s="822"/>
      <c r="K83" s="183">
        <v>45782</v>
      </c>
      <c r="L83" s="181" t="s">
        <v>644</v>
      </c>
      <c r="M83" s="181"/>
      <c r="N83" s="863"/>
      <c r="O83" s="863"/>
      <c r="P83" s="863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821" t="s">
        <v>402</v>
      </c>
      <c r="H84" s="822"/>
      <c r="I84" s="822"/>
      <c r="J84" s="822"/>
      <c r="K84" s="183">
        <v>45778</v>
      </c>
      <c r="L84" s="181" t="s">
        <v>599</v>
      </c>
      <c r="M84" s="181"/>
      <c r="N84" s="866"/>
      <c r="O84" s="866"/>
      <c r="P84" s="866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821" t="s">
        <v>402</v>
      </c>
      <c r="H85" s="822"/>
      <c r="I85" s="822"/>
      <c r="J85" s="822"/>
      <c r="K85" s="183">
        <v>45765</v>
      </c>
      <c r="L85" s="181" t="s">
        <v>599</v>
      </c>
      <c r="M85" s="181"/>
      <c r="N85" s="863"/>
      <c r="O85" s="863"/>
      <c r="P85" s="863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821" t="s">
        <v>402</v>
      </c>
      <c r="H86" s="822"/>
      <c r="I86" s="822"/>
      <c r="J86" s="822"/>
      <c r="K86" s="183">
        <v>45800</v>
      </c>
      <c r="L86" s="181" t="s">
        <v>644</v>
      </c>
      <c r="M86" s="448"/>
      <c r="N86" s="863"/>
      <c r="O86" s="863"/>
      <c r="P86" s="863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821" t="s">
        <v>402</v>
      </c>
      <c r="H87" s="822"/>
      <c r="I87" s="822"/>
      <c r="J87" s="822"/>
      <c r="K87" s="183">
        <v>45792</v>
      </c>
      <c r="L87" s="181" t="s">
        <v>644</v>
      </c>
      <c r="M87" s="181"/>
      <c r="N87" s="863"/>
      <c r="O87" s="863"/>
      <c r="P87" s="863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821" t="s">
        <v>402</v>
      </c>
      <c r="H88" s="822"/>
      <c r="I88" s="822"/>
      <c r="J88" s="822"/>
      <c r="K88" s="183">
        <v>45796</v>
      </c>
      <c r="L88" s="181" t="s">
        <v>644</v>
      </c>
      <c r="M88" s="181"/>
      <c r="N88" s="864"/>
      <c r="O88" s="865"/>
      <c r="P88" s="865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821" t="s">
        <v>402</v>
      </c>
      <c r="H89" s="822"/>
      <c r="I89" s="822"/>
      <c r="J89" s="822"/>
      <c r="K89" s="183">
        <v>45772</v>
      </c>
      <c r="L89" s="181" t="s">
        <v>599</v>
      </c>
      <c r="M89" s="181"/>
      <c r="N89" s="864"/>
      <c r="O89" s="865"/>
      <c r="P89" s="865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821" t="s">
        <v>402</v>
      </c>
      <c r="H90" s="822"/>
      <c r="I90" s="822"/>
      <c r="J90" s="822"/>
      <c r="K90" s="183">
        <v>45791</v>
      </c>
      <c r="L90" s="181" t="s">
        <v>599</v>
      </c>
      <c r="M90" s="181"/>
      <c r="N90" s="864"/>
      <c r="O90" s="865"/>
      <c r="P90" s="865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821" t="s">
        <v>402</v>
      </c>
      <c r="H91" s="822"/>
      <c r="I91" s="822"/>
      <c r="J91" s="822"/>
      <c r="K91" s="183">
        <v>45803</v>
      </c>
      <c r="L91" s="181" t="s">
        <v>646</v>
      </c>
      <c r="M91" s="181"/>
      <c r="N91" s="864"/>
      <c r="O91" s="865"/>
      <c r="P91" s="865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821" t="s">
        <v>402</v>
      </c>
      <c r="H92" s="822"/>
      <c r="I92" s="822"/>
      <c r="J92" s="822"/>
      <c r="K92" s="183">
        <v>45800</v>
      </c>
      <c r="L92" s="181" t="s">
        <v>599</v>
      </c>
      <c r="M92" s="181"/>
      <c r="N92" s="864"/>
      <c r="O92" s="865"/>
      <c r="P92" s="865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821" t="s">
        <v>402</v>
      </c>
      <c r="H93" s="822"/>
      <c r="I93" s="822"/>
      <c r="J93" s="822"/>
      <c r="K93" s="183">
        <v>45811</v>
      </c>
      <c r="L93" s="181" t="s">
        <v>646</v>
      </c>
      <c r="M93" s="181"/>
      <c r="N93" s="863"/>
      <c r="O93" s="863"/>
      <c r="P93" s="863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821" t="s">
        <v>402</v>
      </c>
      <c r="H94" s="822"/>
      <c r="I94" s="822"/>
      <c r="J94" s="822"/>
      <c r="K94" s="183">
        <v>45801</v>
      </c>
      <c r="L94" s="181" t="s">
        <v>599</v>
      </c>
      <c r="M94" s="181"/>
      <c r="N94" s="864"/>
      <c r="O94" s="865"/>
      <c r="P94" s="865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821" t="s">
        <v>402</v>
      </c>
      <c r="H95" s="822"/>
      <c r="I95" s="822"/>
      <c r="J95" s="822"/>
      <c r="K95" s="183">
        <v>45817</v>
      </c>
      <c r="L95" s="181" t="s">
        <v>646</v>
      </c>
      <c r="M95" s="181"/>
      <c r="N95" s="863"/>
      <c r="O95" s="863"/>
      <c r="P95" s="863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821" t="s">
        <v>402</v>
      </c>
      <c r="H96" s="822"/>
      <c r="I96" s="822"/>
      <c r="J96" s="822"/>
      <c r="K96" s="183">
        <v>45809</v>
      </c>
      <c r="L96" s="181" t="s">
        <v>644</v>
      </c>
      <c r="M96" s="181"/>
      <c r="N96" s="863"/>
      <c r="O96" s="863"/>
      <c r="P96" s="863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821" t="s">
        <v>402</v>
      </c>
      <c r="H97" s="822"/>
      <c r="I97" s="822"/>
      <c r="J97" s="822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821" t="s">
        <v>402</v>
      </c>
      <c r="H98" s="822"/>
      <c r="I98" s="822"/>
      <c r="J98" s="822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821" t="s">
        <v>402</v>
      </c>
      <c r="H99" s="822"/>
      <c r="I99" s="822"/>
      <c r="J99" s="822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821" t="s">
        <v>402</v>
      </c>
      <c r="H100" s="822"/>
      <c r="I100" s="822"/>
      <c r="J100" s="822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821" t="s">
        <v>402</v>
      </c>
      <c r="H101" s="822"/>
      <c r="I101" s="822"/>
      <c r="J101" s="822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821" t="s">
        <v>402</v>
      </c>
      <c r="H102" s="822"/>
      <c r="I102" s="822"/>
      <c r="J102" s="822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821" t="s">
        <v>402</v>
      </c>
      <c r="H103" s="822"/>
      <c r="I103" s="822"/>
      <c r="J103" s="822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821" t="s">
        <v>402</v>
      </c>
      <c r="H104" s="822"/>
      <c r="I104" s="822"/>
      <c r="J104" s="822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821" t="s">
        <v>402</v>
      </c>
      <c r="H105" s="822"/>
      <c r="I105" s="822"/>
      <c r="J105" s="822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821" t="s">
        <v>402</v>
      </c>
      <c r="H106" s="822"/>
      <c r="I106" s="822"/>
      <c r="J106" s="822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821" t="s">
        <v>402</v>
      </c>
      <c r="H107" s="822"/>
      <c r="I107" s="822"/>
      <c r="J107" s="822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821" t="s">
        <v>402</v>
      </c>
      <c r="H108" s="822"/>
      <c r="I108" s="822"/>
      <c r="J108" s="822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821" t="s">
        <v>402</v>
      </c>
      <c r="H109" s="822"/>
      <c r="I109" s="822"/>
      <c r="J109" s="822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821" t="s">
        <v>402</v>
      </c>
      <c r="H110" s="822"/>
      <c r="I110" s="822"/>
      <c r="J110" s="822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821" t="s">
        <v>402</v>
      </c>
      <c r="H111" s="822"/>
      <c r="I111" s="822"/>
      <c r="J111" s="822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821" t="s">
        <v>402</v>
      </c>
      <c r="H112" s="822"/>
      <c r="I112" s="822"/>
      <c r="J112" s="822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821" t="s">
        <v>402</v>
      </c>
      <c r="H113" s="822"/>
      <c r="I113" s="822"/>
      <c r="J113" s="822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821" t="s">
        <v>402</v>
      </c>
      <c r="H114" s="822"/>
      <c r="I114" s="822"/>
      <c r="J114" s="822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821" t="s">
        <v>402</v>
      </c>
      <c r="H115" s="822"/>
      <c r="I115" s="822"/>
      <c r="J115" s="822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821" t="s">
        <v>402</v>
      </c>
      <c r="H116" s="822"/>
      <c r="I116" s="822"/>
      <c r="J116" s="822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821" t="s">
        <v>402</v>
      </c>
      <c r="H117" s="822"/>
      <c r="I117" s="822"/>
      <c r="J117" s="822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821" t="s">
        <v>402</v>
      </c>
      <c r="H118" s="822"/>
      <c r="I118" s="822"/>
      <c r="J118" s="822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821" t="s">
        <v>402</v>
      </c>
      <c r="H119" s="822"/>
      <c r="I119" s="822"/>
      <c r="J119" s="822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821" t="s">
        <v>402</v>
      </c>
      <c r="H120" s="822"/>
      <c r="I120" s="822"/>
      <c r="J120" s="822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821" t="s">
        <v>402</v>
      </c>
      <c r="H121" s="822"/>
      <c r="I121" s="822"/>
      <c r="J121" s="822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821" t="s">
        <v>402</v>
      </c>
      <c r="H122" s="822"/>
      <c r="I122" s="822"/>
      <c r="J122" s="822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821" t="s">
        <v>402</v>
      </c>
      <c r="H123" s="822"/>
      <c r="I123" s="822"/>
      <c r="J123" s="822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821" t="s">
        <v>402</v>
      </c>
      <c r="H124" s="822"/>
      <c r="I124" s="822"/>
      <c r="J124" s="822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821" t="s">
        <v>402</v>
      </c>
      <c r="H125" s="822"/>
      <c r="I125" s="822"/>
      <c r="J125" s="822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821" t="s">
        <v>402</v>
      </c>
      <c r="H126" s="822"/>
      <c r="I126" s="822"/>
      <c r="J126" s="822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821" t="s">
        <v>402</v>
      </c>
      <c r="H127" s="822"/>
      <c r="I127" s="822"/>
      <c r="J127" s="822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821" t="s">
        <v>402</v>
      </c>
      <c r="H128" s="822"/>
      <c r="I128" s="822"/>
      <c r="J128" s="822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821" t="s">
        <v>402</v>
      </c>
      <c r="H129" s="822"/>
      <c r="I129" s="822"/>
      <c r="J129" s="822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821" t="s">
        <v>402</v>
      </c>
      <c r="H130" s="822"/>
      <c r="I130" s="822"/>
      <c r="J130" s="822"/>
      <c r="K130" s="183">
        <v>45982</v>
      </c>
      <c r="L130" s="181" t="s">
        <v>796</v>
      </c>
      <c r="M130" s="568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821" t="s">
        <v>402</v>
      </c>
      <c r="H131" s="822"/>
      <c r="I131" s="822"/>
      <c r="J131" s="822"/>
      <c r="K131" s="183">
        <v>45986</v>
      </c>
      <c r="L131" s="181" t="s">
        <v>797</v>
      </c>
      <c r="M131" s="569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821" t="s">
        <v>402</v>
      </c>
      <c r="H132" s="822"/>
      <c r="I132" s="822"/>
      <c r="J132" s="822"/>
      <c r="K132" s="183">
        <v>45988</v>
      </c>
      <c r="L132" s="181" t="s">
        <v>796</v>
      </c>
      <c r="M132" s="572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821" t="s">
        <v>402</v>
      </c>
      <c r="H133" s="822"/>
      <c r="I133" s="822"/>
      <c r="J133" s="822"/>
      <c r="K133" s="183">
        <v>46001</v>
      </c>
      <c r="L133" s="181" t="s">
        <v>796</v>
      </c>
      <c r="M133" s="572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821" t="s">
        <v>402</v>
      </c>
      <c r="H134" s="822"/>
      <c r="I134" s="822"/>
      <c r="J134" s="822"/>
      <c r="K134" s="183">
        <v>46004</v>
      </c>
      <c r="L134" s="181" t="s">
        <v>828</v>
      </c>
      <c r="M134" s="572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821" t="s">
        <v>402</v>
      </c>
      <c r="H135" s="822"/>
      <c r="I135" s="822"/>
      <c r="J135" s="822"/>
      <c r="K135" s="183">
        <v>46007</v>
      </c>
      <c r="L135" s="181" t="s">
        <v>797</v>
      </c>
      <c r="M135" s="572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821" t="s">
        <v>402</v>
      </c>
      <c r="H136" s="822"/>
      <c r="I136" s="822"/>
      <c r="J136" s="822"/>
      <c r="K136" s="183">
        <v>46011</v>
      </c>
      <c r="L136" s="181" t="s">
        <v>828</v>
      </c>
      <c r="M136" s="572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821" t="s">
        <v>402</v>
      </c>
      <c r="H137" s="822"/>
      <c r="I137" s="822"/>
      <c r="J137" s="822"/>
      <c r="K137" s="183">
        <v>46014</v>
      </c>
      <c r="L137" s="181" t="s">
        <v>797</v>
      </c>
      <c r="M137" s="572"/>
      <c r="N137" s="443"/>
      <c r="O137" s="443"/>
      <c r="P137" s="443"/>
    </row>
    <row r="138" spans="1:16" s="153" customFormat="1" ht="33" customHeight="1">
      <c r="A138" s="181">
        <f t="shared" si="1"/>
        <v>126</v>
      </c>
      <c r="B138" s="182" t="s">
        <v>608</v>
      </c>
      <c r="C138" s="181" t="s">
        <v>695</v>
      </c>
      <c r="D138" s="181" t="s">
        <v>239</v>
      </c>
      <c r="E138" s="183">
        <v>46025</v>
      </c>
      <c r="F138" s="184">
        <v>99.27</v>
      </c>
      <c r="G138" s="821" t="s">
        <v>402</v>
      </c>
      <c r="H138" s="822"/>
      <c r="I138" s="822"/>
      <c r="J138" s="822"/>
      <c r="K138" s="183">
        <v>46031</v>
      </c>
      <c r="L138" s="181" t="s">
        <v>797</v>
      </c>
      <c r="M138" s="181">
        <v>21</v>
      </c>
      <c r="N138" s="443"/>
      <c r="O138" s="443"/>
      <c r="P138" s="443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42" t="s">
        <v>103</v>
      </c>
      <c r="B140" s="842"/>
      <c r="C140" s="842"/>
      <c r="D140" s="842"/>
      <c r="E140" s="842"/>
      <c r="F140" s="842"/>
      <c r="G140" s="842"/>
      <c r="H140" s="842"/>
      <c r="I140" s="842"/>
      <c r="J140" s="842"/>
      <c r="K140" s="842"/>
      <c r="L140" s="842"/>
      <c r="M140" s="842"/>
      <c r="N140" s="842"/>
      <c r="O140" s="842"/>
      <c r="P140" s="842"/>
    </row>
    <row r="141" spans="1:16" s="45" customFormat="1" ht="28.95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839" t="s">
        <v>112</v>
      </c>
      <c r="H141" s="840"/>
      <c r="I141" s="840"/>
      <c r="J141" s="841"/>
      <c r="K141" s="162" t="s">
        <v>708</v>
      </c>
      <c r="L141" s="162" t="s">
        <v>398</v>
      </c>
      <c r="M141" s="162" t="s">
        <v>399</v>
      </c>
      <c r="N141" s="839" t="s">
        <v>400</v>
      </c>
      <c r="O141" s="840"/>
      <c r="P141" s="841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807" t="s">
        <v>402</v>
      </c>
      <c r="H142" s="807"/>
      <c r="I142" s="807"/>
      <c r="J142" s="807"/>
      <c r="K142" s="283">
        <v>45592</v>
      </c>
      <c r="L142" s="282" t="s">
        <v>490</v>
      </c>
      <c r="M142" s="282"/>
      <c r="N142" s="843"/>
      <c r="O142" s="843"/>
      <c r="P142" s="843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807" t="s">
        <v>402</v>
      </c>
      <c r="H143" s="807"/>
      <c r="I143" s="807"/>
      <c r="J143" s="807"/>
      <c r="K143" s="283">
        <v>45601</v>
      </c>
      <c r="L143" s="282" t="s">
        <v>490</v>
      </c>
      <c r="M143" s="282"/>
      <c r="N143" s="851"/>
      <c r="O143" s="851"/>
      <c r="P143" s="851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807" t="s">
        <v>402</v>
      </c>
      <c r="H144" s="807"/>
      <c r="I144" s="807"/>
      <c r="J144" s="807"/>
      <c r="K144" s="283">
        <v>45609</v>
      </c>
      <c r="L144" s="282" t="s">
        <v>490</v>
      </c>
      <c r="M144" s="282"/>
      <c r="N144" s="843"/>
      <c r="O144" s="843"/>
      <c r="P144" s="843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807" t="s">
        <v>402</v>
      </c>
      <c r="H145" s="807"/>
      <c r="I145" s="807"/>
      <c r="J145" s="807"/>
      <c r="K145" s="283">
        <v>45615</v>
      </c>
      <c r="L145" s="282" t="s">
        <v>490</v>
      </c>
      <c r="M145" s="282"/>
      <c r="N145" s="843" t="s">
        <v>501</v>
      </c>
      <c r="O145" s="843"/>
      <c r="P145" s="843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807" t="s">
        <v>402</v>
      </c>
      <c r="H146" s="807"/>
      <c r="I146" s="807"/>
      <c r="J146" s="807"/>
      <c r="K146" s="283">
        <v>45620</v>
      </c>
      <c r="L146" s="282" t="s">
        <v>490</v>
      </c>
      <c r="M146" s="282"/>
      <c r="N146" s="843" t="s">
        <v>109</v>
      </c>
      <c r="O146" s="843"/>
      <c r="P146" s="843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807" t="s">
        <v>402</v>
      </c>
      <c r="H147" s="807"/>
      <c r="I147" s="807"/>
      <c r="J147" s="807"/>
      <c r="K147" s="283">
        <v>45627</v>
      </c>
      <c r="L147" s="282" t="s">
        <v>490</v>
      </c>
      <c r="M147" s="282"/>
      <c r="N147" s="843"/>
      <c r="O147" s="843"/>
      <c r="P147" s="843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807" t="s">
        <v>402</v>
      </c>
      <c r="H148" s="807"/>
      <c r="I148" s="807"/>
      <c r="J148" s="807"/>
      <c r="K148" s="283">
        <v>45632</v>
      </c>
      <c r="L148" s="282" t="s">
        <v>490</v>
      </c>
      <c r="M148" s="282"/>
      <c r="N148" s="843"/>
      <c r="O148" s="843"/>
      <c r="P148" s="843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807" t="s">
        <v>402</v>
      </c>
      <c r="H149" s="807"/>
      <c r="I149" s="807"/>
      <c r="J149" s="807"/>
      <c r="K149" s="283">
        <v>45637</v>
      </c>
      <c r="L149" s="282" t="s">
        <v>500</v>
      </c>
      <c r="M149" s="282"/>
      <c r="N149" s="843" t="s">
        <v>501</v>
      </c>
      <c r="O149" s="843"/>
      <c r="P149" s="843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807" t="s">
        <v>402</v>
      </c>
      <c r="H150" s="807"/>
      <c r="I150" s="807"/>
      <c r="J150" s="807"/>
      <c r="K150" s="283">
        <v>45637</v>
      </c>
      <c r="L150" s="282" t="s">
        <v>490</v>
      </c>
      <c r="M150" s="282"/>
      <c r="N150" s="843"/>
      <c r="O150" s="843"/>
      <c r="P150" s="843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807" t="s">
        <v>402</v>
      </c>
      <c r="H151" s="807"/>
      <c r="I151" s="807"/>
      <c r="J151" s="807"/>
      <c r="K151" s="370">
        <v>45644</v>
      </c>
      <c r="L151" s="282" t="s">
        <v>490</v>
      </c>
      <c r="M151" s="282"/>
      <c r="N151" s="843"/>
      <c r="O151" s="843"/>
      <c r="P151" s="843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807" t="s">
        <v>402</v>
      </c>
      <c r="H152" s="807"/>
      <c r="I152" s="807"/>
      <c r="J152" s="807"/>
      <c r="K152" s="283">
        <v>45644</v>
      </c>
      <c r="L152" s="282" t="s">
        <v>500</v>
      </c>
      <c r="M152" s="282"/>
      <c r="N152" s="843"/>
      <c r="O152" s="843"/>
      <c r="P152" s="843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807" t="s">
        <v>402</v>
      </c>
      <c r="H153" s="807"/>
      <c r="I153" s="807"/>
      <c r="J153" s="807"/>
      <c r="K153" s="283">
        <v>45653</v>
      </c>
      <c r="L153" s="282" t="s">
        <v>490</v>
      </c>
      <c r="M153" s="282"/>
      <c r="N153" s="843"/>
      <c r="O153" s="843"/>
      <c r="P153" s="843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807" t="s">
        <v>402</v>
      </c>
      <c r="H154" s="807"/>
      <c r="I154" s="807"/>
      <c r="J154" s="807"/>
      <c r="K154" s="283">
        <v>45655</v>
      </c>
      <c r="L154" s="282" t="s">
        <v>500</v>
      </c>
      <c r="M154" s="282"/>
      <c r="N154" s="843"/>
      <c r="O154" s="843"/>
      <c r="P154" s="843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807" t="s">
        <v>402</v>
      </c>
      <c r="H155" s="807"/>
      <c r="I155" s="807"/>
      <c r="J155" s="807"/>
      <c r="K155" s="283">
        <v>45296</v>
      </c>
      <c r="L155" s="282" t="s">
        <v>490</v>
      </c>
      <c r="M155" s="282"/>
      <c r="N155" s="843"/>
      <c r="O155" s="843"/>
      <c r="P155" s="843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807" t="s">
        <v>402</v>
      </c>
      <c r="H156" s="807"/>
      <c r="I156" s="807"/>
      <c r="J156" s="807"/>
      <c r="K156" s="283">
        <v>45298</v>
      </c>
      <c r="L156" s="282" t="s">
        <v>500</v>
      </c>
      <c r="M156" s="282"/>
      <c r="N156" s="843"/>
      <c r="O156" s="843"/>
      <c r="P156" s="843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807" t="s">
        <v>402</v>
      </c>
      <c r="H157" s="807"/>
      <c r="I157" s="807"/>
      <c r="J157" s="807"/>
      <c r="K157" s="283">
        <v>45668</v>
      </c>
      <c r="L157" s="282" t="s">
        <v>490</v>
      </c>
      <c r="M157" s="282"/>
      <c r="N157" s="843"/>
      <c r="O157" s="843"/>
      <c r="P157" s="843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807" t="s">
        <v>402</v>
      </c>
      <c r="H158" s="807"/>
      <c r="I158" s="807"/>
      <c r="J158" s="807"/>
      <c r="K158" s="283">
        <v>45672</v>
      </c>
      <c r="L158" s="282" t="s">
        <v>500</v>
      </c>
      <c r="M158" s="282"/>
      <c r="N158" s="843"/>
      <c r="O158" s="843"/>
      <c r="P158" s="843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807" t="s">
        <v>402</v>
      </c>
      <c r="H159" s="807"/>
      <c r="I159" s="807"/>
      <c r="J159" s="807"/>
      <c r="K159" s="283">
        <v>45675</v>
      </c>
      <c r="L159" s="282" t="s">
        <v>490</v>
      </c>
      <c r="M159" s="282"/>
      <c r="N159" s="843"/>
      <c r="O159" s="843"/>
      <c r="P159" s="843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807" t="s">
        <v>402</v>
      </c>
      <c r="H160" s="807"/>
      <c r="I160" s="807"/>
      <c r="J160" s="807"/>
      <c r="K160" s="283">
        <v>45680</v>
      </c>
      <c r="L160" s="282" t="s">
        <v>500</v>
      </c>
      <c r="M160" s="282"/>
      <c r="N160" s="843"/>
      <c r="O160" s="843"/>
      <c r="P160" s="843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807" t="s">
        <v>402</v>
      </c>
      <c r="H161" s="807"/>
      <c r="I161" s="807"/>
      <c r="J161" s="807"/>
      <c r="K161" s="283">
        <v>45680</v>
      </c>
      <c r="L161" s="282" t="s">
        <v>490</v>
      </c>
      <c r="M161" s="282"/>
      <c r="N161" s="843"/>
      <c r="O161" s="843"/>
      <c r="P161" s="843"/>
    </row>
    <row r="162" spans="1:16" s="270" customFormat="1" ht="27.6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807" t="s">
        <v>402</v>
      </c>
      <c r="H162" s="807"/>
      <c r="I162" s="807"/>
      <c r="J162" s="807"/>
      <c r="K162" s="283">
        <v>45699</v>
      </c>
      <c r="L162" s="282" t="s">
        <v>500</v>
      </c>
      <c r="M162" s="282"/>
      <c r="N162" s="823"/>
      <c r="O162" s="823"/>
      <c r="P162" s="823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807" t="s">
        <v>402</v>
      </c>
      <c r="H163" s="807"/>
      <c r="I163" s="807"/>
      <c r="J163" s="807"/>
      <c r="K163" s="283">
        <v>45687</v>
      </c>
      <c r="L163" s="282" t="s">
        <v>490</v>
      </c>
      <c r="M163" s="282"/>
      <c r="N163" s="845"/>
      <c r="O163" s="845"/>
      <c r="P163" s="845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807" t="s">
        <v>402</v>
      </c>
      <c r="H164" s="807"/>
      <c r="I164" s="807"/>
      <c r="J164" s="807"/>
      <c r="K164" s="283">
        <v>45690</v>
      </c>
      <c r="L164" s="282" t="s">
        <v>500</v>
      </c>
      <c r="M164" s="282"/>
      <c r="N164" s="843"/>
      <c r="O164" s="843"/>
      <c r="P164" s="843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807" t="s">
        <v>402</v>
      </c>
      <c r="H165" s="807"/>
      <c r="I165" s="807"/>
      <c r="J165" s="807"/>
      <c r="K165" s="283">
        <v>45693</v>
      </c>
      <c r="L165" s="282" t="s">
        <v>490</v>
      </c>
      <c r="M165" s="282"/>
      <c r="N165" s="843"/>
      <c r="O165" s="843"/>
      <c r="P165" s="843"/>
    </row>
    <row r="166" spans="1:16" s="270" customFormat="1" ht="27.6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807" t="s">
        <v>402</v>
      </c>
      <c r="H166" s="807"/>
      <c r="I166" s="807"/>
      <c r="J166" s="807"/>
      <c r="K166" s="283">
        <v>45699</v>
      </c>
      <c r="L166" s="282" t="s">
        <v>490</v>
      </c>
      <c r="M166" s="282"/>
      <c r="N166" s="823"/>
      <c r="O166" s="823"/>
      <c r="P166" s="823"/>
    </row>
    <row r="167" spans="1:16" s="270" customFormat="1" ht="27.6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807" t="s">
        <v>402</v>
      </c>
      <c r="H167" s="807"/>
      <c r="I167" s="807"/>
      <c r="J167" s="807"/>
      <c r="K167" s="283">
        <v>45705</v>
      </c>
      <c r="L167" s="282" t="s">
        <v>490</v>
      </c>
      <c r="M167" s="282"/>
      <c r="N167" s="823"/>
      <c r="O167" s="823"/>
      <c r="P167" s="823"/>
    </row>
    <row r="168" spans="1:16" s="270" customFormat="1" ht="27.6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807" t="s">
        <v>402</v>
      </c>
      <c r="H168" s="807"/>
      <c r="I168" s="807"/>
      <c r="J168" s="807"/>
      <c r="K168" s="283">
        <v>45708</v>
      </c>
      <c r="L168" s="282" t="s">
        <v>490</v>
      </c>
      <c r="M168" s="282"/>
      <c r="N168" s="823"/>
      <c r="O168" s="823"/>
      <c r="P168" s="823"/>
    </row>
    <row r="169" spans="1:16" s="270" customFormat="1" ht="27.6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807" t="s">
        <v>402</v>
      </c>
      <c r="H169" s="807"/>
      <c r="I169" s="807"/>
      <c r="J169" s="807"/>
      <c r="K169" s="283">
        <v>45714</v>
      </c>
      <c r="L169" s="282" t="s">
        <v>490</v>
      </c>
      <c r="M169" s="282"/>
      <c r="N169" s="823"/>
      <c r="O169" s="823"/>
      <c r="P169" s="823"/>
    </row>
    <row r="170" spans="1:16" s="270" customFormat="1" ht="27.6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807" t="s">
        <v>402</v>
      </c>
      <c r="H170" s="807"/>
      <c r="I170" s="807"/>
      <c r="J170" s="807"/>
      <c r="K170" s="283">
        <v>45719</v>
      </c>
      <c r="L170" s="282" t="s">
        <v>490</v>
      </c>
      <c r="M170" s="282"/>
      <c r="N170" s="823"/>
      <c r="O170" s="823"/>
      <c r="P170" s="823"/>
    </row>
    <row r="171" spans="1:16" s="270" customFormat="1" ht="27.6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807" t="s">
        <v>402</v>
      </c>
      <c r="H171" s="807"/>
      <c r="I171" s="807"/>
      <c r="J171" s="807"/>
      <c r="K171" s="283">
        <v>45724</v>
      </c>
      <c r="L171" s="282" t="s">
        <v>490</v>
      </c>
      <c r="M171" s="282"/>
      <c r="N171" s="823"/>
      <c r="O171" s="823"/>
      <c r="P171" s="823"/>
    </row>
    <row r="172" spans="1:16" s="270" customFormat="1" ht="27.6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807" t="s">
        <v>402</v>
      </c>
      <c r="H172" s="807"/>
      <c r="I172" s="807"/>
      <c r="J172" s="807"/>
      <c r="K172" s="283">
        <v>45727</v>
      </c>
      <c r="L172" s="282" t="s">
        <v>500</v>
      </c>
      <c r="M172" s="282"/>
      <c r="N172" s="823"/>
      <c r="O172" s="823"/>
      <c r="P172" s="823"/>
    </row>
    <row r="173" spans="1:16" s="270" customFormat="1" ht="27.6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807" t="s">
        <v>402</v>
      </c>
      <c r="H173" s="807"/>
      <c r="I173" s="807"/>
      <c r="J173" s="807"/>
      <c r="K173" s="283">
        <v>45733</v>
      </c>
      <c r="L173" s="282" t="s">
        <v>500</v>
      </c>
      <c r="M173" s="282"/>
      <c r="N173" s="823"/>
      <c r="O173" s="823"/>
      <c r="P173" s="823"/>
    </row>
    <row r="174" spans="1:16" s="270" customFormat="1" ht="27.6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807" t="s">
        <v>402</v>
      </c>
      <c r="H174" s="807"/>
      <c r="I174" s="807"/>
      <c r="J174" s="807"/>
      <c r="K174" s="283">
        <v>45739</v>
      </c>
      <c r="L174" s="282" t="s">
        <v>500</v>
      </c>
      <c r="M174" s="282"/>
      <c r="N174" s="823"/>
      <c r="O174" s="823"/>
      <c r="P174" s="823"/>
    </row>
    <row r="175" spans="1:16" s="270" customFormat="1" ht="27.6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807" t="s">
        <v>402</v>
      </c>
      <c r="H175" s="807"/>
      <c r="I175" s="807"/>
      <c r="J175" s="807"/>
      <c r="K175" s="283">
        <v>45744</v>
      </c>
      <c r="L175" s="282" t="s">
        <v>500</v>
      </c>
      <c r="M175" s="282"/>
      <c r="N175" s="823"/>
      <c r="O175" s="823"/>
      <c r="P175" s="823"/>
    </row>
    <row r="176" spans="1:16" s="270" customFormat="1" ht="27.6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807" t="s">
        <v>402</v>
      </c>
      <c r="H176" s="807"/>
      <c r="I176" s="807"/>
      <c r="J176" s="807"/>
      <c r="K176" s="283">
        <v>45748</v>
      </c>
      <c r="L176" s="282" t="s">
        <v>500</v>
      </c>
      <c r="M176" s="282"/>
      <c r="N176" s="823"/>
      <c r="O176" s="823"/>
      <c r="P176" s="823"/>
    </row>
    <row r="177" spans="1:16" s="270" customFormat="1" ht="27.6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807" t="s">
        <v>402</v>
      </c>
      <c r="H177" s="807"/>
      <c r="I177" s="807"/>
      <c r="J177" s="807"/>
      <c r="K177" s="283">
        <v>45752</v>
      </c>
      <c r="L177" s="282" t="s">
        <v>500</v>
      </c>
      <c r="M177" s="282"/>
      <c r="N177" s="823"/>
      <c r="O177" s="823"/>
      <c r="P177" s="823"/>
    </row>
    <row r="178" spans="1:16" s="270" customFormat="1" ht="27.6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807" t="s">
        <v>402</v>
      </c>
      <c r="H178" s="807"/>
      <c r="I178" s="807"/>
      <c r="J178" s="807"/>
      <c r="K178" s="283">
        <v>45757</v>
      </c>
      <c r="L178" s="282" t="s">
        <v>500</v>
      </c>
      <c r="M178" s="282"/>
      <c r="N178" s="823"/>
      <c r="O178" s="823"/>
      <c r="P178" s="823"/>
    </row>
    <row r="179" spans="1:16" s="270" customFormat="1" ht="27.6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807" t="s">
        <v>402</v>
      </c>
      <c r="H179" s="807"/>
      <c r="I179" s="807"/>
      <c r="J179" s="807"/>
      <c r="K179" s="283">
        <v>45768</v>
      </c>
      <c r="L179" s="282" t="s">
        <v>490</v>
      </c>
      <c r="M179" s="282"/>
      <c r="N179" s="823"/>
      <c r="O179" s="823"/>
      <c r="P179" s="823"/>
    </row>
    <row r="180" spans="1:16" s="270" customFormat="1" ht="27.6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807" t="s">
        <v>402</v>
      </c>
      <c r="H180" s="807"/>
      <c r="I180" s="807"/>
      <c r="J180" s="807"/>
      <c r="K180" s="283">
        <v>45765</v>
      </c>
      <c r="L180" s="282" t="s">
        <v>500</v>
      </c>
      <c r="M180" s="282"/>
      <c r="N180" s="823"/>
      <c r="O180" s="823"/>
      <c r="P180" s="823"/>
    </row>
    <row r="181" spans="1:16" s="270" customFormat="1" ht="27.6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807" t="s">
        <v>402</v>
      </c>
      <c r="H181" s="807"/>
      <c r="I181" s="807"/>
      <c r="J181" s="807"/>
      <c r="K181" s="283">
        <v>45773</v>
      </c>
      <c r="L181" s="282" t="s">
        <v>649</v>
      </c>
      <c r="M181" s="282"/>
      <c r="N181" s="844" t="s">
        <v>109</v>
      </c>
      <c r="O181" s="844"/>
      <c r="P181" s="844"/>
    </row>
    <row r="182" spans="1:16" s="270" customFormat="1" ht="27.6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807" t="s">
        <v>402</v>
      </c>
      <c r="H182" s="807"/>
      <c r="I182" s="807"/>
      <c r="J182" s="807"/>
      <c r="K182" s="283">
        <v>45776</v>
      </c>
      <c r="L182" s="282" t="s">
        <v>650</v>
      </c>
      <c r="M182" s="282"/>
      <c r="N182" s="868"/>
      <c r="O182" s="868"/>
      <c r="P182" s="868"/>
    </row>
    <row r="183" spans="1:16" s="270" customFormat="1" ht="27.6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807" t="s">
        <v>402</v>
      </c>
      <c r="H183" s="807"/>
      <c r="I183" s="807"/>
      <c r="J183" s="807"/>
      <c r="K183" s="283">
        <v>45780</v>
      </c>
      <c r="L183" s="282" t="s">
        <v>649</v>
      </c>
      <c r="M183" s="282"/>
      <c r="N183" s="868"/>
      <c r="O183" s="868"/>
      <c r="P183" s="868"/>
    </row>
    <row r="184" spans="1:16" s="270" customFormat="1" ht="27.6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807" t="s">
        <v>402</v>
      </c>
      <c r="H184" s="807"/>
      <c r="I184" s="807"/>
      <c r="J184" s="807"/>
      <c r="K184" s="283">
        <v>45784</v>
      </c>
      <c r="L184" s="282" t="s">
        <v>650</v>
      </c>
      <c r="M184" s="282"/>
      <c r="N184" s="868"/>
      <c r="O184" s="868"/>
      <c r="P184" s="868"/>
    </row>
    <row r="185" spans="1:16" s="270" customFormat="1" ht="27.6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807" t="s">
        <v>402</v>
      </c>
      <c r="H185" s="807"/>
      <c r="I185" s="807"/>
      <c r="J185" s="807"/>
      <c r="K185" s="283">
        <v>45787</v>
      </c>
      <c r="L185" s="282" t="s">
        <v>649</v>
      </c>
      <c r="M185" s="282"/>
      <c r="N185" s="867" t="s">
        <v>109</v>
      </c>
      <c r="O185" s="867"/>
      <c r="P185" s="867"/>
    </row>
    <row r="186" spans="1:16" s="270" customFormat="1" ht="27.6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807" t="s">
        <v>402</v>
      </c>
      <c r="H186" s="807"/>
      <c r="I186" s="807"/>
      <c r="J186" s="807"/>
      <c r="K186" s="283">
        <v>45794</v>
      </c>
      <c r="L186" s="282" t="s">
        <v>649</v>
      </c>
      <c r="M186" s="282"/>
      <c r="N186" s="867"/>
      <c r="O186" s="867"/>
      <c r="P186" s="867"/>
    </row>
    <row r="187" spans="1:16" s="270" customFormat="1" ht="27.6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807" t="s">
        <v>402</v>
      </c>
      <c r="H187" s="807"/>
      <c r="I187" s="807"/>
      <c r="J187" s="807"/>
      <c r="K187" s="283">
        <v>45796</v>
      </c>
      <c r="L187" s="282" t="s">
        <v>650</v>
      </c>
      <c r="M187" s="282"/>
      <c r="N187" s="867"/>
      <c r="O187" s="867"/>
      <c r="P187" s="867"/>
    </row>
    <row r="188" spans="1:16" s="270" customFormat="1" ht="27.6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807" t="s">
        <v>402</v>
      </c>
      <c r="H188" s="807"/>
      <c r="I188" s="807"/>
      <c r="J188" s="807"/>
      <c r="K188" s="283">
        <v>45803</v>
      </c>
      <c r="L188" s="282" t="s">
        <v>649</v>
      </c>
      <c r="M188" s="282"/>
      <c r="N188" s="867"/>
      <c r="O188" s="867"/>
      <c r="P188" s="867"/>
    </row>
    <row r="189" spans="1:16" s="270" customFormat="1" ht="27.6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807" t="s">
        <v>402</v>
      </c>
      <c r="H189" s="807"/>
      <c r="I189" s="807"/>
      <c r="J189" s="807"/>
      <c r="K189" s="283">
        <v>45805</v>
      </c>
      <c r="L189" s="282" t="s">
        <v>650</v>
      </c>
      <c r="M189" s="282"/>
      <c r="N189" s="867"/>
      <c r="O189" s="867"/>
      <c r="P189" s="867"/>
    </row>
    <row r="190" spans="1:16" s="270" customFormat="1" ht="27.6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807" t="s">
        <v>402</v>
      </c>
      <c r="H190" s="807"/>
      <c r="I190" s="807"/>
      <c r="J190" s="807"/>
      <c r="K190" s="283">
        <v>45812</v>
      </c>
      <c r="L190" s="282" t="s">
        <v>649</v>
      </c>
      <c r="M190" s="282"/>
      <c r="N190" s="815"/>
      <c r="O190" s="815"/>
      <c r="P190" s="815"/>
    </row>
    <row r="191" spans="1:16" s="270" customFormat="1" ht="27.6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807" t="s">
        <v>402</v>
      </c>
      <c r="H191" s="807"/>
      <c r="I191" s="807"/>
      <c r="J191" s="807"/>
      <c r="K191" s="283">
        <v>45810</v>
      </c>
      <c r="L191" s="282" t="s">
        <v>650</v>
      </c>
      <c r="M191" s="282"/>
      <c r="N191" s="815"/>
      <c r="O191" s="815"/>
      <c r="P191" s="815"/>
    </row>
    <row r="192" spans="1:16" s="270" customFormat="1" ht="27.6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807" t="s">
        <v>402</v>
      </c>
      <c r="H192" s="807"/>
      <c r="I192" s="807"/>
      <c r="J192" s="807"/>
      <c r="K192" s="283">
        <v>45816</v>
      </c>
      <c r="L192" s="282" t="s">
        <v>649</v>
      </c>
      <c r="M192" s="282"/>
      <c r="N192" s="815"/>
      <c r="O192" s="815"/>
      <c r="P192" s="815"/>
    </row>
    <row r="193" spans="1:16" s="270" customFormat="1" ht="27.6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807" t="s">
        <v>402</v>
      </c>
      <c r="H193" s="807"/>
      <c r="I193" s="807"/>
      <c r="J193" s="807"/>
      <c r="K193" s="283">
        <v>45820</v>
      </c>
      <c r="L193" s="282" t="s">
        <v>649</v>
      </c>
      <c r="M193" s="282"/>
      <c r="N193" s="815"/>
      <c r="O193" s="815"/>
      <c r="P193" s="815"/>
    </row>
    <row r="194" spans="1:16" s="270" customFormat="1" ht="27.6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807" t="s">
        <v>402</v>
      </c>
      <c r="H194" s="807"/>
      <c r="I194" s="807"/>
      <c r="J194" s="807"/>
      <c r="K194" s="283">
        <v>45825</v>
      </c>
      <c r="L194" s="282" t="s">
        <v>650</v>
      </c>
      <c r="M194" s="282"/>
      <c r="N194" s="815"/>
      <c r="O194" s="815"/>
      <c r="P194" s="815"/>
    </row>
    <row r="195" spans="1:16" s="270" customFormat="1" ht="27.6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807" t="s">
        <v>402</v>
      </c>
      <c r="H195" s="807"/>
      <c r="I195" s="807"/>
      <c r="J195" s="807"/>
      <c r="K195" s="183">
        <v>45832</v>
      </c>
      <c r="L195" s="282" t="s">
        <v>649</v>
      </c>
      <c r="M195" s="282"/>
      <c r="N195" s="815"/>
      <c r="O195" s="815"/>
      <c r="P195" s="815"/>
    </row>
    <row r="196" spans="1:16" s="270" customFormat="1" ht="27.6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807" t="s">
        <v>402</v>
      </c>
      <c r="H196" s="807"/>
      <c r="I196" s="807"/>
      <c r="J196" s="807"/>
      <c r="K196" s="183">
        <v>45839</v>
      </c>
      <c r="L196" s="282" t="s">
        <v>650</v>
      </c>
      <c r="M196" s="282"/>
      <c r="N196" s="815"/>
      <c r="O196" s="815"/>
      <c r="P196" s="815"/>
    </row>
    <row r="197" spans="1:16" s="270" customFormat="1" ht="27.6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807" t="s">
        <v>402</v>
      </c>
      <c r="H197" s="807"/>
      <c r="I197" s="807"/>
      <c r="J197" s="807"/>
      <c r="K197" s="183">
        <v>45850</v>
      </c>
      <c r="L197" s="463" t="s">
        <v>686</v>
      </c>
      <c r="M197" s="282"/>
      <c r="N197" s="815"/>
      <c r="O197" s="815"/>
      <c r="P197" s="815"/>
    </row>
    <row r="198" spans="1:16" s="270" customFormat="1" ht="27.6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807" t="s">
        <v>402</v>
      </c>
      <c r="H198" s="807"/>
      <c r="I198" s="807"/>
      <c r="J198" s="807"/>
      <c r="K198" s="183">
        <v>45859</v>
      </c>
      <c r="L198" s="282" t="s">
        <v>649</v>
      </c>
      <c r="M198" s="282"/>
      <c r="N198" s="815"/>
      <c r="O198" s="815"/>
      <c r="P198" s="815"/>
    </row>
    <row r="199" spans="1:16" s="270" customFormat="1" ht="27.6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807" t="s">
        <v>402</v>
      </c>
      <c r="H199" s="807"/>
      <c r="I199" s="807"/>
      <c r="J199" s="807"/>
      <c r="K199" s="183">
        <v>45852</v>
      </c>
      <c r="L199" s="282" t="s">
        <v>687</v>
      </c>
      <c r="M199" s="282"/>
      <c r="N199" s="815"/>
      <c r="O199" s="815"/>
      <c r="P199" s="815"/>
    </row>
    <row r="200" spans="1:16" s="270" customFormat="1" ht="27.6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807" t="s">
        <v>402</v>
      </c>
      <c r="H200" s="807"/>
      <c r="I200" s="807"/>
      <c r="J200" s="807"/>
      <c r="K200" s="183">
        <v>45858</v>
      </c>
      <c r="L200" s="463" t="s">
        <v>686</v>
      </c>
      <c r="M200" s="282"/>
      <c r="N200" s="815"/>
      <c r="O200" s="815"/>
      <c r="P200" s="815"/>
    </row>
    <row r="201" spans="1:16" s="270" customFormat="1" ht="27.6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807" t="s">
        <v>402</v>
      </c>
      <c r="H201" s="807"/>
      <c r="I201" s="807"/>
      <c r="J201" s="807"/>
      <c r="K201" s="183">
        <v>45861</v>
      </c>
      <c r="L201" s="463" t="s">
        <v>687</v>
      </c>
      <c r="M201" s="282"/>
      <c r="N201" s="815"/>
      <c r="O201" s="815"/>
      <c r="P201" s="815"/>
    </row>
    <row r="202" spans="1:16" s="270" customFormat="1" ht="27.6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807" t="s">
        <v>402</v>
      </c>
      <c r="H202" s="807"/>
      <c r="I202" s="807"/>
      <c r="J202" s="807"/>
      <c r="K202" s="183">
        <v>45869</v>
      </c>
      <c r="L202" s="463" t="s">
        <v>687</v>
      </c>
      <c r="M202" s="282"/>
      <c r="N202" s="815"/>
      <c r="O202" s="815"/>
      <c r="P202" s="815"/>
    </row>
    <row r="203" spans="1:16" s="270" customFormat="1" ht="27.6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807" t="s">
        <v>402</v>
      </c>
      <c r="H203" s="807"/>
      <c r="I203" s="807"/>
      <c r="J203" s="807"/>
      <c r="K203" s="183">
        <v>45868</v>
      </c>
      <c r="L203" s="463" t="s">
        <v>686</v>
      </c>
      <c r="M203" s="282"/>
      <c r="N203" s="815"/>
      <c r="O203" s="815"/>
      <c r="P203" s="815"/>
    </row>
    <row r="204" spans="1:16" s="270" customFormat="1" ht="27.6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807" t="s">
        <v>402</v>
      </c>
      <c r="H204" s="807"/>
      <c r="I204" s="807"/>
      <c r="J204" s="807"/>
      <c r="K204" s="183">
        <v>45876</v>
      </c>
      <c r="L204" s="282" t="s">
        <v>685</v>
      </c>
      <c r="M204" s="282"/>
      <c r="N204" s="815"/>
      <c r="O204" s="815"/>
      <c r="P204" s="815"/>
    </row>
    <row r="205" spans="1:16" s="270" customFormat="1" ht="27.6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807" t="s">
        <v>402</v>
      </c>
      <c r="H205" s="807"/>
      <c r="I205" s="807"/>
      <c r="J205" s="807"/>
      <c r="K205" s="183">
        <v>45875</v>
      </c>
      <c r="L205" s="282" t="s">
        <v>688</v>
      </c>
      <c r="M205" s="282"/>
      <c r="N205" s="816"/>
      <c r="O205" s="816"/>
      <c r="P205" s="816"/>
    </row>
    <row r="206" spans="1:16" s="270" customFormat="1" ht="27.6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807" t="s">
        <v>402</v>
      </c>
      <c r="H206" s="807"/>
      <c r="I206" s="807"/>
      <c r="J206" s="807"/>
      <c r="K206" s="183">
        <v>45876</v>
      </c>
      <c r="L206" s="463" t="s">
        <v>686</v>
      </c>
      <c r="M206" s="282"/>
      <c r="N206" s="816"/>
      <c r="O206" s="816"/>
      <c r="P206" s="816"/>
    </row>
    <row r="207" spans="1:16" s="422" customFormat="1" ht="27.6" customHeight="1">
      <c r="A207" s="462">
        <f>A206+1</f>
        <v>66</v>
      </c>
      <c r="B207" s="455" t="s">
        <v>19</v>
      </c>
      <c r="C207" s="429" t="s">
        <v>589</v>
      </c>
      <c r="D207" s="462" t="s">
        <v>239</v>
      </c>
      <c r="E207" s="283">
        <v>45875</v>
      </c>
      <c r="F207" s="284">
        <v>54</v>
      </c>
      <c r="G207" s="807" t="s">
        <v>402</v>
      </c>
      <c r="H207" s="807"/>
      <c r="I207" s="807"/>
      <c r="J207" s="807"/>
      <c r="K207" s="183">
        <v>45888</v>
      </c>
      <c r="L207" s="463" t="s">
        <v>687</v>
      </c>
      <c r="M207" s="462"/>
      <c r="N207" s="815"/>
      <c r="O207" s="815"/>
      <c r="P207" s="815"/>
    </row>
    <row r="208" spans="1:16" s="422" customFormat="1" ht="27.6" customHeight="1">
      <c r="A208" s="462">
        <f t="shared" ref="A208:A260" si="4">A207+1</f>
        <v>67</v>
      </c>
      <c r="B208" s="455" t="s">
        <v>139</v>
      </c>
      <c r="C208" s="181" t="s">
        <v>453</v>
      </c>
      <c r="D208" s="462" t="s">
        <v>239</v>
      </c>
      <c r="E208" s="283">
        <v>45876</v>
      </c>
      <c r="F208" s="284">
        <v>34.630000000000003</v>
      </c>
      <c r="G208" s="807" t="s">
        <v>402</v>
      </c>
      <c r="H208" s="807"/>
      <c r="I208" s="807"/>
      <c r="J208" s="807"/>
      <c r="K208" s="183">
        <v>45886</v>
      </c>
      <c r="L208" s="463" t="s">
        <v>686</v>
      </c>
      <c r="M208" s="462"/>
      <c r="N208" s="815"/>
      <c r="O208" s="815"/>
      <c r="P208" s="815"/>
    </row>
    <row r="209" spans="1:16" s="422" customFormat="1" ht="27.6" customHeight="1">
      <c r="A209" s="462">
        <f t="shared" si="4"/>
        <v>68</v>
      </c>
      <c r="B209" s="455" t="s">
        <v>605</v>
      </c>
      <c r="C209" s="181" t="s">
        <v>629</v>
      </c>
      <c r="D209" s="462" t="s">
        <v>239</v>
      </c>
      <c r="E209" s="283">
        <v>45876</v>
      </c>
      <c r="F209" s="284">
        <v>51.6</v>
      </c>
      <c r="G209" s="807" t="s">
        <v>402</v>
      </c>
      <c r="H209" s="807"/>
      <c r="I209" s="807"/>
      <c r="J209" s="807"/>
      <c r="K209" s="183">
        <v>45885</v>
      </c>
      <c r="L209" s="462" t="s">
        <v>684</v>
      </c>
      <c r="M209" s="462"/>
      <c r="N209" s="815"/>
      <c r="O209" s="815"/>
      <c r="P209" s="815"/>
    </row>
    <row r="210" spans="1:16" s="270" customFormat="1" ht="27.6" customHeight="1">
      <c r="A210" s="463">
        <f t="shared" si="4"/>
        <v>69</v>
      </c>
      <c r="B210" s="455" t="s">
        <v>165</v>
      </c>
      <c r="C210" s="181" t="s">
        <v>401</v>
      </c>
      <c r="D210" s="463" t="s">
        <v>239</v>
      </c>
      <c r="E210" s="283">
        <v>45878</v>
      </c>
      <c r="F210" s="284">
        <v>28</v>
      </c>
      <c r="G210" s="807" t="s">
        <v>402</v>
      </c>
      <c r="H210" s="807"/>
      <c r="I210" s="807"/>
      <c r="J210" s="807"/>
      <c r="K210" s="183">
        <v>45891</v>
      </c>
      <c r="L210" s="463" t="s">
        <v>685</v>
      </c>
      <c r="M210" s="463"/>
      <c r="N210" s="815"/>
      <c r="O210" s="815"/>
      <c r="P210" s="815"/>
    </row>
    <row r="211" spans="1:16" s="270" customFormat="1" ht="27.6" customHeight="1">
      <c r="A211" s="468">
        <f t="shared" si="4"/>
        <v>70</v>
      </c>
      <c r="B211" s="455" t="s">
        <v>8</v>
      </c>
      <c r="C211" s="181" t="s">
        <v>452</v>
      </c>
      <c r="D211" s="468" t="s">
        <v>239</v>
      </c>
      <c r="E211" s="283">
        <v>45885</v>
      </c>
      <c r="F211" s="284">
        <v>33</v>
      </c>
      <c r="G211" s="807" t="s">
        <v>402</v>
      </c>
      <c r="H211" s="807"/>
      <c r="I211" s="807"/>
      <c r="J211" s="807"/>
      <c r="K211" s="183">
        <v>45901</v>
      </c>
      <c r="L211" s="468" t="s">
        <v>684</v>
      </c>
      <c r="M211" s="468"/>
      <c r="N211" s="467"/>
      <c r="O211" s="467"/>
      <c r="P211" s="467"/>
    </row>
    <row r="212" spans="1:16" s="270" customFormat="1" ht="27.6" customHeight="1">
      <c r="A212" s="466">
        <f t="shared" si="4"/>
        <v>71</v>
      </c>
      <c r="B212" s="455" t="s">
        <v>150</v>
      </c>
      <c r="C212" s="181" t="s">
        <v>401</v>
      </c>
      <c r="D212" s="466" t="s">
        <v>239</v>
      </c>
      <c r="E212" s="283">
        <v>45887</v>
      </c>
      <c r="F212" s="284">
        <v>28</v>
      </c>
      <c r="G212" s="807" t="s">
        <v>402</v>
      </c>
      <c r="H212" s="807"/>
      <c r="I212" s="807"/>
      <c r="J212" s="807"/>
      <c r="K212" s="183">
        <v>45895</v>
      </c>
      <c r="L212" s="466" t="s">
        <v>686</v>
      </c>
      <c r="M212" s="466"/>
      <c r="N212" s="467"/>
      <c r="O212" s="467"/>
      <c r="P212" s="467"/>
    </row>
    <row r="213" spans="1:16" s="270" customFormat="1" ht="27.6" customHeight="1">
      <c r="A213" s="466">
        <f t="shared" si="4"/>
        <v>72</v>
      </c>
      <c r="B213" s="455" t="s">
        <v>654</v>
      </c>
      <c r="C213" s="181" t="s">
        <v>643</v>
      </c>
      <c r="D213" s="466" t="s">
        <v>239</v>
      </c>
      <c r="E213" s="283">
        <v>45888</v>
      </c>
      <c r="F213" s="284">
        <v>51.6</v>
      </c>
      <c r="G213" s="807" t="s">
        <v>402</v>
      </c>
      <c r="H213" s="807"/>
      <c r="I213" s="807"/>
      <c r="J213" s="807"/>
      <c r="K213" s="183">
        <v>45895</v>
      </c>
      <c r="L213" s="466" t="s">
        <v>684</v>
      </c>
      <c r="M213" s="466"/>
      <c r="N213" s="815"/>
      <c r="O213" s="815"/>
      <c r="P213" s="815"/>
    </row>
    <row r="214" spans="1:16" s="270" customFormat="1" ht="27.6" customHeight="1">
      <c r="A214" s="466">
        <f t="shared" si="4"/>
        <v>73</v>
      </c>
      <c r="B214" s="455" t="s">
        <v>155</v>
      </c>
      <c r="C214" s="181" t="s">
        <v>401</v>
      </c>
      <c r="D214" s="466" t="s">
        <v>239</v>
      </c>
      <c r="E214" s="283">
        <v>45891</v>
      </c>
      <c r="F214" s="284">
        <v>28</v>
      </c>
      <c r="G214" s="807" t="s">
        <v>402</v>
      </c>
      <c r="H214" s="807"/>
      <c r="I214" s="807"/>
      <c r="J214" s="807"/>
      <c r="K214" s="183">
        <v>45895</v>
      </c>
      <c r="L214" s="466" t="s">
        <v>687</v>
      </c>
      <c r="M214" s="466"/>
      <c r="N214" s="815"/>
      <c r="O214" s="815"/>
      <c r="P214" s="815"/>
    </row>
    <row r="215" spans="1:16" s="270" customFormat="1" ht="27.6" customHeight="1">
      <c r="A215" s="516">
        <f t="shared" si="4"/>
        <v>74</v>
      </c>
      <c r="B215" s="455" t="s">
        <v>559</v>
      </c>
      <c r="C215" s="181" t="s">
        <v>401</v>
      </c>
      <c r="D215" s="516" t="s">
        <v>239</v>
      </c>
      <c r="E215" s="283">
        <v>45895</v>
      </c>
      <c r="F215" s="284">
        <v>28</v>
      </c>
      <c r="G215" s="807" t="s">
        <v>402</v>
      </c>
      <c r="H215" s="807"/>
      <c r="I215" s="807"/>
      <c r="J215" s="807"/>
      <c r="K215" s="183">
        <v>45947</v>
      </c>
      <c r="L215" s="516" t="s">
        <v>687</v>
      </c>
      <c r="M215" s="516"/>
      <c r="N215" s="467"/>
      <c r="O215" s="467"/>
      <c r="P215" s="467"/>
    </row>
    <row r="216" spans="1:16" s="270" customFormat="1" ht="27.6" customHeight="1">
      <c r="A216" s="477">
        <f t="shared" si="4"/>
        <v>75</v>
      </c>
      <c r="B216" s="455" t="s">
        <v>119</v>
      </c>
      <c r="C216" s="181" t="s">
        <v>453</v>
      </c>
      <c r="D216" s="477" t="s">
        <v>239</v>
      </c>
      <c r="E216" s="283">
        <v>45900</v>
      </c>
      <c r="F216" s="284">
        <v>35</v>
      </c>
      <c r="G216" s="807" t="s">
        <v>402</v>
      </c>
      <c r="H216" s="807"/>
      <c r="I216" s="807"/>
      <c r="J216" s="807"/>
      <c r="K216" s="183">
        <v>45910</v>
      </c>
      <c r="L216" s="477" t="s">
        <v>686</v>
      </c>
      <c r="M216" s="477"/>
      <c r="N216" s="467"/>
      <c r="O216" s="467"/>
      <c r="P216" s="467"/>
    </row>
    <row r="217" spans="1:16" s="270" customFormat="1" ht="27.6" customHeight="1">
      <c r="A217" s="478">
        <f t="shared" si="4"/>
        <v>76</v>
      </c>
      <c r="B217" s="455" t="s">
        <v>607</v>
      </c>
      <c r="C217" s="181" t="s">
        <v>695</v>
      </c>
      <c r="D217" s="478" t="s">
        <v>239</v>
      </c>
      <c r="E217" s="283">
        <v>45901</v>
      </c>
      <c r="F217" s="284">
        <v>63</v>
      </c>
      <c r="G217" s="807" t="s">
        <v>402</v>
      </c>
      <c r="H217" s="807"/>
      <c r="I217" s="807"/>
      <c r="J217" s="807"/>
      <c r="K217" s="183">
        <v>45912</v>
      </c>
      <c r="L217" s="478" t="s">
        <v>687</v>
      </c>
      <c r="M217" s="478"/>
      <c r="N217" s="467"/>
      <c r="O217" s="467"/>
      <c r="P217" s="467"/>
    </row>
    <row r="218" spans="1:16" s="270" customFormat="1" ht="27.6" customHeight="1">
      <c r="A218" s="476">
        <f t="shared" si="4"/>
        <v>77</v>
      </c>
      <c r="B218" s="455" t="s">
        <v>164</v>
      </c>
      <c r="C218" s="181" t="s">
        <v>401</v>
      </c>
      <c r="D218" s="476" t="s">
        <v>239</v>
      </c>
      <c r="E218" s="283">
        <v>45903</v>
      </c>
      <c r="F218" s="284">
        <v>27.9</v>
      </c>
      <c r="G218" s="807" t="s">
        <v>402</v>
      </c>
      <c r="H218" s="807"/>
      <c r="I218" s="807"/>
      <c r="J218" s="807"/>
      <c r="K218" s="183">
        <v>45907</v>
      </c>
      <c r="L218" s="476" t="s">
        <v>684</v>
      </c>
      <c r="M218" s="476"/>
      <c r="N218" s="467"/>
      <c r="O218" s="467"/>
      <c r="P218" s="467"/>
    </row>
    <row r="219" spans="1:16" s="270" customFormat="1" ht="43.2" customHeight="1">
      <c r="A219" s="491">
        <f t="shared" si="4"/>
        <v>78</v>
      </c>
      <c r="B219" s="455" t="s">
        <v>645</v>
      </c>
      <c r="C219" s="181" t="s">
        <v>476</v>
      </c>
      <c r="D219" s="491" t="s">
        <v>239</v>
      </c>
      <c r="E219" s="283">
        <v>45905</v>
      </c>
      <c r="F219" s="284">
        <v>45</v>
      </c>
      <c r="G219" s="807" t="s">
        <v>402</v>
      </c>
      <c r="H219" s="807"/>
      <c r="I219" s="807"/>
      <c r="J219" s="807"/>
      <c r="K219" s="183">
        <v>45933</v>
      </c>
      <c r="L219" s="491" t="s">
        <v>685</v>
      </c>
      <c r="M219" s="491"/>
      <c r="N219" s="808"/>
      <c r="O219" s="809"/>
      <c r="P219" s="809"/>
    </row>
    <row r="220" spans="1:16" s="270" customFormat="1" ht="27.6" customHeight="1">
      <c r="A220" s="608">
        <f t="shared" si="4"/>
        <v>79</v>
      </c>
      <c r="B220" s="455" t="s">
        <v>40</v>
      </c>
      <c r="C220" s="181" t="s">
        <v>444</v>
      </c>
      <c r="D220" s="479" t="s">
        <v>239</v>
      </c>
      <c r="E220" s="283">
        <v>45909</v>
      </c>
      <c r="F220" s="284">
        <v>29</v>
      </c>
      <c r="G220" s="807" t="s">
        <v>402</v>
      </c>
      <c r="H220" s="807"/>
      <c r="I220" s="807"/>
      <c r="J220" s="807"/>
      <c r="K220" s="183">
        <v>45913</v>
      </c>
      <c r="L220" s="479" t="s">
        <v>684</v>
      </c>
      <c r="M220" s="479"/>
      <c r="N220" s="467"/>
      <c r="O220" s="467"/>
      <c r="P220" s="467"/>
    </row>
    <row r="221" spans="1:16" s="270" customFormat="1" ht="27.6" customHeight="1">
      <c r="A221" s="491">
        <f t="shared" si="4"/>
        <v>80</v>
      </c>
      <c r="B221" s="455" t="s">
        <v>154</v>
      </c>
      <c r="C221" s="181" t="s">
        <v>452</v>
      </c>
      <c r="D221" s="491" t="s">
        <v>239</v>
      </c>
      <c r="E221" s="283">
        <v>45909</v>
      </c>
      <c r="F221" s="284">
        <v>33.299999999999997</v>
      </c>
      <c r="G221" s="807" t="s">
        <v>402</v>
      </c>
      <c r="H221" s="807"/>
      <c r="I221" s="807"/>
      <c r="J221" s="807"/>
      <c r="K221" s="183">
        <v>45930</v>
      </c>
      <c r="L221" s="491" t="s">
        <v>696</v>
      </c>
      <c r="M221" s="491"/>
      <c r="N221" s="467"/>
      <c r="O221" s="467"/>
      <c r="P221" s="467"/>
    </row>
    <row r="222" spans="1:16" s="270" customFormat="1" ht="27.6" customHeight="1">
      <c r="A222" s="485">
        <f t="shared" si="4"/>
        <v>81</v>
      </c>
      <c r="B222" s="455" t="s">
        <v>118</v>
      </c>
      <c r="C222" s="181" t="s">
        <v>452</v>
      </c>
      <c r="D222" s="485" t="s">
        <v>239</v>
      </c>
      <c r="E222" s="283">
        <v>45912</v>
      </c>
      <c r="F222" s="284">
        <v>33.299999999999997</v>
      </c>
      <c r="G222" s="807" t="s">
        <v>402</v>
      </c>
      <c r="H222" s="807"/>
      <c r="I222" s="807"/>
      <c r="J222" s="807"/>
      <c r="K222" s="183">
        <v>45922</v>
      </c>
      <c r="L222" s="485" t="s">
        <v>699</v>
      </c>
      <c r="M222" s="485"/>
      <c r="N222" s="467"/>
      <c r="O222" s="467"/>
      <c r="P222" s="467"/>
    </row>
    <row r="223" spans="1:16" s="270" customFormat="1" ht="27.6" customHeight="1">
      <c r="A223" s="487">
        <f t="shared" si="4"/>
        <v>82</v>
      </c>
      <c r="B223" s="455" t="s">
        <v>562</v>
      </c>
      <c r="C223" s="181" t="s">
        <v>643</v>
      </c>
      <c r="D223" s="487" t="s">
        <v>239</v>
      </c>
      <c r="E223" s="283">
        <v>45914</v>
      </c>
      <c r="F223" s="284">
        <v>51.7</v>
      </c>
      <c r="G223" s="807" t="s">
        <v>402</v>
      </c>
      <c r="H223" s="807"/>
      <c r="I223" s="807"/>
      <c r="J223" s="807"/>
      <c r="K223" s="183">
        <v>45925</v>
      </c>
      <c r="L223" s="487" t="s">
        <v>687</v>
      </c>
      <c r="M223" s="487"/>
      <c r="N223" s="467"/>
      <c r="O223" s="467"/>
      <c r="P223" s="467"/>
    </row>
    <row r="224" spans="1:16" s="270" customFormat="1" ht="34.799999999999997" customHeight="1">
      <c r="A224" s="486">
        <f t="shared" si="4"/>
        <v>83</v>
      </c>
      <c r="B224" s="455" t="s">
        <v>680</v>
      </c>
      <c r="C224" s="181" t="s">
        <v>598</v>
      </c>
      <c r="D224" s="486" t="s">
        <v>239</v>
      </c>
      <c r="E224" s="283">
        <v>45916</v>
      </c>
      <c r="F224" s="284">
        <v>60</v>
      </c>
      <c r="G224" s="807" t="s">
        <v>402</v>
      </c>
      <c r="H224" s="807"/>
      <c r="I224" s="807"/>
      <c r="J224" s="807"/>
      <c r="K224" s="183">
        <v>45923</v>
      </c>
      <c r="L224" s="486" t="s">
        <v>684</v>
      </c>
      <c r="M224" s="486"/>
      <c r="N224" s="808"/>
      <c r="O224" s="809"/>
      <c r="P224" s="809"/>
    </row>
    <row r="225" spans="1:16" s="270" customFormat="1" ht="34.799999999999997" customHeight="1">
      <c r="A225" s="491">
        <f t="shared" si="4"/>
        <v>84</v>
      </c>
      <c r="B225" s="455" t="s">
        <v>117</v>
      </c>
      <c r="C225" s="181" t="s">
        <v>448</v>
      </c>
      <c r="D225" s="491" t="s">
        <v>239</v>
      </c>
      <c r="E225" s="283">
        <v>45922</v>
      </c>
      <c r="F225" s="284">
        <v>27</v>
      </c>
      <c r="G225" s="807" t="s">
        <v>402</v>
      </c>
      <c r="H225" s="807"/>
      <c r="I225" s="807"/>
      <c r="J225" s="807"/>
      <c r="K225" s="183">
        <v>45930</v>
      </c>
      <c r="L225" s="491" t="s">
        <v>699</v>
      </c>
      <c r="M225" s="491"/>
      <c r="N225" s="808"/>
      <c r="O225" s="809"/>
      <c r="P225" s="809"/>
    </row>
    <row r="226" spans="1:16" s="270" customFormat="1" ht="34.799999999999997" customHeight="1">
      <c r="A226" s="491">
        <f t="shared" si="4"/>
        <v>85</v>
      </c>
      <c r="B226" s="455" t="s">
        <v>665</v>
      </c>
      <c r="C226" s="181" t="s">
        <v>666</v>
      </c>
      <c r="D226" s="491" t="s">
        <v>239</v>
      </c>
      <c r="E226" s="283">
        <v>45925</v>
      </c>
      <c r="F226" s="284">
        <v>50</v>
      </c>
      <c r="G226" s="807" t="s">
        <v>402</v>
      </c>
      <c r="H226" s="807"/>
      <c r="I226" s="807"/>
      <c r="J226" s="807"/>
      <c r="K226" s="183">
        <v>45931</v>
      </c>
      <c r="L226" s="491" t="s">
        <v>684</v>
      </c>
      <c r="M226" s="491"/>
      <c r="N226" s="808"/>
      <c r="O226" s="809"/>
      <c r="P226" s="809"/>
    </row>
    <row r="227" spans="1:16" s="270" customFormat="1" ht="34.799999999999997" customHeight="1">
      <c r="A227" s="507">
        <f t="shared" si="4"/>
        <v>86</v>
      </c>
      <c r="B227" s="455" t="s">
        <v>173</v>
      </c>
      <c r="C227" s="181" t="s">
        <v>448</v>
      </c>
      <c r="D227" s="507" t="s">
        <v>239</v>
      </c>
      <c r="E227" s="283">
        <v>45928</v>
      </c>
      <c r="F227" s="284">
        <v>27</v>
      </c>
      <c r="G227" s="807" t="s">
        <v>402</v>
      </c>
      <c r="H227" s="807"/>
      <c r="I227" s="807"/>
      <c r="J227" s="807"/>
      <c r="K227" s="183">
        <v>45935</v>
      </c>
      <c r="L227" s="507" t="s">
        <v>687</v>
      </c>
      <c r="M227" s="507"/>
      <c r="N227" s="808"/>
      <c r="O227" s="809"/>
      <c r="P227" s="809"/>
    </row>
    <row r="228" spans="1:16" s="270" customFormat="1" ht="34.799999999999997" customHeight="1">
      <c r="A228" s="516">
        <f t="shared" si="4"/>
        <v>87</v>
      </c>
      <c r="B228" s="455" t="s">
        <v>689</v>
      </c>
      <c r="C228" s="181" t="s">
        <v>690</v>
      </c>
      <c r="D228" s="516" t="s">
        <v>239</v>
      </c>
      <c r="E228" s="283">
        <v>45929</v>
      </c>
      <c r="F228" s="284">
        <v>60</v>
      </c>
      <c r="G228" s="807" t="s">
        <v>402</v>
      </c>
      <c r="H228" s="807"/>
      <c r="I228" s="807"/>
      <c r="J228" s="807"/>
      <c r="K228" s="183">
        <v>45947</v>
      </c>
      <c r="L228" s="516" t="s">
        <v>696</v>
      </c>
      <c r="M228" s="516"/>
      <c r="N228" s="808"/>
      <c r="O228" s="809"/>
      <c r="P228" s="809"/>
    </row>
    <row r="229" spans="1:16" s="270" customFormat="1" ht="34.799999999999997" customHeight="1">
      <c r="A229" s="516">
        <f t="shared" si="4"/>
        <v>88</v>
      </c>
      <c r="B229" s="455" t="s">
        <v>597</v>
      </c>
      <c r="C229" s="181" t="s">
        <v>598</v>
      </c>
      <c r="D229" s="516" t="s">
        <v>239</v>
      </c>
      <c r="E229" s="283">
        <v>45934</v>
      </c>
      <c r="F229" s="284">
        <v>60</v>
      </c>
      <c r="G229" s="807" t="s">
        <v>402</v>
      </c>
      <c r="H229" s="807"/>
      <c r="I229" s="807"/>
      <c r="J229" s="807"/>
      <c r="K229" s="183">
        <v>45947</v>
      </c>
      <c r="L229" s="516" t="s">
        <v>699</v>
      </c>
      <c r="M229" s="516"/>
      <c r="N229" s="808"/>
      <c r="O229" s="809"/>
      <c r="P229" s="809"/>
    </row>
    <row r="230" spans="1:16" s="270" customFormat="1" ht="34.799999999999997" customHeight="1">
      <c r="A230" s="561">
        <f t="shared" si="4"/>
        <v>89</v>
      </c>
      <c r="B230" s="455" t="s">
        <v>658</v>
      </c>
      <c r="C230" s="181" t="s">
        <v>116</v>
      </c>
      <c r="D230" s="561" t="s">
        <v>239</v>
      </c>
      <c r="E230" s="283">
        <v>45946</v>
      </c>
      <c r="F230" s="284">
        <v>89</v>
      </c>
      <c r="G230" s="807" t="s">
        <v>402</v>
      </c>
      <c r="H230" s="807"/>
      <c r="I230" s="807"/>
      <c r="J230" s="807"/>
      <c r="K230" s="183">
        <v>45968</v>
      </c>
      <c r="L230" s="561" t="s">
        <v>699</v>
      </c>
      <c r="M230" s="561"/>
      <c r="N230" s="808"/>
      <c r="O230" s="809"/>
      <c r="P230" s="809"/>
    </row>
    <row r="231" spans="1:16" s="270" customFormat="1" ht="34.799999999999997" customHeight="1">
      <c r="A231" s="571">
        <f t="shared" si="4"/>
        <v>90</v>
      </c>
      <c r="B231" s="455" t="s">
        <v>663</v>
      </c>
      <c r="C231" s="181" t="s">
        <v>116</v>
      </c>
      <c r="D231" s="571" t="s">
        <v>239</v>
      </c>
      <c r="E231" s="283">
        <v>45946</v>
      </c>
      <c r="F231" s="284">
        <v>89</v>
      </c>
      <c r="G231" s="807" t="s">
        <v>402</v>
      </c>
      <c r="H231" s="807"/>
      <c r="I231" s="807"/>
      <c r="J231" s="807"/>
      <c r="K231" s="183">
        <v>45990</v>
      </c>
      <c r="L231" s="571" t="s">
        <v>696</v>
      </c>
      <c r="M231" s="571"/>
      <c r="N231" s="808"/>
      <c r="O231" s="809"/>
      <c r="P231" s="809"/>
    </row>
    <row r="232" spans="1:16" s="270" customFormat="1" ht="34.799999999999997" customHeight="1">
      <c r="A232" s="555">
        <f t="shared" si="4"/>
        <v>91</v>
      </c>
      <c r="B232" s="455" t="s">
        <v>561</v>
      </c>
      <c r="C232" s="181" t="s">
        <v>401</v>
      </c>
      <c r="D232" s="555" t="s">
        <v>239</v>
      </c>
      <c r="E232" s="283">
        <v>45948</v>
      </c>
      <c r="F232" s="284">
        <v>28</v>
      </c>
      <c r="G232" s="807" t="s">
        <v>402</v>
      </c>
      <c r="H232" s="807"/>
      <c r="I232" s="807"/>
      <c r="J232" s="807"/>
      <c r="K232" s="183">
        <v>45957</v>
      </c>
      <c r="L232" s="555" t="s">
        <v>687</v>
      </c>
      <c r="M232" s="555"/>
      <c r="N232" s="808"/>
      <c r="O232" s="809"/>
      <c r="P232" s="809"/>
    </row>
    <row r="233" spans="1:16" s="270" customFormat="1" ht="34.799999999999997" customHeight="1">
      <c r="A233" s="559">
        <f t="shared" si="4"/>
        <v>92</v>
      </c>
      <c r="B233" s="455" t="s">
        <v>162</v>
      </c>
      <c r="C233" s="181" t="s">
        <v>401</v>
      </c>
      <c r="D233" s="559" t="s">
        <v>239</v>
      </c>
      <c r="E233" s="283">
        <v>45959</v>
      </c>
      <c r="F233" s="284">
        <v>28</v>
      </c>
      <c r="G233" s="807" t="s">
        <v>402</v>
      </c>
      <c r="H233" s="807"/>
      <c r="I233" s="807"/>
      <c r="J233" s="807"/>
      <c r="K233" s="183">
        <v>45967</v>
      </c>
      <c r="L233" s="559" t="s">
        <v>687</v>
      </c>
      <c r="M233" s="559"/>
      <c r="N233" s="808"/>
      <c r="O233" s="809"/>
      <c r="P233" s="809"/>
    </row>
    <row r="234" spans="1:16" s="270" customFormat="1" ht="34.799999999999997" customHeight="1">
      <c r="A234" s="562">
        <f t="shared" si="4"/>
        <v>93</v>
      </c>
      <c r="B234" s="455" t="s">
        <v>158</v>
      </c>
      <c r="C234" s="181" t="s">
        <v>401</v>
      </c>
      <c r="D234" s="562" t="s">
        <v>239</v>
      </c>
      <c r="E234" s="283">
        <v>45965</v>
      </c>
      <c r="F234" s="284">
        <v>28</v>
      </c>
      <c r="G234" s="807" t="s">
        <v>402</v>
      </c>
      <c r="H234" s="807"/>
      <c r="I234" s="807"/>
      <c r="J234" s="807"/>
      <c r="K234" s="183">
        <v>45973</v>
      </c>
      <c r="L234" s="562" t="s">
        <v>687</v>
      </c>
      <c r="M234" s="562"/>
      <c r="N234" s="808"/>
      <c r="O234" s="809"/>
      <c r="P234" s="809"/>
    </row>
    <row r="235" spans="1:16" s="270" customFormat="1" ht="34.799999999999997" customHeight="1">
      <c r="A235" s="562">
        <f t="shared" si="4"/>
        <v>94</v>
      </c>
      <c r="B235" s="455" t="s">
        <v>151</v>
      </c>
      <c r="C235" s="181" t="s">
        <v>401</v>
      </c>
      <c r="D235" s="562" t="s">
        <v>239</v>
      </c>
      <c r="E235" s="283">
        <v>45967</v>
      </c>
      <c r="F235" s="284">
        <v>28</v>
      </c>
      <c r="G235" s="807" t="s">
        <v>402</v>
      </c>
      <c r="H235" s="807"/>
      <c r="I235" s="807"/>
      <c r="J235" s="807"/>
      <c r="K235" s="183">
        <v>45974</v>
      </c>
      <c r="L235" s="562" t="s">
        <v>696</v>
      </c>
      <c r="M235" s="562"/>
      <c r="N235" s="808"/>
      <c r="O235" s="809"/>
      <c r="P235" s="809"/>
    </row>
    <row r="236" spans="1:16" s="270" customFormat="1" ht="34.799999999999997" customHeight="1">
      <c r="A236" s="567">
        <f t="shared" si="4"/>
        <v>95</v>
      </c>
      <c r="B236" s="455" t="s">
        <v>674</v>
      </c>
      <c r="C236" s="181" t="s">
        <v>594</v>
      </c>
      <c r="D236" s="567" t="s">
        <v>239</v>
      </c>
      <c r="E236" s="283">
        <v>45972</v>
      </c>
      <c r="F236" s="284">
        <v>45</v>
      </c>
      <c r="G236" s="807" t="s">
        <v>402</v>
      </c>
      <c r="H236" s="807"/>
      <c r="I236" s="807"/>
      <c r="J236" s="807"/>
      <c r="K236" s="183">
        <v>45979</v>
      </c>
      <c r="L236" s="567" t="s">
        <v>699</v>
      </c>
      <c r="M236" s="567"/>
      <c r="N236" s="808"/>
      <c r="O236" s="809"/>
      <c r="P236" s="809"/>
    </row>
    <row r="237" spans="1:16" s="270" customFormat="1" ht="34.799999999999997" customHeight="1">
      <c r="A237" s="567">
        <f t="shared" si="4"/>
        <v>96</v>
      </c>
      <c r="B237" s="455" t="s">
        <v>120</v>
      </c>
      <c r="C237" s="181" t="s">
        <v>444</v>
      </c>
      <c r="D237" s="567" t="s">
        <v>239</v>
      </c>
      <c r="E237" s="283">
        <v>45973</v>
      </c>
      <c r="F237" s="284">
        <v>29</v>
      </c>
      <c r="G237" s="807" t="s">
        <v>402</v>
      </c>
      <c r="H237" s="807"/>
      <c r="I237" s="807"/>
      <c r="J237" s="807"/>
      <c r="K237" s="183">
        <v>45982</v>
      </c>
      <c r="L237" s="567" t="s">
        <v>687</v>
      </c>
      <c r="M237" s="567"/>
      <c r="N237" s="808"/>
      <c r="O237" s="809"/>
      <c r="P237" s="809"/>
    </row>
    <row r="238" spans="1:16" s="270" customFormat="1" ht="34.799999999999997" customHeight="1">
      <c r="A238" s="571">
        <f t="shared" si="4"/>
        <v>97</v>
      </c>
      <c r="B238" s="455" t="s">
        <v>168</v>
      </c>
      <c r="C238" s="181" t="s">
        <v>444</v>
      </c>
      <c r="D238" s="571" t="s">
        <v>239</v>
      </c>
      <c r="E238" s="283">
        <v>45982</v>
      </c>
      <c r="F238" s="284">
        <v>29</v>
      </c>
      <c r="G238" s="807" t="s">
        <v>402</v>
      </c>
      <c r="H238" s="807"/>
      <c r="I238" s="807"/>
      <c r="J238" s="807"/>
      <c r="K238" s="183">
        <v>45988</v>
      </c>
      <c r="L238" s="571" t="s">
        <v>699</v>
      </c>
      <c r="M238" s="571"/>
      <c r="N238" s="808"/>
      <c r="O238" s="809"/>
      <c r="P238" s="809"/>
    </row>
    <row r="239" spans="1:16" s="270" customFormat="1" ht="34.799999999999997" customHeight="1">
      <c r="A239" s="573">
        <f t="shared" si="4"/>
        <v>98</v>
      </c>
      <c r="B239" s="455" t="s">
        <v>153</v>
      </c>
      <c r="C239" s="181" t="s">
        <v>401</v>
      </c>
      <c r="D239" s="573" t="s">
        <v>239</v>
      </c>
      <c r="E239" s="283">
        <v>45984</v>
      </c>
      <c r="F239" s="284">
        <v>28</v>
      </c>
      <c r="G239" s="807" t="s">
        <v>402</v>
      </c>
      <c r="H239" s="807"/>
      <c r="I239" s="807"/>
      <c r="J239" s="807"/>
      <c r="K239" s="183">
        <v>45993</v>
      </c>
      <c r="L239" s="573" t="s">
        <v>687</v>
      </c>
      <c r="M239" s="573"/>
      <c r="N239" s="808"/>
      <c r="O239" s="809"/>
      <c r="P239" s="809"/>
    </row>
    <row r="240" spans="1:16" s="270" customFormat="1" ht="34.799999999999997" customHeight="1">
      <c r="A240" s="574">
        <f t="shared" si="4"/>
        <v>99</v>
      </c>
      <c r="B240" s="455" t="s">
        <v>557</v>
      </c>
      <c r="C240" s="181" t="s">
        <v>643</v>
      </c>
      <c r="D240" s="574" t="s">
        <v>239</v>
      </c>
      <c r="E240" s="283">
        <v>45991</v>
      </c>
      <c r="F240" s="284">
        <v>52</v>
      </c>
      <c r="G240" s="807" t="s">
        <v>402</v>
      </c>
      <c r="H240" s="807"/>
      <c r="I240" s="807"/>
      <c r="J240" s="807"/>
      <c r="K240" s="183">
        <v>45998</v>
      </c>
      <c r="L240" s="574" t="s">
        <v>699</v>
      </c>
      <c r="M240" s="574"/>
      <c r="N240" s="808"/>
      <c r="O240" s="809"/>
      <c r="P240" s="809"/>
    </row>
    <row r="241" spans="1:16" s="270" customFormat="1" ht="34.799999999999997" customHeight="1">
      <c r="A241" s="575">
        <f t="shared" si="4"/>
        <v>100</v>
      </c>
      <c r="B241" s="455" t="s">
        <v>678</v>
      </c>
      <c r="C241" s="181" t="s">
        <v>629</v>
      </c>
      <c r="D241" s="575" t="s">
        <v>239</v>
      </c>
      <c r="E241" s="283">
        <v>45992</v>
      </c>
      <c r="F241" s="284">
        <v>52</v>
      </c>
      <c r="G241" s="807" t="s">
        <v>402</v>
      </c>
      <c r="H241" s="807"/>
      <c r="I241" s="807"/>
      <c r="J241" s="807"/>
      <c r="K241" s="183">
        <v>46001</v>
      </c>
      <c r="L241" s="575" t="s">
        <v>696</v>
      </c>
      <c r="M241" s="575"/>
      <c r="N241" s="808"/>
      <c r="O241" s="809"/>
      <c r="P241" s="809"/>
    </row>
    <row r="242" spans="1:16" s="270" customFormat="1" ht="34.799999999999997" customHeight="1">
      <c r="A242" s="588">
        <f t="shared" si="4"/>
        <v>101</v>
      </c>
      <c r="B242" s="455" t="s">
        <v>163</v>
      </c>
      <c r="C242" s="181" t="s">
        <v>669</v>
      </c>
      <c r="D242" s="588" t="s">
        <v>239</v>
      </c>
      <c r="E242" s="283">
        <v>45995</v>
      </c>
      <c r="F242" s="284">
        <v>27</v>
      </c>
      <c r="G242" s="807" t="s">
        <v>402</v>
      </c>
      <c r="H242" s="807"/>
      <c r="I242" s="807"/>
      <c r="J242" s="807"/>
      <c r="K242" s="183">
        <v>46005</v>
      </c>
      <c r="L242" s="588" t="s">
        <v>687</v>
      </c>
      <c r="M242" s="588"/>
      <c r="N242" s="808"/>
      <c r="O242" s="809"/>
      <c r="P242" s="809"/>
    </row>
    <row r="243" spans="1:16" s="270" customFormat="1" ht="34.799999999999997" customHeight="1">
      <c r="A243" s="588">
        <f t="shared" si="4"/>
        <v>102</v>
      </c>
      <c r="B243" s="455" t="s">
        <v>183</v>
      </c>
      <c r="C243" s="181" t="s">
        <v>452</v>
      </c>
      <c r="D243" s="588" t="s">
        <v>239</v>
      </c>
      <c r="E243" s="283">
        <v>45998</v>
      </c>
      <c r="F243" s="284">
        <v>33</v>
      </c>
      <c r="G243" s="807" t="s">
        <v>402</v>
      </c>
      <c r="H243" s="807"/>
      <c r="I243" s="807"/>
      <c r="J243" s="807"/>
      <c r="K243" s="183">
        <v>46005</v>
      </c>
      <c r="L243" s="588" t="s">
        <v>699</v>
      </c>
      <c r="M243" s="588"/>
      <c r="N243" s="808"/>
      <c r="O243" s="809"/>
      <c r="P243" s="809"/>
    </row>
    <row r="244" spans="1:16" s="270" customFormat="1" ht="34.799999999999997" customHeight="1">
      <c r="A244" s="588">
        <f t="shared" si="4"/>
        <v>103</v>
      </c>
      <c r="B244" s="455" t="s">
        <v>171</v>
      </c>
      <c r="C244" s="181" t="s">
        <v>448</v>
      </c>
      <c r="D244" s="588" t="s">
        <v>239</v>
      </c>
      <c r="E244" s="283">
        <v>46001</v>
      </c>
      <c r="F244" s="284">
        <v>27</v>
      </c>
      <c r="G244" s="807" t="s">
        <v>402</v>
      </c>
      <c r="H244" s="807"/>
      <c r="I244" s="807"/>
      <c r="J244" s="807"/>
      <c r="K244" s="183">
        <v>46006</v>
      </c>
      <c r="L244" s="588" t="s">
        <v>696</v>
      </c>
      <c r="M244" s="588"/>
      <c r="N244" s="808"/>
      <c r="O244" s="809"/>
      <c r="P244" s="809"/>
    </row>
    <row r="245" spans="1:16" s="270" customFormat="1" ht="34.799999999999997" customHeight="1">
      <c r="A245" s="608">
        <f t="shared" si="4"/>
        <v>104</v>
      </c>
      <c r="B245" s="455" t="s">
        <v>184</v>
      </c>
      <c r="C245" s="181" t="s">
        <v>448</v>
      </c>
      <c r="D245" s="608" t="s">
        <v>239</v>
      </c>
      <c r="E245" s="283">
        <v>46006</v>
      </c>
      <c r="F245" s="284">
        <v>27</v>
      </c>
      <c r="G245" s="807" t="s">
        <v>402</v>
      </c>
      <c r="H245" s="807"/>
      <c r="I245" s="807"/>
      <c r="J245" s="807"/>
      <c r="K245" s="183">
        <v>46010</v>
      </c>
      <c r="L245" s="608" t="s">
        <v>699</v>
      </c>
      <c r="M245" s="608"/>
      <c r="N245" s="808"/>
      <c r="O245" s="809"/>
      <c r="P245" s="809"/>
    </row>
    <row r="246" spans="1:16" s="270" customFormat="1" ht="34.799999999999997" customHeight="1">
      <c r="A246" s="632">
        <f t="shared" si="4"/>
        <v>105</v>
      </c>
      <c r="B246" s="455" t="s">
        <v>172</v>
      </c>
      <c r="C246" s="181" t="s">
        <v>448</v>
      </c>
      <c r="D246" s="632" t="s">
        <v>239</v>
      </c>
      <c r="E246" s="283">
        <v>46008</v>
      </c>
      <c r="F246" s="284">
        <v>27</v>
      </c>
      <c r="G246" s="807" t="s">
        <v>402</v>
      </c>
      <c r="H246" s="807"/>
      <c r="I246" s="807"/>
      <c r="J246" s="807"/>
      <c r="K246" s="183">
        <v>46013</v>
      </c>
      <c r="L246" s="632" t="s">
        <v>696</v>
      </c>
      <c r="M246" s="632"/>
      <c r="N246" s="808"/>
      <c r="O246" s="809"/>
      <c r="P246" s="809"/>
    </row>
    <row r="247" spans="1:16" s="270" customFormat="1" ht="34.799999999999997" customHeight="1">
      <c r="A247" s="672">
        <f t="shared" si="4"/>
        <v>106</v>
      </c>
      <c r="B247" s="455" t="s">
        <v>558</v>
      </c>
      <c r="C247" s="181" t="s">
        <v>452</v>
      </c>
      <c r="D247" s="672" t="s">
        <v>239</v>
      </c>
      <c r="E247" s="283">
        <v>46007</v>
      </c>
      <c r="F247" s="284">
        <v>33</v>
      </c>
      <c r="G247" s="807" t="s">
        <v>402</v>
      </c>
      <c r="H247" s="807"/>
      <c r="I247" s="807"/>
      <c r="J247" s="807"/>
      <c r="K247" s="183">
        <v>46016</v>
      </c>
      <c r="L247" s="672" t="s">
        <v>687</v>
      </c>
      <c r="M247" s="672"/>
      <c r="N247" s="808"/>
      <c r="O247" s="809"/>
      <c r="P247" s="809"/>
    </row>
    <row r="248" spans="1:16" s="270" customFormat="1" ht="34.799999999999997" customHeight="1">
      <c r="A248" s="672">
        <f t="shared" si="4"/>
        <v>107</v>
      </c>
      <c r="B248" s="455" t="s">
        <v>185</v>
      </c>
      <c r="C248" s="181" t="s">
        <v>506</v>
      </c>
      <c r="D248" s="672" t="s">
        <v>239</v>
      </c>
      <c r="E248" s="283">
        <v>46011</v>
      </c>
      <c r="F248" s="284">
        <v>51</v>
      </c>
      <c r="G248" s="807" t="s">
        <v>402</v>
      </c>
      <c r="H248" s="807"/>
      <c r="I248" s="807"/>
      <c r="J248" s="807"/>
      <c r="K248" s="183">
        <v>46017</v>
      </c>
      <c r="L248" s="672" t="s">
        <v>699</v>
      </c>
      <c r="M248" s="672"/>
      <c r="N248" s="808"/>
      <c r="O248" s="809"/>
      <c r="P248" s="809"/>
    </row>
    <row r="249" spans="1:16" s="270" customFormat="1" ht="34.799999999999997" customHeight="1">
      <c r="A249" s="678">
        <f t="shared" si="4"/>
        <v>108</v>
      </c>
      <c r="B249" s="455" t="s">
        <v>616</v>
      </c>
      <c r="C249" s="181" t="s">
        <v>453</v>
      </c>
      <c r="D249" s="678" t="s">
        <v>809</v>
      </c>
      <c r="E249" s="283">
        <v>46014</v>
      </c>
      <c r="F249" s="284">
        <v>35</v>
      </c>
      <c r="G249" s="807" t="s">
        <v>402</v>
      </c>
      <c r="H249" s="807"/>
      <c r="I249" s="807"/>
      <c r="J249" s="807"/>
      <c r="K249" s="183">
        <v>46021</v>
      </c>
      <c r="L249" s="678" t="s">
        <v>696</v>
      </c>
      <c r="M249" s="678"/>
      <c r="N249" s="808"/>
      <c r="O249" s="809"/>
      <c r="P249" s="809"/>
    </row>
    <row r="250" spans="1:16" s="270" customFormat="1" ht="34.799999999999997" customHeight="1">
      <c r="A250" s="706">
        <f t="shared" si="4"/>
        <v>109</v>
      </c>
      <c r="B250" s="455" t="s">
        <v>553</v>
      </c>
      <c r="C250" s="181" t="s">
        <v>652</v>
      </c>
      <c r="D250" s="706" t="s">
        <v>239</v>
      </c>
      <c r="E250" s="283">
        <v>46017</v>
      </c>
      <c r="F250" s="284">
        <v>73</v>
      </c>
      <c r="G250" s="807" t="s">
        <v>402</v>
      </c>
      <c r="H250" s="807"/>
      <c r="I250" s="807"/>
      <c r="J250" s="807"/>
      <c r="K250" s="183">
        <v>46030</v>
      </c>
      <c r="L250" s="706" t="s">
        <v>699</v>
      </c>
      <c r="M250" s="706"/>
      <c r="N250" s="808"/>
      <c r="O250" s="809"/>
      <c r="P250" s="809"/>
    </row>
    <row r="251" spans="1:16" s="270" customFormat="1" ht="34.799999999999997" customHeight="1">
      <c r="A251" s="706">
        <f t="shared" si="4"/>
        <v>110</v>
      </c>
      <c r="B251" s="455" t="s">
        <v>186</v>
      </c>
      <c r="C251" s="181" t="s">
        <v>669</v>
      </c>
      <c r="D251" s="706" t="s">
        <v>239</v>
      </c>
      <c r="E251" s="283">
        <v>46017</v>
      </c>
      <c r="F251" s="284">
        <v>27</v>
      </c>
      <c r="G251" s="807" t="s">
        <v>402</v>
      </c>
      <c r="H251" s="807"/>
      <c r="I251" s="807"/>
      <c r="J251" s="807"/>
      <c r="K251" s="183">
        <v>46029</v>
      </c>
      <c r="L251" s="706" t="s">
        <v>687</v>
      </c>
      <c r="M251" s="706"/>
      <c r="N251" s="808"/>
      <c r="O251" s="809"/>
      <c r="P251" s="809"/>
    </row>
    <row r="252" spans="1:16" s="422" customFormat="1" ht="34.799999999999997" customHeight="1">
      <c r="A252" s="465">
        <f t="shared" si="4"/>
        <v>111</v>
      </c>
      <c r="B252" s="454" t="s">
        <v>556</v>
      </c>
      <c r="C252" s="635" t="s">
        <v>448</v>
      </c>
      <c r="D252" s="465" t="s">
        <v>239</v>
      </c>
      <c r="E252" s="421">
        <v>46021</v>
      </c>
      <c r="F252" s="420">
        <v>27</v>
      </c>
      <c r="G252" s="810" t="s">
        <v>883</v>
      </c>
      <c r="H252" s="811"/>
      <c r="I252" s="811"/>
      <c r="J252" s="812"/>
      <c r="K252" s="557"/>
      <c r="L252" s="465" t="s">
        <v>860</v>
      </c>
      <c r="M252" s="465"/>
      <c r="N252" s="813"/>
      <c r="O252" s="814"/>
      <c r="P252" s="814"/>
    </row>
    <row r="253" spans="1:16" s="270" customFormat="1" ht="34.799999999999997" customHeight="1">
      <c r="A253" s="703">
        <f t="shared" si="4"/>
        <v>112</v>
      </c>
      <c r="B253" s="455" t="s">
        <v>617</v>
      </c>
      <c r="C253" s="181" t="s">
        <v>669</v>
      </c>
      <c r="D253" s="703" t="s">
        <v>239</v>
      </c>
      <c r="E253" s="283">
        <v>46022</v>
      </c>
      <c r="F253" s="284">
        <v>27</v>
      </c>
      <c r="G253" s="807" t="s">
        <v>402</v>
      </c>
      <c r="H253" s="807"/>
      <c r="I253" s="807"/>
      <c r="J253" s="807"/>
      <c r="K253" s="183">
        <v>46028</v>
      </c>
      <c r="L253" s="703" t="s">
        <v>696</v>
      </c>
      <c r="M253" s="703"/>
      <c r="N253" s="808"/>
      <c r="O253" s="809"/>
      <c r="P253" s="809"/>
    </row>
    <row r="254" spans="1:16" s="270" customFormat="1" ht="34.799999999999997" customHeight="1">
      <c r="A254" s="734">
        <f t="shared" si="4"/>
        <v>113</v>
      </c>
      <c r="B254" s="455" t="s">
        <v>555</v>
      </c>
      <c r="C254" s="181" t="s">
        <v>652</v>
      </c>
      <c r="D254" s="734" t="s">
        <v>239</v>
      </c>
      <c r="E254" s="283">
        <v>46029</v>
      </c>
      <c r="F254" s="284">
        <v>73</v>
      </c>
      <c r="G254" s="807" t="s">
        <v>402</v>
      </c>
      <c r="H254" s="807"/>
      <c r="I254" s="807"/>
      <c r="J254" s="807"/>
      <c r="K254" s="183">
        <v>46040</v>
      </c>
      <c r="L254" s="734" t="s">
        <v>696</v>
      </c>
      <c r="M254" s="734"/>
      <c r="N254" s="808"/>
      <c r="O254" s="809"/>
      <c r="P254" s="809"/>
    </row>
    <row r="255" spans="1:16" s="270" customFormat="1" ht="34.799999999999997" customHeight="1">
      <c r="A255" s="734">
        <f t="shared" si="4"/>
        <v>114</v>
      </c>
      <c r="B255" s="455" t="s">
        <v>182</v>
      </c>
      <c r="C255" s="181" t="s">
        <v>448</v>
      </c>
      <c r="D255" s="734" t="s">
        <v>239</v>
      </c>
      <c r="E255" s="283">
        <v>46030</v>
      </c>
      <c r="F255" s="284">
        <v>27</v>
      </c>
      <c r="G255" s="807" t="s">
        <v>402</v>
      </c>
      <c r="H255" s="807"/>
      <c r="I255" s="807"/>
      <c r="J255" s="807"/>
      <c r="K255" s="183">
        <v>46037</v>
      </c>
      <c r="L255" s="734" t="s">
        <v>699</v>
      </c>
      <c r="M255" s="734"/>
      <c r="N255" s="808"/>
      <c r="O255" s="809"/>
      <c r="P255" s="809"/>
    </row>
    <row r="256" spans="1:16" s="270" customFormat="1" ht="34.799999999999997" customHeight="1">
      <c r="A256" s="734">
        <f t="shared" si="4"/>
        <v>115</v>
      </c>
      <c r="B256" s="455" t="s">
        <v>188</v>
      </c>
      <c r="C256" s="181" t="s">
        <v>448</v>
      </c>
      <c r="D256" s="734" t="s">
        <v>239</v>
      </c>
      <c r="E256" s="283">
        <v>46030</v>
      </c>
      <c r="F256" s="284">
        <v>27</v>
      </c>
      <c r="G256" s="807" t="s">
        <v>402</v>
      </c>
      <c r="H256" s="807"/>
      <c r="I256" s="807"/>
      <c r="J256" s="807"/>
      <c r="K256" s="183">
        <v>46037</v>
      </c>
      <c r="L256" s="734" t="s">
        <v>687</v>
      </c>
      <c r="M256" s="734"/>
      <c r="N256" s="808"/>
      <c r="O256" s="809"/>
      <c r="P256" s="809"/>
    </row>
    <row r="257" spans="1:16" s="270" customFormat="1" ht="34.799999999999997" customHeight="1">
      <c r="A257" s="734">
        <f t="shared" si="4"/>
        <v>116</v>
      </c>
      <c r="B257" s="455" t="s">
        <v>560</v>
      </c>
      <c r="C257" s="181" t="s">
        <v>401</v>
      </c>
      <c r="D257" s="734" t="s">
        <v>239</v>
      </c>
      <c r="E257" s="283">
        <v>46038</v>
      </c>
      <c r="F257" s="284">
        <v>29</v>
      </c>
      <c r="G257" s="807" t="s">
        <v>402</v>
      </c>
      <c r="H257" s="807"/>
      <c r="I257" s="807"/>
      <c r="J257" s="807"/>
      <c r="K257" s="183">
        <v>46042</v>
      </c>
      <c r="L257" s="734" t="s">
        <v>699</v>
      </c>
      <c r="M257" s="734"/>
      <c r="N257" s="808"/>
      <c r="O257" s="809"/>
      <c r="P257" s="809"/>
    </row>
    <row r="258" spans="1:16" s="422" customFormat="1" ht="34.799999999999997" customHeight="1">
      <c r="A258" s="465">
        <f t="shared" si="4"/>
        <v>117</v>
      </c>
      <c r="B258" s="454" t="s">
        <v>519</v>
      </c>
      <c r="C258" s="635" t="s">
        <v>690</v>
      </c>
      <c r="D258" s="465" t="s">
        <v>239</v>
      </c>
      <c r="E258" s="421">
        <v>45673</v>
      </c>
      <c r="F258" s="420">
        <v>60</v>
      </c>
      <c r="G258" s="810" t="s">
        <v>897</v>
      </c>
      <c r="H258" s="811"/>
      <c r="I258" s="811"/>
      <c r="J258" s="812"/>
      <c r="K258" s="557"/>
      <c r="L258" s="465" t="s">
        <v>687</v>
      </c>
      <c r="M258" s="465">
        <v>29</v>
      </c>
      <c r="N258" s="813"/>
      <c r="O258" s="814"/>
      <c r="P258" s="814"/>
    </row>
    <row r="259" spans="1:16" s="422" customFormat="1" ht="34.799999999999997" customHeight="1">
      <c r="A259" s="465">
        <f t="shared" si="4"/>
        <v>118</v>
      </c>
      <c r="B259" s="454" t="s">
        <v>181</v>
      </c>
      <c r="C259" s="635" t="s">
        <v>401</v>
      </c>
      <c r="D259" s="465" t="s">
        <v>239</v>
      </c>
      <c r="E259" s="421">
        <v>46042</v>
      </c>
      <c r="F259" s="420">
        <v>27</v>
      </c>
      <c r="G259" s="810" t="s">
        <v>898</v>
      </c>
      <c r="H259" s="811"/>
      <c r="I259" s="811"/>
      <c r="J259" s="812"/>
      <c r="K259" s="557"/>
      <c r="L259" s="465" t="s">
        <v>696</v>
      </c>
      <c r="M259" s="465">
        <v>30</v>
      </c>
      <c r="N259" s="813"/>
      <c r="O259" s="814"/>
      <c r="P259" s="814"/>
    </row>
    <row r="260" spans="1:16" s="422" customFormat="1" ht="34.799999999999997" customHeight="1">
      <c r="A260" s="465">
        <f t="shared" si="4"/>
        <v>119</v>
      </c>
      <c r="B260" s="454" t="s">
        <v>174</v>
      </c>
      <c r="C260" s="635" t="s">
        <v>448</v>
      </c>
      <c r="D260" s="465" t="s">
        <v>239</v>
      </c>
      <c r="E260" s="421">
        <v>46044</v>
      </c>
      <c r="F260" s="420">
        <v>27</v>
      </c>
      <c r="G260" s="810" t="s">
        <v>897</v>
      </c>
      <c r="H260" s="811"/>
      <c r="I260" s="811"/>
      <c r="J260" s="812"/>
      <c r="K260" s="557"/>
      <c r="L260" s="465" t="s">
        <v>699</v>
      </c>
      <c r="M260" s="465">
        <v>33</v>
      </c>
      <c r="N260" s="813"/>
      <c r="O260" s="814"/>
      <c r="P260" s="814"/>
    </row>
    <row r="261" spans="1:16" s="2" customFormat="1" ht="21" customHeight="1" thickBot="1">
      <c r="A261" s="45"/>
      <c r="B261" s="151"/>
      <c r="F261" s="152"/>
      <c r="G261" s="820"/>
      <c r="H261" s="820"/>
      <c r="I261" s="820"/>
      <c r="J261" s="820"/>
      <c r="N261" s="820"/>
      <c r="O261" s="820"/>
      <c r="P261" s="820"/>
    </row>
    <row r="262" spans="1:16" ht="21" customHeight="1" thickBot="1">
      <c r="A262" s="817" t="s">
        <v>104</v>
      </c>
      <c r="B262" s="818"/>
      <c r="C262" s="818"/>
      <c r="D262" s="818"/>
      <c r="E262" s="818"/>
      <c r="F262" s="818"/>
      <c r="G262" s="818"/>
      <c r="H262" s="818"/>
      <c r="I262" s="818"/>
      <c r="J262" s="818"/>
      <c r="K262" s="818"/>
      <c r="L262" s="818"/>
      <c r="M262" s="818"/>
      <c r="N262" s="818"/>
      <c r="O262" s="818"/>
      <c r="P262" s="819"/>
    </row>
    <row r="263" spans="1:16" ht="52.2" customHeight="1">
      <c r="A263" s="564" t="s">
        <v>394</v>
      </c>
      <c r="B263" s="662" t="s">
        <v>110</v>
      </c>
      <c r="C263" s="663" t="s">
        <v>404</v>
      </c>
      <c r="D263" s="827" t="s">
        <v>112</v>
      </c>
      <c r="E263" s="827"/>
      <c r="F263" s="827"/>
      <c r="G263" s="827"/>
      <c r="H263" s="663" t="s">
        <v>398</v>
      </c>
      <c r="I263" s="663" t="s">
        <v>808</v>
      </c>
      <c r="J263" s="663" t="s">
        <v>802</v>
      </c>
      <c r="K263" s="663" t="s">
        <v>803</v>
      </c>
      <c r="L263" s="663" t="s">
        <v>804</v>
      </c>
      <c r="M263" s="663" t="s">
        <v>805</v>
      </c>
      <c r="N263" s="663" t="s">
        <v>806</v>
      </c>
      <c r="O263" s="663" t="s">
        <v>399</v>
      </c>
      <c r="P263" s="664" t="s">
        <v>113</v>
      </c>
    </row>
    <row r="264" spans="1:16" s="270" customFormat="1" ht="27.6" customHeight="1">
      <c r="A264" s="633">
        <v>1</v>
      </c>
      <c r="B264" s="150" t="s">
        <v>701</v>
      </c>
      <c r="C264" s="89">
        <v>1.1060000000000001</v>
      </c>
      <c r="D264" s="828" t="s">
        <v>822</v>
      </c>
      <c r="E264" s="828"/>
      <c r="F264" s="828"/>
      <c r="G264" s="828"/>
      <c r="H264" s="47" t="s">
        <v>702</v>
      </c>
      <c r="I264" s="283">
        <v>45920</v>
      </c>
      <c r="J264" s="283">
        <v>45925</v>
      </c>
      <c r="K264" s="283">
        <v>45928</v>
      </c>
      <c r="L264" s="283">
        <v>45943</v>
      </c>
      <c r="M264" s="283">
        <v>45945</v>
      </c>
      <c r="N264" s="283">
        <v>45949</v>
      </c>
      <c r="O264" s="633"/>
      <c r="P264" s="632"/>
    </row>
    <row r="265" spans="1:16" s="270" customFormat="1" ht="30" customHeight="1">
      <c r="A265" s="633">
        <v>2</v>
      </c>
      <c r="B265" s="150" t="s">
        <v>704</v>
      </c>
      <c r="C265" s="89">
        <v>2.4729999999999999</v>
      </c>
      <c r="D265" s="828" t="s">
        <v>822</v>
      </c>
      <c r="E265" s="828"/>
      <c r="F265" s="828"/>
      <c r="G265" s="828"/>
      <c r="H265" s="47" t="s">
        <v>702</v>
      </c>
      <c r="I265" s="283">
        <v>45930</v>
      </c>
      <c r="J265" s="283">
        <v>45933</v>
      </c>
      <c r="K265" s="283">
        <v>45936</v>
      </c>
      <c r="L265" s="283">
        <v>46013</v>
      </c>
      <c r="M265" s="283">
        <v>46017</v>
      </c>
      <c r="N265" s="705">
        <v>46024</v>
      </c>
      <c r="O265" s="154"/>
      <c r="P265" s="665" t="s">
        <v>870</v>
      </c>
    </row>
    <row r="266" spans="1:16" s="270" customFormat="1" ht="35.4" customHeight="1">
      <c r="A266" s="633">
        <v>3</v>
      </c>
      <c r="B266" s="150" t="s">
        <v>706</v>
      </c>
      <c r="C266" s="89">
        <v>2.4260000000000002</v>
      </c>
      <c r="D266" s="828" t="s">
        <v>822</v>
      </c>
      <c r="E266" s="828"/>
      <c r="F266" s="828"/>
      <c r="G266" s="828"/>
      <c r="H266" s="47" t="s">
        <v>702</v>
      </c>
      <c r="I266" s="283">
        <v>45940</v>
      </c>
      <c r="J266" s="283">
        <v>46011</v>
      </c>
      <c r="K266" s="283">
        <v>46017</v>
      </c>
      <c r="L266" s="283">
        <v>46021</v>
      </c>
      <c r="M266" s="283">
        <v>46024</v>
      </c>
      <c r="N266" s="705">
        <v>46027</v>
      </c>
      <c r="O266" s="629"/>
      <c r="P266" s="665"/>
    </row>
    <row r="267" spans="1:16" s="270" customFormat="1" ht="35.4" customHeight="1">
      <c r="A267" s="633">
        <v>4</v>
      </c>
      <c r="B267" s="150" t="s">
        <v>774</v>
      </c>
      <c r="C267" s="89">
        <v>4.4800000000000004</v>
      </c>
      <c r="D267" s="828" t="s">
        <v>822</v>
      </c>
      <c r="E267" s="828"/>
      <c r="F267" s="828"/>
      <c r="G267" s="828"/>
      <c r="H267" s="47" t="s">
        <v>702</v>
      </c>
      <c r="I267" s="283">
        <v>45954</v>
      </c>
      <c r="J267" s="283">
        <v>45968</v>
      </c>
      <c r="K267" s="283">
        <v>45978</v>
      </c>
      <c r="L267" s="283">
        <v>45996</v>
      </c>
      <c r="M267" s="283">
        <v>46000</v>
      </c>
      <c r="N267" s="705">
        <v>46010</v>
      </c>
      <c r="O267" s="633"/>
      <c r="P267" s="665" t="s">
        <v>825</v>
      </c>
    </row>
    <row r="268" spans="1:16" s="270" customFormat="1" ht="35.4" customHeight="1">
      <c r="A268" s="633">
        <v>5</v>
      </c>
      <c r="B268" s="150" t="s">
        <v>792</v>
      </c>
      <c r="C268" s="89">
        <v>1.98</v>
      </c>
      <c r="D268" s="828" t="s">
        <v>822</v>
      </c>
      <c r="E268" s="828"/>
      <c r="F268" s="828"/>
      <c r="G268" s="828"/>
      <c r="H268" s="47" t="s">
        <v>702</v>
      </c>
      <c r="I268" s="283">
        <v>45959</v>
      </c>
      <c r="J268" s="283">
        <v>45987</v>
      </c>
      <c r="K268" s="283">
        <v>45991</v>
      </c>
      <c r="L268" s="283">
        <v>45996</v>
      </c>
      <c r="M268" s="283">
        <v>46000</v>
      </c>
      <c r="N268" s="634">
        <v>46004</v>
      </c>
      <c r="O268" s="633"/>
      <c r="P268" s="665" t="s">
        <v>824</v>
      </c>
    </row>
    <row r="269" spans="1:16" s="270" customFormat="1" ht="35.4" customHeight="1">
      <c r="A269" s="633">
        <v>6</v>
      </c>
      <c r="B269" s="150" t="s">
        <v>795</v>
      </c>
      <c r="C269" s="89">
        <v>0.48</v>
      </c>
      <c r="D269" s="828" t="s">
        <v>822</v>
      </c>
      <c r="E269" s="828"/>
      <c r="F269" s="828"/>
      <c r="G269" s="828"/>
      <c r="H269" s="47" t="s">
        <v>702</v>
      </c>
      <c r="I269" s="283">
        <v>45954</v>
      </c>
      <c r="J269" s="283">
        <v>45962</v>
      </c>
      <c r="K269" s="283">
        <v>45964</v>
      </c>
      <c r="L269" s="283">
        <v>45971</v>
      </c>
      <c r="M269" s="283">
        <v>45978</v>
      </c>
      <c r="N269" s="633"/>
      <c r="O269" s="666"/>
      <c r="P269" s="666"/>
    </row>
    <row r="270" spans="1:16" s="270" customFormat="1" ht="35.4" customHeight="1">
      <c r="A270" s="633">
        <v>7</v>
      </c>
      <c r="B270" s="150" t="s">
        <v>847</v>
      </c>
      <c r="C270" s="89">
        <v>2.54</v>
      </c>
      <c r="D270" s="838" t="s">
        <v>899</v>
      </c>
      <c r="E270" s="838"/>
      <c r="F270" s="838"/>
      <c r="G270" s="838"/>
      <c r="H270" s="47" t="s">
        <v>702</v>
      </c>
      <c r="I270" s="283">
        <v>46012</v>
      </c>
      <c r="J270" s="283">
        <v>46040</v>
      </c>
      <c r="K270" s="283"/>
      <c r="L270" s="283"/>
      <c r="M270" s="283"/>
      <c r="N270" s="633"/>
      <c r="O270" s="666"/>
      <c r="P270" s="666"/>
    </row>
    <row r="271" spans="1:16" s="270" customFormat="1" ht="35.4" customHeight="1">
      <c r="A271" s="633">
        <v>8</v>
      </c>
      <c r="B271" s="150" t="s">
        <v>850</v>
      </c>
      <c r="C271" s="89">
        <v>2.02</v>
      </c>
      <c r="D271" s="838" t="s">
        <v>887</v>
      </c>
      <c r="E271" s="838"/>
      <c r="F271" s="838"/>
      <c r="G271" s="838"/>
      <c r="H271" s="47" t="s">
        <v>901</v>
      </c>
      <c r="I271" s="283"/>
      <c r="J271" s="283"/>
      <c r="K271" s="283"/>
      <c r="L271" s="283"/>
      <c r="M271" s="283"/>
      <c r="N271" s="633"/>
      <c r="O271" s="666"/>
      <c r="P271" s="666"/>
    </row>
    <row r="272" spans="1:16" s="270" customFormat="1" ht="35.4" customHeight="1">
      <c r="A272" s="736">
        <v>8</v>
      </c>
      <c r="B272" s="150" t="s">
        <v>893</v>
      </c>
      <c r="C272" s="89">
        <v>0.38</v>
      </c>
      <c r="D272" s="838" t="s">
        <v>899</v>
      </c>
      <c r="E272" s="838"/>
      <c r="F272" s="838"/>
      <c r="G272" s="838"/>
      <c r="H272" s="47" t="s">
        <v>900</v>
      </c>
      <c r="I272" s="283">
        <v>46012</v>
      </c>
      <c r="J272" s="283">
        <v>46041</v>
      </c>
      <c r="K272" s="283"/>
      <c r="L272" s="283"/>
      <c r="M272" s="283"/>
      <c r="N272" s="736"/>
      <c r="O272" s="666"/>
      <c r="P272" s="666"/>
    </row>
    <row r="273" spans="1:16" ht="21" customHeight="1"/>
    <row r="274" spans="1:16" ht="21" customHeight="1"/>
    <row r="275" spans="1:16" ht="21" customHeight="1">
      <c r="A275" s="835" t="s">
        <v>405</v>
      </c>
      <c r="B275" s="836"/>
      <c r="C275" s="836"/>
      <c r="D275" s="836"/>
      <c r="E275" s="836"/>
      <c r="F275" s="836"/>
      <c r="G275" s="836"/>
      <c r="H275" s="836"/>
      <c r="I275" s="836"/>
      <c r="J275" s="837"/>
    </row>
    <row r="276" spans="1:16" ht="28.95" customHeight="1" thickBot="1">
      <c r="A276" s="162" t="s">
        <v>394</v>
      </c>
      <c r="B276" s="162" t="s">
        <v>110</v>
      </c>
      <c r="C276" s="162" t="s">
        <v>404</v>
      </c>
      <c r="D276" s="829" t="s">
        <v>112</v>
      </c>
      <c r="E276" s="830"/>
      <c r="F276" s="830"/>
      <c r="G276" s="831"/>
      <c r="H276" s="162" t="s">
        <v>398</v>
      </c>
      <c r="I276" s="162" t="s">
        <v>399</v>
      </c>
      <c r="J276" s="162" t="s">
        <v>113</v>
      </c>
      <c r="K276" s="153"/>
      <c r="L276" s="153"/>
      <c r="M276" s="153"/>
      <c r="N276" s="153"/>
      <c r="O276" s="153"/>
      <c r="P276" s="153"/>
    </row>
    <row r="277" spans="1:16" ht="21" customHeight="1">
      <c r="A277" s="43"/>
      <c r="B277" s="150"/>
      <c r="C277" s="89"/>
      <c r="D277" s="832"/>
      <c r="E277" s="833"/>
      <c r="F277" s="833"/>
      <c r="G277" s="834"/>
      <c r="H277" s="47"/>
      <c r="I277" s="43"/>
      <c r="J277" s="154"/>
    </row>
    <row r="278" spans="1:16" ht="21" customHeight="1">
      <c r="A278" s="43"/>
      <c r="B278" s="150"/>
      <c r="C278" s="89"/>
      <c r="D278" s="824"/>
      <c r="E278" s="825"/>
      <c r="F278" s="825"/>
      <c r="G278" s="826"/>
      <c r="H278" s="47"/>
      <c r="I278" s="43"/>
      <c r="J278" s="154"/>
    </row>
    <row r="279" spans="1:16" ht="21" customHeight="1">
      <c r="A279" s="43"/>
      <c r="B279" s="150"/>
      <c r="C279" s="89"/>
      <c r="D279" s="824"/>
      <c r="E279" s="825"/>
      <c r="F279" s="825"/>
      <c r="G279" s="826"/>
      <c r="H279" s="47"/>
      <c r="I279" s="43"/>
      <c r="J279" s="154"/>
    </row>
    <row r="280" spans="1:16" ht="21" customHeight="1">
      <c r="A280" s="43"/>
      <c r="B280" s="155"/>
      <c r="C280" s="156"/>
      <c r="D280" s="824"/>
      <c r="E280" s="825"/>
      <c r="F280" s="825"/>
      <c r="G280" s="826"/>
      <c r="H280" s="157"/>
      <c r="I280" s="90"/>
      <c r="J280" s="158"/>
    </row>
  </sheetData>
  <autoFilter ref="A141:P223">
    <filterColumn colId="6" showButton="0"/>
    <filterColumn colId="7" showButton="0"/>
    <filterColumn colId="8" showButton="0"/>
    <filterColumn colId="13" showButton="0"/>
    <filterColumn colId="14" showButton="0"/>
  </autoFilter>
  <mergeCells count="467">
    <mergeCell ref="G260:J260"/>
    <mergeCell ref="N260:P260"/>
    <mergeCell ref="D272:G272"/>
    <mergeCell ref="G235:J235"/>
    <mergeCell ref="G206:J206"/>
    <mergeCell ref="G253:J253"/>
    <mergeCell ref="N253:P253"/>
    <mergeCell ref="G248:J248"/>
    <mergeCell ref="N248:P248"/>
    <mergeCell ref="G138:J138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23:J223"/>
    <mergeCell ref="G210:J210"/>
    <mergeCell ref="G198:J198"/>
    <mergeCell ref="G197:J197"/>
    <mergeCell ref="G208:J208"/>
    <mergeCell ref="G215:J215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90:J190"/>
    <mergeCell ref="G196:J196"/>
    <mergeCell ref="G194:J194"/>
    <mergeCell ref="G191:J191"/>
    <mergeCell ref="G200:J200"/>
    <mergeCell ref="G218:J218"/>
    <mergeCell ref="G214:J214"/>
    <mergeCell ref="G205:J205"/>
    <mergeCell ref="G207:J207"/>
    <mergeCell ref="G203:J203"/>
    <mergeCell ref="G204:J204"/>
    <mergeCell ref="G202:J202"/>
    <mergeCell ref="G176:J176"/>
    <mergeCell ref="G183:J183"/>
    <mergeCell ref="G182:J182"/>
    <mergeCell ref="G186:J186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75:J175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24:J24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D280:G280"/>
    <mergeCell ref="D263:G263"/>
    <mergeCell ref="D264:G264"/>
    <mergeCell ref="D265:G265"/>
    <mergeCell ref="D266:G266"/>
    <mergeCell ref="D267:G267"/>
    <mergeCell ref="D276:G276"/>
    <mergeCell ref="D277:G277"/>
    <mergeCell ref="D278:G278"/>
    <mergeCell ref="D279:G279"/>
    <mergeCell ref="A275:J275"/>
    <mergeCell ref="D269:G269"/>
    <mergeCell ref="D268:G268"/>
    <mergeCell ref="D270:G270"/>
    <mergeCell ref="D271:G271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A262:P262"/>
    <mergeCell ref="N231:P231"/>
    <mergeCell ref="G230:J230"/>
    <mergeCell ref="G232:J232"/>
    <mergeCell ref="G234:J234"/>
    <mergeCell ref="G224:J224"/>
    <mergeCell ref="G225:J225"/>
    <mergeCell ref="N233:P233"/>
    <mergeCell ref="G217:J217"/>
    <mergeCell ref="G254:J254"/>
    <mergeCell ref="N236:P236"/>
    <mergeCell ref="G237:J237"/>
    <mergeCell ref="N237:P237"/>
    <mergeCell ref="N235:P235"/>
    <mergeCell ref="N234:P234"/>
    <mergeCell ref="N228:P228"/>
    <mergeCell ref="N254:P254"/>
    <mergeCell ref="G255:J255"/>
    <mergeCell ref="N255:P255"/>
    <mergeCell ref="G256:J256"/>
    <mergeCell ref="N256:P256"/>
    <mergeCell ref="N261:P261"/>
    <mergeCell ref="G261:J261"/>
    <mergeCell ref="G242:J242"/>
    <mergeCell ref="G257:J257"/>
    <mergeCell ref="N257:P257"/>
    <mergeCell ref="G258:J258"/>
    <mergeCell ref="N258:P258"/>
    <mergeCell ref="G259:J259"/>
    <mergeCell ref="N259:P259"/>
    <mergeCell ref="N201:P201"/>
    <mergeCell ref="N202:P202"/>
    <mergeCell ref="N206:P206"/>
    <mergeCell ref="N209:P209"/>
    <mergeCell ref="G249:J249"/>
    <mergeCell ref="N249:P249"/>
    <mergeCell ref="G226:J226"/>
    <mergeCell ref="N226:P226"/>
    <mergeCell ref="N225:P225"/>
    <mergeCell ref="G228:J228"/>
    <mergeCell ref="N213:P213"/>
    <mergeCell ref="G236:J236"/>
    <mergeCell ref="N242:P242"/>
    <mergeCell ref="G240:J240"/>
    <mergeCell ref="N240:P240"/>
    <mergeCell ref="G244:J244"/>
    <mergeCell ref="N244:P244"/>
    <mergeCell ref="G246:J246"/>
  </mergeCells>
  <phoneticPr fontId="93" type="noConversion"/>
  <conditionalFormatting sqref="B13:B37 B40:B50">
    <cfRule type="duplicateValues" dxfId="87" priority="109"/>
  </conditionalFormatting>
  <conditionalFormatting sqref="B51:B70">
    <cfRule type="duplicateValues" dxfId="86" priority="111"/>
  </conditionalFormatting>
  <conditionalFormatting sqref="B71:B127">
    <cfRule type="duplicateValues" dxfId="85" priority="113"/>
  </conditionalFormatting>
  <conditionalFormatting sqref="B139">
    <cfRule type="duplicateValues" dxfId="84" priority="50"/>
  </conditionalFormatting>
  <conditionalFormatting sqref="B264:B266">
    <cfRule type="duplicateValues" dxfId="83" priority="105" stopIfTrue="1"/>
    <cfRule type="duplicateValues" dxfId="82" priority="106" stopIfTrue="1"/>
  </conditionalFormatting>
  <conditionalFormatting sqref="B277:B279">
    <cfRule type="duplicateValues" dxfId="81" priority="101" stopIfTrue="1"/>
    <cfRule type="duplicateValues" dxfId="80" priority="102" stopIfTrue="1"/>
  </conditionalFormatting>
  <conditionalFormatting sqref="B280">
    <cfRule type="duplicateValues" dxfId="79" priority="103" stopIfTrue="1"/>
    <cfRule type="duplicateValues" dxfId="78" priority="104" stopIfTrue="1"/>
  </conditionalFormatting>
  <conditionalFormatting sqref="D6">
    <cfRule type="cellIs" dxfId="77" priority="55" stopIfTrue="1" operator="greaterThan">
      <formula>600</formula>
    </cfRule>
  </conditionalFormatting>
  <conditionalFormatting sqref="D9:D10">
    <cfRule type="cellIs" dxfId="76" priority="46" stopIfTrue="1" operator="greaterThan">
      <formula>600</formula>
    </cfRule>
  </conditionalFormatting>
  <conditionalFormatting sqref="C3:K4">
    <cfRule type="cellIs" dxfId="75" priority="6" stopIfTrue="1" operator="greaterThan">
      <formula>600</formula>
    </cfRule>
  </conditionalFormatting>
  <conditionalFormatting sqref="B267:B272">
    <cfRule type="duplicateValues" dxfId="74" priority="4" stopIfTrue="1"/>
    <cfRule type="duplicateValues" dxfId="73" priority="5" stopIfTrue="1"/>
  </conditionalFormatting>
  <conditionalFormatting sqref="B128">
    <cfRule type="duplicateValues" dxfId="72" priority="3"/>
  </conditionalFormatting>
  <conditionalFormatting sqref="B129:B137">
    <cfRule type="duplicateValues" dxfId="71" priority="2"/>
  </conditionalFormatting>
  <conditionalFormatting sqref="B138">
    <cfRule type="duplicateValues" dxfId="70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opLeftCell="A109" zoomScale="80" zoomScaleNormal="80" workbookViewId="0">
      <selection activeCell="A119" sqref="A119:XFD121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842" t="s">
        <v>103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839" t="s">
        <v>112</v>
      </c>
      <c r="H2" s="840"/>
      <c r="I2" s="840"/>
      <c r="J2" s="841"/>
      <c r="K2" s="162" t="s">
        <v>708</v>
      </c>
      <c r="L2" s="162" t="s">
        <v>398</v>
      </c>
      <c r="M2" s="162" t="s">
        <v>399</v>
      </c>
      <c r="N2" s="870" t="s">
        <v>400</v>
      </c>
      <c r="O2" s="871"/>
      <c r="P2" s="872"/>
    </row>
    <row r="3" spans="1:16">
      <c r="A3" s="540">
        <v>1</v>
      </c>
      <c r="B3" s="541" t="s">
        <v>16</v>
      </c>
      <c r="C3" s="540" t="s">
        <v>401</v>
      </c>
      <c r="D3" s="540" t="s">
        <v>239</v>
      </c>
      <c r="E3" s="542">
        <v>45574</v>
      </c>
      <c r="F3" s="543">
        <v>27.96</v>
      </c>
      <c r="G3" s="869" t="s">
        <v>402</v>
      </c>
      <c r="H3" s="869"/>
      <c r="I3" s="869"/>
      <c r="J3" s="869"/>
      <c r="K3" s="542">
        <v>45592</v>
      </c>
      <c r="L3" s="540" t="s">
        <v>490</v>
      </c>
      <c r="M3" s="508"/>
      <c r="N3" s="843"/>
      <c r="O3" s="843"/>
      <c r="P3" s="843"/>
    </row>
    <row r="4" spans="1:16">
      <c r="A4" s="540">
        <v>2</v>
      </c>
      <c r="B4" s="541" t="s">
        <v>128</v>
      </c>
      <c r="C4" s="540" t="s">
        <v>401</v>
      </c>
      <c r="D4" s="540" t="s">
        <v>239</v>
      </c>
      <c r="E4" s="542">
        <v>45593</v>
      </c>
      <c r="F4" s="543">
        <v>27.96</v>
      </c>
      <c r="G4" s="869" t="s">
        <v>402</v>
      </c>
      <c r="H4" s="869"/>
      <c r="I4" s="869"/>
      <c r="J4" s="869"/>
      <c r="K4" s="542">
        <v>45601</v>
      </c>
      <c r="L4" s="540" t="s">
        <v>490</v>
      </c>
      <c r="M4" s="508"/>
      <c r="N4" s="851"/>
      <c r="O4" s="851"/>
      <c r="P4" s="851"/>
    </row>
    <row r="5" spans="1:16">
      <c r="A5" s="540">
        <v>3</v>
      </c>
      <c r="B5" s="544" t="s">
        <v>494</v>
      </c>
      <c r="C5" s="540" t="s">
        <v>401</v>
      </c>
      <c r="D5" s="540" t="s">
        <v>239</v>
      </c>
      <c r="E5" s="542">
        <v>45601</v>
      </c>
      <c r="F5" s="543">
        <v>27.96</v>
      </c>
      <c r="G5" s="869" t="s">
        <v>402</v>
      </c>
      <c r="H5" s="869"/>
      <c r="I5" s="869"/>
      <c r="J5" s="869"/>
      <c r="K5" s="542">
        <v>45609</v>
      </c>
      <c r="L5" s="540" t="s">
        <v>490</v>
      </c>
      <c r="M5" s="508"/>
      <c r="N5" s="843"/>
      <c r="O5" s="843"/>
      <c r="P5" s="843"/>
    </row>
    <row r="6" spans="1:16">
      <c r="A6" s="540">
        <v>4</v>
      </c>
      <c r="B6" s="544" t="s">
        <v>18</v>
      </c>
      <c r="C6" s="540" t="s">
        <v>401</v>
      </c>
      <c r="D6" s="540" t="s">
        <v>239</v>
      </c>
      <c r="E6" s="542">
        <v>45610</v>
      </c>
      <c r="F6" s="543">
        <v>27.96</v>
      </c>
      <c r="G6" s="869" t="s">
        <v>402</v>
      </c>
      <c r="H6" s="869"/>
      <c r="I6" s="869"/>
      <c r="J6" s="869"/>
      <c r="K6" s="542">
        <v>45615</v>
      </c>
      <c r="L6" s="540" t="s">
        <v>490</v>
      </c>
      <c r="M6" s="508"/>
      <c r="N6" s="843" t="s">
        <v>501</v>
      </c>
      <c r="O6" s="843"/>
      <c r="P6" s="843"/>
    </row>
    <row r="7" spans="1:16">
      <c r="A7" s="540">
        <v>5</v>
      </c>
      <c r="B7" s="544" t="s">
        <v>133</v>
      </c>
      <c r="C7" s="540" t="s">
        <v>401</v>
      </c>
      <c r="D7" s="540" t="s">
        <v>239</v>
      </c>
      <c r="E7" s="542">
        <v>45615</v>
      </c>
      <c r="F7" s="543">
        <v>27.96</v>
      </c>
      <c r="G7" s="869" t="s">
        <v>402</v>
      </c>
      <c r="H7" s="869"/>
      <c r="I7" s="869"/>
      <c r="J7" s="869"/>
      <c r="K7" s="542">
        <v>45620</v>
      </c>
      <c r="L7" s="540" t="s">
        <v>490</v>
      </c>
      <c r="M7" s="508"/>
      <c r="N7" s="843" t="s">
        <v>109</v>
      </c>
      <c r="O7" s="843"/>
      <c r="P7" s="843"/>
    </row>
    <row r="8" spans="1:16">
      <c r="A8" s="540">
        <v>6</v>
      </c>
      <c r="B8" s="544" t="s">
        <v>2</v>
      </c>
      <c r="C8" s="540" t="s">
        <v>401</v>
      </c>
      <c r="D8" s="540" t="s">
        <v>239</v>
      </c>
      <c r="E8" s="542">
        <v>45622</v>
      </c>
      <c r="F8" s="543">
        <v>27.96</v>
      </c>
      <c r="G8" s="869" t="s">
        <v>402</v>
      </c>
      <c r="H8" s="869"/>
      <c r="I8" s="869"/>
      <c r="J8" s="869"/>
      <c r="K8" s="542">
        <v>45627</v>
      </c>
      <c r="L8" s="540" t="s">
        <v>490</v>
      </c>
      <c r="M8" s="508"/>
      <c r="N8" s="843"/>
      <c r="O8" s="843"/>
      <c r="P8" s="843"/>
    </row>
    <row r="9" spans="1:16">
      <c r="A9" s="540">
        <v>7</v>
      </c>
      <c r="B9" s="544" t="s">
        <v>49</v>
      </c>
      <c r="C9" s="540" t="s">
        <v>401</v>
      </c>
      <c r="D9" s="540" t="s">
        <v>239</v>
      </c>
      <c r="E9" s="542">
        <v>45628</v>
      </c>
      <c r="F9" s="543">
        <v>27.96</v>
      </c>
      <c r="G9" s="869" t="s">
        <v>402</v>
      </c>
      <c r="H9" s="869"/>
      <c r="I9" s="869"/>
      <c r="J9" s="869"/>
      <c r="K9" s="542">
        <v>45632</v>
      </c>
      <c r="L9" s="540" t="s">
        <v>490</v>
      </c>
      <c r="M9" s="508"/>
      <c r="N9" s="843"/>
      <c r="O9" s="843"/>
      <c r="P9" s="843"/>
    </row>
    <row r="10" spans="1:16">
      <c r="A10" s="540">
        <v>8</v>
      </c>
      <c r="B10" s="544" t="s">
        <v>52</v>
      </c>
      <c r="C10" s="540" t="s">
        <v>401</v>
      </c>
      <c r="D10" s="540" t="s">
        <v>239</v>
      </c>
      <c r="E10" s="542">
        <v>45629</v>
      </c>
      <c r="F10" s="543">
        <v>27.96</v>
      </c>
      <c r="G10" s="869" t="s">
        <v>402</v>
      </c>
      <c r="H10" s="869"/>
      <c r="I10" s="869"/>
      <c r="J10" s="869"/>
      <c r="K10" s="542">
        <v>45637</v>
      </c>
      <c r="L10" s="540" t="s">
        <v>500</v>
      </c>
      <c r="M10" s="508"/>
      <c r="N10" s="843" t="s">
        <v>501</v>
      </c>
      <c r="O10" s="843"/>
      <c r="P10" s="843"/>
    </row>
    <row r="11" spans="1:16">
      <c r="A11" s="540">
        <v>9</v>
      </c>
      <c r="B11" s="544" t="s">
        <v>147</v>
      </c>
      <c r="C11" s="540" t="s">
        <v>401</v>
      </c>
      <c r="D11" s="540" t="s">
        <v>239</v>
      </c>
      <c r="E11" s="542">
        <v>45632</v>
      </c>
      <c r="F11" s="543">
        <v>27.96</v>
      </c>
      <c r="G11" s="869" t="s">
        <v>402</v>
      </c>
      <c r="H11" s="869"/>
      <c r="I11" s="869"/>
      <c r="J11" s="869"/>
      <c r="K11" s="542">
        <v>45637</v>
      </c>
      <c r="L11" s="540" t="s">
        <v>490</v>
      </c>
      <c r="M11" s="508"/>
      <c r="N11" s="843"/>
      <c r="O11" s="843"/>
      <c r="P11" s="843"/>
    </row>
    <row r="12" spans="1:16">
      <c r="A12" s="540">
        <v>10</v>
      </c>
      <c r="B12" s="544" t="s">
        <v>148</v>
      </c>
      <c r="C12" s="540" t="s">
        <v>444</v>
      </c>
      <c r="D12" s="540" t="s">
        <v>239</v>
      </c>
      <c r="E12" s="542">
        <v>45638</v>
      </c>
      <c r="F12" s="543">
        <v>29.12</v>
      </c>
      <c r="G12" s="869" t="s">
        <v>402</v>
      </c>
      <c r="H12" s="869"/>
      <c r="I12" s="869"/>
      <c r="J12" s="869"/>
      <c r="K12" s="545">
        <v>45644</v>
      </c>
      <c r="L12" s="540" t="s">
        <v>490</v>
      </c>
      <c r="M12" s="508"/>
      <c r="N12" s="843"/>
      <c r="O12" s="843"/>
      <c r="P12" s="843"/>
    </row>
    <row r="13" spans="1:16">
      <c r="A13" s="540">
        <v>11</v>
      </c>
      <c r="B13" s="544" t="s">
        <v>51</v>
      </c>
      <c r="C13" s="540" t="s">
        <v>401</v>
      </c>
      <c r="D13" s="540" t="s">
        <v>239</v>
      </c>
      <c r="E13" s="542">
        <v>45638</v>
      </c>
      <c r="F13" s="543">
        <v>27.96</v>
      </c>
      <c r="G13" s="869" t="s">
        <v>402</v>
      </c>
      <c r="H13" s="869"/>
      <c r="I13" s="869"/>
      <c r="J13" s="869"/>
      <c r="K13" s="542">
        <v>45644</v>
      </c>
      <c r="L13" s="540" t="s">
        <v>500</v>
      </c>
      <c r="M13" s="508"/>
      <c r="N13" s="843"/>
      <c r="O13" s="843"/>
      <c r="P13" s="843"/>
    </row>
    <row r="14" spans="1:16">
      <c r="A14" s="540">
        <v>12</v>
      </c>
      <c r="B14" s="544" t="s">
        <v>140</v>
      </c>
      <c r="C14" s="540" t="s">
        <v>444</v>
      </c>
      <c r="D14" s="540" t="s">
        <v>239</v>
      </c>
      <c r="E14" s="542">
        <v>45645</v>
      </c>
      <c r="F14" s="543">
        <v>29.12</v>
      </c>
      <c r="G14" s="869" t="s">
        <v>402</v>
      </c>
      <c r="H14" s="869"/>
      <c r="I14" s="869"/>
      <c r="J14" s="869"/>
      <c r="K14" s="542">
        <v>45653</v>
      </c>
      <c r="L14" s="540" t="s">
        <v>490</v>
      </c>
      <c r="M14" s="508"/>
      <c r="N14" s="843"/>
      <c r="O14" s="843"/>
      <c r="P14" s="843"/>
    </row>
    <row r="15" spans="1:16">
      <c r="A15" s="540">
        <v>13</v>
      </c>
      <c r="B15" s="544" t="s">
        <v>136</v>
      </c>
      <c r="C15" s="540" t="s">
        <v>453</v>
      </c>
      <c r="D15" s="540" t="s">
        <v>239</v>
      </c>
      <c r="E15" s="542">
        <v>45645</v>
      </c>
      <c r="F15" s="543">
        <v>34.630000000000003</v>
      </c>
      <c r="G15" s="869" t="s">
        <v>402</v>
      </c>
      <c r="H15" s="869"/>
      <c r="I15" s="869"/>
      <c r="J15" s="869"/>
      <c r="K15" s="542">
        <v>45655</v>
      </c>
      <c r="L15" s="540" t="s">
        <v>500</v>
      </c>
      <c r="M15" s="508"/>
      <c r="N15" s="843"/>
      <c r="O15" s="843"/>
      <c r="P15" s="843"/>
    </row>
    <row r="16" spans="1:16">
      <c r="A16" s="540">
        <v>14</v>
      </c>
      <c r="B16" s="544" t="s">
        <v>126</v>
      </c>
      <c r="C16" s="540" t="s">
        <v>401</v>
      </c>
      <c r="D16" s="540" t="s">
        <v>239</v>
      </c>
      <c r="E16" s="542">
        <v>45655</v>
      </c>
      <c r="F16" s="543">
        <v>27.96</v>
      </c>
      <c r="G16" s="869" t="s">
        <v>402</v>
      </c>
      <c r="H16" s="869"/>
      <c r="I16" s="869"/>
      <c r="J16" s="869"/>
      <c r="K16" s="542">
        <v>45662</v>
      </c>
      <c r="L16" s="540" t="s">
        <v>490</v>
      </c>
      <c r="M16" s="508"/>
      <c r="N16" s="843"/>
      <c r="O16" s="843"/>
      <c r="P16" s="843"/>
    </row>
    <row r="17" spans="1:16">
      <c r="A17" s="540">
        <v>15</v>
      </c>
      <c r="B17" s="544" t="s">
        <v>143</v>
      </c>
      <c r="C17" s="540" t="s">
        <v>401</v>
      </c>
      <c r="D17" s="540" t="s">
        <v>239</v>
      </c>
      <c r="E17" s="542">
        <v>45656</v>
      </c>
      <c r="F17" s="543">
        <v>27.96</v>
      </c>
      <c r="G17" s="869" t="s">
        <v>402</v>
      </c>
      <c r="H17" s="869"/>
      <c r="I17" s="869"/>
      <c r="J17" s="869"/>
      <c r="K17" s="542">
        <v>45664</v>
      </c>
      <c r="L17" s="540" t="s">
        <v>500</v>
      </c>
      <c r="M17" s="508"/>
      <c r="N17" s="843"/>
      <c r="O17" s="843"/>
      <c r="P17" s="843"/>
    </row>
    <row r="18" spans="1:16">
      <c r="A18" s="540">
        <v>16</v>
      </c>
      <c r="B18" s="544" t="s">
        <v>166</v>
      </c>
      <c r="C18" s="540" t="s">
        <v>401</v>
      </c>
      <c r="D18" s="540" t="s">
        <v>239</v>
      </c>
      <c r="E18" s="542">
        <v>45298</v>
      </c>
      <c r="F18" s="543">
        <v>27.96</v>
      </c>
      <c r="G18" s="869" t="s">
        <v>402</v>
      </c>
      <c r="H18" s="869"/>
      <c r="I18" s="869"/>
      <c r="J18" s="869"/>
      <c r="K18" s="542">
        <v>45668</v>
      </c>
      <c r="L18" s="540" t="s">
        <v>490</v>
      </c>
      <c r="M18" s="508"/>
      <c r="N18" s="843"/>
      <c r="O18" s="843"/>
      <c r="P18" s="843"/>
    </row>
    <row r="19" spans="1:16">
      <c r="A19" s="540">
        <f t="shared" ref="A19:A67" si="0">A18+1</f>
        <v>17</v>
      </c>
      <c r="B19" s="544" t="s">
        <v>176</v>
      </c>
      <c r="C19" s="540" t="s">
        <v>401</v>
      </c>
      <c r="D19" s="540" t="s">
        <v>239</v>
      </c>
      <c r="E19" s="542">
        <v>45300</v>
      </c>
      <c r="F19" s="543">
        <v>27.96</v>
      </c>
      <c r="G19" s="869" t="s">
        <v>402</v>
      </c>
      <c r="H19" s="869"/>
      <c r="I19" s="869"/>
      <c r="J19" s="869"/>
      <c r="K19" s="542">
        <v>45672</v>
      </c>
      <c r="L19" s="540" t="s">
        <v>500</v>
      </c>
      <c r="M19" s="508"/>
      <c r="N19" s="843"/>
      <c r="O19" s="843"/>
      <c r="P19" s="843"/>
    </row>
    <row r="20" spans="1:16">
      <c r="A20" s="540">
        <f t="shared" si="0"/>
        <v>18</v>
      </c>
      <c r="B20" s="544" t="s">
        <v>160</v>
      </c>
      <c r="C20" s="540" t="s">
        <v>444</v>
      </c>
      <c r="D20" s="540" t="s">
        <v>239</v>
      </c>
      <c r="E20" s="542">
        <v>45670</v>
      </c>
      <c r="F20" s="543">
        <v>29</v>
      </c>
      <c r="G20" s="869" t="s">
        <v>402</v>
      </c>
      <c r="H20" s="869"/>
      <c r="I20" s="869"/>
      <c r="J20" s="869"/>
      <c r="K20" s="542">
        <v>45675</v>
      </c>
      <c r="L20" s="540" t="s">
        <v>490</v>
      </c>
      <c r="M20" s="508"/>
      <c r="N20" s="843"/>
      <c r="O20" s="843"/>
      <c r="P20" s="843"/>
    </row>
    <row r="21" spans="1:16">
      <c r="A21" s="540">
        <f t="shared" si="0"/>
        <v>19</v>
      </c>
      <c r="B21" s="544" t="s">
        <v>177</v>
      </c>
      <c r="C21" s="540" t="s">
        <v>444</v>
      </c>
      <c r="D21" s="540" t="s">
        <v>239</v>
      </c>
      <c r="E21" s="542">
        <v>45673</v>
      </c>
      <c r="F21" s="543">
        <v>29</v>
      </c>
      <c r="G21" s="869" t="s">
        <v>402</v>
      </c>
      <c r="H21" s="869"/>
      <c r="I21" s="869"/>
      <c r="J21" s="869"/>
      <c r="K21" s="542">
        <v>45680</v>
      </c>
      <c r="L21" s="540" t="s">
        <v>500</v>
      </c>
      <c r="M21" s="508"/>
      <c r="N21" s="843"/>
      <c r="O21" s="843"/>
      <c r="P21" s="843"/>
    </row>
    <row r="22" spans="1:16">
      <c r="A22" s="540">
        <f t="shared" si="0"/>
        <v>20</v>
      </c>
      <c r="B22" s="544" t="s">
        <v>156</v>
      </c>
      <c r="C22" s="540" t="s">
        <v>401</v>
      </c>
      <c r="D22" s="540" t="s">
        <v>239</v>
      </c>
      <c r="E22" s="542">
        <v>45673</v>
      </c>
      <c r="F22" s="543">
        <v>28</v>
      </c>
      <c r="G22" s="869" t="s">
        <v>402</v>
      </c>
      <c r="H22" s="869"/>
      <c r="I22" s="869"/>
      <c r="J22" s="869"/>
      <c r="K22" s="542">
        <v>45680</v>
      </c>
      <c r="L22" s="540" t="s">
        <v>490</v>
      </c>
      <c r="M22" s="508"/>
      <c r="N22" s="843"/>
      <c r="O22" s="843"/>
      <c r="P22" s="843"/>
    </row>
    <row r="23" spans="1:16">
      <c r="A23" s="540">
        <f t="shared" si="0"/>
        <v>21</v>
      </c>
      <c r="B23" s="544" t="s">
        <v>179</v>
      </c>
      <c r="C23" s="540" t="s">
        <v>444</v>
      </c>
      <c r="D23" s="540" t="s">
        <v>239</v>
      </c>
      <c r="E23" s="542">
        <v>45681</v>
      </c>
      <c r="F23" s="543">
        <v>29</v>
      </c>
      <c r="G23" s="869" t="s">
        <v>402</v>
      </c>
      <c r="H23" s="869"/>
      <c r="I23" s="869"/>
      <c r="J23" s="869"/>
      <c r="K23" s="542">
        <v>45699</v>
      </c>
      <c r="L23" s="540" t="s">
        <v>500</v>
      </c>
      <c r="M23" s="508"/>
      <c r="N23" s="823"/>
      <c r="O23" s="823"/>
      <c r="P23" s="823"/>
    </row>
    <row r="24" spans="1:16">
      <c r="A24" s="540">
        <f t="shared" si="0"/>
        <v>22</v>
      </c>
      <c r="B24" s="544" t="s">
        <v>17</v>
      </c>
      <c r="C24" s="540" t="s">
        <v>401</v>
      </c>
      <c r="D24" s="540" t="s">
        <v>239</v>
      </c>
      <c r="E24" s="542">
        <v>45681</v>
      </c>
      <c r="F24" s="543">
        <v>28</v>
      </c>
      <c r="G24" s="869" t="s">
        <v>402</v>
      </c>
      <c r="H24" s="869"/>
      <c r="I24" s="869"/>
      <c r="J24" s="869"/>
      <c r="K24" s="542">
        <v>45687</v>
      </c>
      <c r="L24" s="540" t="s">
        <v>490</v>
      </c>
      <c r="M24" s="508"/>
      <c r="N24" s="845"/>
      <c r="O24" s="845"/>
      <c r="P24" s="845"/>
    </row>
    <row r="25" spans="1:16">
      <c r="A25" s="540">
        <f t="shared" si="0"/>
        <v>23</v>
      </c>
      <c r="B25" s="544" t="s">
        <v>178</v>
      </c>
      <c r="C25" s="540" t="s">
        <v>401</v>
      </c>
      <c r="D25" s="540" t="s">
        <v>239</v>
      </c>
      <c r="E25" s="542">
        <v>45682</v>
      </c>
      <c r="F25" s="543">
        <v>28</v>
      </c>
      <c r="G25" s="869" t="s">
        <v>402</v>
      </c>
      <c r="H25" s="869"/>
      <c r="I25" s="869"/>
      <c r="J25" s="869"/>
      <c r="K25" s="542">
        <v>45690</v>
      </c>
      <c r="L25" s="540" t="s">
        <v>500</v>
      </c>
      <c r="M25" s="508"/>
      <c r="N25" s="843"/>
      <c r="O25" s="843"/>
      <c r="P25" s="843"/>
    </row>
    <row r="26" spans="1:16">
      <c r="A26" s="540">
        <f t="shared" si="0"/>
        <v>24</v>
      </c>
      <c r="B26" s="544" t="s">
        <v>137</v>
      </c>
      <c r="C26" s="540" t="s">
        <v>444</v>
      </c>
      <c r="D26" s="540" t="s">
        <v>239</v>
      </c>
      <c r="E26" s="542">
        <v>45688</v>
      </c>
      <c r="F26" s="543">
        <v>29</v>
      </c>
      <c r="G26" s="869" t="s">
        <v>402</v>
      </c>
      <c r="H26" s="869"/>
      <c r="I26" s="869"/>
      <c r="J26" s="869"/>
      <c r="K26" s="542">
        <v>45693</v>
      </c>
      <c r="L26" s="540" t="s">
        <v>490</v>
      </c>
      <c r="M26" s="508"/>
      <c r="N26" s="843"/>
      <c r="O26" s="843"/>
      <c r="P26" s="843"/>
    </row>
    <row r="27" spans="1:16">
      <c r="A27" s="540">
        <f t="shared" si="0"/>
        <v>25</v>
      </c>
      <c r="B27" s="544" t="s">
        <v>145</v>
      </c>
      <c r="C27" s="540" t="s">
        <v>452</v>
      </c>
      <c r="D27" s="540" t="s">
        <v>239</v>
      </c>
      <c r="E27" s="542">
        <v>45694</v>
      </c>
      <c r="F27" s="543">
        <v>33</v>
      </c>
      <c r="G27" s="869" t="s">
        <v>402</v>
      </c>
      <c r="H27" s="869"/>
      <c r="I27" s="869"/>
      <c r="J27" s="869"/>
      <c r="K27" s="542">
        <v>45699</v>
      </c>
      <c r="L27" s="540" t="s">
        <v>490</v>
      </c>
      <c r="M27" s="508"/>
      <c r="N27" s="823"/>
      <c r="O27" s="823"/>
      <c r="P27" s="823"/>
    </row>
    <row r="28" spans="1:16">
      <c r="A28" s="540">
        <f t="shared" si="0"/>
        <v>26</v>
      </c>
      <c r="B28" s="544" t="s">
        <v>146</v>
      </c>
      <c r="C28" s="540" t="s">
        <v>444</v>
      </c>
      <c r="D28" s="540" t="s">
        <v>239</v>
      </c>
      <c r="E28" s="542">
        <v>45700</v>
      </c>
      <c r="F28" s="543">
        <v>29</v>
      </c>
      <c r="G28" s="869" t="s">
        <v>402</v>
      </c>
      <c r="H28" s="869"/>
      <c r="I28" s="869"/>
      <c r="J28" s="869"/>
      <c r="K28" s="542">
        <v>45705</v>
      </c>
      <c r="L28" s="540" t="s">
        <v>490</v>
      </c>
      <c r="M28" s="508"/>
      <c r="N28" s="823"/>
      <c r="O28" s="823"/>
      <c r="P28" s="823"/>
    </row>
    <row r="29" spans="1:16">
      <c r="A29" s="540">
        <f t="shared" si="0"/>
        <v>27</v>
      </c>
      <c r="B29" s="544" t="s">
        <v>175</v>
      </c>
      <c r="C29" s="540" t="s">
        <v>444</v>
      </c>
      <c r="D29" s="540" t="s">
        <v>239</v>
      </c>
      <c r="E29" s="542">
        <v>45700</v>
      </c>
      <c r="F29" s="543">
        <v>29</v>
      </c>
      <c r="G29" s="869" t="s">
        <v>402</v>
      </c>
      <c r="H29" s="869"/>
      <c r="I29" s="869"/>
      <c r="J29" s="869"/>
      <c r="K29" s="542">
        <v>45708</v>
      </c>
      <c r="L29" s="540" t="s">
        <v>490</v>
      </c>
      <c r="M29" s="508"/>
      <c r="N29" s="823"/>
      <c r="O29" s="823"/>
      <c r="P29" s="823"/>
    </row>
    <row r="30" spans="1:16">
      <c r="A30" s="540">
        <f t="shared" si="0"/>
        <v>28</v>
      </c>
      <c r="B30" s="544" t="s">
        <v>496</v>
      </c>
      <c r="C30" s="540" t="s">
        <v>476</v>
      </c>
      <c r="D30" s="540" t="s">
        <v>239</v>
      </c>
      <c r="E30" s="542">
        <v>45709</v>
      </c>
      <c r="F30" s="543">
        <v>45</v>
      </c>
      <c r="G30" s="869" t="s">
        <v>402</v>
      </c>
      <c r="H30" s="869"/>
      <c r="I30" s="869"/>
      <c r="J30" s="869"/>
      <c r="K30" s="542">
        <v>45714</v>
      </c>
      <c r="L30" s="540" t="s">
        <v>490</v>
      </c>
      <c r="M30" s="508"/>
      <c r="N30" s="823"/>
      <c r="O30" s="823"/>
      <c r="P30" s="823"/>
    </row>
    <row r="31" spans="1:16">
      <c r="A31" s="540">
        <f t="shared" si="0"/>
        <v>29</v>
      </c>
      <c r="B31" s="544" t="s">
        <v>497</v>
      </c>
      <c r="C31" s="540" t="s">
        <v>476</v>
      </c>
      <c r="D31" s="540" t="s">
        <v>239</v>
      </c>
      <c r="E31" s="542">
        <v>45714</v>
      </c>
      <c r="F31" s="543">
        <v>45</v>
      </c>
      <c r="G31" s="869" t="s">
        <v>402</v>
      </c>
      <c r="H31" s="869"/>
      <c r="I31" s="869"/>
      <c r="J31" s="869"/>
      <c r="K31" s="542">
        <v>45719</v>
      </c>
      <c r="L31" s="540" t="s">
        <v>490</v>
      </c>
      <c r="M31" s="508"/>
      <c r="N31" s="823"/>
      <c r="O31" s="823"/>
      <c r="P31" s="823"/>
    </row>
    <row r="32" spans="1:16">
      <c r="A32" s="540">
        <f t="shared" si="0"/>
        <v>30</v>
      </c>
      <c r="B32" s="544" t="s">
        <v>505</v>
      </c>
      <c r="C32" s="540" t="s">
        <v>476</v>
      </c>
      <c r="D32" s="540" t="s">
        <v>239</v>
      </c>
      <c r="E32" s="542">
        <v>45719</v>
      </c>
      <c r="F32" s="543">
        <v>45</v>
      </c>
      <c r="G32" s="869" t="s">
        <v>402</v>
      </c>
      <c r="H32" s="869"/>
      <c r="I32" s="869"/>
      <c r="J32" s="869"/>
      <c r="K32" s="542">
        <v>45724</v>
      </c>
      <c r="L32" s="540" t="s">
        <v>490</v>
      </c>
      <c r="M32" s="508"/>
      <c r="N32" s="823"/>
      <c r="O32" s="823"/>
      <c r="P32" s="823"/>
    </row>
    <row r="33" spans="1:16">
      <c r="A33" s="540">
        <f t="shared" si="0"/>
        <v>31</v>
      </c>
      <c r="B33" s="544" t="s">
        <v>161</v>
      </c>
      <c r="C33" s="540" t="s">
        <v>401</v>
      </c>
      <c r="D33" s="540" t="s">
        <v>239</v>
      </c>
      <c r="E33" s="542">
        <v>45722</v>
      </c>
      <c r="F33" s="543">
        <v>28</v>
      </c>
      <c r="G33" s="869" t="s">
        <v>402</v>
      </c>
      <c r="H33" s="869"/>
      <c r="I33" s="869"/>
      <c r="J33" s="869"/>
      <c r="K33" s="542">
        <v>45727</v>
      </c>
      <c r="L33" s="540" t="s">
        <v>500</v>
      </c>
      <c r="M33" s="508"/>
      <c r="N33" s="823"/>
      <c r="O33" s="823"/>
      <c r="P33" s="823"/>
    </row>
    <row r="34" spans="1:16">
      <c r="A34" s="540">
        <f t="shared" si="0"/>
        <v>32</v>
      </c>
      <c r="B34" s="544" t="s">
        <v>159</v>
      </c>
      <c r="C34" s="540" t="s">
        <v>476</v>
      </c>
      <c r="D34" s="540" t="s">
        <v>239</v>
      </c>
      <c r="E34" s="542">
        <v>45728</v>
      </c>
      <c r="F34" s="543">
        <v>45</v>
      </c>
      <c r="G34" s="869" t="s">
        <v>402</v>
      </c>
      <c r="H34" s="869"/>
      <c r="I34" s="869"/>
      <c r="J34" s="869"/>
      <c r="K34" s="542">
        <v>45733</v>
      </c>
      <c r="L34" s="540" t="s">
        <v>500</v>
      </c>
      <c r="M34" s="508"/>
      <c r="N34" s="823"/>
      <c r="O34" s="823"/>
      <c r="P34" s="823"/>
    </row>
    <row r="35" spans="1:16">
      <c r="A35" s="540">
        <f t="shared" si="0"/>
        <v>33</v>
      </c>
      <c r="B35" s="544" t="s">
        <v>503</v>
      </c>
      <c r="C35" s="540" t="s">
        <v>504</v>
      </c>
      <c r="D35" s="540" t="s">
        <v>239</v>
      </c>
      <c r="E35" s="542">
        <v>45734</v>
      </c>
      <c r="F35" s="543">
        <v>54</v>
      </c>
      <c r="G35" s="869" t="s">
        <v>402</v>
      </c>
      <c r="H35" s="869"/>
      <c r="I35" s="869"/>
      <c r="J35" s="869"/>
      <c r="K35" s="542">
        <v>45739</v>
      </c>
      <c r="L35" s="540" t="s">
        <v>500</v>
      </c>
      <c r="M35" s="508"/>
      <c r="N35" s="823"/>
      <c r="O35" s="823"/>
      <c r="P35" s="823"/>
    </row>
    <row r="36" spans="1:16">
      <c r="A36" s="540">
        <f t="shared" si="0"/>
        <v>34</v>
      </c>
      <c r="B36" s="544" t="s">
        <v>4</v>
      </c>
      <c r="C36" s="540" t="s">
        <v>506</v>
      </c>
      <c r="D36" s="540" t="s">
        <v>239</v>
      </c>
      <c r="E36" s="542">
        <v>45734</v>
      </c>
      <c r="F36" s="543">
        <v>52</v>
      </c>
      <c r="G36" s="869" t="s">
        <v>402</v>
      </c>
      <c r="H36" s="869"/>
      <c r="I36" s="869"/>
      <c r="J36" s="869"/>
      <c r="K36" s="542">
        <v>45744</v>
      </c>
      <c r="L36" s="540" t="s">
        <v>500</v>
      </c>
      <c r="M36" s="508"/>
      <c r="N36" s="823"/>
      <c r="O36" s="823"/>
      <c r="P36" s="823"/>
    </row>
    <row r="37" spans="1:16">
      <c r="A37" s="540">
        <f t="shared" si="0"/>
        <v>35</v>
      </c>
      <c r="B37" s="544" t="s">
        <v>5</v>
      </c>
      <c r="C37" s="540" t="s">
        <v>401</v>
      </c>
      <c r="D37" s="540" t="s">
        <v>239</v>
      </c>
      <c r="E37" s="542">
        <v>45744</v>
      </c>
      <c r="F37" s="543">
        <v>28</v>
      </c>
      <c r="G37" s="869" t="s">
        <v>402</v>
      </c>
      <c r="H37" s="869"/>
      <c r="I37" s="869"/>
      <c r="J37" s="869"/>
      <c r="K37" s="542">
        <v>45748</v>
      </c>
      <c r="L37" s="540" t="s">
        <v>500</v>
      </c>
      <c r="M37" s="508"/>
      <c r="N37" s="823"/>
      <c r="O37" s="823"/>
      <c r="P37" s="823"/>
    </row>
    <row r="38" spans="1:16">
      <c r="A38" s="540">
        <f t="shared" si="0"/>
        <v>36</v>
      </c>
      <c r="B38" s="544" t="s">
        <v>50</v>
      </c>
      <c r="C38" s="540" t="s">
        <v>444</v>
      </c>
      <c r="D38" s="540" t="s">
        <v>239</v>
      </c>
      <c r="E38" s="542">
        <v>45749</v>
      </c>
      <c r="F38" s="543">
        <v>29</v>
      </c>
      <c r="G38" s="869" t="s">
        <v>402</v>
      </c>
      <c r="H38" s="869"/>
      <c r="I38" s="869"/>
      <c r="J38" s="869"/>
      <c r="K38" s="542">
        <v>45752</v>
      </c>
      <c r="L38" s="540" t="s">
        <v>500</v>
      </c>
      <c r="M38" s="508"/>
      <c r="N38" s="823"/>
      <c r="O38" s="823"/>
      <c r="P38" s="823"/>
    </row>
    <row r="39" spans="1:16">
      <c r="A39" s="540">
        <f t="shared" si="0"/>
        <v>37</v>
      </c>
      <c r="B39" s="544" t="s">
        <v>591</v>
      </c>
      <c r="C39" s="540" t="s">
        <v>590</v>
      </c>
      <c r="D39" s="540" t="s">
        <v>239</v>
      </c>
      <c r="E39" s="542">
        <v>45752</v>
      </c>
      <c r="F39" s="543">
        <v>47</v>
      </c>
      <c r="G39" s="869" t="s">
        <v>402</v>
      </c>
      <c r="H39" s="869"/>
      <c r="I39" s="869"/>
      <c r="J39" s="869"/>
      <c r="K39" s="542">
        <v>45757</v>
      </c>
      <c r="L39" s="540" t="s">
        <v>500</v>
      </c>
      <c r="M39" s="508"/>
      <c r="N39" s="823"/>
      <c r="O39" s="823"/>
      <c r="P39" s="823"/>
    </row>
    <row r="40" spans="1:16">
      <c r="A40" s="540">
        <f t="shared" si="0"/>
        <v>38</v>
      </c>
      <c r="B40" s="544" t="s">
        <v>121</v>
      </c>
      <c r="C40" s="540" t="s">
        <v>595</v>
      </c>
      <c r="D40" s="540" t="s">
        <v>239</v>
      </c>
      <c r="E40" s="542">
        <v>45758</v>
      </c>
      <c r="F40" s="543">
        <v>54</v>
      </c>
      <c r="G40" s="869" t="s">
        <v>402</v>
      </c>
      <c r="H40" s="869"/>
      <c r="I40" s="869"/>
      <c r="J40" s="869"/>
      <c r="K40" s="542">
        <v>45768</v>
      </c>
      <c r="L40" s="540" t="s">
        <v>490</v>
      </c>
      <c r="M40" s="508"/>
      <c r="N40" s="823"/>
      <c r="O40" s="823"/>
      <c r="P40" s="823"/>
    </row>
    <row r="41" spans="1:16">
      <c r="A41" s="540">
        <f t="shared" si="0"/>
        <v>39</v>
      </c>
      <c r="B41" s="544" t="s">
        <v>180</v>
      </c>
      <c r="C41" s="540" t="s">
        <v>444</v>
      </c>
      <c r="D41" s="540" t="s">
        <v>239</v>
      </c>
      <c r="E41" s="542">
        <v>45759</v>
      </c>
      <c r="F41" s="543">
        <v>29</v>
      </c>
      <c r="G41" s="869" t="s">
        <v>402</v>
      </c>
      <c r="H41" s="869"/>
      <c r="I41" s="869"/>
      <c r="J41" s="869"/>
      <c r="K41" s="542">
        <v>45765</v>
      </c>
      <c r="L41" s="540" t="s">
        <v>500</v>
      </c>
      <c r="M41" s="508"/>
      <c r="N41" s="823"/>
      <c r="O41" s="823"/>
      <c r="P41" s="823"/>
    </row>
    <row r="42" spans="1:16" ht="18">
      <c r="A42" s="540">
        <f t="shared" si="0"/>
        <v>40</v>
      </c>
      <c r="B42" s="544" t="s">
        <v>593</v>
      </c>
      <c r="C42" s="540" t="s">
        <v>594</v>
      </c>
      <c r="D42" s="540" t="s">
        <v>239</v>
      </c>
      <c r="E42" s="542">
        <v>45765</v>
      </c>
      <c r="F42" s="543">
        <v>45</v>
      </c>
      <c r="G42" s="869" t="s">
        <v>402</v>
      </c>
      <c r="H42" s="869"/>
      <c r="I42" s="869"/>
      <c r="J42" s="869"/>
      <c r="K42" s="542">
        <v>45773</v>
      </c>
      <c r="L42" s="540" t="s">
        <v>649</v>
      </c>
      <c r="M42" s="508"/>
      <c r="N42" s="844" t="s">
        <v>109</v>
      </c>
      <c r="O42" s="844"/>
      <c r="P42" s="844"/>
    </row>
    <row r="43" spans="1:16" ht="28.8">
      <c r="A43" s="540">
        <f t="shared" si="0"/>
        <v>41</v>
      </c>
      <c r="B43" s="544" t="s">
        <v>489</v>
      </c>
      <c r="C43" s="540" t="s">
        <v>476</v>
      </c>
      <c r="D43" s="540" t="s">
        <v>239</v>
      </c>
      <c r="E43" s="542">
        <v>45769</v>
      </c>
      <c r="F43" s="543">
        <v>45</v>
      </c>
      <c r="G43" s="869" t="s">
        <v>402</v>
      </c>
      <c r="H43" s="869"/>
      <c r="I43" s="869"/>
      <c r="J43" s="869"/>
      <c r="K43" s="542">
        <v>45776</v>
      </c>
      <c r="L43" s="540" t="s">
        <v>650</v>
      </c>
      <c r="M43" s="508"/>
      <c r="N43" s="868"/>
      <c r="O43" s="868"/>
      <c r="P43" s="868"/>
    </row>
    <row r="44" spans="1:16" ht="28.8">
      <c r="A44" s="540">
        <f t="shared" si="0"/>
        <v>42</v>
      </c>
      <c r="B44" s="544" t="s">
        <v>167</v>
      </c>
      <c r="C44" s="540" t="s">
        <v>453</v>
      </c>
      <c r="D44" s="540" t="s">
        <v>239</v>
      </c>
      <c r="E44" s="542">
        <v>45774</v>
      </c>
      <c r="F44" s="543">
        <v>34.630000000000003</v>
      </c>
      <c r="G44" s="869" t="s">
        <v>402</v>
      </c>
      <c r="H44" s="869"/>
      <c r="I44" s="869"/>
      <c r="J44" s="869"/>
      <c r="K44" s="542">
        <v>45780</v>
      </c>
      <c r="L44" s="540" t="s">
        <v>649</v>
      </c>
      <c r="M44" s="508"/>
      <c r="N44" s="868"/>
      <c r="O44" s="868"/>
      <c r="P44" s="868"/>
    </row>
    <row r="45" spans="1:16" ht="28.8">
      <c r="A45" s="540">
        <f t="shared" si="0"/>
        <v>43</v>
      </c>
      <c r="B45" s="544" t="s">
        <v>20</v>
      </c>
      <c r="C45" s="540" t="s">
        <v>444</v>
      </c>
      <c r="D45" s="540" t="s">
        <v>239</v>
      </c>
      <c r="E45" s="542">
        <v>45776</v>
      </c>
      <c r="F45" s="543">
        <v>29</v>
      </c>
      <c r="G45" s="869" t="s">
        <v>402</v>
      </c>
      <c r="H45" s="869"/>
      <c r="I45" s="869"/>
      <c r="J45" s="869"/>
      <c r="K45" s="542">
        <v>45784</v>
      </c>
      <c r="L45" s="540" t="s">
        <v>650</v>
      </c>
      <c r="M45" s="508"/>
      <c r="N45" s="868"/>
      <c r="O45" s="868"/>
      <c r="P45" s="868"/>
    </row>
    <row r="46" spans="1:16" ht="21">
      <c r="A46" s="540">
        <f t="shared" si="0"/>
        <v>44</v>
      </c>
      <c r="B46" s="544" t="s">
        <v>37</v>
      </c>
      <c r="C46" s="540" t="s">
        <v>401</v>
      </c>
      <c r="D46" s="540" t="s">
        <v>239</v>
      </c>
      <c r="E46" s="542">
        <v>45782</v>
      </c>
      <c r="F46" s="543">
        <v>28</v>
      </c>
      <c r="G46" s="869" t="s">
        <v>402</v>
      </c>
      <c r="H46" s="869"/>
      <c r="I46" s="869"/>
      <c r="J46" s="869"/>
      <c r="K46" s="542">
        <v>45787</v>
      </c>
      <c r="L46" s="540" t="s">
        <v>649</v>
      </c>
      <c r="M46" s="508"/>
      <c r="N46" s="867" t="s">
        <v>109</v>
      </c>
      <c r="O46" s="867"/>
      <c r="P46" s="867"/>
    </row>
    <row r="47" spans="1:16" ht="21">
      <c r="A47" s="540">
        <f t="shared" si="0"/>
        <v>45</v>
      </c>
      <c r="B47" s="544" t="s">
        <v>512</v>
      </c>
      <c r="C47" s="540" t="s">
        <v>476</v>
      </c>
      <c r="D47" s="540" t="s">
        <v>239</v>
      </c>
      <c r="E47" s="542">
        <v>45785</v>
      </c>
      <c r="F47" s="543">
        <v>45</v>
      </c>
      <c r="G47" s="869" t="s">
        <v>402</v>
      </c>
      <c r="H47" s="869"/>
      <c r="I47" s="869"/>
      <c r="J47" s="869"/>
      <c r="K47" s="542">
        <v>45794</v>
      </c>
      <c r="L47" s="540" t="s">
        <v>649</v>
      </c>
      <c r="M47" s="508"/>
      <c r="N47" s="867"/>
      <c r="O47" s="867"/>
      <c r="P47" s="867"/>
    </row>
    <row r="48" spans="1:16" ht="21">
      <c r="A48" s="540">
        <f t="shared" si="0"/>
        <v>46</v>
      </c>
      <c r="B48" s="544" t="s">
        <v>157</v>
      </c>
      <c r="C48" s="540" t="s">
        <v>452</v>
      </c>
      <c r="D48" s="540" t="s">
        <v>239</v>
      </c>
      <c r="E48" s="542">
        <v>45788</v>
      </c>
      <c r="F48" s="543">
        <v>33</v>
      </c>
      <c r="G48" s="869" t="s">
        <v>402</v>
      </c>
      <c r="H48" s="869"/>
      <c r="I48" s="869"/>
      <c r="J48" s="869"/>
      <c r="K48" s="542">
        <v>45796</v>
      </c>
      <c r="L48" s="540" t="s">
        <v>650</v>
      </c>
      <c r="M48" s="508"/>
      <c r="N48" s="867"/>
      <c r="O48" s="867"/>
      <c r="P48" s="867"/>
    </row>
    <row r="49" spans="1:16" ht="21">
      <c r="A49" s="540">
        <f t="shared" si="0"/>
        <v>47</v>
      </c>
      <c r="B49" s="544" t="s">
        <v>127</v>
      </c>
      <c r="C49" s="540" t="s">
        <v>448</v>
      </c>
      <c r="D49" s="540" t="s">
        <v>239</v>
      </c>
      <c r="E49" s="542">
        <v>45788</v>
      </c>
      <c r="F49" s="543">
        <v>27</v>
      </c>
      <c r="G49" s="869" t="s">
        <v>402</v>
      </c>
      <c r="H49" s="869"/>
      <c r="I49" s="869"/>
      <c r="J49" s="869"/>
      <c r="K49" s="542">
        <v>45803</v>
      </c>
      <c r="L49" s="540" t="s">
        <v>649</v>
      </c>
      <c r="M49" s="508"/>
      <c r="N49" s="867"/>
      <c r="O49" s="867"/>
      <c r="P49" s="867"/>
    </row>
    <row r="50" spans="1:16" ht="21">
      <c r="A50" s="540">
        <f t="shared" si="0"/>
        <v>48</v>
      </c>
      <c r="B50" s="544" t="s">
        <v>129</v>
      </c>
      <c r="C50" s="540" t="s">
        <v>444</v>
      </c>
      <c r="D50" s="540" t="s">
        <v>239</v>
      </c>
      <c r="E50" s="542">
        <v>45799</v>
      </c>
      <c r="F50" s="543">
        <v>29</v>
      </c>
      <c r="G50" s="869" t="s">
        <v>402</v>
      </c>
      <c r="H50" s="869"/>
      <c r="I50" s="869"/>
      <c r="J50" s="869"/>
      <c r="K50" s="542">
        <v>45805</v>
      </c>
      <c r="L50" s="540" t="s">
        <v>650</v>
      </c>
      <c r="M50" s="508"/>
      <c r="N50" s="867"/>
      <c r="O50" s="867"/>
      <c r="P50" s="867"/>
    </row>
    <row r="51" spans="1:16" ht="25.8">
      <c r="A51" s="540">
        <f t="shared" si="0"/>
        <v>49</v>
      </c>
      <c r="B51" s="544" t="s">
        <v>132</v>
      </c>
      <c r="C51" s="540" t="s">
        <v>448</v>
      </c>
      <c r="D51" s="540" t="s">
        <v>239</v>
      </c>
      <c r="E51" s="542">
        <v>45807</v>
      </c>
      <c r="F51" s="543">
        <v>27</v>
      </c>
      <c r="G51" s="869" t="s">
        <v>402</v>
      </c>
      <c r="H51" s="869"/>
      <c r="I51" s="869"/>
      <c r="J51" s="869"/>
      <c r="K51" s="542">
        <v>45812</v>
      </c>
      <c r="L51" s="540" t="s">
        <v>649</v>
      </c>
      <c r="M51" s="508"/>
      <c r="N51" s="815"/>
      <c r="O51" s="815"/>
      <c r="P51" s="815"/>
    </row>
    <row r="52" spans="1:16" ht="25.8">
      <c r="A52" s="540">
        <f t="shared" si="0"/>
        <v>50</v>
      </c>
      <c r="B52" s="544" t="s">
        <v>144</v>
      </c>
      <c r="C52" s="540" t="s">
        <v>448</v>
      </c>
      <c r="D52" s="540" t="s">
        <v>239</v>
      </c>
      <c r="E52" s="542">
        <v>45806</v>
      </c>
      <c r="F52" s="543">
        <v>27</v>
      </c>
      <c r="G52" s="869" t="s">
        <v>402</v>
      </c>
      <c r="H52" s="869"/>
      <c r="I52" s="869"/>
      <c r="J52" s="869"/>
      <c r="K52" s="542">
        <v>45810</v>
      </c>
      <c r="L52" s="540" t="s">
        <v>650</v>
      </c>
      <c r="M52" s="508"/>
      <c r="N52" s="815"/>
      <c r="O52" s="815"/>
      <c r="P52" s="815"/>
    </row>
    <row r="53" spans="1:16" ht="25.8">
      <c r="A53" s="540">
        <f t="shared" si="0"/>
        <v>51</v>
      </c>
      <c r="B53" s="544" t="s">
        <v>123</v>
      </c>
      <c r="C53" s="540" t="s">
        <v>448</v>
      </c>
      <c r="D53" s="540" t="s">
        <v>239</v>
      </c>
      <c r="E53" s="542">
        <v>45811</v>
      </c>
      <c r="F53" s="543">
        <v>27</v>
      </c>
      <c r="G53" s="869" t="s">
        <v>402</v>
      </c>
      <c r="H53" s="869"/>
      <c r="I53" s="869"/>
      <c r="J53" s="869"/>
      <c r="K53" s="542">
        <v>45816</v>
      </c>
      <c r="L53" s="540" t="s">
        <v>649</v>
      </c>
      <c r="M53" s="508"/>
      <c r="N53" s="815"/>
      <c r="O53" s="815"/>
      <c r="P53" s="815"/>
    </row>
    <row r="54" spans="1:16" ht="25.8">
      <c r="A54" s="540">
        <f t="shared" si="0"/>
        <v>52</v>
      </c>
      <c r="B54" s="544" t="s">
        <v>124</v>
      </c>
      <c r="C54" s="540" t="s">
        <v>448</v>
      </c>
      <c r="D54" s="540" t="s">
        <v>239</v>
      </c>
      <c r="E54" s="542">
        <v>45817</v>
      </c>
      <c r="F54" s="543">
        <v>27</v>
      </c>
      <c r="G54" s="869" t="s">
        <v>402</v>
      </c>
      <c r="H54" s="869"/>
      <c r="I54" s="869"/>
      <c r="J54" s="869"/>
      <c r="K54" s="542">
        <v>45820</v>
      </c>
      <c r="L54" s="540" t="s">
        <v>649</v>
      </c>
      <c r="M54" s="508"/>
      <c r="N54" s="815"/>
      <c r="O54" s="815"/>
      <c r="P54" s="815"/>
    </row>
    <row r="55" spans="1:16" ht="25.8">
      <c r="A55" s="540">
        <f t="shared" si="0"/>
        <v>53</v>
      </c>
      <c r="B55" s="544" t="s">
        <v>125</v>
      </c>
      <c r="C55" s="540" t="s">
        <v>448</v>
      </c>
      <c r="D55" s="540" t="s">
        <v>239</v>
      </c>
      <c r="E55" s="542">
        <v>45820</v>
      </c>
      <c r="F55" s="543">
        <v>27</v>
      </c>
      <c r="G55" s="869" t="s">
        <v>402</v>
      </c>
      <c r="H55" s="869"/>
      <c r="I55" s="869"/>
      <c r="J55" s="869"/>
      <c r="K55" s="542">
        <v>45825</v>
      </c>
      <c r="L55" s="540" t="s">
        <v>650</v>
      </c>
      <c r="M55" s="508"/>
      <c r="N55" s="815"/>
      <c r="O55" s="815"/>
      <c r="P55" s="815"/>
    </row>
    <row r="56" spans="1:16" ht="25.8">
      <c r="A56" s="540">
        <f t="shared" si="0"/>
        <v>54</v>
      </c>
      <c r="B56" s="541" t="s">
        <v>122</v>
      </c>
      <c r="C56" s="540" t="s">
        <v>662</v>
      </c>
      <c r="D56" s="540" t="s">
        <v>239</v>
      </c>
      <c r="E56" s="542">
        <v>45822</v>
      </c>
      <c r="F56" s="543">
        <v>56</v>
      </c>
      <c r="G56" s="869" t="s">
        <v>402</v>
      </c>
      <c r="H56" s="869"/>
      <c r="I56" s="869"/>
      <c r="J56" s="869"/>
      <c r="K56" s="542">
        <v>45832</v>
      </c>
      <c r="L56" s="540" t="s">
        <v>649</v>
      </c>
      <c r="M56" s="508"/>
      <c r="N56" s="815"/>
      <c r="O56" s="815"/>
      <c r="P56" s="815"/>
    </row>
    <row r="57" spans="1:16" ht="25.8">
      <c r="A57" s="540">
        <f t="shared" si="0"/>
        <v>55</v>
      </c>
      <c r="B57" s="541" t="s">
        <v>630</v>
      </c>
      <c r="C57" s="540" t="s">
        <v>631</v>
      </c>
      <c r="D57" s="540" t="s">
        <v>239</v>
      </c>
      <c r="E57" s="542">
        <v>45827</v>
      </c>
      <c r="F57" s="543">
        <v>47</v>
      </c>
      <c r="G57" s="869" t="s">
        <v>402</v>
      </c>
      <c r="H57" s="869"/>
      <c r="I57" s="869"/>
      <c r="J57" s="869"/>
      <c r="K57" s="542">
        <v>45839</v>
      </c>
      <c r="L57" s="540" t="s">
        <v>650</v>
      </c>
      <c r="M57" s="508"/>
      <c r="N57" s="815"/>
      <c r="O57" s="815"/>
      <c r="P57" s="815"/>
    </row>
    <row r="58" spans="1:16" ht="25.8">
      <c r="A58" s="540">
        <f t="shared" si="0"/>
        <v>56</v>
      </c>
      <c r="B58" s="541" t="s">
        <v>615</v>
      </c>
      <c r="C58" s="540" t="s">
        <v>401</v>
      </c>
      <c r="D58" s="540" t="s">
        <v>239</v>
      </c>
      <c r="E58" s="542">
        <v>45841</v>
      </c>
      <c r="F58" s="543">
        <v>28</v>
      </c>
      <c r="G58" s="869" t="s">
        <v>402</v>
      </c>
      <c r="H58" s="869"/>
      <c r="I58" s="869"/>
      <c r="J58" s="869"/>
      <c r="K58" s="542">
        <v>45850</v>
      </c>
      <c r="L58" s="540" t="s">
        <v>686</v>
      </c>
      <c r="M58" s="508"/>
      <c r="N58" s="815"/>
      <c r="O58" s="815"/>
      <c r="P58" s="815"/>
    </row>
    <row r="59" spans="1:16" ht="25.8">
      <c r="A59" s="540">
        <f t="shared" si="0"/>
        <v>57</v>
      </c>
      <c r="B59" s="541" t="s">
        <v>596</v>
      </c>
      <c r="C59" s="540" t="s">
        <v>595</v>
      </c>
      <c r="D59" s="540" t="s">
        <v>239</v>
      </c>
      <c r="E59" s="542">
        <v>45841</v>
      </c>
      <c r="F59" s="543">
        <v>54</v>
      </c>
      <c r="G59" s="869" t="s">
        <v>402</v>
      </c>
      <c r="H59" s="869"/>
      <c r="I59" s="869"/>
      <c r="J59" s="869"/>
      <c r="K59" s="542">
        <v>45859</v>
      </c>
      <c r="L59" s="540" t="s">
        <v>649</v>
      </c>
      <c r="M59" s="508"/>
      <c r="N59" s="815"/>
      <c r="O59" s="815"/>
      <c r="P59" s="815"/>
    </row>
    <row r="60" spans="1:16" ht="25.8">
      <c r="A60" s="540">
        <f t="shared" si="0"/>
        <v>58</v>
      </c>
      <c r="B60" s="541" t="s">
        <v>518</v>
      </c>
      <c r="C60" s="540" t="s">
        <v>590</v>
      </c>
      <c r="D60" s="540" t="s">
        <v>239</v>
      </c>
      <c r="E60" s="542">
        <v>45841</v>
      </c>
      <c r="F60" s="543">
        <v>47</v>
      </c>
      <c r="G60" s="869" t="s">
        <v>402</v>
      </c>
      <c r="H60" s="869"/>
      <c r="I60" s="869"/>
      <c r="J60" s="869"/>
      <c r="K60" s="542">
        <v>45852</v>
      </c>
      <c r="L60" s="540" t="s">
        <v>687</v>
      </c>
      <c r="M60" s="508"/>
      <c r="N60" s="815"/>
      <c r="O60" s="815"/>
      <c r="P60" s="815"/>
    </row>
    <row r="61" spans="1:16" ht="25.8">
      <c r="A61" s="540">
        <f t="shared" si="0"/>
        <v>59</v>
      </c>
      <c r="B61" s="541" t="s">
        <v>21</v>
      </c>
      <c r="C61" s="540" t="s">
        <v>401</v>
      </c>
      <c r="D61" s="540" t="s">
        <v>239</v>
      </c>
      <c r="E61" s="542">
        <v>45852</v>
      </c>
      <c r="F61" s="543">
        <v>28</v>
      </c>
      <c r="G61" s="869" t="s">
        <v>402</v>
      </c>
      <c r="H61" s="869"/>
      <c r="I61" s="869"/>
      <c r="J61" s="869"/>
      <c r="K61" s="542">
        <v>45858</v>
      </c>
      <c r="L61" s="540" t="s">
        <v>686</v>
      </c>
      <c r="M61" s="508"/>
      <c r="N61" s="815"/>
      <c r="O61" s="815"/>
      <c r="P61" s="815"/>
    </row>
    <row r="62" spans="1:16" ht="25.8">
      <c r="A62" s="540">
        <f t="shared" si="0"/>
        <v>60</v>
      </c>
      <c r="B62" s="541" t="s">
        <v>142</v>
      </c>
      <c r="C62" s="540" t="s">
        <v>453</v>
      </c>
      <c r="D62" s="540" t="s">
        <v>239</v>
      </c>
      <c r="E62" s="542">
        <v>45853</v>
      </c>
      <c r="F62" s="543">
        <v>34.6</v>
      </c>
      <c r="G62" s="869" t="s">
        <v>402</v>
      </c>
      <c r="H62" s="869"/>
      <c r="I62" s="869"/>
      <c r="J62" s="869"/>
      <c r="K62" s="542">
        <v>45861</v>
      </c>
      <c r="L62" s="540" t="s">
        <v>687</v>
      </c>
      <c r="M62" s="508"/>
      <c r="N62" s="815"/>
      <c r="O62" s="815"/>
      <c r="P62" s="815"/>
    </row>
    <row r="63" spans="1:16" ht="25.8">
      <c r="A63" s="540">
        <f t="shared" si="0"/>
        <v>61</v>
      </c>
      <c r="B63" s="541" t="s">
        <v>138</v>
      </c>
      <c r="C63" s="540" t="s">
        <v>453</v>
      </c>
      <c r="D63" s="540" t="s">
        <v>239</v>
      </c>
      <c r="E63" s="542">
        <v>45859</v>
      </c>
      <c r="F63" s="543">
        <v>34.6</v>
      </c>
      <c r="G63" s="869" t="s">
        <v>402</v>
      </c>
      <c r="H63" s="869"/>
      <c r="I63" s="869"/>
      <c r="J63" s="869"/>
      <c r="K63" s="542">
        <v>45869</v>
      </c>
      <c r="L63" s="540" t="s">
        <v>687</v>
      </c>
      <c r="M63" s="508"/>
      <c r="N63" s="815"/>
      <c r="O63" s="815"/>
      <c r="P63" s="815"/>
    </row>
    <row r="64" spans="1:16" ht="25.8">
      <c r="A64" s="540">
        <f t="shared" si="0"/>
        <v>62</v>
      </c>
      <c r="B64" s="541" t="s">
        <v>134</v>
      </c>
      <c r="C64" s="540" t="s">
        <v>401</v>
      </c>
      <c r="D64" s="540" t="s">
        <v>239</v>
      </c>
      <c r="E64" s="542">
        <v>45860</v>
      </c>
      <c r="F64" s="543">
        <v>28</v>
      </c>
      <c r="G64" s="869" t="s">
        <v>402</v>
      </c>
      <c r="H64" s="869"/>
      <c r="I64" s="869"/>
      <c r="J64" s="869"/>
      <c r="K64" s="542">
        <v>45868</v>
      </c>
      <c r="L64" s="540" t="s">
        <v>686</v>
      </c>
      <c r="M64" s="508"/>
      <c r="N64" s="815"/>
      <c r="O64" s="815"/>
      <c r="P64" s="815"/>
    </row>
    <row r="65" spans="1:16" ht="25.8">
      <c r="A65" s="540">
        <f t="shared" si="0"/>
        <v>63</v>
      </c>
      <c r="B65" s="541" t="s">
        <v>130</v>
      </c>
      <c r="C65" s="540" t="s">
        <v>444</v>
      </c>
      <c r="D65" s="540" t="s">
        <v>239</v>
      </c>
      <c r="E65" s="542">
        <v>45859</v>
      </c>
      <c r="F65" s="543">
        <v>29</v>
      </c>
      <c r="G65" s="869" t="s">
        <v>402</v>
      </c>
      <c r="H65" s="869"/>
      <c r="I65" s="869"/>
      <c r="J65" s="869"/>
      <c r="K65" s="542">
        <v>45876</v>
      </c>
      <c r="L65" s="540" t="s">
        <v>685</v>
      </c>
      <c r="M65" s="508"/>
      <c r="N65" s="815"/>
      <c r="O65" s="815"/>
      <c r="P65" s="815"/>
    </row>
    <row r="66" spans="1:16" ht="15.6">
      <c r="A66" s="540">
        <f t="shared" si="0"/>
        <v>64</v>
      </c>
      <c r="B66" s="541" t="s">
        <v>149</v>
      </c>
      <c r="C66" s="540" t="s">
        <v>444</v>
      </c>
      <c r="D66" s="540" t="s">
        <v>239</v>
      </c>
      <c r="E66" s="542">
        <v>45862</v>
      </c>
      <c r="F66" s="543">
        <v>29</v>
      </c>
      <c r="G66" s="869" t="s">
        <v>402</v>
      </c>
      <c r="H66" s="869"/>
      <c r="I66" s="869"/>
      <c r="J66" s="869"/>
      <c r="K66" s="542">
        <v>45875</v>
      </c>
      <c r="L66" s="540" t="s">
        <v>688</v>
      </c>
      <c r="M66" s="508"/>
      <c r="N66" s="816"/>
      <c r="O66" s="816"/>
      <c r="P66" s="816"/>
    </row>
    <row r="67" spans="1:16" ht="15.6">
      <c r="A67" s="540">
        <f t="shared" si="0"/>
        <v>65</v>
      </c>
      <c r="B67" s="541" t="s">
        <v>131</v>
      </c>
      <c r="C67" s="540" t="s">
        <v>444</v>
      </c>
      <c r="D67" s="540" t="s">
        <v>239</v>
      </c>
      <c r="E67" s="542">
        <v>45837</v>
      </c>
      <c r="F67" s="543">
        <v>29</v>
      </c>
      <c r="G67" s="869" t="s">
        <v>402</v>
      </c>
      <c r="H67" s="869"/>
      <c r="I67" s="869"/>
      <c r="J67" s="869"/>
      <c r="K67" s="542">
        <v>45876</v>
      </c>
      <c r="L67" s="540" t="s">
        <v>686</v>
      </c>
      <c r="M67" s="508"/>
      <c r="N67" s="816"/>
      <c r="O67" s="816"/>
      <c r="P67" s="816"/>
    </row>
    <row r="68" spans="1:16" ht="25.8">
      <c r="A68" s="540">
        <f>A67+1</f>
        <v>66</v>
      </c>
      <c r="B68" s="541" t="s">
        <v>19</v>
      </c>
      <c r="C68" s="540" t="s">
        <v>589</v>
      </c>
      <c r="D68" s="540" t="s">
        <v>239</v>
      </c>
      <c r="E68" s="542">
        <v>45875</v>
      </c>
      <c r="F68" s="543">
        <v>54</v>
      </c>
      <c r="G68" s="869" t="s">
        <v>402</v>
      </c>
      <c r="H68" s="869"/>
      <c r="I68" s="869"/>
      <c r="J68" s="869"/>
      <c r="K68" s="542">
        <v>45888</v>
      </c>
      <c r="L68" s="540" t="s">
        <v>687</v>
      </c>
      <c r="M68" s="508"/>
      <c r="N68" s="815"/>
      <c r="O68" s="815"/>
      <c r="P68" s="815"/>
    </row>
    <row r="69" spans="1:16" ht="25.8">
      <c r="A69" s="540">
        <f t="shared" ref="A69:A121" si="1">A68+1</f>
        <v>67</v>
      </c>
      <c r="B69" s="541" t="s">
        <v>139</v>
      </c>
      <c r="C69" s="540" t="s">
        <v>453</v>
      </c>
      <c r="D69" s="540" t="s">
        <v>239</v>
      </c>
      <c r="E69" s="542">
        <v>45876</v>
      </c>
      <c r="F69" s="543">
        <v>34.630000000000003</v>
      </c>
      <c r="G69" s="869" t="s">
        <v>402</v>
      </c>
      <c r="H69" s="869"/>
      <c r="I69" s="869"/>
      <c r="J69" s="869"/>
      <c r="K69" s="542">
        <v>45886</v>
      </c>
      <c r="L69" s="540" t="s">
        <v>686</v>
      </c>
      <c r="M69" s="508"/>
      <c r="N69" s="815"/>
      <c r="O69" s="815"/>
      <c r="P69" s="815"/>
    </row>
    <row r="70" spans="1:16" ht="25.8">
      <c r="A70" s="540">
        <f t="shared" si="1"/>
        <v>68</v>
      </c>
      <c r="B70" s="541" t="s">
        <v>605</v>
      </c>
      <c r="C70" s="540" t="s">
        <v>629</v>
      </c>
      <c r="D70" s="540" t="s">
        <v>239</v>
      </c>
      <c r="E70" s="542">
        <v>45876</v>
      </c>
      <c r="F70" s="543">
        <v>51.6</v>
      </c>
      <c r="G70" s="869" t="s">
        <v>402</v>
      </c>
      <c r="H70" s="869"/>
      <c r="I70" s="869"/>
      <c r="J70" s="869"/>
      <c r="K70" s="542">
        <v>45885</v>
      </c>
      <c r="L70" s="540" t="s">
        <v>684</v>
      </c>
      <c r="M70" s="508"/>
      <c r="N70" s="815"/>
      <c r="O70" s="815"/>
      <c r="P70" s="815"/>
    </row>
    <row r="71" spans="1:16" ht="25.8">
      <c r="A71" s="540">
        <f t="shared" si="1"/>
        <v>69</v>
      </c>
      <c r="B71" s="541" t="s">
        <v>165</v>
      </c>
      <c r="C71" s="540" t="s">
        <v>401</v>
      </c>
      <c r="D71" s="540" t="s">
        <v>239</v>
      </c>
      <c r="E71" s="542">
        <v>45878</v>
      </c>
      <c r="F71" s="543">
        <v>28</v>
      </c>
      <c r="G71" s="869" t="s">
        <v>402</v>
      </c>
      <c r="H71" s="869"/>
      <c r="I71" s="869"/>
      <c r="J71" s="869"/>
      <c r="K71" s="542">
        <v>45891</v>
      </c>
      <c r="L71" s="540" t="s">
        <v>685</v>
      </c>
      <c r="M71" s="508"/>
      <c r="N71" s="815"/>
      <c r="O71" s="815"/>
      <c r="P71" s="815"/>
    </row>
    <row r="72" spans="1:16" ht="25.8">
      <c r="A72" s="540">
        <f t="shared" si="1"/>
        <v>70</v>
      </c>
      <c r="B72" s="541" t="s">
        <v>8</v>
      </c>
      <c r="C72" s="540" t="s">
        <v>452</v>
      </c>
      <c r="D72" s="540" t="s">
        <v>239</v>
      </c>
      <c r="E72" s="542">
        <v>45885</v>
      </c>
      <c r="F72" s="543">
        <v>33</v>
      </c>
      <c r="G72" s="869" t="s">
        <v>402</v>
      </c>
      <c r="H72" s="869"/>
      <c r="I72" s="869"/>
      <c r="J72" s="869"/>
      <c r="K72" s="542">
        <v>45901</v>
      </c>
      <c r="L72" s="540" t="s">
        <v>684</v>
      </c>
      <c r="M72" s="508"/>
      <c r="N72" s="815"/>
      <c r="O72" s="815"/>
      <c r="P72" s="815"/>
    </row>
    <row r="73" spans="1:16" ht="25.8">
      <c r="A73" s="540">
        <f t="shared" si="1"/>
        <v>71</v>
      </c>
      <c r="B73" s="541" t="s">
        <v>150</v>
      </c>
      <c r="C73" s="540" t="s">
        <v>401</v>
      </c>
      <c r="D73" s="540" t="s">
        <v>239</v>
      </c>
      <c r="E73" s="542">
        <v>45887</v>
      </c>
      <c r="F73" s="543">
        <v>28</v>
      </c>
      <c r="G73" s="869" t="s">
        <v>402</v>
      </c>
      <c r="H73" s="869"/>
      <c r="I73" s="869"/>
      <c r="J73" s="869"/>
      <c r="K73" s="542">
        <v>45895</v>
      </c>
      <c r="L73" s="540" t="s">
        <v>686</v>
      </c>
      <c r="M73" s="508"/>
      <c r="N73" s="815"/>
      <c r="O73" s="815"/>
      <c r="P73" s="815"/>
    </row>
    <row r="74" spans="1:16" ht="25.8">
      <c r="A74" s="540">
        <f t="shared" si="1"/>
        <v>72</v>
      </c>
      <c r="B74" s="541" t="s">
        <v>654</v>
      </c>
      <c r="C74" s="540" t="s">
        <v>643</v>
      </c>
      <c r="D74" s="540" t="s">
        <v>239</v>
      </c>
      <c r="E74" s="542">
        <v>45888</v>
      </c>
      <c r="F74" s="543">
        <v>51.6</v>
      </c>
      <c r="G74" s="869" t="s">
        <v>402</v>
      </c>
      <c r="H74" s="869"/>
      <c r="I74" s="869"/>
      <c r="J74" s="869"/>
      <c r="K74" s="542">
        <v>45895</v>
      </c>
      <c r="L74" s="540" t="s">
        <v>684</v>
      </c>
      <c r="M74" s="508"/>
      <c r="N74" s="815"/>
      <c r="O74" s="815"/>
      <c r="P74" s="815"/>
    </row>
    <row r="75" spans="1:16" ht="25.8">
      <c r="A75" s="540">
        <f t="shared" si="1"/>
        <v>73</v>
      </c>
      <c r="B75" s="541" t="s">
        <v>155</v>
      </c>
      <c r="C75" s="540" t="s">
        <v>401</v>
      </c>
      <c r="D75" s="540" t="s">
        <v>239</v>
      </c>
      <c r="E75" s="542">
        <v>45891</v>
      </c>
      <c r="F75" s="543">
        <v>28</v>
      </c>
      <c r="G75" s="869" t="s">
        <v>402</v>
      </c>
      <c r="H75" s="869"/>
      <c r="I75" s="869"/>
      <c r="J75" s="869"/>
      <c r="K75" s="542">
        <v>45895</v>
      </c>
      <c r="L75" s="540" t="s">
        <v>687</v>
      </c>
      <c r="M75" s="508"/>
      <c r="N75" s="815"/>
      <c r="O75" s="815"/>
      <c r="P75" s="815"/>
    </row>
    <row r="76" spans="1:16" s="270" customFormat="1" ht="27.6" customHeight="1">
      <c r="A76" s="516">
        <f t="shared" si="1"/>
        <v>74</v>
      </c>
      <c r="B76" s="455" t="s">
        <v>559</v>
      </c>
      <c r="C76" s="181" t="s">
        <v>401</v>
      </c>
      <c r="D76" s="516" t="s">
        <v>239</v>
      </c>
      <c r="E76" s="283">
        <v>45895</v>
      </c>
      <c r="F76" s="284">
        <v>28</v>
      </c>
      <c r="G76" s="807" t="s">
        <v>402</v>
      </c>
      <c r="H76" s="807"/>
      <c r="I76" s="807"/>
      <c r="J76" s="807"/>
      <c r="K76" s="183">
        <v>45947</v>
      </c>
      <c r="L76" s="516" t="s">
        <v>687</v>
      </c>
      <c r="M76" s="516"/>
      <c r="N76" s="815"/>
      <c r="O76" s="815"/>
      <c r="P76" s="815"/>
    </row>
    <row r="77" spans="1:16" s="270" customFormat="1" ht="27.6" customHeight="1">
      <c r="A77" s="555">
        <f t="shared" si="1"/>
        <v>75</v>
      </c>
      <c r="B77" s="455" t="s">
        <v>119</v>
      </c>
      <c r="C77" s="181" t="s">
        <v>453</v>
      </c>
      <c r="D77" s="555" t="s">
        <v>239</v>
      </c>
      <c r="E77" s="283">
        <v>45900</v>
      </c>
      <c r="F77" s="284">
        <v>35</v>
      </c>
      <c r="G77" s="807" t="s">
        <v>402</v>
      </c>
      <c r="H77" s="807"/>
      <c r="I77" s="807"/>
      <c r="J77" s="807"/>
      <c r="K77" s="183">
        <v>45910</v>
      </c>
      <c r="L77" s="555" t="s">
        <v>686</v>
      </c>
      <c r="M77" s="555"/>
      <c r="N77" s="560"/>
      <c r="O77" s="560"/>
      <c r="P77" s="560"/>
    </row>
    <row r="78" spans="1:16" s="270" customFormat="1" ht="27.6" customHeight="1">
      <c r="A78" s="555">
        <f t="shared" si="1"/>
        <v>76</v>
      </c>
      <c r="B78" s="455" t="s">
        <v>607</v>
      </c>
      <c r="C78" s="181" t="s">
        <v>695</v>
      </c>
      <c r="D78" s="555" t="s">
        <v>239</v>
      </c>
      <c r="E78" s="283">
        <v>45901</v>
      </c>
      <c r="F78" s="284">
        <v>63</v>
      </c>
      <c r="G78" s="807" t="s">
        <v>402</v>
      </c>
      <c r="H78" s="807"/>
      <c r="I78" s="807"/>
      <c r="J78" s="807"/>
      <c r="K78" s="183">
        <v>45912</v>
      </c>
      <c r="L78" s="555" t="s">
        <v>687</v>
      </c>
      <c r="M78" s="555"/>
      <c r="N78" s="560"/>
      <c r="O78" s="560"/>
      <c r="P78" s="560"/>
    </row>
    <row r="79" spans="1:16" s="270" customFormat="1" ht="27.6" customHeight="1">
      <c r="A79" s="555">
        <f t="shared" si="1"/>
        <v>77</v>
      </c>
      <c r="B79" s="455" t="s">
        <v>164</v>
      </c>
      <c r="C79" s="181" t="s">
        <v>401</v>
      </c>
      <c r="D79" s="555" t="s">
        <v>239</v>
      </c>
      <c r="E79" s="283">
        <v>45903</v>
      </c>
      <c r="F79" s="284">
        <v>27.9</v>
      </c>
      <c r="G79" s="807" t="s">
        <v>402</v>
      </c>
      <c r="H79" s="807"/>
      <c r="I79" s="807"/>
      <c r="J79" s="807"/>
      <c r="K79" s="183">
        <v>45907</v>
      </c>
      <c r="L79" s="555" t="s">
        <v>684</v>
      </c>
      <c r="M79" s="555"/>
      <c r="N79" s="560"/>
      <c r="O79" s="560"/>
      <c r="P79" s="560"/>
    </row>
    <row r="80" spans="1:16" s="270" customFormat="1" ht="43.2" customHeight="1">
      <c r="A80" s="555">
        <f t="shared" si="1"/>
        <v>78</v>
      </c>
      <c r="B80" s="455" t="s">
        <v>645</v>
      </c>
      <c r="C80" s="181" t="s">
        <v>476</v>
      </c>
      <c r="D80" s="555" t="s">
        <v>239</v>
      </c>
      <c r="E80" s="283">
        <v>45905</v>
      </c>
      <c r="F80" s="284">
        <v>45</v>
      </c>
      <c r="G80" s="807" t="s">
        <v>402</v>
      </c>
      <c r="H80" s="807"/>
      <c r="I80" s="807"/>
      <c r="J80" s="807"/>
      <c r="K80" s="183">
        <v>45933</v>
      </c>
      <c r="L80" s="555" t="s">
        <v>685</v>
      </c>
      <c r="M80" s="555"/>
      <c r="N80" s="781"/>
      <c r="O80" s="781"/>
      <c r="P80" s="781"/>
    </row>
    <row r="81" spans="1:16" s="270" customFormat="1" ht="27.6" customHeight="1">
      <c r="A81" s="608">
        <f t="shared" si="1"/>
        <v>79</v>
      </c>
      <c r="B81" s="455" t="s">
        <v>40</v>
      </c>
      <c r="C81" s="181" t="s">
        <v>444</v>
      </c>
      <c r="D81" s="555" t="s">
        <v>239</v>
      </c>
      <c r="E81" s="283">
        <v>45909</v>
      </c>
      <c r="F81" s="284">
        <v>29</v>
      </c>
      <c r="G81" s="807" t="s">
        <v>402</v>
      </c>
      <c r="H81" s="807"/>
      <c r="I81" s="807"/>
      <c r="J81" s="807"/>
      <c r="K81" s="183">
        <v>45913</v>
      </c>
      <c r="L81" s="555" t="s">
        <v>684</v>
      </c>
      <c r="M81" s="555"/>
      <c r="N81" s="560"/>
      <c r="O81" s="560"/>
      <c r="P81" s="560"/>
    </row>
    <row r="82" spans="1:16" s="270" customFormat="1" ht="27.6" customHeight="1">
      <c r="A82" s="555">
        <f t="shared" si="1"/>
        <v>80</v>
      </c>
      <c r="B82" s="455" t="s">
        <v>154</v>
      </c>
      <c r="C82" s="181" t="s">
        <v>452</v>
      </c>
      <c r="D82" s="555" t="s">
        <v>239</v>
      </c>
      <c r="E82" s="283">
        <v>45909</v>
      </c>
      <c r="F82" s="284">
        <v>33.299999999999997</v>
      </c>
      <c r="G82" s="807" t="s">
        <v>402</v>
      </c>
      <c r="H82" s="807"/>
      <c r="I82" s="807"/>
      <c r="J82" s="807"/>
      <c r="K82" s="183">
        <v>45930</v>
      </c>
      <c r="L82" s="555" t="s">
        <v>696</v>
      </c>
      <c r="M82" s="555"/>
      <c r="N82" s="560"/>
      <c r="O82" s="560"/>
      <c r="P82" s="560"/>
    </row>
    <row r="83" spans="1:16" s="270" customFormat="1" ht="27.6" customHeight="1">
      <c r="A83" s="555">
        <f t="shared" si="1"/>
        <v>81</v>
      </c>
      <c r="B83" s="455" t="s">
        <v>118</v>
      </c>
      <c r="C83" s="181" t="s">
        <v>452</v>
      </c>
      <c r="D83" s="555" t="s">
        <v>239</v>
      </c>
      <c r="E83" s="283">
        <v>45912</v>
      </c>
      <c r="F83" s="284">
        <v>33.299999999999997</v>
      </c>
      <c r="G83" s="807" t="s">
        <v>402</v>
      </c>
      <c r="H83" s="807"/>
      <c r="I83" s="807"/>
      <c r="J83" s="807"/>
      <c r="K83" s="183">
        <v>45922</v>
      </c>
      <c r="L83" s="555" t="s">
        <v>699</v>
      </c>
      <c r="M83" s="555"/>
      <c r="N83" s="560"/>
      <c r="O83" s="560"/>
      <c r="P83" s="560"/>
    </row>
    <row r="84" spans="1:16" s="270" customFormat="1" ht="27.6" customHeight="1">
      <c r="A84" s="555">
        <f t="shared" si="1"/>
        <v>82</v>
      </c>
      <c r="B84" s="455" t="s">
        <v>562</v>
      </c>
      <c r="C84" s="181" t="s">
        <v>643</v>
      </c>
      <c r="D84" s="555" t="s">
        <v>239</v>
      </c>
      <c r="E84" s="283">
        <v>45914</v>
      </c>
      <c r="F84" s="284">
        <v>51.7</v>
      </c>
      <c r="G84" s="807" t="s">
        <v>402</v>
      </c>
      <c r="H84" s="807"/>
      <c r="I84" s="807"/>
      <c r="J84" s="807"/>
      <c r="K84" s="183">
        <v>45925</v>
      </c>
      <c r="L84" s="555" t="s">
        <v>687</v>
      </c>
      <c r="M84" s="555"/>
      <c r="N84" s="560"/>
      <c r="O84" s="560"/>
      <c r="P84" s="560"/>
    </row>
    <row r="85" spans="1:16" s="270" customFormat="1" ht="34.799999999999997" customHeight="1">
      <c r="A85" s="555">
        <f t="shared" si="1"/>
        <v>83</v>
      </c>
      <c r="B85" s="455" t="s">
        <v>680</v>
      </c>
      <c r="C85" s="181" t="s">
        <v>598</v>
      </c>
      <c r="D85" s="555" t="s">
        <v>239</v>
      </c>
      <c r="E85" s="283">
        <v>45916</v>
      </c>
      <c r="F85" s="284">
        <v>60</v>
      </c>
      <c r="G85" s="807" t="s">
        <v>402</v>
      </c>
      <c r="H85" s="807"/>
      <c r="I85" s="807"/>
      <c r="J85" s="807"/>
      <c r="K85" s="183">
        <v>45923</v>
      </c>
      <c r="L85" s="555" t="s">
        <v>684</v>
      </c>
      <c r="M85" s="555"/>
      <c r="N85" s="781"/>
      <c r="O85" s="781"/>
      <c r="P85" s="781"/>
    </row>
    <row r="86" spans="1:16" s="270" customFormat="1" ht="34.799999999999997" customHeight="1">
      <c r="A86" s="555">
        <f t="shared" si="1"/>
        <v>84</v>
      </c>
      <c r="B86" s="455" t="s">
        <v>117</v>
      </c>
      <c r="C86" s="181" t="s">
        <v>448</v>
      </c>
      <c r="D86" s="555" t="s">
        <v>239</v>
      </c>
      <c r="E86" s="283">
        <v>45922</v>
      </c>
      <c r="F86" s="284">
        <v>27</v>
      </c>
      <c r="G86" s="807" t="s">
        <v>402</v>
      </c>
      <c r="H86" s="807"/>
      <c r="I86" s="807"/>
      <c r="J86" s="807"/>
      <c r="K86" s="183">
        <v>45930</v>
      </c>
      <c r="L86" s="555" t="s">
        <v>699</v>
      </c>
      <c r="M86" s="555"/>
      <c r="N86" s="781"/>
      <c r="O86" s="781"/>
      <c r="P86" s="781"/>
    </row>
    <row r="87" spans="1:16" s="270" customFormat="1" ht="34.799999999999997" customHeight="1">
      <c r="A87" s="555">
        <f t="shared" si="1"/>
        <v>85</v>
      </c>
      <c r="B87" s="455" t="s">
        <v>665</v>
      </c>
      <c r="C87" s="181" t="s">
        <v>666</v>
      </c>
      <c r="D87" s="555" t="s">
        <v>239</v>
      </c>
      <c r="E87" s="283">
        <v>45925</v>
      </c>
      <c r="F87" s="284">
        <v>50</v>
      </c>
      <c r="G87" s="807" t="s">
        <v>402</v>
      </c>
      <c r="H87" s="807"/>
      <c r="I87" s="807"/>
      <c r="J87" s="807"/>
      <c r="K87" s="183">
        <v>45931</v>
      </c>
      <c r="L87" s="555" t="s">
        <v>684</v>
      </c>
      <c r="M87" s="555"/>
      <c r="N87" s="781"/>
      <c r="O87" s="781"/>
      <c r="P87" s="781"/>
    </row>
    <row r="88" spans="1:16" s="270" customFormat="1" ht="34.799999999999997" customHeight="1">
      <c r="A88" s="555">
        <f t="shared" si="1"/>
        <v>86</v>
      </c>
      <c r="B88" s="455" t="s">
        <v>173</v>
      </c>
      <c r="C88" s="181" t="s">
        <v>448</v>
      </c>
      <c r="D88" s="555" t="s">
        <v>239</v>
      </c>
      <c r="E88" s="283">
        <v>45928</v>
      </c>
      <c r="F88" s="284">
        <v>27</v>
      </c>
      <c r="G88" s="807" t="s">
        <v>402</v>
      </c>
      <c r="H88" s="807"/>
      <c r="I88" s="807"/>
      <c r="J88" s="807"/>
      <c r="K88" s="183">
        <v>45935</v>
      </c>
      <c r="L88" s="555" t="s">
        <v>687</v>
      </c>
      <c r="M88" s="555"/>
      <c r="N88" s="781"/>
      <c r="O88" s="781"/>
      <c r="P88" s="781"/>
    </row>
    <row r="89" spans="1:16" s="270" customFormat="1" ht="34.799999999999997" customHeight="1">
      <c r="A89" s="555">
        <f t="shared" si="1"/>
        <v>87</v>
      </c>
      <c r="B89" s="455" t="s">
        <v>689</v>
      </c>
      <c r="C89" s="181" t="s">
        <v>690</v>
      </c>
      <c r="D89" s="555" t="s">
        <v>239</v>
      </c>
      <c r="E89" s="283">
        <v>45929</v>
      </c>
      <c r="F89" s="284">
        <v>60</v>
      </c>
      <c r="G89" s="807" t="s">
        <v>402</v>
      </c>
      <c r="H89" s="807"/>
      <c r="I89" s="807"/>
      <c r="J89" s="807"/>
      <c r="K89" s="183">
        <v>45947</v>
      </c>
      <c r="L89" s="555" t="s">
        <v>696</v>
      </c>
      <c r="M89" s="555"/>
      <c r="N89" s="781"/>
      <c r="O89" s="781"/>
      <c r="P89" s="781"/>
    </row>
    <row r="90" spans="1:16" s="270" customFormat="1" ht="34.799999999999997" customHeight="1">
      <c r="A90" s="555">
        <f t="shared" si="1"/>
        <v>88</v>
      </c>
      <c r="B90" s="455" t="s">
        <v>597</v>
      </c>
      <c r="C90" s="181" t="s">
        <v>598</v>
      </c>
      <c r="D90" s="555" t="s">
        <v>239</v>
      </c>
      <c r="E90" s="283">
        <v>45934</v>
      </c>
      <c r="F90" s="284">
        <v>60</v>
      </c>
      <c r="G90" s="807" t="s">
        <v>402</v>
      </c>
      <c r="H90" s="807"/>
      <c r="I90" s="807"/>
      <c r="J90" s="807"/>
      <c r="K90" s="183">
        <v>45947</v>
      </c>
      <c r="L90" s="555" t="s">
        <v>699</v>
      </c>
      <c r="M90" s="555"/>
      <c r="N90" s="781"/>
      <c r="O90" s="781"/>
      <c r="P90" s="781"/>
    </row>
    <row r="91" spans="1:16" s="270" customFormat="1" ht="34.799999999999997" customHeight="1">
      <c r="A91" s="561">
        <f t="shared" si="1"/>
        <v>89</v>
      </c>
      <c r="B91" s="455" t="s">
        <v>658</v>
      </c>
      <c r="C91" s="181" t="s">
        <v>116</v>
      </c>
      <c r="D91" s="561" t="s">
        <v>239</v>
      </c>
      <c r="E91" s="283">
        <v>45946</v>
      </c>
      <c r="F91" s="284">
        <v>89</v>
      </c>
      <c r="G91" s="807" t="s">
        <v>402</v>
      </c>
      <c r="H91" s="807"/>
      <c r="I91" s="807"/>
      <c r="J91" s="807"/>
      <c r="K91" s="183">
        <v>45968</v>
      </c>
      <c r="L91" s="561" t="s">
        <v>699</v>
      </c>
      <c r="M91" s="561"/>
      <c r="N91" s="781"/>
      <c r="O91" s="781"/>
      <c r="P91" s="781"/>
    </row>
    <row r="92" spans="1:16" s="270" customFormat="1" ht="34.799999999999997" customHeight="1">
      <c r="A92" s="571">
        <f t="shared" si="1"/>
        <v>90</v>
      </c>
      <c r="B92" s="455" t="s">
        <v>663</v>
      </c>
      <c r="C92" s="181" t="s">
        <v>116</v>
      </c>
      <c r="D92" s="571" t="s">
        <v>239</v>
      </c>
      <c r="E92" s="283">
        <v>45946</v>
      </c>
      <c r="F92" s="284">
        <v>89</v>
      </c>
      <c r="G92" s="807" t="s">
        <v>402</v>
      </c>
      <c r="H92" s="807"/>
      <c r="I92" s="807"/>
      <c r="J92" s="807"/>
      <c r="K92" s="183">
        <v>45990</v>
      </c>
      <c r="L92" s="571" t="s">
        <v>696</v>
      </c>
      <c r="M92" s="571"/>
      <c r="N92" s="808"/>
      <c r="O92" s="809"/>
      <c r="P92" s="809"/>
    </row>
    <row r="93" spans="1:16" s="270" customFormat="1" ht="34.799999999999997" customHeight="1">
      <c r="A93" s="571">
        <f t="shared" si="1"/>
        <v>91</v>
      </c>
      <c r="B93" s="455" t="s">
        <v>561</v>
      </c>
      <c r="C93" s="181" t="s">
        <v>401</v>
      </c>
      <c r="D93" s="571" t="s">
        <v>239</v>
      </c>
      <c r="E93" s="283">
        <v>45948</v>
      </c>
      <c r="F93" s="284">
        <v>28</v>
      </c>
      <c r="G93" s="807" t="s">
        <v>402</v>
      </c>
      <c r="H93" s="807"/>
      <c r="I93" s="807"/>
      <c r="J93" s="807"/>
      <c r="K93" s="183">
        <v>45957</v>
      </c>
      <c r="L93" s="571" t="s">
        <v>687</v>
      </c>
      <c r="M93" s="571"/>
      <c r="N93" s="808"/>
      <c r="O93" s="809"/>
      <c r="P93" s="809"/>
    </row>
    <row r="94" spans="1:16" s="270" customFormat="1" ht="34.799999999999997" customHeight="1">
      <c r="A94" s="571">
        <f t="shared" si="1"/>
        <v>92</v>
      </c>
      <c r="B94" s="455" t="s">
        <v>162</v>
      </c>
      <c r="C94" s="181" t="s">
        <v>401</v>
      </c>
      <c r="D94" s="571" t="s">
        <v>239</v>
      </c>
      <c r="E94" s="283">
        <v>45959</v>
      </c>
      <c r="F94" s="284">
        <v>28</v>
      </c>
      <c r="G94" s="807" t="s">
        <v>402</v>
      </c>
      <c r="H94" s="807"/>
      <c r="I94" s="807"/>
      <c r="J94" s="807"/>
      <c r="K94" s="183">
        <v>45967</v>
      </c>
      <c r="L94" s="571" t="s">
        <v>687</v>
      </c>
      <c r="M94" s="571"/>
      <c r="N94" s="808"/>
      <c r="O94" s="809"/>
      <c r="P94" s="809"/>
    </row>
    <row r="95" spans="1:16" s="270" customFormat="1" ht="34.799999999999997" customHeight="1">
      <c r="A95" s="571">
        <f t="shared" si="1"/>
        <v>93</v>
      </c>
      <c r="B95" s="455" t="s">
        <v>158</v>
      </c>
      <c r="C95" s="181" t="s">
        <v>401</v>
      </c>
      <c r="D95" s="571" t="s">
        <v>239</v>
      </c>
      <c r="E95" s="283">
        <v>45965</v>
      </c>
      <c r="F95" s="284">
        <v>28</v>
      </c>
      <c r="G95" s="807" t="s">
        <v>402</v>
      </c>
      <c r="H95" s="807"/>
      <c r="I95" s="807"/>
      <c r="J95" s="807"/>
      <c r="K95" s="183">
        <v>45973</v>
      </c>
      <c r="L95" s="571" t="s">
        <v>687</v>
      </c>
      <c r="M95" s="571"/>
      <c r="N95" s="808"/>
      <c r="O95" s="809"/>
      <c r="P95" s="809"/>
    </row>
    <row r="96" spans="1:16" s="270" customFormat="1" ht="34.799999999999997" customHeight="1">
      <c r="A96" s="571">
        <f t="shared" si="1"/>
        <v>94</v>
      </c>
      <c r="B96" s="455" t="s">
        <v>151</v>
      </c>
      <c r="C96" s="181" t="s">
        <v>401</v>
      </c>
      <c r="D96" s="571" t="s">
        <v>239</v>
      </c>
      <c r="E96" s="283">
        <v>45967</v>
      </c>
      <c r="F96" s="284">
        <v>28</v>
      </c>
      <c r="G96" s="807" t="s">
        <v>402</v>
      </c>
      <c r="H96" s="807"/>
      <c r="I96" s="807"/>
      <c r="J96" s="807"/>
      <c r="K96" s="183">
        <v>45974</v>
      </c>
      <c r="L96" s="571" t="s">
        <v>696</v>
      </c>
      <c r="M96" s="571"/>
      <c r="N96" s="808"/>
      <c r="O96" s="809"/>
      <c r="P96" s="809"/>
    </row>
    <row r="97" spans="1:16" s="270" customFormat="1" ht="34.799999999999997" customHeight="1">
      <c r="A97" s="573">
        <f t="shared" si="1"/>
        <v>95</v>
      </c>
      <c r="B97" s="455" t="s">
        <v>674</v>
      </c>
      <c r="C97" s="181" t="s">
        <v>594</v>
      </c>
      <c r="D97" s="573" t="s">
        <v>239</v>
      </c>
      <c r="E97" s="283">
        <v>45972</v>
      </c>
      <c r="F97" s="284">
        <v>45</v>
      </c>
      <c r="G97" s="807" t="s">
        <v>402</v>
      </c>
      <c r="H97" s="807"/>
      <c r="I97" s="807"/>
      <c r="J97" s="807"/>
      <c r="K97" s="183">
        <v>45979</v>
      </c>
      <c r="L97" s="573" t="s">
        <v>699</v>
      </c>
      <c r="M97" s="573"/>
      <c r="N97" s="808"/>
      <c r="O97" s="809"/>
      <c r="P97" s="809"/>
    </row>
    <row r="98" spans="1:16" s="270" customFormat="1" ht="34.799999999999997" customHeight="1">
      <c r="A98" s="573">
        <f t="shared" si="1"/>
        <v>96</v>
      </c>
      <c r="B98" s="455" t="s">
        <v>120</v>
      </c>
      <c r="C98" s="181" t="s">
        <v>444</v>
      </c>
      <c r="D98" s="573" t="s">
        <v>239</v>
      </c>
      <c r="E98" s="283">
        <v>45973</v>
      </c>
      <c r="F98" s="284">
        <v>29</v>
      </c>
      <c r="G98" s="807" t="s">
        <v>402</v>
      </c>
      <c r="H98" s="807"/>
      <c r="I98" s="807"/>
      <c r="J98" s="807"/>
      <c r="K98" s="183">
        <v>45982</v>
      </c>
      <c r="L98" s="573" t="s">
        <v>687</v>
      </c>
      <c r="M98" s="573"/>
      <c r="N98" s="808"/>
      <c r="O98" s="809"/>
      <c r="P98" s="809"/>
    </row>
    <row r="99" spans="1:16" s="270" customFormat="1" ht="34.799999999999997" customHeight="1">
      <c r="A99" s="573">
        <f t="shared" si="1"/>
        <v>97</v>
      </c>
      <c r="B99" s="455" t="s">
        <v>168</v>
      </c>
      <c r="C99" s="181" t="s">
        <v>444</v>
      </c>
      <c r="D99" s="573" t="s">
        <v>239</v>
      </c>
      <c r="E99" s="283">
        <v>45982</v>
      </c>
      <c r="F99" s="284">
        <v>29</v>
      </c>
      <c r="G99" s="807" t="s">
        <v>402</v>
      </c>
      <c r="H99" s="807"/>
      <c r="I99" s="807"/>
      <c r="J99" s="807"/>
      <c r="K99" s="183">
        <v>45988</v>
      </c>
      <c r="L99" s="573" t="s">
        <v>699</v>
      </c>
      <c r="M99" s="573"/>
      <c r="N99" s="808"/>
      <c r="O99" s="809"/>
      <c r="P99" s="809"/>
    </row>
    <row r="100" spans="1:16" s="270" customFormat="1" ht="34.799999999999997" customHeight="1">
      <c r="A100" s="573">
        <f t="shared" si="1"/>
        <v>98</v>
      </c>
      <c r="B100" s="455" t="s">
        <v>153</v>
      </c>
      <c r="C100" s="181" t="s">
        <v>401</v>
      </c>
      <c r="D100" s="573" t="s">
        <v>239</v>
      </c>
      <c r="E100" s="283">
        <v>45984</v>
      </c>
      <c r="F100" s="284">
        <v>28</v>
      </c>
      <c r="G100" s="807" t="s">
        <v>402</v>
      </c>
      <c r="H100" s="807"/>
      <c r="I100" s="807"/>
      <c r="J100" s="807"/>
      <c r="K100" s="183">
        <v>45993</v>
      </c>
      <c r="L100" s="573" t="s">
        <v>687</v>
      </c>
      <c r="M100" s="573"/>
      <c r="N100" s="808"/>
      <c r="O100" s="809"/>
      <c r="P100" s="809"/>
    </row>
    <row r="101" spans="1:16" s="270" customFormat="1" ht="34.799999999999997" customHeight="1">
      <c r="A101" s="574">
        <f t="shared" si="1"/>
        <v>99</v>
      </c>
      <c r="B101" s="455" t="s">
        <v>557</v>
      </c>
      <c r="C101" s="181" t="s">
        <v>643</v>
      </c>
      <c r="D101" s="574" t="s">
        <v>239</v>
      </c>
      <c r="E101" s="283">
        <v>45991</v>
      </c>
      <c r="F101" s="284">
        <v>52</v>
      </c>
      <c r="G101" s="807" t="s">
        <v>402</v>
      </c>
      <c r="H101" s="807"/>
      <c r="I101" s="807"/>
      <c r="J101" s="807"/>
      <c r="K101" s="183">
        <v>45998</v>
      </c>
      <c r="L101" s="574" t="s">
        <v>699</v>
      </c>
      <c r="M101" s="574"/>
      <c r="N101" s="808"/>
      <c r="O101" s="809"/>
      <c r="P101" s="809"/>
    </row>
    <row r="102" spans="1:16" s="270" customFormat="1" ht="34.799999999999997" customHeight="1">
      <c r="A102" s="608">
        <f t="shared" si="1"/>
        <v>100</v>
      </c>
      <c r="B102" s="455" t="s">
        <v>678</v>
      </c>
      <c r="C102" s="181" t="s">
        <v>629</v>
      </c>
      <c r="D102" s="608" t="s">
        <v>239</v>
      </c>
      <c r="E102" s="283">
        <v>45992</v>
      </c>
      <c r="F102" s="284">
        <v>52</v>
      </c>
      <c r="G102" s="807" t="s">
        <v>402</v>
      </c>
      <c r="H102" s="807"/>
      <c r="I102" s="807"/>
      <c r="J102" s="807"/>
      <c r="K102" s="183">
        <v>46001</v>
      </c>
      <c r="L102" s="608" t="s">
        <v>696</v>
      </c>
      <c r="M102" s="608"/>
      <c r="N102" s="808"/>
      <c r="O102" s="809"/>
      <c r="P102" s="809"/>
    </row>
    <row r="103" spans="1:16" s="270" customFormat="1" ht="34.799999999999997" customHeight="1">
      <c r="A103" s="608">
        <f t="shared" si="1"/>
        <v>101</v>
      </c>
      <c r="B103" s="455" t="s">
        <v>163</v>
      </c>
      <c r="C103" s="181" t="s">
        <v>669</v>
      </c>
      <c r="D103" s="608" t="s">
        <v>239</v>
      </c>
      <c r="E103" s="283">
        <v>45995</v>
      </c>
      <c r="F103" s="284">
        <v>27</v>
      </c>
      <c r="G103" s="807" t="s">
        <v>402</v>
      </c>
      <c r="H103" s="807"/>
      <c r="I103" s="807"/>
      <c r="J103" s="807"/>
      <c r="K103" s="183">
        <v>46005</v>
      </c>
      <c r="L103" s="608" t="s">
        <v>687</v>
      </c>
      <c r="M103" s="608"/>
      <c r="N103" s="808"/>
      <c r="O103" s="809"/>
      <c r="P103" s="809"/>
    </row>
    <row r="104" spans="1:16" s="270" customFormat="1" ht="34.799999999999997" customHeight="1">
      <c r="A104" s="608">
        <f t="shared" si="1"/>
        <v>102</v>
      </c>
      <c r="B104" s="455" t="s">
        <v>183</v>
      </c>
      <c r="C104" s="181" t="s">
        <v>452</v>
      </c>
      <c r="D104" s="608" t="s">
        <v>239</v>
      </c>
      <c r="E104" s="283">
        <v>45998</v>
      </c>
      <c r="F104" s="284">
        <v>33</v>
      </c>
      <c r="G104" s="807" t="s">
        <v>402</v>
      </c>
      <c r="H104" s="807"/>
      <c r="I104" s="807"/>
      <c r="J104" s="807"/>
      <c r="K104" s="183">
        <v>46005</v>
      </c>
      <c r="L104" s="608" t="s">
        <v>699</v>
      </c>
      <c r="M104" s="608"/>
      <c r="N104" s="808"/>
      <c r="O104" s="809"/>
      <c r="P104" s="809"/>
    </row>
    <row r="105" spans="1:16" s="270" customFormat="1" ht="34.799999999999997" customHeight="1">
      <c r="A105" s="608">
        <f t="shared" si="1"/>
        <v>103</v>
      </c>
      <c r="B105" s="455" t="s">
        <v>171</v>
      </c>
      <c r="C105" s="181" t="s">
        <v>448</v>
      </c>
      <c r="D105" s="608" t="s">
        <v>239</v>
      </c>
      <c r="E105" s="283">
        <v>46001</v>
      </c>
      <c r="F105" s="284">
        <v>27</v>
      </c>
      <c r="G105" s="807" t="s">
        <v>402</v>
      </c>
      <c r="H105" s="807"/>
      <c r="I105" s="807"/>
      <c r="J105" s="807"/>
      <c r="K105" s="183">
        <v>46006</v>
      </c>
      <c r="L105" s="608" t="s">
        <v>696</v>
      </c>
      <c r="M105" s="608"/>
      <c r="N105" s="808"/>
      <c r="O105" s="809"/>
      <c r="P105" s="809"/>
    </row>
    <row r="106" spans="1:16" s="270" customFormat="1" ht="34.799999999999997" customHeight="1">
      <c r="A106" s="608">
        <f t="shared" si="1"/>
        <v>104</v>
      </c>
      <c r="B106" s="455" t="s">
        <v>184</v>
      </c>
      <c r="C106" s="181" t="s">
        <v>448</v>
      </c>
      <c r="D106" s="608" t="s">
        <v>239</v>
      </c>
      <c r="E106" s="283">
        <v>46006</v>
      </c>
      <c r="F106" s="284">
        <v>27</v>
      </c>
      <c r="G106" s="807" t="s">
        <v>402</v>
      </c>
      <c r="H106" s="807"/>
      <c r="I106" s="807"/>
      <c r="J106" s="807"/>
      <c r="K106" s="183">
        <v>46010</v>
      </c>
      <c r="L106" s="608" t="s">
        <v>699</v>
      </c>
      <c r="M106" s="608"/>
      <c r="N106" s="808"/>
      <c r="O106" s="809"/>
      <c r="P106" s="809"/>
    </row>
    <row r="107" spans="1:16" s="270" customFormat="1" ht="34.799999999999997" customHeight="1">
      <c r="A107" s="632">
        <f t="shared" si="1"/>
        <v>105</v>
      </c>
      <c r="B107" s="455" t="s">
        <v>172</v>
      </c>
      <c r="C107" s="181" t="s">
        <v>448</v>
      </c>
      <c r="D107" s="632" t="s">
        <v>239</v>
      </c>
      <c r="E107" s="283">
        <v>46008</v>
      </c>
      <c r="F107" s="284">
        <v>27</v>
      </c>
      <c r="G107" s="807" t="s">
        <v>402</v>
      </c>
      <c r="H107" s="807"/>
      <c r="I107" s="807"/>
      <c r="J107" s="807"/>
      <c r="K107" s="183">
        <v>46013</v>
      </c>
      <c r="L107" s="632" t="s">
        <v>696</v>
      </c>
      <c r="M107" s="632"/>
      <c r="N107" s="808"/>
      <c r="O107" s="809"/>
      <c r="P107" s="809"/>
    </row>
    <row r="108" spans="1:16" s="270" customFormat="1" ht="34.799999999999997" customHeight="1">
      <c r="A108" s="672">
        <f t="shared" si="1"/>
        <v>106</v>
      </c>
      <c r="B108" s="455" t="s">
        <v>558</v>
      </c>
      <c r="C108" s="181" t="s">
        <v>452</v>
      </c>
      <c r="D108" s="672" t="s">
        <v>239</v>
      </c>
      <c r="E108" s="283">
        <v>46007</v>
      </c>
      <c r="F108" s="284">
        <v>33</v>
      </c>
      <c r="G108" s="807" t="s">
        <v>402</v>
      </c>
      <c r="H108" s="807"/>
      <c r="I108" s="807"/>
      <c r="J108" s="807"/>
      <c r="K108" s="183">
        <v>46016</v>
      </c>
      <c r="L108" s="672" t="s">
        <v>687</v>
      </c>
      <c r="M108" s="672"/>
      <c r="N108" s="808"/>
      <c r="O108" s="809"/>
      <c r="P108" s="809"/>
    </row>
    <row r="109" spans="1:16" s="270" customFormat="1" ht="34.799999999999997" customHeight="1">
      <c r="A109" s="706">
        <f t="shared" si="1"/>
        <v>107</v>
      </c>
      <c r="B109" s="455" t="s">
        <v>185</v>
      </c>
      <c r="C109" s="181" t="s">
        <v>506</v>
      </c>
      <c r="D109" s="706" t="s">
        <v>239</v>
      </c>
      <c r="E109" s="283">
        <v>46011</v>
      </c>
      <c r="F109" s="284">
        <v>51</v>
      </c>
      <c r="G109" s="807" t="s">
        <v>402</v>
      </c>
      <c r="H109" s="807"/>
      <c r="I109" s="807"/>
      <c r="J109" s="807"/>
      <c r="K109" s="183">
        <v>46017</v>
      </c>
      <c r="L109" s="706" t="s">
        <v>699</v>
      </c>
      <c r="M109" s="706"/>
      <c r="N109" s="808"/>
      <c r="O109" s="809"/>
      <c r="P109" s="809"/>
    </row>
    <row r="110" spans="1:16" s="270" customFormat="1" ht="34.799999999999997" customHeight="1">
      <c r="A110" s="706">
        <f t="shared" si="1"/>
        <v>108</v>
      </c>
      <c r="B110" s="455" t="s">
        <v>616</v>
      </c>
      <c r="C110" s="181" t="s">
        <v>453</v>
      </c>
      <c r="D110" s="706" t="s">
        <v>809</v>
      </c>
      <c r="E110" s="283">
        <v>46014</v>
      </c>
      <c r="F110" s="284">
        <v>35</v>
      </c>
      <c r="G110" s="807" t="s">
        <v>402</v>
      </c>
      <c r="H110" s="807"/>
      <c r="I110" s="807"/>
      <c r="J110" s="807"/>
      <c r="K110" s="183">
        <v>46021</v>
      </c>
      <c r="L110" s="706" t="s">
        <v>696</v>
      </c>
      <c r="M110" s="706"/>
      <c r="N110" s="808"/>
      <c r="O110" s="809"/>
      <c r="P110" s="809"/>
    </row>
    <row r="111" spans="1:16" s="270" customFormat="1" ht="34.799999999999997" customHeight="1">
      <c r="A111" s="706">
        <f t="shared" si="1"/>
        <v>109</v>
      </c>
      <c r="B111" s="455" t="s">
        <v>553</v>
      </c>
      <c r="C111" s="181" t="s">
        <v>652</v>
      </c>
      <c r="D111" s="706" t="s">
        <v>239</v>
      </c>
      <c r="E111" s="283">
        <v>46017</v>
      </c>
      <c r="F111" s="284">
        <v>73</v>
      </c>
      <c r="G111" s="807" t="s">
        <v>402</v>
      </c>
      <c r="H111" s="807"/>
      <c r="I111" s="807"/>
      <c r="J111" s="807"/>
      <c r="K111" s="183">
        <v>46030</v>
      </c>
      <c r="L111" s="706" t="s">
        <v>699</v>
      </c>
      <c r="M111" s="706"/>
      <c r="N111" s="808"/>
      <c r="O111" s="809"/>
      <c r="P111" s="809"/>
    </row>
    <row r="112" spans="1:16" s="270" customFormat="1" ht="34.799999999999997" customHeight="1">
      <c r="A112" s="706">
        <f t="shared" si="1"/>
        <v>110</v>
      </c>
      <c r="B112" s="455" t="s">
        <v>186</v>
      </c>
      <c r="C112" s="181" t="s">
        <v>669</v>
      </c>
      <c r="D112" s="706" t="s">
        <v>239</v>
      </c>
      <c r="E112" s="283">
        <v>46017</v>
      </c>
      <c r="F112" s="284">
        <v>27</v>
      </c>
      <c r="G112" s="807" t="s">
        <v>402</v>
      </c>
      <c r="H112" s="807"/>
      <c r="I112" s="807"/>
      <c r="J112" s="807"/>
      <c r="K112" s="183">
        <v>46029</v>
      </c>
      <c r="L112" s="706" t="s">
        <v>687</v>
      </c>
      <c r="M112" s="706"/>
      <c r="N112" s="808"/>
      <c r="O112" s="809"/>
      <c r="P112" s="809"/>
    </row>
    <row r="113" spans="1:16" s="422" customFormat="1" ht="34.799999999999997" customHeight="1">
      <c r="A113" s="465">
        <f t="shared" si="1"/>
        <v>111</v>
      </c>
      <c r="B113" s="454" t="s">
        <v>556</v>
      </c>
      <c r="C113" s="635" t="s">
        <v>448</v>
      </c>
      <c r="D113" s="465" t="s">
        <v>239</v>
      </c>
      <c r="E113" s="421">
        <v>46021</v>
      </c>
      <c r="F113" s="420">
        <v>27</v>
      </c>
      <c r="G113" s="810" t="s">
        <v>883</v>
      </c>
      <c r="H113" s="811"/>
      <c r="I113" s="811"/>
      <c r="J113" s="812"/>
      <c r="K113" s="557"/>
      <c r="L113" s="465" t="s">
        <v>860</v>
      </c>
      <c r="M113" s="465"/>
      <c r="N113" s="813"/>
      <c r="O113" s="814"/>
      <c r="P113" s="814"/>
    </row>
    <row r="114" spans="1:16" s="270" customFormat="1" ht="34.799999999999997" customHeight="1">
      <c r="A114" s="734">
        <f t="shared" si="1"/>
        <v>112</v>
      </c>
      <c r="B114" s="455" t="s">
        <v>617</v>
      </c>
      <c r="C114" s="181" t="s">
        <v>669</v>
      </c>
      <c r="D114" s="734" t="s">
        <v>239</v>
      </c>
      <c r="E114" s="283">
        <v>46022</v>
      </c>
      <c r="F114" s="284">
        <v>27</v>
      </c>
      <c r="G114" s="807" t="s">
        <v>402</v>
      </c>
      <c r="H114" s="807"/>
      <c r="I114" s="807"/>
      <c r="J114" s="807"/>
      <c r="K114" s="183">
        <v>46028</v>
      </c>
      <c r="L114" s="734" t="s">
        <v>696</v>
      </c>
      <c r="M114" s="734"/>
      <c r="N114" s="808"/>
      <c r="O114" s="809"/>
      <c r="P114" s="809"/>
    </row>
    <row r="115" spans="1:16" s="270" customFormat="1" ht="34.799999999999997" customHeight="1">
      <c r="A115" s="734">
        <f t="shared" si="1"/>
        <v>113</v>
      </c>
      <c r="B115" s="455" t="s">
        <v>555</v>
      </c>
      <c r="C115" s="181" t="s">
        <v>652</v>
      </c>
      <c r="D115" s="734" t="s">
        <v>239</v>
      </c>
      <c r="E115" s="283">
        <v>46029</v>
      </c>
      <c r="F115" s="284">
        <v>73</v>
      </c>
      <c r="G115" s="807" t="s">
        <v>402</v>
      </c>
      <c r="H115" s="807"/>
      <c r="I115" s="807"/>
      <c r="J115" s="807"/>
      <c r="K115" s="183">
        <v>46040</v>
      </c>
      <c r="L115" s="734" t="s">
        <v>696</v>
      </c>
      <c r="M115" s="734"/>
      <c r="N115" s="808"/>
      <c r="O115" s="809"/>
      <c r="P115" s="809"/>
    </row>
    <row r="116" spans="1:16" s="270" customFormat="1" ht="34.799999999999997" customHeight="1">
      <c r="A116" s="734">
        <f t="shared" si="1"/>
        <v>114</v>
      </c>
      <c r="B116" s="455" t="s">
        <v>182</v>
      </c>
      <c r="C116" s="181" t="s">
        <v>448</v>
      </c>
      <c r="D116" s="734" t="s">
        <v>239</v>
      </c>
      <c r="E116" s="283">
        <v>46030</v>
      </c>
      <c r="F116" s="284">
        <v>27</v>
      </c>
      <c r="G116" s="807" t="s">
        <v>402</v>
      </c>
      <c r="H116" s="807"/>
      <c r="I116" s="807"/>
      <c r="J116" s="807"/>
      <c r="K116" s="183">
        <v>46037</v>
      </c>
      <c r="L116" s="734" t="s">
        <v>699</v>
      </c>
      <c r="M116" s="734"/>
      <c r="N116" s="808"/>
      <c r="O116" s="809"/>
      <c r="P116" s="809"/>
    </row>
    <row r="117" spans="1:16" s="270" customFormat="1" ht="34.799999999999997" customHeight="1">
      <c r="A117" s="734">
        <f t="shared" si="1"/>
        <v>115</v>
      </c>
      <c r="B117" s="455" t="s">
        <v>188</v>
      </c>
      <c r="C117" s="181" t="s">
        <v>448</v>
      </c>
      <c r="D117" s="734" t="s">
        <v>239</v>
      </c>
      <c r="E117" s="283">
        <v>46030</v>
      </c>
      <c r="F117" s="284">
        <v>27</v>
      </c>
      <c r="G117" s="807" t="s">
        <v>402</v>
      </c>
      <c r="H117" s="807"/>
      <c r="I117" s="807"/>
      <c r="J117" s="807"/>
      <c r="K117" s="183">
        <v>46037</v>
      </c>
      <c r="L117" s="734" t="s">
        <v>687</v>
      </c>
      <c r="M117" s="734"/>
      <c r="N117" s="808"/>
      <c r="O117" s="809"/>
      <c r="P117" s="809"/>
    </row>
    <row r="118" spans="1:16" s="270" customFormat="1" ht="34.799999999999997" customHeight="1">
      <c r="A118" s="734">
        <f t="shared" si="1"/>
        <v>116</v>
      </c>
      <c r="B118" s="455" t="s">
        <v>560</v>
      </c>
      <c r="C118" s="181" t="s">
        <v>401</v>
      </c>
      <c r="D118" s="734" t="s">
        <v>239</v>
      </c>
      <c r="E118" s="283">
        <v>46038</v>
      </c>
      <c r="F118" s="284">
        <v>29</v>
      </c>
      <c r="G118" s="807" t="s">
        <v>402</v>
      </c>
      <c r="H118" s="807"/>
      <c r="I118" s="807"/>
      <c r="J118" s="807"/>
      <c r="K118" s="183">
        <v>46042</v>
      </c>
      <c r="L118" s="734" t="s">
        <v>699</v>
      </c>
      <c r="M118" s="734">
        <v>33</v>
      </c>
      <c r="N118" s="808"/>
      <c r="O118" s="809"/>
      <c r="P118" s="809"/>
    </row>
    <row r="119" spans="1:16" s="422" customFormat="1" ht="34.799999999999997" customHeight="1">
      <c r="A119" s="465">
        <f t="shared" si="1"/>
        <v>117</v>
      </c>
      <c r="B119" s="454" t="s">
        <v>519</v>
      </c>
      <c r="C119" s="635" t="s">
        <v>690</v>
      </c>
      <c r="D119" s="465" t="s">
        <v>239</v>
      </c>
      <c r="E119" s="421">
        <v>45673</v>
      </c>
      <c r="F119" s="420">
        <v>60</v>
      </c>
      <c r="G119" s="810" t="s">
        <v>897</v>
      </c>
      <c r="H119" s="811"/>
      <c r="I119" s="811"/>
      <c r="J119" s="812"/>
      <c r="K119" s="557"/>
      <c r="L119" s="465" t="s">
        <v>687</v>
      </c>
      <c r="M119" s="465">
        <v>29</v>
      </c>
      <c r="N119" s="813"/>
      <c r="O119" s="814"/>
      <c r="P119" s="814"/>
    </row>
    <row r="120" spans="1:16" s="422" customFormat="1" ht="34.799999999999997" customHeight="1">
      <c r="A120" s="465">
        <f t="shared" si="1"/>
        <v>118</v>
      </c>
      <c r="B120" s="454" t="s">
        <v>181</v>
      </c>
      <c r="C120" s="635" t="s">
        <v>401</v>
      </c>
      <c r="D120" s="465" t="s">
        <v>239</v>
      </c>
      <c r="E120" s="421">
        <v>46042</v>
      </c>
      <c r="F120" s="420">
        <v>27</v>
      </c>
      <c r="G120" s="810" t="s">
        <v>898</v>
      </c>
      <c r="H120" s="811"/>
      <c r="I120" s="811"/>
      <c r="J120" s="812"/>
      <c r="K120" s="557"/>
      <c r="L120" s="465" t="s">
        <v>696</v>
      </c>
      <c r="M120" s="465">
        <v>30</v>
      </c>
      <c r="N120" s="813"/>
      <c r="O120" s="814"/>
      <c r="P120" s="814"/>
    </row>
    <row r="121" spans="1:16" s="422" customFormat="1" ht="34.799999999999997" customHeight="1">
      <c r="A121" s="465">
        <f t="shared" si="1"/>
        <v>119</v>
      </c>
      <c r="B121" s="454" t="s">
        <v>174</v>
      </c>
      <c r="C121" s="635" t="s">
        <v>448</v>
      </c>
      <c r="D121" s="465" t="s">
        <v>239</v>
      </c>
      <c r="E121" s="421">
        <v>46044</v>
      </c>
      <c r="F121" s="420">
        <v>27</v>
      </c>
      <c r="G121" s="810" t="s">
        <v>897</v>
      </c>
      <c r="H121" s="811"/>
      <c r="I121" s="811"/>
      <c r="J121" s="812"/>
      <c r="K121" s="557"/>
      <c r="L121" s="465" t="s">
        <v>699</v>
      </c>
      <c r="M121" s="465">
        <v>33</v>
      </c>
      <c r="N121" s="813"/>
      <c r="O121" s="814"/>
      <c r="P121" s="814"/>
    </row>
  </sheetData>
  <autoFilter ref="A2:P96">
    <filterColumn colId="6" showButton="0"/>
    <filterColumn colId="7" showButton="0"/>
    <filterColumn colId="8" showButton="0"/>
    <filterColumn colId="13" showButton="0"/>
    <filterColumn colId="14" showButton="0"/>
  </autoFilter>
  <mergeCells count="234">
    <mergeCell ref="G121:J121"/>
    <mergeCell ref="N121:P121"/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  <mergeCell ref="G15:J15"/>
    <mergeCell ref="N15:P15"/>
    <mergeCell ref="G118:J118"/>
    <mergeCell ref="N118:P118"/>
    <mergeCell ref="G119:J119"/>
    <mergeCell ref="N119:P119"/>
    <mergeCell ref="G120:J120"/>
    <mergeCell ref="N120:P120"/>
    <mergeCell ref="G115:J115"/>
    <mergeCell ref="N115:P115"/>
    <mergeCell ref="G116:J116"/>
    <mergeCell ref="N116:P116"/>
    <mergeCell ref="G117:J117"/>
    <mergeCell ref="N117:P1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48" zoomScale="80" zoomScaleNormal="100" zoomScaleSheetLayoutView="80" workbookViewId="0">
      <selection activeCell="Z113" sqref="Z113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38"/>
    </row>
    <row r="2" spans="1:37" s="46" customFormat="1" ht="23.4" thickBot="1">
      <c r="A2" s="127"/>
      <c r="B2" s="878" t="s">
        <v>235</v>
      </c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79"/>
      <c r="U2" s="879"/>
      <c r="V2" s="879"/>
      <c r="W2" s="200"/>
    </row>
    <row r="3" spans="1:37" s="205" customFormat="1" ht="13.95" customHeight="1" thickBot="1">
      <c r="A3" s="368"/>
      <c r="B3" s="886" t="s">
        <v>435</v>
      </c>
      <c r="C3" s="887"/>
      <c r="D3" s="887"/>
      <c r="E3" s="887"/>
      <c r="F3" s="887"/>
      <c r="G3" s="887"/>
      <c r="H3" s="887"/>
      <c r="I3" s="887"/>
      <c r="J3" s="887"/>
      <c r="K3" s="887"/>
      <c r="L3" s="887"/>
      <c r="M3" s="887"/>
      <c r="N3" s="887"/>
      <c r="O3" s="887"/>
      <c r="P3" s="887"/>
      <c r="Q3" s="888"/>
      <c r="R3" s="128"/>
      <c r="S3" s="201"/>
      <c r="T3" s="202"/>
      <c r="U3" s="885"/>
      <c r="V3" s="885"/>
      <c r="W3" s="10"/>
      <c r="AA3" s="369"/>
    </row>
    <row r="4" spans="1:37" s="205" customFormat="1" ht="13.95" customHeight="1" thickBot="1">
      <c r="A4" s="368"/>
      <c r="B4" s="889" t="s">
        <v>436</v>
      </c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1"/>
      <c r="R4" s="128"/>
      <c r="S4" s="128"/>
      <c r="T4" s="128"/>
      <c r="U4" s="128"/>
      <c r="V4" s="203"/>
      <c r="W4" s="40"/>
    </row>
    <row r="5" spans="1:37" s="205" customFormat="1" ht="13.95" customHeight="1" thickBot="1">
      <c r="A5" s="368"/>
      <c r="B5" s="159" t="s">
        <v>437</v>
      </c>
      <c r="C5" s="892" t="s">
        <v>371</v>
      </c>
      <c r="D5" s="892"/>
      <c r="E5" s="892"/>
      <c r="F5" s="892"/>
      <c r="G5" s="892" t="s">
        <v>438</v>
      </c>
      <c r="H5" s="892"/>
      <c r="I5" s="892" t="s">
        <v>439</v>
      </c>
      <c r="J5" s="892"/>
      <c r="K5" s="892"/>
      <c r="L5" s="892" t="s">
        <v>55</v>
      </c>
      <c r="M5" s="892"/>
      <c r="N5" s="892"/>
      <c r="O5" s="892" t="s">
        <v>57</v>
      </c>
      <c r="P5" s="892"/>
      <c r="Q5" s="893"/>
      <c r="R5" s="128"/>
      <c r="S5" s="201"/>
      <c r="T5" s="202"/>
      <c r="U5" s="885"/>
      <c r="V5" s="885"/>
      <c r="W5" s="10"/>
      <c r="AA5" s="369"/>
    </row>
    <row r="6" spans="1:37" s="205" customFormat="1" ht="13.95" customHeight="1">
      <c r="A6" s="368"/>
      <c r="B6" s="160">
        <v>1</v>
      </c>
      <c r="C6" s="884" t="s">
        <v>392</v>
      </c>
      <c r="D6" s="884"/>
      <c r="E6" s="884"/>
      <c r="F6" s="884"/>
      <c r="G6" s="884" t="s">
        <v>108</v>
      </c>
      <c r="H6" s="884"/>
      <c r="I6" s="884">
        <v>47.84</v>
      </c>
      <c r="J6" s="884"/>
      <c r="K6" s="884"/>
      <c r="L6" s="884">
        <v>47.84</v>
      </c>
      <c r="M6" s="884"/>
      <c r="N6" s="884"/>
      <c r="O6" s="884">
        <f t="shared" ref="O6:O12" si="0">I6-L6</f>
        <v>0</v>
      </c>
      <c r="P6" s="884"/>
      <c r="Q6" s="894"/>
      <c r="R6" s="128"/>
      <c r="S6" s="128"/>
      <c r="T6" s="128"/>
      <c r="U6" s="128"/>
      <c r="V6" s="203"/>
      <c r="W6" s="40"/>
    </row>
    <row r="7" spans="1:37" s="205" customFormat="1" ht="13.95" customHeight="1">
      <c r="A7" s="368"/>
      <c r="B7" s="161">
        <v>2</v>
      </c>
      <c r="C7" s="880" t="s">
        <v>237</v>
      </c>
      <c r="D7" s="880"/>
      <c r="E7" s="880"/>
      <c r="F7" s="880"/>
      <c r="G7" s="880" t="s">
        <v>108</v>
      </c>
      <c r="H7" s="880"/>
      <c r="I7" s="884">
        <v>47.84</v>
      </c>
      <c r="J7" s="884"/>
      <c r="K7" s="884"/>
      <c r="L7" s="884">
        <v>47.84</v>
      </c>
      <c r="M7" s="884"/>
      <c r="N7" s="884"/>
      <c r="O7" s="880">
        <f t="shared" si="0"/>
        <v>0</v>
      </c>
      <c r="P7" s="880"/>
      <c r="Q7" s="883"/>
      <c r="R7" s="128"/>
      <c r="S7" s="201"/>
      <c r="T7" s="202"/>
      <c r="U7" s="885"/>
      <c r="V7" s="885"/>
      <c r="W7" s="10"/>
      <c r="AA7" s="369"/>
    </row>
    <row r="8" spans="1:37" s="205" customFormat="1" ht="13.95" customHeight="1">
      <c r="A8" s="368"/>
      <c r="B8" s="161">
        <v>3</v>
      </c>
      <c r="C8" s="880" t="s">
        <v>101</v>
      </c>
      <c r="D8" s="880"/>
      <c r="E8" s="880"/>
      <c r="F8" s="880"/>
      <c r="G8" s="880" t="s">
        <v>107</v>
      </c>
      <c r="H8" s="880"/>
      <c r="I8" s="880">
        <v>127</v>
      </c>
      <c r="J8" s="880"/>
      <c r="K8" s="880"/>
      <c r="L8" s="880">
        <v>126</v>
      </c>
      <c r="M8" s="880"/>
      <c r="N8" s="880"/>
      <c r="O8" s="880">
        <f t="shared" si="0"/>
        <v>1</v>
      </c>
      <c r="P8" s="880"/>
      <c r="Q8" s="883"/>
      <c r="R8" s="128"/>
      <c r="S8" s="128" t="s">
        <v>855</v>
      </c>
      <c r="T8" s="895">
        <f>'MASTER SHEET'!E1</f>
        <v>46046</v>
      </c>
      <c r="U8" s="896"/>
      <c r="V8" s="203"/>
      <c r="W8" s="40"/>
    </row>
    <row r="9" spans="1:37" s="205" customFormat="1" ht="13.95" customHeight="1">
      <c r="A9" s="368"/>
      <c r="B9" s="161">
        <v>4</v>
      </c>
      <c r="C9" s="880" t="s">
        <v>102</v>
      </c>
      <c r="D9" s="880"/>
      <c r="E9" s="880"/>
      <c r="F9" s="880"/>
      <c r="G9" s="880" t="s">
        <v>107</v>
      </c>
      <c r="H9" s="880"/>
      <c r="I9" s="880">
        <v>127</v>
      </c>
      <c r="J9" s="880"/>
      <c r="K9" s="880"/>
      <c r="L9" s="880">
        <v>124</v>
      </c>
      <c r="M9" s="880"/>
      <c r="N9" s="880"/>
      <c r="O9" s="880">
        <f t="shared" si="0"/>
        <v>3</v>
      </c>
      <c r="P9" s="880"/>
      <c r="Q9" s="883"/>
      <c r="R9" s="128"/>
      <c r="S9" s="201"/>
      <c r="T9" s="202"/>
      <c r="U9" s="885"/>
      <c r="V9" s="885"/>
      <c r="W9" s="10"/>
      <c r="AA9" s="369"/>
    </row>
    <row r="10" spans="1:37" s="205" customFormat="1" ht="13.95" customHeight="1">
      <c r="A10" s="368"/>
      <c r="B10" s="161">
        <v>5</v>
      </c>
      <c r="C10" s="880" t="s">
        <v>103</v>
      </c>
      <c r="D10" s="880"/>
      <c r="E10" s="880"/>
      <c r="F10" s="880"/>
      <c r="G10" s="880" t="s">
        <v>107</v>
      </c>
      <c r="H10" s="880"/>
      <c r="I10" s="880">
        <v>127</v>
      </c>
      <c r="J10" s="880"/>
      <c r="K10" s="880"/>
      <c r="L10" s="880">
        <v>115</v>
      </c>
      <c r="M10" s="880"/>
      <c r="N10" s="880"/>
      <c r="O10" s="880">
        <f t="shared" si="0"/>
        <v>12</v>
      </c>
      <c r="P10" s="880"/>
      <c r="Q10" s="883"/>
      <c r="R10" s="128"/>
      <c r="S10" s="128"/>
      <c r="T10" s="128"/>
      <c r="U10" s="128"/>
      <c r="V10" s="203"/>
      <c r="W10" s="40"/>
    </row>
    <row r="11" spans="1:37" s="205" customFormat="1" ht="13.95" customHeight="1">
      <c r="A11" s="368"/>
      <c r="B11" s="161">
        <v>7</v>
      </c>
      <c r="C11" s="880" t="s">
        <v>440</v>
      </c>
      <c r="D11" s="880"/>
      <c r="E11" s="880"/>
      <c r="F11" s="880"/>
      <c r="G11" s="880" t="s">
        <v>108</v>
      </c>
      <c r="H11" s="880"/>
      <c r="I11" s="880">
        <v>47.84</v>
      </c>
      <c r="J11" s="880"/>
      <c r="K11" s="880"/>
      <c r="L11" s="881">
        <f>S175</f>
        <v>12.948920999999999</v>
      </c>
      <c r="M11" s="881"/>
      <c r="N11" s="881"/>
      <c r="O11" s="881">
        <f t="shared" si="0"/>
        <v>34.891079000000005</v>
      </c>
      <c r="P11" s="881"/>
      <c r="Q11" s="882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3.95" customHeight="1" thickBot="1">
      <c r="A12" s="368"/>
      <c r="B12" s="149">
        <v>8</v>
      </c>
      <c r="C12" s="876" t="s">
        <v>442</v>
      </c>
      <c r="D12" s="876"/>
      <c r="E12" s="876"/>
      <c r="F12" s="876"/>
      <c r="G12" s="876" t="s">
        <v>107</v>
      </c>
      <c r="H12" s="876"/>
      <c r="I12" s="876">
        <v>47.84</v>
      </c>
      <c r="J12" s="876"/>
      <c r="K12" s="876"/>
      <c r="L12" s="876">
        <v>12.95</v>
      </c>
      <c r="M12" s="876"/>
      <c r="N12" s="876"/>
      <c r="O12" s="876">
        <f t="shared" si="0"/>
        <v>34.89</v>
      </c>
      <c r="P12" s="876"/>
      <c r="Q12" s="877"/>
      <c r="R12" s="128"/>
      <c r="S12" s="128"/>
      <c r="T12" s="128"/>
      <c r="U12" s="128"/>
      <c r="V12" s="203"/>
      <c r="W12" s="40"/>
    </row>
    <row r="13" spans="1:37" ht="2.5499999999999998" customHeight="1" thickBot="1">
      <c r="A13" s="11"/>
      <c r="B13" s="905"/>
      <c r="C13" s="906"/>
      <c r="D13" s="906"/>
      <c r="E13" s="906"/>
      <c r="F13" s="906"/>
      <c r="G13" s="906"/>
      <c r="H13" s="906"/>
      <c r="I13" s="906"/>
      <c r="J13" s="906"/>
      <c r="K13" s="906"/>
      <c r="L13" s="906"/>
      <c r="M13" s="906"/>
      <c r="N13" s="906"/>
      <c r="O13" s="906"/>
      <c r="P13" s="906"/>
      <c r="Q13" s="906"/>
      <c r="R13" s="906"/>
      <c r="S13" s="906"/>
      <c r="T13" s="906"/>
      <c r="U13" s="906"/>
      <c r="V13" s="906"/>
      <c r="W13" s="907"/>
      <c r="AK13" s="9" t="s">
        <v>98</v>
      </c>
    </row>
    <row r="14" spans="1:37" ht="13.8">
      <c r="A14" s="11"/>
      <c r="B14" s="905" t="s">
        <v>195</v>
      </c>
      <c r="C14" s="906"/>
      <c r="D14" s="906"/>
      <c r="E14" s="906"/>
      <c r="F14" s="906"/>
      <c r="G14" s="906"/>
      <c r="H14" s="906"/>
      <c r="I14" s="906"/>
      <c r="J14" s="906"/>
      <c r="K14" s="906"/>
      <c r="L14" s="906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7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f>T17+R17+V17+P17</f>
        <v>1480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912">
        <f>(D17)/1000</f>
        <v>0.249635</v>
      </c>
      <c r="D22" s="912"/>
      <c r="E22" s="912"/>
      <c r="F22" s="897"/>
      <c r="G22" s="897"/>
      <c r="H22" s="897"/>
      <c r="I22" s="897"/>
      <c r="J22" s="897"/>
      <c r="K22" s="897"/>
      <c r="L22" s="897"/>
      <c r="M22" s="897"/>
      <c r="N22" s="897"/>
      <c r="O22" s="897"/>
      <c r="P22" s="897"/>
      <c r="Q22" s="897"/>
      <c r="R22" s="897"/>
      <c r="S22" s="897"/>
      <c r="T22" s="897"/>
      <c r="U22" s="897"/>
      <c r="V22" s="897"/>
      <c r="W22" s="129"/>
    </row>
    <row r="23" spans="1:29" s="31" customFormat="1" ht="11.55" customHeight="1">
      <c r="A23" s="61"/>
      <c r="B23" s="61"/>
      <c r="D23" s="899" t="s">
        <v>197</v>
      </c>
      <c r="E23" s="899"/>
      <c r="F23" s="899"/>
      <c r="G23" s="218"/>
      <c r="H23" s="218"/>
      <c r="J23" s="217" t="s">
        <v>198</v>
      </c>
      <c r="P23" s="218"/>
      <c r="Q23" s="218"/>
      <c r="R23" s="218"/>
      <c r="S23" s="903" t="s">
        <v>199</v>
      </c>
      <c r="T23" s="903"/>
      <c r="U23" s="903"/>
      <c r="W23" s="64"/>
    </row>
    <row r="24" spans="1:29" s="31" customFormat="1" ht="15.6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6.95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D26+F26+H26+J26</f>
        <v>1437.424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97">
        <f>(F17+H17+J17+L17+N17+P17+R17+T17+V17+D26+H26+F26+J26)/1000</f>
        <v>4.9324240000000001</v>
      </c>
      <c r="D31" s="897"/>
      <c r="E31" s="897"/>
      <c r="F31" s="897"/>
      <c r="G31" s="897"/>
      <c r="H31" s="897"/>
      <c r="I31" s="897"/>
      <c r="J31" s="897"/>
      <c r="K31" s="897"/>
      <c r="L31" s="109"/>
      <c r="M31" s="219"/>
      <c r="N31" s="219"/>
      <c r="O31" s="219"/>
      <c r="P31" s="911"/>
      <c r="Q31" s="911"/>
      <c r="R31" s="911"/>
      <c r="S31" s="911"/>
      <c r="T31" s="911"/>
      <c r="U31" s="911"/>
      <c r="V31" s="911"/>
      <c r="W31" s="110"/>
    </row>
    <row r="32" spans="1:29" s="31" customFormat="1" ht="15.75" customHeight="1">
      <c r="A32" s="61"/>
      <c r="B32" s="65"/>
      <c r="C32" s="899" t="s">
        <v>199</v>
      </c>
      <c r="D32" s="899"/>
      <c r="E32" s="899"/>
      <c r="O32" s="910"/>
      <c r="P32" s="910"/>
      <c r="Q32" s="910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905" t="s">
        <v>194</v>
      </c>
      <c r="C34" s="906"/>
      <c r="D34" s="906"/>
      <c r="E34" s="906"/>
      <c r="F34" s="906"/>
      <c r="G34" s="906"/>
      <c r="H34" s="906"/>
      <c r="I34" s="906"/>
      <c r="J34" s="906"/>
      <c r="K34" s="906"/>
      <c r="L34" s="906"/>
      <c r="M34" s="906"/>
      <c r="N34" s="906"/>
      <c r="O34" s="906"/>
      <c r="P34" s="906"/>
      <c r="Q34" s="906"/>
      <c r="R34" s="906"/>
      <c r="S34" s="906"/>
      <c r="T34" s="906"/>
      <c r="U34" s="906"/>
      <c r="V34" s="906"/>
      <c r="W34" s="907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2917.424</v>
      </c>
      <c r="AC34" s="39" t="s">
        <v>56</v>
      </c>
      <c r="AE34" s="48" t="s">
        <v>196</v>
      </c>
    </row>
    <row r="35" spans="1:31" s="31" customFormat="1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908">
        <f>(L26+D37+F37+H37+J37)/1000</f>
        <v>1.9834580000000002</v>
      </c>
      <c r="D42" s="909"/>
      <c r="E42" s="908"/>
      <c r="F42" s="908"/>
      <c r="G42" s="908"/>
      <c r="H42" s="908"/>
      <c r="I42" s="908"/>
      <c r="J42" s="908"/>
      <c r="K42" s="908"/>
      <c r="L42" s="908"/>
      <c r="M42" s="908"/>
      <c r="N42" s="908"/>
      <c r="O42" s="908"/>
      <c r="P42" s="908"/>
      <c r="Q42" s="908"/>
      <c r="R42" s="908"/>
      <c r="S42" s="908"/>
      <c r="T42" s="908"/>
      <c r="U42" s="908"/>
      <c r="V42" s="908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904" t="s">
        <v>200</v>
      </c>
      <c r="H43" s="904"/>
      <c r="I43" s="118"/>
      <c r="J43" s="118"/>
      <c r="K43" s="118"/>
      <c r="L43" s="904"/>
      <c r="M43" s="904"/>
      <c r="N43" s="118"/>
      <c r="O43" s="118"/>
      <c r="P43" s="118"/>
      <c r="Q43" s="224"/>
      <c r="R43" s="224"/>
      <c r="S43" s="224"/>
      <c r="T43" s="904" t="s">
        <v>202</v>
      </c>
      <c r="U43" s="904"/>
      <c r="V43" s="118"/>
      <c r="W43" s="225"/>
    </row>
    <row r="44" spans="1:31" ht="10.95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97">
        <f>SUM(L37+N37+P37+R37+T37+H46+J46+L46+N46+D46+V37+F46)/1000</f>
        <v>4.4800200000000006</v>
      </c>
      <c r="D51" s="897"/>
      <c r="E51" s="897"/>
      <c r="F51" s="897"/>
      <c r="G51" s="897"/>
      <c r="H51" s="897"/>
      <c r="I51" s="897"/>
      <c r="J51" s="897"/>
      <c r="K51" s="897"/>
      <c r="L51" s="897"/>
      <c r="M51" s="897"/>
      <c r="N51" s="897"/>
      <c r="O51" s="897">
        <f>(P46+R46)/1000</f>
        <v>0.77731500000000009</v>
      </c>
      <c r="P51" s="897"/>
      <c r="Q51" s="897"/>
      <c r="R51" s="897"/>
      <c r="S51" s="897"/>
      <c r="T51" s="897"/>
      <c r="U51" s="897"/>
      <c r="V51" s="897"/>
      <c r="W51" s="106"/>
    </row>
    <row r="52" spans="1:29" s="99" customFormat="1" ht="12" customHeight="1">
      <c r="A52" s="102"/>
      <c r="B52" s="100"/>
      <c r="C52" s="899"/>
      <c r="D52" s="899"/>
      <c r="E52" s="899"/>
      <c r="F52" s="230"/>
      <c r="G52" s="230"/>
      <c r="H52" s="230"/>
      <c r="I52" s="230"/>
      <c r="J52" s="915" t="s">
        <v>203</v>
      </c>
      <c r="K52" s="915"/>
      <c r="L52" s="915"/>
      <c r="M52" s="230"/>
      <c r="N52" s="230"/>
      <c r="O52" s="918"/>
      <c r="P52" s="918"/>
      <c r="Q52" s="918"/>
      <c r="R52" s="231"/>
      <c r="S52" s="230"/>
      <c r="T52" s="230"/>
      <c r="U52" s="230"/>
      <c r="V52" s="230"/>
      <c r="W52" s="101"/>
    </row>
    <row r="53" spans="1:29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3.95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.8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897">
        <f>SUM(T46+V46+D55+F55)/1000</f>
        <v>1.7277819999999999</v>
      </c>
      <c r="D60" s="897"/>
      <c r="E60" s="897"/>
      <c r="F60" s="897"/>
      <c r="G60" s="897">
        <f>SUM(H55+J55)/1000</f>
        <v>0.83175999999999994</v>
      </c>
      <c r="H60" s="897"/>
      <c r="I60" s="897"/>
      <c r="J60" s="897"/>
      <c r="K60" s="897">
        <f>SUM(L55)/1000</f>
        <v>0.23086999999999999</v>
      </c>
      <c r="L60" s="897"/>
      <c r="M60" s="897"/>
      <c r="N60" s="897"/>
      <c r="O60" s="897"/>
      <c r="P60" s="897"/>
      <c r="Q60" s="897"/>
      <c r="R60" s="897"/>
      <c r="S60" s="897"/>
      <c r="T60" s="897"/>
      <c r="U60" s="897"/>
      <c r="V60" s="105"/>
      <c r="W60" s="106"/>
    </row>
    <row r="61" spans="1:29" s="99" customFormat="1" ht="12">
      <c r="A61" s="102"/>
      <c r="B61" s="100"/>
      <c r="C61" s="230"/>
      <c r="D61" s="217" t="s">
        <v>204</v>
      </c>
      <c r="E61" s="217"/>
      <c r="F61" s="217"/>
      <c r="I61" s="230"/>
      <c r="J61" s="899"/>
      <c r="K61" s="899"/>
      <c r="L61" s="899"/>
      <c r="M61" s="230"/>
      <c r="N61" s="230"/>
      <c r="O61" s="230"/>
      <c r="P61" s="230"/>
      <c r="Q61" s="230"/>
      <c r="R61" s="900" t="s">
        <v>211</v>
      </c>
      <c r="S61" s="900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0">
        <f>VLOOKUP(C68,[18]TS!$B$10:$D$253,3,0)</f>
        <v>391.45100000000002</v>
      </c>
      <c r="E65" s="490"/>
      <c r="F65" s="230">
        <f>VLOOKUP(E68,[18]TS!$B$10:$D$253,3,0)</f>
        <v>380</v>
      </c>
      <c r="G65" s="230"/>
      <c r="H65" s="230">
        <f>VLOOKUP(G68,[18]TS!$B$10:$D$253,3,0)</f>
        <v>475</v>
      </c>
      <c r="I65" s="490"/>
      <c r="J65" s="230">
        <f>VLOOKUP(I68,[18]TS!$B$10:$D$253,3,0)</f>
        <v>380</v>
      </c>
      <c r="K65" s="490"/>
      <c r="L65" s="230">
        <f>VLOOKUP(K68,[18]TS!$B$10:$D$253,3,0)</f>
        <v>390</v>
      </c>
      <c r="M65" s="490"/>
      <c r="N65" s="230">
        <f>VLOOKUP(M68,[18]TS!$B$10:$D$253,3,0)</f>
        <v>465</v>
      </c>
      <c r="O65" s="490"/>
      <c r="P65" s="230">
        <f>VLOOKUP(O68,[18]TS!$B$10:$D$253,3,0)</f>
        <v>383.20800000000003</v>
      </c>
      <c r="Q65" s="213"/>
      <c r="R65" s="488">
        <f>VLOOKUP(Q68,[18]TS!$B$10:$D$253,3,0)</f>
        <v>380</v>
      </c>
      <c r="S65" s="489"/>
      <c r="T65" s="488">
        <f>VLOOKUP(S68,[18]TS!$B$10:$D$253,3,0)</f>
        <v>348</v>
      </c>
      <c r="U65" s="489"/>
      <c r="V65" s="488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.8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97">
        <f>SUM(N55+P55+R55+T55+V55+D65)/1000</f>
        <v>2.4264510000000001</v>
      </c>
      <c r="D70" s="897"/>
      <c r="E70" s="897">
        <f>SUM(F65+H65+J65+L65+N65+P65)/1000</f>
        <v>2.4732080000000001</v>
      </c>
      <c r="F70" s="897"/>
      <c r="G70" s="897"/>
      <c r="H70" s="897"/>
      <c r="I70" s="897"/>
      <c r="J70" s="897"/>
      <c r="K70" s="897"/>
      <c r="L70" s="897"/>
      <c r="M70" s="897"/>
      <c r="N70" s="897"/>
      <c r="O70" s="897"/>
      <c r="P70" s="897"/>
      <c r="Q70" s="897"/>
      <c r="R70" s="897">
        <f>SUM(R65+T65+V65)/1000</f>
        <v>1.1057840000000001</v>
      </c>
      <c r="S70" s="897"/>
      <c r="T70" s="897"/>
      <c r="U70" s="897"/>
      <c r="V70" s="897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899" t="s">
        <v>213</v>
      </c>
      <c r="U71" s="899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97">
        <f>SUM(D74+F74+H74+J74)/1000</f>
        <v>1.4447999999999999</v>
      </c>
      <c r="D79" s="897"/>
      <c r="E79" s="897"/>
      <c r="F79" s="897"/>
      <c r="G79" s="897"/>
      <c r="H79" s="897"/>
      <c r="I79" s="897"/>
      <c r="J79" s="897"/>
      <c r="K79" s="897"/>
      <c r="L79" s="897">
        <f>SUM(N74+L74)/1000</f>
        <v>0.69755800000000001</v>
      </c>
      <c r="M79" s="897"/>
      <c r="N79" s="897"/>
      <c r="O79" s="897"/>
      <c r="P79" s="897">
        <f>SUM(P74+R74+T74+V74)/1000</f>
        <v>1.514518</v>
      </c>
      <c r="Q79" s="897"/>
      <c r="R79" s="897"/>
      <c r="S79" s="897"/>
      <c r="T79" s="897"/>
      <c r="U79" s="897"/>
      <c r="V79" s="897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899" t="s">
        <v>213</v>
      </c>
      <c r="D80" s="899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899" t="s">
        <v>215</v>
      </c>
      <c r="U80" s="899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.399999999999999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97"/>
      <c r="D88" s="897"/>
      <c r="E88" s="897"/>
      <c r="F88" s="897"/>
      <c r="G88" s="897"/>
      <c r="H88" s="897"/>
      <c r="I88" s="897"/>
      <c r="J88" s="897"/>
      <c r="K88" s="897"/>
      <c r="L88" s="897"/>
      <c r="M88" s="897"/>
      <c r="N88" s="897"/>
      <c r="O88" s="897"/>
      <c r="P88" s="897"/>
      <c r="Q88" s="897"/>
      <c r="R88" s="897"/>
      <c r="S88" s="897"/>
      <c r="T88" s="897"/>
      <c r="U88" s="897"/>
      <c r="V88" s="897"/>
      <c r="W88" s="93"/>
    </row>
    <row r="89" spans="1:29" s="99" customFormat="1" ht="17.25" customHeight="1" thickBot="1">
      <c r="A89" s="102"/>
      <c r="B89" s="113"/>
      <c r="C89" s="901" t="s">
        <v>215</v>
      </c>
      <c r="D89" s="901"/>
      <c r="E89" s="901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901" t="s">
        <v>217</v>
      </c>
      <c r="V89" s="901"/>
      <c r="W89" s="116"/>
    </row>
    <row r="90" spans="1:29" ht="12.6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897">
        <f>SUM(D83+F83+H83+J83+L83+N83+P83+R83+T83+V83+D92+F92+H92+J92+L92+N92)/1000</f>
        <v>6.292249</v>
      </c>
      <c r="D97" s="897"/>
      <c r="E97" s="897"/>
      <c r="F97" s="897"/>
      <c r="G97" s="897"/>
      <c r="H97" s="897"/>
      <c r="I97" s="897"/>
      <c r="J97" s="897"/>
      <c r="K97" s="897"/>
      <c r="L97" s="897"/>
      <c r="M97" s="897"/>
      <c r="N97" s="897"/>
      <c r="O97" s="897">
        <f>(P92+R92)/1000</f>
        <v>0.81344499999999997</v>
      </c>
      <c r="P97" s="897"/>
      <c r="Q97" s="897"/>
      <c r="R97" s="897"/>
      <c r="S97" s="897"/>
      <c r="T97" s="897"/>
      <c r="U97" s="897"/>
      <c r="V97" s="897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899" t="s">
        <v>218</v>
      </c>
      <c r="K98" s="899"/>
      <c r="L98" s="230"/>
      <c r="M98" s="230"/>
      <c r="N98" s="245" t="s">
        <v>210</v>
      </c>
      <c r="O98" s="230"/>
      <c r="P98" s="230"/>
      <c r="Q98" s="230"/>
      <c r="R98" s="230"/>
      <c r="S98" s="230"/>
      <c r="T98" s="899" t="s">
        <v>219</v>
      </c>
      <c r="U98" s="899"/>
      <c r="V98" s="899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3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897">
        <f>(T92+V92+D101+F101+H101+J101)/1000</f>
        <v>2.3581080000000001</v>
      </c>
      <c r="D106" s="897"/>
      <c r="E106" s="897"/>
      <c r="F106" s="897"/>
      <c r="G106" s="897"/>
      <c r="H106" s="897"/>
      <c r="I106" s="897"/>
      <c r="J106" s="897"/>
      <c r="K106" s="897"/>
      <c r="L106" s="898">
        <f>L101/1000</f>
        <v>0.41721900000000001</v>
      </c>
      <c r="M106" s="898"/>
      <c r="N106" s="898">
        <f>N101/1000</f>
        <v>0.24960199999999999</v>
      </c>
      <c r="O106" s="898"/>
      <c r="P106" s="898">
        <f>P101/1000</f>
        <v>0.33360199999999995</v>
      </c>
      <c r="Q106" s="898"/>
      <c r="R106" s="897">
        <f>SUM(R101+T101+V101)/1000</f>
        <v>1.034098</v>
      </c>
      <c r="S106" s="897"/>
      <c r="T106" s="897"/>
      <c r="U106" s="897"/>
      <c r="V106" s="897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917" t="s">
        <v>220</v>
      </c>
      <c r="U107" s="917"/>
      <c r="V107" s="114"/>
      <c r="W107" s="116"/>
    </row>
    <row r="108" spans="1:33" ht="21.6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9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419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1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1</v>
      </c>
      <c r="Z114" s="9">
        <f>X111-Z111-Z112-Z113</f>
        <v>0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98">
        <f>D110/1000</f>
        <v>0.25861600000000001</v>
      </c>
      <c r="D115" s="898"/>
      <c r="E115" s="898"/>
      <c r="F115" s="898">
        <f>SUM(F110+H110+J110+L110+N110)/1000</f>
        <v>1.8366929999999999</v>
      </c>
      <c r="G115" s="898"/>
      <c r="H115" s="898"/>
      <c r="I115" s="898"/>
      <c r="J115" s="898"/>
      <c r="K115" s="898"/>
      <c r="L115" s="898"/>
      <c r="M115" s="898"/>
      <c r="N115" s="898"/>
      <c r="O115" s="898"/>
      <c r="P115" s="898"/>
      <c r="Q115" s="898"/>
      <c r="R115" s="898"/>
      <c r="S115" s="898"/>
      <c r="T115" s="898"/>
      <c r="U115" s="898"/>
      <c r="V115" s="898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7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2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1</v>
      </c>
      <c r="AA123" s="9">
        <f>Z120-AA121-AA122-AA120</f>
        <v>7</v>
      </c>
      <c r="AC123" s="9" t="s">
        <v>95</v>
      </c>
    </row>
    <row r="124" spans="1:29" ht="16.5" customHeight="1">
      <c r="A124" s="11"/>
      <c r="B124" s="61"/>
      <c r="C124" s="898">
        <f>SUM(P110+D119+R110+T110+V110+F119+H119)/1000</f>
        <v>2.7044899999999998</v>
      </c>
      <c r="D124" s="898"/>
      <c r="E124" s="898"/>
      <c r="F124" s="898"/>
      <c r="G124" s="898"/>
      <c r="H124" s="898"/>
      <c r="I124" s="898"/>
      <c r="J124" s="898">
        <f>(J119+L119+N119+P119)/1000</f>
        <v>1.5064919999999999</v>
      </c>
      <c r="K124" s="898"/>
      <c r="L124" s="898"/>
      <c r="M124" s="898"/>
      <c r="N124" s="898"/>
      <c r="O124" s="898"/>
      <c r="P124" s="898"/>
      <c r="Q124" s="898"/>
      <c r="R124" s="898"/>
      <c r="S124" s="898"/>
      <c r="T124" s="898"/>
      <c r="U124" s="898"/>
      <c r="V124" s="898"/>
      <c r="W124" s="14"/>
    </row>
    <row r="125" spans="1:29" s="99" customFormat="1" ht="13.95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899" t="s">
        <v>222</v>
      </c>
      <c r="O125" s="899"/>
      <c r="P125" s="230"/>
      <c r="Q125" s="230"/>
      <c r="R125" s="230"/>
      <c r="S125" s="899"/>
      <c r="T125" s="899"/>
      <c r="U125" s="230"/>
      <c r="V125" s="230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2.95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9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1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0</v>
      </c>
      <c r="AA133" s="9">
        <f>Z130-AA131-AA132-AA130</f>
        <v>9</v>
      </c>
      <c r="AC133" s="9" t="s">
        <v>95</v>
      </c>
    </row>
    <row r="134" spans="1:29" ht="17.25" customHeight="1">
      <c r="A134" s="11"/>
      <c r="B134" s="61"/>
      <c r="C134" s="873">
        <f>(R119+T119+V119+D129)/1000</f>
        <v>1.5358099999999999</v>
      </c>
      <c r="D134" s="874"/>
      <c r="E134" s="873">
        <f>F129/1000</f>
        <v>0.203902</v>
      </c>
      <c r="F134" s="875"/>
      <c r="G134" s="874"/>
      <c r="H134" s="898">
        <f>(H129+J129)/1000</f>
        <v>0.70279600000000009</v>
      </c>
      <c r="I134" s="898"/>
      <c r="J134" s="898"/>
      <c r="K134" s="898"/>
      <c r="L134" s="873">
        <f>(L129+N129+P129+R129+T129)/1000</f>
        <v>1.941201</v>
      </c>
      <c r="M134" s="875"/>
      <c r="N134" s="875"/>
      <c r="O134" s="875"/>
      <c r="P134" s="875"/>
      <c r="Q134" s="875"/>
      <c r="R134" s="875"/>
      <c r="S134" s="875"/>
      <c r="T134" s="875"/>
      <c r="U134" s="874"/>
      <c r="V134" s="873">
        <f>V129/1000</f>
        <v>0.35808600000000002</v>
      </c>
      <c r="W134" s="874"/>
    </row>
    <row r="135" spans="1:29" s="99" customFormat="1" ht="17.25" customHeight="1" thickBot="1">
      <c r="A135" s="132"/>
      <c r="B135" s="113"/>
      <c r="C135" s="901" t="s">
        <v>223</v>
      </c>
      <c r="D135" s="901"/>
      <c r="E135" s="901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63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2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1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919" t="s">
        <v>625</v>
      </c>
      <c r="D144" s="920"/>
      <c r="E144" s="920"/>
      <c r="F144" s="920"/>
      <c r="G144" s="920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62</v>
      </c>
      <c r="Y147" s="52">
        <f t="shared" si="3"/>
        <v>60</v>
      </c>
      <c r="Z147" s="52">
        <f t="shared" si="3"/>
        <v>52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1</v>
      </c>
      <c r="Z150" s="52">
        <f t="shared" si="3"/>
        <v>6</v>
      </c>
      <c r="AA150" s="52">
        <f t="shared" si="3"/>
        <v>52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126</v>
      </c>
      <c r="Y152" s="53">
        <f t="shared" si="4"/>
        <v>124</v>
      </c>
      <c r="Z152" s="53">
        <f t="shared" si="4"/>
        <v>115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2917.424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1</v>
      </c>
      <c r="Z155" s="53">
        <f t="shared" si="4"/>
        <v>7</v>
      </c>
      <c r="AA155" s="53">
        <f t="shared" si="4"/>
        <v>115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916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916"/>
      <c r="E159" s="137"/>
      <c r="F159" s="138" t="s">
        <v>78</v>
      </c>
      <c r="G159" s="135" t="s">
        <v>60</v>
      </c>
      <c r="H159" s="138"/>
      <c r="I159" s="87"/>
      <c r="J159" s="913" t="s">
        <v>208</v>
      </c>
      <c r="K159" s="914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921" t="s">
        <v>114</v>
      </c>
      <c r="C167" s="922"/>
      <c r="D167" s="922"/>
      <c r="E167" s="922"/>
      <c r="F167" s="922"/>
      <c r="G167" s="922"/>
      <c r="H167" s="922"/>
      <c r="I167" s="922"/>
      <c r="J167" s="922"/>
      <c r="K167" s="922"/>
      <c r="L167" s="922"/>
      <c r="M167" s="922"/>
      <c r="N167" s="922"/>
      <c r="O167" s="922"/>
      <c r="P167" s="922"/>
      <c r="Q167" s="922"/>
      <c r="R167" s="922"/>
      <c r="S167" s="922"/>
      <c r="T167" s="922"/>
      <c r="U167" s="922"/>
      <c r="V167" s="922"/>
      <c r="W167" s="923"/>
    </row>
    <row r="168" spans="2:23" ht="17.55" customHeight="1">
      <c r="B168" s="933" t="s">
        <v>99</v>
      </c>
      <c r="C168" s="924" t="s">
        <v>100</v>
      </c>
      <c r="D168" s="936" t="s">
        <v>97</v>
      </c>
      <c r="E168" s="936" t="s">
        <v>111</v>
      </c>
      <c r="F168" s="924" t="s">
        <v>101</v>
      </c>
      <c r="G168" s="924"/>
      <c r="H168" s="924"/>
      <c r="I168" s="924"/>
      <c r="J168" s="924"/>
      <c r="K168" s="924" t="s">
        <v>102</v>
      </c>
      <c r="L168" s="924"/>
      <c r="M168" s="924"/>
      <c r="N168" s="924" t="s">
        <v>103</v>
      </c>
      <c r="O168" s="924"/>
      <c r="P168" s="924"/>
      <c r="Q168" s="924"/>
      <c r="R168" s="924"/>
      <c r="S168" s="924" t="s">
        <v>104</v>
      </c>
      <c r="T168" s="924"/>
      <c r="U168" s="924"/>
      <c r="V168" s="924"/>
      <c r="W168" s="925"/>
    </row>
    <row r="169" spans="2:23" ht="21.75" customHeight="1">
      <c r="B169" s="934"/>
      <c r="C169" s="935"/>
      <c r="D169" s="937"/>
      <c r="E169" s="937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931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97">
        <f>AB34/1000</f>
        <v>2.917424</v>
      </c>
      <c r="U170" s="497">
        <f>AB35</f>
        <v>0</v>
      </c>
      <c r="V170" s="497">
        <f>AB36</f>
        <v>0</v>
      </c>
      <c r="W170" s="498">
        <f>E170-S170</f>
        <v>5.1820590000000006</v>
      </c>
    </row>
    <row r="171" spans="2:23" s="49" customFormat="1" ht="28.95" customHeight="1" thickBot="1">
      <c r="B171" s="932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93">
        <f t="shared" si="6"/>
        <v>0.38500000000000001</v>
      </c>
      <c r="T171" s="499">
        <f t="shared" si="6"/>
        <v>2.917424</v>
      </c>
      <c r="U171" s="499">
        <f t="shared" si="6"/>
        <v>0</v>
      </c>
      <c r="V171" s="499">
        <f t="shared" si="6"/>
        <v>0</v>
      </c>
      <c r="W171" s="500">
        <f t="shared" si="6"/>
        <v>5.1820590000000006</v>
      </c>
    </row>
    <row r="172" spans="2:23" s="257" customFormat="1" ht="22.5" customHeight="1">
      <c r="B172" s="926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94">
        <f>AB79/1000</f>
        <v>12.563920999999999</v>
      </c>
      <c r="T172" s="501">
        <f>AB80/1000</f>
        <v>0</v>
      </c>
      <c r="U172" s="501">
        <f>AB81/1000</f>
        <v>0</v>
      </c>
      <c r="V172" s="501">
        <f>AB82</f>
        <v>0</v>
      </c>
      <c r="W172" s="502">
        <f t="shared" ref="W172:W173" si="9">E172-S172</f>
        <v>6.7446030000000032</v>
      </c>
    </row>
    <row r="173" spans="2:23" s="257" customFormat="1" ht="22.5" customHeight="1">
      <c r="B173" s="927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62</v>
      </c>
      <c r="G173" s="258">
        <f>X148</f>
        <v>0</v>
      </c>
      <c r="H173" s="258">
        <f>X149</f>
        <v>0</v>
      </c>
      <c r="I173" s="258">
        <f>X150</f>
        <v>0</v>
      </c>
      <c r="J173" s="254">
        <f t="shared" si="7"/>
        <v>0</v>
      </c>
      <c r="K173" s="254">
        <f>Y147</f>
        <v>60</v>
      </c>
      <c r="L173" s="258">
        <f>Y149</f>
        <v>0</v>
      </c>
      <c r="M173" s="273">
        <f t="shared" si="5"/>
        <v>2</v>
      </c>
      <c r="N173" s="254">
        <f>Z147</f>
        <v>52</v>
      </c>
      <c r="O173" s="258">
        <f>Z148</f>
        <v>3</v>
      </c>
      <c r="P173" s="258">
        <f>Z149</f>
        <v>1</v>
      </c>
      <c r="Q173" s="258">
        <v>1</v>
      </c>
      <c r="R173" s="254">
        <f t="shared" si="8"/>
        <v>10</v>
      </c>
      <c r="S173" s="495">
        <f>AB147/1000</f>
        <v>0</v>
      </c>
      <c r="T173" s="497">
        <f>AB148/1000</f>
        <v>0</v>
      </c>
      <c r="U173" s="497">
        <f>AB149</f>
        <v>0</v>
      </c>
      <c r="V173" s="497">
        <f>AB150</f>
        <v>0</v>
      </c>
      <c r="W173" s="498">
        <f t="shared" si="9"/>
        <v>22.960121000000001</v>
      </c>
    </row>
    <row r="174" spans="2:23" s="262" customFormat="1" ht="22.5" customHeight="1">
      <c r="B174" s="928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111</v>
      </c>
      <c r="G174" s="261">
        <f t="shared" si="10"/>
        <v>0</v>
      </c>
      <c r="H174" s="261">
        <f t="shared" si="10"/>
        <v>0</v>
      </c>
      <c r="I174" s="261">
        <f t="shared" si="10"/>
        <v>0</v>
      </c>
      <c r="J174" s="261">
        <f t="shared" si="10"/>
        <v>1</v>
      </c>
      <c r="K174" s="261">
        <f t="shared" si="10"/>
        <v>109</v>
      </c>
      <c r="L174" s="261">
        <f t="shared" si="10"/>
        <v>0</v>
      </c>
      <c r="M174" s="261">
        <f t="shared" si="10"/>
        <v>3</v>
      </c>
      <c r="N174" s="261">
        <f t="shared" si="10"/>
        <v>100</v>
      </c>
      <c r="O174" s="261">
        <f t="shared" si="10"/>
        <v>3</v>
      </c>
      <c r="P174" s="261">
        <f t="shared" si="10"/>
        <v>1</v>
      </c>
      <c r="Q174" s="261">
        <f t="shared" si="10"/>
        <v>5</v>
      </c>
      <c r="R174" s="261">
        <f t="shared" si="10"/>
        <v>12</v>
      </c>
      <c r="S174" s="496">
        <f t="shared" si="10"/>
        <v>12.563920999999999</v>
      </c>
      <c r="T174" s="503">
        <f t="shared" si="10"/>
        <v>0</v>
      </c>
      <c r="U174" s="503">
        <f t="shared" si="10"/>
        <v>0</v>
      </c>
      <c r="V174" s="503">
        <f t="shared" si="10"/>
        <v>0</v>
      </c>
      <c r="W174" s="504">
        <f t="shared" si="10"/>
        <v>29.704724000000006</v>
      </c>
    </row>
    <row r="175" spans="2:23" s="265" customFormat="1" ht="25.5" customHeight="1" thickBot="1">
      <c r="B175" s="929" t="s">
        <v>11</v>
      </c>
      <c r="C175" s="930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126</v>
      </c>
      <c r="G175" s="264">
        <f t="shared" si="11"/>
        <v>0</v>
      </c>
      <c r="H175" s="264">
        <f t="shared" si="11"/>
        <v>0</v>
      </c>
      <c r="I175" s="264">
        <f t="shared" si="11"/>
        <v>0</v>
      </c>
      <c r="J175" s="264">
        <f t="shared" si="11"/>
        <v>1</v>
      </c>
      <c r="K175" s="264">
        <f>K171+K174</f>
        <v>124</v>
      </c>
      <c r="L175" s="264">
        <f t="shared" si="11"/>
        <v>0</v>
      </c>
      <c r="M175" s="264">
        <f t="shared" si="11"/>
        <v>3</v>
      </c>
      <c r="N175" s="264">
        <f t="shared" si="11"/>
        <v>115</v>
      </c>
      <c r="O175" s="264">
        <f t="shared" si="11"/>
        <v>3</v>
      </c>
      <c r="P175" s="264">
        <f t="shared" si="11"/>
        <v>1</v>
      </c>
      <c r="Q175" s="264">
        <v>6</v>
      </c>
      <c r="R175" s="264">
        <f t="shared" si="11"/>
        <v>12</v>
      </c>
      <c r="S175" s="565">
        <f t="shared" si="11"/>
        <v>12.948920999999999</v>
      </c>
      <c r="T175" s="566">
        <f t="shared" si="11"/>
        <v>2.917424</v>
      </c>
      <c r="U175" s="566">
        <f t="shared" si="11"/>
        <v>0</v>
      </c>
      <c r="V175" s="505">
        <f t="shared" si="11"/>
        <v>0</v>
      </c>
      <c r="W175" s="506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59"/>
  <sheetViews>
    <sheetView topLeftCell="C25" zoomScale="70" zoomScaleNormal="70" workbookViewId="0">
      <selection activeCell="L12" sqref="L12"/>
    </sheetView>
  </sheetViews>
  <sheetFormatPr defaultRowHeight="14.4"/>
  <cols>
    <col min="2" max="2" width="22.109375" customWidth="1"/>
    <col min="3" max="3" width="15.88671875" customWidth="1"/>
    <col min="4" max="6" width="11.33203125" customWidth="1"/>
    <col min="7" max="7" width="11.88671875" customWidth="1"/>
    <col min="8" max="12" width="11.33203125" customWidth="1"/>
    <col min="13" max="13" width="12.21875" customWidth="1"/>
    <col min="14" max="30" width="11.33203125" customWidth="1"/>
    <col min="31" max="31" width="12.5546875" customWidth="1"/>
    <col min="32" max="33" width="11.33203125" customWidth="1"/>
    <col min="34" max="34" width="13.21875" customWidth="1"/>
  </cols>
  <sheetData>
    <row r="1" spans="1:34" ht="21.6" thickBot="1">
      <c r="A1" s="938" t="s">
        <v>820</v>
      </c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40"/>
    </row>
    <row r="2" spans="1:34" s="701" customFormat="1" ht="21.6" thickBot="1">
      <c r="A2" s="941" t="s">
        <v>868</v>
      </c>
      <c r="B2" s="942"/>
      <c r="C2" s="942"/>
      <c r="D2" s="942"/>
      <c r="E2" s="942"/>
      <c r="F2" s="942"/>
      <c r="G2" s="942"/>
      <c r="H2" s="942"/>
      <c r="I2" s="942"/>
      <c r="J2" s="942"/>
      <c r="K2" s="942"/>
      <c r="L2" s="942"/>
      <c r="M2" s="942"/>
      <c r="N2" s="942"/>
      <c r="O2" s="942"/>
      <c r="P2" s="942"/>
      <c r="Q2" s="942"/>
      <c r="R2" s="942"/>
      <c r="S2" s="942"/>
      <c r="T2" s="942"/>
      <c r="U2" s="942"/>
      <c r="V2" s="942"/>
      <c r="W2" s="942"/>
      <c r="X2" s="942"/>
      <c r="Y2" s="942"/>
      <c r="Z2" s="942"/>
      <c r="AA2" s="942"/>
      <c r="AB2" s="942"/>
      <c r="AC2" s="942"/>
      <c r="AD2" s="942"/>
      <c r="AE2" s="942"/>
      <c r="AF2" s="942"/>
      <c r="AG2" s="942"/>
      <c r="AH2" s="943"/>
    </row>
    <row r="3" spans="1:34" ht="18.600000000000001" thickBot="1">
      <c r="A3" s="681"/>
      <c r="B3" s="682"/>
      <c r="C3" s="611"/>
      <c r="D3" s="61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3"/>
    </row>
    <row r="4" spans="1:34" ht="27" customHeight="1" thickBot="1">
      <c r="A4" s="708" t="s">
        <v>12</v>
      </c>
      <c r="B4" s="715" t="s">
        <v>672</v>
      </c>
      <c r="C4" s="714" t="s">
        <v>810</v>
      </c>
      <c r="D4" s="707">
        <v>46023</v>
      </c>
      <c r="E4" s="707">
        <v>46024</v>
      </c>
      <c r="F4" s="707">
        <v>46025</v>
      </c>
      <c r="G4" s="707">
        <v>46026</v>
      </c>
      <c r="H4" s="707">
        <v>46027</v>
      </c>
      <c r="I4" s="707">
        <v>46028</v>
      </c>
      <c r="J4" s="707">
        <v>46029</v>
      </c>
      <c r="K4" s="707">
        <v>46030</v>
      </c>
      <c r="L4" s="707">
        <v>46031</v>
      </c>
      <c r="M4" s="707">
        <v>46032</v>
      </c>
      <c r="N4" s="707">
        <v>46033</v>
      </c>
      <c r="O4" s="707">
        <v>46034</v>
      </c>
      <c r="P4" s="707">
        <v>46035</v>
      </c>
      <c r="Q4" s="707">
        <v>46036</v>
      </c>
      <c r="R4" s="707">
        <v>46037</v>
      </c>
      <c r="S4" s="707">
        <v>46038</v>
      </c>
      <c r="T4" s="707">
        <v>46039</v>
      </c>
      <c r="U4" s="707">
        <v>46040</v>
      </c>
      <c r="V4" s="707">
        <v>46041</v>
      </c>
      <c r="W4" s="707">
        <v>46042</v>
      </c>
      <c r="X4" s="707">
        <v>46043</v>
      </c>
      <c r="Y4" s="707">
        <v>46044</v>
      </c>
      <c r="Z4" s="707">
        <v>46045</v>
      </c>
      <c r="AA4" s="707">
        <v>46046</v>
      </c>
      <c r="AB4" s="707">
        <v>46047</v>
      </c>
      <c r="AC4" s="707">
        <v>46048</v>
      </c>
      <c r="AD4" s="707">
        <v>46049</v>
      </c>
      <c r="AE4" s="707">
        <v>46050</v>
      </c>
      <c r="AF4" s="707">
        <v>46051</v>
      </c>
      <c r="AG4" s="707">
        <v>46052</v>
      </c>
      <c r="AH4" s="707">
        <v>46053</v>
      </c>
    </row>
    <row r="5" spans="1:34" ht="32.4" customHeight="1" thickBot="1">
      <c r="A5" s="709">
        <v>1</v>
      </c>
      <c r="B5" s="716" t="s">
        <v>812</v>
      </c>
      <c r="C5" s="722" t="s">
        <v>811</v>
      </c>
      <c r="D5" s="684" t="s">
        <v>816</v>
      </c>
      <c r="E5" s="684" t="s">
        <v>816</v>
      </c>
      <c r="F5" s="684" t="s">
        <v>816</v>
      </c>
      <c r="G5" s="514" t="s">
        <v>608</v>
      </c>
      <c r="H5" s="514" t="s">
        <v>608</v>
      </c>
      <c r="I5" s="514" t="s">
        <v>608</v>
      </c>
      <c r="J5" s="514" t="s">
        <v>608</v>
      </c>
      <c r="K5" s="514" t="s">
        <v>608</v>
      </c>
      <c r="L5" s="514" t="s">
        <v>608</v>
      </c>
      <c r="M5" s="728" t="s">
        <v>816</v>
      </c>
      <c r="N5" s="728" t="s">
        <v>816</v>
      </c>
      <c r="O5" s="728" t="s">
        <v>816</v>
      </c>
      <c r="P5" s="728" t="s">
        <v>816</v>
      </c>
      <c r="Q5" s="728" t="s">
        <v>816</v>
      </c>
      <c r="R5" s="728" t="s">
        <v>816</v>
      </c>
      <c r="S5" s="728" t="s">
        <v>816</v>
      </c>
      <c r="T5" s="728" t="s">
        <v>816</v>
      </c>
      <c r="U5" s="728" t="s">
        <v>816</v>
      </c>
      <c r="V5" s="728" t="s">
        <v>816</v>
      </c>
      <c r="W5" s="728" t="s">
        <v>816</v>
      </c>
      <c r="X5" s="728" t="s">
        <v>816</v>
      </c>
      <c r="Y5" s="728" t="s">
        <v>816</v>
      </c>
      <c r="Z5" s="728" t="s">
        <v>816</v>
      </c>
      <c r="AA5" s="728" t="s">
        <v>816</v>
      </c>
      <c r="AB5" s="702"/>
      <c r="AC5" s="702"/>
      <c r="AD5" s="702"/>
      <c r="AE5" s="702"/>
      <c r="AF5" s="702"/>
      <c r="AG5" s="702"/>
      <c r="AH5" s="702"/>
    </row>
    <row r="6" spans="1:34" ht="32.4" customHeight="1">
      <c r="A6" s="710">
        <v>2</v>
      </c>
      <c r="B6" s="716" t="s">
        <v>889</v>
      </c>
      <c r="C6" s="723" t="s">
        <v>811</v>
      </c>
      <c r="D6" s="684" t="s">
        <v>816</v>
      </c>
      <c r="E6" s="684" t="s">
        <v>816</v>
      </c>
      <c r="F6" s="684" t="s">
        <v>816</v>
      </c>
      <c r="G6" s="696" t="s">
        <v>835</v>
      </c>
      <c r="H6" s="696" t="s">
        <v>835</v>
      </c>
      <c r="I6" s="696" t="s">
        <v>835</v>
      </c>
      <c r="J6" s="696" t="s">
        <v>835</v>
      </c>
      <c r="K6" s="696" t="s">
        <v>835</v>
      </c>
      <c r="L6" s="696" t="s">
        <v>835</v>
      </c>
      <c r="M6" s="696" t="s">
        <v>835</v>
      </c>
      <c r="N6" s="696" t="s">
        <v>835</v>
      </c>
      <c r="O6" s="696" t="s">
        <v>835</v>
      </c>
      <c r="P6" s="696" t="s">
        <v>835</v>
      </c>
      <c r="Q6" s="696" t="s">
        <v>835</v>
      </c>
      <c r="R6" s="696" t="s">
        <v>835</v>
      </c>
      <c r="S6" s="696" t="s">
        <v>835</v>
      </c>
      <c r="T6" s="696" t="s">
        <v>835</v>
      </c>
      <c r="U6" s="696" t="s">
        <v>835</v>
      </c>
      <c r="V6" s="696" t="s">
        <v>835</v>
      </c>
      <c r="W6" s="696" t="s">
        <v>835</v>
      </c>
      <c r="X6" s="696" t="s">
        <v>835</v>
      </c>
      <c r="Y6" s="696" t="s">
        <v>835</v>
      </c>
      <c r="Z6" s="696" t="s">
        <v>835</v>
      </c>
      <c r="AA6" s="696" t="s">
        <v>835</v>
      </c>
      <c r="AB6" s="702"/>
      <c r="AC6" s="702"/>
      <c r="AD6" s="702"/>
      <c r="AE6" s="702"/>
      <c r="AF6" s="702"/>
      <c r="AG6" s="702"/>
      <c r="AH6" s="702"/>
    </row>
    <row r="7" spans="1:34" ht="32.4" customHeight="1">
      <c r="A7" s="711">
        <v>3</v>
      </c>
      <c r="B7" s="717" t="s">
        <v>697</v>
      </c>
      <c r="C7" s="724" t="s">
        <v>814</v>
      </c>
      <c r="D7" s="47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7" t="s">
        <v>555</v>
      </c>
      <c r="K7" s="47" t="s">
        <v>555</v>
      </c>
      <c r="L7" s="47" t="s">
        <v>555</v>
      </c>
      <c r="M7" s="47" t="s">
        <v>555</v>
      </c>
      <c r="N7" s="47" t="s">
        <v>555</v>
      </c>
      <c r="O7" s="47" t="s">
        <v>555</v>
      </c>
      <c r="P7" s="47" t="s">
        <v>555</v>
      </c>
      <c r="Q7" s="47" t="s">
        <v>555</v>
      </c>
      <c r="R7" s="47" t="s">
        <v>555</v>
      </c>
      <c r="S7" s="47" t="s">
        <v>555</v>
      </c>
      <c r="T7" s="47" t="s">
        <v>555</v>
      </c>
      <c r="U7" s="47" t="s">
        <v>555</v>
      </c>
      <c r="V7" s="728" t="s">
        <v>816</v>
      </c>
      <c r="W7" s="728" t="s">
        <v>816</v>
      </c>
      <c r="X7" s="728" t="s">
        <v>816</v>
      </c>
      <c r="Y7" s="47" t="s">
        <v>181</v>
      </c>
      <c r="Z7" s="47" t="s">
        <v>181</v>
      </c>
      <c r="AA7" s="47" t="s">
        <v>181</v>
      </c>
      <c r="AB7" s="444"/>
      <c r="AC7" s="444"/>
      <c r="AD7" s="444"/>
      <c r="AE7" s="444"/>
      <c r="AF7" s="444"/>
      <c r="AG7" s="444"/>
      <c r="AH7" s="702"/>
    </row>
    <row r="8" spans="1:34" ht="32.4" customHeight="1">
      <c r="A8" s="711">
        <v>4</v>
      </c>
      <c r="B8" s="717" t="s">
        <v>699</v>
      </c>
      <c r="C8" s="724" t="s">
        <v>814</v>
      </c>
      <c r="D8" s="684" t="s">
        <v>856</v>
      </c>
      <c r="E8" s="684" t="s">
        <v>856</v>
      </c>
      <c r="F8" s="684" t="s">
        <v>856</v>
      </c>
      <c r="G8" s="47" t="s">
        <v>553</v>
      </c>
      <c r="H8" s="47" t="s">
        <v>553</v>
      </c>
      <c r="I8" s="47" t="s">
        <v>553</v>
      </c>
      <c r="J8" s="47" t="s">
        <v>553</v>
      </c>
      <c r="K8" s="47" t="s">
        <v>553</v>
      </c>
      <c r="L8" s="47" t="s">
        <v>182</v>
      </c>
      <c r="M8" s="47" t="s">
        <v>182</v>
      </c>
      <c r="N8" s="47" t="s">
        <v>182</v>
      </c>
      <c r="O8" s="47" t="s">
        <v>182</v>
      </c>
      <c r="P8" s="47" t="s">
        <v>182</v>
      </c>
      <c r="Q8" s="47" t="s">
        <v>182</v>
      </c>
      <c r="R8" s="47" t="s">
        <v>182</v>
      </c>
      <c r="S8" s="47" t="s">
        <v>560</v>
      </c>
      <c r="T8" s="47" t="s">
        <v>560</v>
      </c>
      <c r="U8" s="47" t="s">
        <v>560</v>
      </c>
      <c r="V8" s="47" t="s">
        <v>560</v>
      </c>
      <c r="W8" s="47" t="s">
        <v>560</v>
      </c>
      <c r="X8" s="728" t="s">
        <v>816</v>
      </c>
      <c r="Y8" s="737" t="s">
        <v>902</v>
      </c>
      <c r="Z8" s="737" t="s">
        <v>902</v>
      </c>
      <c r="AA8" s="47" t="s">
        <v>560</v>
      </c>
      <c r="AB8" s="444"/>
      <c r="AC8" s="444"/>
      <c r="AD8" s="702"/>
      <c r="AE8" s="702"/>
      <c r="AF8" s="702"/>
      <c r="AG8" s="702"/>
      <c r="AH8" s="702"/>
    </row>
    <row r="9" spans="1:34" ht="32.4" customHeight="1">
      <c r="A9" s="711">
        <v>5</v>
      </c>
      <c r="B9" s="717" t="s">
        <v>815</v>
      </c>
      <c r="C9" s="724" t="s">
        <v>814</v>
      </c>
      <c r="D9" s="47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7" t="s">
        <v>186</v>
      </c>
      <c r="K9" s="684" t="s">
        <v>884</v>
      </c>
      <c r="L9" s="684" t="s">
        <v>884</v>
      </c>
      <c r="M9" s="684" t="s">
        <v>884</v>
      </c>
      <c r="N9" s="684" t="s">
        <v>884</v>
      </c>
      <c r="O9" s="47" t="s">
        <v>188</v>
      </c>
      <c r="P9" s="47" t="s">
        <v>188</v>
      </c>
      <c r="Q9" s="47" t="s">
        <v>188</v>
      </c>
      <c r="R9" s="47" t="s">
        <v>188</v>
      </c>
      <c r="S9" s="737" t="s">
        <v>890</v>
      </c>
      <c r="T9" s="737" t="s">
        <v>890</v>
      </c>
      <c r="U9" s="737" t="s">
        <v>890</v>
      </c>
      <c r="V9" s="737" t="s">
        <v>890</v>
      </c>
      <c r="W9" s="737" t="s">
        <v>890</v>
      </c>
      <c r="X9" s="737" t="s">
        <v>890</v>
      </c>
      <c r="Y9" s="47" t="s">
        <v>519</v>
      </c>
      <c r="Z9" s="737" t="s">
        <v>890</v>
      </c>
      <c r="AA9" s="47" t="s">
        <v>519</v>
      </c>
      <c r="AB9" s="444"/>
      <c r="AC9" s="444"/>
      <c r="AD9" s="702"/>
      <c r="AE9" s="444"/>
      <c r="AF9" s="444"/>
      <c r="AG9" s="444"/>
      <c r="AH9" s="702"/>
    </row>
    <row r="10" spans="1:34" ht="32.4" customHeight="1">
      <c r="A10" s="711">
        <v>6</v>
      </c>
      <c r="B10" s="717" t="s">
        <v>861</v>
      </c>
      <c r="C10" s="724" t="s">
        <v>814</v>
      </c>
      <c r="D10" s="684" t="s">
        <v>866</v>
      </c>
      <c r="E10" s="684" t="s">
        <v>866</v>
      </c>
      <c r="F10" s="684" t="s">
        <v>866</v>
      </c>
      <c r="G10" s="684" t="s">
        <v>866</v>
      </c>
      <c r="H10" s="684" t="s">
        <v>866</v>
      </c>
      <c r="I10" s="696" t="s">
        <v>835</v>
      </c>
      <c r="J10" s="696" t="s">
        <v>835</v>
      </c>
      <c r="K10" s="696" t="s">
        <v>835</v>
      </c>
      <c r="L10" s="696" t="s">
        <v>835</v>
      </c>
      <c r="M10" s="696" t="s">
        <v>835</v>
      </c>
      <c r="N10" s="696" t="s">
        <v>835</v>
      </c>
      <c r="O10" s="696" t="s">
        <v>835</v>
      </c>
      <c r="P10" s="696" t="s">
        <v>835</v>
      </c>
      <c r="Q10" s="696" t="s">
        <v>835</v>
      </c>
      <c r="R10" s="696" t="s">
        <v>835</v>
      </c>
      <c r="S10" s="696" t="s">
        <v>835</v>
      </c>
      <c r="T10" s="696" t="s">
        <v>835</v>
      </c>
      <c r="U10" s="696" t="s">
        <v>835</v>
      </c>
      <c r="V10" s="696" t="s">
        <v>835</v>
      </c>
      <c r="W10" s="696" t="s">
        <v>835</v>
      </c>
      <c r="X10" s="696" t="s">
        <v>835</v>
      </c>
      <c r="Y10" s="696" t="s">
        <v>835</v>
      </c>
      <c r="Z10" s="696" t="s">
        <v>835</v>
      </c>
      <c r="AA10" s="696" t="s">
        <v>835</v>
      </c>
      <c r="AB10" s="444"/>
      <c r="AC10" s="444"/>
      <c r="AD10" s="444"/>
      <c r="AE10" s="702"/>
      <c r="AF10" s="444"/>
      <c r="AG10" s="702"/>
      <c r="AH10" s="702"/>
    </row>
    <row r="11" spans="1:34" ht="32.4" customHeight="1">
      <c r="A11" s="711">
        <v>7</v>
      </c>
      <c r="B11" s="717" t="s">
        <v>862</v>
      </c>
      <c r="C11" s="724" t="s">
        <v>814</v>
      </c>
      <c r="D11" s="696" t="s">
        <v>835</v>
      </c>
      <c r="E11" s="696" t="s">
        <v>835</v>
      </c>
      <c r="F11" s="696" t="s">
        <v>835</v>
      </c>
      <c r="G11" s="696" t="s">
        <v>835</v>
      </c>
      <c r="H11" s="696" t="s">
        <v>835</v>
      </c>
      <c r="I11" s="696" t="s">
        <v>835</v>
      </c>
      <c r="J11" s="696" t="s">
        <v>835</v>
      </c>
      <c r="K11" s="696" t="s">
        <v>835</v>
      </c>
      <c r="L11" s="696" t="s">
        <v>835</v>
      </c>
      <c r="M11" s="696" t="s">
        <v>835</v>
      </c>
      <c r="N11" s="696" t="s">
        <v>835</v>
      </c>
      <c r="O11" s="696" t="s">
        <v>835</v>
      </c>
      <c r="P11" s="696" t="s">
        <v>835</v>
      </c>
      <c r="Q11" s="696" t="s">
        <v>835</v>
      </c>
      <c r="R11" s="696" t="s">
        <v>835</v>
      </c>
      <c r="S11" s="696" t="s">
        <v>835</v>
      </c>
      <c r="T11" s="696" t="s">
        <v>835</v>
      </c>
      <c r="U11" s="696" t="s">
        <v>835</v>
      </c>
      <c r="V11" s="696" t="s">
        <v>835</v>
      </c>
      <c r="W11" s="696" t="s">
        <v>835</v>
      </c>
      <c r="X11" s="696" t="s">
        <v>835</v>
      </c>
      <c r="Y11" s="696" t="s">
        <v>835</v>
      </c>
      <c r="Z11" s="696" t="s">
        <v>835</v>
      </c>
      <c r="AA11" s="696" t="s">
        <v>835</v>
      </c>
      <c r="AB11" s="444"/>
      <c r="AC11" s="444"/>
      <c r="AD11" s="444"/>
      <c r="AE11" s="444"/>
      <c r="AF11" s="702"/>
      <c r="AG11" s="702"/>
      <c r="AH11" s="727"/>
    </row>
    <row r="12" spans="1:34" ht="32.4" customHeight="1">
      <c r="A12" s="712">
        <v>8</v>
      </c>
      <c r="B12" s="718" t="s">
        <v>782</v>
      </c>
      <c r="C12" s="725" t="s">
        <v>781</v>
      </c>
      <c r="D12" s="630" t="s">
        <v>869</v>
      </c>
      <c r="E12" s="630" t="s">
        <v>869</v>
      </c>
      <c r="F12" s="630" t="s">
        <v>871</v>
      </c>
      <c r="G12" s="630" t="s">
        <v>871</v>
      </c>
      <c r="H12" s="728" t="s">
        <v>816</v>
      </c>
      <c r="I12" s="728" t="s">
        <v>816</v>
      </c>
      <c r="J12" s="728" t="s">
        <v>816</v>
      </c>
      <c r="K12" s="728" t="s">
        <v>816</v>
      </c>
      <c r="L12" s="728" t="s">
        <v>816</v>
      </c>
      <c r="M12" s="728" t="s">
        <v>816</v>
      </c>
      <c r="N12" s="728" t="s">
        <v>816</v>
      </c>
      <c r="O12" s="728" t="s">
        <v>816</v>
      </c>
      <c r="P12" s="728" t="s">
        <v>816</v>
      </c>
      <c r="Q12" s="728" t="s">
        <v>816</v>
      </c>
      <c r="R12" s="728" t="s">
        <v>816</v>
      </c>
      <c r="S12" s="728" t="s">
        <v>816</v>
      </c>
      <c r="T12" s="630" t="s">
        <v>903</v>
      </c>
      <c r="U12" s="630" t="s">
        <v>904</v>
      </c>
      <c r="V12" s="630" t="s">
        <v>904</v>
      </c>
      <c r="W12" s="630" t="s">
        <v>904</v>
      </c>
      <c r="X12" s="630" t="s">
        <v>904</v>
      </c>
      <c r="Y12" s="630" t="s">
        <v>904</v>
      </c>
      <c r="Z12" s="630" t="s">
        <v>904</v>
      </c>
      <c r="AA12" s="630" t="s">
        <v>904</v>
      </c>
      <c r="AB12" s="629"/>
      <c r="AC12" s="629"/>
      <c r="AD12" s="629"/>
      <c r="AE12" s="629"/>
      <c r="AF12" s="629"/>
      <c r="AG12" s="629"/>
      <c r="AH12" s="629"/>
    </row>
    <row r="13" spans="1:34" ht="32.4" customHeight="1">
      <c r="A13" s="712">
        <v>9</v>
      </c>
      <c r="B13" s="718" t="s">
        <v>830</v>
      </c>
      <c r="C13" s="725" t="s">
        <v>781</v>
      </c>
      <c r="D13" s="684" t="s">
        <v>816</v>
      </c>
      <c r="E13" s="684" t="s">
        <v>816</v>
      </c>
      <c r="F13" s="684" t="s">
        <v>816</v>
      </c>
      <c r="G13" s="684" t="s">
        <v>816</v>
      </c>
      <c r="H13" s="684" t="s">
        <v>816</v>
      </c>
      <c r="I13" s="684" t="s">
        <v>816</v>
      </c>
      <c r="J13" s="684" t="s">
        <v>816</v>
      </c>
      <c r="K13" s="684" t="s">
        <v>816</v>
      </c>
      <c r="L13" s="684" t="s">
        <v>816</v>
      </c>
      <c r="M13" s="684" t="s">
        <v>816</v>
      </c>
      <c r="N13" s="684" t="s">
        <v>816</v>
      </c>
      <c r="O13" s="684" t="s">
        <v>816</v>
      </c>
      <c r="P13" s="684" t="s">
        <v>816</v>
      </c>
      <c r="Q13" s="728" t="s">
        <v>816</v>
      </c>
      <c r="R13" s="728" t="s">
        <v>816</v>
      </c>
      <c r="S13" s="728" t="s">
        <v>816</v>
      </c>
      <c r="T13" s="728" t="s">
        <v>816</v>
      </c>
      <c r="U13" s="728" t="s">
        <v>816</v>
      </c>
      <c r="V13" s="728" t="s">
        <v>816</v>
      </c>
      <c r="W13" s="684" t="s">
        <v>816</v>
      </c>
      <c r="X13" s="684" t="s">
        <v>816</v>
      </c>
      <c r="Y13" s="684" t="s">
        <v>816</v>
      </c>
      <c r="Z13" s="684" t="s">
        <v>816</v>
      </c>
      <c r="AA13" s="684" t="s">
        <v>816</v>
      </c>
      <c r="AB13" s="629"/>
      <c r="AC13" s="629"/>
      <c r="AD13" s="629"/>
      <c r="AE13" s="629"/>
      <c r="AF13" s="629"/>
      <c r="AG13" s="629"/>
      <c r="AH13" s="629"/>
    </row>
    <row r="14" spans="1:34" ht="32.4" customHeight="1" thickBot="1">
      <c r="A14" s="713">
        <v>10</v>
      </c>
      <c r="B14" s="719" t="s">
        <v>872</v>
      </c>
      <c r="C14" s="726" t="s">
        <v>781</v>
      </c>
      <c r="D14" s="728" t="s">
        <v>816</v>
      </c>
      <c r="E14" s="728" t="s">
        <v>816</v>
      </c>
      <c r="F14" s="728" t="s">
        <v>816</v>
      </c>
      <c r="G14" s="728" t="s">
        <v>816</v>
      </c>
      <c r="H14" s="728" t="s">
        <v>816</v>
      </c>
      <c r="I14" s="728" t="s">
        <v>816</v>
      </c>
      <c r="J14" s="696" t="s">
        <v>835</v>
      </c>
      <c r="K14" s="696" t="s">
        <v>835</v>
      </c>
      <c r="L14" s="696" t="s">
        <v>835</v>
      </c>
      <c r="M14" s="696" t="s">
        <v>835</v>
      </c>
      <c r="N14" s="696" t="s">
        <v>835</v>
      </c>
      <c r="O14" s="696" t="s">
        <v>835</v>
      </c>
      <c r="P14" s="696" t="s">
        <v>835</v>
      </c>
      <c r="Q14" s="696" t="s">
        <v>835</v>
      </c>
      <c r="R14" s="696" t="s">
        <v>835</v>
      </c>
      <c r="S14" s="696" t="s">
        <v>835</v>
      </c>
      <c r="T14" s="696" t="s">
        <v>835</v>
      </c>
      <c r="U14" s="696" t="s">
        <v>835</v>
      </c>
      <c r="V14" s="696" t="s">
        <v>835</v>
      </c>
      <c r="W14" s="738" t="s">
        <v>891</v>
      </c>
      <c r="X14" s="630" t="s">
        <v>905</v>
      </c>
      <c r="Y14" s="630" t="s">
        <v>905</v>
      </c>
      <c r="Z14" s="630" t="s">
        <v>905</v>
      </c>
      <c r="AA14" s="630" t="s">
        <v>905</v>
      </c>
      <c r="AB14" s="629"/>
      <c r="AC14" s="629"/>
      <c r="AD14" s="729"/>
      <c r="AE14" s="729"/>
      <c r="AF14" s="729"/>
      <c r="AG14" s="729"/>
      <c r="AH14" s="729"/>
    </row>
    <row r="19" spans="1:34" ht="15" thickBot="1"/>
    <row r="20" spans="1:34" ht="21.6" thickBot="1">
      <c r="A20" s="938" t="s">
        <v>820</v>
      </c>
      <c r="B20" s="939"/>
      <c r="C20" s="939"/>
      <c r="D20" s="939"/>
      <c r="E20" s="939"/>
      <c r="F20" s="939"/>
      <c r="G20" s="939"/>
      <c r="H20" s="939"/>
      <c r="I20" s="939"/>
      <c r="J20" s="939"/>
      <c r="K20" s="939"/>
      <c r="L20" s="939"/>
      <c r="M20" s="939"/>
      <c r="N20" s="939"/>
      <c r="O20" s="939"/>
      <c r="P20" s="939"/>
      <c r="Q20" s="939"/>
      <c r="R20" s="939"/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40"/>
    </row>
    <row r="21" spans="1:34" ht="18.600000000000001" thickBot="1">
      <c r="A21" s="944" t="s">
        <v>821</v>
      </c>
      <c r="B21" s="945"/>
      <c r="C21" s="945"/>
      <c r="D21" s="945"/>
      <c r="E21" s="945"/>
      <c r="F21" s="945"/>
      <c r="G21" s="945"/>
      <c r="H21" s="945"/>
      <c r="I21" s="945"/>
      <c r="J21" s="945"/>
      <c r="K21" s="945"/>
      <c r="L21" s="945"/>
      <c r="M21" s="945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  <c r="AA21" s="945"/>
      <c r="AB21" s="945"/>
      <c r="AC21" s="945"/>
      <c r="AD21" s="945"/>
      <c r="AE21" s="945"/>
      <c r="AF21" s="945"/>
      <c r="AG21" s="945"/>
      <c r="AH21" s="946"/>
    </row>
    <row r="22" spans="1:34" ht="18.600000000000001" thickBot="1">
      <c r="A22" s="609"/>
      <c r="B22" s="610"/>
      <c r="C22" s="611"/>
      <c r="D22" s="612"/>
      <c r="E22" s="610"/>
      <c r="F22" s="610"/>
      <c r="G22" s="610"/>
      <c r="H22" s="610"/>
      <c r="I22" s="610"/>
      <c r="J22" s="610"/>
      <c r="K22" s="610"/>
      <c r="L22" s="610"/>
      <c r="M22" s="610"/>
      <c r="N22" s="610"/>
      <c r="O22" s="610"/>
      <c r="P22" s="610"/>
      <c r="Q22" s="610"/>
      <c r="R22" s="610"/>
      <c r="S22" s="610"/>
      <c r="T22" s="610"/>
      <c r="U22" s="610"/>
      <c r="V22" s="610"/>
      <c r="W22" s="610"/>
      <c r="X22" s="610"/>
      <c r="Y22" s="610"/>
      <c r="Z22" s="610"/>
      <c r="AA22" s="610"/>
      <c r="AB22" s="610"/>
      <c r="AC22" s="610"/>
      <c r="AD22" s="610"/>
      <c r="AE22" s="610"/>
      <c r="AF22" s="610"/>
      <c r="AG22" s="610"/>
      <c r="AH22" s="613"/>
    </row>
    <row r="23" spans="1:34" s="576" customFormat="1" ht="31.2" customHeight="1" thickBot="1">
      <c r="A23" s="599" t="s">
        <v>12</v>
      </c>
      <c r="B23" s="600" t="s">
        <v>672</v>
      </c>
      <c r="C23" s="601" t="s">
        <v>810</v>
      </c>
      <c r="D23" s="605">
        <v>45992</v>
      </c>
      <c r="E23" s="606">
        <v>45993</v>
      </c>
      <c r="F23" s="606">
        <v>45994</v>
      </c>
      <c r="G23" s="606">
        <v>45995</v>
      </c>
      <c r="H23" s="606">
        <v>45996</v>
      </c>
      <c r="I23" s="606">
        <v>45997</v>
      </c>
      <c r="J23" s="606">
        <v>45998</v>
      </c>
      <c r="K23" s="606">
        <v>45999</v>
      </c>
      <c r="L23" s="606">
        <v>46000</v>
      </c>
      <c r="M23" s="606">
        <v>46001</v>
      </c>
      <c r="N23" s="606">
        <v>46002</v>
      </c>
      <c r="O23" s="606">
        <v>46003</v>
      </c>
      <c r="P23" s="606">
        <v>46004</v>
      </c>
      <c r="Q23" s="606">
        <v>46005</v>
      </c>
      <c r="R23" s="606">
        <v>46006</v>
      </c>
      <c r="S23" s="606">
        <v>46007</v>
      </c>
      <c r="T23" s="606">
        <v>46008</v>
      </c>
      <c r="U23" s="606">
        <v>46009</v>
      </c>
      <c r="V23" s="606">
        <v>46010</v>
      </c>
      <c r="W23" s="606">
        <v>46011</v>
      </c>
      <c r="X23" s="606">
        <v>46012</v>
      </c>
      <c r="Y23" s="606">
        <v>46013</v>
      </c>
      <c r="Z23" s="606">
        <v>46014</v>
      </c>
      <c r="AA23" s="606">
        <v>46015</v>
      </c>
      <c r="AB23" s="606">
        <v>46016</v>
      </c>
      <c r="AC23" s="606">
        <v>46017</v>
      </c>
      <c r="AD23" s="606">
        <v>46018</v>
      </c>
      <c r="AE23" s="606">
        <v>46019</v>
      </c>
      <c r="AF23" s="606">
        <v>46020</v>
      </c>
      <c r="AG23" s="606">
        <v>46021</v>
      </c>
      <c r="AH23" s="607">
        <v>46022</v>
      </c>
    </row>
    <row r="24" spans="1:34" s="513" customFormat="1" ht="26.4" customHeight="1">
      <c r="A24" s="685">
        <v>1</v>
      </c>
      <c r="B24" s="686" t="s">
        <v>812</v>
      </c>
      <c r="C24" s="687" t="s">
        <v>811</v>
      </c>
      <c r="D24" s="688" t="s">
        <v>816</v>
      </c>
      <c r="E24" s="689" t="s">
        <v>816</v>
      </c>
      <c r="F24" s="690" t="s">
        <v>606</v>
      </c>
      <c r="G24" s="690" t="s">
        <v>606</v>
      </c>
      <c r="H24" s="690" t="s">
        <v>606</v>
      </c>
      <c r="I24" s="690" t="s">
        <v>606</v>
      </c>
      <c r="J24" s="690" t="s">
        <v>606</v>
      </c>
      <c r="K24" s="690" t="s">
        <v>606</v>
      </c>
      <c r="L24" s="690" t="s">
        <v>606</v>
      </c>
      <c r="M24" s="690" t="s">
        <v>606</v>
      </c>
      <c r="N24" s="690" t="s">
        <v>617</v>
      </c>
      <c r="O24" s="690" t="s">
        <v>617</v>
      </c>
      <c r="P24" s="690" t="s">
        <v>617</v>
      </c>
      <c r="Q24" s="690" t="s">
        <v>519</v>
      </c>
      <c r="R24" s="690" t="s">
        <v>519</v>
      </c>
      <c r="S24" s="690" t="s">
        <v>519</v>
      </c>
      <c r="T24" s="690" t="s">
        <v>519</v>
      </c>
      <c r="U24" s="690" t="s">
        <v>519</v>
      </c>
      <c r="V24" s="690" t="s">
        <v>519</v>
      </c>
      <c r="W24" s="690" t="s">
        <v>519</v>
      </c>
      <c r="X24" s="689" t="s">
        <v>816</v>
      </c>
      <c r="Y24" s="689" t="s">
        <v>816</v>
      </c>
      <c r="Z24" s="690" t="s">
        <v>560</v>
      </c>
      <c r="AA24" s="689" t="s">
        <v>816</v>
      </c>
      <c r="AB24" s="689" t="s">
        <v>816</v>
      </c>
      <c r="AC24" s="689" t="s">
        <v>816</v>
      </c>
      <c r="AD24" s="689" t="s">
        <v>816</v>
      </c>
      <c r="AE24" s="689" t="s">
        <v>816</v>
      </c>
      <c r="AF24" s="689" t="s">
        <v>816</v>
      </c>
      <c r="AG24" s="689" t="s">
        <v>816</v>
      </c>
      <c r="AH24" s="697" t="s">
        <v>816</v>
      </c>
    </row>
    <row r="25" spans="1:34" s="513" customFormat="1" ht="26.4" customHeight="1">
      <c r="A25" s="691">
        <v>2</v>
      </c>
      <c r="B25" s="692" t="s">
        <v>813</v>
      </c>
      <c r="C25" s="693" t="s">
        <v>811</v>
      </c>
      <c r="D25" s="694" t="s">
        <v>816</v>
      </c>
      <c r="E25" s="684" t="s">
        <v>816</v>
      </c>
      <c r="F25" s="684" t="s">
        <v>816</v>
      </c>
      <c r="G25" s="684" t="s">
        <v>816</v>
      </c>
      <c r="H25" s="684" t="s">
        <v>816</v>
      </c>
      <c r="I25" s="684" t="s">
        <v>816</v>
      </c>
      <c r="J25" s="684" t="s">
        <v>816</v>
      </c>
      <c r="K25" s="684" t="s">
        <v>816</v>
      </c>
      <c r="L25" s="684" t="s">
        <v>816</v>
      </c>
      <c r="M25" s="684" t="s">
        <v>816</v>
      </c>
      <c r="N25" s="684" t="s">
        <v>816</v>
      </c>
      <c r="O25" s="684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84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84" t="s">
        <v>816</v>
      </c>
      <c r="Z25" s="47" t="s">
        <v>560</v>
      </c>
      <c r="AA25" s="684" t="s">
        <v>816</v>
      </c>
      <c r="AB25" s="684" t="s">
        <v>816</v>
      </c>
      <c r="AC25" s="684" t="s">
        <v>816</v>
      </c>
      <c r="AD25" s="684" t="s">
        <v>816</v>
      </c>
      <c r="AE25" s="684" t="s">
        <v>816</v>
      </c>
      <c r="AF25" s="684" t="s">
        <v>816</v>
      </c>
      <c r="AG25" s="684" t="s">
        <v>816</v>
      </c>
      <c r="AH25" s="698" t="s">
        <v>816</v>
      </c>
    </row>
    <row r="26" spans="1:34" s="513" customFormat="1" ht="26.4" customHeight="1">
      <c r="A26" s="691">
        <v>3</v>
      </c>
      <c r="B26" s="692" t="s">
        <v>697</v>
      </c>
      <c r="C26" s="693" t="s">
        <v>814</v>
      </c>
      <c r="D26" s="694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84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698" t="s">
        <v>865</v>
      </c>
    </row>
    <row r="27" spans="1:34" s="513" customFormat="1" ht="34.200000000000003" customHeight="1">
      <c r="A27" s="691">
        <v>4</v>
      </c>
      <c r="B27" s="692" t="s">
        <v>699</v>
      </c>
      <c r="C27" s="693" t="s">
        <v>814</v>
      </c>
      <c r="D27" s="680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84" t="s">
        <v>856</v>
      </c>
      <c r="AE27" s="47" t="s">
        <v>553</v>
      </c>
      <c r="AF27" s="47" t="s">
        <v>553</v>
      </c>
      <c r="AG27" s="47" t="s">
        <v>553</v>
      </c>
      <c r="AH27" s="698" t="s">
        <v>816</v>
      </c>
    </row>
    <row r="28" spans="1:34" s="513" customFormat="1" ht="26.4" customHeight="1">
      <c r="A28" s="691">
        <v>5</v>
      </c>
      <c r="B28" s="692" t="s">
        <v>815</v>
      </c>
      <c r="C28" s="693" t="s">
        <v>814</v>
      </c>
      <c r="D28" s="680" t="s">
        <v>153</v>
      </c>
      <c r="E28" s="47" t="s">
        <v>153</v>
      </c>
      <c r="F28" s="684" t="s">
        <v>816</v>
      </c>
      <c r="G28" s="615" t="s">
        <v>819</v>
      </c>
      <c r="H28" s="615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84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84" t="s">
        <v>857</v>
      </c>
      <c r="AE28" s="684" t="s">
        <v>857</v>
      </c>
      <c r="AF28" s="684" t="s">
        <v>857</v>
      </c>
      <c r="AG28" s="684" t="s">
        <v>857</v>
      </c>
      <c r="AH28" s="698" t="s">
        <v>857</v>
      </c>
    </row>
    <row r="29" spans="1:34" s="513" customFormat="1" ht="26.4" customHeight="1">
      <c r="A29" s="691">
        <v>6</v>
      </c>
      <c r="B29" s="692" t="s">
        <v>861</v>
      </c>
      <c r="C29" s="693" t="s">
        <v>814</v>
      </c>
      <c r="D29" s="680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863</v>
      </c>
      <c r="AE29" s="684" t="s">
        <v>816</v>
      </c>
      <c r="AF29" s="47" t="s">
        <v>556</v>
      </c>
      <c r="AG29" s="684" t="s">
        <v>866</v>
      </c>
      <c r="AH29" s="698" t="s">
        <v>866</v>
      </c>
    </row>
    <row r="30" spans="1:34" s="513" customFormat="1" ht="26.4" customHeight="1">
      <c r="A30" s="691">
        <v>7</v>
      </c>
      <c r="B30" s="692" t="s">
        <v>862</v>
      </c>
      <c r="C30" s="693" t="s">
        <v>814</v>
      </c>
      <c r="D30" s="680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863</v>
      </c>
      <c r="AF30" s="684" t="s">
        <v>816</v>
      </c>
      <c r="AG30" s="684" t="s">
        <v>816</v>
      </c>
      <c r="AH30" s="699" t="s">
        <v>835</v>
      </c>
    </row>
    <row r="31" spans="1:34" s="513" customFormat="1" ht="40.200000000000003" customHeight="1">
      <c r="A31" s="691">
        <v>8</v>
      </c>
      <c r="B31" s="692" t="s">
        <v>782</v>
      </c>
      <c r="C31" s="693" t="s">
        <v>781</v>
      </c>
      <c r="D31" s="695" t="s">
        <v>817</v>
      </c>
      <c r="E31" s="597" t="s">
        <v>818</v>
      </c>
      <c r="F31" s="597" t="s">
        <v>818</v>
      </c>
      <c r="G31" s="597" t="s">
        <v>818</v>
      </c>
      <c r="H31" s="597" t="s">
        <v>818</v>
      </c>
      <c r="I31" s="597" t="s">
        <v>818</v>
      </c>
      <c r="J31" s="597" t="s">
        <v>818</v>
      </c>
      <c r="K31" s="597" t="s">
        <v>818</v>
      </c>
      <c r="L31" s="597" t="s">
        <v>818</v>
      </c>
      <c r="M31" s="597" t="s">
        <v>827</v>
      </c>
      <c r="N31" s="598" t="s">
        <v>826</v>
      </c>
      <c r="O31" s="598" t="s">
        <v>829</v>
      </c>
      <c r="P31" s="598" t="s">
        <v>829</v>
      </c>
      <c r="Q31" s="684" t="s">
        <v>816</v>
      </c>
      <c r="R31" s="684" t="s">
        <v>816</v>
      </c>
      <c r="S31" s="684" t="s">
        <v>816</v>
      </c>
      <c r="T31" s="684" t="s">
        <v>816</v>
      </c>
      <c r="U31" s="684" t="s">
        <v>816</v>
      </c>
      <c r="V31" s="684" t="s">
        <v>816</v>
      </c>
      <c r="W31" s="630" t="s">
        <v>848</v>
      </c>
      <c r="X31" s="630" t="s">
        <v>848</v>
      </c>
      <c r="Y31" s="630" t="s">
        <v>852</v>
      </c>
      <c r="Z31" s="630" t="s">
        <v>854</v>
      </c>
      <c r="AA31" s="630" t="s">
        <v>852</v>
      </c>
      <c r="AB31" s="630" t="s">
        <v>854</v>
      </c>
      <c r="AC31" s="630" t="s">
        <v>852</v>
      </c>
      <c r="AD31" s="630" t="s">
        <v>858</v>
      </c>
      <c r="AE31" s="630" t="s">
        <v>859</v>
      </c>
      <c r="AF31" s="630" t="s">
        <v>859</v>
      </c>
      <c r="AG31" s="630" t="s">
        <v>864</v>
      </c>
      <c r="AH31" s="700" t="s">
        <v>867</v>
      </c>
    </row>
    <row r="32" spans="1:34" s="45" customFormat="1" ht="40.200000000000003" customHeight="1" thickBot="1">
      <c r="A32" s="602">
        <v>9</v>
      </c>
      <c r="B32" s="603" t="s">
        <v>830</v>
      </c>
      <c r="C32" s="604" t="s">
        <v>781</v>
      </c>
      <c r="D32" s="579"/>
      <c r="E32" s="577"/>
      <c r="F32" s="577"/>
      <c r="G32" s="577"/>
      <c r="H32" s="577"/>
      <c r="I32" s="577"/>
      <c r="J32" s="577"/>
      <c r="K32" s="577"/>
      <c r="L32" s="577"/>
      <c r="M32" s="586"/>
      <c r="N32" s="585"/>
      <c r="O32" s="587"/>
      <c r="P32" s="587"/>
      <c r="Q32" s="596"/>
      <c r="R32" s="587" t="s">
        <v>831</v>
      </c>
      <c r="S32" s="587" t="s">
        <v>831</v>
      </c>
      <c r="T32" s="587" t="s">
        <v>831</v>
      </c>
      <c r="U32" s="587" t="s">
        <v>846</v>
      </c>
      <c r="V32" s="587" t="s">
        <v>846</v>
      </c>
      <c r="W32" s="631" t="s">
        <v>849</v>
      </c>
      <c r="X32" s="631" t="s">
        <v>849</v>
      </c>
      <c r="Y32" s="631" t="s">
        <v>853</v>
      </c>
      <c r="Z32" s="631" t="s">
        <v>853</v>
      </c>
      <c r="AA32" s="631" t="s">
        <v>853</v>
      </c>
      <c r="AB32" s="631" t="s">
        <v>853</v>
      </c>
      <c r="AC32" s="631" t="s">
        <v>853</v>
      </c>
      <c r="AD32" s="627" t="s">
        <v>816</v>
      </c>
      <c r="AE32" s="627" t="s">
        <v>816</v>
      </c>
      <c r="AF32" s="627" t="s">
        <v>816</v>
      </c>
      <c r="AG32" s="627" t="s">
        <v>816</v>
      </c>
      <c r="AH32" s="628" t="s">
        <v>816</v>
      </c>
    </row>
    <row r="35" spans="1:34" ht="15" thickBot="1"/>
    <row r="36" spans="1:34" ht="21.6" thickBot="1">
      <c r="A36" s="938" t="s">
        <v>820</v>
      </c>
      <c r="B36" s="939"/>
      <c r="C36" s="939"/>
      <c r="D36" s="939"/>
      <c r="E36" s="939"/>
      <c r="F36" s="939"/>
      <c r="G36" s="939"/>
      <c r="H36" s="939"/>
      <c r="I36" s="939"/>
      <c r="J36" s="939"/>
      <c r="K36" s="939"/>
      <c r="L36" s="939"/>
      <c r="M36" s="939"/>
      <c r="N36" s="939"/>
      <c r="O36" s="939"/>
      <c r="P36" s="939"/>
      <c r="Q36" s="939"/>
      <c r="R36" s="939"/>
      <c r="S36" s="939"/>
      <c r="T36" s="939"/>
      <c r="U36" s="939"/>
      <c r="V36" s="939"/>
      <c r="W36" s="939"/>
      <c r="X36" s="939"/>
      <c r="Y36" s="939"/>
      <c r="Z36" s="939"/>
      <c r="AA36" s="939"/>
      <c r="AB36" s="939"/>
      <c r="AC36" s="939"/>
      <c r="AD36" s="939"/>
      <c r="AE36" s="939"/>
      <c r="AF36" s="939"/>
      <c r="AG36" s="939"/>
      <c r="AH36" s="940"/>
    </row>
    <row r="37" spans="1:34" ht="18.600000000000001" thickBot="1">
      <c r="A37" s="944" t="s">
        <v>832</v>
      </c>
      <c r="B37" s="945"/>
      <c r="C37" s="945"/>
      <c r="D37" s="945"/>
      <c r="E37" s="945"/>
      <c r="F37" s="945"/>
      <c r="G37" s="945"/>
      <c r="H37" s="945"/>
      <c r="I37" s="945"/>
      <c r="J37" s="945"/>
      <c r="K37" s="945"/>
      <c r="L37" s="945"/>
      <c r="M37" s="945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  <c r="AA37" s="945"/>
      <c r="AB37" s="945"/>
      <c r="AC37" s="945"/>
      <c r="AD37" s="945"/>
      <c r="AE37" s="945"/>
      <c r="AF37" s="945"/>
      <c r="AG37" s="945"/>
      <c r="AH37" s="946"/>
    </row>
    <row r="38" spans="1:34" ht="19.2" customHeight="1">
      <c r="A38" s="616" t="s">
        <v>12</v>
      </c>
      <c r="B38" s="617" t="s">
        <v>672</v>
      </c>
      <c r="C38" s="618" t="s">
        <v>810</v>
      </c>
      <c r="D38" s="619">
        <v>45962</v>
      </c>
      <c r="E38" s="619">
        <v>45963</v>
      </c>
      <c r="F38" s="619">
        <v>45964</v>
      </c>
      <c r="G38" s="619">
        <v>45965</v>
      </c>
      <c r="H38" s="619">
        <v>45966</v>
      </c>
      <c r="I38" s="619">
        <v>45967</v>
      </c>
      <c r="J38" s="619">
        <v>45968</v>
      </c>
      <c r="K38" s="619">
        <v>45969</v>
      </c>
      <c r="L38" s="619">
        <v>45970</v>
      </c>
      <c r="M38" s="619">
        <v>45971</v>
      </c>
      <c r="N38" s="619">
        <v>45972</v>
      </c>
      <c r="O38" s="619">
        <v>45973</v>
      </c>
      <c r="P38" s="619">
        <v>45974</v>
      </c>
      <c r="Q38" s="619">
        <v>45975</v>
      </c>
      <c r="R38" s="619">
        <v>45976</v>
      </c>
      <c r="S38" s="619">
        <v>45977</v>
      </c>
      <c r="T38" s="619">
        <v>45978</v>
      </c>
      <c r="U38" s="619">
        <v>45979</v>
      </c>
      <c r="V38" s="619">
        <v>45980</v>
      </c>
      <c r="W38" s="619">
        <v>45981</v>
      </c>
      <c r="X38" s="619">
        <v>45982</v>
      </c>
      <c r="Y38" s="619">
        <v>45983</v>
      </c>
      <c r="Z38" s="619">
        <v>45984</v>
      </c>
      <c r="AA38" s="619">
        <v>45985</v>
      </c>
      <c r="AB38" s="619">
        <v>45986</v>
      </c>
      <c r="AC38" s="619">
        <v>45987</v>
      </c>
      <c r="AD38" s="619">
        <v>45988</v>
      </c>
      <c r="AE38" s="619">
        <v>45989</v>
      </c>
      <c r="AF38" s="619">
        <v>45990</v>
      </c>
      <c r="AG38" s="619">
        <v>45991</v>
      </c>
      <c r="AH38" s="619"/>
    </row>
    <row r="39" spans="1:34" ht="21.6" customHeight="1">
      <c r="A39" s="161">
        <v>1</v>
      </c>
      <c r="B39" s="593" t="s">
        <v>833</v>
      </c>
      <c r="C39" s="594" t="s">
        <v>811</v>
      </c>
      <c r="D39" s="614" t="s">
        <v>816</v>
      </c>
      <c r="E39" s="578" t="s">
        <v>182</v>
      </c>
      <c r="F39" s="578" t="s">
        <v>182</v>
      </c>
      <c r="G39" s="578" t="s">
        <v>182</v>
      </c>
      <c r="H39" s="578" t="s">
        <v>182</v>
      </c>
      <c r="I39" s="578" t="s">
        <v>182</v>
      </c>
      <c r="J39" s="578" t="s">
        <v>182</v>
      </c>
      <c r="K39" s="578" t="s">
        <v>182</v>
      </c>
      <c r="L39" s="578" t="s">
        <v>182</v>
      </c>
      <c r="M39" s="578" t="s">
        <v>182</v>
      </c>
      <c r="N39" s="590" t="s">
        <v>181</v>
      </c>
      <c r="O39" s="590" t="s">
        <v>181</v>
      </c>
      <c r="P39" s="590" t="s">
        <v>181</v>
      </c>
      <c r="Q39" s="590" t="s">
        <v>181</v>
      </c>
      <c r="R39" s="614" t="s">
        <v>816</v>
      </c>
      <c r="S39" s="614" t="s">
        <v>816</v>
      </c>
      <c r="T39" s="614" t="s">
        <v>816</v>
      </c>
      <c r="U39" s="614" t="s">
        <v>816</v>
      </c>
      <c r="V39" s="614" t="s">
        <v>816</v>
      </c>
      <c r="W39" s="614" t="s">
        <v>816</v>
      </c>
      <c r="X39" s="614" t="s">
        <v>816</v>
      </c>
      <c r="Y39" s="614" t="s">
        <v>816</v>
      </c>
      <c r="Z39" s="614" t="s">
        <v>816</v>
      </c>
      <c r="AA39" s="614" t="s">
        <v>816</v>
      </c>
      <c r="AB39" s="614" t="s">
        <v>816</v>
      </c>
      <c r="AC39" s="614" t="s">
        <v>816</v>
      </c>
      <c r="AD39" s="614" t="s">
        <v>816</v>
      </c>
      <c r="AE39" s="614" t="s">
        <v>816</v>
      </c>
      <c r="AF39" s="614" t="s">
        <v>816</v>
      </c>
      <c r="AG39" s="614" t="s">
        <v>816</v>
      </c>
      <c r="AH39" s="570"/>
    </row>
    <row r="40" spans="1:34" ht="21.6" customHeight="1">
      <c r="A40" s="161">
        <v>2</v>
      </c>
      <c r="B40" s="593" t="s">
        <v>834</v>
      </c>
      <c r="C40" s="594" t="s">
        <v>811</v>
      </c>
      <c r="D40" s="620" t="s">
        <v>835</v>
      </c>
      <c r="E40" s="620" t="s">
        <v>835</v>
      </c>
      <c r="F40" s="620" t="s">
        <v>835</v>
      </c>
      <c r="G40" s="620" t="s">
        <v>835</v>
      </c>
      <c r="H40" s="620" t="s">
        <v>835</v>
      </c>
      <c r="I40" s="620" t="s">
        <v>835</v>
      </c>
      <c r="J40" s="620" t="s">
        <v>835</v>
      </c>
      <c r="K40" s="620" t="s">
        <v>835</v>
      </c>
      <c r="L40" s="620" t="s">
        <v>835</v>
      </c>
      <c r="M40" s="620" t="s">
        <v>835</v>
      </c>
      <c r="N40" s="620" t="s">
        <v>835</v>
      </c>
      <c r="O40" s="590" t="s">
        <v>799</v>
      </c>
      <c r="P40" s="590" t="s">
        <v>799</v>
      </c>
      <c r="Q40" s="590" t="s">
        <v>799</v>
      </c>
      <c r="R40" s="590" t="s">
        <v>799</v>
      </c>
      <c r="S40" s="614" t="s">
        <v>816</v>
      </c>
      <c r="T40" s="590" t="s">
        <v>799</v>
      </c>
      <c r="U40" s="590" t="s">
        <v>799</v>
      </c>
      <c r="V40" s="590" t="s">
        <v>799</v>
      </c>
      <c r="W40" s="590" t="s">
        <v>799</v>
      </c>
      <c r="X40" s="590" t="s">
        <v>799</v>
      </c>
      <c r="Y40" s="614" t="s">
        <v>816</v>
      </c>
      <c r="Z40" s="614" t="s">
        <v>816</v>
      </c>
      <c r="AA40" s="614" t="s">
        <v>816</v>
      </c>
      <c r="AB40" s="590" t="s">
        <v>616</v>
      </c>
      <c r="AC40" s="590" t="s">
        <v>616</v>
      </c>
      <c r="AD40" s="590" t="s">
        <v>616</v>
      </c>
      <c r="AE40" s="590" t="s">
        <v>616</v>
      </c>
      <c r="AF40" s="614" t="s">
        <v>816</v>
      </c>
      <c r="AG40" s="614" t="s">
        <v>816</v>
      </c>
      <c r="AH40" s="570"/>
    </row>
    <row r="41" spans="1:34" ht="21.6" customHeight="1">
      <c r="A41" s="161">
        <v>3</v>
      </c>
      <c r="B41" s="593" t="s">
        <v>836</v>
      </c>
      <c r="C41" s="594" t="s">
        <v>811</v>
      </c>
      <c r="D41" s="620" t="s">
        <v>835</v>
      </c>
      <c r="E41" s="620" t="s">
        <v>835</v>
      </c>
      <c r="F41" s="620" t="s">
        <v>835</v>
      </c>
      <c r="G41" s="620" t="s">
        <v>835</v>
      </c>
      <c r="H41" s="620" t="s">
        <v>835</v>
      </c>
      <c r="I41" s="620" t="s">
        <v>835</v>
      </c>
      <c r="J41" s="620" t="s">
        <v>835</v>
      </c>
      <c r="K41" s="620" t="s">
        <v>835</v>
      </c>
      <c r="L41" s="620" t="s">
        <v>835</v>
      </c>
      <c r="M41" s="620" t="s">
        <v>835</v>
      </c>
      <c r="N41" s="620" t="s">
        <v>835</v>
      </c>
      <c r="O41" s="620" t="s">
        <v>835</v>
      </c>
      <c r="P41" s="620" t="s">
        <v>835</v>
      </c>
      <c r="Q41" s="590" t="s">
        <v>800</v>
      </c>
      <c r="R41" s="590" t="s">
        <v>800</v>
      </c>
      <c r="S41" s="614" t="s">
        <v>816</v>
      </c>
      <c r="T41" s="614" t="s">
        <v>816</v>
      </c>
      <c r="U41" s="590" t="s">
        <v>800</v>
      </c>
      <c r="V41" s="590" t="s">
        <v>800</v>
      </c>
      <c r="W41" s="590" t="s">
        <v>800</v>
      </c>
      <c r="X41" s="590" t="s">
        <v>800</v>
      </c>
      <c r="Y41" s="590" t="s">
        <v>800</v>
      </c>
      <c r="Z41" s="590" t="s">
        <v>800</v>
      </c>
      <c r="AA41" s="590" t="s">
        <v>800</v>
      </c>
      <c r="AB41" s="590" t="s">
        <v>800</v>
      </c>
      <c r="AC41" s="614" t="s">
        <v>816</v>
      </c>
      <c r="AD41" s="614" t="s">
        <v>816</v>
      </c>
      <c r="AE41" s="614" t="s">
        <v>816</v>
      </c>
      <c r="AF41" s="614" t="s">
        <v>816</v>
      </c>
      <c r="AG41" s="614" t="s">
        <v>816</v>
      </c>
      <c r="AH41" s="570"/>
    </row>
    <row r="42" spans="1:34" ht="21.6" customHeight="1">
      <c r="A42" s="161">
        <v>4</v>
      </c>
      <c r="B42" s="593" t="s">
        <v>815</v>
      </c>
      <c r="C42" s="594" t="s">
        <v>814</v>
      </c>
      <c r="D42" s="578" t="s">
        <v>162</v>
      </c>
      <c r="E42" s="578" t="s">
        <v>162</v>
      </c>
      <c r="F42" s="578" t="s">
        <v>162</v>
      </c>
      <c r="G42" s="578" t="s">
        <v>162</v>
      </c>
      <c r="H42" s="578" t="s">
        <v>162</v>
      </c>
      <c r="I42" s="578" t="s">
        <v>162</v>
      </c>
      <c r="J42" s="578" t="s">
        <v>158</v>
      </c>
      <c r="K42" s="578" t="s">
        <v>158</v>
      </c>
      <c r="L42" s="578" t="s">
        <v>158</v>
      </c>
      <c r="M42" s="578" t="s">
        <v>158</v>
      </c>
      <c r="N42" s="578" t="s">
        <v>158</v>
      </c>
      <c r="O42" s="578" t="s">
        <v>158</v>
      </c>
      <c r="P42" s="590" t="s">
        <v>120</v>
      </c>
      <c r="Q42" s="590" t="s">
        <v>120</v>
      </c>
      <c r="R42" s="590" t="s">
        <v>120</v>
      </c>
      <c r="S42" s="590" t="s">
        <v>120</v>
      </c>
      <c r="T42" s="590" t="s">
        <v>120</v>
      </c>
      <c r="U42" s="590" t="s">
        <v>120</v>
      </c>
      <c r="V42" s="590" t="s">
        <v>120</v>
      </c>
      <c r="W42" s="590" t="s">
        <v>120</v>
      </c>
      <c r="X42" s="590" t="s">
        <v>120</v>
      </c>
      <c r="Y42" s="614" t="s">
        <v>816</v>
      </c>
      <c r="Z42" s="590" t="s">
        <v>153</v>
      </c>
      <c r="AA42" s="590" t="s">
        <v>153</v>
      </c>
      <c r="AB42" s="590" t="s">
        <v>153</v>
      </c>
      <c r="AC42" s="590" t="s">
        <v>153</v>
      </c>
      <c r="AD42" s="590" t="s">
        <v>153</v>
      </c>
      <c r="AE42" s="590" t="s">
        <v>153</v>
      </c>
      <c r="AF42" s="590" t="s">
        <v>153</v>
      </c>
      <c r="AG42" s="590" t="s">
        <v>153</v>
      </c>
      <c r="AH42" s="570"/>
    </row>
    <row r="43" spans="1:34" ht="21.6" customHeight="1">
      <c r="A43" s="161">
        <v>5</v>
      </c>
      <c r="B43" s="593" t="s">
        <v>699</v>
      </c>
      <c r="C43" s="594" t="s">
        <v>814</v>
      </c>
      <c r="D43" s="578" t="s">
        <v>658</v>
      </c>
      <c r="E43" s="578" t="s">
        <v>658</v>
      </c>
      <c r="F43" s="578" t="s">
        <v>658</v>
      </c>
      <c r="G43" s="578" t="s">
        <v>658</v>
      </c>
      <c r="H43" s="578" t="s">
        <v>658</v>
      </c>
      <c r="I43" s="578" t="s">
        <v>658</v>
      </c>
      <c r="J43" s="578" t="s">
        <v>658</v>
      </c>
      <c r="K43" s="614" t="s">
        <v>816</v>
      </c>
      <c r="L43" s="614" t="s">
        <v>816</v>
      </c>
      <c r="M43" s="578" t="s">
        <v>674</v>
      </c>
      <c r="N43" s="578" t="s">
        <v>674</v>
      </c>
      <c r="O43" s="578" t="s">
        <v>674</v>
      </c>
      <c r="P43" s="578" t="s">
        <v>674</v>
      </c>
      <c r="Q43" s="578" t="s">
        <v>674</v>
      </c>
      <c r="R43" s="578" t="s">
        <v>674</v>
      </c>
      <c r="S43" s="578" t="s">
        <v>674</v>
      </c>
      <c r="T43" s="578" t="s">
        <v>674</v>
      </c>
      <c r="U43" s="578" t="s">
        <v>674</v>
      </c>
      <c r="V43" s="578" t="s">
        <v>168</v>
      </c>
      <c r="W43" s="578" t="s">
        <v>168</v>
      </c>
      <c r="X43" s="578" t="s">
        <v>168</v>
      </c>
      <c r="Y43" s="578" t="s">
        <v>168</v>
      </c>
      <c r="Z43" s="578" t="s">
        <v>168</v>
      </c>
      <c r="AA43" s="578" t="s">
        <v>168</v>
      </c>
      <c r="AB43" s="578" t="s">
        <v>168</v>
      </c>
      <c r="AC43" s="578" t="s">
        <v>168</v>
      </c>
      <c r="AD43" s="578" t="s">
        <v>168</v>
      </c>
      <c r="AE43" s="614" t="s">
        <v>816</v>
      </c>
      <c r="AF43" s="590" t="s">
        <v>557</v>
      </c>
      <c r="AG43" s="590" t="s">
        <v>557</v>
      </c>
      <c r="AH43" s="570"/>
    </row>
    <row r="44" spans="1:34" ht="21.6" customHeight="1">
      <c r="A44" s="161">
        <v>6</v>
      </c>
      <c r="B44" s="593" t="s">
        <v>697</v>
      </c>
      <c r="C44" s="594" t="s">
        <v>814</v>
      </c>
      <c r="D44" s="578" t="s">
        <v>663</v>
      </c>
      <c r="E44" s="578" t="s">
        <v>663</v>
      </c>
      <c r="F44" s="578" t="s">
        <v>663</v>
      </c>
      <c r="G44" s="578" t="s">
        <v>663</v>
      </c>
      <c r="H44" s="578" t="s">
        <v>663</v>
      </c>
      <c r="I44" s="578" t="s">
        <v>663</v>
      </c>
      <c r="J44" s="578" t="s">
        <v>663</v>
      </c>
      <c r="K44" s="578" t="s">
        <v>663</v>
      </c>
      <c r="L44" s="578" t="s">
        <v>151</v>
      </c>
      <c r="M44" s="578" t="s">
        <v>151</v>
      </c>
      <c r="N44" s="578" t="s">
        <v>151</v>
      </c>
      <c r="O44" s="578" t="s">
        <v>151</v>
      </c>
      <c r="P44" s="578" t="s">
        <v>151</v>
      </c>
      <c r="Q44" s="578" t="s">
        <v>663</v>
      </c>
      <c r="R44" s="578" t="s">
        <v>663</v>
      </c>
      <c r="S44" s="578" t="s">
        <v>663</v>
      </c>
      <c r="T44" s="578" t="s">
        <v>663</v>
      </c>
      <c r="U44" s="578" t="s">
        <v>663</v>
      </c>
      <c r="V44" s="578" t="s">
        <v>663</v>
      </c>
      <c r="W44" s="578" t="s">
        <v>663</v>
      </c>
      <c r="X44" s="578" t="s">
        <v>663</v>
      </c>
      <c r="Y44" s="578" t="s">
        <v>663</v>
      </c>
      <c r="Z44" s="578" t="s">
        <v>663</v>
      </c>
      <c r="AA44" s="578" t="s">
        <v>663</v>
      </c>
      <c r="AB44" s="578" t="s">
        <v>663</v>
      </c>
      <c r="AC44" s="578" t="s">
        <v>663</v>
      </c>
      <c r="AD44" s="578" t="s">
        <v>663</v>
      </c>
      <c r="AE44" s="578" t="s">
        <v>663</v>
      </c>
      <c r="AF44" s="578" t="s">
        <v>663</v>
      </c>
      <c r="AG44" s="614" t="s">
        <v>816</v>
      </c>
      <c r="AH44" s="570"/>
    </row>
    <row r="45" spans="1:34" ht="21.6" customHeight="1" thickBot="1">
      <c r="A45" s="149">
        <v>7</v>
      </c>
      <c r="B45" s="592" t="s">
        <v>782</v>
      </c>
      <c r="C45" s="595" t="s">
        <v>781</v>
      </c>
      <c r="D45" s="621" t="s">
        <v>795</v>
      </c>
      <c r="E45" s="621" t="s">
        <v>795</v>
      </c>
      <c r="F45" s="621" t="s">
        <v>795</v>
      </c>
      <c r="G45" s="614" t="s">
        <v>816</v>
      </c>
      <c r="H45" s="621" t="s">
        <v>774</v>
      </c>
      <c r="I45" s="621" t="s">
        <v>774</v>
      </c>
      <c r="J45" s="621" t="s">
        <v>774</v>
      </c>
      <c r="K45" s="621" t="s">
        <v>774</v>
      </c>
      <c r="L45" s="621" t="s">
        <v>774</v>
      </c>
      <c r="M45" s="621" t="s">
        <v>795</v>
      </c>
      <c r="N45" s="621" t="s">
        <v>795</v>
      </c>
      <c r="O45" s="621" t="s">
        <v>774</v>
      </c>
      <c r="P45" s="621" t="s">
        <v>795</v>
      </c>
      <c r="Q45" s="621" t="s">
        <v>774</v>
      </c>
      <c r="R45" s="621" t="s">
        <v>795</v>
      </c>
      <c r="S45" s="621" t="s">
        <v>774</v>
      </c>
      <c r="T45" s="621" t="s">
        <v>774</v>
      </c>
      <c r="U45" s="622" t="s">
        <v>792</v>
      </c>
      <c r="V45" s="622" t="s">
        <v>792</v>
      </c>
      <c r="W45" s="622" t="s">
        <v>792</v>
      </c>
      <c r="X45" s="622" t="s">
        <v>792</v>
      </c>
      <c r="Y45" s="622" t="s">
        <v>792</v>
      </c>
      <c r="Z45" s="622" t="s">
        <v>792</v>
      </c>
      <c r="AA45" s="622" t="s">
        <v>792</v>
      </c>
      <c r="AB45" s="622" t="s">
        <v>792</v>
      </c>
      <c r="AC45" s="622" t="s">
        <v>792</v>
      </c>
      <c r="AD45" s="622" t="s">
        <v>792</v>
      </c>
      <c r="AE45" s="622" t="s">
        <v>792</v>
      </c>
      <c r="AF45" s="622" t="s">
        <v>792</v>
      </c>
      <c r="AG45" s="622" t="s">
        <v>792</v>
      </c>
      <c r="AH45" s="623"/>
    </row>
    <row r="49" spans="1:34" ht="15" thickBot="1"/>
    <row r="50" spans="1:34" ht="21.6" thickBot="1">
      <c r="A50" s="938" t="s">
        <v>820</v>
      </c>
      <c r="B50" s="939"/>
      <c r="C50" s="939"/>
      <c r="D50" s="939"/>
      <c r="E50" s="939"/>
      <c r="F50" s="939"/>
      <c r="G50" s="939"/>
      <c r="H50" s="939"/>
      <c r="I50" s="939"/>
      <c r="J50" s="939"/>
      <c r="K50" s="939"/>
      <c r="L50" s="939"/>
      <c r="M50" s="939"/>
      <c r="N50" s="939"/>
      <c r="O50" s="939"/>
      <c r="P50" s="939"/>
      <c r="Q50" s="939"/>
      <c r="R50" s="939"/>
      <c r="S50" s="939"/>
      <c r="T50" s="939"/>
      <c r="U50" s="939"/>
      <c r="V50" s="939"/>
      <c r="W50" s="939"/>
      <c r="X50" s="939"/>
      <c r="Y50" s="939"/>
      <c r="Z50" s="939"/>
      <c r="AA50" s="939"/>
      <c r="AB50" s="939"/>
      <c r="AC50" s="939"/>
      <c r="AD50" s="939"/>
      <c r="AE50" s="939"/>
      <c r="AF50" s="939"/>
      <c r="AG50" s="939"/>
      <c r="AH50" s="940"/>
    </row>
    <row r="51" spans="1:34" ht="18.600000000000001" thickBot="1">
      <c r="A51" s="944" t="s">
        <v>837</v>
      </c>
      <c r="B51" s="945"/>
      <c r="C51" s="945"/>
      <c r="D51" s="945"/>
      <c r="E51" s="945"/>
      <c r="F51" s="945"/>
      <c r="G51" s="945"/>
      <c r="H51" s="945"/>
      <c r="I51" s="945"/>
      <c r="J51" s="945"/>
      <c r="K51" s="945"/>
      <c r="L51" s="945"/>
      <c r="M51" s="945"/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  <c r="AA51" s="945"/>
      <c r="AB51" s="945"/>
      <c r="AC51" s="945"/>
      <c r="AD51" s="945"/>
      <c r="AE51" s="945"/>
      <c r="AF51" s="945"/>
      <c r="AG51" s="945"/>
      <c r="AH51" s="946"/>
    </row>
    <row r="52" spans="1:34" ht="22.8" customHeight="1">
      <c r="A52" s="616" t="s">
        <v>12</v>
      </c>
      <c r="B52" s="617" t="s">
        <v>672</v>
      </c>
      <c r="C52" s="618" t="s">
        <v>810</v>
      </c>
      <c r="D52" s="619">
        <v>45931</v>
      </c>
      <c r="E52" s="619">
        <v>45932</v>
      </c>
      <c r="F52" s="619">
        <v>45933</v>
      </c>
      <c r="G52" s="619">
        <v>45934</v>
      </c>
      <c r="H52" s="619">
        <v>45935</v>
      </c>
      <c r="I52" s="619">
        <v>45936</v>
      </c>
      <c r="J52" s="619">
        <v>45937</v>
      </c>
      <c r="K52" s="619">
        <v>45938</v>
      </c>
      <c r="L52" s="619">
        <v>45939</v>
      </c>
      <c r="M52" s="619">
        <v>45940</v>
      </c>
      <c r="N52" s="619">
        <v>45941</v>
      </c>
      <c r="O52" s="619">
        <v>45942</v>
      </c>
      <c r="P52" s="619">
        <v>45943</v>
      </c>
      <c r="Q52" s="619">
        <v>45944</v>
      </c>
      <c r="R52" s="619">
        <v>45945</v>
      </c>
      <c r="S52" s="619">
        <v>45946</v>
      </c>
      <c r="T52" s="619">
        <v>45947</v>
      </c>
      <c r="U52" s="619">
        <v>45948</v>
      </c>
      <c r="V52" s="619">
        <v>45949</v>
      </c>
      <c r="W52" s="619">
        <v>45950</v>
      </c>
      <c r="X52" s="619">
        <v>45951</v>
      </c>
      <c r="Y52" s="619">
        <v>45952</v>
      </c>
      <c r="Z52" s="619">
        <v>45953</v>
      </c>
      <c r="AA52" s="619">
        <v>45954</v>
      </c>
      <c r="AB52" s="619">
        <v>45955</v>
      </c>
      <c r="AC52" s="619">
        <v>45956</v>
      </c>
      <c r="AD52" s="619">
        <v>45957</v>
      </c>
      <c r="AE52" s="619">
        <v>45958</v>
      </c>
      <c r="AF52" s="619">
        <v>45959</v>
      </c>
      <c r="AG52" s="619">
        <v>45960</v>
      </c>
      <c r="AH52" s="624">
        <v>45961</v>
      </c>
    </row>
    <row r="53" spans="1:34" ht="22.8" customHeight="1">
      <c r="A53" s="161">
        <v>1</v>
      </c>
      <c r="B53" s="593" t="s">
        <v>833</v>
      </c>
      <c r="C53" s="594" t="s">
        <v>811</v>
      </c>
      <c r="D53" s="614" t="s">
        <v>816</v>
      </c>
      <c r="E53" s="614" t="s">
        <v>816</v>
      </c>
      <c r="F53" s="614" t="s">
        <v>816</v>
      </c>
      <c r="G53" s="625" t="s">
        <v>835</v>
      </c>
      <c r="H53" s="591" t="s">
        <v>838</v>
      </c>
      <c r="I53" s="591" t="s">
        <v>838</v>
      </c>
      <c r="J53" s="591" t="s">
        <v>838</v>
      </c>
      <c r="K53" s="591" t="s">
        <v>838</v>
      </c>
      <c r="L53" s="591" t="s">
        <v>838</v>
      </c>
      <c r="M53" s="591" t="s">
        <v>838</v>
      </c>
      <c r="N53" s="591" t="s">
        <v>838</v>
      </c>
      <c r="O53" s="591" t="s">
        <v>838</v>
      </c>
      <c r="P53" s="591" t="s">
        <v>838</v>
      </c>
      <c r="Q53" s="591" t="s">
        <v>838</v>
      </c>
      <c r="R53" s="591" t="s">
        <v>838</v>
      </c>
      <c r="S53" s="591" t="s">
        <v>838</v>
      </c>
      <c r="T53" s="591" t="s">
        <v>838</v>
      </c>
      <c r="U53" s="591" t="s">
        <v>838</v>
      </c>
      <c r="V53" s="591" t="s">
        <v>838</v>
      </c>
      <c r="W53" s="591" t="s">
        <v>838</v>
      </c>
      <c r="X53" s="591" t="s">
        <v>838</v>
      </c>
      <c r="Y53" s="591" t="s">
        <v>838</v>
      </c>
      <c r="Z53" s="591" t="s">
        <v>838</v>
      </c>
      <c r="AA53" s="591" t="s">
        <v>838</v>
      </c>
      <c r="AB53" s="591" t="s">
        <v>838</v>
      </c>
      <c r="AC53" s="591" t="s">
        <v>838</v>
      </c>
      <c r="AD53" s="591" t="s">
        <v>838</v>
      </c>
      <c r="AE53" s="591" t="s">
        <v>838</v>
      </c>
      <c r="AF53" s="591" t="s">
        <v>838</v>
      </c>
      <c r="AG53" s="591" t="s">
        <v>838</v>
      </c>
      <c r="AH53" s="580" t="s">
        <v>838</v>
      </c>
    </row>
    <row r="54" spans="1:34" ht="22.8" customHeight="1">
      <c r="A54" s="161">
        <v>2</v>
      </c>
      <c r="B54" s="593" t="s">
        <v>839</v>
      </c>
      <c r="C54" s="594" t="s">
        <v>814</v>
      </c>
      <c r="D54" s="614" t="s">
        <v>816</v>
      </c>
      <c r="E54" s="614" t="s">
        <v>816</v>
      </c>
      <c r="F54" s="614" t="s">
        <v>816</v>
      </c>
      <c r="G54" s="625" t="s">
        <v>840</v>
      </c>
      <c r="H54" s="625" t="s">
        <v>840</v>
      </c>
      <c r="I54" s="625" t="s">
        <v>840</v>
      </c>
      <c r="J54" s="625" t="s">
        <v>840</v>
      </c>
      <c r="K54" s="625" t="s">
        <v>840</v>
      </c>
      <c r="L54" s="625" t="s">
        <v>840</v>
      </c>
      <c r="M54" s="625" t="s">
        <v>840</v>
      </c>
      <c r="N54" s="625" t="s">
        <v>840</v>
      </c>
      <c r="O54" s="625" t="s">
        <v>840</v>
      </c>
      <c r="P54" s="625" t="s">
        <v>840</v>
      </c>
      <c r="Q54" s="625" t="s">
        <v>840</v>
      </c>
      <c r="R54" s="625" t="s">
        <v>840</v>
      </c>
      <c r="S54" s="625" t="s">
        <v>840</v>
      </c>
      <c r="T54" s="625" t="s">
        <v>840</v>
      </c>
      <c r="U54" s="625" t="s">
        <v>840</v>
      </c>
      <c r="V54" s="625" t="s">
        <v>840</v>
      </c>
      <c r="W54" s="625" t="s">
        <v>840</v>
      </c>
      <c r="X54" s="625" t="s">
        <v>840</v>
      </c>
      <c r="Y54" s="625" t="s">
        <v>840</v>
      </c>
      <c r="Z54" s="625" t="s">
        <v>840</v>
      </c>
      <c r="AA54" s="625" t="s">
        <v>840</v>
      </c>
      <c r="AB54" s="625" t="s">
        <v>840</v>
      </c>
      <c r="AC54" s="625" t="s">
        <v>840</v>
      </c>
      <c r="AD54" s="625" t="s">
        <v>840</v>
      </c>
      <c r="AE54" s="625" t="s">
        <v>840</v>
      </c>
      <c r="AF54" s="625" t="s">
        <v>840</v>
      </c>
      <c r="AG54" s="625" t="s">
        <v>840</v>
      </c>
      <c r="AH54" s="626" t="s">
        <v>840</v>
      </c>
    </row>
    <row r="55" spans="1:34" ht="22.8" customHeight="1">
      <c r="A55" s="161">
        <v>3</v>
      </c>
      <c r="B55" s="593" t="s">
        <v>841</v>
      </c>
      <c r="C55" s="594" t="s">
        <v>814</v>
      </c>
      <c r="D55" s="591" t="s">
        <v>173</v>
      </c>
      <c r="E55" s="591" t="s">
        <v>173</v>
      </c>
      <c r="F55" s="591" t="s">
        <v>173</v>
      </c>
      <c r="G55" s="591" t="s">
        <v>173</v>
      </c>
      <c r="H55" s="591" t="s">
        <v>173</v>
      </c>
      <c r="I55" s="614" t="s">
        <v>816</v>
      </c>
      <c r="J55" s="614" t="s">
        <v>816</v>
      </c>
      <c r="K55" s="614" t="s">
        <v>816</v>
      </c>
      <c r="L55" s="614" t="s">
        <v>816</v>
      </c>
      <c r="M55" s="614" t="s">
        <v>816</v>
      </c>
      <c r="N55" s="614" t="s">
        <v>816</v>
      </c>
      <c r="O55" s="614" t="s">
        <v>816</v>
      </c>
      <c r="P55" s="614" t="s">
        <v>816</v>
      </c>
      <c r="Q55" s="614" t="s">
        <v>816</v>
      </c>
      <c r="R55" s="591" t="s">
        <v>559</v>
      </c>
      <c r="S55" s="591" t="s">
        <v>559</v>
      </c>
      <c r="T55" s="591" t="s">
        <v>559</v>
      </c>
      <c r="U55" s="614" t="s">
        <v>816</v>
      </c>
      <c r="V55" s="591" t="s">
        <v>561</v>
      </c>
      <c r="W55" s="591" t="s">
        <v>561</v>
      </c>
      <c r="X55" s="591" t="s">
        <v>561</v>
      </c>
      <c r="Y55" s="591" t="s">
        <v>561</v>
      </c>
      <c r="Z55" s="591" t="s">
        <v>561</v>
      </c>
      <c r="AA55" s="614" t="s">
        <v>816</v>
      </c>
      <c r="AB55" s="591" t="s">
        <v>561</v>
      </c>
      <c r="AC55" s="591" t="s">
        <v>561</v>
      </c>
      <c r="AD55" s="591" t="s">
        <v>561</v>
      </c>
      <c r="AE55" s="614" t="s">
        <v>816</v>
      </c>
      <c r="AF55" s="614" t="s">
        <v>816</v>
      </c>
      <c r="AG55" s="591" t="s">
        <v>162</v>
      </c>
      <c r="AH55" s="580" t="s">
        <v>162</v>
      </c>
    </row>
    <row r="56" spans="1:34" ht="22.8" customHeight="1">
      <c r="A56" s="161">
        <v>4</v>
      </c>
      <c r="B56" s="593" t="s">
        <v>699</v>
      </c>
      <c r="C56" s="594" t="s">
        <v>814</v>
      </c>
      <c r="D56" s="614" t="s">
        <v>816</v>
      </c>
      <c r="E56" s="591" t="s">
        <v>597</v>
      </c>
      <c r="F56" s="591" t="s">
        <v>597</v>
      </c>
      <c r="G56" s="614" t="s">
        <v>816</v>
      </c>
      <c r="H56" s="614" t="s">
        <v>816</v>
      </c>
      <c r="I56" s="614" t="s">
        <v>816</v>
      </c>
      <c r="J56" s="614" t="s">
        <v>816</v>
      </c>
      <c r="K56" s="614" t="s">
        <v>816</v>
      </c>
      <c r="L56" s="614" t="s">
        <v>816</v>
      </c>
      <c r="M56" s="591" t="s">
        <v>597</v>
      </c>
      <c r="N56" s="591" t="s">
        <v>597</v>
      </c>
      <c r="O56" s="591" t="s">
        <v>597</v>
      </c>
      <c r="P56" s="591" t="s">
        <v>597</v>
      </c>
      <c r="Q56" s="591" t="s">
        <v>597</v>
      </c>
      <c r="R56" s="591" t="s">
        <v>597</v>
      </c>
      <c r="S56" s="591" t="s">
        <v>597</v>
      </c>
      <c r="T56" s="591" t="s">
        <v>597</v>
      </c>
      <c r="U56" s="591" t="s">
        <v>658</v>
      </c>
      <c r="V56" s="591" t="s">
        <v>658</v>
      </c>
      <c r="W56" s="591" t="s">
        <v>658</v>
      </c>
      <c r="X56" s="591" t="s">
        <v>658</v>
      </c>
      <c r="Y56" s="591" t="s">
        <v>658</v>
      </c>
      <c r="Z56" s="614" t="s">
        <v>816</v>
      </c>
      <c r="AA56" s="591" t="s">
        <v>658</v>
      </c>
      <c r="AB56" s="591" t="s">
        <v>658</v>
      </c>
      <c r="AC56" s="591" t="s">
        <v>658</v>
      </c>
      <c r="AD56" s="591" t="s">
        <v>658</v>
      </c>
      <c r="AE56" s="591" t="s">
        <v>658</v>
      </c>
      <c r="AF56" s="591" t="s">
        <v>658</v>
      </c>
      <c r="AG56" s="591" t="s">
        <v>658</v>
      </c>
      <c r="AH56" s="580" t="s">
        <v>658</v>
      </c>
    </row>
    <row r="57" spans="1:34" ht="22.8" customHeight="1">
      <c r="A57" s="161">
        <v>5</v>
      </c>
      <c r="B57" s="593" t="s">
        <v>842</v>
      </c>
      <c r="C57" s="594" t="s">
        <v>814</v>
      </c>
      <c r="D57" s="578" t="s">
        <v>665</v>
      </c>
      <c r="E57" s="614" t="s">
        <v>816</v>
      </c>
      <c r="F57" s="614" t="s">
        <v>816</v>
      </c>
      <c r="G57" s="614" t="s">
        <v>816</v>
      </c>
      <c r="H57" s="625" t="s">
        <v>840</v>
      </c>
      <c r="I57" s="625" t="s">
        <v>840</v>
      </c>
      <c r="J57" s="625" t="s">
        <v>840</v>
      </c>
      <c r="K57" s="625" t="s">
        <v>840</v>
      </c>
      <c r="L57" s="625" t="s">
        <v>840</v>
      </c>
      <c r="M57" s="625" t="s">
        <v>840</v>
      </c>
      <c r="N57" s="625" t="s">
        <v>840</v>
      </c>
      <c r="O57" s="625" t="s">
        <v>840</v>
      </c>
      <c r="P57" s="625" t="s">
        <v>840</v>
      </c>
      <c r="Q57" s="625" t="s">
        <v>840</v>
      </c>
      <c r="R57" s="625" t="s">
        <v>840</v>
      </c>
      <c r="S57" s="625" t="s">
        <v>840</v>
      </c>
      <c r="T57" s="625" t="s">
        <v>840</v>
      </c>
      <c r="U57" s="625" t="s">
        <v>840</v>
      </c>
      <c r="V57" s="625" t="s">
        <v>840</v>
      </c>
      <c r="W57" s="625" t="s">
        <v>840</v>
      </c>
      <c r="X57" s="625" t="s">
        <v>840</v>
      </c>
      <c r="Y57" s="625" t="s">
        <v>840</v>
      </c>
      <c r="Z57" s="625" t="s">
        <v>840</v>
      </c>
      <c r="AA57" s="625" t="s">
        <v>840</v>
      </c>
      <c r="AB57" s="625" t="s">
        <v>840</v>
      </c>
      <c r="AC57" s="625" t="s">
        <v>840</v>
      </c>
      <c r="AD57" s="625" t="s">
        <v>840</v>
      </c>
      <c r="AE57" s="625" t="s">
        <v>840</v>
      </c>
      <c r="AF57" s="625" t="s">
        <v>840</v>
      </c>
      <c r="AG57" s="625" t="s">
        <v>840</v>
      </c>
      <c r="AH57" s="626" t="s">
        <v>840</v>
      </c>
    </row>
    <row r="58" spans="1:34" ht="22.8" customHeight="1">
      <c r="A58" s="161">
        <v>6</v>
      </c>
      <c r="B58" s="593" t="s">
        <v>697</v>
      </c>
      <c r="C58" s="594" t="s">
        <v>814</v>
      </c>
      <c r="D58" s="578" t="s">
        <v>689</v>
      </c>
      <c r="E58" s="578" t="s">
        <v>689</v>
      </c>
      <c r="F58" s="578" t="s">
        <v>689</v>
      </c>
      <c r="G58" s="578" t="s">
        <v>689</v>
      </c>
      <c r="H58" s="578" t="s">
        <v>689</v>
      </c>
      <c r="I58" s="578" t="s">
        <v>689</v>
      </c>
      <c r="J58" s="578" t="s">
        <v>689</v>
      </c>
      <c r="K58" s="578" t="s">
        <v>689</v>
      </c>
      <c r="L58" s="578" t="s">
        <v>689</v>
      </c>
      <c r="M58" s="578" t="s">
        <v>689</v>
      </c>
      <c r="N58" s="578" t="s">
        <v>689</v>
      </c>
      <c r="O58" s="578" t="s">
        <v>689</v>
      </c>
      <c r="P58" s="578" t="s">
        <v>689</v>
      </c>
      <c r="Q58" s="578" t="s">
        <v>689</v>
      </c>
      <c r="R58" s="578" t="s">
        <v>689</v>
      </c>
      <c r="S58" s="578" t="s">
        <v>689</v>
      </c>
      <c r="T58" s="578" t="s">
        <v>689</v>
      </c>
      <c r="U58" s="591" t="s">
        <v>663</v>
      </c>
      <c r="V58" s="591" t="s">
        <v>663</v>
      </c>
      <c r="W58" s="591" t="s">
        <v>663</v>
      </c>
      <c r="X58" s="591" t="s">
        <v>663</v>
      </c>
      <c r="Y58" s="591" t="s">
        <v>663</v>
      </c>
      <c r="Z58" s="591" t="s">
        <v>663</v>
      </c>
      <c r="AA58" s="591" t="s">
        <v>663</v>
      </c>
      <c r="AB58" s="591" t="s">
        <v>663</v>
      </c>
      <c r="AC58" s="591" t="s">
        <v>663</v>
      </c>
      <c r="AD58" s="591" t="s">
        <v>663</v>
      </c>
      <c r="AE58" s="591" t="s">
        <v>663</v>
      </c>
      <c r="AF58" s="591" t="s">
        <v>663</v>
      </c>
      <c r="AG58" s="591" t="s">
        <v>663</v>
      </c>
      <c r="AH58" s="580" t="s">
        <v>663</v>
      </c>
    </row>
    <row r="59" spans="1:34" ht="22.8" customHeight="1" thickBot="1">
      <c r="A59" s="149">
        <v>7</v>
      </c>
      <c r="B59" s="592" t="s">
        <v>782</v>
      </c>
      <c r="C59" s="595" t="s">
        <v>781</v>
      </c>
      <c r="D59" s="579" t="s">
        <v>704</v>
      </c>
      <c r="E59" s="579" t="s">
        <v>704</v>
      </c>
      <c r="F59" s="579" t="s">
        <v>704</v>
      </c>
      <c r="G59" s="579" t="s">
        <v>704</v>
      </c>
      <c r="H59" s="579" t="s">
        <v>704</v>
      </c>
      <c r="I59" s="579" t="s">
        <v>704</v>
      </c>
      <c r="J59" s="579" t="s">
        <v>704</v>
      </c>
      <c r="K59" s="579" t="s">
        <v>704</v>
      </c>
      <c r="L59" s="577" t="s">
        <v>843</v>
      </c>
      <c r="M59" s="627" t="s">
        <v>816</v>
      </c>
      <c r="N59" s="627" t="s">
        <v>816</v>
      </c>
      <c r="O59" s="627" t="s">
        <v>816</v>
      </c>
      <c r="P59" s="587" t="s">
        <v>844</v>
      </c>
      <c r="Q59" s="587" t="s">
        <v>844</v>
      </c>
      <c r="R59" s="587" t="s">
        <v>844</v>
      </c>
      <c r="S59" s="556" t="s">
        <v>845</v>
      </c>
      <c r="T59" s="556" t="s">
        <v>845</v>
      </c>
      <c r="U59" s="587" t="s">
        <v>844</v>
      </c>
      <c r="V59" s="587" t="s">
        <v>844</v>
      </c>
      <c r="W59" s="627" t="s">
        <v>816</v>
      </c>
      <c r="X59" s="556" t="s">
        <v>845</v>
      </c>
      <c r="Y59" s="556" t="s">
        <v>845</v>
      </c>
      <c r="Z59" s="627" t="s">
        <v>816</v>
      </c>
      <c r="AA59" s="627" t="s">
        <v>816</v>
      </c>
      <c r="AB59" s="556" t="s">
        <v>845</v>
      </c>
      <c r="AC59" s="556" t="s">
        <v>845</v>
      </c>
      <c r="AD59" s="627" t="s">
        <v>816</v>
      </c>
      <c r="AE59" s="627" t="s">
        <v>816</v>
      </c>
      <c r="AF59" s="627" t="s">
        <v>816</v>
      </c>
      <c r="AG59" s="627" t="s">
        <v>816</v>
      </c>
      <c r="AH59" s="628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6"/>
  <sheetViews>
    <sheetView zoomScale="80" zoomScaleNormal="80" workbookViewId="0">
      <selection activeCell="C9" sqref="C9"/>
    </sheetView>
  </sheetViews>
  <sheetFormatPr defaultColWidth="9.21875" defaultRowHeight="15.6"/>
  <cols>
    <col min="1" max="1" width="6.21875" style="45" customWidth="1"/>
    <col min="2" max="5" width="21" style="432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947" t="s">
        <v>634</v>
      </c>
      <c r="B1" s="948"/>
      <c r="C1" s="948"/>
      <c r="D1" s="948"/>
      <c r="E1" s="948"/>
      <c r="F1" s="948"/>
      <c r="G1" s="948"/>
      <c r="H1" s="948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19.95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>
      <c r="A5" s="43"/>
      <c r="B5" s="431" t="s">
        <v>618</v>
      </c>
      <c r="C5" s="431" t="s">
        <v>618</v>
      </c>
      <c r="D5" s="428" t="s">
        <v>642</v>
      </c>
      <c r="E5" s="428" t="s">
        <v>641</v>
      </c>
      <c r="F5" s="282"/>
      <c r="G5" s="282"/>
      <c r="H5" s="282"/>
    </row>
    <row r="6" spans="1:8">
      <c r="A6" s="43"/>
      <c r="B6" s="429"/>
      <c r="C6" s="429"/>
      <c r="D6" s="429"/>
      <c r="E6" s="429"/>
      <c r="F6" s="282"/>
      <c r="G6" s="282"/>
      <c r="H6" s="282"/>
    </row>
  </sheetData>
  <autoFilter ref="A3:AD5"/>
  <mergeCells count="1">
    <mergeCell ref="A1:H1"/>
  </mergeCells>
  <conditionalFormatting sqref="H1:H1048576">
    <cfRule type="containsText" dxfId="69" priority="41" operator="containsText" text="Pending">
      <formula>NOT(ISERROR(SEARCH("Pending",H1)))</formula>
    </cfRule>
  </conditionalFormatting>
  <conditionalFormatting sqref="F5:F6 H4:H6">
    <cfRule type="containsText" dxfId="68" priority="55" operator="containsText" text="WIP">
      <formula>NOT(ISERROR(SEARCH("WIP",F4)))</formula>
    </cfRule>
    <cfRule type="containsText" dxfId="67" priority="56" operator="containsText" text="ROW">
      <formula>NOT(ISERROR(SEARCH("ROW",F4)))</formula>
    </cfRule>
    <cfRule type="containsText" dxfId="66" priority="57" operator="containsText" text="Pending">
      <formula>NOT(ISERROR(SEARCH("Pending",F4)))</formula>
    </cfRule>
    <cfRule type="containsText" dxfId="65" priority="58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3:G17"/>
  <sheetViews>
    <sheetView workbookViewId="0">
      <selection activeCell="E13" sqref="E13:G13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3" spans="1:7" ht="19.8" customHeight="1">
      <c r="A3" s="947" t="s">
        <v>634</v>
      </c>
      <c r="B3" s="948"/>
      <c r="C3" s="948"/>
      <c r="D3" s="948"/>
      <c r="E3" s="948"/>
      <c r="F3" s="948"/>
      <c r="G3" s="948"/>
    </row>
    <row r="4" spans="1:7" ht="15.6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92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6">
      <c r="A7" s="563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6">
      <c r="A8" s="589">
        <f t="shared" ref="A8:A17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6">
      <c r="A9" s="704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694</v>
      </c>
      <c r="F9" s="433" t="s">
        <v>61</v>
      </c>
      <c r="G9" s="434" t="s">
        <v>637</v>
      </c>
    </row>
    <row r="10" spans="1:7" ht="15.6">
      <c r="A10" s="704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6">
      <c r="A11" s="704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6">
      <c r="A12" s="704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56</v>
      </c>
      <c r="F12" s="433" t="s">
        <v>906</v>
      </c>
      <c r="G12" s="675" t="s">
        <v>56</v>
      </c>
    </row>
    <row r="13" spans="1:7" ht="15.6">
      <c r="A13" s="704">
        <f t="shared" si="0"/>
        <v>8</v>
      </c>
      <c r="B13" s="429" t="s">
        <v>181</v>
      </c>
      <c r="C13" s="429" t="s">
        <v>455</v>
      </c>
      <c r="D13" s="283" t="s">
        <v>693</v>
      </c>
      <c r="E13" s="283" t="s">
        <v>56</v>
      </c>
      <c r="F13" s="433" t="s">
        <v>906</v>
      </c>
      <c r="G13" s="675" t="s">
        <v>56</v>
      </c>
    </row>
    <row r="14" spans="1:7" ht="15.6">
      <c r="A14" s="735">
        <f t="shared" si="0"/>
        <v>9</v>
      </c>
      <c r="B14" s="428" t="s">
        <v>54</v>
      </c>
      <c r="C14" s="428" t="s">
        <v>472</v>
      </c>
      <c r="D14" s="283" t="s">
        <v>693</v>
      </c>
      <c r="E14" s="283" t="s">
        <v>56</v>
      </c>
      <c r="F14" s="433" t="s">
        <v>906</v>
      </c>
      <c r="G14" s="675" t="s">
        <v>56</v>
      </c>
    </row>
    <row r="15" spans="1:7" ht="15.6">
      <c r="A15" s="735">
        <f t="shared" si="0"/>
        <v>10</v>
      </c>
      <c r="B15" s="429" t="s">
        <v>187</v>
      </c>
      <c r="C15" s="429" t="s">
        <v>455</v>
      </c>
      <c r="D15" s="283" t="s">
        <v>693</v>
      </c>
      <c r="E15" s="283" t="s">
        <v>694</v>
      </c>
      <c r="F15" s="433" t="s">
        <v>61</v>
      </c>
      <c r="G15" s="434" t="s">
        <v>637</v>
      </c>
    </row>
    <row r="16" spans="1:7" ht="15.6">
      <c r="A16" s="735">
        <f t="shared" si="0"/>
        <v>11</v>
      </c>
      <c r="B16" s="429" t="s">
        <v>556</v>
      </c>
      <c r="C16" s="429" t="s">
        <v>457</v>
      </c>
      <c r="D16" s="283" t="s">
        <v>693</v>
      </c>
      <c r="E16" s="283" t="s">
        <v>56</v>
      </c>
      <c r="F16" s="433" t="s">
        <v>61</v>
      </c>
      <c r="G16" s="675" t="s">
        <v>61</v>
      </c>
    </row>
    <row r="17" spans="1:7" ht="15.6">
      <c r="A17" s="735">
        <f t="shared" si="0"/>
        <v>12</v>
      </c>
      <c r="B17" s="428" t="s">
        <v>608</v>
      </c>
      <c r="C17" s="428" t="s">
        <v>511</v>
      </c>
      <c r="D17" s="283" t="s">
        <v>693</v>
      </c>
      <c r="E17" s="283" t="s">
        <v>694</v>
      </c>
      <c r="F17" s="433" t="s">
        <v>61</v>
      </c>
      <c r="G17" s="434" t="s">
        <v>637</v>
      </c>
    </row>
  </sheetData>
  <autoFilter ref="A5:G17"/>
  <mergeCells count="1">
    <mergeCell ref="A3:G3"/>
  </mergeCells>
  <conditionalFormatting sqref="D6:E11 D15:E15 D16 D17:E17 D12:D14">
    <cfRule type="containsText" dxfId="58" priority="232" operator="containsText" text="PENDING">
      <formula>NOT(ISERROR(SEARCH("PENDING",D6)))</formula>
    </cfRule>
    <cfRule type="containsText" dxfId="57" priority="233" operator="containsText" text="COMPLETED">
      <formula>NOT(ISERROR(SEARCH("COMPLETED",D6)))</formula>
    </cfRule>
    <cfRule type="cellIs" dxfId="56" priority="240" operator="greaterThan">
      <formula>0</formula>
    </cfRule>
  </conditionalFormatting>
  <conditionalFormatting sqref="G4:G5 G17">
    <cfRule type="containsText" dxfId="55" priority="234" operator="containsText" text="Pending">
      <formula>NOT(ISERROR(SEARCH("Pending",G4)))</formula>
    </cfRule>
  </conditionalFormatting>
  <conditionalFormatting sqref="E6:E11 E15 E17">
    <cfRule type="containsText" dxfId="54" priority="231" operator="containsText" text="WIP">
      <formula>NOT(ISERROR(SEARCH("WIP",E6)))</formula>
    </cfRule>
  </conditionalFormatting>
  <conditionalFormatting sqref="G6:G11 G15">
    <cfRule type="containsText" dxfId="53" priority="226" operator="containsText" text="Pending">
      <formula>NOT(ISERROR(SEARCH("Pending",G6)))</formula>
    </cfRule>
  </conditionalFormatting>
  <conditionalFormatting sqref="G6:G11 G15 G17">
    <cfRule type="containsText" dxfId="52" priority="227" operator="containsText" text="WIP">
      <formula>NOT(ISERROR(SEARCH("WIP",G6)))</formula>
    </cfRule>
    <cfRule type="containsText" dxfId="51" priority="228" operator="containsText" text="ROW">
      <formula>NOT(ISERROR(SEARCH("ROW",G6)))</formula>
    </cfRule>
    <cfRule type="containsText" dxfId="50" priority="229" operator="containsText" text="Pending">
      <formula>NOT(ISERROR(SEARCH("Pending",G6)))</formula>
    </cfRule>
    <cfRule type="containsText" dxfId="49" priority="230" operator="containsText" text="Completed">
      <formula>NOT(ISERROR(SEARCH("Completed",G6)))</formula>
    </cfRule>
  </conditionalFormatting>
  <conditionalFormatting sqref="D14">
    <cfRule type="containsText" dxfId="48" priority="62" operator="containsText" text="WIP">
      <formula>NOT(ISERROR(SEARCH("WIP",D14)))</formula>
    </cfRule>
  </conditionalFormatting>
  <conditionalFormatting sqref="E16">
    <cfRule type="containsText" dxfId="47" priority="37" operator="containsText" text="PENDING">
      <formula>NOT(ISERROR(SEARCH("PENDING",E16)))</formula>
    </cfRule>
    <cfRule type="containsText" dxfId="46" priority="38" operator="containsText" text="COMPLETED">
      <formula>NOT(ISERROR(SEARCH("COMPLETED",E16)))</formula>
    </cfRule>
    <cfRule type="cellIs" dxfId="45" priority="39" operator="greaterThan">
      <formula>0</formula>
    </cfRule>
  </conditionalFormatting>
  <conditionalFormatting sqref="E16">
    <cfRule type="containsText" dxfId="44" priority="36" operator="containsText" text="WIP">
      <formula>NOT(ISERROR(SEARCH("WIP",E16)))</formula>
    </cfRule>
  </conditionalFormatting>
  <conditionalFormatting sqref="E14">
    <cfRule type="containsText" dxfId="43" priority="13" operator="containsText" text="PENDING">
      <formula>NOT(ISERROR(SEARCH("PENDING",E14)))</formula>
    </cfRule>
    <cfRule type="containsText" dxfId="42" priority="14" operator="containsText" text="COMPLETED">
      <formula>NOT(ISERROR(SEARCH("COMPLETED",E14)))</formula>
    </cfRule>
    <cfRule type="cellIs" dxfId="41" priority="15" operator="greaterThan">
      <formula>0</formula>
    </cfRule>
  </conditionalFormatting>
  <conditionalFormatting sqref="E14">
    <cfRule type="containsText" dxfId="40" priority="12" operator="containsText" text="WIP">
      <formula>NOT(ISERROR(SEARCH("WIP",E14)))</formula>
    </cfRule>
  </conditionalFormatting>
  <conditionalFormatting sqref="F14">
    <cfRule type="containsText" dxfId="20" priority="11" operator="containsText" text="IN PROGRESS">
      <formula>NOT(ISERROR(SEARCH("IN PROGRESS",F14)))</formula>
    </cfRule>
  </conditionalFormatting>
  <conditionalFormatting sqref="E12">
    <cfRule type="containsText" dxfId="19" priority="8" operator="containsText" text="PENDING">
      <formula>NOT(ISERROR(SEARCH("PENDING",E12)))</formula>
    </cfRule>
    <cfRule type="containsText" dxfId="18" priority="9" operator="containsText" text="COMPLETED">
      <formula>NOT(ISERROR(SEARCH("COMPLETED",E12)))</formula>
    </cfRule>
    <cfRule type="cellIs" dxfId="17" priority="10" operator="greaterThan">
      <formula>0</formula>
    </cfRule>
  </conditionalFormatting>
  <conditionalFormatting sqref="E12">
    <cfRule type="containsText" dxfId="13" priority="7" operator="containsText" text="WIP">
      <formula>NOT(ISERROR(SEARCH("WIP",E12)))</formula>
    </cfRule>
  </conditionalFormatting>
  <conditionalFormatting sqref="F12">
    <cfRule type="containsText" dxfId="11" priority="6" operator="containsText" text="IN PROGRESS">
      <formula>NOT(ISERROR(SEARCH("IN PROGRESS",F12)))</formula>
    </cfRule>
  </conditionalFormatting>
  <conditionalFormatting sqref="E13">
    <cfRule type="containsText" dxfId="9" priority="3" operator="containsText" text="PENDING">
      <formula>NOT(ISERROR(SEARCH("PENDING",E13)))</formula>
    </cfRule>
    <cfRule type="containsText" dxfId="8" priority="4" operator="containsText" text="COMPLETED">
      <formula>NOT(ISERROR(SEARCH("COMPLETED",E13)))</formula>
    </cfRule>
    <cfRule type="cellIs" dxfId="7" priority="5" operator="greaterThan">
      <formula>0</formula>
    </cfRule>
  </conditionalFormatting>
  <conditionalFormatting sqref="E13">
    <cfRule type="containsText" dxfId="3" priority="2" operator="containsText" text="WIP">
      <formula>NOT(ISERROR(SEARCH("WIP",E13)))</formula>
    </cfRule>
  </conditionalFormatting>
  <conditionalFormatting sqref="F13">
    <cfRule type="containsText" dxfId="1" priority="1" operator="containsText" text="IN PROGRESS">
      <formula>NOT(ISERROR(SEARCH("IN PROGRESS",F13)))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zoomScale="80" zoomScaleNormal="80" workbookViewId="0">
      <selection activeCell="F22" sqref="F22"/>
    </sheetView>
  </sheetViews>
  <sheetFormatPr defaultRowHeight="18"/>
  <cols>
    <col min="1" max="1" width="7.88671875" style="380" customWidth="1"/>
    <col min="2" max="4" width="10.44140625" style="381" customWidth="1"/>
    <col min="5" max="5" width="12" style="381" customWidth="1"/>
    <col min="6" max="6" width="17.5546875" style="381" customWidth="1"/>
    <col min="7" max="7" width="12.77734375" style="381" customWidth="1"/>
    <col min="8" max="8" width="12.5546875" style="382" customWidth="1"/>
    <col min="9" max="10" width="12.5546875" style="381" customWidth="1"/>
    <col min="11" max="13" width="12.5546875" style="432" customWidth="1"/>
  </cols>
  <sheetData>
    <row r="1" spans="1:15" ht="7.95" customHeight="1" thickBot="1"/>
    <row r="2" spans="1:15" s="32" customFormat="1" ht="15" customHeight="1">
      <c r="A2" s="955" t="s">
        <v>520</v>
      </c>
      <c r="B2" s="956"/>
      <c r="C2" s="956"/>
      <c r="D2" s="956"/>
      <c r="E2" s="956"/>
      <c r="F2" s="956"/>
      <c r="G2" s="956"/>
      <c r="H2" s="956"/>
      <c r="I2" s="956"/>
      <c r="J2" s="956"/>
      <c r="K2" s="956"/>
      <c r="L2" s="956"/>
      <c r="M2" s="957"/>
    </row>
    <row r="3" spans="1:15" ht="15.6">
      <c r="A3" s="951" t="s">
        <v>513</v>
      </c>
      <c r="B3" s="952" t="s">
        <v>514</v>
      </c>
      <c r="C3" s="952"/>
      <c r="D3" s="953" t="s">
        <v>600</v>
      </c>
      <c r="E3" s="953" t="s">
        <v>873</v>
      </c>
      <c r="F3" s="953" t="s">
        <v>874</v>
      </c>
      <c r="G3" s="953" t="s">
        <v>875</v>
      </c>
      <c r="H3" s="953" t="s">
        <v>601</v>
      </c>
      <c r="I3" s="953" t="s">
        <v>602</v>
      </c>
      <c r="J3" s="953" t="s">
        <v>603</v>
      </c>
      <c r="K3" s="952" t="s">
        <v>109</v>
      </c>
      <c r="L3" s="952" t="s">
        <v>501</v>
      </c>
      <c r="M3" s="958" t="s">
        <v>515</v>
      </c>
    </row>
    <row r="4" spans="1:15" ht="26.55" customHeight="1">
      <c r="A4" s="951"/>
      <c r="B4" s="383" t="s">
        <v>516</v>
      </c>
      <c r="C4" s="383" t="s">
        <v>517</v>
      </c>
      <c r="D4" s="954"/>
      <c r="E4" s="954"/>
      <c r="F4" s="954"/>
      <c r="G4" s="954"/>
      <c r="H4" s="954"/>
      <c r="I4" s="954"/>
      <c r="J4" s="954"/>
      <c r="K4" s="952"/>
      <c r="L4" s="952"/>
      <c r="M4" s="958"/>
    </row>
    <row r="5" spans="1:15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732" t="s">
        <v>876</v>
      </c>
      <c r="F5" s="732" t="s">
        <v>876</v>
      </c>
      <c r="G5" s="386" t="s">
        <v>880</v>
      </c>
      <c r="H5" s="387">
        <v>0</v>
      </c>
      <c r="I5" s="388"/>
      <c r="J5" s="389">
        <f>D5</f>
        <v>249.63499999999999</v>
      </c>
      <c r="K5" s="469">
        <v>1</v>
      </c>
      <c r="L5" s="469">
        <v>1</v>
      </c>
      <c r="M5" s="470">
        <v>0</v>
      </c>
    </row>
    <row r="6" spans="1:15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732" t="s">
        <v>876</v>
      </c>
      <c r="F6" s="732" t="s">
        <v>876</v>
      </c>
      <c r="G6" s="386" t="s">
        <v>880</v>
      </c>
      <c r="H6" s="387">
        <v>4</v>
      </c>
      <c r="I6" s="389">
        <f>D6</f>
        <v>2015</v>
      </c>
      <c r="J6" s="388"/>
      <c r="K6" s="469">
        <v>1</v>
      </c>
      <c r="L6" s="469">
        <v>1</v>
      </c>
      <c r="M6" s="470">
        <v>1</v>
      </c>
    </row>
    <row r="7" spans="1:15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992">
        <v>380</v>
      </c>
      <c r="E7" s="732" t="s">
        <v>876</v>
      </c>
      <c r="F7" s="732" t="s">
        <v>876</v>
      </c>
      <c r="G7" s="386" t="s">
        <v>880</v>
      </c>
      <c r="H7" s="387">
        <v>0</v>
      </c>
      <c r="I7" s="388"/>
      <c r="J7" s="389">
        <f>D7</f>
        <v>380</v>
      </c>
      <c r="K7" s="469">
        <v>0</v>
      </c>
      <c r="L7" s="469">
        <v>0</v>
      </c>
      <c r="M7" s="470">
        <v>0</v>
      </c>
    </row>
    <row r="8" spans="1:15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992">
        <v>2537.42</v>
      </c>
      <c r="E8" s="732" t="s">
        <v>876</v>
      </c>
      <c r="F8" s="732" t="s">
        <v>876</v>
      </c>
      <c r="G8" s="386" t="s">
        <v>880</v>
      </c>
      <c r="H8" s="387">
        <v>6</v>
      </c>
      <c r="I8" s="389">
        <f t="shared" ref="I8:I10" si="2">D8</f>
        <v>2537.42</v>
      </c>
      <c r="J8" s="389"/>
      <c r="K8" s="469">
        <v>2</v>
      </c>
      <c r="L8" s="469">
        <v>6</v>
      </c>
      <c r="M8" s="470">
        <v>2</v>
      </c>
    </row>
    <row r="9" spans="1:15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58">
        <v>1983.46</v>
      </c>
      <c r="E9" s="732" t="s">
        <v>876</v>
      </c>
      <c r="F9" s="732" t="s">
        <v>876</v>
      </c>
      <c r="G9" s="386" t="s">
        <v>880</v>
      </c>
      <c r="H9" s="387">
        <v>4</v>
      </c>
      <c r="I9" s="389">
        <f t="shared" si="2"/>
        <v>1983.46</v>
      </c>
      <c r="J9" s="389"/>
      <c r="K9" s="469">
        <v>5</v>
      </c>
      <c r="L9" s="469">
        <v>3</v>
      </c>
      <c r="M9" s="470">
        <v>0</v>
      </c>
      <c r="O9" s="461"/>
    </row>
    <row r="10" spans="1:15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58">
        <v>4480.0200000000004</v>
      </c>
      <c r="E10" s="732" t="s">
        <v>876</v>
      </c>
      <c r="F10" s="732" t="s">
        <v>876</v>
      </c>
      <c r="G10" s="386" t="s">
        <v>880</v>
      </c>
      <c r="H10" s="387">
        <v>11</v>
      </c>
      <c r="I10" s="389">
        <f t="shared" si="2"/>
        <v>4480.0200000000004</v>
      </c>
      <c r="J10" s="389"/>
      <c r="K10" s="469">
        <v>8</v>
      </c>
      <c r="L10" s="469">
        <v>3</v>
      </c>
      <c r="M10" s="470">
        <v>0</v>
      </c>
      <c r="O10" s="461"/>
    </row>
    <row r="11" spans="1:15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58">
        <v>480</v>
      </c>
      <c r="E11" s="732" t="s">
        <v>876</v>
      </c>
      <c r="F11" s="732" t="s">
        <v>876</v>
      </c>
      <c r="G11" s="386" t="s">
        <v>880</v>
      </c>
      <c r="H11" s="387">
        <v>0</v>
      </c>
      <c r="I11" s="389"/>
      <c r="J11" s="389">
        <f t="shared" ref="J11:J12" si="3">D11</f>
        <v>480</v>
      </c>
      <c r="K11" s="469">
        <v>0</v>
      </c>
      <c r="L11" s="469">
        <v>0</v>
      </c>
      <c r="M11" s="470">
        <v>0</v>
      </c>
      <c r="O11" s="461"/>
    </row>
    <row r="12" spans="1:15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732" t="s">
        <v>876</v>
      </c>
      <c r="F12" s="732" t="s">
        <v>876</v>
      </c>
      <c r="G12" s="386" t="s">
        <v>880</v>
      </c>
      <c r="H12" s="387">
        <v>0</v>
      </c>
      <c r="I12" s="389"/>
      <c r="J12" s="389">
        <f t="shared" si="3"/>
        <v>297.32</v>
      </c>
      <c r="K12" s="469">
        <v>0</v>
      </c>
      <c r="L12" s="469">
        <v>0</v>
      </c>
      <c r="M12" s="470">
        <v>0</v>
      </c>
      <c r="O12" s="461"/>
    </row>
    <row r="13" spans="1:15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732" t="s">
        <v>877</v>
      </c>
      <c r="F13" s="732" t="s">
        <v>877</v>
      </c>
      <c r="G13" s="386" t="s">
        <v>881</v>
      </c>
      <c r="H13" s="387">
        <v>2</v>
      </c>
      <c r="I13" s="389">
        <f t="shared" ref="I13:I14" si="4">D13</f>
        <v>1258.78</v>
      </c>
      <c r="J13" s="389"/>
      <c r="K13" s="469">
        <v>2</v>
      </c>
      <c r="L13" s="469">
        <v>2</v>
      </c>
      <c r="M13" s="470">
        <v>0</v>
      </c>
      <c r="O13" s="461"/>
    </row>
    <row r="14" spans="1:15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732" t="s">
        <v>877</v>
      </c>
      <c r="F14" s="732" t="s">
        <v>877</v>
      </c>
      <c r="G14" s="386" t="s">
        <v>881</v>
      </c>
      <c r="H14" s="387">
        <v>2</v>
      </c>
      <c r="I14" s="389">
        <f t="shared" si="4"/>
        <v>1284.8800000000001</v>
      </c>
      <c r="J14" s="389"/>
      <c r="K14" s="469">
        <v>4</v>
      </c>
      <c r="L14" s="469">
        <v>2</v>
      </c>
      <c r="M14" s="470">
        <v>0</v>
      </c>
    </row>
    <row r="15" spans="1:15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732" t="s">
        <v>876</v>
      </c>
      <c r="F15" s="732" t="s">
        <v>876</v>
      </c>
      <c r="G15" s="386" t="s">
        <v>880</v>
      </c>
      <c r="H15" s="387">
        <v>0</v>
      </c>
      <c r="I15" s="389"/>
      <c r="J15" s="389">
        <f>D15</f>
        <v>248.04</v>
      </c>
      <c r="K15" s="469">
        <v>1</v>
      </c>
      <c r="L15" s="469">
        <v>0</v>
      </c>
      <c r="M15" s="470">
        <v>0</v>
      </c>
    </row>
    <row r="16" spans="1:15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58">
        <v>2426.4499999999998</v>
      </c>
      <c r="E16" s="732" t="s">
        <v>876</v>
      </c>
      <c r="F16" s="732" t="s">
        <v>876</v>
      </c>
      <c r="G16" s="386" t="s">
        <v>880</v>
      </c>
      <c r="H16" s="387">
        <v>5</v>
      </c>
      <c r="I16" s="389">
        <f t="shared" ref="I16:I20" si="5">D16</f>
        <v>2426.4499999999998</v>
      </c>
      <c r="J16" s="389"/>
      <c r="K16" s="469">
        <v>2</v>
      </c>
      <c r="L16" s="469">
        <v>2</v>
      </c>
      <c r="M16" s="470">
        <v>0</v>
      </c>
    </row>
    <row r="17" spans="1:13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58">
        <v>2473.21</v>
      </c>
      <c r="E17" s="732" t="s">
        <v>876</v>
      </c>
      <c r="F17" s="732" t="s">
        <v>876</v>
      </c>
      <c r="G17" s="386" t="s">
        <v>880</v>
      </c>
      <c r="H17" s="387">
        <v>5</v>
      </c>
      <c r="I17" s="389">
        <f t="shared" si="5"/>
        <v>2473.21</v>
      </c>
      <c r="J17" s="389"/>
      <c r="K17" s="469">
        <v>2</v>
      </c>
      <c r="L17" s="469">
        <v>1</v>
      </c>
      <c r="M17" s="470">
        <v>0</v>
      </c>
    </row>
    <row r="18" spans="1:13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58">
        <v>1105.78</v>
      </c>
      <c r="E18" s="732" t="s">
        <v>876</v>
      </c>
      <c r="F18" s="732" t="s">
        <v>876</v>
      </c>
      <c r="G18" s="386" t="s">
        <v>880</v>
      </c>
      <c r="H18" s="387">
        <v>2</v>
      </c>
      <c r="I18" s="389">
        <f t="shared" si="5"/>
        <v>1105.78</v>
      </c>
      <c r="J18" s="389"/>
      <c r="K18" s="469">
        <v>2</v>
      </c>
      <c r="L18" s="469">
        <v>3</v>
      </c>
      <c r="M18" s="470">
        <v>0</v>
      </c>
    </row>
    <row r="19" spans="1:13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732" t="s">
        <v>876</v>
      </c>
      <c r="F19" s="733" t="s">
        <v>152</v>
      </c>
      <c r="G19" s="386" t="s">
        <v>881</v>
      </c>
      <c r="H19" s="387">
        <v>3</v>
      </c>
      <c r="I19" s="389">
        <f t="shared" si="5"/>
        <v>1444.8</v>
      </c>
      <c r="J19" s="389"/>
      <c r="K19" s="469">
        <v>4</v>
      </c>
      <c r="L19" s="469">
        <v>1</v>
      </c>
      <c r="M19" s="470">
        <v>0</v>
      </c>
    </row>
    <row r="20" spans="1:13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732" t="s">
        <v>876</v>
      </c>
      <c r="F20" s="732" t="s">
        <v>876</v>
      </c>
      <c r="G20" s="386" t="s">
        <v>880</v>
      </c>
      <c r="H20" s="387">
        <v>1</v>
      </c>
      <c r="I20" s="389">
        <f t="shared" si="5"/>
        <v>697.56</v>
      </c>
      <c r="J20" s="389"/>
      <c r="K20" s="469">
        <v>2</v>
      </c>
      <c r="L20" s="469">
        <v>2</v>
      </c>
      <c r="M20" s="470">
        <v>0</v>
      </c>
    </row>
    <row r="21" spans="1:13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732" t="s">
        <v>876</v>
      </c>
      <c r="F21" s="732" t="s">
        <v>876</v>
      </c>
      <c r="G21" s="386" t="s">
        <v>880</v>
      </c>
      <c r="H21" s="387">
        <v>0</v>
      </c>
      <c r="I21" s="389"/>
      <c r="J21" s="389">
        <f>D21</f>
        <v>242</v>
      </c>
      <c r="K21" s="469">
        <v>0</v>
      </c>
      <c r="L21" s="469">
        <v>0</v>
      </c>
      <c r="M21" s="470">
        <v>0</v>
      </c>
    </row>
    <row r="22" spans="1:13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732" t="s">
        <v>876</v>
      </c>
      <c r="F22" s="732" t="s">
        <v>876</v>
      </c>
      <c r="G22" s="386" t="s">
        <v>880</v>
      </c>
      <c r="H22" s="387">
        <v>2</v>
      </c>
      <c r="I22" s="389">
        <f t="shared" ref="I22:I27" si="6">D22</f>
        <v>1272.52</v>
      </c>
      <c r="J22" s="389"/>
      <c r="K22" s="469">
        <v>5</v>
      </c>
      <c r="L22" s="469">
        <v>2</v>
      </c>
      <c r="M22" s="470">
        <v>0</v>
      </c>
    </row>
    <row r="23" spans="1:13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732" t="s">
        <v>876</v>
      </c>
      <c r="F23" s="733" t="s">
        <v>6</v>
      </c>
      <c r="G23" s="386" t="s">
        <v>881</v>
      </c>
      <c r="H23" s="387">
        <v>6</v>
      </c>
      <c r="I23" s="389">
        <f t="shared" si="6"/>
        <v>2745</v>
      </c>
      <c r="J23" s="389"/>
      <c r="K23" s="469">
        <v>5</v>
      </c>
      <c r="L23" s="469">
        <v>6</v>
      </c>
      <c r="M23" s="470">
        <v>1</v>
      </c>
    </row>
    <row r="24" spans="1:13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732" t="s">
        <v>876</v>
      </c>
      <c r="F24" s="732" t="s">
        <v>876</v>
      </c>
      <c r="G24" s="386" t="s">
        <v>880</v>
      </c>
      <c r="H24" s="387">
        <v>8</v>
      </c>
      <c r="I24" s="389">
        <f t="shared" si="6"/>
        <v>3547.25</v>
      </c>
      <c r="J24" s="389"/>
      <c r="K24" s="469">
        <v>8</v>
      </c>
      <c r="L24" s="469">
        <v>4</v>
      </c>
      <c r="M24" s="470">
        <v>1</v>
      </c>
    </row>
    <row r="25" spans="1:13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732" t="s">
        <v>876</v>
      </c>
      <c r="F25" s="732" t="s">
        <v>876</v>
      </c>
      <c r="G25" s="386" t="s">
        <v>880</v>
      </c>
      <c r="H25" s="387">
        <v>1</v>
      </c>
      <c r="I25" s="389">
        <f t="shared" si="6"/>
        <v>813.45</v>
      </c>
      <c r="J25" s="389"/>
      <c r="K25" s="469">
        <v>3</v>
      </c>
      <c r="L25" s="469">
        <v>1</v>
      </c>
      <c r="M25" s="470">
        <v>1</v>
      </c>
    </row>
    <row r="26" spans="1:13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732" t="s">
        <v>876</v>
      </c>
      <c r="F26" s="732" t="s">
        <v>876</v>
      </c>
      <c r="G26" s="386" t="s">
        <v>880</v>
      </c>
      <c r="H26" s="387">
        <v>2</v>
      </c>
      <c r="I26" s="389">
        <f t="shared" si="6"/>
        <v>1257.06</v>
      </c>
      <c r="J26" s="389"/>
      <c r="K26" s="469">
        <v>5</v>
      </c>
      <c r="L26" s="469">
        <v>4</v>
      </c>
      <c r="M26" s="470">
        <v>1</v>
      </c>
    </row>
    <row r="27" spans="1:13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732" t="s">
        <v>876</v>
      </c>
      <c r="F27" s="733" t="s">
        <v>606</v>
      </c>
      <c r="G27" s="386" t="s">
        <v>881</v>
      </c>
      <c r="H27" s="387">
        <v>2</v>
      </c>
      <c r="I27" s="389">
        <f t="shared" si="6"/>
        <v>1101.05</v>
      </c>
      <c r="J27" s="389"/>
      <c r="K27" s="469">
        <v>3</v>
      </c>
      <c r="L27" s="469"/>
      <c r="M27" s="470"/>
    </row>
    <row r="28" spans="1:13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732" t="s">
        <v>876</v>
      </c>
      <c r="F28" s="733" t="s">
        <v>878</v>
      </c>
      <c r="G28" s="386" t="s">
        <v>881</v>
      </c>
      <c r="H28" s="387">
        <v>0</v>
      </c>
      <c r="I28" s="389"/>
      <c r="J28" s="389">
        <f t="shared" ref="J28:J30" si="7">D28</f>
        <v>417.22</v>
      </c>
      <c r="K28" s="469">
        <v>2</v>
      </c>
      <c r="L28" s="469">
        <v>0</v>
      </c>
      <c r="M28" s="470">
        <v>0</v>
      </c>
    </row>
    <row r="29" spans="1:13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732" t="s">
        <v>876</v>
      </c>
      <c r="F29" s="733" t="s">
        <v>879</v>
      </c>
      <c r="G29" s="386" t="s">
        <v>881</v>
      </c>
      <c r="H29" s="387">
        <v>0</v>
      </c>
      <c r="I29" s="389"/>
      <c r="J29" s="389">
        <f t="shared" si="7"/>
        <v>249.6</v>
      </c>
      <c r="K29" s="469">
        <v>0</v>
      </c>
      <c r="L29" s="469">
        <v>3</v>
      </c>
      <c r="M29" s="470">
        <v>0</v>
      </c>
    </row>
    <row r="30" spans="1:13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732" t="s">
        <v>876</v>
      </c>
      <c r="F30" s="733" t="s">
        <v>799</v>
      </c>
      <c r="G30" s="386" t="s">
        <v>881</v>
      </c>
      <c r="H30" s="387">
        <v>0</v>
      </c>
      <c r="I30" s="389"/>
      <c r="J30" s="389">
        <f t="shared" si="7"/>
        <v>333.6</v>
      </c>
      <c r="K30" s="469">
        <v>0</v>
      </c>
      <c r="L30" s="469">
        <v>0</v>
      </c>
      <c r="M30" s="470">
        <v>0</v>
      </c>
    </row>
    <row r="31" spans="1:13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732" t="s">
        <v>876</v>
      </c>
      <c r="F31" s="732" t="s">
        <v>876</v>
      </c>
      <c r="G31" s="386" t="s">
        <v>880</v>
      </c>
      <c r="H31" s="387">
        <v>2</v>
      </c>
      <c r="I31" s="389">
        <f>D31</f>
        <v>1034.0999999999999</v>
      </c>
      <c r="J31" s="389"/>
      <c r="K31" s="469">
        <v>1</v>
      </c>
      <c r="L31" s="469">
        <v>0</v>
      </c>
      <c r="M31" s="470">
        <v>0</v>
      </c>
    </row>
    <row r="32" spans="1:13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732" t="s">
        <v>876</v>
      </c>
      <c r="F32" s="732" t="s">
        <v>876</v>
      </c>
      <c r="G32" s="386" t="s">
        <v>880</v>
      </c>
      <c r="H32" s="387">
        <v>0</v>
      </c>
      <c r="I32" s="389"/>
      <c r="J32" s="389">
        <f>D32</f>
        <v>258.62</v>
      </c>
      <c r="K32" s="469">
        <v>0</v>
      </c>
      <c r="L32" s="469">
        <v>0</v>
      </c>
      <c r="M32" s="470">
        <v>0</v>
      </c>
    </row>
    <row r="33" spans="1:18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732" t="s">
        <v>876</v>
      </c>
      <c r="F33" s="733" t="s">
        <v>174</v>
      </c>
      <c r="G33" s="386" t="s">
        <v>881</v>
      </c>
      <c r="H33" s="387">
        <v>4</v>
      </c>
      <c r="I33" s="389">
        <f t="shared" ref="I33:I35" si="8">D33</f>
        <v>1836.69</v>
      </c>
      <c r="J33" s="389"/>
      <c r="K33" s="469">
        <v>11</v>
      </c>
      <c r="L33" s="469">
        <v>12</v>
      </c>
      <c r="M33" s="470">
        <v>0</v>
      </c>
    </row>
    <row r="34" spans="1:18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732" t="s">
        <v>876</v>
      </c>
      <c r="F34" s="733" t="s">
        <v>181</v>
      </c>
      <c r="G34" s="386" t="s">
        <v>881</v>
      </c>
      <c r="H34" s="387">
        <v>6</v>
      </c>
      <c r="I34" s="389">
        <f t="shared" si="8"/>
        <v>2704.49</v>
      </c>
      <c r="J34" s="389"/>
      <c r="K34" s="469">
        <v>13</v>
      </c>
      <c r="L34" s="469">
        <v>5</v>
      </c>
      <c r="M34" s="470">
        <v>0</v>
      </c>
    </row>
    <row r="35" spans="1:18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732" t="s">
        <v>876</v>
      </c>
      <c r="F35" s="732" t="s">
        <v>876</v>
      </c>
      <c r="G35" s="386" t="s">
        <v>880</v>
      </c>
      <c r="H35" s="387">
        <v>2</v>
      </c>
      <c r="I35" s="389">
        <f t="shared" si="8"/>
        <v>1230</v>
      </c>
      <c r="J35" s="389"/>
      <c r="K35" s="469">
        <v>4</v>
      </c>
      <c r="L35" s="469">
        <v>2</v>
      </c>
      <c r="M35" s="470"/>
    </row>
    <row r="36" spans="1:18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732" t="s">
        <v>876</v>
      </c>
      <c r="F36" s="733" t="s">
        <v>519</v>
      </c>
      <c r="G36" s="386" t="s">
        <v>881</v>
      </c>
      <c r="H36" s="387">
        <v>0</v>
      </c>
      <c r="I36" s="389"/>
      <c r="J36" s="389">
        <f>D36</f>
        <v>276.49</v>
      </c>
      <c r="K36" s="471">
        <v>0</v>
      </c>
      <c r="L36" s="471">
        <v>3</v>
      </c>
      <c r="M36" s="472">
        <v>0</v>
      </c>
    </row>
    <row r="37" spans="1:18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732" t="s">
        <v>876</v>
      </c>
      <c r="F37" s="733" t="s">
        <v>888</v>
      </c>
      <c r="G37" s="386" t="s">
        <v>881</v>
      </c>
      <c r="H37" s="387">
        <v>3</v>
      </c>
      <c r="I37" s="389">
        <f>D37</f>
        <v>1535.81</v>
      </c>
      <c r="J37" s="389"/>
      <c r="K37" s="471">
        <v>10</v>
      </c>
      <c r="L37" s="471">
        <v>3</v>
      </c>
      <c r="M37" s="472">
        <v>0</v>
      </c>
      <c r="R37" s="2"/>
    </row>
    <row r="38" spans="1:18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732" t="s">
        <v>876</v>
      </c>
      <c r="F38" s="732" t="s">
        <v>876</v>
      </c>
      <c r="G38" s="386" t="s">
        <v>880</v>
      </c>
      <c r="H38" s="387">
        <v>0</v>
      </c>
      <c r="I38" s="389"/>
      <c r="J38" s="389">
        <f>D38</f>
        <v>203.9</v>
      </c>
      <c r="K38" s="471">
        <v>0</v>
      </c>
      <c r="L38" s="471">
        <v>0</v>
      </c>
      <c r="M38" s="472">
        <v>0</v>
      </c>
    </row>
    <row r="39" spans="1:18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732" t="s">
        <v>876</v>
      </c>
      <c r="F39" s="733" t="s">
        <v>556</v>
      </c>
      <c r="G39" s="386" t="s">
        <v>881</v>
      </c>
      <c r="H39" s="387">
        <v>1</v>
      </c>
      <c r="I39" s="389">
        <f t="shared" ref="I39:I40" si="9">D39</f>
        <v>702.8</v>
      </c>
      <c r="J39" s="389"/>
      <c r="K39" s="471">
        <v>5</v>
      </c>
      <c r="L39" s="471">
        <v>1</v>
      </c>
      <c r="M39" s="472">
        <v>0</v>
      </c>
    </row>
    <row r="40" spans="1:18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732" t="s">
        <v>876</v>
      </c>
      <c r="F40" s="732" t="s">
        <v>876</v>
      </c>
      <c r="G40" s="386" t="s">
        <v>880</v>
      </c>
      <c r="H40" s="387">
        <v>4</v>
      </c>
      <c r="I40" s="389">
        <f t="shared" si="9"/>
        <v>1942</v>
      </c>
      <c r="J40" s="389"/>
      <c r="K40" s="471">
        <v>10</v>
      </c>
      <c r="L40" s="471">
        <v>1</v>
      </c>
      <c r="M40" s="472">
        <v>0</v>
      </c>
    </row>
    <row r="41" spans="1:18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732" t="s">
        <v>876</v>
      </c>
      <c r="F41" s="732" t="s">
        <v>876</v>
      </c>
      <c r="G41" s="386" t="s">
        <v>880</v>
      </c>
      <c r="H41" s="387">
        <v>0</v>
      </c>
      <c r="I41" s="388"/>
      <c r="J41" s="389">
        <f t="shared" ref="J41:J43" si="10">D41</f>
        <v>358.1</v>
      </c>
      <c r="K41" s="471">
        <v>1</v>
      </c>
      <c r="L41" s="469">
        <v>0</v>
      </c>
      <c r="M41" s="470">
        <v>0</v>
      </c>
    </row>
    <row r="42" spans="1:18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732" t="s">
        <v>876</v>
      </c>
      <c r="F42" s="733" t="s">
        <v>608</v>
      </c>
      <c r="G42" s="386" t="s">
        <v>881</v>
      </c>
      <c r="H42" s="387">
        <v>0</v>
      </c>
      <c r="I42" s="388"/>
      <c r="J42" s="389">
        <f t="shared" si="10"/>
        <v>278.7</v>
      </c>
      <c r="K42" s="469">
        <v>0</v>
      </c>
      <c r="L42" s="471">
        <v>1</v>
      </c>
      <c r="M42" s="470">
        <v>0</v>
      </c>
    </row>
    <row r="43" spans="1:18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732" t="s">
        <v>876</v>
      </c>
      <c r="F43" s="732" t="s">
        <v>876</v>
      </c>
      <c r="G43" s="386" t="s">
        <v>880</v>
      </c>
      <c r="H43" s="387">
        <v>0</v>
      </c>
      <c r="I43" s="388"/>
      <c r="J43" s="389">
        <f t="shared" si="10"/>
        <v>135</v>
      </c>
      <c r="K43" s="469">
        <v>0</v>
      </c>
      <c r="L43" s="471">
        <v>1</v>
      </c>
      <c r="M43" s="470">
        <v>0</v>
      </c>
    </row>
    <row r="44" spans="1:18" s="398" customFormat="1" ht="15" thickBot="1">
      <c r="A44" s="949" t="s">
        <v>58</v>
      </c>
      <c r="B44" s="950"/>
      <c r="C44" s="950"/>
      <c r="D44" s="395">
        <f>SUM(D5:D43)</f>
        <v>47837.805</v>
      </c>
      <c r="E44" s="395"/>
      <c r="F44" s="395"/>
      <c r="G44" s="395"/>
      <c r="H44" s="396">
        <f>SUM(H5:H43)</f>
        <v>88</v>
      </c>
      <c r="I44" s="397">
        <f>SUM(I5:I43)/1000</f>
        <v>43.429580000000001</v>
      </c>
      <c r="J44" s="397">
        <f>SUM(J5:J43)/1000</f>
        <v>4.4082249999999998</v>
      </c>
      <c r="K44" s="473">
        <f>SUM(K5:K43)</f>
        <v>122</v>
      </c>
      <c r="L44" s="473">
        <f>SUM(L5:L43)</f>
        <v>76</v>
      </c>
      <c r="M44" s="474">
        <f>SUM(M5:M43)</f>
        <v>7</v>
      </c>
    </row>
  </sheetData>
  <mergeCells count="14">
    <mergeCell ref="I3:I4"/>
    <mergeCell ref="A2:M2"/>
    <mergeCell ref="J3:J4"/>
    <mergeCell ref="K3:K4"/>
    <mergeCell ref="L3:L4"/>
    <mergeCell ref="M3:M4"/>
    <mergeCell ref="E3:E4"/>
    <mergeCell ref="F3:F4"/>
    <mergeCell ref="G3:G4"/>
    <mergeCell ref="A44:C44"/>
    <mergeCell ref="A3:A4"/>
    <mergeCell ref="B3:C3"/>
    <mergeCell ref="D3:D4"/>
    <mergeCell ref="H3:H4"/>
  </mergeCells>
  <conditionalFormatting sqref="G1:G1048576">
    <cfRule type="containsText" dxfId="64" priority="1" operator="containsText" text="Pending">
      <formula>NOT(ISERROR(SEARCH("Pending",G1)))</formula>
    </cfRule>
    <cfRule type="containsText" dxfId="63" priority="2" operator="containsText" text="Ready">
      <formula>NOT(ISERROR(SEARCH("Ready",G1)))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2" customWidth="1"/>
    <col min="2" max="2" width="14.88671875" style="312" customWidth="1"/>
    <col min="3" max="3" width="15.109375" style="312" customWidth="1"/>
    <col min="4" max="4" width="57" style="301" customWidth="1"/>
    <col min="5" max="5" width="16.21875" style="301" customWidth="1"/>
    <col min="6" max="6" width="16.21875" style="313" customWidth="1"/>
    <col min="7" max="7" width="19.33203125" style="314" customWidth="1"/>
    <col min="8" max="8" width="16.21875" style="315" customWidth="1"/>
    <col min="9" max="9" width="16.21875" style="316" customWidth="1"/>
    <col min="10" max="10" width="30.5546875" style="301" customWidth="1"/>
    <col min="11" max="256" width="9.21875" style="301"/>
    <col min="257" max="257" width="19.88671875" style="301" customWidth="1"/>
    <col min="258" max="258" width="14.88671875" style="301" customWidth="1"/>
    <col min="259" max="259" width="15.109375" style="301" customWidth="1"/>
    <col min="260" max="260" width="57" style="301" customWidth="1"/>
    <col min="261" max="265" width="16.21875" style="301" customWidth="1"/>
    <col min="266" max="266" width="30.5546875" style="301" customWidth="1"/>
    <col min="267" max="512" width="9.21875" style="301"/>
    <col min="513" max="513" width="19.88671875" style="301" customWidth="1"/>
    <col min="514" max="514" width="14.88671875" style="301" customWidth="1"/>
    <col min="515" max="515" width="15.109375" style="301" customWidth="1"/>
    <col min="516" max="516" width="57" style="301" customWidth="1"/>
    <col min="517" max="521" width="16.21875" style="301" customWidth="1"/>
    <col min="522" max="522" width="30.5546875" style="301" customWidth="1"/>
    <col min="523" max="768" width="9.21875" style="301"/>
    <col min="769" max="769" width="19.88671875" style="301" customWidth="1"/>
    <col min="770" max="770" width="14.88671875" style="301" customWidth="1"/>
    <col min="771" max="771" width="15.109375" style="301" customWidth="1"/>
    <col min="772" max="772" width="57" style="301" customWidth="1"/>
    <col min="773" max="777" width="16.21875" style="301" customWidth="1"/>
    <col min="778" max="778" width="30.5546875" style="301" customWidth="1"/>
    <col min="779" max="1024" width="9.21875" style="301"/>
    <col min="1025" max="1025" width="19.88671875" style="301" customWidth="1"/>
    <col min="1026" max="1026" width="14.88671875" style="301" customWidth="1"/>
    <col min="1027" max="1027" width="15.109375" style="301" customWidth="1"/>
    <col min="1028" max="1028" width="57" style="301" customWidth="1"/>
    <col min="1029" max="1033" width="16.21875" style="301" customWidth="1"/>
    <col min="1034" max="1034" width="30.5546875" style="301" customWidth="1"/>
    <col min="1035" max="1280" width="9.21875" style="301"/>
    <col min="1281" max="1281" width="19.88671875" style="301" customWidth="1"/>
    <col min="1282" max="1282" width="14.88671875" style="301" customWidth="1"/>
    <col min="1283" max="1283" width="15.109375" style="301" customWidth="1"/>
    <col min="1284" max="1284" width="57" style="301" customWidth="1"/>
    <col min="1285" max="1289" width="16.21875" style="301" customWidth="1"/>
    <col min="1290" max="1290" width="30.5546875" style="301" customWidth="1"/>
    <col min="1291" max="1536" width="9.21875" style="301"/>
    <col min="1537" max="1537" width="19.88671875" style="301" customWidth="1"/>
    <col min="1538" max="1538" width="14.88671875" style="301" customWidth="1"/>
    <col min="1539" max="1539" width="15.109375" style="301" customWidth="1"/>
    <col min="1540" max="1540" width="57" style="301" customWidth="1"/>
    <col min="1541" max="1545" width="16.21875" style="301" customWidth="1"/>
    <col min="1546" max="1546" width="30.5546875" style="301" customWidth="1"/>
    <col min="1547" max="1792" width="9.21875" style="301"/>
    <col min="1793" max="1793" width="19.88671875" style="301" customWidth="1"/>
    <col min="1794" max="1794" width="14.88671875" style="301" customWidth="1"/>
    <col min="1795" max="1795" width="15.109375" style="301" customWidth="1"/>
    <col min="1796" max="1796" width="57" style="301" customWidth="1"/>
    <col min="1797" max="1801" width="16.21875" style="301" customWidth="1"/>
    <col min="1802" max="1802" width="30.5546875" style="301" customWidth="1"/>
    <col min="1803" max="2048" width="9.21875" style="301"/>
    <col min="2049" max="2049" width="19.88671875" style="301" customWidth="1"/>
    <col min="2050" max="2050" width="14.88671875" style="301" customWidth="1"/>
    <col min="2051" max="2051" width="15.109375" style="301" customWidth="1"/>
    <col min="2052" max="2052" width="57" style="301" customWidth="1"/>
    <col min="2053" max="2057" width="16.21875" style="301" customWidth="1"/>
    <col min="2058" max="2058" width="30.5546875" style="301" customWidth="1"/>
    <col min="2059" max="2304" width="9.21875" style="301"/>
    <col min="2305" max="2305" width="19.88671875" style="301" customWidth="1"/>
    <col min="2306" max="2306" width="14.88671875" style="301" customWidth="1"/>
    <col min="2307" max="2307" width="15.109375" style="301" customWidth="1"/>
    <col min="2308" max="2308" width="57" style="301" customWidth="1"/>
    <col min="2309" max="2313" width="16.21875" style="301" customWidth="1"/>
    <col min="2314" max="2314" width="30.5546875" style="301" customWidth="1"/>
    <col min="2315" max="2560" width="9.21875" style="301"/>
    <col min="2561" max="2561" width="19.88671875" style="301" customWidth="1"/>
    <col min="2562" max="2562" width="14.88671875" style="301" customWidth="1"/>
    <col min="2563" max="2563" width="15.109375" style="301" customWidth="1"/>
    <col min="2564" max="2564" width="57" style="301" customWidth="1"/>
    <col min="2565" max="2569" width="16.21875" style="301" customWidth="1"/>
    <col min="2570" max="2570" width="30.5546875" style="301" customWidth="1"/>
    <col min="2571" max="2816" width="9.21875" style="301"/>
    <col min="2817" max="2817" width="19.88671875" style="301" customWidth="1"/>
    <col min="2818" max="2818" width="14.88671875" style="301" customWidth="1"/>
    <col min="2819" max="2819" width="15.109375" style="301" customWidth="1"/>
    <col min="2820" max="2820" width="57" style="301" customWidth="1"/>
    <col min="2821" max="2825" width="16.21875" style="301" customWidth="1"/>
    <col min="2826" max="2826" width="30.5546875" style="301" customWidth="1"/>
    <col min="2827" max="3072" width="9.21875" style="301"/>
    <col min="3073" max="3073" width="19.88671875" style="301" customWidth="1"/>
    <col min="3074" max="3074" width="14.88671875" style="301" customWidth="1"/>
    <col min="3075" max="3075" width="15.109375" style="301" customWidth="1"/>
    <col min="3076" max="3076" width="57" style="301" customWidth="1"/>
    <col min="3077" max="3081" width="16.21875" style="301" customWidth="1"/>
    <col min="3082" max="3082" width="30.5546875" style="301" customWidth="1"/>
    <col min="3083" max="3328" width="9.21875" style="301"/>
    <col min="3329" max="3329" width="19.88671875" style="301" customWidth="1"/>
    <col min="3330" max="3330" width="14.88671875" style="301" customWidth="1"/>
    <col min="3331" max="3331" width="15.109375" style="301" customWidth="1"/>
    <col min="3332" max="3332" width="57" style="301" customWidth="1"/>
    <col min="3333" max="3337" width="16.21875" style="301" customWidth="1"/>
    <col min="3338" max="3338" width="30.5546875" style="301" customWidth="1"/>
    <col min="3339" max="3584" width="9.21875" style="301"/>
    <col min="3585" max="3585" width="19.88671875" style="301" customWidth="1"/>
    <col min="3586" max="3586" width="14.88671875" style="301" customWidth="1"/>
    <col min="3587" max="3587" width="15.109375" style="301" customWidth="1"/>
    <col min="3588" max="3588" width="57" style="301" customWidth="1"/>
    <col min="3589" max="3593" width="16.21875" style="301" customWidth="1"/>
    <col min="3594" max="3594" width="30.5546875" style="301" customWidth="1"/>
    <col min="3595" max="3840" width="9.21875" style="301"/>
    <col min="3841" max="3841" width="19.88671875" style="301" customWidth="1"/>
    <col min="3842" max="3842" width="14.88671875" style="301" customWidth="1"/>
    <col min="3843" max="3843" width="15.109375" style="301" customWidth="1"/>
    <col min="3844" max="3844" width="57" style="301" customWidth="1"/>
    <col min="3845" max="3849" width="16.21875" style="301" customWidth="1"/>
    <col min="3850" max="3850" width="30.5546875" style="301" customWidth="1"/>
    <col min="3851" max="4096" width="9.21875" style="301"/>
    <col min="4097" max="4097" width="19.88671875" style="301" customWidth="1"/>
    <col min="4098" max="4098" width="14.88671875" style="301" customWidth="1"/>
    <col min="4099" max="4099" width="15.109375" style="301" customWidth="1"/>
    <col min="4100" max="4100" width="57" style="301" customWidth="1"/>
    <col min="4101" max="4105" width="16.21875" style="301" customWidth="1"/>
    <col min="4106" max="4106" width="30.5546875" style="301" customWidth="1"/>
    <col min="4107" max="4352" width="9.21875" style="301"/>
    <col min="4353" max="4353" width="19.88671875" style="301" customWidth="1"/>
    <col min="4354" max="4354" width="14.88671875" style="301" customWidth="1"/>
    <col min="4355" max="4355" width="15.109375" style="301" customWidth="1"/>
    <col min="4356" max="4356" width="57" style="301" customWidth="1"/>
    <col min="4357" max="4361" width="16.21875" style="301" customWidth="1"/>
    <col min="4362" max="4362" width="30.5546875" style="301" customWidth="1"/>
    <col min="4363" max="4608" width="9.21875" style="301"/>
    <col min="4609" max="4609" width="19.88671875" style="301" customWidth="1"/>
    <col min="4610" max="4610" width="14.88671875" style="301" customWidth="1"/>
    <col min="4611" max="4611" width="15.109375" style="301" customWidth="1"/>
    <col min="4612" max="4612" width="57" style="301" customWidth="1"/>
    <col min="4613" max="4617" width="16.21875" style="301" customWidth="1"/>
    <col min="4618" max="4618" width="30.5546875" style="301" customWidth="1"/>
    <col min="4619" max="4864" width="9.21875" style="301"/>
    <col min="4865" max="4865" width="19.88671875" style="301" customWidth="1"/>
    <col min="4866" max="4866" width="14.88671875" style="301" customWidth="1"/>
    <col min="4867" max="4867" width="15.109375" style="301" customWidth="1"/>
    <col min="4868" max="4868" width="57" style="301" customWidth="1"/>
    <col min="4869" max="4873" width="16.21875" style="301" customWidth="1"/>
    <col min="4874" max="4874" width="30.5546875" style="301" customWidth="1"/>
    <col min="4875" max="5120" width="9.21875" style="301"/>
    <col min="5121" max="5121" width="19.88671875" style="301" customWidth="1"/>
    <col min="5122" max="5122" width="14.88671875" style="301" customWidth="1"/>
    <col min="5123" max="5123" width="15.109375" style="301" customWidth="1"/>
    <col min="5124" max="5124" width="57" style="301" customWidth="1"/>
    <col min="5125" max="5129" width="16.21875" style="301" customWidth="1"/>
    <col min="5130" max="5130" width="30.5546875" style="301" customWidth="1"/>
    <col min="5131" max="5376" width="9.21875" style="301"/>
    <col min="5377" max="5377" width="19.88671875" style="301" customWidth="1"/>
    <col min="5378" max="5378" width="14.88671875" style="301" customWidth="1"/>
    <col min="5379" max="5379" width="15.109375" style="301" customWidth="1"/>
    <col min="5380" max="5380" width="57" style="301" customWidth="1"/>
    <col min="5381" max="5385" width="16.21875" style="301" customWidth="1"/>
    <col min="5386" max="5386" width="30.5546875" style="301" customWidth="1"/>
    <col min="5387" max="5632" width="9.21875" style="301"/>
    <col min="5633" max="5633" width="19.88671875" style="301" customWidth="1"/>
    <col min="5634" max="5634" width="14.88671875" style="301" customWidth="1"/>
    <col min="5635" max="5635" width="15.109375" style="301" customWidth="1"/>
    <col min="5636" max="5636" width="57" style="301" customWidth="1"/>
    <col min="5637" max="5641" width="16.21875" style="301" customWidth="1"/>
    <col min="5642" max="5642" width="30.5546875" style="301" customWidth="1"/>
    <col min="5643" max="5888" width="9.21875" style="301"/>
    <col min="5889" max="5889" width="19.88671875" style="301" customWidth="1"/>
    <col min="5890" max="5890" width="14.88671875" style="301" customWidth="1"/>
    <col min="5891" max="5891" width="15.109375" style="301" customWidth="1"/>
    <col min="5892" max="5892" width="57" style="301" customWidth="1"/>
    <col min="5893" max="5897" width="16.21875" style="301" customWidth="1"/>
    <col min="5898" max="5898" width="30.5546875" style="301" customWidth="1"/>
    <col min="5899" max="6144" width="9.21875" style="301"/>
    <col min="6145" max="6145" width="19.88671875" style="301" customWidth="1"/>
    <col min="6146" max="6146" width="14.88671875" style="301" customWidth="1"/>
    <col min="6147" max="6147" width="15.109375" style="301" customWidth="1"/>
    <col min="6148" max="6148" width="57" style="301" customWidth="1"/>
    <col min="6149" max="6153" width="16.21875" style="301" customWidth="1"/>
    <col min="6154" max="6154" width="30.5546875" style="301" customWidth="1"/>
    <col min="6155" max="6400" width="9.21875" style="301"/>
    <col min="6401" max="6401" width="19.88671875" style="301" customWidth="1"/>
    <col min="6402" max="6402" width="14.88671875" style="301" customWidth="1"/>
    <col min="6403" max="6403" width="15.109375" style="301" customWidth="1"/>
    <col min="6404" max="6404" width="57" style="301" customWidth="1"/>
    <col min="6405" max="6409" width="16.21875" style="301" customWidth="1"/>
    <col min="6410" max="6410" width="30.5546875" style="301" customWidth="1"/>
    <col min="6411" max="6656" width="9.21875" style="301"/>
    <col min="6657" max="6657" width="19.88671875" style="301" customWidth="1"/>
    <col min="6658" max="6658" width="14.88671875" style="301" customWidth="1"/>
    <col min="6659" max="6659" width="15.109375" style="301" customWidth="1"/>
    <col min="6660" max="6660" width="57" style="301" customWidth="1"/>
    <col min="6661" max="6665" width="16.21875" style="301" customWidth="1"/>
    <col min="6666" max="6666" width="30.5546875" style="301" customWidth="1"/>
    <col min="6667" max="6912" width="9.21875" style="301"/>
    <col min="6913" max="6913" width="19.88671875" style="301" customWidth="1"/>
    <col min="6914" max="6914" width="14.88671875" style="301" customWidth="1"/>
    <col min="6915" max="6915" width="15.109375" style="301" customWidth="1"/>
    <col min="6916" max="6916" width="57" style="301" customWidth="1"/>
    <col min="6917" max="6921" width="16.21875" style="301" customWidth="1"/>
    <col min="6922" max="6922" width="30.5546875" style="301" customWidth="1"/>
    <col min="6923" max="7168" width="9.21875" style="301"/>
    <col min="7169" max="7169" width="19.88671875" style="301" customWidth="1"/>
    <col min="7170" max="7170" width="14.88671875" style="301" customWidth="1"/>
    <col min="7171" max="7171" width="15.109375" style="301" customWidth="1"/>
    <col min="7172" max="7172" width="57" style="301" customWidth="1"/>
    <col min="7173" max="7177" width="16.21875" style="301" customWidth="1"/>
    <col min="7178" max="7178" width="30.5546875" style="301" customWidth="1"/>
    <col min="7179" max="7424" width="9.21875" style="301"/>
    <col min="7425" max="7425" width="19.88671875" style="301" customWidth="1"/>
    <col min="7426" max="7426" width="14.88671875" style="301" customWidth="1"/>
    <col min="7427" max="7427" width="15.109375" style="301" customWidth="1"/>
    <col min="7428" max="7428" width="57" style="301" customWidth="1"/>
    <col min="7429" max="7433" width="16.21875" style="301" customWidth="1"/>
    <col min="7434" max="7434" width="30.5546875" style="301" customWidth="1"/>
    <col min="7435" max="7680" width="9.21875" style="301"/>
    <col min="7681" max="7681" width="19.88671875" style="301" customWidth="1"/>
    <col min="7682" max="7682" width="14.88671875" style="301" customWidth="1"/>
    <col min="7683" max="7683" width="15.109375" style="301" customWidth="1"/>
    <col min="7684" max="7684" width="57" style="301" customWidth="1"/>
    <col min="7685" max="7689" width="16.21875" style="301" customWidth="1"/>
    <col min="7690" max="7690" width="30.5546875" style="301" customWidth="1"/>
    <col min="7691" max="7936" width="9.21875" style="301"/>
    <col min="7937" max="7937" width="19.88671875" style="301" customWidth="1"/>
    <col min="7938" max="7938" width="14.88671875" style="301" customWidth="1"/>
    <col min="7939" max="7939" width="15.109375" style="301" customWidth="1"/>
    <col min="7940" max="7940" width="57" style="301" customWidth="1"/>
    <col min="7941" max="7945" width="16.21875" style="301" customWidth="1"/>
    <col min="7946" max="7946" width="30.5546875" style="301" customWidth="1"/>
    <col min="7947" max="8192" width="9.21875" style="301"/>
    <col min="8193" max="8193" width="19.88671875" style="301" customWidth="1"/>
    <col min="8194" max="8194" width="14.88671875" style="301" customWidth="1"/>
    <col min="8195" max="8195" width="15.109375" style="301" customWidth="1"/>
    <col min="8196" max="8196" width="57" style="301" customWidth="1"/>
    <col min="8197" max="8201" width="16.21875" style="301" customWidth="1"/>
    <col min="8202" max="8202" width="30.5546875" style="301" customWidth="1"/>
    <col min="8203" max="8448" width="9.21875" style="301"/>
    <col min="8449" max="8449" width="19.88671875" style="301" customWidth="1"/>
    <col min="8450" max="8450" width="14.88671875" style="301" customWidth="1"/>
    <col min="8451" max="8451" width="15.109375" style="301" customWidth="1"/>
    <col min="8452" max="8452" width="57" style="301" customWidth="1"/>
    <col min="8453" max="8457" width="16.21875" style="301" customWidth="1"/>
    <col min="8458" max="8458" width="30.5546875" style="301" customWidth="1"/>
    <col min="8459" max="8704" width="9.21875" style="301"/>
    <col min="8705" max="8705" width="19.88671875" style="301" customWidth="1"/>
    <col min="8706" max="8706" width="14.88671875" style="301" customWidth="1"/>
    <col min="8707" max="8707" width="15.109375" style="301" customWidth="1"/>
    <col min="8708" max="8708" width="57" style="301" customWidth="1"/>
    <col min="8709" max="8713" width="16.21875" style="301" customWidth="1"/>
    <col min="8714" max="8714" width="30.5546875" style="301" customWidth="1"/>
    <col min="8715" max="8960" width="9.21875" style="301"/>
    <col min="8961" max="8961" width="19.88671875" style="301" customWidth="1"/>
    <col min="8962" max="8962" width="14.88671875" style="301" customWidth="1"/>
    <col min="8963" max="8963" width="15.109375" style="301" customWidth="1"/>
    <col min="8964" max="8964" width="57" style="301" customWidth="1"/>
    <col min="8965" max="8969" width="16.21875" style="301" customWidth="1"/>
    <col min="8970" max="8970" width="30.5546875" style="301" customWidth="1"/>
    <col min="8971" max="9216" width="9.21875" style="301"/>
    <col min="9217" max="9217" width="19.88671875" style="301" customWidth="1"/>
    <col min="9218" max="9218" width="14.88671875" style="301" customWidth="1"/>
    <col min="9219" max="9219" width="15.109375" style="301" customWidth="1"/>
    <col min="9220" max="9220" width="57" style="301" customWidth="1"/>
    <col min="9221" max="9225" width="16.21875" style="301" customWidth="1"/>
    <col min="9226" max="9226" width="30.5546875" style="301" customWidth="1"/>
    <col min="9227" max="9472" width="9.21875" style="301"/>
    <col min="9473" max="9473" width="19.88671875" style="301" customWidth="1"/>
    <col min="9474" max="9474" width="14.88671875" style="301" customWidth="1"/>
    <col min="9475" max="9475" width="15.109375" style="301" customWidth="1"/>
    <col min="9476" max="9476" width="57" style="301" customWidth="1"/>
    <col min="9477" max="9481" width="16.21875" style="301" customWidth="1"/>
    <col min="9482" max="9482" width="30.5546875" style="301" customWidth="1"/>
    <col min="9483" max="9728" width="9.21875" style="301"/>
    <col min="9729" max="9729" width="19.88671875" style="301" customWidth="1"/>
    <col min="9730" max="9730" width="14.88671875" style="301" customWidth="1"/>
    <col min="9731" max="9731" width="15.109375" style="301" customWidth="1"/>
    <col min="9732" max="9732" width="57" style="301" customWidth="1"/>
    <col min="9733" max="9737" width="16.21875" style="301" customWidth="1"/>
    <col min="9738" max="9738" width="30.5546875" style="301" customWidth="1"/>
    <col min="9739" max="9984" width="9.21875" style="301"/>
    <col min="9985" max="9985" width="19.88671875" style="301" customWidth="1"/>
    <col min="9986" max="9986" width="14.88671875" style="301" customWidth="1"/>
    <col min="9987" max="9987" width="15.109375" style="301" customWidth="1"/>
    <col min="9988" max="9988" width="57" style="301" customWidth="1"/>
    <col min="9989" max="9993" width="16.21875" style="301" customWidth="1"/>
    <col min="9994" max="9994" width="30.5546875" style="301" customWidth="1"/>
    <col min="9995" max="10240" width="9.21875" style="301"/>
    <col min="10241" max="10241" width="19.88671875" style="301" customWidth="1"/>
    <col min="10242" max="10242" width="14.88671875" style="301" customWidth="1"/>
    <col min="10243" max="10243" width="15.109375" style="301" customWidth="1"/>
    <col min="10244" max="10244" width="57" style="301" customWidth="1"/>
    <col min="10245" max="10249" width="16.21875" style="301" customWidth="1"/>
    <col min="10250" max="10250" width="30.5546875" style="301" customWidth="1"/>
    <col min="10251" max="10496" width="9.21875" style="301"/>
    <col min="10497" max="10497" width="19.88671875" style="301" customWidth="1"/>
    <col min="10498" max="10498" width="14.88671875" style="301" customWidth="1"/>
    <col min="10499" max="10499" width="15.109375" style="301" customWidth="1"/>
    <col min="10500" max="10500" width="57" style="301" customWidth="1"/>
    <col min="10501" max="10505" width="16.21875" style="301" customWidth="1"/>
    <col min="10506" max="10506" width="30.5546875" style="301" customWidth="1"/>
    <col min="10507" max="10752" width="9.21875" style="301"/>
    <col min="10753" max="10753" width="19.88671875" style="301" customWidth="1"/>
    <col min="10754" max="10754" width="14.88671875" style="301" customWidth="1"/>
    <col min="10755" max="10755" width="15.109375" style="301" customWidth="1"/>
    <col min="10756" max="10756" width="57" style="301" customWidth="1"/>
    <col min="10757" max="10761" width="16.21875" style="301" customWidth="1"/>
    <col min="10762" max="10762" width="30.5546875" style="301" customWidth="1"/>
    <col min="10763" max="11008" width="9.21875" style="301"/>
    <col min="11009" max="11009" width="19.88671875" style="301" customWidth="1"/>
    <col min="11010" max="11010" width="14.88671875" style="301" customWidth="1"/>
    <col min="11011" max="11011" width="15.109375" style="301" customWidth="1"/>
    <col min="11012" max="11012" width="57" style="301" customWidth="1"/>
    <col min="11013" max="11017" width="16.21875" style="301" customWidth="1"/>
    <col min="11018" max="11018" width="30.5546875" style="301" customWidth="1"/>
    <col min="11019" max="11264" width="9.21875" style="301"/>
    <col min="11265" max="11265" width="19.88671875" style="301" customWidth="1"/>
    <col min="11266" max="11266" width="14.88671875" style="301" customWidth="1"/>
    <col min="11267" max="11267" width="15.109375" style="301" customWidth="1"/>
    <col min="11268" max="11268" width="57" style="301" customWidth="1"/>
    <col min="11269" max="11273" width="16.21875" style="301" customWidth="1"/>
    <col min="11274" max="11274" width="30.5546875" style="301" customWidth="1"/>
    <col min="11275" max="11520" width="9.21875" style="301"/>
    <col min="11521" max="11521" width="19.88671875" style="301" customWidth="1"/>
    <col min="11522" max="11522" width="14.88671875" style="301" customWidth="1"/>
    <col min="11523" max="11523" width="15.109375" style="301" customWidth="1"/>
    <col min="11524" max="11524" width="57" style="301" customWidth="1"/>
    <col min="11525" max="11529" width="16.21875" style="301" customWidth="1"/>
    <col min="11530" max="11530" width="30.5546875" style="301" customWidth="1"/>
    <col min="11531" max="11776" width="9.21875" style="301"/>
    <col min="11777" max="11777" width="19.88671875" style="301" customWidth="1"/>
    <col min="11778" max="11778" width="14.88671875" style="301" customWidth="1"/>
    <col min="11779" max="11779" width="15.109375" style="301" customWidth="1"/>
    <col min="11780" max="11780" width="57" style="301" customWidth="1"/>
    <col min="11781" max="11785" width="16.21875" style="301" customWidth="1"/>
    <col min="11786" max="11786" width="30.5546875" style="301" customWidth="1"/>
    <col min="11787" max="12032" width="9.21875" style="301"/>
    <col min="12033" max="12033" width="19.88671875" style="301" customWidth="1"/>
    <col min="12034" max="12034" width="14.88671875" style="301" customWidth="1"/>
    <col min="12035" max="12035" width="15.109375" style="301" customWidth="1"/>
    <col min="12036" max="12036" width="57" style="301" customWidth="1"/>
    <col min="12037" max="12041" width="16.21875" style="301" customWidth="1"/>
    <col min="12042" max="12042" width="30.5546875" style="301" customWidth="1"/>
    <col min="12043" max="12288" width="9.21875" style="301"/>
    <col min="12289" max="12289" width="19.88671875" style="301" customWidth="1"/>
    <col min="12290" max="12290" width="14.88671875" style="301" customWidth="1"/>
    <col min="12291" max="12291" width="15.109375" style="301" customWidth="1"/>
    <col min="12292" max="12292" width="57" style="301" customWidth="1"/>
    <col min="12293" max="12297" width="16.21875" style="301" customWidth="1"/>
    <col min="12298" max="12298" width="30.5546875" style="301" customWidth="1"/>
    <col min="12299" max="12544" width="9.21875" style="301"/>
    <col min="12545" max="12545" width="19.88671875" style="301" customWidth="1"/>
    <col min="12546" max="12546" width="14.88671875" style="301" customWidth="1"/>
    <col min="12547" max="12547" width="15.109375" style="301" customWidth="1"/>
    <col min="12548" max="12548" width="57" style="301" customWidth="1"/>
    <col min="12549" max="12553" width="16.21875" style="301" customWidth="1"/>
    <col min="12554" max="12554" width="30.5546875" style="301" customWidth="1"/>
    <col min="12555" max="12800" width="9.21875" style="301"/>
    <col min="12801" max="12801" width="19.88671875" style="301" customWidth="1"/>
    <col min="12802" max="12802" width="14.88671875" style="301" customWidth="1"/>
    <col min="12803" max="12803" width="15.109375" style="301" customWidth="1"/>
    <col min="12804" max="12804" width="57" style="301" customWidth="1"/>
    <col min="12805" max="12809" width="16.21875" style="301" customWidth="1"/>
    <col min="12810" max="12810" width="30.5546875" style="301" customWidth="1"/>
    <col min="12811" max="13056" width="9.21875" style="301"/>
    <col min="13057" max="13057" width="19.88671875" style="301" customWidth="1"/>
    <col min="13058" max="13058" width="14.88671875" style="301" customWidth="1"/>
    <col min="13059" max="13059" width="15.109375" style="301" customWidth="1"/>
    <col min="13060" max="13060" width="57" style="301" customWidth="1"/>
    <col min="13061" max="13065" width="16.21875" style="301" customWidth="1"/>
    <col min="13066" max="13066" width="30.5546875" style="301" customWidth="1"/>
    <col min="13067" max="13312" width="9.21875" style="301"/>
    <col min="13313" max="13313" width="19.88671875" style="301" customWidth="1"/>
    <col min="13314" max="13314" width="14.88671875" style="301" customWidth="1"/>
    <col min="13315" max="13315" width="15.109375" style="301" customWidth="1"/>
    <col min="13316" max="13316" width="57" style="301" customWidth="1"/>
    <col min="13317" max="13321" width="16.21875" style="301" customWidth="1"/>
    <col min="13322" max="13322" width="30.5546875" style="301" customWidth="1"/>
    <col min="13323" max="13568" width="9.21875" style="301"/>
    <col min="13569" max="13569" width="19.88671875" style="301" customWidth="1"/>
    <col min="13570" max="13570" width="14.88671875" style="301" customWidth="1"/>
    <col min="13571" max="13571" width="15.109375" style="301" customWidth="1"/>
    <col min="13572" max="13572" width="57" style="301" customWidth="1"/>
    <col min="13573" max="13577" width="16.21875" style="301" customWidth="1"/>
    <col min="13578" max="13578" width="30.5546875" style="301" customWidth="1"/>
    <col min="13579" max="13824" width="9.21875" style="301"/>
    <col min="13825" max="13825" width="19.88671875" style="301" customWidth="1"/>
    <col min="13826" max="13826" width="14.88671875" style="301" customWidth="1"/>
    <col min="13827" max="13827" width="15.109375" style="301" customWidth="1"/>
    <col min="13828" max="13828" width="57" style="301" customWidth="1"/>
    <col min="13829" max="13833" width="16.21875" style="301" customWidth="1"/>
    <col min="13834" max="13834" width="30.5546875" style="301" customWidth="1"/>
    <col min="13835" max="14080" width="9.21875" style="301"/>
    <col min="14081" max="14081" width="19.88671875" style="301" customWidth="1"/>
    <col min="14082" max="14082" width="14.88671875" style="301" customWidth="1"/>
    <col min="14083" max="14083" width="15.109375" style="301" customWidth="1"/>
    <col min="14084" max="14084" width="57" style="301" customWidth="1"/>
    <col min="14085" max="14089" width="16.21875" style="301" customWidth="1"/>
    <col min="14090" max="14090" width="30.5546875" style="301" customWidth="1"/>
    <col min="14091" max="14336" width="9.21875" style="301"/>
    <col min="14337" max="14337" width="19.88671875" style="301" customWidth="1"/>
    <col min="14338" max="14338" width="14.88671875" style="301" customWidth="1"/>
    <col min="14339" max="14339" width="15.109375" style="301" customWidth="1"/>
    <col min="14340" max="14340" width="57" style="301" customWidth="1"/>
    <col min="14341" max="14345" width="16.21875" style="301" customWidth="1"/>
    <col min="14346" max="14346" width="30.5546875" style="301" customWidth="1"/>
    <col min="14347" max="14592" width="9.21875" style="301"/>
    <col min="14593" max="14593" width="19.88671875" style="301" customWidth="1"/>
    <col min="14594" max="14594" width="14.88671875" style="301" customWidth="1"/>
    <col min="14595" max="14595" width="15.109375" style="301" customWidth="1"/>
    <col min="14596" max="14596" width="57" style="301" customWidth="1"/>
    <col min="14597" max="14601" width="16.21875" style="301" customWidth="1"/>
    <col min="14602" max="14602" width="30.5546875" style="301" customWidth="1"/>
    <col min="14603" max="14848" width="9.21875" style="301"/>
    <col min="14849" max="14849" width="19.88671875" style="301" customWidth="1"/>
    <col min="14850" max="14850" width="14.88671875" style="301" customWidth="1"/>
    <col min="14851" max="14851" width="15.109375" style="301" customWidth="1"/>
    <col min="14852" max="14852" width="57" style="301" customWidth="1"/>
    <col min="14853" max="14857" width="16.21875" style="301" customWidth="1"/>
    <col min="14858" max="14858" width="30.5546875" style="301" customWidth="1"/>
    <col min="14859" max="15104" width="9.21875" style="301"/>
    <col min="15105" max="15105" width="19.88671875" style="301" customWidth="1"/>
    <col min="15106" max="15106" width="14.88671875" style="301" customWidth="1"/>
    <col min="15107" max="15107" width="15.109375" style="301" customWidth="1"/>
    <col min="15108" max="15108" width="57" style="301" customWidth="1"/>
    <col min="15109" max="15113" width="16.21875" style="301" customWidth="1"/>
    <col min="15114" max="15114" width="30.5546875" style="301" customWidth="1"/>
    <col min="15115" max="15360" width="9.21875" style="301"/>
    <col min="15361" max="15361" width="19.88671875" style="301" customWidth="1"/>
    <col min="15362" max="15362" width="14.88671875" style="301" customWidth="1"/>
    <col min="15363" max="15363" width="15.109375" style="301" customWidth="1"/>
    <col min="15364" max="15364" width="57" style="301" customWidth="1"/>
    <col min="15365" max="15369" width="16.21875" style="301" customWidth="1"/>
    <col min="15370" max="15370" width="30.5546875" style="301" customWidth="1"/>
    <col min="15371" max="15616" width="9.21875" style="301"/>
    <col min="15617" max="15617" width="19.88671875" style="301" customWidth="1"/>
    <col min="15618" max="15618" width="14.88671875" style="301" customWidth="1"/>
    <col min="15619" max="15619" width="15.109375" style="301" customWidth="1"/>
    <col min="15620" max="15620" width="57" style="301" customWidth="1"/>
    <col min="15621" max="15625" width="16.21875" style="301" customWidth="1"/>
    <col min="15626" max="15626" width="30.5546875" style="301" customWidth="1"/>
    <col min="15627" max="15872" width="9.21875" style="301"/>
    <col min="15873" max="15873" width="19.88671875" style="301" customWidth="1"/>
    <col min="15874" max="15874" width="14.88671875" style="301" customWidth="1"/>
    <col min="15875" max="15875" width="15.109375" style="301" customWidth="1"/>
    <col min="15876" max="15876" width="57" style="301" customWidth="1"/>
    <col min="15877" max="15881" width="16.21875" style="301" customWidth="1"/>
    <col min="15882" max="15882" width="30.5546875" style="301" customWidth="1"/>
    <col min="15883" max="16128" width="9.21875" style="301"/>
    <col min="16129" max="16129" width="19.88671875" style="301" customWidth="1"/>
    <col min="16130" max="16130" width="14.88671875" style="301" customWidth="1"/>
    <col min="16131" max="16131" width="15.109375" style="301" customWidth="1"/>
    <col min="16132" max="16132" width="57" style="301" customWidth="1"/>
    <col min="16133" max="16137" width="16.21875" style="301" customWidth="1"/>
    <col min="16138" max="16138" width="30.5546875" style="301" customWidth="1"/>
    <col min="16139" max="16384" width="9.21875" style="301"/>
  </cols>
  <sheetData>
    <row r="1" spans="1:10" s="292" customFormat="1" ht="18">
      <c r="A1" s="959" t="s">
        <v>521</v>
      </c>
      <c r="B1" s="960"/>
      <c r="C1" s="960"/>
      <c r="D1" s="288"/>
      <c r="E1" s="288"/>
      <c r="F1" s="287"/>
      <c r="G1" s="289"/>
      <c r="H1" s="287"/>
      <c r="I1" s="290"/>
      <c r="J1" s="291"/>
    </row>
    <row r="2" spans="1:10" s="292" customFormat="1" ht="18">
      <c r="A2" s="961" t="str">
        <f>[19]Transmittal!B11</f>
        <v>765kV D/c  Koppal II (PS)-Raichur (Part-1) transmission line project</v>
      </c>
      <c r="B2" s="962"/>
      <c r="C2" s="962"/>
      <c r="D2" s="962"/>
      <c r="E2" s="962"/>
      <c r="F2" s="962"/>
      <c r="G2" s="963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6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8.600000000000001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5" customHeight="1" thickBot="1">
      <c r="A11" s="964" t="s">
        <v>534</v>
      </c>
      <c r="B11" s="965"/>
      <c r="C11" s="965"/>
      <c r="D11" s="965"/>
      <c r="E11" s="965"/>
      <c r="F11" s="965"/>
      <c r="G11" s="965"/>
      <c r="H11" s="965"/>
      <c r="I11" s="966"/>
      <c r="J11" s="317"/>
    </row>
    <row r="12" spans="1:10" s="307" customFormat="1" ht="54">
      <c r="A12" s="481" t="s">
        <v>437</v>
      </c>
      <c r="B12" s="482" t="s">
        <v>535</v>
      </c>
      <c r="C12" s="482" t="s">
        <v>536</v>
      </c>
      <c r="D12" s="482" t="s">
        <v>537</v>
      </c>
      <c r="E12" s="482" t="s">
        <v>538</v>
      </c>
      <c r="F12" s="482" t="s">
        <v>611</v>
      </c>
      <c r="G12" s="482" t="s">
        <v>612</v>
      </c>
      <c r="H12" s="483" t="s">
        <v>613</v>
      </c>
      <c r="I12" s="483" t="s">
        <v>113</v>
      </c>
      <c r="J12" s="318"/>
    </row>
    <row r="13" spans="1:10" s="309" customFormat="1" ht="24.6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80" t="s">
        <v>700</v>
      </c>
      <c r="J13" s="319"/>
    </row>
    <row r="14" spans="1:10" s="310" customFormat="1" ht="24.6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80" t="s">
        <v>700</v>
      </c>
      <c r="J14" s="319"/>
    </row>
    <row r="15" spans="1:10" s="310" customFormat="1" ht="24.6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80" t="s">
        <v>700</v>
      </c>
      <c r="J15" s="319"/>
    </row>
    <row r="16" spans="1:10" s="310" customFormat="1" ht="24.6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80" t="s">
        <v>700</v>
      </c>
      <c r="J16" s="319"/>
    </row>
    <row r="17" spans="1:10" s="310" customFormat="1" ht="24.6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80" t="s">
        <v>700</v>
      </c>
      <c r="J17" s="319"/>
    </row>
    <row r="18" spans="1:10" s="310" customFormat="1" ht="24.6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80" t="s">
        <v>700</v>
      </c>
      <c r="J18" s="319"/>
    </row>
    <row r="19" spans="1:10" s="309" customFormat="1" ht="24.6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80" t="s">
        <v>700</v>
      </c>
      <c r="J19" s="319"/>
    </row>
    <row r="20" spans="1:10" s="310" customFormat="1" ht="24.6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80" t="s">
        <v>700</v>
      </c>
      <c r="J20" s="319"/>
    </row>
    <row r="21" spans="1:10" s="310" customFormat="1" ht="24.6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80" t="s">
        <v>700</v>
      </c>
      <c r="J21" s="319"/>
    </row>
    <row r="22" spans="1:10" s="310" customFormat="1" ht="24.6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84" t="s">
        <v>700</v>
      </c>
      <c r="J26" s="319"/>
    </row>
    <row r="27" spans="1:10" ht="18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I7" sqref="I7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15" customFormat="1" ht="28.8">
      <c r="A1" s="514" t="s">
        <v>406</v>
      </c>
      <c r="B1" s="514" t="s">
        <v>411</v>
      </c>
      <c r="C1" s="514" t="s">
        <v>414</v>
      </c>
      <c r="D1" s="514" t="s">
        <v>477</v>
      </c>
      <c r="E1" s="514" t="s">
        <v>710</v>
      </c>
      <c r="F1" s="514" t="s">
        <v>419</v>
      </c>
      <c r="G1" s="514" t="s">
        <v>413</v>
      </c>
      <c r="H1" s="514" t="s">
        <v>417</v>
      </c>
      <c r="I1" s="514" t="s">
        <v>421</v>
      </c>
      <c r="J1" s="514" t="s">
        <v>711</v>
      </c>
      <c r="K1" s="514" t="s">
        <v>712</v>
      </c>
    </row>
    <row r="2" spans="1:11" ht="43.2">
      <c r="A2" s="444" t="s">
        <v>714</v>
      </c>
      <c r="B2" s="510" t="s">
        <v>715</v>
      </c>
      <c r="C2" s="444" t="s">
        <v>713</v>
      </c>
      <c r="D2" s="509" t="s">
        <v>478</v>
      </c>
      <c r="E2" s="509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8.8">
      <c r="A3" s="511"/>
      <c r="B3" s="511"/>
      <c r="C3" s="511"/>
      <c r="D3" s="511"/>
      <c r="E3" s="511"/>
      <c r="F3" s="511"/>
      <c r="G3" s="511"/>
      <c r="H3" s="511"/>
      <c r="I3" s="511"/>
      <c r="J3" s="512" t="s">
        <v>716</v>
      </c>
      <c r="K3" s="444" t="s">
        <v>720</v>
      </c>
    </row>
    <row r="4" spans="1:11">
      <c r="A4" s="511"/>
      <c r="B4" s="511"/>
      <c r="C4" s="511"/>
      <c r="D4" s="511"/>
      <c r="E4" s="511"/>
      <c r="F4" s="511"/>
      <c r="G4" s="511"/>
      <c r="H4" s="511"/>
      <c r="I4" s="511"/>
      <c r="J4" s="444" t="s">
        <v>719</v>
      </c>
      <c r="K4" s="444" t="s">
        <v>721</v>
      </c>
    </row>
    <row r="5" spans="1:11">
      <c r="A5" s="511"/>
      <c r="B5" s="511"/>
      <c r="C5" s="511"/>
      <c r="D5" s="511"/>
      <c r="E5" s="511"/>
      <c r="F5" s="511"/>
      <c r="G5" s="511"/>
      <c r="H5" s="511"/>
      <c r="I5" s="511"/>
      <c r="J5" s="511"/>
      <c r="K5" s="444" t="s">
        <v>722</v>
      </c>
    </row>
    <row r="6" spans="1:11">
      <c r="A6" s="511"/>
      <c r="B6" s="511"/>
      <c r="C6" s="511"/>
      <c r="D6" s="511"/>
      <c r="E6" s="511"/>
      <c r="F6" s="511"/>
      <c r="G6" s="511"/>
      <c r="H6" s="511"/>
      <c r="I6" s="511"/>
      <c r="J6" s="511"/>
      <c r="K6" s="444" t="s">
        <v>723</v>
      </c>
    </row>
    <row r="7" spans="1:11">
      <c r="A7" s="511"/>
      <c r="B7" s="511"/>
      <c r="C7" s="511"/>
      <c r="D7" s="511"/>
      <c r="E7" s="511"/>
      <c r="F7" s="511"/>
      <c r="G7" s="511"/>
      <c r="H7" s="511"/>
      <c r="I7" s="511"/>
      <c r="J7" s="511"/>
      <c r="K7" s="444" t="s">
        <v>724</v>
      </c>
    </row>
    <row r="8" spans="1:11">
      <c r="A8" s="511"/>
      <c r="B8" s="511"/>
      <c r="C8" s="511"/>
      <c r="D8" s="511"/>
      <c r="E8" s="511"/>
      <c r="F8" s="511"/>
      <c r="G8" s="511"/>
      <c r="H8" s="511"/>
      <c r="I8" s="511"/>
      <c r="J8" s="511"/>
      <c r="K8" s="444" t="s">
        <v>725</v>
      </c>
    </row>
    <row r="9" spans="1:11">
      <c r="A9" s="511"/>
      <c r="B9" s="511"/>
      <c r="C9" s="511"/>
      <c r="D9" s="511"/>
      <c r="E9" s="511"/>
      <c r="F9" s="511"/>
      <c r="G9" s="511"/>
      <c r="H9" s="511"/>
      <c r="I9" s="511"/>
      <c r="J9" s="511"/>
      <c r="K9" s="444" t="s">
        <v>726</v>
      </c>
    </row>
    <row r="10" spans="1:11">
      <c r="A10" s="511"/>
      <c r="B10" s="511"/>
      <c r="C10" s="511"/>
      <c r="D10" s="511"/>
      <c r="E10" s="511"/>
      <c r="F10" s="511"/>
      <c r="G10" s="511"/>
      <c r="H10" s="511"/>
      <c r="I10" s="511"/>
      <c r="J10" s="511"/>
      <c r="K10" s="444" t="s">
        <v>727</v>
      </c>
    </row>
    <row r="11" spans="1:11">
      <c r="A11" s="511"/>
      <c r="B11" s="511"/>
      <c r="C11" s="511"/>
      <c r="D11" s="511"/>
      <c r="E11" s="511"/>
      <c r="F11" s="511"/>
      <c r="G11" s="511"/>
      <c r="H11" s="511"/>
      <c r="I11" s="511"/>
      <c r="J11" s="511"/>
      <c r="K11" s="444" t="s">
        <v>728</v>
      </c>
    </row>
    <row r="12" spans="1:11">
      <c r="A12" s="511"/>
      <c r="B12" s="511"/>
      <c r="C12" s="511"/>
      <c r="D12" s="511"/>
      <c r="E12" s="511"/>
      <c r="F12" s="511"/>
      <c r="G12" s="511"/>
      <c r="H12" s="511"/>
      <c r="I12" s="511"/>
      <c r="J12" s="511"/>
      <c r="K12" s="444"/>
    </row>
    <row r="13" spans="1:11">
      <c r="A13" s="511"/>
      <c r="B13" s="511"/>
      <c r="C13" s="511"/>
      <c r="D13" s="511"/>
      <c r="E13" s="511"/>
      <c r="F13" s="511"/>
      <c r="G13" s="511"/>
      <c r="H13" s="511"/>
      <c r="I13" s="511"/>
      <c r="J13" s="511"/>
      <c r="K13" s="511"/>
    </row>
    <row r="14" spans="1:11">
      <c r="A14" s="511"/>
      <c r="B14" s="511"/>
      <c r="C14" s="511"/>
      <c r="D14" s="511"/>
      <c r="E14" s="511"/>
      <c r="F14" s="511"/>
      <c r="G14" s="511"/>
      <c r="H14" s="511"/>
      <c r="I14" s="511"/>
      <c r="J14" s="511"/>
      <c r="K14" s="511"/>
    </row>
    <row r="15" spans="1:11">
      <c r="A15" s="513"/>
      <c r="B15" s="513"/>
      <c r="C15" s="513"/>
      <c r="D15" s="513"/>
      <c r="E15" s="513"/>
      <c r="F15" s="513"/>
      <c r="G15" s="513"/>
      <c r="H15" s="513"/>
      <c r="I15" s="513"/>
      <c r="J15" s="513"/>
      <c r="K15" s="513"/>
    </row>
    <row r="16" spans="1:11">
      <c r="A16" s="513"/>
      <c r="B16" s="513"/>
      <c r="C16" s="513"/>
      <c r="D16" s="513"/>
      <c r="E16" s="513"/>
      <c r="F16" s="513"/>
      <c r="G16" s="513"/>
      <c r="H16" s="513"/>
      <c r="I16" s="513"/>
      <c r="J16" s="513"/>
      <c r="K16" s="513"/>
    </row>
    <row r="17" spans="1:11">
      <c r="A17" s="513"/>
      <c r="B17" s="513"/>
      <c r="C17" s="513"/>
      <c r="D17" s="513"/>
      <c r="E17" s="513"/>
      <c r="F17" s="513"/>
      <c r="G17" s="513"/>
      <c r="H17" s="513"/>
      <c r="I17" s="513"/>
      <c r="J17" s="513"/>
      <c r="K17" s="513"/>
    </row>
    <row r="18" spans="1:11">
      <c r="A18" s="513"/>
      <c r="B18" s="513"/>
      <c r="C18" s="513"/>
      <c r="D18" s="513"/>
      <c r="E18" s="513"/>
      <c r="F18" s="513"/>
      <c r="G18" s="513"/>
      <c r="H18" s="513"/>
      <c r="I18" s="513"/>
      <c r="J18" s="513"/>
      <c r="K18" s="513"/>
    </row>
    <row r="19" spans="1:11">
      <c r="A19" s="513"/>
      <c r="B19" s="513"/>
      <c r="C19" s="513"/>
      <c r="D19" s="513"/>
      <c r="E19" s="513"/>
      <c r="F19" s="513"/>
      <c r="G19" s="513"/>
      <c r="H19" s="513"/>
      <c r="I19" s="513"/>
      <c r="J19" s="513"/>
      <c r="K19" s="513"/>
    </row>
    <row r="20" spans="1:11">
      <c r="A20" s="513"/>
      <c r="B20" s="513"/>
      <c r="C20" s="513"/>
      <c r="D20" s="513"/>
      <c r="E20" s="513"/>
      <c r="F20" s="513"/>
      <c r="G20" s="513"/>
      <c r="H20" s="513"/>
      <c r="I20" s="513"/>
      <c r="J20" s="513"/>
      <c r="K20" s="5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70" t="s">
        <v>234</v>
      </c>
      <c r="B6" s="970"/>
      <c r="C6" s="970"/>
      <c r="D6" s="970"/>
      <c r="E6" s="970"/>
      <c r="F6" s="970"/>
    </row>
    <row r="7" spans="1:27" ht="15" thickBot="1"/>
    <row r="8" spans="1:27" ht="15" customHeight="1">
      <c r="A8" s="971" t="s">
        <v>12</v>
      </c>
      <c r="B8" s="973" t="s">
        <v>13</v>
      </c>
      <c r="C8" s="975" t="s">
        <v>14</v>
      </c>
      <c r="D8" s="977" t="s">
        <v>15</v>
      </c>
    </row>
    <row r="9" spans="1:27" ht="15" thickBot="1">
      <c r="A9" s="972"/>
      <c r="B9" s="974"/>
      <c r="C9" s="976"/>
      <c r="D9" s="978"/>
    </row>
    <row r="10" spans="1:27" ht="19.2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67"/>
      <c r="G10" s="967"/>
      <c r="H10" s="967"/>
      <c r="I10" s="967"/>
      <c r="J10" s="967"/>
      <c r="K10" s="968"/>
      <c r="L10" s="968"/>
      <c r="M10" s="968"/>
      <c r="N10" s="968"/>
      <c r="O10" s="968"/>
      <c r="P10" s="968"/>
      <c r="Q10" s="968"/>
      <c r="R10" s="968"/>
      <c r="S10" s="969"/>
    </row>
    <row r="11" spans="1:27" ht="19.2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.2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6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410">
        <v>335</v>
      </c>
      <c r="F26" s="967"/>
      <c r="G26" s="967"/>
      <c r="H26" s="967"/>
      <c r="I26" s="967"/>
      <c r="J26" s="967"/>
      <c r="K26" s="968"/>
      <c r="L26" s="968"/>
      <c r="M26" s="968"/>
      <c r="N26" s="968"/>
      <c r="O26" s="968"/>
      <c r="P26" s="968"/>
      <c r="Q26" s="968"/>
      <c r="R26" s="968"/>
      <c r="S26" s="969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62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70" t="s">
        <v>234</v>
      </c>
      <c r="B6" s="970"/>
      <c r="C6" s="970"/>
      <c r="D6" s="970"/>
      <c r="E6" s="970"/>
      <c r="F6" s="970"/>
    </row>
    <row r="7" spans="1:27" ht="15" thickBot="1"/>
    <row r="8" spans="1:27" ht="15" customHeight="1">
      <c r="A8" s="971" t="s">
        <v>12</v>
      </c>
      <c r="B8" s="973" t="s">
        <v>13</v>
      </c>
      <c r="C8" s="975" t="s">
        <v>14</v>
      </c>
      <c r="D8" s="977" t="s">
        <v>15</v>
      </c>
    </row>
    <row r="9" spans="1:27" ht="15" thickBot="1">
      <c r="A9" s="972"/>
      <c r="B9" s="974"/>
      <c r="C9" s="976"/>
      <c r="D9" s="978"/>
    </row>
    <row r="10" spans="1:27" ht="19.2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79"/>
      <c r="G10" s="967"/>
      <c r="H10" s="967"/>
      <c r="I10" s="967"/>
      <c r="J10" s="967"/>
      <c r="K10" s="968"/>
      <c r="L10" s="968"/>
      <c r="M10" s="968"/>
      <c r="N10" s="968"/>
      <c r="O10" s="968"/>
      <c r="P10" s="968"/>
      <c r="Q10" s="968"/>
      <c r="R10" s="968"/>
      <c r="S10" s="969"/>
    </row>
    <row r="11" spans="1:27" ht="19.2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.2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6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6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6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6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6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.2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67"/>
      <c r="G26" s="967"/>
      <c r="H26" s="967"/>
      <c r="I26" s="967"/>
      <c r="J26" s="967"/>
      <c r="K26" s="968"/>
      <c r="L26" s="968"/>
      <c r="M26" s="968"/>
      <c r="N26" s="968"/>
      <c r="O26" s="968"/>
      <c r="P26" s="968"/>
      <c r="Q26" s="968"/>
      <c r="R26" s="968"/>
      <c r="S26" s="969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6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6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6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6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6">
      <c r="A43" s="1"/>
      <c r="B43" s="59"/>
      <c r="C43" s="186"/>
      <c r="D43" s="196"/>
      <c r="E43" s="363"/>
    </row>
    <row r="44" spans="1:27" ht="15.6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6">
      <c r="A45" s="1"/>
      <c r="B45" s="59"/>
      <c r="C45" s="186"/>
      <c r="D45" s="196"/>
      <c r="E45" s="363"/>
    </row>
    <row r="46" spans="1:27" ht="15.6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6">
      <c r="A47" s="1"/>
      <c r="B47" s="59"/>
      <c r="C47" s="186"/>
      <c r="D47" s="196"/>
      <c r="E47" s="363"/>
    </row>
    <row r="48" spans="1:27" ht="15.6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6">
      <c r="A49" s="1"/>
      <c r="B49" s="59"/>
      <c r="C49" s="186"/>
      <c r="D49" s="196"/>
      <c r="E49" s="363"/>
    </row>
    <row r="50" spans="1:5" ht="15.6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6">
      <c r="A51" s="1"/>
      <c r="B51" s="59"/>
      <c r="C51" s="186"/>
      <c r="D51" s="196"/>
      <c r="E51" s="363"/>
    </row>
    <row r="52" spans="1:5" ht="15.6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6">
      <c r="A53" s="1"/>
      <c r="B53" s="59"/>
      <c r="C53" s="186"/>
      <c r="D53" s="196"/>
      <c r="E53" s="363"/>
    </row>
    <row r="54" spans="1:5" ht="15.6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6">
      <c r="A55" s="1"/>
      <c r="B55" s="59"/>
      <c r="C55" s="186"/>
      <c r="D55" s="196"/>
      <c r="E55" s="363"/>
    </row>
    <row r="56" spans="1:5" ht="15.6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6">
      <c r="A57" s="1"/>
      <c r="B57" s="59"/>
      <c r="C57" s="186"/>
      <c r="D57" s="196"/>
      <c r="E57" s="363"/>
    </row>
    <row r="58" spans="1:5" ht="15.6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6">
      <c r="A59" s="1"/>
      <c r="B59" s="59"/>
      <c r="C59" s="186"/>
      <c r="D59" s="196"/>
      <c r="E59" s="363"/>
    </row>
    <row r="60" spans="1:5" ht="15.6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6">
      <c r="A61" s="1"/>
      <c r="B61" s="59"/>
      <c r="C61" s="186"/>
      <c r="D61" s="196"/>
      <c r="E61" s="363"/>
    </row>
    <row r="62" spans="1:5" ht="15.6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6">
      <c r="A63" s="1"/>
      <c r="B63" s="59"/>
      <c r="C63" s="186"/>
      <c r="D63" s="196"/>
      <c r="E63" s="363"/>
    </row>
    <row r="64" spans="1:5" ht="15.6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6">
      <c r="A65" s="1"/>
      <c r="B65" s="59"/>
      <c r="C65" s="186"/>
      <c r="D65" s="196"/>
      <c r="E65" s="363"/>
    </row>
    <row r="66" spans="1:5" ht="15.6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6">
      <c r="A67" s="1"/>
      <c r="B67" s="59"/>
      <c r="C67" s="186"/>
      <c r="D67" s="196"/>
      <c r="E67" s="363"/>
    </row>
    <row r="68" spans="1:5" ht="15.6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6">
      <c r="A69" s="1"/>
      <c r="B69" s="59"/>
      <c r="C69" s="186"/>
      <c r="D69" s="196"/>
      <c r="E69" s="363"/>
    </row>
    <row r="70" spans="1:5" ht="15.6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6">
      <c r="A71" s="1"/>
      <c r="B71" s="59"/>
      <c r="C71" s="186"/>
      <c r="D71" s="196"/>
      <c r="E71" s="363"/>
    </row>
    <row r="72" spans="1:5" ht="15.6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6">
      <c r="A73" s="1"/>
      <c r="B73" s="59"/>
      <c r="C73" s="186"/>
      <c r="D73" s="196"/>
      <c r="E73" s="363"/>
    </row>
    <row r="74" spans="1:5" ht="15.6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6">
      <c r="A75" s="1"/>
      <c r="B75" s="59"/>
      <c r="C75" s="186"/>
      <c r="D75" s="196"/>
      <c r="E75" s="363"/>
    </row>
    <row r="76" spans="1:5" ht="15.6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6">
      <c r="A77" s="1"/>
      <c r="B77" s="59"/>
      <c r="C77" s="186"/>
      <c r="D77" s="196"/>
      <c r="E77" s="363"/>
    </row>
    <row r="78" spans="1:5" ht="15.6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6">
      <c r="A79" s="1"/>
      <c r="B79" s="59"/>
      <c r="C79" s="186"/>
      <c r="D79" s="196"/>
      <c r="E79" s="363"/>
    </row>
    <row r="80" spans="1:5" ht="15.6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6">
      <c r="A81" s="1"/>
      <c r="B81" s="59"/>
      <c r="C81" s="186"/>
      <c r="D81" s="196"/>
      <c r="E81" s="363"/>
    </row>
    <row r="82" spans="1:5" ht="15.6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6">
      <c r="A83" s="1"/>
      <c r="B83" s="59"/>
      <c r="C83" s="186"/>
      <c r="D83" s="196"/>
      <c r="E83" s="363"/>
    </row>
    <row r="84" spans="1:5" ht="15.6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6">
      <c r="A85" s="1"/>
      <c r="B85" s="59"/>
      <c r="C85" s="186"/>
      <c r="D85" s="196"/>
      <c r="E85" s="363"/>
    </row>
    <row r="86" spans="1:5" ht="15.6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6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2026-01-24T18:42:45Z</dcterms:modified>
</cp:coreProperties>
</file>